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8c29118332b4ff6" /></Relationships>
</file>

<file path=xl/workbook.xml><?xml version="1.0" encoding="utf-8"?>
<x:workbook xmlns:x="http://schemas.openxmlformats.org/spreadsheetml/2006/main">
  <x:sheets>
    <x:sheet xmlns:r="http://schemas.openxmlformats.org/officeDocument/2006/relationships" name="Catalogue" sheetId="1" r:id="Re09d3e119c8c4dec"/>
    <x:sheet xmlns:r="http://schemas.openxmlformats.org/officeDocument/2006/relationships" name="State Progress" sheetId="2" r:id="R61b6baeea38e4f9e"/>
    <x:sheet xmlns:r="http://schemas.openxmlformats.org/officeDocument/2006/relationships" name="Source Index" sheetId="3" r:id="Rcd2b471ed4084e9b"/>
    <x:sheet xmlns:r="http://schemas.openxmlformats.org/officeDocument/2006/relationships" name="Review Guide" sheetId="4" r:id="R747e8056a2a44f32"/>
  </x:sheets>
</x:workbook>
</file>

<file path=xl/sharedStrings.xml><?xml version="1.0" encoding="utf-8"?>
<x:sst xmlns:x="http://schemas.openxmlformats.org/spreadsheetml/2006/main">
  <x:si>
    <x:t xml:space="preserve">JomVoyage Malaysia Tourism Master Candidates</x:t>
  </x:si>
  <x:si>
    <x:t xml:space="preserve">Candidate catalogue only — every entry remains Pending Review until a reviewer confirms the place and supporting sources. Johor is listed first, followed state by state.</x:t>
  </x:si>
  <x:si>
    <x:t xml:space="preserve">Candidate ID</x:t>
  </x:si>
  <x:si>
    <x:t xml:space="preserve">Attraction Name</x:t>
  </x:si>
  <x:si>
    <x:t xml:space="preserve">State / Territory</x:t>
  </x:si>
  <x:si>
    <x:t xml:space="preserve">City / District</x:t>
  </x:si>
  <x:si>
    <x:t xml:space="preserve">Primary Category</x:t>
  </x:si>
  <x:si>
    <x:t xml:space="preserve">Coverage Lens</x:t>
  </x:si>
  <x:si>
    <x:t xml:space="preserve">Setting</x:t>
  </x:si>
  <x:si>
    <x:t xml:space="preserve">Interests / Tags</x:t>
  </x:si>
  <x:si>
    <x:t xml:space="preserve">Candidate Description</x:t>
  </x:si>
  <x:si>
    <x:t xml:space="preserve">Discovery / Source Link(s)</x:t>
  </x:si>
  <x:si>
    <x:t xml:space="preserve">State Tourism Guide URL</x:t>
  </x:si>
  <x:si>
    <x:t xml:space="preserve">Source Basis</x:t>
  </x:si>
  <x:si>
    <x:t xml:space="preserve">Origin Batch</x:t>
  </x:si>
  <x:si>
    <x:t xml:space="preserve">Existing Record ID</x:t>
  </x:si>
  <x:si>
    <x:t xml:space="preserve">Date Added</x:t>
  </x:si>
  <x:si>
    <x:t xml:space="preserve">Review Status</x:t>
  </x:si>
  <x:si>
    <x:t xml:space="preserve">Reviewer Notes</x:t>
  </x:si>
  <x:si>
    <x:t xml:space="preserve">Source Status</x:t>
  </x:si>
  <x:si>
    <x:t xml:space="preserve">MC0001</x:t>
  </x:si>
  <x:si>
    <x:t xml:space="preserve">Hutan Bandar MBJB</x:t>
  </x:si>
  <x:si>
    <x:t xml:space="preserve">Johor</x:t>
  </x:si>
  <x:si>
    <x:t xml:space="preserve">Johor Bahru</x:t>
  </x:si>
  <x:si>
    <x:t xml:space="preserve">Park and Recreation</x:t>
  </x:si>
  <x:si>
    <x:t xml:space="preserve">Unclassified</x:t>
  </x:si>
  <x:si>
    <x:t xml:space="preserve">Outdoor</x:t>
  </x:si>
  <x:si>
    <x:t xml:space="preserve">Nature; walking; hiking; birdwatching; relaxation; family recreation; swimming; playground; zipline; rope challenge; environmental awareness</x:t>
  </x:si>
  <x:si>
    <x:t xml:space="preserve">A 35-acre MBJB-managed urban green space about 2 km from central Johor Bahru. It offers natural vegetation, walking trails, playground and water-recreation facilities, camping facilities, hiking and birdwatching opportunities, plus newer flying-fox and rope-course attractions.</x:t>
  </x:si>
  <x:si>
    <x:t xml:space="preserve">https://www.mbjb.gov.my/index.php/ms/hutanbandarlamanhijau ; https://visitjohor2026.my/ms/listing/hutan-bandar-mbjb/ ; https://www.mbjb.gov.my/ms/destinasi-menarik/kolam-rekreasi-air-hutan-bandar</x:t>
  </x:si>
  <x:si>
    <x:t xml:space="preserve">https://ebrochures.malaysia.travel/en/malaysia-travel-guide/johor/</x:t>
  </x:si>
  <x:si>
    <x:t xml:space="preserve">Previously researched sources; reconfirm before approval</x:t>
  </x:si>
  <x:si>
    <x:t xml:space="preserve">Johor researched batch</x:t>
  </x:si>
  <x:si>
    <x:t xml:space="preserve">A001</x:t>
  </x:si>
  <x:si>
    <x:t xml:space="preserve">Complete</x:t>
  </x:si>
  <x:si>
    <x:t xml:space="preserve">MC0002</x:t>
  </x:si>
  <x:si>
    <x:t xml:space="preserve">Zoo Johor</x:t>
  </x:si>
  <x:si>
    <x:t xml:space="preserve">Wildlife</x:t>
  </x:si>
  <x:si>
    <x:t xml:space="preserve">Wildlife; animals; family recreation; children; education; photography; zoo</x:t>
  </x:si>
  <x:si>
    <x:t xml:space="preserve">One of Malaysia's oldest zoos, located in central Johor Bahru and home to more than 275 animals, including tigers, elephants and camels. It offers wildlife viewing, family recreation, educational opportunities and photography.</x:t>
  </x:si>
  <x:si>
    <x:t xml:space="preserve">https://zoo.johor.gov.my/ ; https://visitjohor2026.my/listing/zoo-johor/ ; user-provided Zoo Johor ticket poster</x:t>
  </x:si>
  <x:si>
    <x:t xml:space="preserve">A002</x:t>
  </x:si>
  <x:si>
    <x:t xml:space="preserve">MC0003</x:t>
  </x:si>
  <x:si>
    <x:t xml:space="preserve">Endau-Rompin National Park</x:t>
  </x:si>
  <x:si>
    <x:t xml:space="preserve">Mersing / Segamat</x:t>
  </x:si>
  <x:si>
    <x:t xml:space="preserve">Nature</x:t>
  </x:si>
  <x:si>
    <x:t xml:space="preserve">Both</x:t>
  </x:si>
  <x:si>
    <x:t xml:space="preserve">Ancient rainforest; national park; biodiversity; waterfalls; rivers; hiking; jungle trekking; swimming; tubing; camping; wildlife watching; birdwatching; night walks; Orang Asli culture; nature education; photography</x:t>
  </x:si>
  <x:si>
    <x:t xml:space="preserve">Johor's largest protected area is an ancient rainforest national park with official entrances at Peta in Mersing and Selai in Segamat. Its rivers, waterfalls and forest trails support hiking, swimming, tubing, camping, wildlife and birdwatching experiences, alongside Jakun cultural and nature-education activities.</x:t>
  </x:si>
  <x:si>
    <x:t xml:space="preserve">https://www.malaysia.travel/explore/endau-rompin-national-park ; https://johornationalparks.gov.my/endau-rompin-peta/ ; https://johornationalparks.gov.my/endau-rompin-peta-activities/ ; https://johornationalparks.gov.my/endau-rompin-selai-activities/ ; https://www.malaysia.travel/explore/thrilling-outdoor-adventures-in-johor-bahru ; https://rompinpark.my/</x:t>
  </x:si>
  <x:si>
    <x:t xml:space="preserve">A010</x:t>
  </x:si>
  <x:si>
    <x:t xml:space="preserve">MC0004</x:t>
  </x:si>
  <x:si>
    <x:t xml:space="preserve">LEGOLAND Malaysia Resort</x:t>
  </x:si>
  <x:si>
    <x:t xml:space="preserve">Iskandar Puteri</x:t>
  </x:si>
  <x:si>
    <x:t xml:space="preserve">Family Attraction</x:t>
  </x:si>
  <x:si>
    <x:t xml:space="preserve">theme park; family; children; rides; indoor; outdoor</x:t>
  </x:si>
  <x:si>
    <x:t xml:space="preserve">Southeast Asia's first LEGOLAND theme park, opened in 2012 in Iskandar Puteri, with LEGO-themed rides, a Miniland of LEGO-brick landmark replicas, an adjoining water park and the Legoland Hotel.</x:t>
  </x:si>
  <x:si>
    <x:t xml:space="preserve">https://www.google.com/maps/search/?api=1&amp;query=LEGOLAND%20Malaysia%20Resort%2C%20Johor%2C%20Malaysia</x:t>
  </x:si>
  <x:si>
    <x:t xml:space="preserve">Previous workbook candidate/source lead</x:t>
  </x:si>
  <x:si>
    <x:t xml:space="preserve">Johor seed candidates</x:t>
  </x:si>
  <x:si>
    <x:t xml:space="preserve">A033</x:t>
  </x:si>
  <x:si>
    <x:t xml:space="preserve">MC0005</x:t>
  </x:si>
  <x:si>
    <x:t xml:space="preserve">Adventure Waterpark Desaru Coast</x:t>
  </x:si>
  <x:si>
    <x:t xml:space="preserve">Bandar Penawar</x:t>
  </x:si>
  <x:si>
    <x:t xml:space="preserve">Theme Park</x:t>
  </x:si>
  <x:si>
    <x:t xml:space="preserve">water park; family; children; adventure; recreation</x:t>
  </x:si>
  <x:si>
    <x:t xml:space="preserve">A large waterpark within the Desaru Coast resort development on Johor's east coast, featuring wave pools, slides and river rides aimed at families.</x:t>
  </x:si>
  <x:si>
    <x:t xml:space="preserve">https://www.google.com/maps/search/?api=1&amp;query=Adventure%20Waterpark%20Desaru%20Coast%2C%20Johor%2C%20Malaysia</x:t>
  </x:si>
  <x:si>
    <x:t xml:space="preserve">A034</x:t>
  </x:si>
  <x:si>
    <x:t xml:space="preserve">MC0006</x:t>
  </x:si>
  <x:si>
    <x:t xml:space="preserve">Desaru Beach</x:t>
  </x:si>
  <x:si>
    <x:t xml:space="preserve">Kota Tinggi</x:t>
  </x:si>
  <x:si>
    <x:t xml:space="preserve">Beach and Island</x:t>
  </x:si>
  <x:si>
    <x:t xml:space="preserve">beach; relaxation; scenery; family; seaside</x:t>
  </x:si>
  <x:si>
    <x:t xml:space="preserve">A long stretch of sandy coastline on Johor's east coast known for surfing, water sports and beachfront resorts.</x:t>
  </x:si>
  <x:si>
    <x:t xml:space="preserve">https://www.google.com/maps/search/?api=1&amp;query=Desaru%20Beach%2C%20Johor%2C%20Malaysia</x:t>
  </x:si>
  <x:si>
    <x:t xml:space="preserve">A035</x:t>
  </x:si>
  <x:si>
    <x:t xml:space="preserve">MC0007</x:t>
  </x:si>
  <x:si>
    <x:t xml:space="preserve">Tanjung Piai National Park</x:t>
  </x:si>
  <x:si>
    <x:t xml:space="preserve">Pontian</x:t>
  </x:si>
  <x:si>
    <x:t xml:space="preserve">nature; mangrove; boardwalk; birdwatching; scenery; relaxation</x:t>
  </x:si>
  <x:si>
    <x:t xml:space="preserve">Mainland Asia's southernmost point, a coastal mangrove forest reserve near Pontian with boardwalks for viewing mudflat wildlife and the Tanjung Piai lighthouse.</x:t>
  </x:si>
  <x:si>
    <x:t xml:space="preserve">https://www.google.com/maps/search/?api=1&amp;query=Tanjung%20Piai%20National%20Park%2C%20Johor%2C%20Malaysia</x:t>
  </x:si>
  <x:si>
    <x:t xml:space="preserve">A036</x:t>
  </x:si>
  <x:si>
    <x:t xml:space="preserve">MC0008</x:t>
  </x:si>
  <x:si>
    <x:t xml:space="preserve">Gunung Pulai Recreational Forest</x:t>
  </x:si>
  <x:si>
    <x:t xml:space="preserve">Kulai</x:t>
  </x:si>
  <x:si>
    <x:t xml:space="preserve">nature; forest; hiking; waterfall; adventure</x:t>
  </x:si>
  <x:si>
    <x:t xml:space="preserve">A forested hill recreation area near Kulai popular for hiking, waterfalls and camping around a reservoir.</x:t>
  </x:si>
  <x:si>
    <x:t xml:space="preserve">https://www.google.com/maps/search/?api=1&amp;query=Gunung%20Pulai%20Recreational%20Forest%2C%20Johor%2C%20Malaysia</x:t>
  </x:si>
  <x:si>
    <x:t xml:space="preserve">A037</x:t>
  </x:si>
  <x:si>
    <x:t xml:space="preserve">MC0009</x:t>
  </x:si>
  <x:si>
    <x:t xml:space="preserve">Kota Tinggi Firefly Park</x:t>
  </x:si>
  <x:si>
    <x:t xml:space="preserve">wildlife; fireflies; river cruise; nature; family</x:t>
  </x:si>
  <x:si>
    <x:t xml:space="preserve">A riverside park along the Sungai Lebam near Kota Tinggi known for nighttime firefly-watching boat rides.</x:t>
  </x:si>
  <x:si>
    <x:t xml:space="preserve">https://www.google.com/maps/search/?api=1&amp;query=Kota%20Tinggi%20Firefly%20Park%2C%20Johor%2C%20Malaysia</x:t>
  </x:si>
  <x:si>
    <x:t xml:space="preserve">A038</x:t>
  </x:si>
  <x:si>
    <x:t xml:space="preserve">MC0010</x:t>
  </x:si>
  <x:si>
    <x:t xml:space="preserve">Johor Bahru Old Chinese Temple</x:t>
  </x:si>
  <x:si>
    <x:t xml:space="preserve">Culture</x:t>
  </x:si>
  <x:si>
    <x:t xml:space="preserve">culture; temple; heritage; history; architecture</x:t>
  </x:si>
  <x:si>
    <x:t xml:space="preserve">A 19th-century multi-deity Chinese temple in downtown Johor Bahru, notable for hosting the city's annual Chingay procession.</x:t>
  </x:si>
  <x:si>
    <x:t xml:space="preserve">https://www.google.com/maps/search/?api=1&amp;query=Johor%20Bahru%20Old%20Chinese%20Temple%2C%20Johor%2C%20Malaysia</x:t>
  </x:si>
  <x:si>
    <x:t xml:space="preserve">A039</x:t>
  </x:si>
  <x:si>
    <x:t xml:space="preserve">MC0011</x:t>
  </x:si>
  <x:si>
    <x:t xml:space="preserve">Sultan Abu Bakar State Mosque</x:t>
  </x:si>
  <x:si>
    <x:t xml:space="preserve">Religious Site</x:t>
  </x:si>
  <x:si>
    <x:t xml:space="preserve">Popular</x:t>
  </x:si>
  <x:si>
    <x:t xml:space="preserve">mosque; architecture; heritage</x:t>
  </x:si>
  <x:si>
    <x:t xml:space="preserve">Johor Bahru's state mosque, built in Victorian-Moorish style on a hill overlooking the Straits of Johor and completed in 1900.</x:t>
  </x:si>
  <x:si>
    <x:t xml:space="preserve">https://www.google.com/maps/search/?api=1&amp;query=Sultan%20Abu%20Bakar%20State%20Mosque%2C%20Johor%2C%20Malaysia</x:t>
  </x:si>
  <x:si>
    <x:t xml:space="preserve">Tourism Malaysia state guide plus map discovery link</x:t>
  </x:si>
  <x:si>
    <x:t xml:space="preserve">Johor expansion batch</x:t>
  </x:si>
  <x:si>
    <x:t xml:space="preserve">MC0012</x:t>
  </x:si>
  <x:si>
    <x:t xml:space="preserve">Sultan Ibrahim Building</x:t>
  </x:si>
  <x:si>
    <x:t xml:space="preserve">Heritage and History</x:t>
  </x:si>
  <x:si>
    <x:t xml:space="preserve">landmark; architecture; history</x:t>
  </x:si>
  <x:si>
    <x:t xml:space="preserve">A heritage administrative building in Johor Bahru with a distinctive clock tower, completed in 1940 and formerly serving as the state secretariat.</x:t>
  </x:si>
  <x:si>
    <x:t xml:space="preserve">https://www.google.com/maps/search/?api=1&amp;query=Sultan%20Ibrahim%20Building%2C%20Johor%2C%20Malaysia</x:t>
  </x:si>
  <x:si>
    <x:t xml:space="preserve">MC0013</x:t>
  </x:si>
  <x:si>
    <x:t xml:space="preserve">Tan Hiok Nee Heritage Street</x:t>
  </x:si>
  <x:si>
    <x:t xml:space="preserve">Local</x:t>
  </x:si>
  <x:si>
    <x:t xml:space="preserve">heritage street; food; walking</x:t>
  </x:si>
  <x:si>
    <x:t xml:space="preserve">A historic street of early Chinese shophouses in Johor Bahru, named after 19th-century Teochew community leader Tan Hiok Nee.</x:t>
  </x:si>
  <x:si>
    <x:t xml:space="preserve">https://www.google.com/maps/search/?api=1&amp;query=Tan%20Hiok%20Nee%20Heritage%20Street%2C%20Johor%2C%20Malaysia</x:t>
  </x:si>
  <x:si>
    <x:t xml:space="preserve">MC0014</x:t>
  </x:si>
  <x:si>
    <x:t xml:space="preserve">Arulmigu Sri Rajakaliamman Glass Temple</x:t>
  </x:si>
  <x:si>
    <x:t xml:space="preserve">Underrated</x:t>
  </x:si>
  <x:si>
    <x:t xml:space="preserve">temple; glass art; culture</x:t>
  </x:si>
  <x:si>
    <x:t xml:space="preserve">A Hindu temple in Johor Bahru decorated almost entirely with glass mosaics, mirrors and coloured glass materials.</x:t>
  </x:si>
  <x:si>
    <x:t xml:space="preserve">https://www.google.com/maps/search/?api=1&amp;query=Arulmigu%20Sri%20Rajakaliamman%20Glass%20Temple%2C%20Johor%2C%20Malaysia</x:t>
  </x:si>
  <x:si>
    <x:t xml:space="preserve">MC0015</x:t>
  </x:si>
  <x:si>
    <x:t xml:space="preserve">Istana Besar and Royal Abu Bakar Museum</x:t>
  </x:si>
  <x:si>
    <x:t xml:space="preserve">Museum and Gallery</x:t>
  </x:si>
  <x:si>
    <x:t xml:space="preserve">Indoor</x:t>
  </x:si>
  <x:si>
    <x:t xml:space="preserve">royal history; museum; architecture</x:t>
  </x:si>
  <x:si>
    <x:t xml:space="preserve">The former royal palace of the Johor sultanate in Johor Bahru, now a museum displaying royal regalia and artefacts of the Abu Bakar era.</x:t>
  </x:si>
  <x:si>
    <x:t xml:space="preserve">https://www.google.com/maps/search/?api=1&amp;query=Istana%20Besar%20and%20Royal%20Abu%20Bakar%20Museum%2C%20Johor%2C%20Malaysia</x:t>
  </x:si>
  <x:si>
    <x:t xml:space="preserve">MC0016</x:t>
  </x:si>
  <x:si>
    <x:t xml:space="preserve">Puteri Harbour</x:t>
  </x:si>
  <x:si>
    <x:t xml:space="preserve">Urban Attraction</x:t>
  </x:si>
  <x:si>
    <x:t xml:space="preserve">waterfront; marina; dining</x:t>
  </x:si>
  <x:si>
    <x:t xml:space="preserve">A waterfront leisure and residential precinct in Iskandar Puteri with a marina, family attractions and dining along the water.</x:t>
  </x:si>
  <x:si>
    <x:t xml:space="preserve">https://www.google.com/maps/search/?api=1&amp;query=Puteri%20Harbour%2C%20Johor%2C%20Malaysia</x:t>
  </x:si>
  <x:si>
    <x:t xml:space="preserve">MC0017</x:t>
  </x:si>
  <x:si>
    <x:t xml:space="preserve">Kota Iskandar</x:t>
  </x:si>
  <x:si>
    <x:t xml:space="preserve">civic architecture; photography; landmark</x:t>
  </x:si>
  <x:si>
    <x:t xml:space="preserve">Johor's state government administrative complex in Iskandar Puteri, home to the state legislative assembly and executive offices.</x:t>
  </x:si>
  <x:si>
    <x:t xml:space="preserve">https://www.google.com/maps/search/?api=1&amp;query=Kota%20Iskandar%2C%20Johor%2C%20Malaysia</x:t>
  </x:si>
  <x:si>
    <x:t xml:space="preserve">MC0018</x:t>
  </x:si>
  <x:si>
    <x:t xml:space="preserve">Johor Premium Outlets</x:t>
  </x:si>
  <x:si>
    <x:t xml:space="preserve">Shopping</x:t>
  </x:si>
  <x:si>
    <x:t xml:space="preserve">outlet shopping; family; dining</x:t>
  </x:si>
  <x:si>
    <x:t xml:space="preserve">A designer and brand-name outlet shopping mall in Kulai, part of the international Premium Outlets chain.</x:t>
  </x:si>
  <x:si>
    <x:t xml:space="preserve">https://www.google.com/maps/search/?api=1&amp;query=Johor%20Premium%20Outlets%2C%20Johor%2C%20Malaysia</x:t>
  </x:si>
  <x:si>
    <x:t xml:space="preserve">MC0019</x:t>
  </x:si>
  <x:si>
    <x:t xml:space="preserve">Kota Tinggi Waterfalls</x:t>
  </x:si>
  <x:si>
    <x:t xml:space="preserve">waterfall; forest; recreation</x:t>
  </x:si>
  <x:si>
    <x:t xml:space="preserve">A multi-tiered waterfall recreation area in Kota Tinggi with natural pools popular for swimming and picnicking.</x:t>
  </x:si>
  <x:si>
    <x:t xml:space="preserve">https://www.google.com/maps/search/?api=1&amp;query=Kota%20Tinggi%20Waterfalls%2C%20Johor%2C%20Malaysia</x:t>
  </x:si>
  <x:si>
    <x:t xml:space="preserve">MC0020</x:t>
  </x:si>
  <x:si>
    <x:t xml:space="preserve">Desaru Fruit Farm</x:t>
  </x:si>
  <x:si>
    <x:t xml:space="preserve">Food</x:t>
  </x:si>
  <x:si>
    <x:t xml:space="preserve">agrotourism; fruit; farm</x:t>
  </x:si>
  <x:si>
    <x:t xml:space="preserve">An agro-tourism farm near Kota Tinggi showcasing tropical fruit orchards and local produce.</x:t>
  </x:si>
  <x:si>
    <x:t xml:space="preserve">https://www.google.com/maps/search/?api=1&amp;query=Desaru%20Fruit%20Farm%2C%20Johor%2C%20Malaysia</x:t>
  </x:si>
  <x:si>
    <x:t xml:space="preserve">MC0021</x:t>
  </x:si>
  <x:si>
    <x:t xml:space="preserve">Desaru Coast Riverside</x:t>
  </x:si>
  <x:si>
    <x:t xml:space="preserve">waterfront; dining; leisure</x:t>
  </x:si>
  <x:si>
    <x:t xml:space="preserve">A riverside dining and leisure precinct within the Desaru Coast development in Kota Tinggi district.</x:t>
  </x:si>
  <x:si>
    <x:t xml:space="preserve">https://www.google.com/maps/search/?api=1&amp;query=Desaru%20Coast%20Riverside%2C%20Johor%2C%20Malaysia</x:t>
  </x:si>
  <x:si>
    <x:t xml:space="preserve">MC0022</x:t>
  </x:si>
  <x:si>
    <x:t xml:space="preserve">Pulau Rawa</x:t>
  </x:si>
  <x:si>
    <x:t xml:space="preserve">Mersing</x:t>
  </x:si>
  <x:si>
    <x:t xml:space="preserve">island; beach; snorkelling</x:t>
  </x:si>
  <x:si>
    <x:t xml:space="preserve">A small island off Mersing known for clear water and calm beaches, popular as a day-trip and resort destination.</x:t>
  </x:si>
  <x:si>
    <x:t xml:space="preserve">https://www.google.com/maps/search/?api=1&amp;query=Pulau%20Rawa%2C%20Johor%2C%20Malaysia</x:t>
  </x:si>
  <x:si>
    <x:t xml:space="preserve">MC0023</x:t>
  </x:si>
  <x:si>
    <x:t xml:space="preserve">Pulau Sibu</x:t>
  </x:si>
  <x:si>
    <x:t xml:space="preserve">island; beach; village</x:t>
  </x:si>
  <x:si>
    <x:t xml:space="preserve">An island off Mersing popular for diving and snorkelling, with several small beach resorts.</x:t>
  </x:si>
  <x:si>
    <x:t xml:space="preserve">https://www.google.com/maps/search/?api=1&amp;query=Pulau%20Sibu%2C%20Johor%2C%20Malaysia</x:t>
  </x:si>
  <x:si>
    <x:t xml:space="preserve">MC0024</x:t>
  </x:si>
  <x:si>
    <x:t xml:space="preserve">Pulau Besar</x:t>
  </x:si>
  <x:si>
    <x:t xml:space="preserve">island; marine life; beach</x:t>
  </x:si>
  <x:si>
    <x:t xml:space="preserve">An island off Mersing offering beaches and snorkelling within the Sultan Iskandar Marine Park.</x:t>
  </x:si>
  <x:si>
    <x:t xml:space="preserve">https://www.google.com/maps/search/?api=1&amp;query=Pulau%20Besar%2C%20Johor%2C%20Malaysia</x:t>
  </x:si>
  <x:si>
    <x:t xml:space="preserve">MC0025</x:t>
  </x:si>
  <x:si>
    <x:t xml:space="preserve">Air Papan Beach</x:t>
  </x:si>
  <x:si>
    <x:t xml:space="preserve">beach; picnic; village</x:t>
  </x:si>
  <x:si>
    <x:t xml:space="preserve">A long sandy beach near Mersing town popular with local day-trippers and campers.</x:t>
  </x:si>
  <x:si>
    <x:t xml:space="preserve">https://www.google.com/maps/search/?api=1&amp;query=Air%20Papan%20Beach%2C%20Johor%2C%20Malaysia</x:t>
  </x:si>
  <x:si>
    <x:t xml:space="preserve">MC0026</x:t>
  </x:si>
  <x:si>
    <x:t xml:space="preserve">Gunung Arong Recreational Forest</x:t>
  </x:si>
  <x:si>
    <x:t xml:space="preserve">Rural</x:t>
  </x:si>
  <x:si>
    <x:t xml:space="preserve">hiking; forest; summit</x:t>
  </x:si>
  <x:si>
    <x:t xml:space="preserve">A coastal forest reserve near Mersing with a short hiking trail leading to a sea-view summit.</x:t>
  </x:si>
  <x:si>
    <x:t xml:space="preserve">https://www.google.com/maps/search/?api=1&amp;query=Gunung%20Arong%20Recreational%20Forest%2C%20Johor%2C%20Malaysia</x:t>
  </x:si>
  <x:si>
    <x:t xml:space="preserve">MC0027</x:t>
  </x:si>
  <x:si>
    <x:t xml:space="preserve">Kukup Fishing Village</x:t>
  </x:si>
  <x:si>
    <x:t xml:space="preserve">fishing village; seafood; stilt houses</x:t>
  </x:si>
  <x:si>
    <x:t xml:space="preserve">A stilt fishing village in Pontian district known for seafood restaurants built out over the water.</x:t>
  </x:si>
  <x:si>
    <x:t xml:space="preserve">https://www.google.com/maps/search/?api=1&amp;query=Kukup%20Fishing%20Village%2C%20Johor%2C%20Malaysia</x:t>
  </x:si>
  <x:si>
    <x:t xml:space="preserve">MC0028</x:t>
  </x:si>
  <x:si>
    <x:t xml:space="preserve">Pulau Kukup National Park</x:t>
  </x:si>
  <x:si>
    <x:t xml:space="preserve">mangrove; island; boardwalk</x:t>
  </x:si>
  <x:si>
    <x:t xml:space="preserve">One of the world's largest uninhabited mangrove islands, a Ramsar-listed wetland site off Pontian.</x:t>
  </x:si>
  <x:si>
    <x:t xml:space="preserve">https://www.google.com/maps/search/?api=1&amp;query=Pulau%20Kukup%20National%20Park%2C%20Johor%2C%20Malaysia</x:t>
  </x:si>
  <x:si>
    <x:t xml:space="preserve">MC0029</x:t>
  </x:si>
  <x:si>
    <x:t xml:space="preserve">Pantai Minyak Beku</x:t>
  </x:si>
  <x:si>
    <x:t xml:space="preserve">Batu Pahat</x:t>
  </x:si>
  <x:si>
    <x:t xml:space="preserve">coast; local history; sunset</x:t>
  </x:si>
  <x:si>
    <x:t xml:space="preserve">A beach along the Batu Pahat coastline known locally for its calm waters.</x:t>
  </x:si>
  <x:si>
    <x:t xml:space="preserve">https://www.google.com/maps/search/?api=1&amp;query=Pantai%20Minyak%20Beku%2C%20Johor%2C%20Malaysia</x:t>
  </x:si>
  <x:si>
    <x:t xml:space="preserve">MC0030</x:t>
  </x:si>
  <x:si>
    <x:t xml:space="preserve">Chong Long Gong Temple</x:t>
  </x:si>
  <x:si>
    <x:t xml:space="preserve">temple; culture; riverside</x:t>
  </x:si>
  <x:si>
    <x:t xml:space="preserve">A Chinese temple in Batu Pahat district serving the local community.</x:t>
  </x:si>
  <x:si>
    <x:t xml:space="preserve">https://www.google.com/maps/search/?api=1&amp;query=Chong%20Long%20Gong%20Temple%2C%20Johor%2C%20Malaysia</x:t>
  </x:si>
  <x:si>
    <x:t xml:space="preserve">MC0031</x:t>
  </x:si>
  <x:si>
    <x:t xml:space="preserve">Tanjung Emas Park</x:t>
  </x:si>
  <x:si>
    <x:t xml:space="preserve">Muar</x:t>
  </x:si>
  <x:si>
    <x:t xml:space="preserve">riverfront; park; family</x:t>
  </x:si>
  <x:si>
    <x:t xml:space="preserve">A riverside park in Muar town along the banks of the Muar River.</x:t>
  </x:si>
  <x:si>
    <x:t xml:space="preserve">https://www.google.com/maps/search/?api=1&amp;query=Tanjung%20Emas%20Park%2C%20Johor%2C%20Malaysia</x:t>
  </x:si>
  <x:si>
    <x:t xml:space="preserve">MC0032</x:t>
  </x:si>
  <x:si>
    <x:t xml:space="preserve">Muar Cultural Walk</x:t>
  </x:si>
  <x:si>
    <x:t xml:space="preserve">street art; heritage; food</x:t>
  </x:si>
  <x:si>
    <x:t xml:space="preserve">A heritage walking trail through Muar's colonial-era shophouses and historic landmarks.</x:t>
  </x:si>
  <x:si>
    <x:t xml:space="preserve">https://www.google.com/maps/search/?api=1&amp;query=Muar%20Cultural%20Walk%2C%20Johor%2C%20Malaysia</x:t>
  </x:si>
  <x:si>
    <x:t xml:space="preserve">MC0033</x:t>
  </x:si>
  <x:si>
    <x:t xml:space="preserve">Gunung Lambak</x:t>
  </x:si>
  <x:si>
    <x:t xml:space="preserve">Kluang</x:t>
  </x:si>
  <x:si>
    <x:t xml:space="preserve">hiking; forest; viewpoint</x:t>
  </x:si>
  <x:si>
    <x:t xml:space="preserve">A popular hiking hill near Kluang town with several marked summit trails.</x:t>
  </x:si>
  <x:si>
    <x:t xml:space="preserve">https://www.google.com/maps/search/?api=1&amp;query=Gunung%20Lambak%2C%20Johor%2C%20Malaysia</x:t>
  </x:si>
  <x:si>
    <x:t xml:space="preserve">MC0034</x:t>
  </x:si>
  <x:si>
    <x:t xml:space="preserve">Kluang Rail Coffee and Railway Station Precinct</x:t>
  </x:si>
  <x:si>
    <x:t xml:space="preserve">rail heritage; coffee; local food</x:t>
  </x:si>
  <x:si>
    <x:t xml:space="preserve">A historic railway station precinct in Kluang known for its century-old railway platform coffee shop, still operating today.</x:t>
  </x:si>
  <x:si>
    <x:t xml:space="preserve">https://www.google.com/maps/search/?api=1&amp;query=Kluang%20Rail%20Coffee%20and%20Railway%20Station%20Precinct%2C%20Johor%2C%20Malaysia</x:t>
  </x:si>
  <x:si>
    <x:t xml:space="preserve">MC0035</x:t>
  </x:si>
  <x:si>
    <x:t xml:space="preserve">Sungai Bantang Waterfall</x:t>
  </x:si>
  <x:si>
    <x:t xml:space="preserve">Segamat</x:t>
  </x:si>
  <x:si>
    <x:t xml:space="preserve">waterfall; forest; picnic</x:t>
  </x:si>
  <x:si>
    <x:t xml:space="preserve">A waterfall recreational spot in Segamat district popular for picnics and swimming.</x:t>
  </x:si>
  <x:si>
    <x:t xml:space="preserve">https://www.google.com/maps/search/?api=1&amp;query=Sungai%20Bantang%20Waterfall%2C%20Johor%2C%20Malaysia</x:t>
  </x:si>
  <x:si>
    <x:t xml:space="preserve">MC0036</x:t>
  </x:si>
  <x:si>
    <x:t xml:space="preserve">Tree Top Walk Sungai Sedim</x:t>
  </x:si>
  <x:si>
    <x:t xml:space="preserve">Kedah</x:t>
  </x:si>
  <x:si>
    <x:t xml:space="preserve">Kulim</x:t>
  </x:si>
  <x:si>
    <x:t xml:space="preserve">Adventure</x:t>
  </x:si>
  <x:si>
    <x:t xml:space="preserve">Canopy walkway; rainforest; river; panoramic views; nature; walking; hiking; jungle trekking; birdwatching; wildlife; white-water rafting; kayaking; river tubing; abseiling; paintball; camping; team building; nature education; photography</x:t>
  </x:si>
  <x:si>
    <x:t xml:space="preserve">A 925-metre elevated canopy walkway in Sungai Sedim Recreational Park, approximately 30 minutes from Kulim. Rising to about 26 metres above the forest floor, it offers rainforest and river views, with separately arranged adventure activities such as rafting, kayaking, tubing, trekking and abseiling.</x:t>
  </x:si>
  <x:si>
    <x:t xml:space="preserve">https://www.treetopwalk.com.my/ ; https://www.malaysia.travel/explore/top-walk-sungai-sedim ; https://www.malaysia.travel/explore/7-hidden-gems-in-kedah-for-the-ultimate-escape ; https://ebrochures.malaysia.travel/en/malaysia-travel-guide/kedah/</x:t>
  </x:si>
  <x:si>
    <x:t xml:space="preserve">https://ebrochures.malaysia.travel/en/malaysia-travel-guide/kedah/</x:t>
  </x:si>
  <x:si>
    <x:t xml:space="preserve">Previous workbook seed</x:t>
  </x:si>
  <x:si>
    <x:t xml:space="preserve">A011</x:t>
  </x:si>
  <x:si>
    <x:t xml:space="preserve">MC0037</x:t>
  </x:si>
  <x:si>
    <x:t xml:space="preserve">Pulau Payar Marine Park</x:t>
  </x:si>
  <x:si>
    <x:t xml:space="preserve">Kota Setar</x:t>
  </x:si>
  <x:si>
    <x:t xml:space="preserve">Marine park; islands; coral reefs; marine life; snorkelling; scuba diving; swimming; boat trip; day trip; sharks; tropical fish; hiking; conservation; nature; family recreation; underwater photography</x:t>
  </x:si>
  <x:si>
    <x:t xml:space="preserve">A protected marine-park archipelago comprising Pulau Payar, Pulau Lembu, Pulau Kaca and Pulau Segantang. Its sheltered waters, coral reefs and diverse marine life support day-trip activities including snorkelling, scuba diving and swimming, while Pulau Payar also has basic visitor amenities and short hiking trails.</x:t>
  </x:si>
  <x:si>
    <x:t xml:space="preserve">https://www.malaysia.travel/explore/pulau-payar-marine-park ; https://www.dof.gov.my/en/services/marine-park-resource-management/marine-park-management/ ; https://www.dof.gov.my/en/services/marine-park-resource-management/conservation-charge-fee-rates/ ; https://pulaupayar.com/ ; https://ebrochures.malaysia.travel/en/langkawi/10-natures-best-in-langkawi/</x:t>
  </x:si>
  <x:si>
    <x:t xml:space="preserve">A012</x:t>
  </x:si>
  <x:si>
    <x:t xml:space="preserve">MC0038</x:t>
  </x:si>
  <x:si>
    <x:t xml:space="preserve">Langkawi Sky Bridge</x:t>
  </x:si>
  <x:si>
    <x:t xml:space="preserve">Langkawi</x:t>
  </x:si>
  <x:si>
    <x:t xml:space="preserve">scenery; cable car; bridge; nature; photography; adventure</x:t>
  </x:si>
  <x:si>
    <x:t xml:space="preserve">A curved pedestrian suspension bridge near the summit of Gunung Mat Cincang on Langkawi, reached via cable car and offering panoramic views over the island.</x:t>
  </x:si>
  <x:si>
    <x:t xml:space="preserve">https://www.google.com/maps/search/?api=1&amp;query=Langkawi%20Sky%20Bridge%2C%20Kedah%2C%20Malaysia</x:t>
  </x:si>
  <x:si>
    <x:t xml:space="preserve">A040</x:t>
  </x:si>
  <x:si>
    <x:t xml:space="preserve">MC0039</x:t>
  </x:si>
  <x:si>
    <x:t xml:space="preserve">Kilim Karst Geoforest Park</x:t>
  </x:si>
  <x:si>
    <x:t xml:space="preserve">mangrove; boat tour; geopark; wildlife; scenery; nature</x:t>
  </x:si>
  <x:si>
    <x:t xml:space="preserve">A mangrove and limestone karst area on Langkawi explored by boat, known for eagle-watching, sea caves and dramatic geological formations.</x:t>
  </x:si>
  <x:si>
    <x:t xml:space="preserve">https://www.google.com/maps/search/?api=1&amp;query=Kilim%20Karst%20Geoforest%20Park%2C%20Kedah%2C%20Malaysia</x:t>
  </x:si>
  <x:si>
    <x:t xml:space="preserve">A041</x:t>
  </x:si>
  <x:si>
    <x:t xml:space="preserve">MC0040</x:t>
  </x:si>
  <x:si>
    <x:t xml:space="preserve">Pantai Cenang</x:t>
  </x:si>
  <x:si>
    <x:t xml:space="preserve">beach; relaxation; water sports; shopping; food</x:t>
  </x:si>
  <x:si>
    <x:t xml:space="preserve">Langkawi's most popular beach strip, lined with resorts, restaurants, bars and water-sports operators.</x:t>
  </x:si>
  <x:si>
    <x:t xml:space="preserve">https://www.google.com/maps/search/?api=1&amp;query=Pantai%20Cenang%2C%20Kedah%2C%20Malaysia</x:t>
  </x:si>
  <x:si>
    <x:t xml:space="preserve">A042</x:t>
  </x:si>
  <x:si>
    <x:t xml:space="preserve">MC0041</x:t>
  </x:si>
  <x:si>
    <x:t xml:space="preserve">Langkawi Wildlife Park</x:t>
  </x:si>
  <x:si>
    <x:t xml:space="preserve">wildlife; animals; family; children; education</x:t>
  </x:si>
  <x:si>
    <x:t xml:space="preserve">A bird and wildlife park on Langkawi with walk-in aviaries and animal enclosures.</x:t>
  </x:si>
  <x:si>
    <x:t xml:space="preserve">https://www.google.com/maps/search/?api=1&amp;query=Langkawi%20Wildlife%20Park%2C%20Kedah%2C%20Malaysia</x:t>
  </x:si>
  <x:si>
    <x:t xml:space="preserve">A043</x:t>
  </x:si>
  <x:si>
    <x:t xml:space="preserve">MC0042</x:t>
  </x:si>
  <x:si>
    <x:t xml:space="preserve">Underwater World Langkawi</x:t>
  </x:si>
  <x:si>
    <x:t xml:space="preserve">aquarium; marine life; family; children; indoor</x:t>
  </x:si>
  <x:si>
    <x:t xml:space="preserve">A large aquarium at Pantai Cenang on Langkawi featuring marine and freshwater species.</x:t>
  </x:si>
  <x:si>
    <x:t xml:space="preserve">https://www.google.com/maps/search/?api=1&amp;query=Underwater%20World%20Langkawi%2C%20Kedah%2C%20Malaysia</x:t>
  </x:si>
  <x:si>
    <x:t xml:space="preserve">A044</x:t>
  </x:si>
  <x:si>
    <x:t xml:space="preserve">MC0043</x:t>
  </x:si>
  <x:si>
    <x:t xml:space="preserve">Lembah Bujang Archaeological Museum</x:t>
  </x:si>
  <x:si>
    <x:t xml:space="preserve">Merbok</x:t>
  </x:si>
  <x:si>
    <x:t xml:space="preserve">museum; archaeology; heritage; history; culture</x:t>
  </x:si>
  <x:si>
    <x:t xml:space="preserve">A museum near Merbok housing artefacts from the ancient Bujang Valley civilisation, among the earliest known settlements in Southeast Asia.</x:t>
  </x:si>
  <x:si>
    <x:t xml:space="preserve">https://www.google.com/maps/search/?api=1&amp;query=Lembah%20Bujang%20Archaeological%20Museum%2C%20Kedah%2C%20Malaysia</x:t>
  </x:si>
  <x:si>
    <x:t xml:space="preserve">A045</x:t>
  </x:si>
  <x:si>
    <x:t xml:space="preserve">MC0044</x:t>
  </x:si>
  <x:si>
    <x:t xml:space="preserve">Gunung Jerai</x:t>
  </x:si>
  <x:si>
    <x:t xml:space="preserve">Yan</x:t>
  </x:si>
  <x:si>
    <x:t xml:space="preserve">mountain; scenery; nature; hiking; relaxation</x:t>
  </x:si>
  <x:si>
    <x:t xml:space="preserve">A prominent limestone mountain in Yan district with hilltop Hindu-Buddhist temple ruins and scenic viewpoints.</x:t>
  </x:si>
  <x:si>
    <x:t xml:space="preserve">https://www.google.com/maps/search/?api=1&amp;query=Gunung%20Jerai%2C%20Kedah%2C%20Malaysia</x:t>
  </x:si>
  <x:si>
    <x:t xml:space="preserve">A046</x:t>
  </x:si>
  <x:si>
    <x:t xml:space="preserve">MC0045</x:t>
  </x:si>
  <x:si>
    <x:t xml:space="preserve">Pekan Rabu</x:t>
  </x:si>
  <x:si>
    <x:t xml:space="preserve">Alor Setar</x:t>
  </x:si>
  <x:si>
    <x:t xml:space="preserve">market; shopping; local food; handicrafts; culture</x:t>
  </x:si>
  <x:si>
    <x:t xml:space="preserve">A well-known Wednesday market in Alor Setar selling Kedah handicrafts, local snacks and produce.</x:t>
  </x:si>
  <x:si>
    <x:t xml:space="preserve">https://www.google.com/maps/search/?api=1&amp;query=Pekan%20Rabu%2C%20Kedah%2C%20Malaysia</x:t>
  </x:si>
  <x:si>
    <x:t xml:space="preserve">A047</x:t>
  </x:si>
  <x:si>
    <x:t xml:space="preserve">MC0046</x:t>
  </x:si>
  <x:si>
    <x:t xml:space="preserve">Dayang Bunting Marble Geoforest Park</x:t>
  </x:si>
  <x:si>
    <x:t xml:space="preserve">island; lake; geopark</x:t>
  </x:si>
  <x:si>
    <x:t xml:space="preserve">An island in the Langkawi archipelago home to the freshwater Lake of the Pregnant Maiden, a popular swimming spot tied to local legend.</x:t>
  </x:si>
  <x:si>
    <x:t xml:space="preserve">https://www.google.com/maps/search/?api=1&amp;query=Dayang%20Bunting%20Marble%20Geoforest%20Park%2C%20Kedah%2C%20Malaysia</x:t>
  </x:si>
  <x:si>
    <x:t xml:space="preserve">Kedah expansion batch</x:t>
  </x:si>
  <x:si>
    <x:t xml:space="preserve">MC0047</x:t>
  </x:si>
  <x:si>
    <x:t xml:space="preserve">Telaga Tujuh Waterfalls</x:t>
  </x:si>
  <x:si>
    <x:t xml:space="preserve">waterfall; hiking; rainforest</x:t>
  </x:si>
  <x:si>
    <x:t xml:space="preserve">A seven-tiered waterfall on Langkawi with natural rock pools, popular for hiking and swimming.</x:t>
  </x:si>
  <x:si>
    <x:t xml:space="preserve">https://www.google.com/maps/search/?api=1&amp;query=Telaga%20Tujuh%20Waterfalls%2C%20Kedah%2C%20Malaysia</x:t>
  </x:si>
  <x:si>
    <x:t xml:space="preserve">MC0048</x:t>
  </x:si>
  <x:si>
    <x:t xml:space="preserve">Tanjung Rhu Beach</x:t>
  </x:si>
  <x:si>
    <x:t xml:space="preserve">beach; sunset; scenery</x:t>
  </x:si>
  <x:si>
    <x:t xml:space="preserve">A quiet, scenic beach on Langkawi's northern coast known for its sandbar and limestone cliff backdrop.</x:t>
  </x:si>
  <x:si>
    <x:t xml:space="preserve">https://www.google.com/maps/search/?api=1&amp;query=Tanjung%20Rhu%20Beach%2C%20Kedah%2C%20Malaysia</x:t>
  </x:si>
  <x:si>
    <x:t xml:space="preserve">MC0049</x:t>
  </x:si>
  <x:si>
    <x:t xml:space="preserve">Black Sand Beach</x:t>
  </x:si>
  <x:si>
    <x:t xml:space="preserve">beach; geology; village</x:t>
  </x:si>
  <x:si>
    <x:t xml:space="preserve">A beach on Langkawi known for its distinctive dark-coloured sand.</x:t>
  </x:si>
  <x:si>
    <x:t xml:space="preserve">https://www.google.com/maps/search/?api=1&amp;query=Black%20Sand%20Beach%2C%20Kedah%2C%20Malaysia</x:t>
  </x:si>
  <x:si>
    <x:t xml:space="preserve">MC0050</x:t>
  </x:si>
  <x:si>
    <x:t xml:space="preserve">Laman Padi Langkawi</x:t>
  </x:si>
  <x:si>
    <x:t xml:space="preserve">rice culture; museum; agriculture</x:t>
  </x:si>
  <x:si>
    <x:t xml:space="preserve">A rice-farming heritage park and museum on Langkawi showcasing Malaysian paddy cultivation traditions.</x:t>
  </x:si>
  <x:si>
    <x:t xml:space="preserve">https://www.google.com/maps/search/?api=1&amp;query=Laman%20Padi%20Langkawi%2C%20Kedah%2C%20Malaysia</x:t>
  </x:si>
  <x:si>
    <x:t xml:space="preserve">MC0051</x:t>
  </x:si>
  <x:si>
    <x:t xml:space="preserve">MARDI Langkawi Agro Technology Park</x:t>
  </x:si>
  <x:si>
    <x:t xml:space="preserve">An agricultural research park on Langkawi open to visitors, showcasing tropical fruit orchards and farming technology.</x:t>
  </x:si>
  <x:si>
    <x:t xml:space="preserve">https://www.google.com/maps/search/?api=1&amp;query=MARDI%20Langkawi%20Agro%20Technology%20Park%2C%20Kedah%2C%20Malaysia</x:t>
  </x:si>
  <x:si>
    <x:t xml:space="preserve">MC0052</x:t>
  </x:si>
  <x:si>
    <x:t xml:space="preserve">Zahir Mosque</x:t>
  </x:si>
  <x:si>
    <x:t xml:space="preserve">mosque; architecture; landmark</x:t>
  </x:si>
  <x:si>
    <x:t xml:space="preserve">Kedah's state mosque in Alor Setar, one of Malaysia's oldest and grandest mosques, completed in 1912.</x:t>
  </x:si>
  <x:si>
    <x:t xml:space="preserve">https://www.google.com/maps/search/?api=1&amp;query=Zahir%20Mosque%2C%20Kedah%2C%20Malaysia</x:t>
  </x:si>
  <x:si>
    <x:t xml:space="preserve">MC0053</x:t>
  </x:si>
  <x:si>
    <x:t xml:space="preserve">Balai Besar</x:t>
  </x:si>
  <x:si>
    <x:t xml:space="preserve">royal heritage; architecture</x:t>
  </x:si>
  <x:si>
    <x:t xml:space="preserve">A royal audience hall in Alor Setar built in traditional Malay architectural style, used for official ceremonies.</x:t>
  </x:si>
  <x:si>
    <x:t xml:space="preserve">https://www.google.com/maps/search/?api=1&amp;query=Balai%20Besar%2C%20Kedah%2C%20Malaysia</x:t>
  </x:si>
  <x:si>
    <x:t xml:space="preserve">MC0054</x:t>
  </x:si>
  <x:si>
    <x:t xml:space="preserve">Pekan Rabu Complex</x:t>
  </x:si>
  <x:si>
    <x:t xml:space="preserve">market; crafts; local food</x:t>
  </x:si>
  <x:si>
    <x:t xml:space="preserve">The covered market building in Alor Setar housing Pekan Rabu vendors and Kedah handicraft stalls.</x:t>
  </x:si>
  <x:si>
    <x:t xml:space="preserve">https://www.google.com/maps/search/?api=1&amp;query=Pekan%20Rabu%20Complex%2C%20Kedah%2C%20Malaysia</x:t>
  </x:si>
  <x:si>
    <x:t xml:space="preserve">MC0055</x:t>
  </x:si>
  <x:si>
    <x:t xml:space="preserve">Kedah State Museum</x:t>
  </x:si>
  <x:si>
    <x:t xml:space="preserve">state history; culture; museum</x:t>
  </x:si>
  <x:si>
    <x:t xml:space="preserve">A state museum in Alor Setar covering Kedah's history, culture and links to the Bujang Valley civilisation.</x:t>
  </x:si>
  <x:si>
    <x:t xml:space="preserve">https://www.google.com/maps/search/?api=1&amp;query=Kedah%20State%20Museum%2C%20Kedah%2C%20Malaysia</x:t>
  </x:si>
  <x:si>
    <x:t xml:space="preserve">MC0056</x:t>
  </x:si>
  <x:si>
    <x:t xml:space="preserve">Kuala Kedah Fort</x:t>
  </x:si>
  <x:si>
    <x:t xml:space="preserve">Kuala Kedah</x:t>
  </x:si>
  <x:si>
    <x:t xml:space="preserve">fort; history; river mouth</x:t>
  </x:si>
  <x:si>
    <x:t xml:space="preserve">An 18th-century fort at the mouth of the Kedah River, built to defend against Siamese and Portuguese incursions.</x:t>
  </x:si>
  <x:si>
    <x:t xml:space="preserve">https://www.google.com/maps/search/?api=1&amp;query=Kuala%20Kedah%20Fort%2C%20Kedah%2C%20Malaysia</x:t>
  </x:si>
  <x:si>
    <x:t xml:space="preserve">MC0057</x:t>
  </x:si>
  <x:si>
    <x:t xml:space="preserve">Mount Jerai</x:t>
  </x:si>
  <x:si>
    <x:t xml:space="preserve">highland; hiking; viewpoint</x:t>
  </x:si>
  <x:si>
    <x:t xml:space="preserve">A mountain in Yan district with ancient temple ruins near its summit and panoramic viewpoints over the Kedah plains.</x:t>
  </x:si>
  <x:si>
    <x:t xml:space="preserve">https://www.google.com/maps/search/?api=1&amp;query=Mount%20Jerai%2C%20Kedah%2C%20Malaysia</x:t>
  </x:si>
  <x:si>
    <x:t xml:space="preserve">MC0058</x:t>
  </x:si>
  <x:si>
    <x:t xml:space="preserve">Titi Hayun Recreational Forest</x:t>
  </x:si>
  <x:si>
    <x:t xml:space="preserve">A forest recreation area in Yan district with waterfalls and picnic spots.</x:t>
  </x:si>
  <x:si>
    <x:t xml:space="preserve">https://www.google.com/maps/search/?api=1&amp;query=Titi%20Hayun%20Recreational%20Forest%2C%20Kedah%2C%20Malaysia</x:t>
  </x:si>
  <x:si>
    <x:t xml:space="preserve">MC0059</x:t>
  </x:si>
  <x:si>
    <x:t xml:space="preserve">Pantai Murni Waterfront</x:t>
  </x:si>
  <x:si>
    <x:t xml:space="preserve">waterfront; sunset; recreation</x:t>
  </x:si>
  <x:si>
    <x:t xml:space="preserve">A coastal recreational park in Yan district.</x:t>
  </x:si>
  <x:si>
    <x:t xml:space="preserve">https://www.google.com/maps/search/?api=1&amp;query=Pantai%20Murni%20Waterfront%2C%20Kedah%2C%20Malaysia</x:t>
  </x:si>
  <x:si>
    <x:t xml:space="preserve">MC0060</x:t>
  </x:si>
  <x:si>
    <x:t xml:space="preserve">Lata Bayu Recreational Forest</x:t>
  </x:si>
  <x:si>
    <x:t xml:space="preserve">Baling</x:t>
  </x:si>
  <x:si>
    <x:t xml:space="preserve">A waterfall-based recreational forest in Baling district.</x:t>
  </x:si>
  <x:si>
    <x:t xml:space="preserve">https://www.google.com/maps/search/?api=1&amp;query=Lata%20Bayu%20Recreational%20Forest%2C%20Kedah%2C%20Malaysia</x:t>
  </x:si>
  <x:si>
    <x:t xml:space="preserve">MC0061</x:t>
  </x:si>
  <x:si>
    <x:t xml:space="preserve">Ulu Legong Hot Spring</x:t>
  </x:si>
  <x:si>
    <x:t xml:space="preserve">Wellness and Relaxation</x:t>
  </x:si>
  <x:si>
    <x:t xml:space="preserve">hot spring; bathing; village</x:t>
  </x:si>
  <x:si>
    <x:t xml:space="preserve">A natural hot spring recreational area in Baling district.</x:t>
  </x:si>
  <x:si>
    <x:t xml:space="preserve">https://www.google.com/maps/search/?api=1&amp;query=Ulu%20Legong%20Hot%20Spring%2C%20Kedah%2C%20Malaysia</x:t>
  </x:si>
  <x:si>
    <x:t xml:space="preserve">MC0062</x:t>
  </x:si>
  <x:si>
    <x:t xml:space="preserve">Beris Lake</x:t>
  </x:si>
  <x:si>
    <x:t xml:space="preserve">Sik</x:t>
  </x:si>
  <x:si>
    <x:t xml:space="preserve">lake; scenery; fishing</x:t>
  </x:si>
  <x:si>
    <x:t xml:space="preserve">A reservoir lake in Sik district used for recreation and scenic views.</x:t>
  </x:si>
  <x:si>
    <x:t xml:space="preserve">https://www.google.com/maps/search/?api=1&amp;query=Beris%20Lake%2C%20Kedah%2C%20Malaysia</x:t>
  </x:si>
  <x:si>
    <x:t xml:space="preserve">MC0063</x:t>
  </x:si>
  <x:si>
    <x:t xml:space="preserve">Sungai Sedim Tree Top Walk</x:t>
  </x:si>
  <x:si>
    <x:t xml:space="preserve">canopy walk; rainforest; river</x:t>
  </x:si>
  <x:si>
    <x:t xml:space="preserve">A canopy walkway suspended in the rainforest of Kulim, among the longest tree-top walkways in Malaysia.</x:t>
  </x:si>
  <x:si>
    <x:t xml:space="preserve">https://www.google.com/maps/search/?api=1&amp;query=Sungai%20Sedim%20Tree%20Top%20Walk%2C%20Kedah%2C%20Malaysia</x:t>
  </x:si>
  <x:si>
    <x:t xml:space="preserve">MC0064</x:t>
  </x:si>
  <x:si>
    <x:t xml:space="preserve">Pedu Lake</x:t>
  </x:si>
  <x:si>
    <x:t xml:space="preserve">Padang Terap</x:t>
  </x:si>
  <x:si>
    <x:t xml:space="preserve">lake; forest; fishing</x:t>
  </x:si>
  <x:si>
    <x:t xml:space="preserve">A large reservoir lake in Padang Terap district known for fishing and eco-tourism chalets.</x:t>
  </x:si>
  <x:si>
    <x:t xml:space="preserve">https://www.google.com/maps/search/?api=1&amp;query=Pedu%20Lake%2C%20Kedah%2C%20Malaysia</x:t>
  </x:si>
  <x:si>
    <x:t xml:space="preserve">MC0065</x:t>
  </x:si>
  <x:si>
    <x:t xml:space="preserve">Taman Negara Kuala Koh</x:t>
  </x:si>
  <x:si>
    <x:t xml:space="preserve">Kelantan</x:t>
  </x:si>
  <x:si>
    <x:t xml:space="preserve">Gua Musang</x:t>
  </x:si>
  <x:si>
    <x:t xml:space="preserve">National park; tropical rainforest; biodiversity; jungle trekking; hiking; birdwatching; wildlife; fishing; rivers; canopy walkway; night walks; kayaking; rafting; tubing; canoeing; boat trips; camping; photography; research; nature education</x:t>
  </x:si>
  <x:si>
    <x:t xml:space="preserve">The Kelantan gateway to Taman Negara, located in Gua Musang district within the Bukit Hantu and Lebir forest reserves. Its tropical rainforest, rivers and trails support birdwatching, fishing, jungle trekking, canopy-walk, boating and night-walk experiences, with visitor facilities at Kuala Koh.</x:t>
  </x:si>
  <x:si>
    <x:t xml:space="preserve">https://www.malaysia.travel/explore/back-to-nature-at-taman-negara-kuala-koh ; https://www.wildlife.gov.my/en/taman-negara-kelantan-kuala-koh/ ; https://mdgm.kelantan.gov.my/index.php/pelawat/destinasi-menarik/tempat-pelancongan/194-taman-negara-kuala-koh ; https://www.wildlife.gov.my/soalan-lazim-ekopelancongan/</x:t>
  </x:si>
  <x:si>
    <x:t xml:space="preserve">https://ebrochures.malaysia.travel/en/malaysia-travel-guide/kelantan/</x:t>
  </x:si>
  <x:si>
    <x:t xml:space="preserve">A013</x:t>
  </x:si>
  <x:si>
    <x:t xml:space="preserve">MC0066</x:t>
  </x:si>
  <x:si>
    <x:t xml:space="preserve">Siti Khadijah Market</x:t>
  </x:si>
  <x:si>
    <x:t xml:space="preserve">Kota Bharu</x:t>
  </x:si>
  <x:si>
    <x:t xml:space="preserve">market; local food; shopping; culture; handicrafts</x:t>
  </x:si>
  <x:si>
    <x:t xml:space="preserve">Kota Bharu's iconic central market, known as the Women's Market for its many female traders selling produce, textiles and handicrafts.</x:t>
  </x:si>
  <x:si>
    <x:t xml:space="preserve">https://www.google.com/maps/search/?api=1&amp;query=Siti%20Khadijah%20Market%2C%20Kelantan%2C%20Malaysia</x:t>
  </x:si>
  <x:si>
    <x:t xml:space="preserve">A048</x:t>
  </x:si>
  <x:si>
    <x:t xml:space="preserve">MC0067</x:t>
  </x:si>
  <x:si>
    <x:t xml:space="preserve">Istana Jahar</x:t>
  </x:si>
  <x:si>
    <x:t xml:space="preserve">museum; royal heritage; culture; history; architecture</x:t>
  </x:si>
  <x:si>
    <x:t xml:space="preserve">A former royal palace in Kota Bharu, now the Royal Customs Museum, showcasing Kelantanese Malay ceremonial traditions.</x:t>
  </x:si>
  <x:si>
    <x:t xml:space="preserve">https://www.google.com/maps/search/?api=1&amp;query=Istana%20Jahar%2C%20Kelantan%2C%20Malaysia</x:t>
  </x:si>
  <x:si>
    <x:t xml:space="preserve">A049</x:t>
  </x:si>
  <x:si>
    <x:t xml:space="preserve">MC0068</x:t>
  </x:si>
  <x:si>
    <x:t xml:space="preserve">Handicraft Village and Craft Museum</x:t>
  </x:si>
  <x:si>
    <x:t xml:space="preserve">handicrafts; museum; culture; shopping; heritage</x:t>
  </x:si>
  <x:si>
    <x:t xml:space="preserve">A cluster of workshops and a museum in Kota Bharu showcasing Kelantanese crafts such as batik, songket and wau kite-making.</x:t>
  </x:si>
  <x:si>
    <x:t xml:space="preserve">https://www.google.com/maps/search/?api=1&amp;query=Handicraft%20Village%20and%20Craft%20Museum%2C%20Kelantan%2C%20Malaysia</x:t>
  </x:si>
  <x:si>
    <x:t xml:space="preserve">A050</x:t>
  </x:si>
  <x:si>
    <x:t xml:space="preserve">MC0069</x:t>
  </x:si>
  <x:si>
    <x:t xml:space="preserve">Wat Photivihan</x:t>
  </x:si>
  <x:si>
    <x:t xml:space="preserve">Tumpat</x:t>
  </x:si>
  <x:si>
    <x:t xml:space="preserve">temple; culture; religion; architecture; photography</x:t>
  </x:si>
  <x:si>
    <x:t xml:space="preserve">A Thai Buddhist temple in Tumpat district home to one of Southeast Asia's largest reclining Buddha statues.</x:t>
  </x:si>
  <x:si>
    <x:t xml:space="preserve">https://www.google.com/maps/search/?api=1&amp;query=Wat%20Photivihan%2C%20Kelantan%2C%20Malaysia</x:t>
  </x:si>
  <x:si>
    <x:t xml:space="preserve">A051</x:t>
  </x:si>
  <x:si>
    <x:t xml:space="preserve">MC0070</x:t>
  </x:si>
  <x:si>
    <x:t xml:space="preserve">Pantai Cahaya Bulan</x:t>
  </x:si>
  <x:si>
    <x:t xml:space="preserve">beach; relaxation; food; family; scenery</x:t>
  </x:si>
  <x:si>
    <x:t xml:space="preserve">A well-known beach near Kota Bharu, popularly called Moonlight Beach, lined with casuarina trees.</x:t>
  </x:si>
  <x:si>
    <x:t xml:space="preserve">https://www.google.com/maps/search/?api=1&amp;query=Pantai%20Cahaya%20Bulan%2C%20Kelantan%2C%20Malaysia</x:t>
  </x:si>
  <x:si>
    <x:t xml:space="preserve">A052</x:t>
  </x:si>
  <x:si>
    <x:t xml:space="preserve">MC0071</x:t>
  </x:si>
  <x:si>
    <x:t xml:space="preserve">Pantai Irama</x:t>
  </x:si>
  <x:si>
    <x:t xml:space="preserve">Bachok</x:t>
  </x:si>
  <x:si>
    <x:t xml:space="preserve">beach; relaxation; family; scenery; picnic</x:t>
  </x:si>
  <x:si>
    <x:t xml:space="preserve">A beach in Bachok district known for stretches of rocky coastline and coastal scenery.</x:t>
  </x:si>
  <x:si>
    <x:t xml:space="preserve">https://www.google.com/maps/search/?api=1&amp;query=Pantai%20Irama%2C%20Kelantan%2C%20Malaysia</x:t>
  </x:si>
  <x:si>
    <x:t xml:space="preserve">A053</x:t>
  </x:si>
  <x:si>
    <x:t xml:space="preserve">MC0072</x:t>
  </x:si>
  <x:si>
    <x:t xml:space="preserve">Gunung Stong State Park</x:t>
  </x:si>
  <x:si>
    <x:t xml:space="preserve">Dabong</x:t>
  </x:si>
  <x:si>
    <x:t xml:space="preserve">hiking; waterfall; forest; camping; adventure; nature</x:t>
  </x:si>
  <x:si>
    <x:t xml:space="preserve">A state park in Dabong district with waterfalls, hot springs and a multi-day hiking trail up Gunung Stong.</x:t>
  </x:si>
  <x:si>
    <x:t xml:space="preserve">https://www.google.com/maps/search/?api=1&amp;query=Gunung%20Stong%20State%20Park%2C%20Kelantan%2C%20Malaysia</x:t>
  </x:si>
  <x:si>
    <x:t xml:space="preserve">A054</x:t>
  </x:si>
  <x:si>
    <x:t xml:space="preserve">MC0073</x:t>
  </x:si>
  <x:si>
    <x:t xml:space="preserve">Min House Camp</x:t>
  </x:si>
  <x:si>
    <x:t xml:space="preserve">nature; river; fireflies; local culture; relaxation</x:t>
  </x:si>
  <x:si>
    <x:t xml:space="preserve">An eco-tourism camp near Kota Bharu offering rural riverside stays and outdoor activities.</x:t>
  </x:si>
  <x:si>
    <x:t xml:space="preserve">https://www.google.com/maps/search/?api=1&amp;query=Min%20House%20Camp%2C%20Kelantan%2C%20Malaysia</x:t>
  </x:si>
  <x:si>
    <x:t xml:space="preserve">A055</x:t>
  </x:si>
  <x:si>
    <x:t xml:space="preserve">MC0074</x:t>
  </x:si>
  <x:si>
    <x:t xml:space="preserve">Muhammadi Mosque</x:t>
  </x:si>
  <x:si>
    <x:t xml:space="preserve">mosque; religion; heritage; architecture; culture</x:t>
  </x:si>
  <x:si>
    <x:t xml:space="preserve">The old state mosque of Kelantan in Kota Bharu, among the state's oldest mosques.</x:t>
  </x:si>
  <x:si>
    <x:t xml:space="preserve">https://www.google.com/maps/search/?api=1&amp;query=Muhammadi%20Mosque%2C%20Kelantan%2C%20Malaysia</x:t>
  </x:si>
  <x:si>
    <x:t xml:space="preserve">A056</x:t>
  </x:si>
  <x:si>
    <x:t xml:space="preserve">MC0075</x:t>
  </x:si>
  <x:si>
    <x:t xml:space="preserve">Bank Kerapu War Museum</x:t>
  </x:si>
  <x:si>
    <x:t xml:space="preserve">war history; museum; heritage</x:t>
  </x:si>
  <x:si>
    <x:t xml:space="preserve">A museum in a former bank building in Kota Bharu documenting the Japanese occupation of Kelantan during the Second World War.</x:t>
  </x:si>
  <x:si>
    <x:t xml:space="preserve">https://www.google.com/maps/search/?api=1&amp;query=Bank%20Kerapu%20War%20Museum%2C%20Kelantan%2C%20Malaysia</x:t>
  </x:si>
  <x:si>
    <x:t xml:space="preserve">Kelantan expansion batch</x:t>
  </x:si>
  <x:si>
    <x:t xml:space="preserve">MC0076</x:t>
  </x:si>
  <x:si>
    <x:t xml:space="preserve">Kampung Kraftangan</x:t>
  </x:si>
  <x:si>
    <x:t xml:space="preserve">handicraft; demonstrations; shopping</x:t>
  </x:si>
  <x:si>
    <x:t xml:space="preserve">A crafts village and small museum in Kota Bharu showcasing traditional Kelantanese arts.</x:t>
  </x:si>
  <x:si>
    <x:t xml:space="preserve">https://www.google.com/maps/search/?api=1&amp;query=Kampung%20Kraftangan%2C%20Kelantan%2C%20Malaysia</x:t>
  </x:si>
  <x:si>
    <x:t xml:space="preserve">MC0077</x:t>
  </x:si>
  <x:si>
    <x:t xml:space="preserve">Wat Machimmaram</x:t>
  </x:si>
  <x:si>
    <x:t xml:space="preserve">Buddhist temple; statue; culture</x:t>
  </x:si>
  <x:si>
    <x:t xml:space="preserve">A Thai Buddhist temple in Tumpat district.</x:t>
  </x:si>
  <x:si>
    <x:t xml:space="preserve">https://www.google.com/maps/search/?api=1&amp;query=Wat%20Machimmaram%2C%20Kelantan%2C%20Malaysia</x:t>
  </x:si>
  <x:si>
    <x:t xml:space="preserve">MC0078</x:t>
  </x:si>
  <x:si>
    <x:t xml:space="preserve">Pantai Sri Tujuh</x:t>
  </x:si>
  <x:si>
    <x:t xml:space="preserve">beach; lagoon; festival</x:t>
  </x:si>
  <x:si>
    <x:t xml:space="preserve">A coastal recreational beach area in Tumpat district near the Kelantan-Thailand border.</x:t>
  </x:si>
  <x:si>
    <x:t xml:space="preserve">https://www.google.com/maps/search/?api=1&amp;query=Pantai%20Sri%20Tujuh%2C%20Kelantan%2C%20Malaysia</x:t>
  </x:si>
  <x:si>
    <x:t xml:space="preserve">MC0079</x:t>
  </x:si>
  <x:si>
    <x:t xml:space="preserve">Pantai Senok</x:t>
  </x:si>
  <x:si>
    <x:t xml:space="preserve">casuarina; beach; photography</x:t>
  </x:si>
  <x:si>
    <x:t xml:space="preserve">A beach in Bachok district popular with local visitors.</x:t>
  </x:si>
  <x:si>
    <x:t xml:space="preserve">https://www.google.com/maps/search/?api=1&amp;query=Pantai%20Senok%2C%20Kelantan%2C%20Malaysia</x:t>
  </x:si>
  <x:si>
    <x:t xml:space="preserve">MC0080</x:t>
  </x:si>
  <x:si>
    <x:t xml:space="preserve">Jeram Linang</x:t>
  </x:si>
  <x:si>
    <x:t xml:space="preserve">Pasir Puteh</x:t>
  </x:si>
  <x:si>
    <x:t xml:space="preserve">A waterfall recreational spot in Pasir Puteh district.</x:t>
  </x:si>
  <x:si>
    <x:t xml:space="preserve">https://www.google.com/maps/search/?api=1&amp;query=Jeram%20Linang%2C%20Kelantan%2C%20Malaysia</x:t>
  </x:si>
  <x:si>
    <x:t xml:space="preserve">MC0081</x:t>
  </x:si>
  <x:si>
    <x:t xml:space="preserve">Tok Bali Beach</x:t>
  </x:si>
  <x:si>
    <x:t xml:space="preserve">beach; fishing; sunset</x:t>
  </x:si>
  <x:si>
    <x:t xml:space="preserve">A fishing-village beach in Pasir Puteh district known for its jetty and seafood.</x:t>
  </x:si>
  <x:si>
    <x:t xml:space="preserve">https://www.google.com/maps/search/?api=1&amp;query=Tok%20Bali%20Beach%2C%20Kelantan%2C%20Malaysia</x:t>
  </x:si>
  <x:si>
    <x:t xml:space="preserve">MC0082</x:t>
  </x:si>
  <x:si>
    <x:t xml:space="preserve">Jelawang Waterfall</x:t>
  </x:si>
  <x:si>
    <x:t xml:space="preserve">waterfall; hiking; scenery</x:t>
  </x:si>
  <x:si>
    <x:t xml:space="preserve">A multi-tiered waterfall within Gunung Stong State Park in Dabong district.</x:t>
  </x:si>
  <x:si>
    <x:t xml:space="preserve">https://www.google.com/maps/search/?api=1&amp;query=Jelawang%20Waterfall%2C%20Kelantan%2C%20Malaysia</x:t>
  </x:si>
  <x:si>
    <x:t xml:space="preserve">MC0083</x:t>
  </x:si>
  <x:si>
    <x:t xml:space="preserve">Gua Musang Railway Heritage Precinct</x:t>
  </x:si>
  <x:si>
    <x:t xml:space="preserve">railway; old town; limestone</x:t>
  </x:si>
  <x:si>
    <x:t xml:space="preserve">A railway heritage precinct centred on Gua Musang's historic train station.</x:t>
  </x:si>
  <x:si>
    <x:t xml:space="preserve">https://www.google.com/maps/search/?api=1&amp;query=Gua%20Musang%20Railway%20Heritage%20Precinct%2C%20Kelantan%2C%20Malaysia</x:t>
  </x:si>
  <x:si>
    <x:t xml:space="preserve">MC0084</x:t>
  </x:si>
  <x:si>
    <x:t xml:space="preserve">Ethnobotany Park</x:t>
  </x:si>
  <x:si>
    <x:t xml:space="preserve">plants; education; park</x:t>
  </x:si>
  <x:si>
    <x:t xml:space="preserve">A botanical park in Gua Musang district showcasing regional plant species.</x:t>
  </x:si>
  <x:si>
    <x:t xml:space="preserve">https://www.google.com/maps/search/?api=1&amp;query=Ethnobotany%20Park%2C%20Kelantan%2C%20Malaysia</x:t>
  </x:si>
  <x:si>
    <x:t xml:space="preserve">MC0085</x:t>
  </x:si>
  <x:si>
    <x:t xml:space="preserve">Pergau Lake</x:t>
  </x:si>
  <x:si>
    <x:t xml:space="preserve">Jeli</x:t>
  </x:si>
  <x:si>
    <x:t xml:space="preserve">lake; countryside; fishing</x:t>
  </x:si>
  <x:si>
    <x:t xml:space="preserve">A hydroelectric reservoir lake in Jeli district.</x:t>
  </x:si>
  <x:si>
    <x:t xml:space="preserve">https://www.google.com/maps/search/?api=1&amp;query=Pergau%20Lake%2C%20Kelantan%2C%20Malaysia</x:t>
  </x:si>
  <x:si>
    <x:t xml:space="preserve">MC0086</x:t>
  </x:si>
  <x:si>
    <x:t xml:space="preserve">Lata Janggut</x:t>
  </x:si>
  <x:si>
    <x:t xml:space="preserve">A waterfall in Jeli district.</x:t>
  </x:si>
  <x:si>
    <x:t xml:space="preserve">https://www.google.com/maps/search/?api=1&amp;query=Lata%20Janggut%2C%20Kelantan%2C%20Malaysia</x:t>
  </x:si>
  <x:si>
    <x:t xml:space="preserve">MC0087</x:t>
  </x:si>
  <x:si>
    <x:t xml:space="preserve">Bukit Bunga Border Market</x:t>
  </x:si>
  <x:si>
    <x:t xml:space="preserve">Tanah Merah</x:t>
  </x:si>
  <x:si>
    <x:t xml:space="preserve">border market; local goods; food</x:t>
  </x:si>
  <x:si>
    <x:t xml:space="preserve">A border market in Tanah Merah near the Malaysia-Thailand crossing, popular for cross-border shopping.</x:t>
  </x:si>
  <x:si>
    <x:t xml:space="preserve">https://www.google.com/maps/search/?api=1&amp;query=Bukit%20Bunga%20Border%20Market%2C%20Kelantan%2C%20Malaysia</x:t>
  </x:si>
  <x:si>
    <x:t xml:space="preserve">MC0088</x:t>
  </x:si>
  <x:si>
    <x:t xml:space="preserve">Lata Rek</x:t>
  </x:si>
  <x:si>
    <x:t xml:space="preserve">Kuala Krai</x:t>
  </x:si>
  <x:si>
    <x:t xml:space="preserve">waterfall; village; recreation</x:t>
  </x:si>
  <x:si>
    <x:t xml:space="preserve">A waterfall recreational area in Kuala Krai district.</x:t>
  </x:si>
  <x:si>
    <x:t xml:space="preserve">https://www.google.com/maps/search/?api=1&amp;query=Lata%20Rek%2C%20Kelantan%2C%20Malaysia</x:t>
  </x:si>
  <x:si>
    <x:t xml:space="preserve">MC0089</x:t>
  </x:si>
  <x:si>
    <x:t xml:space="preserve">Pantai Klebang</x:t>
  </x:si>
  <x:si>
    <x:t xml:space="preserve">Melaka</x:t>
  </x:si>
  <x:si>
    <x:t xml:space="preserve">Melaka Tengah</x:t>
  </x:si>
  <x:si>
    <x:t xml:space="preserve">Beach; sunset; relaxation; photography; picnicking; horse riding; ATV; kite flying; bubbles; food stalls; local snacks; family recreation; outdoor leisure</x:t>
  </x:si>
  <x:si>
    <x:t xml:space="preserve">A relaxing coastal attraction in Klebang, Melaka, known for its shady beachfront setting and sunset views. Visitors can unwind by the beach, take photographs, rent chairs and tables, try horse riding or ATV activities, buy kites and bubbles, and sample local snacks from nearby food stalls.</x:t>
  </x:si>
  <x:si>
    <x:t xml:space="preserve">https://www.malaysia.travel/explore/pantai-klebang ; https://www.visitmelaka.com.my/index.php/nature-adventure/sports/66-horse-ride ; https://pdtmt.gov.my/1/page.php?s=destinasi-menarik</x:t>
  </x:si>
  <x:si>
    <x:t xml:space="preserve">https://ebrochures.malaysia.travel/en/malaysia-travel-guide/melaka/</x:t>
  </x:si>
  <x:si>
    <x:t xml:space="preserve">A008</x:t>
  </x:si>
  <x:si>
    <x:t xml:space="preserve">MC0090</x:t>
  </x:si>
  <x:si>
    <x:t xml:space="preserve">Pengkalan Balak</x:t>
  </x:si>
  <x:si>
    <x:t xml:space="preserve">Alor Gajah</x:t>
  </x:si>
  <x:si>
    <x:t xml:space="preserve">Beach; swimming; sunset; fishing; picnicking; camping; beach walks; fishing villages; seafood; family recreation; chalets; resorts; photography; relaxation</x:t>
  </x:si>
  <x:si>
    <x:t xml:space="preserve">A popular beach in the Alor Gajah district of Melaka, known for its broad coastline, peaceful fishing-village surroundings and sunset views. Visitors come for swimming, fishing, picnics, camping, long beach walks and seafood, with locally operated chalets and resorts available nearby.</x:t>
  </x:si>
  <x:si>
    <x:t xml:space="preserve">https://www.malaysia.travel/explore/pengkalan-balak ; https://www.mpag.gov.my/pantai-pengkalan-balak/</x:t>
  </x:si>
  <x:si>
    <x:t xml:space="preserve">A009</x:t>
  </x:si>
  <x:si>
    <x:t xml:space="preserve">MC0091</x:t>
  </x:si>
  <x:si>
    <x:t xml:space="preserve">A Famosa</x:t>
  </x:si>
  <x:si>
    <x:t xml:space="preserve">Melaka City</x:t>
  </x:si>
  <x:si>
    <x:t xml:space="preserve">fort; heritage; history; architecture; photography</x:t>
  </x:si>
  <x:si>
    <x:t xml:space="preserve">Portuguese fortress ruins in Melaka City, built in 1511, with the Porta de Santiago gate the only substantial structure still standing.</x:t>
  </x:si>
  <x:si>
    <x:t xml:space="preserve">https://www.google.com/maps/search/?api=1&amp;query=A%20Famosa%2C%20Melaka%2C%20Malaysia</x:t>
  </x:si>
  <x:si>
    <x:t xml:space="preserve">A057</x:t>
  </x:si>
  <x:si>
    <x:t xml:space="preserve">MC0092</x:t>
  </x:si>
  <x:si>
    <x:t xml:space="preserve">The Stadthuys</x:t>
  </x:si>
  <x:si>
    <x:t xml:space="preserve">museum; colonial heritage; history; architecture</x:t>
  </x:si>
  <x:si>
    <x:t xml:space="preserve">A Dutch colonial town hall in Melaka's Red Square, built in the 17th century and considered one of the oldest Dutch buildings in the East.</x:t>
  </x:si>
  <x:si>
    <x:t xml:space="preserve">https://www.google.com/maps/search/?api=1&amp;query=The%20Stadthuys%2C%20Melaka%2C%20Malaysia</x:t>
  </x:si>
  <x:si>
    <x:t xml:space="preserve">A058</x:t>
  </x:si>
  <x:si>
    <x:t xml:space="preserve">MC0093</x:t>
  </x:si>
  <x:si>
    <x:t xml:space="preserve">Jonker Walk</x:t>
  </x:si>
  <x:si>
    <x:t xml:space="preserve">night market; shopping; local food; heritage; culture</x:t>
  </x:si>
  <x:si>
    <x:t xml:space="preserve">Melaka's historic Chinatown street, famous for antique shops, cafes and a lively weekend night market.</x:t>
  </x:si>
  <x:si>
    <x:t xml:space="preserve">https://www.google.com/maps/search/?api=1&amp;query=Jonker%20Walk%2C%20Melaka%2C%20Malaysia</x:t>
  </x:si>
  <x:si>
    <x:t xml:space="preserve">A059</x:t>
  </x:si>
  <x:si>
    <x:t xml:space="preserve">MC0094</x:t>
  </x:si>
  <x:si>
    <x:t xml:space="preserve">Melaka River Cruise</x:t>
  </x:si>
  <x:si>
    <x:t xml:space="preserve">river cruise; sightseeing; relaxation; heritage; night activity</x:t>
  </x:si>
  <x:si>
    <x:t xml:space="preserve">A scenic boat tour along the Melaka River, passing riverside murals, old warehouses and heritage bridges.</x:t>
  </x:si>
  <x:si>
    <x:t xml:space="preserve">https://www.google.com/maps/search/?api=1&amp;query=Melaka%20River%20Cruise%2C%20Melaka%2C%20Malaysia</x:t>
  </x:si>
  <x:si>
    <x:t xml:space="preserve">A060</x:t>
  </x:si>
  <x:si>
    <x:t xml:space="preserve">MC0095</x:t>
  </x:si>
  <x:si>
    <x:t xml:space="preserve">Melaka Sultanate Palace Museum</x:t>
  </x:si>
  <x:si>
    <x:t xml:space="preserve">museum; Malay history; culture; heritage</x:t>
  </x:si>
  <x:si>
    <x:t xml:space="preserve">A reconstruction of the 15th-century Melaka Sultanate's wooden palace, now a museum on Malay royal history.</x:t>
  </x:si>
  <x:si>
    <x:t xml:space="preserve">https://www.google.com/maps/search/?api=1&amp;query=Melaka%20Sultanate%20Palace%20Museum%2C%20Melaka%2C%20Malaysia</x:t>
  </x:si>
  <x:si>
    <x:t xml:space="preserve">A061</x:t>
  </x:si>
  <x:si>
    <x:t xml:space="preserve">MC0096</x:t>
  </x:si>
  <x:si>
    <x:t xml:space="preserve">Baba and Nyonya Heritage Museum</x:t>
  </x:si>
  <x:si>
    <x:t xml:space="preserve">Peranakan culture; museum; heritage; history</x:t>
  </x:si>
  <x:si>
    <x:t xml:space="preserve">A preserved Peranakan townhouse museum in Melaka showcasing Baba-Nyonya (Straits Chinese) heritage, furnishings and lifestyle.</x:t>
  </x:si>
  <x:si>
    <x:t xml:space="preserve">https://www.google.com/maps/search/?api=1&amp;query=Baba%20and%20Nyonya%20Heritage%20Museum%2C%20Melaka%2C%20Malaysia</x:t>
  </x:si>
  <x:si>
    <x:t xml:space="preserve">A062</x:t>
  </x:si>
  <x:si>
    <x:t xml:space="preserve">MC0097</x:t>
  </x:si>
  <x:si>
    <x:t xml:space="preserve">Cheng Hoon Teng Temple</x:t>
  </x:si>
  <x:si>
    <x:t xml:space="preserve">temple; culture; heritage; architecture</x:t>
  </x:si>
  <x:si>
    <x:t xml:space="preserve">Malaysia's oldest functioning Chinese temple, built in Melaka in 1645 in traditional southern Chinese architectural style.</x:t>
  </x:si>
  <x:si>
    <x:t xml:space="preserve">https://www.google.com/maps/search/?api=1&amp;query=Cheng%20Hoon%20Teng%20Temple%2C%20Melaka%2C%20Malaysia</x:t>
  </x:si>
  <x:si>
    <x:t xml:space="preserve">A063</x:t>
  </x:si>
  <x:si>
    <x:t xml:space="preserve">MC0098</x:t>
  </x:si>
  <x:si>
    <x:t xml:space="preserve">Melaka Botanical Garden</x:t>
  </x:si>
  <x:si>
    <x:t xml:space="preserve">Ayer Keroh</x:t>
  </x:si>
  <x:si>
    <x:t xml:space="preserve">garden; nature; walking; relaxation; family</x:t>
  </x:si>
  <x:si>
    <x:t xml:space="preserve">A botanical park in Ayer Keroh, Melaka, with landscaped gardens and recreational facilities.</x:t>
  </x:si>
  <x:si>
    <x:t xml:space="preserve">https://www.google.com/maps/search/?api=1&amp;query=Melaka%20Botanical%20Garden%2C%20Melaka%2C%20Malaysia</x:t>
  </x:si>
  <x:si>
    <x:t xml:space="preserve">A064</x:t>
  </x:si>
  <x:si>
    <x:t xml:space="preserve">MC0099</x:t>
  </x:si>
  <x:si>
    <x:t xml:space="preserve">Stadthuys</x:t>
  </x:si>
  <x:si>
    <x:t xml:space="preserve">Dutch heritage; museum; architecture</x:t>
  </x:si>
  <x:si>
    <x:t xml:space="preserve">A Dutch colonial town hall in Melaka's Red Square, one of the oldest Dutch buildings in the East, built in the 17th century.</x:t>
  </x:si>
  <x:si>
    <x:t xml:space="preserve">https://www.google.com/maps/search/?api=1&amp;query=Stadthuys%2C%20Melaka%2C%20Malaysia</x:t>
  </x:si>
  <x:si>
    <x:t xml:space="preserve">Melaka expansion batch</x:t>
  </x:si>
  <x:si>
    <x:t xml:space="preserve">MC0100</x:t>
  </x:si>
  <x:si>
    <x:t xml:space="preserve">Christ Church Melaka</x:t>
  </x:si>
  <x:si>
    <x:t xml:space="preserve">church; heritage; architecture</x:t>
  </x:si>
  <x:si>
    <x:t xml:space="preserve">A pink-painted Anglican church in Melaka built by the Dutch in 1753, among the oldest churches in Malaysia.</x:t>
  </x:si>
  <x:si>
    <x:t xml:space="preserve">https://www.google.com/maps/search/?api=1&amp;query=Christ%20Church%20Melaka%2C%20Melaka%2C%20Malaysia</x:t>
  </x:si>
  <x:si>
    <x:t xml:space="preserve">MC0101</x:t>
  </x:si>
  <x:si>
    <x:t xml:space="preserve">St Paul's Hill and Church Ruins</x:t>
  </x:si>
  <x:si>
    <x:t xml:space="preserve">ruins; hill; history</x:t>
  </x:si>
  <x:si>
    <x:t xml:space="preserve">Hilltop ruins of a 16th-century Portuguese chapel in Melaka, later used by the Dutch as a burial ground, offering views over the city.</x:t>
  </x:si>
  <x:si>
    <x:t xml:space="preserve">https://www.google.com/maps/search/?api=1&amp;query=St%20Paul's%20Hill%20and%20Church%20Ruins%2C%20Melaka%2C%20Malaysia</x:t>
  </x:si>
  <x:si>
    <x:t xml:space="preserve">MC0102</x:t>
  </x:si>
  <x:si>
    <x:t xml:space="preserve">Kampung Kling Mosque</x:t>
  </x:si>
  <x:si>
    <x:t xml:space="preserve">An 18th-century mosque in Melaka blending Sumatran, Chinese and colonial architectural styles.</x:t>
  </x:si>
  <x:si>
    <x:t xml:space="preserve">https://www.google.com/maps/search/?api=1&amp;query=Kampung%20Kling%20Mosque%2C%20Melaka%2C%20Malaysia</x:t>
  </x:si>
  <x:si>
    <x:t xml:space="preserve">MC0103</x:t>
  </x:si>
  <x:si>
    <x:t xml:space="preserve">Muzium Kapal Selam</x:t>
  </x:si>
  <x:si>
    <x:t xml:space="preserve">submarine; maritime; family</x:t>
  </x:si>
  <x:si>
    <x:t xml:space="preserve">A museum in Melaka built around a decommissioned Royal Malaysian Navy submarine, open for public tours.</x:t>
  </x:si>
  <x:si>
    <x:t xml:space="preserve">https://www.google.com/maps/search/?api=1&amp;query=Muzium%20Kapal%20Selam%2C%20Melaka%2C%20Malaysia</x:t>
  </x:si>
  <x:si>
    <x:t xml:space="preserve">MC0104</x:t>
  </x:si>
  <x:si>
    <x:t xml:space="preserve">Melaka River Walk</x:t>
  </x:si>
  <x:si>
    <x:t xml:space="preserve">riverfront; street art; night walk</x:t>
  </x:si>
  <x:si>
    <x:t xml:space="preserve">A landscaped riverside promenade in Melaka lined with cafes and colourful heritage buildings.</x:t>
  </x:si>
  <x:si>
    <x:t xml:space="preserve">https://www.google.com/maps/search/?api=1&amp;query=Melaka%20River%20Walk%2C%20Melaka%2C%20Malaysia</x:t>
  </x:si>
  <x:si>
    <x:t xml:space="preserve">MC0105</x:t>
  </x:si>
  <x:si>
    <x:t xml:space="preserve">Portuguese Settlement</x:t>
  </x:si>
  <x:si>
    <x:t xml:space="preserve">community; food; heritage</x:t>
  </x:si>
  <x:si>
    <x:t xml:space="preserve">A coastal enclave of Melaka's Kristang (Portuguese-Eurasian) community, known for its seafood square and cultural festivals.</x:t>
  </x:si>
  <x:si>
    <x:t xml:space="preserve">https://www.google.com/maps/search/?api=1&amp;query=Portuguese%20Settlement%2C%20Melaka%2C%20Malaysia</x:t>
  </x:si>
  <x:si>
    <x:t xml:space="preserve">MC0106</x:t>
  </x:si>
  <x:si>
    <x:t xml:space="preserve">Melaka Butterfly and Reptile Sanctuary</x:t>
  </x:si>
  <x:si>
    <x:t xml:space="preserve">butterflies; reptiles; family</x:t>
  </x:si>
  <x:si>
    <x:t xml:space="preserve">A wildlife park in Ayer Keroh, Melaka, housing butterflies, reptiles and insects in landscaped enclosures.</x:t>
  </x:si>
  <x:si>
    <x:t xml:space="preserve">https://www.google.com/maps/search/?api=1&amp;query=Melaka%20Butterfly%20and%20Reptile%20Sanctuary%2C%20Melaka%2C%20Malaysia</x:t>
  </x:si>
  <x:si>
    <x:t xml:space="preserve">MC0107</x:t>
  </x:si>
  <x:si>
    <x:t xml:space="preserve">Mini Malaysia and ASEAN Cultural Park</x:t>
  </x:si>
  <x:si>
    <x:t xml:space="preserve">traditional houses; culture; family</x:t>
  </x:si>
  <x:si>
    <x:t xml:space="preserve">A cultural theme park in Ayer Keroh, Melaka, featuring miniature traditional houses representing Malaysia's states and ASEAN nations.</x:t>
  </x:si>
  <x:si>
    <x:t xml:space="preserve">https://www.google.com/maps/search/?api=1&amp;query=Mini%20Malaysia%20and%20ASEAN%20Cultural%20Park%2C%20Melaka%2C%20Malaysia</x:t>
  </x:si>
  <x:si>
    <x:t xml:space="preserve">MC0108</x:t>
  </x:si>
  <x:si>
    <x:t xml:space="preserve">Melaka Planetarium Adventure Science Centre</x:t>
  </x:si>
  <x:si>
    <x:t xml:space="preserve">science; astronomy; education</x:t>
  </x:si>
  <x:si>
    <x:t xml:space="preserve">A science centre in Ayer Keroh, Melaka, with a planetarium and interactive exhibits.</x:t>
  </x:si>
  <x:si>
    <x:t xml:space="preserve">https://www.google.com/maps/search/?api=1&amp;query=Melaka%20Planetarium%20Adventure%20Science%20Centre%2C%20Melaka%2C%20Malaysia</x:t>
  </x:si>
  <x:si>
    <x:t xml:space="preserve">MC0109</x:t>
  </x:si>
  <x:si>
    <x:t xml:space="preserve">A'Famosa Safari Wonderland</x:t>
  </x:si>
  <x:si>
    <x:t xml:space="preserve">safari; animals; family</x:t>
  </x:si>
  <x:si>
    <x:t xml:space="preserve">A wildlife and safari park within the A'Famosa Resort in Alor Gajah, Melaka.</x:t>
  </x:si>
  <x:si>
    <x:t xml:space="preserve">https://www.google.com/maps/search/?api=1&amp;query=A'Famosa%20Safari%20Wonderland%2C%20Melaka%2C%20Malaysia</x:t>
  </x:si>
  <x:si>
    <x:t xml:space="preserve">MC0110</x:t>
  </x:si>
  <x:si>
    <x:t xml:space="preserve">Freeport A'Famosa Outlet</x:t>
  </x:si>
  <x:si>
    <x:t xml:space="preserve">outlet; shopping; dining</x:t>
  </x:si>
  <x:si>
    <x:t xml:space="preserve">An outlet shopping mall within the A'Famosa Resort complex in Alor Gajah, Melaka.</x:t>
  </x:si>
  <x:si>
    <x:t xml:space="preserve">https://www.google.com/maps/search/?api=1&amp;query=Freeport%20A'Famosa%20Outlet%2C%20Melaka%2C%20Malaysia</x:t>
  </x:si>
  <x:si>
    <x:t xml:space="preserve">MC0111</x:t>
  </x:si>
  <x:si>
    <x:t xml:space="preserve">Jasin Hot Springs</x:t>
  </x:si>
  <x:si>
    <x:t xml:space="preserve">Jasin</x:t>
  </x:si>
  <x:si>
    <x:t xml:space="preserve">hot spring; bathing; family</x:t>
  </x:si>
  <x:si>
    <x:t xml:space="preserve">A natural hot spring recreational area in Jasin district, Melaka.</x:t>
  </x:si>
  <x:si>
    <x:t xml:space="preserve">https://www.google.com/maps/search/?api=1&amp;query=Jasin%20Hot%20Springs%2C%20Melaka%2C%20Malaysia</x:t>
  </x:si>
  <x:si>
    <x:t xml:space="preserve">MC0112</x:t>
  </x:si>
  <x:si>
    <x:t xml:space="preserve">Asahan Waterfall</x:t>
  </x:si>
  <x:si>
    <x:t xml:space="preserve">A waterfall recreational area in Jasin district, Melaka.</x:t>
  </x:si>
  <x:si>
    <x:t xml:space="preserve">https://www.google.com/maps/search/?api=1&amp;query=Asahan%20Waterfall%2C%20Melaka%2C%20Malaysia</x:t>
  </x:si>
  <x:si>
    <x:t xml:space="preserve">MC0113</x:t>
  </x:si>
  <x:si>
    <x:t xml:space="preserve">Tanjung Bidara Beach</x:t>
  </x:si>
  <x:si>
    <x:t xml:space="preserve">Masjid Tanah</x:t>
  </x:si>
  <x:si>
    <x:t xml:space="preserve">beach; picnic; coast</x:t>
  </x:si>
  <x:si>
    <x:t xml:space="preserve">A public beach in Masjid Tanah, Melaka, popular for its shallow, calm waters.</x:t>
  </x:si>
  <x:si>
    <x:t xml:space="preserve">https://www.google.com/maps/search/?api=1&amp;query=Tanjung%20Bidara%20Beach%2C%20Melaka%2C%20Malaysia</x:t>
  </x:si>
  <x:si>
    <x:t xml:space="preserve">MC0114</x:t>
  </x:si>
  <x:si>
    <x:t xml:space="preserve">Demang Abdul Ghani Gallery</x:t>
  </x:si>
  <x:si>
    <x:t xml:space="preserve">Sungai Rambai</x:t>
  </x:si>
  <x:si>
    <x:t xml:space="preserve">traditional house; history; culture</x:t>
  </x:si>
  <x:si>
    <x:t xml:space="preserve">A small heritage gallery in Sungai Rambai, Melaka.</x:t>
  </x:si>
  <x:si>
    <x:t xml:space="preserve">https://www.google.com/maps/search/?api=1&amp;query=Demang%20Abdul%20Ghani%20Gallery%2C%20Melaka%2C%20Malaysia</x:t>
  </x:si>
  <x:si>
    <x:t xml:space="preserve">MC0115</x:t>
  </x:si>
  <x:si>
    <x:t xml:space="preserve">Port Dickson</x:t>
  </x:si>
  <x:si>
    <x:t xml:space="preserve">Negeri Sembilan</x:t>
  </x:si>
  <x:si>
    <x:t xml:space="preserve">Beach; coastline; swimming; relaxation; sunset; picnicking; camping; water sports; kayaking; parasailing; jet skiing; banana boat; fishing; kite flying; waterfront; museums; military history; lighthouse; forest reserve; wildlife; family recreation; food; resorts; weekend getaway</x:t>
  </x:si>
  <x:si>
    <x:t xml:space="preserve">A popular west-coast seaside destination in Negeri Sembilan, approximately 90 km south of Kuala Lumpur. Its long coastline includes beaches such as Teluk Kemang, Saujana, Blue Lagoon and Cahaya Negeri, complemented by waterfront recreation, museums, nature attractions, family activities, restaurants and resorts.</x:t>
  </x:si>
  <x:si>
    <x:t xml:space="preserve">https://www.malaysia.travel/explore/port-dickson ; https://www.mppd.gov.my/ms/pelawat/destinasi-menarik ; https://www.mppd.gov.my/en/visitors/beach ; https://ebrochures.malaysia.travel/en/islands-and-beaches/port-diskson/</x:t>
  </x:si>
  <x:si>
    <x:t xml:space="preserve">https://ebrochures.malaysia.travel/en/malaysia-travel-guide/negeri-sembilan/</x:t>
  </x:si>
  <x:si>
    <x:t xml:space="preserve">A014</x:t>
  </x:si>
  <x:si>
    <x:t xml:space="preserve">MC0116</x:t>
  </x:si>
  <x:si>
    <x:t xml:space="preserve">Ulu Bendul Recreational Forest</x:t>
  </x:si>
  <x:si>
    <x:t xml:space="preserve">Kuala Pilah</x:t>
  </x:si>
  <x:si>
    <x:t xml:space="preserve">Recreational forest; eco park; tropical rainforest; river; stream; swimming; wading; natural pool; picnicking; camping; hiking; trekking; forest trail; Gunung Angsi; fishing; wildlife; birdwatching; photography; relaxation; family recreation</x:t>
  </x:si>
  <x:si>
    <x:t xml:space="preserve">A forest eco-park in the Angsi Forest Reserve near Kuala Pilah, centred on the clear Batang Terachi River and shaded tropical greenery. Visitors come for picnics, stream bathing, forest walks, camping, fishing and access toward Gunung Angsi, supported by basic recreational facilities.</x:t>
  </x:si>
  <x:si>
    <x:t xml:space="preserve">https://www.malaysia.travel/explore/ulu-bendul-recreational-forest ; https://www.forestry.gov.my/en/negeri-sembilan/taman-eko-rimba-ulu-bendul ; https://www.forestry.gov.my/my/negeri-sembilan/taman-eko-rimba-ulu-bendul ; https://www.forestry.gov.my/en/peta-lokasi/106-hutan-lipur-hutan-taman-negeri/hutan-lipur-negeri-sembilan/223-ter-ulu-bendul ; https://ebrochures.malaysia.travel/en/malaysia-travel-guide/negeri-sembilan/</x:t>
  </x:si>
  <x:si>
    <x:t xml:space="preserve">A015</x:t>
  </x:si>
  <x:si>
    <x:t xml:space="preserve">MC0117</x:t>
  </x:si>
  <x:si>
    <x:t xml:space="preserve">Army Museum Port Dickson</x:t>
  </x:si>
  <x:si>
    <x:t xml:space="preserve">museum; military history; education; heritage</x:t>
  </x:si>
  <x:si>
    <x:t xml:space="preserve">A military museum in Port Dickson showcasing Malaysian Army history and equipment.</x:t>
  </x:si>
  <x:si>
    <x:t xml:space="preserve">https://www.google.com/maps/search/?api=1&amp;query=Army%20Museum%20Port%20Dickson%2C%20Negeri%20Sembilan%2C%20Malaysia</x:t>
  </x:si>
  <x:si>
    <x:t xml:space="preserve">A065</x:t>
  </x:si>
  <x:si>
    <x:t xml:space="preserve">MC0118</x:t>
  </x:si>
  <x:si>
    <x:t xml:space="preserve">Cape Rachado Lighthouse</x:t>
  </x:si>
  <x:si>
    <x:t xml:space="preserve">lighthouse; hiking; history; scenery; nature</x:t>
  </x:si>
  <x:si>
    <x:t xml:space="preserve">A historic Portuguese-built lighthouse on a headland in Port Dickson, offering coastal views.</x:t>
  </x:si>
  <x:si>
    <x:t xml:space="preserve">https://www.google.com/maps/search/?api=1&amp;query=Cape%20Rachado%20Lighthouse%2C%20Negeri%20Sembilan%2C%20Malaysia</x:t>
  </x:si>
  <x:si>
    <x:t xml:space="preserve">A066</x:t>
  </x:si>
  <x:si>
    <x:t xml:space="preserve">MC0119</x:t>
  </x:si>
  <x:si>
    <x:t xml:space="preserve">Lukut Museum and Fort</x:t>
  </x:si>
  <x:si>
    <x:t xml:space="preserve">Lukut</x:t>
  </x:si>
  <x:si>
    <x:t xml:space="preserve">museum; fort; history; heritage; archaeology</x:t>
  </x:si>
  <x:si>
    <x:t xml:space="preserve">Ruins of a 19th-century tin-mining era fort in Lukut, with an adjoining heritage museum.</x:t>
  </x:si>
  <x:si>
    <x:t xml:space="preserve">https://www.google.com/maps/search/?api=1&amp;query=Lukut%20Museum%20and%20Fort%2C%20Negeri%20Sembilan%2C%20Malaysia</x:t>
  </x:si>
  <x:si>
    <x:t xml:space="preserve">A067</x:t>
  </x:si>
  <x:si>
    <x:t xml:space="preserve">MC0120</x:t>
  </x:si>
  <x:si>
    <x:t xml:space="preserve">Royal Museum of Seri Menanti</x:t>
  </x:si>
  <x:si>
    <x:t xml:space="preserve">royal museum; Minangkabau; culture; heritage; architecture</x:t>
  </x:si>
  <x:si>
    <x:t xml:space="preserve">The former wooden royal palace of Negeri Sembilan in Kuala Pilah, now a museum on the state's Minangkabau-influenced royal heritage.</x:t>
  </x:si>
  <x:si>
    <x:t xml:space="preserve">https://www.google.com/maps/search/?api=1&amp;query=Royal%20Museum%20of%20Seri%20Menanti%2C%20Negeri%20Sembilan%2C%20Malaysia</x:t>
  </x:si>
  <x:si>
    <x:t xml:space="preserve">A068</x:t>
  </x:si>
  <x:si>
    <x:t xml:space="preserve">MC0121</x:t>
  </x:si>
  <x:si>
    <x:t xml:space="preserve">Jelita Ostrich Farm</x:t>
  </x:si>
  <x:si>
    <x:t xml:space="preserve">Seremban</x:t>
  </x:si>
  <x:si>
    <x:t xml:space="preserve">ostrich; animals; farm; family; children</x:t>
  </x:si>
  <x:si>
    <x:t xml:space="preserve">An agro-tourism farm in Seremban where visitors can view and feed ostriches and other farm animals.</x:t>
  </x:si>
  <x:si>
    <x:t xml:space="preserve">https://www.google.com/maps/search/?api=1&amp;query=Jelita%20Ostrich%20Farm%2C%20Negeri%20Sembilan%2C%20Malaysia</x:t>
  </x:si>
  <x:si>
    <x:t xml:space="preserve">A069</x:t>
  </x:si>
  <x:si>
    <x:t xml:space="preserve">MC0122</x:t>
  </x:si>
  <x:si>
    <x:t xml:space="preserve">Gunung Angsi</x:t>
  </x:si>
  <x:si>
    <x:t xml:space="preserve">hiking; mountain; forest; adventure; nature</x:t>
  </x:si>
  <x:si>
    <x:t xml:space="preserve">A hiking mountain in Kuala Pilah district popular with trekkers.</x:t>
  </x:si>
  <x:si>
    <x:t xml:space="preserve">https://www.google.com/maps/search/?api=1&amp;query=Gunung%20Angsi%2C%20Negeri%20Sembilan%2C%20Malaysia</x:t>
  </x:si>
  <x:si>
    <x:t xml:space="preserve">A070</x:t>
  </x:si>
  <x:si>
    <x:t xml:space="preserve">MC0123</x:t>
  </x:si>
  <x:si>
    <x:t xml:space="preserve">Taman Tasik Seremban</x:t>
  </x:si>
  <x:si>
    <x:t xml:space="preserve">lake; walking; relaxation; family; urban park</x:t>
  </x:si>
  <x:si>
    <x:t xml:space="preserve">A lake garden park in central Seremban popular for jogging and picnics.</x:t>
  </x:si>
  <x:si>
    <x:t xml:space="preserve">https://www.google.com/maps/search/?api=1&amp;query=Taman%20Tasik%20Seremban%2C%20Negeri%20Sembilan%2C%20Malaysia</x:t>
  </x:si>
  <x:si>
    <x:t xml:space="preserve">A071</x:t>
  </x:si>
  <x:si>
    <x:t xml:space="preserve">MC0124</x:t>
  </x:si>
  <x:si>
    <x:t xml:space="preserve">Jeram Toi Recreational Forest</x:t>
  </x:si>
  <x:si>
    <x:t xml:space="preserve">Jelebu</x:t>
  </x:si>
  <x:si>
    <x:t xml:space="preserve">waterfall; forest; picnic; nature; relaxation</x:t>
  </x:si>
  <x:si>
    <x:t xml:space="preserve">A waterfall-based forest recreation area in Jelebu district.</x:t>
  </x:si>
  <x:si>
    <x:t xml:space="preserve">https://www.google.com/maps/search/?api=1&amp;query=Jeram%20Toi%20Recreational%20Forest%2C%20Negeri%20Sembilan%2C%20Malaysia</x:t>
  </x:si>
  <x:si>
    <x:t xml:space="preserve">A072</x:t>
  </x:si>
  <x:si>
    <x:t xml:space="preserve">MC0125</x:t>
  </x:si>
  <x:si>
    <x:t xml:space="preserve">Negeri Sembilan State Museum Complex</x:t>
  </x:si>
  <x:si>
    <x:t xml:space="preserve">Minangkabau; museum; heritage</x:t>
  </x:si>
  <x:si>
    <x:t xml:space="preserve">A museum complex in Seremban built in Minangkabau-style architecture, covering Negeri Sembilan's history and culture.</x:t>
  </x:si>
  <x:si>
    <x:t xml:space="preserve">https://www.google.com/maps/search/?api=1&amp;query=Negeri%20Sembilan%20State%20Museum%20Complex%2C%20Negeri%20Sembilan%2C%20Malaysia</x:t>
  </x:si>
  <x:si>
    <x:t xml:space="preserve">Negeri Sembilan expansion batch</x:t>
  </x:si>
  <x:si>
    <x:t xml:space="preserve">MC0126</x:t>
  </x:si>
  <x:si>
    <x:t xml:space="preserve">Seremban Lake Garden</x:t>
  </x:si>
  <x:si>
    <x:t xml:space="preserve">lake garden; walking; family</x:t>
  </x:si>
  <x:si>
    <x:t xml:space="preserve">A landscaped lake park in central Seremban, popular for jogging and family outings.</x:t>
  </x:si>
  <x:si>
    <x:t xml:space="preserve">https://www.google.com/maps/search/?api=1&amp;query=Seremban%20Lake%20Garden%2C%20Negeri%20Sembilan%2C%20Malaysia</x:t>
  </x:si>
  <x:si>
    <x:t xml:space="preserve">MC0127</x:t>
  </x:si>
  <x:si>
    <x:t xml:space="preserve">Centipede Temple</x:t>
  </x:si>
  <x:si>
    <x:t xml:space="preserve">temple; hill; viewpoint</x:t>
  </x:si>
  <x:si>
    <x:t xml:space="preserve">A Chinese temple in Seremban known locally for the folklore associated with its name.</x:t>
  </x:si>
  <x:si>
    <x:t xml:space="preserve">https://www.google.com/maps/search/?api=1&amp;query=Centipede%20Temple%2C%20Negeri%20Sembilan%2C%20Malaysia</x:t>
  </x:si>
  <x:si>
    <x:t xml:space="preserve">MC0128</x:t>
  </x:si>
  <x:si>
    <x:t xml:space="preserve">Royal Gallery Tuanku Ja'afar</x:t>
  </x:si>
  <x:si>
    <x:t xml:space="preserve">royal history; gallery; heritage</x:t>
  </x:si>
  <x:si>
    <x:t xml:space="preserve">A royal memorabilia gallery in Seremban named after a former Yang di-Pertuan Besar of Negeri Sembilan.</x:t>
  </x:si>
  <x:si>
    <x:t xml:space="preserve">https://www.google.com/maps/search/?api=1&amp;query=Royal%20Gallery%20Tuanku%20Ja'afar%2C%20Negeri%20Sembilan%2C%20Malaysia</x:t>
  </x:si>
  <x:si>
    <x:t xml:space="preserve">MC0129</x:t>
  </x:si>
  <x:si>
    <x:t xml:space="preserve">Seri Menanti Royal Museum</x:t>
  </x:si>
  <x:si>
    <x:t xml:space="preserve">royal palace; Minangkabau; museum</x:t>
  </x:si>
  <x:si>
    <x:t xml:space="preserve">The former wooden royal palace of Negeri Sembilan in Kuala Pilah, built without nails and now a museum.</x:t>
  </x:si>
  <x:si>
    <x:t xml:space="preserve">https://www.google.com/maps/search/?api=1&amp;query=Seri%20Menanti%20Royal%20Museum%2C%20Negeri%20Sembilan%2C%20Malaysia</x:t>
  </x:si>
  <x:si>
    <x:t xml:space="preserve">MC0130</x:t>
  </x:si>
  <x:si>
    <x:t xml:space="preserve">Rembau Museum</x:t>
  </x:si>
  <x:si>
    <x:t xml:space="preserve">Rembau</x:t>
  </x:si>
  <x:si>
    <x:t xml:space="preserve">local history; adat; museum</x:t>
  </x:si>
  <x:si>
    <x:t xml:space="preserve">A small district museum in Rembau town, Negeri Sembilan.</x:t>
  </x:si>
  <x:si>
    <x:t xml:space="preserve">https://www.google.com/maps/search/?api=1&amp;query=Rembau%20Museum%2C%20Negeri%20Sembilan%2C%20Malaysia</x:t>
  </x:si>
  <x:si>
    <x:t xml:space="preserve">MC0131</x:t>
  </x:si>
  <x:si>
    <x:t xml:space="preserve">Gunung Datuk Recreational Forest</x:t>
  </x:si>
  <x:si>
    <x:t xml:space="preserve">hiking; summit; viewpoint</x:t>
  </x:si>
  <x:si>
    <x:t xml:space="preserve">A steep hiking trail up Gunung Datuk in Rembau district, popular with adventure hikers.</x:t>
  </x:si>
  <x:si>
    <x:t xml:space="preserve">https://www.google.com/maps/search/?api=1&amp;query=Gunung%20Datuk%20Recreational%20Forest%2C%20Negeri%20Sembilan%2C%20Malaysia</x:t>
  </x:si>
  <x:si>
    <x:t xml:space="preserve">MC0132</x:t>
  </x:si>
  <x:si>
    <x:t xml:space="preserve">Kuala Klawang Customs Museum</x:t>
  </x:si>
  <x:si>
    <x:t xml:space="preserve">adat perpatih; museum; culture</x:t>
  </x:si>
  <x:si>
    <x:t xml:space="preserve">A small museum in Jelebu district related to local customs history.</x:t>
  </x:si>
  <x:si>
    <x:t xml:space="preserve">https://www.google.com/maps/search/?api=1&amp;query=Kuala%20Klawang%20Customs%20Museum%2C%20Negeri%20Sembilan%2C%20Malaysia</x:t>
  </x:si>
  <x:si>
    <x:t xml:space="preserve">MC0133</x:t>
  </x:si>
  <x:si>
    <x:t xml:space="preserve">Kenaboi State Park</x:t>
  </x:si>
  <x:si>
    <x:t xml:space="preserve">rainforest; river; trekking</x:t>
  </x:si>
  <x:si>
    <x:t xml:space="preserve">A forest reserve and state park in Jelebu district known for its biodiversity.</x:t>
  </x:si>
  <x:si>
    <x:t xml:space="preserve">https://www.google.com/maps/search/?api=1&amp;query=Kenaboi%20State%20Park%2C%20Negeri%20Sembilan%2C%20Malaysia</x:t>
  </x:si>
  <x:si>
    <x:t xml:space="preserve">MC0134</x:t>
  </x:si>
  <x:si>
    <x:t xml:space="preserve">Teratak Za'aba</x:t>
  </x:si>
  <x:si>
    <x:t xml:space="preserve">Jempol</x:t>
  </x:si>
  <x:si>
    <x:t xml:space="preserve">literary heritage; house museum; history</x:t>
  </x:si>
  <x:si>
    <x:t xml:space="preserve">The preserved birthplace house of Malay literary figure Za'aba, in Jempol district, Negeri Sembilan.</x:t>
  </x:si>
  <x:si>
    <x:t xml:space="preserve">https://www.google.com/maps/search/?api=1&amp;query=Teratak%20Za'aba%2C%20Negeri%20Sembilan%2C%20Malaysia</x:t>
  </x:si>
  <x:si>
    <x:t xml:space="preserve">MC0135</x:t>
  </x:si>
  <x:si>
    <x:t xml:space="preserve">De Bana Recreational Forest</x:t>
  </x:si>
  <x:si>
    <x:t xml:space="preserve">forest; river; recreation</x:t>
  </x:si>
  <x:si>
    <x:t xml:space="preserve">A forest recreation area in Jempol district, Negeri Sembilan.</x:t>
  </x:si>
  <x:si>
    <x:t xml:space="preserve">https://www.google.com/maps/search/?api=1&amp;query=De%20Bana%20Recreational%20Forest%2C%20Negeri%20Sembilan%2C%20Malaysia</x:t>
  </x:si>
  <x:si>
    <x:t xml:space="preserve">MC0136</x:t>
  </x:si>
  <x:si>
    <x:t xml:space="preserve">Blue Lagoon</x:t>
  </x:si>
  <x:si>
    <x:t xml:space="preserve">beach; swimming; family</x:t>
  </x:si>
  <x:si>
    <x:t xml:space="preserve">A scenic lagoon-like beach spot in Port Dickson.</x:t>
  </x:si>
  <x:si>
    <x:t xml:space="preserve">https://www.google.com/maps/search/?api=1&amp;query=Blue%20Lagoon%2C%20Negeri%20Sembilan%2C%20Malaysia</x:t>
  </x:si>
  <x:si>
    <x:t xml:space="preserve">MC0137</x:t>
  </x:si>
  <x:si>
    <x:t xml:space="preserve">Pengkalan Kempas Historical Complex</x:t>
  </x:si>
  <x:si>
    <x:t xml:space="preserve">megaliths; tomb; history</x:t>
  </x:si>
  <x:si>
    <x:t xml:space="preserve">A historical site in Port Dickson with ancient megalithic stones and a royal mausoleum.</x:t>
  </x:si>
  <x:si>
    <x:t xml:space="preserve">https://www.google.com/maps/search/?api=1&amp;query=Pengkalan%20Kempas%20Historical%20Complex%2C%20Negeri%20Sembilan%2C%20Malaysia</x:t>
  </x:si>
  <x:si>
    <x:t xml:space="preserve">MC0138</x:t>
  </x:si>
  <x:si>
    <x:t xml:space="preserve">Gunung Tampin Recreational Forest</x:t>
  </x:si>
  <x:si>
    <x:t xml:space="preserve">Tampin</x:t>
  </x:si>
  <x:si>
    <x:t xml:space="preserve">forest; hiking; wildlife</x:t>
  </x:si>
  <x:si>
    <x:t xml:space="preserve">A forest recreation area with hiking trails in Tampin district, Negeri Sembilan.</x:t>
  </x:si>
  <x:si>
    <x:t xml:space="preserve">https://www.google.com/maps/search/?api=1&amp;query=Gunung%20Tampin%20Recreational%20Forest%2C%20Negeri%20Sembilan%2C%20Malaysia</x:t>
  </x:si>
  <x:si>
    <x:t xml:space="preserve">MC0139</x:t>
  </x:si>
  <x:si>
    <x:t xml:space="preserve">Gemas Railway Station Heritage Precinct</x:t>
  </x:si>
  <x:si>
    <x:t xml:space="preserve">Gemas</x:t>
  </x:si>
  <x:si>
    <x:t xml:space="preserve">railway; war history; town</x:t>
  </x:si>
  <x:si>
    <x:t xml:space="preserve">A historic railway junction town home to a heritage railway station notable in Malaysia's rail network.</x:t>
  </x:si>
  <x:si>
    <x:t xml:space="preserve">https://www.google.com/maps/search/?api=1&amp;query=Gemas%20Railway%20Station%20Heritage%20Precinct%2C%20Negeri%20Sembilan%2C%20Malaysia</x:t>
  </x:si>
  <x:si>
    <x:t xml:space="preserve">MC0140</x:t>
  </x:si>
  <x:si>
    <x:t xml:space="preserve">Genting Highlands</x:t>
  </x:si>
  <x:si>
    <x:t xml:space="preserve">Pahang</x:t>
  </x:si>
  <x:si>
    <x:t xml:space="preserve">Highland resort; cool climate; theme parks; rides; indoor entertainment; outdoor entertainment; shopping; dining; nightlife; casino; cable car; temple; rainforest; nature; family recreation; photography</x:t>
  </x:si>
  <x:si>
    <x:t xml:space="preserve">A highland resort destination set among rainforest-covered hills in Pahang, combining cool-weather relaxation with theme parks, shopping, dining, nightlife and nature. Major experiences include Genting SkyWorlds, Skytropolis, SkyAvenue, Awana SkyWay, Genting Highlands Premium Outlets and Chin Swee Caves Temple.</x:t>
  </x:si>
  <x:si>
    <x:t xml:space="preserve">https://www.malaysia.travel/explore/genting-highlands ; https://www.rwgenting.com/ ; https://ebrochures.malaysia.travel/en/cool-highlands/genting-highlands/</x:t>
  </x:si>
  <x:si>
    <x:t xml:space="preserve">https://ebrochures.malaysia.travel/en/malaysia-travel-guide/pahang/</x:t>
  </x:si>
  <x:si>
    <x:t xml:space="preserve">A007</x:t>
  </x:si>
  <x:si>
    <x:t xml:space="preserve">MC0141</x:t>
  </x:si>
  <x:si>
    <x:t xml:space="preserve">Cameron Highlands</x:t>
  </x:si>
  <x:si>
    <x:t xml:space="preserve">Highland resort; cool climate; tea plantation; strawberry farm; flower garden; vegetable farm; agrotourism; Mossy Forest; rainforest; jungle trail; hiking; Gunung Brinchang; viewpoint; waterfall; market; local produce; museum; colonial heritage; photography; nature; family recreation; cafe; food; resort</x:t>
  </x:si>
  <x:si>
    <x:t xml:space="preserve">Pahang's best-known highland destination combines a cool mountain climate with rolling tea estates, strawberry and vegetable farms, flower gardens, markets, forest trails and heritage attractions. Its main visitor centres include Tanah Rata, Brinchang and Ringlet, with nature and agrotourism experiences spread across the district.</x:t>
  </x:si>
  <x:si>
    <x:t xml:space="preserve">https://www.malaysia.travel/explore/cameron-highlands ; https://www.cameronhighland.net/ ; https://www.mdcameron.gov.my/en/visitors/places-interest ; https://www.mdcameron.gov.my/en/visitors/places-interest/farm-garden ; https://www.mdcameron.gov.my/en/visitors/places-interest/mountain-forest ; https://www.pahangtourism.org.my/destination/highlands/cameron-highlands ; https://www.malaysia.travel/explore/the-best-of-cameron-highlands-a-3d2n-exploration-of-sights-and-senses-2</x:t>
  </x:si>
  <x:si>
    <x:t xml:space="preserve">A016</x:t>
  </x:si>
  <x:si>
    <x:t xml:space="preserve">MC0142</x:t>
  </x:si>
  <x:si>
    <x:t xml:space="preserve">Taman Negara Kuala Tahan</x:t>
  </x:si>
  <x:si>
    <x:t xml:space="preserve">Jerantut</x:t>
  </x:si>
  <x:si>
    <x:t xml:space="preserve">rainforest; hiking; wildlife; canopy walk; adventure</x:t>
  </x:si>
  <x:si>
    <x:t xml:space="preserve">The gateway village to Taman Negara, Malaysia's oldest rainforest national park, offering jungle trekking, river cruises and the famous canopy walkway.</x:t>
  </x:si>
  <x:si>
    <x:t xml:space="preserve">https://www.google.com/maps/search/?api=1&amp;query=Taman%20Negara%20Kuala%20Tahan%2C%20Pahang%2C%20Malaysia</x:t>
  </x:si>
  <x:si>
    <x:t xml:space="preserve">A073</x:t>
  </x:si>
  <x:si>
    <x:t xml:space="preserve">MC0143</x:t>
  </x:si>
  <x:si>
    <x:t xml:space="preserve">Fraser's Hill</x:t>
  </x:si>
  <x:si>
    <x:t xml:space="preserve">Raub</x:t>
  </x:si>
  <x:si>
    <x:t xml:space="preserve">cool climate; birdwatching; relaxation; nature; walking</x:t>
  </x:si>
  <x:si>
    <x:t xml:space="preserve">A cool hill station resort town in Raub district known for its colonial-era bungalows, golf course and birdwatching.</x:t>
  </x:si>
  <x:si>
    <x:t xml:space="preserve">https://www.google.com/maps/search/?api=1&amp;query=Fraser's%20Hill%2C%20Pahang%2C%20Malaysia</x:t>
  </x:si>
  <x:si>
    <x:t xml:space="preserve">A074</x:t>
  </x:si>
  <x:si>
    <x:t xml:space="preserve">MC0144</x:t>
  </x:si>
  <x:si>
    <x:t xml:space="preserve">Cherating Beach</x:t>
  </x:si>
  <x:si>
    <x:t xml:space="preserve">Kuantan</x:t>
  </x:si>
  <x:si>
    <x:t xml:space="preserve">beach; relaxation; water sports; family; scenery</x:t>
  </x:si>
  <x:si>
    <x:t xml:space="preserve">A laid-back beach town in Kuantan district popular with surfers, backpackers and windsurfing enthusiasts.</x:t>
  </x:si>
  <x:si>
    <x:t xml:space="preserve">https://www.google.com/maps/search/?api=1&amp;query=Cherating%20Beach%2C%20Pahang%2C%20Malaysia</x:t>
  </x:si>
  <x:si>
    <x:t xml:space="preserve">A075</x:t>
  </x:si>
  <x:si>
    <x:t xml:space="preserve">MC0145</x:t>
  </x:si>
  <x:si>
    <x:t xml:space="preserve">Kuala Gandah Elephant Conservation Centre</x:t>
  </x:si>
  <x:si>
    <x:t xml:space="preserve">Lanchang</x:t>
  </x:si>
  <x:si>
    <x:t xml:space="preserve">elephants; conservation; wildlife; education; family</x:t>
  </x:si>
  <x:si>
    <x:t xml:space="preserve">A government-run wildlife centre in Lanchang caring for relocated wild elephants, with public feeding and bathing sessions.</x:t>
  </x:si>
  <x:si>
    <x:t xml:space="preserve">https://www.google.com/maps/search/?api=1&amp;query=Kuala%20Gandah%20Elephant%20Conservation%20Centre%2C%20Pahang%2C%20Malaysia</x:t>
  </x:si>
  <x:si>
    <x:t xml:space="preserve">A076</x:t>
  </x:si>
  <x:si>
    <x:t xml:space="preserve">MC0146</x:t>
  </x:si>
  <x:si>
    <x:t xml:space="preserve">Sungai Pandan Waterfall</x:t>
  </x:si>
  <x:si>
    <x:t xml:space="preserve">waterfall; picnic; nature; relaxation; family</x:t>
  </x:si>
  <x:si>
    <x:t xml:space="preserve">A popular waterfall recreational area near Kuantan.</x:t>
  </x:si>
  <x:si>
    <x:t xml:space="preserve">https://www.google.com/maps/search/?api=1&amp;query=Sungai%20Pandan%20Waterfall%2C%20Pahang%2C%20Malaysia</x:t>
  </x:si>
  <x:si>
    <x:t xml:space="preserve">A077</x:t>
  </x:si>
  <x:si>
    <x:t xml:space="preserve">MC0147</x:t>
  </x:si>
  <x:si>
    <x:t xml:space="preserve">Colmar Tropicale</x:t>
  </x:si>
  <x:si>
    <x:t xml:space="preserve">Bentong</x:t>
  </x:si>
  <x:si>
    <x:t xml:space="preserve">architecture; family; photography; hill resort; relaxation</x:t>
  </x:si>
  <x:si>
    <x:t xml:space="preserve">A French-village-themed resort and shopping complex in Bentong, styled after the Alsace region of France.</x:t>
  </x:si>
  <x:si>
    <x:t xml:space="preserve">https://www.google.com/maps/search/?api=1&amp;query=Colmar%20Tropicale%2C%20Pahang%2C%20Malaysia</x:t>
  </x:si>
  <x:si>
    <x:t xml:space="preserve">A078</x:t>
  </x:si>
  <x:si>
    <x:t xml:space="preserve">MC0148</x:t>
  </x:si>
  <x:si>
    <x:t xml:space="preserve">Teluk Cempedak</x:t>
  </x:si>
  <x:si>
    <x:t xml:space="preserve">beach; relaxation; food; family; walking</x:t>
  </x:si>
  <x:si>
    <x:t xml:space="preserve">A popular beach in Kuantan town with resorts, food stalls and calm swimming waters.</x:t>
  </x:si>
  <x:si>
    <x:t xml:space="preserve">https://www.google.com/maps/search/?api=1&amp;query=Teluk%20Cempedak%2C%20Pahang%2C%20Malaysia</x:t>
  </x:si>
  <x:si>
    <x:t xml:space="preserve">A079</x:t>
  </x:si>
  <x:si>
    <x:t xml:space="preserve">MC0149</x:t>
  </x:si>
  <x:si>
    <x:t xml:space="preserve">Mossy Forest</x:t>
  </x:si>
  <x:si>
    <x:t xml:space="preserve">forest; hiking; scenery; cool climate; nature</x:t>
  </x:si>
  <x:si>
    <x:t xml:space="preserve">A montane cloud forest atop Cameron Highlands known for its stunted, moss-covered trees, explored via a raised boardwalk trail.</x:t>
  </x:si>
  <x:si>
    <x:t xml:space="preserve">https://www.google.com/maps/search/?api=1&amp;query=Mossy%20Forest%2C%20Pahang%2C%20Malaysia</x:t>
  </x:si>
  <x:si>
    <x:t xml:space="preserve">A080</x:t>
  </x:si>
  <x:si>
    <x:t xml:space="preserve">MC0150</x:t>
  </x:si>
  <x:si>
    <x:t xml:space="preserve">Sultan Ahmad Shah State Mosque</x:t>
  </x:si>
  <x:si>
    <x:t xml:space="preserve">Pahang's state mosque in Kuantan, notable for its distinctive blue dome.</x:t>
  </x:si>
  <x:si>
    <x:t xml:space="preserve">https://www.google.com/maps/search/?api=1&amp;query=Sultan%20Ahmad%20Shah%20State%20Mosque%2C%20Pahang%2C%20Malaysia</x:t>
  </x:si>
  <x:si>
    <x:t xml:space="preserve">Pahang expansion batch</x:t>
  </x:si>
  <x:si>
    <x:t xml:space="preserve">MC0151</x:t>
  </x:si>
  <x:si>
    <x:t xml:space="preserve">Taman Esplanade Kuantan</x:t>
  </x:si>
  <x:si>
    <x:t xml:space="preserve">riverfront; walking; family</x:t>
  </x:si>
  <x:si>
    <x:t xml:space="preserve">A riverside park along the Kuantan River popular for evening strolls and food stalls.</x:t>
  </x:si>
  <x:si>
    <x:t xml:space="preserve">https://www.google.com/maps/search/?api=1&amp;query=Taman%20Esplanade%20Kuantan%2C%20Pahang%2C%20Malaysia</x:t>
  </x:si>
  <x:si>
    <x:t xml:space="preserve">MC0152</x:t>
  </x:si>
  <x:si>
    <x:t xml:space="preserve">Sultan Abu Bakar Museum</x:t>
  </x:si>
  <x:si>
    <x:t xml:space="preserve">Pekan</x:t>
  </x:si>
  <x:si>
    <x:t xml:space="preserve">royal history; museum; heritage</x:t>
  </x:si>
  <x:si>
    <x:t xml:space="preserve">A former royal palace in Pekan turned museum, showcasing Pahang royal history and artefacts.</x:t>
  </x:si>
  <x:si>
    <x:t xml:space="preserve">https://www.google.com/maps/search/?api=1&amp;query=Sultan%20Abu%20Bakar%20Museum%2C%20Pahang%2C%20Malaysia</x:t>
  </x:si>
  <x:si>
    <x:t xml:space="preserve">MC0153</x:t>
  </x:si>
  <x:si>
    <x:t xml:space="preserve">Pulau Keladi Cultural Village</x:t>
  </x:si>
  <x:si>
    <x:t xml:space="preserve">weaving; village; culture</x:t>
  </x:si>
  <x:si>
    <x:t xml:space="preserve">A riverine cultural village near Pekan, Pahang.</x:t>
  </x:si>
  <x:si>
    <x:t xml:space="preserve">https://www.google.com/maps/search/?api=1&amp;query=Pulau%20Keladi%20Cultural%20Village%2C%20Pahang%2C%20Malaysia</x:t>
  </x:si>
  <x:si>
    <x:t xml:space="preserve">MC0154</x:t>
  </x:si>
  <x:si>
    <x:t xml:space="preserve">Cherating Turtle Sanctuary</x:t>
  </x:si>
  <x:si>
    <x:t xml:space="preserve">Cherating</x:t>
  </x:si>
  <x:si>
    <x:t xml:space="preserve">turtles; conservation; education</x:t>
  </x:si>
  <x:si>
    <x:t xml:space="preserve">A conservation centre near Cherating dedicated to protecting nesting sea turtles.</x:t>
  </x:si>
  <x:si>
    <x:t xml:space="preserve">https://www.google.com/maps/search/?api=1&amp;query=Cherating%20Turtle%20Sanctuary%2C%20Pahang%2C%20Malaysia</x:t>
  </x:si>
  <x:si>
    <x:t xml:space="preserve">MC0155</x:t>
  </x:si>
  <x:si>
    <x:t xml:space="preserve">Rompin State Park</x:t>
  </x:si>
  <x:si>
    <x:t xml:space="preserve">Rompin</x:t>
  </x:si>
  <x:si>
    <x:t xml:space="preserve">rainforest; wildlife; trekking</x:t>
  </x:si>
  <x:si>
    <x:t xml:space="preserve">A rainforest state park spanning Pahang and Johor (Endau-Rompin), known for biodiversity, waterfalls and jungle trekking.</x:t>
  </x:si>
  <x:si>
    <x:t xml:space="preserve">https://www.google.com/maps/search/?api=1&amp;query=Rompin%20State%20Park%2C%20Pahang%2C%20Malaysia</x:t>
  </x:si>
  <x:si>
    <x:t xml:space="preserve">MC0156</x:t>
  </x:si>
  <x:si>
    <x:t xml:space="preserve">Lanjut Beach</x:t>
  </x:si>
  <x:si>
    <x:t xml:space="preserve">beach; fishing; coast</x:t>
  </x:si>
  <x:si>
    <x:t xml:space="preserve">A beach in Rompin district, Pahang.</x:t>
  </x:si>
  <x:si>
    <x:t xml:space="preserve">https://www.google.com/maps/search/?api=1&amp;query=Lanjut%20Beach%2C%20Pahang%2C%20Malaysia</x:t>
  </x:si>
  <x:si>
    <x:t xml:space="preserve">MC0157</x:t>
  </x:si>
  <x:si>
    <x:t xml:space="preserve">Juara Turtle Project</x:t>
  </x:si>
  <x:si>
    <x:t xml:space="preserve">Tioman</x:t>
  </x:si>
  <x:si>
    <x:t xml:space="preserve">turtles; conservation; island</x:t>
  </x:si>
  <x:si>
    <x:t xml:space="preserve">A volunteer-run sea turtle conservation project on Tioman Island's Juara Beach.</x:t>
  </x:si>
  <x:si>
    <x:t xml:space="preserve">https://www.google.com/maps/search/?api=1&amp;query=Juara%20Turtle%20Project%2C%20Pahang%2C%20Malaysia</x:t>
  </x:si>
  <x:si>
    <x:t xml:space="preserve">MC0158</x:t>
  </x:si>
  <x:si>
    <x:t xml:space="preserve">Asah Waterfall</x:t>
  </x:si>
  <x:si>
    <x:t xml:space="preserve">waterfall; island; hiking</x:t>
  </x:si>
  <x:si>
    <x:t xml:space="preserve">A waterfall on Tioman Island near Juara village.</x:t>
  </x:si>
  <x:si>
    <x:t xml:space="preserve">https://www.google.com/maps/search/?api=1&amp;query=Asah%20Waterfall%2C%20Pahang%2C%20Malaysia</x:t>
  </x:si>
  <x:si>
    <x:t xml:space="preserve">MC0159</x:t>
  </x:si>
  <x:si>
    <x:t xml:space="preserve">Kuala Tahan</x:t>
  </x:si>
  <x:si>
    <x:t xml:space="preserve">national park gateway; river; village</x:t>
  </x:si>
  <x:si>
    <x:t xml:space="preserve">The main gateway settlement to Taman Negara national park in Jerantut district.</x:t>
  </x:si>
  <x:si>
    <x:t xml:space="preserve">https://www.google.com/maps/search/?api=1&amp;query=Kuala%20Tahan%2C%20Pahang%2C%20Malaysia</x:t>
  </x:si>
  <x:si>
    <x:t xml:space="preserve">MC0160</x:t>
  </x:si>
  <x:si>
    <x:t xml:space="preserve">Canopy Walkway Taman Negara</x:t>
  </x:si>
  <x:si>
    <x:t xml:space="preserve">canopy walk; rainforest; wildlife</x:t>
  </x:si>
  <x:si>
    <x:t xml:space="preserve">One of the world's longest rainforest canopy walkways, suspended within Taman Negara near Kuala Tahan.</x:t>
  </x:si>
  <x:si>
    <x:t xml:space="preserve">https://www.google.com/maps/search/?api=1&amp;query=Canopy%20Walkway%20Taman%20Negara%2C%20Pahang%2C%20Malaysia</x:t>
  </x:si>
  <x:si>
    <x:t xml:space="preserve">MC0161</x:t>
  </x:si>
  <x:si>
    <x:t xml:space="preserve">Kota Gelanggi Caves</x:t>
  </x:si>
  <x:si>
    <x:t xml:space="preserve">caves; limestone; history</x:t>
  </x:si>
  <x:si>
    <x:t xml:space="preserve">A limestone cave system in Jerantut district, Pahang.</x:t>
  </x:si>
  <x:si>
    <x:t xml:space="preserve">https://www.google.com/maps/search/?api=1&amp;query=Kota%20Gelanggi%20Caves%2C%20Pahang%2C%20Malaysia</x:t>
  </x:si>
  <x:si>
    <x:t xml:space="preserve">MC0162</x:t>
  </x:si>
  <x:si>
    <x:t xml:space="preserve">Kuala Gandah National Elephant Conservation Centre</x:t>
  </x:si>
  <x:si>
    <x:t xml:space="preserve">Temerloh</x:t>
  </x:si>
  <x:si>
    <x:t xml:space="preserve">elephants; conservation; education</x:t>
  </x:si>
  <x:si>
    <x:t xml:space="preserve">A government-run centre in Temerloh district caring for relocated wild elephants, with public feeding and bathing programmes.</x:t>
  </x:si>
  <x:si>
    <x:t xml:space="preserve">https://www.google.com/maps/search/?api=1&amp;query=Kuala%20Gandah%20National%20Elephant%20Conservation%20Centre%2C%20Pahang%2C%20Malaysia</x:t>
  </x:si>
  <x:si>
    <x:t xml:space="preserve">MC0163</x:t>
  </x:si>
  <x:si>
    <x:t xml:space="preserve">Deerland Park</x:t>
  </x:si>
  <x:si>
    <x:t xml:space="preserve">deer; nature; family</x:t>
  </x:si>
  <x:si>
    <x:t xml:space="preserve">A wildlife park in Temerloh featuring deer and other animals.</x:t>
  </x:si>
  <x:si>
    <x:t xml:space="preserve">https://www.google.com/maps/search/?api=1&amp;query=Deerland%20Park%2C%20Pahang%2C%20Malaysia</x:t>
  </x:si>
  <x:si>
    <x:t xml:space="preserve">MC0164</x:t>
  </x:si>
  <x:si>
    <x:t xml:space="preserve">Chamang Waterfall</x:t>
  </x:si>
  <x:si>
    <x:t xml:space="preserve">A popular multi-tiered waterfall in Bentong district, Pahang.</x:t>
  </x:si>
  <x:si>
    <x:t xml:space="preserve">https://www.google.com/maps/search/?api=1&amp;query=Chamang%20Waterfall%2C%20Pahang%2C%20Malaysia</x:t>
  </x:si>
  <x:si>
    <x:t xml:space="preserve">MC0165</x:t>
  </x:si>
  <x:si>
    <x:t xml:space="preserve">Bentong Walk</x:t>
  </x:si>
  <x:si>
    <x:t xml:space="preserve">night market; food; town</x:t>
  </x:si>
  <x:si>
    <x:t xml:space="preserve">A heritage shophouse walking trail through Bentong town, Pahang.</x:t>
  </x:si>
  <x:si>
    <x:t xml:space="preserve">https://www.google.com/maps/search/?api=1&amp;query=Bentong%20Walk%2C%20Pahang%2C%20Malaysia</x:t>
  </x:si>
  <x:si>
    <x:t xml:space="preserve">MC0166</x:t>
  </x:si>
  <x:si>
    <x:t xml:space="preserve">Sungai Chiling Fish Sanctuary</x:t>
  </x:si>
  <x:si>
    <x:t xml:space="preserve">river; hiking; fish sanctuary</x:t>
  </x:si>
  <x:si>
    <x:t xml:space="preserve">A protected river stretch in Raub district known for its fish sanctuary and swimming pools.</x:t>
  </x:si>
  <x:si>
    <x:t xml:space="preserve">https://www.google.com/maps/search/?api=1&amp;query=Sungai%20Chiling%20Fish%20Sanctuary%2C%20Pahang%2C%20Malaysia</x:t>
  </x:si>
  <x:si>
    <x:t xml:space="preserve">MC0167</x:t>
  </x:si>
  <x:si>
    <x:t xml:space="preserve">Boh Sungei Palas Tea Centre</x:t>
  </x:si>
  <x:si>
    <x:t xml:space="preserve">tea plantation; scenery; cafe</x:t>
  </x:si>
  <x:si>
    <x:t xml:space="preserve">A working tea plantation and visitor centre run by the Boh Tea company in Cameron Highlands.</x:t>
  </x:si>
  <x:si>
    <x:t xml:space="preserve">https://www.google.com/maps/search/?api=1&amp;query=Boh%20Sungei%20Palas%20Tea%20Centre%2C%20Pahang%2C%20Malaysia</x:t>
  </x:si>
  <x:si>
    <x:t xml:space="preserve">MC0168</x:t>
  </x:si>
  <x:si>
    <x:t xml:space="preserve">Agro Technology Park MARDI</x:t>
  </x:si>
  <x:si>
    <x:t xml:space="preserve">agriculture; gardens; education</x:t>
  </x:si>
  <x:si>
    <x:t xml:space="preserve">An agricultural research park in Cameron Highlands showcasing highland crop cultivation.</x:t>
  </x:si>
  <x:si>
    <x:t xml:space="preserve">https://www.google.com/maps/search/?api=1&amp;query=Agro%20Technology%20Park%20MARDI%2C%20Pahang%2C%20Malaysia</x:t>
  </x:si>
  <x:si>
    <x:t xml:space="preserve">MC0169</x:t>
  </x:si>
  <x:si>
    <x:t xml:space="preserve">Lubuk Yu Recreational Forest</x:t>
  </x:si>
  <x:si>
    <x:t xml:space="preserve">Maran</x:t>
  </x:si>
  <x:si>
    <x:t xml:space="preserve">river; forest; picnic</x:t>
  </x:si>
  <x:si>
    <x:t xml:space="preserve">A waterfall-based forest recreation area in Maran district, Pahang.</x:t>
  </x:si>
  <x:si>
    <x:t xml:space="preserve">https://www.google.com/maps/search/?api=1&amp;query=Lubuk%20Yu%20Recreational%20Forest%2C%20Pahang%2C%20Malaysia</x:t>
  </x:si>
  <x:si>
    <x:t xml:space="preserve">MC0170</x:t>
  </x:si>
  <x:si>
    <x:t xml:space="preserve">Bukit Panchor State Park</x:t>
  </x:si>
  <x:si>
    <x:t xml:space="preserve">Penang</x:t>
  </x:si>
  <x:si>
    <x:t xml:space="preserve">Nibong Tebal</x:t>
  </x:si>
  <x:si>
    <x:t xml:space="preserve">Lowland dipterocarp forest; peat swamp; hiking; trekking; caves; bat cave; wildlife; birdwatching; river; wetland boardwalk; mangroves; camping; picnicking; nature study</x:t>
  </x:si>
  <x:si>
    <x:t xml:space="preserve">A state recreation park within Bukit Panchor Permanent Forest Reserve near Nibong Tebal. Its lowland dipterocarp and peat-swamp environment supports forest walks, wildlife and birdwatching, river and wetland exploration, caves, camping and other nature-based recreation.</x:t>
  </x:si>
  <x:si>
    <x:t xml:space="preserve">https://www.forestry.gov.my/en/semenanjung-malaysia/taman-negeri-bukit-panchor ; https://www.mypenang.gov.my/nature-adventure/recreation/bukit-panchor-state-park/?lg=en ; https://www.penang-insider.com/bukit-panchor-state-park-penang/</x:t>
  </x:si>
  <x:si>
    <x:t xml:space="preserve">https://ebrochures.malaysia.travel/en/malaysia-travel-guide/penang/</x:t>
  </x:si>
  <x:si>
    <x:t xml:space="preserve">A005</x:t>
  </x:si>
  <x:si>
    <x:t xml:space="preserve">MC0171</x:t>
  </x:si>
  <x:si>
    <x:t xml:space="preserve">Penang National Park</x:t>
  </x:si>
  <x:si>
    <x:t xml:space="preserve">Teluk Bahang</x:t>
  </x:si>
  <x:si>
    <x:t xml:space="preserve">National park; rainforest; beaches; jungle trekking; hiking; wildlife; birdwatching; meromictic lake; turtle conservation; camping; picnicking; fishing; boat trips; lighthouse; mangroves; nature study</x:t>
  </x:si>
  <x:si>
    <x:t xml:space="preserve">A protected coastal rainforest at the northwestern tip of Penang Island, entered mainly from Teluk Bahang. It combines jungle trails, beaches, wildlife observation and boat trips with attractions such as Kerachut Beach, the meromictic lake, turtle conservation centre and Muka Head Lighthouse.</x:t>
  </x:si>
  <x:si>
    <x:t xml:space="preserve">https://www.wildlife.gov.my/en/taman-negara-pulau-pinang/ ; https://www.mypenang.gov.my/nature-adventure/parks-gardens/penang-national-park/?lg=en ; https://files.wildlife.gov.my/wildlife-wp-media/2025/09/12060821/PERATURAN_PERATURAN_TNPP.pdf</x:t>
  </x:si>
  <x:si>
    <x:t xml:space="preserve">A006</x:t>
  </x:si>
  <x:si>
    <x:t xml:space="preserve">MC0172</x:t>
  </x:si>
  <x:si>
    <x:t xml:space="preserve">George Town UNESCO World Heritage Site</x:t>
  </x:si>
  <x:si>
    <x:t xml:space="preserve">George Town</x:t>
  </x:si>
  <x:si>
    <x:t xml:space="preserve">heritage; history; architecture; street art; culture; walking</x:t>
  </x:si>
  <x:si>
    <x:t xml:space="preserve">Penang's historic capital, inscribed as a UNESCO World Heritage Site in 2008 for its unique multicultural architecture and streetscapes.</x:t>
  </x:si>
  <x:si>
    <x:t xml:space="preserve">https://www.google.com/maps/search/?api=1&amp;query=George%20Town%20UNESCO%20World%20Heritage%20Site%2C%20Penang%2C%20Malaysia</x:t>
  </x:si>
  <x:si>
    <x:t xml:space="preserve">A081</x:t>
  </x:si>
  <x:si>
    <x:t xml:space="preserve">MC0173</x:t>
  </x:si>
  <x:si>
    <x:t xml:space="preserve">Penang Hill</x:t>
  </x:si>
  <x:si>
    <x:t xml:space="preserve">hill; scenery; cool climate; relaxation; nature; funicular</x:t>
  </x:si>
  <x:si>
    <x:t xml:space="preserve">A hill resort above George Town reached by funicular railway, offering panoramic views and cooler temperatures.</x:t>
  </x:si>
  <x:si>
    <x:t xml:space="preserve">A082</x:t>
  </x:si>
  <x:si>
    <x:t xml:space="preserve">MC0174</x:t>
  </x:si>
  <x:si>
    <x:t xml:space="preserve">Kek Lok Si Temple</x:t>
  </x:si>
  <x:si>
    <x:t xml:space="preserve">Air Itam</x:t>
  </x:si>
  <x:si>
    <x:t xml:space="preserve">temple; culture; architecture; heritage; photography</x:t>
  </x:si>
  <x:si>
    <x:t xml:space="preserve">One of the largest Buddhist temple complexes in Southeast Asia, in Air Itam, known for its multi-tiered pagoda and giant Kuan Yin statue.</x:t>
  </x:si>
  <x:si>
    <x:t xml:space="preserve">https://www.google.com/maps/search/?api=1&amp;query=Kek%20Lok%20Si%20Temple%2C%20Penang%2C%20Malaysia</x:t>
  </x:si>
  <x:si>
    <x:t xml:space="preserve">A083</x:t>
  </x:si>
  <x:si>
    <x:t xml:space="preserve">MC0175</x:t>
  </x:si>
  <x:si>
    <x:t xml:space="preserve">Tropical Spice Garden</x:t>
  </x:si>
  <x:si>
    <x:t xml:space="preserve">garden; nature; walking; education; relaxation</x:t>
  </x:si>
  <x:si>
    <x:t xml:space="preserve">A landscaped garden in Teluk Bahang, Penang, showcasing tropical spice and medicinal plants.</x:t>
  </x:si>
  <x:si>
    <x:t xml:space="preserve">https://www.google.com/maps/search/?api=1&amp;query=Tropical%20Spice%20Garden%2C%20Penang%2C%20Malaysia</x:t>
  </x:si>
  <x:si>
    <x:t xml:space="preserve">A084</x:t>
  </x:si>
  <x:si>
    <x:t xml:space="preserve">MC0176</x:t>
  </x:si>
  <x:si>
    <x:t xml:space="preserve">Entopia by Penang Butterfly Farm</x:t>
  </x:si>
  <x:si>
    <x:t xml:space="preserve">butterflies; insects; nature; family; children; education</x:t>
  </x:si>
  <x:si>
    <x:t xml:space="preserve">A walk-in butterfly and insect sanctuary in Teluk Bahang, Penang.</x:t>
  </x:si>
  <x:si>
    <x:t xml:space="preserve">A085</x:t>
  </x:si>
  <x:si>
    <x:t xml:space="preserve">MC0177</x:t>
  </x:si>
  <x:si>
    <x:t xml:space="preserve">ESCAPE Penang</x:t>
  </x:si>
  <x:si>
    <x:t xml:space="preserve">theme park; adventure; family; water park; outdoor activities</x:t>
  </x:si>
  <x:si>
    <x:t xml:space="preserve">An outdoor adventure theme park in Teluk Bahang, Penang, with obstacle courses and a water park.</x:t>
  </x:si>
  <x:si>
    <x:t xml:space="preserve">https://www.google.com/maps/search/?api=1&amp;query=ESCAPE%20Penang%2C%20Penang%2C%20Malaysia</x:t>
  </x:si>
  <x:si>
    <x:t xml:space="preserve">A086</x:t>
  </x:si>
  <x:si>
    <x:t xml:space="preserve">MC0178</x:t>
  </x:si>
  <x:si>
    <x:t xml:space="preserve">Batu Ferringhi Beach</x:t>
  </x:si>
  <x:si>
    <x:t xml:space="preserve">Batu Ferringhi</x:t>
  </x:si>
  <x:si>
    <x:t xml:space="preserve">beach; relaxation; water sports; food; shopping</x:t>
  </x:si>
  <x:si>
    <x:t xml:space="preserve">Penang's main resort beach strip, known for its hotels, night market and water sports.</x:t>
  </x:si>
  <x:si>
    <x:t xml:space="preserve">https://www.google.com/maps/search/?api=1&amp;query=Batu%20Ferringhi%20Beach%2C%20Penang%2C%20Malaysia</x:t>
  </x:si>
  <x:si>
    <x:t xml:space="preserve">A087</x:t>
  </x:si>
  <x:si>
    <x:t xml:space="preserve">MC0179</x:t>
  </x:si>
  <x:si>
    <x:t xml:space="preserve">Penang Botanic Gardens</x:t>
  </x:si>
  <x:si>
    <x:t xml:space="preserve">garden; walking; nature; relaxation; wildlife</x:t>
  </x:si>
  <x:si>
    <x:t xml:space="preserve">A colonial-era botanical garden in George Town, also known as the Waterfall Gardens.</x:t>
  </x:si>
  <x:si>
    <x:t xml:space="preserve">A088</x:t>
  </x:si>
  <x:si>
    <x:t xml:space="preserve">MC0180</x:t>
  </x:si>
  <x:si>
    <x:t xml:space="preserve">Pinang Peranakan Mansion</x:t>
  </x:si>
  <x:si>
    <x:t xml:space="preserve">Peranakan; mansion; museum</x:t>
  </x:si>
  <x:si>
    <x:t xml:space="preserve">A restored 19th-century mansion museum in George Town showcasing opulent Straits Chinese (Peranakan) heritage and antiques.</x:t>
  </x:si>
  <x:si>
    <x:t xml:space="preserve">https://www.google.com/maps/search/?api=1&amp;query=Pinang%20Peranakan%20Mansion%2C%20Penang%2C%20Malaysia</x:t>
  </x:si>
  <x:si>
    <x:t xml:space="preserve">Penang expansion batch</x:t>
  </x:si>
  <x:si>
    <x:t xml:space="preserve">MC0181</x:t>
  </x:si>
  <x:si>
    <x:t xml:space="preserve">Khoo Kongsi</x:t>
  </x:si>
  <x:si>
    <x:t xml:space="preserve">clan house; architecture; culture</x:t>
  </x:si>
  <x:si>
    <x:t xml:space="preserve">An elaborately decorated clan temple and clanhouse complex in George Town built by the Khoo family.</x:t>
  </x:si>
  <x:si>
    <x:t xml:space="preserve">https://www.google.com/maps/search/?api=1&amp;query=Khoo%20Kongsi%2C%20Penang%2C%20Malaysia</x:t>
  </x:si>
  <x:si>
    <x:t xml:space="preserve">MC0182</x:t>
  </x:si>
  <x:si>
    <x:t xml:space="preserve">Cheong Fatt Tze Mansion</x:t>
  </x:si>
  <x:si>
    <x:t xml:space="preserve">mansion; architecture; history</x:t>
  </x:si>
  <x:si>
    <x:t xml:space="preserve">An indigo-blue heritage mansion in George Town, known as the Blue Mansion, built by a 19th-century Chinese business magnate.</x:t>
  </x:si>
  <x:si>
    <x:t xml:space="preserve">https://www.google.com/maps/search/?api=1&amp;query=Cheong%20Fatt%20Tze%20Mansion%2C%20Penang%2C%20Malaysia</x:t>
  </x:si>
  <x:si>
    <x:t xml:space="preserve">MC0183</x:t>
  </x:si>
  <x:si>
    <x:t xml:space="preserve">Fort Cornwallis</x:t>
  </x:si>
  <x:si>
    <x:t xml:space="preserve">fort; colonial history; landmark</x:t>
  </x:si>
  <x:si>
    <x:t xml:space="preserve">A star-shaped fort in George Town built by the British East India Company, marking the founding site of the city.</x:t>
  </x:si>
  <x:si>
    <x:t xml:space="preserve">https://www.google.com/maps/search/?api=1&amp;query=Fort%20Cornwallis%2C%20Penang%2C%20Malaysia</x:t>
  </x:si>
  <x:si>
    <x:t xml:space="preserve">MC0184</x:t>
  </x:si>
  <x:si>
    <x:t xml:space="preserve">Penang State Museum and Art Gallery</x:t>
  </x:si>
  <x:si>
    <x:t xml:space="preserve">state history; art; museum</x:t>
  </x:si>
  <x:si>
    <x:t xml:space="preserve">A museum in George Town documenting Penang's multicultural history and communities.</x:t>
  </x:si>
  <x:si>
    <x:t xml:space="preserve">https://www.google.com/maps/search/?api=1&amp;query=Penang%20State%20Museum%20and%20Art%20Gallery%2C%20Penang%2C%20Malaysia</x:t>
  </x:si>
  <x:si>
    <x:t xml:space="preserve">MC0185</x:t>
  </x:si>
  <x:si>
    <x:t xml:space="preserve">Clan Jetties</x:t>
  </x:si>
  <x:si>
    <x:t xml:space="preserve">water village; heritage; community</x:t>
  </x:si>
  <x:si>
    <x:t xml:space="preserve">Waterfront settlements built on stilts by Chinese clan communities in George Town, the best known being Chew Jetty.</x:t>
  </x:si>
  <x:si>
    <x:t xml:space="preserve">https://www.google.com/maps/search/?api=1&amp;query=Clan%20Jetties%2C%20Penang%2C%20Malaysia</x:t>
  </x:si>
  <x:si>
    <x:t xml:space="preserve">MC0186</x:t>
  </x:si>
  <x:si>
    <x:t xml:space="preserve">Hin Bus Depot</x:t>
  </x:si>
  <x:si>
    <x:t xml:space="preserve">art; creative space; market</x:t>
  </x:si>
  <x:si>
    <x:t xml:space="preserve">A converted former bus depot in George Town, now an arts and events space known for murals and exhibitions.</x:t>
  </x:si>
  <x:si>
    <x:t xml:space="preserve">https://www.google.com/maps/search/?api=1&amp;query=Hin%20Bus%20Depot%2C%20Penang%2C%20Malaysia</x:t>
  </x:si>
  <x:si>
    <x:t xml:space="preserve">MC0187</x:t>
  </x:si>
  <x:si>
    <x:t xml:space="preserve">Air Itam Market</x:t>
  </x:si>
  <x:si>
    <x:t xml:space="preserve">market; local food; neighbourhood</x:t>
  </x:si>
  <x:si>
    <x:t xml:space="preserve">A wet market and food hub near Kek Lok Si Temple in Air Itam, Penang.</x:t>
  </x:si>
  <x:si>
    <x:t xml:space="preserve">https://www.google.com/maps/search/?api=1&amp;query=Air%20Itam%20Market%2C%20Penang%2C%20Malaysia</x:t>
  </x:si>
  <x:si>
    <x:t xml:space="preserve">MC0188</x:t>
  </x:si>
  <x:si>
    <x:t xml:space="preserve">Saanen Dairy Goat Farm</x:t>
  </x:si>
  <x:si>
    <x:t xml:space="preserve">Balik Pulau</x:t>
  </x:si>
  <x:si>
    <x:t xml:space="preserve">farm; dairy; rural</x:t>
  </x:si>
  <x:si>
    <x:t xml:space="preserve">A goat dairy farm in Balik Pulau, Penang, open for visits and fresh dairy products.</x:t>
  </x:si>
  <x:si>
    <x:t xml:space="preserve">https://www.google.com/maps/search/?api=1&amp;query=Saanen%20Dairy%20Goat%20Farm%2C%20Penang%2C%20Malaysia</x:t>
  </x:si>
  <x:si>
    <x:t xml:space="preserve">MC0189</x:t>
  </x:si>
  <x:si>
    <x:t xml:space="preserve">Audi Dream Farm</x:t>
  </x:si>
  <x:si>
    <x:t xml:space="preserve">farm; animals; family</x:t>
  </x:si>
  <x:si>
    <x:t xml:space="preserve">A family-run farm in Balik Pulau, Penang, offering animal encounters and agro-tourism activities.</x:t>
  </x:si>
  <x:si>
    <x:t xml:space="preserve">https://www.google.com/maps/search/?api=1&amp;query=Audi%20Dream%20Farm%2C%20Penang%2C%20Malaysia</x:t>
  </x:si>
  <x:si>
    <x:t xml:space="preserve">MC0190</x:t>
  </x:si>
  <x:si>
    <x:t xml:space="preserve">Penang War Museum</x:t>
  </x:si>
  <x:si>
    <x:t xml:space="preserve">Bayan Lepas</x:t>
  </x:si>
  <x:si>
    <x:t xml:space="preserve">war history; fort; museum</x:t>
  </x:si>
  <x:si>
    <x:t xml:space="preserve">A former British military fort in Bayan Lepas, Penang, now a museum documenting the Second World War in the region.</x:t>
  </x:si>
  <x:si>
    <x:t xml:space="preserve">https://www.google.com/maps/search/?api=1&amp;query=Penang%20War%20Museum%2C%20Penang%2C%20Malaysia</x:t>
  </x:si>
  <x:si>
    <x:t xml:space="preserve">MC0191</x:t>
  </x:si>
  <x:si>
    <x:t xml:space="preserve">Snake Temple</x:t>
  </x:si>
  <x:si>
    <x:t xml:space="preserve">temple; snakes; culture</x:t>
  </x:si>
  <x:si>
    <x:t xml:space="preserve">A Chinese temple in Bayan Lepas, Penang, historically known for housing live pit vipers among its altars.</x:t>
  </x:si>
  <x:si>
    <x:t xml:space="preserve">https://www.google.com/maps/search/?api=1&amp;query=Snake%20Temple%2C%20Penang%2C%20Malaysia</x:t>
  </x:si>
  <x:si>
    <x:t xml:space="preserve">MC0192</x:t>
  </x:si>
  <x:si>
    <x:t xml:space="preserve">St Anne's Church</x:t>
  </x:si>
  <x:si>
    <x:t xml:space="preserve">Bukit Mertajam</x:t>
  </x:si>
  <x:si>
    <x:t xml:space="preserve">church; pilgrimage; heritage</x:t>
  </x:si>
  <x:si>
    <x:t xml:space="preserve">A Catholic church in Bukit Mertajam, Penang, known for its annual pilgrimage feast day drawing large crowds.</x:t>
  </x:si>
  <x:si>
    <x:t xml:space="preserve">https://www.google.com/maps/search/?api=1&amp;query=St%20Anne's%20Church%2C%20Penang%2C%20Malaysia</x:t>
  </x:si>
  <x:si>
    <x:t xml:space="preserve">MC0193</x:t>
  </x:si>
  <x:si>
    <x:t xml:space="preserve">Mengkuang Dam</x:t>
  </x:si>
  <x:si>
    <x:t xml:space="preserve">Seberang Perai</x:t>
  </x:si>
  <x:si>
    <x:t xml:space="preserve">reservoir; walking; scenery</x:t>
  </x:si>
  <x:si>
    <x:t xml:space="preserve">A reservoir dam in Seberang Perai, Penang, popular for scenic drives and photography.</x:t>
  </x:si>
  <x:si>
    <x:t xml:space="preserve">https://www.google.com/maps/search/?api=1&amp;query=Mengkuang%20Dam%2C%20Penang%2C%20Malaysia</x:t>
  </x:si>
  <x:si>
    <x:t xml:space="preserve">MC0194</x:t>
  </x:si>
  <x:si>
    <x:t xml:space="preserve">Penang Bird Park</x:t>
  </x:si>
  <x:si>
    <x:t xml:space="preserve">birds; family; gardens</x:t>
  </x:si>
  <x:si>
    <x:t xml:space="preserve">A bird park in Seberang Perai, Penang, with walk-in aviaries of various bird species.</x:t>
  </x:si>
  <x:si>
    <x:t xml:space="preserve">https://www.google.com/maps/search/?api=1&amp;query=Penang%20Bird%20Park%2C%20Penang%2C%20Malaysia</x:t>
  </x:si>
  <x:si>
    <x:t xml:space="preserve">MC0195</x:t>
  </x:si>
  <x:si>
    <x:t xml:space="preserve">Pangkor Island</x:t>
  </x:si>
  <x:si>
    <x:t xml:space="preserve">Perak</x:t>
  </x:si>
  <x:si>
    <x:t xml:space="preserve">Manjung</x:t>
  </x:si>
  <x:si>
    <x:t xml:space="preserve">Beach; island; relaxation; snorkelling; kayaking; jet skiing; island hopping; jungle trekking; hornbill feeding; wildlife; fishing villages; seafood; heritage; Dutch Fort; temples; mosques; sunset; duty-free shopping</x:t>
  </x:si>
  <x:si>
    <x:t xml:space="preserve">Perak's popular tropical island getaway in the Manjung district, known for beaches, fishing villages, seafood, wildlife and heritage sites. Visitors can combine water activities with jungle trekking, hornbill feeding, temple and mosque visits, and exploration of the Dutch Fort.</x:t>
  </x:si>
  <x:si>
    <x:t xml:space="preserve">https://www.tourismperakmalaysia.com/pangkor-island/ ; https://www.malaysia.travel/explore/pangkor-island</x:t>
  </x:si>
  <x:si>
    <x:t xml:space="preserve">https://ebrochures.malaysia.travel/en/malaysia-travel-guide/perak/</x:t>
  </x:si>
  <x:si>
    <x:t xml:space="preserve">A003</x:t>
  </x:si>
  <x:si>
    <x:t xml:space="preserve">MC0196</x:t>
  </x:si>
  <x:si>
    <x:t xml:space="preserve">Sungai Klah Hot Springs</x:t>
  </x:si>
  <x:si>
    <x:t xml:space="preserve">Sungkai</x:t>
  </x:si>
  <x:si>
    <x:t xml:space="preserve">Hot springs; relaxation; wellness; spa; swimming; water park; private jacuzzi; water reflexology; egg boiling; water slides; forest; family recreation</x:t>
  </x:si>
  <x:si>
    <x:t xml:space="preserve">A managed natural hot-springs park near Sungkai at the foothills of the Titiwangsa Range. Its forest setting combines hot-spring bathing and swimming with spa-style and family activities such as private jacuzzis, water reflexology, egg boiling and water slides.</x:t>
  </x:si>
  <x:si>
    <x:t xml:space="preserve">https://www.tourismperakmalaysia.com/sungai-klah-hot-springs/ ; https://www.feldaresidences.com/hot-spring-water-park/ ; https://www.malaysia.travel/explore/perak-s-top-10-activities-from-the-thrilling-to-relaxing</x:t>
  </x:si>
  <x:si>
    <x:t xml:space="preserve">A004</x:t>
  </x:si>
  <x:si>
    <x:t xml:space="preserve">MC0197</x:t>
  </x:si>
  <x:si>
    <x:t xml:space="preserve">Lost World of Tambun</x:t>
  </x:si>
  <x:si>
    <x:t xml:space="preserve">Ipoh</x:t>
  </x:si>
  <x:si>
    <x:t xml:space="preserve">theme park; hot springs; relaxation; family; water park</x:t>
  </x:si>
  <x:si>
    <x:t xml:space="preserve">A theme park in Ipoh combining water rides, wildlife encounters and hot springs set against limestone hills.</x:t>
  </x:si>
  <x:si>
    <x:t xml:space="preserve">https://www.google.com/maps/search/?api=1&amp;query=Lost%20World%20of%20Tambun%2C%20Perak%2C%20Malaysia</x:t>
  </x:si>
  <x:si>
    <x:t xml:space="preserve">A089</x:t>
  </x:si>
  <x:si>
    <x:t xml:space="preserve">MC0198</x:t>
  </x:si>
  <x:si>
    <x:t xml:space="preserve">Kellie's Castle</x:t>
  </x:si>
  <x:si>
    <x:t xml:space="preserve">Batu Gajah</x:t>
  </x:si>
  <x:si>
    <x:t xml:space="preserve">castle; heritage; history; architecture; photography</x:t>
  </x:si>
  <x:si>
    <x:t xml:space="preserve">An unfinished early-20th-century mansion in Batu Gajah, Perak, built by Scottish planter William Kellie Smith and known for its unusual architecture and legends.</x:t>
  </x:si>
  <x:si>
    <x:t xml:space="preserve">https://www.google.com/maps/search/?api=1&amp;query=Kellie's%20Castle%2C%20Perak%2C%20Malaysia</x:t>
  </x:si>
  <x:si>
    <x:t xml:space="preserve">A090</x:t>
  </x:si>
  <x:si>
    <x:t xml:space="preserve">MC0199</x:t>
  </x:si>
  <x:si>
    <x:t xml:space="preserve">Ipoh Old Town</x:t>
  </x:si>
  <x:si>
    <x:t xml:space="preserve">heritage; street art; local food; history; walking</x:t>
  </x:si>
  <x:si>
    <x:t xml:space="preserve">Ipoh's historic core, known for well-preserved colonial shophouses, street art and famous local food.</x:t>
  </x:si>
  <x:si>
    <x:t xml:space="preserve">https://www.google.com/maps/search/?api=1&amp;query=Ipoh%20Old%20Town%2C%20Perak%2C%20Malaysia</x:t>
  </x:si>
  <x:si>
    <x:t xml:space="preserve">A091</x:t>
  </x:si>
  <x:si>
    <x:t xml:space="preserve">MC0200</x:t>
  </x:si>
  <x:si>
    <x:t xml:space="preserve">Royal Belum State Park</x:t>
  </x:si>
  <x:si>
    <x:t xml:space="preserve">Gerik</x:t>
  </x:si>
  <x:si>
    <x:t xml:space="preserve">rainforest; wildlife; boat trip; nature; adventure</x:t>
  </x:si>
  <x:si>
    <x:t xml:space="preserve">A vast ancient rainforest in Gerik district, Perak, among the world's oldest rainforests, known for wildlife and Orang Asli communities.</x:t>
  </x:si>
  <x:si>
    <x:t xml:space="preserve">https://www.google.com/maps/search/?api=1&amp;query=Royal%20Belum%20State%20Park%2C%20Perak%2C%20Malaysia</x:t>
  </x:si>
  <x:si>
    <x:t xml:space="preserve">A092</x:t>
  </x:si>
  <x:si>
    <x:t xml:space="preserve">MC0201</x:t>
  </x:si>
  <x:si>
    <x:t xml:space="preserve">Taiping Lake Gardens</x:t>
  </x:si>
  <x:si>
    <x:t xml:space="preserve">Taiping</x:t>
  </x:si>
  <x:si>
    <x:t xml:space="preserve">lake; garden; walking; relaxation; family</x:t>
  </x:si>
  <x:si>
    <x:t xml:space="preserve">A landscaped garden built on former tin-mining pools in Taiping, considered one of Malaysia's earliest and most scenic public parks.</x:t>
  </x:si>
  <x:si>
    <x:t xml:space="preserve">https://www.google.com/maps/search/?api=1&amp;query=Taiping%20Lake%20Gardens%2C%20Perak%2C%20Malaysia</x:t>
  </x:si>
  <x:si>
    <x:t xml:space="preserve">A093</x:t>
  </x:si>
  <x:si>
    <x:t xml:space="preserve">MC0202</x:t>
  </x:si>
  <x:si>
    <x:t xml:space="preserve">Perak Cave Temple</x:t>
  </x:si>
  <x:si>
    <x:t xml:space="preserve">cave temple; culture; architecture; religion; scenery</x:t>
  </x:si>
  <x:si>
    <x:t xml:space="preserve">A Chinese Buddhist cave temple in Ipoh built into a limestone hill, with murals and a hilltop viewpoint.</x:t>
  </x:si>
  <x:si>
    <x:t xml:space="preserve">https://www.google.com/maps/search/?api=1&amp;query=Perak%20Cave%20Temple%2C%20Perak%2C%20Malaysia</x:t>
  </x:si>
  <x:si>
    <x:t xml:space="preserve">A094</x:t>
  </x:si>
  <x:si>
    <x:t xml:space="preserve">MC0203</x:t>
  </x:si>
  <x:si>
    <x:t xml:space="preserve">Matang Mangrove Forest Reserve</x:t>
  </x:si>
  <x:si>
    <x:t xml:space="preserve">Kuala Sepetang</x:t>
  </x:si>
  <x:si>
    <x:t xml:space="preserve">mangrove; nature; wildlife; education; river</x:t>
  </x:si>
  <x:si>
    <x:t xml:space="preserve">One of the best-managed mangrove forest reserves in Asia, near Kuala Sepetang, Perak, known for sustainable charcoal production and wildlife.</x:t>
  </x:si>
  <x:si>
    <x:t xml:space="preserve">https://www.google.com/maps/search/?api=1&amp;query=Matang%20Mangrove%20Forest%20Reserve%2C%20Perak%2C%20Malaysia</x:t>
  </x:si>
  <x:si>
    <x:t xml:space="preserve">A095</x:t>
  </x:si>
  <x:si>
    <x:t xml:space="preserve">MC0204</x:t>
  </x:si>
  <x:si>
    <x:t xml:space="preserve">Gua Tempurung</x:t>
  </x:si>
  <x:si>
    <x:t xml:space="preserve">Gopeng</x:t>
  </x:si>
  <x:si>
    <x:t xml:space="preserve">cave; adventure; geology; hiking; nature</x:t>
  </x:si>
  <x:si>
    <x:t xml:space="preserve">One of Peninsular Malaysia's largest limestone cave systems, in Gopeng, offering guided cave tours and adventure caving routes.</x:t>
  </x:si>
  <x:si>
    <x:t xml:space="preserve">https://www.google.com/maps/search/?api=1&amp;query=Gua%20Tempurung%2C%20Perak%2C%20Malaysia</x:t>
  </x:si>
  <x:si>
    <x:t xml:space="preserve">A096</x:t>
  </x:si>
  <x:si>
    <x:t xml:space="preserve">MC0205</x:t>
  </x:si>
  <x:si>
    <x:t xml:space="preserve">Ipoh Old Town Heritage Trail</x:t>
  </x:si>
  <x:si>
    <x:t xml:space="preserve">heritage; street art; food</x:t>
  </x:si>
  <x:si>
    <x:t xml:space="preserve">A self-guided walking trail through Ipoh's colonial-era heritage buildings and street art.</x:t>
  </x:si>
  <x:si>
    <x:t xml:space="preserve">https://www.google.com/maps/search/?api=1&amp;query=Ipoh%20Old%20Town%20Heritage%20Trail%2C%20Perak%2C%20Malaysia</x:t>
  </x:si>
  <x:si>
    <x:t xml:space="preserve">Perak expansion batch</x:t>
  </x:si>
  <x:si>
    <x:t xml:space="preserve">MC0206</x:t>
  </x:si>
  <x:si>
    <x:t xml:space="preserve">Han Chin Pet Soo</x:t>
  </x:si>
  <x:si>
    <x:t xml:space="preserve">tin mining; museum; heritage</x:t>
  </x:si>
  <x:si>
    <x:t xml:space="preserve">A former Hakka tin-miners' clan clubhouse in Ipoh, now a museum on the region's tin-mining Chinese community.</x:t>
  </x:si>
  <x:si>
    <x:t xml:space="preserve">https://www.google.com/maps/search/?api=1&amp;query=Han%20Chin%20Pet%20Soo%2C%20Perak%2C%20Malaysia</x:t>
  </x:si>
  <x:si>
    <x:t xml:space="preserve">MC0207</x:t>
  </x:si>
  <x:si>
    <x:t xml:space="preserve">Ho Yan Hor Museum</x:t>
  </x:si>
  <x:si>
    <x:t xml:space="preserve">heritage house; tea; museum</x:t>
  </x:si>
  <x:si>
    <x:t xml:space="preserve">A museum in Ipoh dedicated to the history of the Ho Yan Hor herbal tea brand and its founder.</x:t>
  </x:si>
  <x:si>
    <x:t xml:space="preserve">https://www.google.com/maps/search/?api=1&amp;query=Ho%20Yan%20Hor%20Museum%2C%20Perak%2C%20Malaysia</x:t>
  </x:si>
  <x:si>
    <x:t xml:space="preserve">MC0208</x:t>
  </x:si>
  <x:si>
    <x:t xml:space="preserve">Kek Lok Tong Cave Temple</x:t>
  </x:si>
  <x:si>
    <x:t xml:space="preserve">cave temple; garden; limestone</x:t>
  </x:si>
  <x:si>
    <x:t xml:space="preserve">A Buddhist cave temple in Ipoh set within a limestone cavern, with a garden and reflective pool at its rear entrance.</x:t>
  </x:si>
  <x:si>
    <x:t xml:space="preserve">https://www.google.com/maps/search/?api=1&amp;query=Kek%20Lok%20Tong%20Cave%20Temple%2C%20Perak%2C%20Malaysia</x:t>
  </x:si>
  <x:si>
    <x:t xml:space="preserve">MC0209</x:t>
  </x:si>
  <x:si>
    <x:t xml:space="preserve">Sam Poh Tong Temple</x:t>
  </x:si>
  <x:si>
    <x:t xml:space="preserve">cave temple; architecture; culture</x:t>
  </x:si>
  <x:si>
    <x:t xml:space="preserve">A Buddhist cave temple in Ipoh built into a limestone outcrop, with a turtle pond and landscaped garden.</x:t>
  </x:si>
  <x:si>
    <x:t xml:space="preserve">https://www.google.com/maps/search/?api=1&amp;query=Sam%20Poh%20Tong%20Temple%2C%20Perak%2C%20Malaysia</x:t>
  </x:si>
  <x:si>
    <x:t xml:space="preserve">MC0210</x:t>
  </x:si>
  <x:si>
    <x:t xml:space="preserve">Gunung Lang Recreational Park</x:t>
  </x:si>
  <x:si>
    <x:t xml:space="preserve">lake; limestone; family</x:t>
  </x:si>
  <x:si>
    <x:t xml:space="preserve">A scenic lakeside park in Ipoh set against limestone cliffs, popular for kayaking and photography.</x:t>
  </x:si>
  <x:si>
    <x:t xml:space="preserve">https://www.google.com/maps/search/?api=1&amp;query=Gunung%20Lang%20Recreational%20Park%2C%20Perak%2C%20Malaysia</x:t>
  </x:si>
  <x:si>
    <x:t xml:space="preserve">MC0211</x:t>
  </x:si>
  <x:si>
    <x:t xml:space="preserve">Ubudiah Mosque</x:t>
  </x:si>
  <x:si>
    <x:t xml:space="preserve">Kuala Kangsar</x:t>
  </x:si>
  <x:si>
    <x:t xml:space="preserve">mosque; architecture; royal town</x:t>
  </x:si>
  <x:si>
    <x:t xml:space="preserve">An ornate gold-domed mosque in Kuala Kangsar, the royal town of Perak, completed in 1917.</x:t>
  </x:si>
  <x:si>
    <x:t xml:space="preserve">https://www.google.com/maps/search/?api=1&amp;query=Ubudiah%20Mosque%2C%20Perak%2C%20Malaysia</x:t>
  </x:si>
  <x:si>
    <x:t xml:space="preserve">MC0212</x:t>
  </x:si>
  <x:si>
    <x:t xml:space="preserve">Royal Museum of Perak</x:t>
  </x:si>
  <x:si>
    <x:t xml:space="preserve">royal heritage; palace; museum</x:t>
  </x:si>
  <x:si>
    <x:t xml:space="preserve">A former royal palace in Kuala Kangsar, Istana Kenangan, now housing exhibits on Perak's royal history.</x:t>
  </x:si>
  <x:si>
    <x:t xml:space="preserve">https://www.google.com/maps/search/?api=1&amp;query=Royal%20Museum%20of%20Perak%2C%20Perak%2C%20Malaysia</x:t>
  </x:si>
  <x:si>
    <x:t xml:space="preserve">MC0213</x:t>
  </x:si>
  <x:si>
    <x:t xml:space="preserve">Victoria Bridge</x:t>
  </x:si>
  <x:si>
    <x:t xml:space="preserve">railway bridge; photography; history</x:t>
  </x:si>
  <x:si>
    <x:t xml:space="preserve">A historic railway bridge in Kuala Kangsar, Perak, built during the British colonial era.</x:t>
  </x:si>
  <x:si>
    <x:t xml:space="preserve">https://www.google.com/maps/search/?api=1&amp;query=Victoria%20Bridge%2C%20Perak%2C%20Malaysia</x:t>
  </x:si>
  <x:si>
    <x:t xml:space="preserve">MC0214</x:t>
  </x:si>
  <x:si>
    <x:t xml:space="preserve">Perak Museum</x:t>
  </x:si>
  <x:si>
    <x:t xml:space="preserve">natural history; museum; heritage</x:t>
  </x:si>
  <x:si>
    <x:t xml:space="preserve">Malaysia's oldest museum, established in Taiping in 1883, covering natural history and regional culture.</x:t>
  </x:si>
  <x:si>
    <x:t xml:space="preserve">https://www.google.com/maps/search/?api=1&amp;query=Perak%20Museum%2C%20Perak%2C%20Malaysia</x:t>
  </x:si>
  <x:si>
    <x:t xml:space="preserve">MC0215</x:t>
  </x:si>
  <x:si>
    <x:t xml:space="preserve">Bukit Larut</x:t>
  </x:si>
  <x:si>
    <x:t xml:space="preserve">highland; forest; viewpoint</x:t>
  </x:si>
  <x:si>
    <x:t xml:space="preserve">Formerly Maxwell Hill, a hill station above Taiping reached by Land Rover, known for its cool climate and heavy rainfall.</x:t>
  </x:si>
  <x:si>
    <x:t xml:space="preserve">https://www.google.com/maps/search/?api=1&amp;query=Bukit%20Larut%2C%20Perak%2C%20Malaysia</x:t>
  </x:si>
  <x:si>
    <x:t xml:space="preserve">MC0216</x:t>
  </x:si>
  <x:si>
    <x:t xml:space="preserve">Kuala Sepetang Charcoal Factory</x:t>
  </x:si>
  <x:si>
    <x:t xml:space="preserve">charcoal; industry; mangrove</x:t>
  </x:si>
  <x:si>
    <x:t xml:space="preserve">A traditional mangrove-wood charcoal production site near Kuala Sepetang, Perak, open to visitors.</x:t>
  </x:si>
  <x:si>
    <x:t xml:space="preserve">https://www.google.com/maps/search/?api=1&amp;query=Kuala%20Sepetang%20Charcoal%20Factory%2C%20Perak%2C%20Malaysia</x:t>
  </x:si>
  <x:si>
    <x:t xml:space="preserve">MC0217</x:t>
  </x:si>
  <x:si>
    <x:t xml:space="preserve">Kinta Tin Mining Museum</x:t>
  </x:si>
  <x:si>
    <x:t xml:space="preserve">Kampar</x:t>
  </x:si>
  <x:si>
    <x:t xml:space="preserve">tin mining; history; museum</x:t>
  </x:si>
  <x:si>
    <x:t xml:space="preserve">A museum in Kampar, Perak, documenting the Kinta Valley's tin-mining heritage.</x:t>
  </x:si>
  <x:si>
    <x:t xml:space="preserve">https://www.google.com/maps/search/?api=1&amp;query=Kinta%20Tin%20Mining%20Museum%2C%20Perak%2C%20Malaysia</x:t>
  </x:si>
  <x:si>
    <x:t xml:space="preserve">MC0218</x:t>
  </x:si>
  <x:si>
    <x:t xml:space="preserve">Ulu Geroh Rafflesia Trail</x:t>
  </x:si>
  <x:si>
    <x:t xml:space="preserve">rafflesia; village guide; hiking</x:t>
  </x:si>
  <x:si>
    <x:t xml:space="preserve">A jungle trail near Gopeng, run with the local Orang Asli community, offering seasonal viewings of the giant Rafflesia flower.</x:t>
  </x:si>
  <x:si>
    <x:t xml:space="preserve">https://www.google.com/maps/search/?api=1&amp;query=Ulu%20Geroh%20Rafflesia%20Trail%2C%20Perak%2C%20Malaysia</x:t>
  </x:si>
  <x:si>
    <x:t xml:space="preserve">MC0219</x:t>
  </x:si>
  <x:si>
    <x:t xml:space="preserve">Lenggong Valley Archaeological Gallery</x:t>
  </x:si>
  <x:si>
    <x:t xml:space="preserve">Lenggong</x:t>
  </x:si>
  <x:si>
    <x:t xml:space="preserve">archaeology; UNESCO; museum</x:t>
  </x:si>
  <x:si>
    <x:t xml:space="preserve">A gallery near the UNESCO-listed Lenggong Valley showcasing prehistoric archaeological finds, including ancient stone tools.</x:t>
  </x:si>
  <x:si>
    <x:t xml:space="preserve">https://www.google.com/maps/search/?api=1&amp;query=Lenggong%20Valley%20Archaeological%20Gallery%2C%20Perak%2C%20Malaysia</x:t>
  </x:si>
  <x:si>
    <x:t xml:space="preserve">MC0220</x:t>
  </x:si>
  <x:si>
    <x:t xml:space="preserve">Temengor Lake</x:t>
  </x:si>
  <x:si>
    <x:t xml:space="preserve">lake; rainforest; boating</x:t>
  </x:si>
  <x:si>
    <x:t xml:space="preserve">A large reservoir lake near Gerik, Perak, surrounded by rainforest and known for fishing and hornbill-watching.</x:t>
  </x:si>
  <x:si>
    <x:t xml:space="preserve">https://www.google.com/maps/search/?api=1&amp;query=Temengor%20Lake%2C%20Perak%2C%20Malaysia</x:t>
  </x:si>
  <x:si>
    <x:t xml:space="preserve">MC0221</x:t>
  </x:si>
  <x:si>
    <x:t xml:space="preserve">Leaning Tower of Teluk Intan</x:t>
  </x:si>
  <x:si>
    <x:t xml:space="preserve">Teluk Intan</x:t>
  </x:si>
  <x:si>
    <x:t xml:space="preserve">tower; landmark; history</x:t>
  </x:si>
  <x:si>
    <x:t xml:space="preserve">A distinctive leaning clock tower in Teluk Intan, built in 1885 and often compared to the Leaning Tower of Pisa.</x:t>
  </x:si>
  <x:si>
    <x:t xml:space="preserve">https://www.google.com/maps/search/?api=1&amp;query=Leaning%20Tower%20of%20Teluk%20Intan%2C%20Perak%2C%20Malaysia</x:t>
  </x:si>
  <x:si>
    <x:t xml:space="preserve">MC0222</x:t>
  </x:si>
  <x:si>
    <x:t xml:space="preserve">Dutch Fort Pangkor</x:t>
  </x:si>
  <x:si>
    <x:t xml:space="preserve">fort; island; history</x:t>
  </x:si>
  <x:si>
    <x:t xml:space="preserve">A small 17th-century Dutch fort ruin on the Perak mainland opposite Pangkor Island.</x:t>
  </x:si>
  <x:si>
    <x:t xml:space="preserve">https://www.google.com/maps/search/?api=1&amp;query=Dutch%20Fort%20Pangkor%2C%20Perak%2C%20Malaysia</x:t>
  </x:si>
  <x:si>
    <x:t xml:space="preserve">MC0223</x:t>
  </x:si>
  <x:si>
    <x:t xml:space="preserve">Tanjung Tualang Tin Dredge No. 5</x:t>
  </x:si>
  <x:si>
    <x:t xml:space="preserve">Tanjung Tualang</x:t>
  </x:si>
  <x:si>
    <x:t xml:space="preserve">industrial heritage; mining; museum</x:t>
  </x:si>
  <x:si>
    <x:t xml:space="preserve">A preserved historic tin dredge, now a museum illustrating Malaysia's tin-mining industry, near Tanjung Tualang, Perak.</x:t>
  </x:si>
  <x:si>
    <x:t xml:space="preserve">https://www.google.com/maps/search/?api=1&amp;query=Tanjung%20Tualang%20Tin%20Dredge%20No.%205%2C%20Perak%2C%20Malaysia</x:t>
  </x:si>
  <x:si>
    <x:t xml:space="preserve">MC0224</x:t>
  </x:si>
  <x:si>
    <x:t xml:space="preserve">Gua Kelam Recreational Park</x:t>
  </x:si>
  <x:si>
    <x:t xml:space="preserve">Perlis</x:t>
  </x:si>
  <x:si>
    <x:t xml:space="preserve">Kaki Bukit</x:t>
  </x:si>
  <x:si>
    <x:t xml:space="preserve">Limestone cave; show cave; cave exploration; geology; rock formations; bats; tin-mining heritage; suspension bridge; wooden walkway; underground stream; river; swimming; wet trail; dry trail; caving; adventure; photography; gallery; virtual reality; ATV; camping; nature education; family recreation</x:t>
  </x:si>
  <x:si>
    <x:t xml:space="preserve">A limestone-cave and ecotourism complex near Kaki Bukit, centred on the 370-metre Gua Kelam 1 showcave. A lit wooden suspension walkway follows an underground stream past cave formations, bats and remnants of historic tin mining, while Gua Kelam 2 offers more demanding guided dry and wet caving experiences.</x:t>
  </x:si>
  <x:si>
    <x:t xml:space="preserve">https://www.malaysia.travel/explore/gua-kelam-recreational-park ; https://www.forestry.gov.my/en/semenanjung-malaysia/taman-negeri-perlis ; https://forestry.perlis.gov.my/eko-pelancongan/gua-kelam ; https://explore.perlis.gov.my/bm/Destination/View/r4Hnz ; https://geopark.perlis.gov.my/tour-item/lombong-gua-kelam/ ; https://ebrochures.malaysia.travel/en/malaysia-travel-guide/perlis/ ; https://www.malaysia.travel/explore/3d2n-in-perlis-a-weekend-guide</x:t>
  </x:si>
  <x:si>
    <x:t xml:space="preserve">https://ebrochures.malaysia.travel/en/malaysia-travel-guide/perlis/</x:t>
  </x:si>
  <x:si>
    <x:t xml:space="preserve">A017</x:t>
  </x:si>
  <x:si>
    <x:t xml:space="preserve">MC0225</x:t>
  </x:si>
  <x:si>
    <x:t xml:space="preserve">Timah Tasoh Lake</x:t>
  </x:si>
  <x:si>
    <x:t xml:space="preserve">Beseri</x:t>
  </x:si>
  <x:si>
    <x:t xml:space="preserve">Lake; reservoir; dam; water catchment; sunset; scenic view; mountains; birdwatching; migratory birds; wetland; wildlife; fishing; freshwater fish; aquaculture; photography; relaxation; picnicking; camping; boating; boat cruise; kayaking; sailing; water sports; orchards; rural tourism</x:t>
  </x:si>
  <x:si>
    <x:t xml:space="preserve">A large man-made reservoir near Beseri in northern Perlis, formed where Sungai Timah and Sungai Tasoh meet. Surrounded by hills and greenery, the lake is known for sunset views, migratory birds, freshwater fishing and peaceful lakeside recreation, with selected tourism and water activities around the wider reservoir area.</x:t>
  </x:si>
  <x:si>
    <x:t xml:space="preserve">https://www.malaysia.travel/explore/timah-tasoh-lake ; https://www.malaysia.travel/index.php/explore/timah-tasoh-lake ; https://tourism.perlis.gov.my/tour-item/tasik-timah-tasoh/ ; https://explore.perlis.gov.my/Destination/view/OJkEf ; https://explore.perlis.gov.my/Destination/view/KNZl3 ; https://ebrochures.malaysia.travel/en/birdwatching-paradise/perlis/ ; https://jps.perlis.gov.my/index.php/galeri/arkib-berita/339-pembukaan-pintu-alur-limpah-barat-empangan-timah-tasoh-2</x:t>
  </x:si>
  <x:si>
    <x:t xml:space="preserve">A018</x:t>
  </x:si>
  <x:si>
    <x:t xml:space="preserve">MC0226</x:t>
  </x:si>
  <x:si>
    <x:t xml:space="preserve">Wang Kelian Viewpoint</x:t>
  </x:si>
  <x:si>
    <x:t xml:space="preserve">Wang Kelian</x:t>
  </x:si>
  <x:si>
    <x:t xml:space="preserve">viewpoint; scenery; sunrise; nature; photography</x:t>
  </x:si>
  <x:si>
    <x:t xml:space="preserve">A scenic viewpoint near the Malaysia-Thailand border within Perlis State Park.</x:t>
  </x:si>
  <x:si>
    <x:t xml:space="preserve">https://www.google.com/maps/search/?api=1&amp;query=Wang%20Kelian%20View%20Point%2C%20Perlis%2C%20Malaysia</x:t>
  </x:si>
  <x:si>
    <x:t xml:space="preserve">A097</x:t>
  </x:si>
  <x:si>
    <x:t xml:space="preserve">MC0227</x:t>
  </x:si>
  <x:si>
    <x:t xml:space="preserve">Perlis State Park</x:t>
  </x:si>
  <x:si>
    <x:t xml:space="preserve">forest; hiking; caves; wildlife; nature</x:t>
  </x:si>
  <x:si>
    <x:t xml:space="preserve">Malaysia's smallest state park, a limestone forest reserve near Wang Kelian known for caves and hiking trails.</x:t>
  </x:si>
  <x:si>
    <x:t xml:space="preserve">https://www.google.com/maps/search/?api=1&amp;query=Perlis%20State%20Park%2C%20Perlis%2C%20Malaysia</x:t>
  </x:si>
  <x:si>
    <x:t xml:space="preserve">A098</x:t>
  </x:si>
  <x:si>
    <x:t xml:space="preserve">MC0228</x:t>
  </x:si>
  <x:si>
    <x:t xml:space="preserve">Padang Besar Market</x:t>
  </x:si>
  <x:si>
    <x:t xml:space="preserve">Padang Besar</x:t>
  </x:si>
  <x:si>
    <x:t xml:space="preserve">market; shopping; local food; border town; culture</x:t>
  </x:si>
  <x:si>
    <x:t xml:space="preserve">A cross-border market town at the Malaysia-Thailand border known for duty-free shopping.</x:t>
  </x:si>
  <x:si>
    <x:t xml:space="preserve">https://www.google.com/maps/search/?api=1&amp;query=Padang%20Besar%20Market%2C%20Perlis%2C%20Malaysia</x:t>
  </x:si>
  <x:si>
    <x:t xml:space="preserve">A099</x:t>
  </x:si>
  <x:si>
    <x:t xml:space="preserve">MC0229</x:t>
  </x:si>
  <x:si>
    <x:t xml:space="preserve">Kota Kayang Museum</x:t>
  </x:si>
  <x:si>
    <x:t xml:space="preserve">Kuala Perlis</x:t>
  </x:si>
  <x:si>
    <x:t xml:space="preserve">museum; history; archaeology; heritage; culture</x:t>
  </x:si>
  <x:si>
    <x:t xml:space="preserve">A small archaeological and historical museum in Kuala Perlis.</x:t>
  </x:si>
  <x:si>
    <x:t xml:space="preserve">https://www.google.com/maps/search/?api=1&amp;query=Kota%20Kayang%20Museum%2C%20Perlis%2C%20Malaysia</x:t>
  </x:si>
  <x:si>
    <x:t xml:space="preserve">A100</x:t>
  </x:si>
  <x:si>
    <x:t xml:space="preserve">MC0230</x:t>
  </x:si>
  <x:si>
    <x:t xml:space="preserve">Tasik Melati Recreational Park</x:t>
  </x:si>
  <x:si>
    <x:t xml:space="preserve">Kangar</x:t>
  </x:si>
  <x:si>
    <x:t xml:space="preserve">lake; walking; relaxation; family; nature</x:t>
  </x:si>
  <x:si>
    <x:t xml:space="preserve">A lake recreational park near Kangar, Perlis, with boating and a small zoo.</x:t>
  </x:si>
  <x:si>
    <x:t xml:space="preserve">https://www.google.com/maps/search/?api=1&amp;query=Tasik%20Melati%20Recreational%20Park%2C%20Perlis%2C%20Malaysia</x:t>
  </x:si>
  <x:si>
    <x:t xml:space="preserve">A101</x:t>
  </x:si>
  <x:si>
    <x:t xml:space="preserve">MC0231</x:t>
  </x:si>
  <x:si>
    <x:t xml:space="preserve">Perlis Snake and Reptile Farm</x:t>
  </x:si>
  <x:si>
    <x:t xml:space="preserve">Sungai Batu Pahat</x:t>
  </x:si>
  <x:si>
    <x:t xml:space="preserve">reptiles; snakes; family; education; wildlife</x:t>
  </x:si>
  <x:si>
    <x:t xml:space="preserve">A reptile park in Sungai Batu Pahat district, Perlis, showcasing snakes and other reptiles.</x:t>
  </x:si>
  <x:si>
    <x:t xml:space="preserve">https://www.google.com/maps/search/?api=1&amp;query=Perlis%20Snake%20and%20Reptile%20Farm%2C%20Perlis%2C%20Malaysia</x:t>
  </x:si>
  <x:si>
    <x:t xml:space="preserve">A102</x:t>
  </x:si>
  <x:si>
    <x:t xml:space="preserve">MC0232</x:t>
  </x:si>
  <x:si>
    <x:t xml:space="preserve">Al-Hussain Mosque</x:t>
  </x:si>
  <x:si>
    <x:t xml:space="preserve">mosque; architecture; religion; sunset; photography</x:t>
  </x:si>
  <x:si>
    <x:t xml:space="preserve">A landmark mosque in Kuala Perlis built on stilts over the water, giving it a floating appearance.</x:t>
  </x:si>
  <x:si>
    <x:t xml:space="preserve">https://www.google.com/maps/search/?api=1&amp;query=Al-Hussain%20Mosque%2C%20Perlis%2C%20Malaysia</x:t>
  </x:si>
  <x:si>
    <x:t xml:space="preserve">A103</x:t>
  </x:si>
  <x:si>
    <x:t xml:space="preserve">MC0233</x:t>
  </x:si>
  <x:si>
    <x:t xml:space="preserve">Bukit Ayer Recreational Forest</x:t>
  </x:si>
  <x:si>
    <x:t xml:space="preserve">forest; waterfall; picnic; relaxation; family</x:t>
  </x:si>
  <x:si>
    <x:t xml:space="preserve">A forest recreation area in Sungai Batu Pahat district, Perlis, with waterfalls.</x:t>
  </x:si>
  <x:si>
    <x:t xml:space="preserve">https://www.google.com/maps/search/?api=1&amp;query=Bukit%20Ayer%20Recreational%20Forest%2C%20Perlis%2C%20Malaysia</x:t>
  </x:si>
  <x:si>
    <x:t xml:space="preserve">A104</x:t>
  </x:si>
  <x:si>
    <x:t xml:space="preserve">MC0234</x:t>
  </x:si>
  <x:si>
    <x:t xml:space="preserve">viewpoint; sunrise; countryside</x:t>
  </x:si>
  <x:si>
    <x:t xml:space="preserve">A scenic border viewpoint within Perlis State Park near Wang Kelian.</x:t>
  </x:si>
  <x:si>
    <x:t xml:space="preserve">https://www.google.com/maps/search/?api=1&amp;query=Wang%20Kelian%20Viewpoint%2C%20Perlis%2C%20Malaysia</x:t>
  </x:si>
  <x:si>
    <x:t xml:space="preserve">Perlis expansion batch</x:t>
  </x:si>
  <x:si>
    <x:t xml:space="preserve">Rejected</x:t>
  </x:si>
  <x:si>
    <x:t xml:space="preserve">Duplicate of MC0226 – Wang Kelian Viewpoint. Retained only for audit history; do not import into the application database.</x:t>
  </x:si>
  <x:si>
    <x:t xml:space="preserve">MC0235</x:t>
  </x:si>
  <x:si>
    <x:t xml:space="preserve">Tasik Melati</x:t>
  </x:si>
  <x:si>
    <x:t xml:space="preserve">lake; wetland; boardwalk</x:t>
  </x:si>
  <x:si>
    <x:t xml:space="preserve">A lake recreational park in Beseri district near Kangar, popular for boating and picnics.</x:t>
  </x:si>
  <x:si>
    <x:t xml:space="preserve">https://www.google.com/maps/search/?api=1&amp;query=Tasik%20Melati%2C%20Perlis%2C%20Malaysia</x:t>
  </x:si>
  <x:si>
    <x:t xml:space="preserve">MC0236</x:t>
  </x:si>
  <x:si>
    <x:t xml:space="preserve">Kuala Perlis Waterfront</x:t>
  </x:si>
  <x:si>
    <x:t xml:space="preserve">seafood; sunset; waterfront</x:t>
  </x:si>
  <x:si>
    <x:t xml:space="preserve">A waterfront promenade in Kuala Perlis known for seafood restaurants and ferry connections to Langkawi.</x:t>
  </x:si>
  <x:si>
    <x:t xml:space="preserve">https://www.google.com/maps/search/?api=1&amp;query=Kuala%20Perlis%20Waterfront%2C%20Perlis%2C%20Malaysia</x:t>
  </x:si>
  <x:si>
    <x:t xml:space="preserve">MC0237</x:t>
  </x:si>
  <x:si>
    <x:t xml:space="preserve">Perlis Royal Gallery</x:t>
  </x:si>
  <x:si>
    <x:t xml:space="preserve">Arau</x:t>
  </x:si>
  <x:si>
    <x:t xml:space="preserve">A museum in Arau, Perlis, showcasing the state's royal family history and regalia.</x:t>
  </x:si>
  <x:si>
    <x:t xml:space="preserve">https://www.google.com/maps/search/?api=1&amp;query=Perlis%20Royal%20Gallery%2C%20Perlis%2C%20Malaysia</x:t>
  </x:si>
  <x:si>
    <x:t xml:space="preserve">MC0238</x:t>
  </x:si>
  <x:si>
    <x:t xml:space="preserve">Arau Palace Grounds</x:t>
  </x:si>
  <x:si>
    <x:t xml:space="preserve">royal town; architecture; landmark</x:t>
  </x:si>
  <x:si>
    <x:t xml:space="preserve">The royal town of Arau, home to Istana Arau, the official palace of the Raja of Perlis.</x:t>
  </x:si>
  <x:si>
    <x:t xml:space="preserve">https://www.google.com/maps/search/?api=1&amp;query=Arau%20Palace%20Grounds%2C%20Perlis%2C%20Malaysia</x:t>
  </x:si>
  <x:si>
    <x:t xml:space="preserve">MC0239</x:t>
  </x:si>
  <x:si>
    <x:t xml:space="preserve">Syed Alwi Mosque</x:t>
  </x:si>
  <x:si>
    <x:t xml:space="preserve">mosque; heritage; architecture</x:t>
  </x:si>
  <x:si>
    <x:t xml:space="preserve">A mosque in Kangar, Perlis, named after a former Raja of Perlis.</x:t>
  </x:si>
  <x:si>
    <x:t xml:space="preserve">https://www.google.com/maps/search/?api=1&amp;query=Syed%20Alwi%20Mosque%2C%20Perlis%2C%20Malaysia</x:t>
  </x:si>
  <x:si>
    <x:t xml:space="preserve">MC0240</x:t>
  </x:si>
  <x:si>
    <x:t xml:space="preserve">Taman Rekreasi Sungai Batu Pahat</x:t>
  </x:si>
  <x:si>
    <x:t xml:space="preserve">park; river; family</x:t>
  </x:si>
  <x:si>
    <x:t xml:space="preserve">A river recreational park in Kangar district, Perlis.</x:t>
  </x:si>
  <x:si>
    <x:t xml:space="preserve">https://www.google.com/maps/search/?api=1&amp;query=Taman%20Rekreasi%20Sungai%20Batu%20Pahat%2C%20Perlis%2C%20Malaysia</x:t>
  </x:si>
  <x:si>
    <x:t xml:space="preserve">MC0241</x:t>
  </x:si>
  <x:si>
    <x:t xml:space="preserve">Bukit Keteri</x:t>
  </x:si>
  <x:si>
    <x:t xml:space="preserve">Chuping</x:t>
  </x:si>
  <x:si>
    <x:t xml:space="preserve">rock climbing; limestone; viewpoint</x:t>
  </x:si>
  <x:si>
    <x:t xml:space="preserve">A hiking hill in Chuping district, Perlis, known for a nearby blue lake view.</x:t>
  </x:si>
  <x:si>
    <x:t xml:space="preserve">https://www.google.com/maps/search/?api=1&amp;query=Bukit%20Keteri%2C%20Perlis%2C%20Malaysia</x:t>
  </x:si>
  <x:si>
    <x:t xml:space="preserve">MC0242</x:t>
  </x:si>
  <x:si>
    <x:t xml:space="preserve">Bukit Chabang</x:t>
  </x:si>
  <x:si>
    <x:t xml:space="preserve">hiking; twin peaks; countryside</x:t>
  </x:si>
  <x:si>
    <x:t xml:space="preserve">A hiking spot in Chuping district, Perlis, near the Thai border.</x:t>
  </x:si>
  <x:si>
    <x:t xml:space="preserve">https://www.google.com/maps/search/?api=1&amp;query=Bukit%20Chabang%2C%20Perlis%2C%20Malaysia</x:t>
  </x:si>
  <x:si>
    <x:t xml:space="preserve">MC0243</x:t>
  </x:si>
  <x:si>
    <x:t xml:space="preserve">Ladang Nipah Kipli</x:t>
  </x:si>
  <x:si>
    <x:t xml:space="preserve">Kuala Sanglang</x:t>
  </x:si>
  <x:si>
    <x:t xml:space="preserve">nipah farm; local food; village</x:t>
  </x:si>
  <x:si>
    <x:t xml:space="preserve">A nipah palm plantation and agro-tourism site in Kuala Sanglang, Perlis.</x:t>
  </x:si>
  <x:si>
    <x:t xml:space="preserve">https://www.google.com/maps/search/?api=1&amp;query=Ladang%20Nipah%20Kipli%2C%20Perlis%2C%20Malaysia</x:t>
  </x:si>
  <x:si>
    <x:t xml:space="preserve">MC0244</x:t>
  </x:si>
  <x:si>
    <x:t xml:space="preserve">Harumanis Mango Plantation Experience</x:t>
  </x:si>
  <x:si>
    <x:t xml:space="preserve">Simpang Empat</x:t>
  </x:si>
  <x:si>
    <x:t xml:space="preserve">Seasonal</x:t>
  </x:si>
  <x:si>
    <x:t xml:space="preserve">mango; orchard; agrotourism</x:t>
  </x:si>
  <x:si>
    <x:t xml:space="preserve">An orchard tour experience in Simpang Empat, Perlis, showcasing the state's famous Harumanis mango variety, best visited during the seasonal harvest.</x:t>
  </x:si>
  <x:si>
    <x:t xml:space="preserve">https://www.google.com/maps/search/?api=1&amp;query=Harumanis%20Mango%20Plantation%20Experience%2C%20Perlis%2C%20Malaysia</x:t>
  </x:si>
  <x:si>
    <x:t xml:space="preserve">MC0245</x:t>
  </x:si>
  <x:si>
    <x:t xml:space="preserve">Kinabalu Park</x:t>
  </x:si>
  <x:si>
    <x:t xml:space="preserve">Sabah</x:t>
  </x:si>
  <x:si>
    <x:t xml:space="preserve">Ranau / Kota Belud / Kota Marudu</x:t>
  </x:si>
  <x:si>
    <x:t xml:space="preserve">UNESCO World Heritage Site; UNESCO Global Geopark; Mount Kinabalu; rainforest; montane forest; subalpine habitat; biodiversity; endemic flora; wildlife; birdwatching; hiking; jungle trekking; nature trails; botanical garden; mountain climbing; sunrise; waterfalls; hot springs; canopy walkway; photography; geology; conservation; research; nature education; camping</x:t>
  </x:si>
  <x:si>
    <x:t xml:space="preserve">Malaysia's first UNESCO World Heritage Site is a 754-square-kilometre protected mountain landscape centred on Mount Kinabalu. From its highland headquarters, visitors can explore botanical gardens, forest trails, galleries and exceptional biodiversity, while separately booked climbers can attempt the 4,095.2-metre summit.</x:t>
  </x:si>
  <x:si>
    <x:t xml:space="preserve">https://www.malaysia.travel/explore/kinabalu-park ; https://www.malaysia.travel/index.php/explore/kinabalu-park ; https://www.sabahparks.org.my/kinabalu-park ; https://sabahparks.org.my/index.php/kinabalu-park/mount-kinabalu ; https://reservation.sabahparks.org.my/mountain-climbing/tickets ; https://www.sabahparks.org.my/index.php/services/mount-kinabalu-climbing ; https://ebrochures.malaysia.travel/en/cool-highlands/kinabalu-park/ ; https://ebrochures.malaysia.travel/en/birdwatching-paradise/sabah/</x:t>
  </x:si>
  <x:si>
    <x:t xml:space="preserve">https://ebrochures.malaysia.travel/en/malaysia-travel-guide/sabah/</x:t>
  </x:si>
  <x:si>
    <x:t xml:space="preserve">A019</x:t>
  </x:si>
  <x:si>
    <x:t xml:space="preserve">MC0246</x:t>
  </x:si>
  <x:si>
    <x:t xml:space="preserve">Bohey Dulang Island</x:t>
  </x:si>
  <x:si>
    <x:t xml:space="preserve">Semporna</x:t>
  </x:si>
  <x:si>
    <x:t xml:space="preserve">Island; marine park; volcanic island; crater lagoon; panoramic viewpoint; hiking; jungle trekking; nature trail; forest; birdwatching; hornbills; wildlife; coral reef; marine life; snorkelling; scuba diving; giant clam hatchery; seaweed farming; island hopping; boating; photography; geology; conservation; Bajau Laut culture; honeymoon</x:t>
  </x:si>
  <x:si>
    <x:t xml:space="preserve">A 313-hectare volcanic island in Tun Sakaran Marine Park, reached by speedboat from Semporna. Its challenging forest trail climbs to a 353-metre peak overlooking the crater lagoon and surrounding reefs, while nearby waters support snorkelling, diving and rich marine life.</x:t>
  </x:si>
  <x:si>
    <x:t xml:space="preserve">https://www.malaysia.travel/explore/bohey-dulang-island ; https://sabahtourism.com/destination/bohey-dulang/ ; https://www.sabahparks.org.my/tun-sakaran-marine-park ; https://sabahparks.org.my/tun-sakaran-marine-park/activities-facilities ; https://sabahtourism.com/destination/tun-sakaran-marine-park/ ; https://mdsemporna.sabah.gov.my/2025/01/01/bohey-dulang/ ; https://mapcarta.com/15813028</x:t>
  </x:si>
  <x:si>
    <x:t xml:space="preserve">A020</x:t>
  </x:si>
  <x:si>
    <x:t xml:space="preserve">MC0247</x:t>
  </x:si>
  <x:si>
    <x:t xml:space="preserve">Tunku Abdul Rahman Park</x:t>
  </x:si>
  <x:si>
    <x:t xml:space="preserve">Kota Kinabalu</x:t>
  </x:si>
  <x:si>
    <x:t xml:space="preserve">island; beach; snorkelling; relaxation; marine life</x:t>
  </x:si>
  <x:si>
    <x:t xml:space="preserve">A marine park of five islands off Kota Kinabalu, popular for snorkelling, diving and beach day trips.</x:t>
  </x:si>
  <x:si>
    <x:t xml:space="preserve">https://www.google.com/maps/search/?api=1&amp;query=Tunku%20Abdul%20Rahman%20Park%2C%20Sabah%2C%20Malaysia</x:t>
  </x:si>
  <x:si>
    <x:t xml:space="preserve">A105</x:t>
  </x:si>
  <x:si>
    <x:t xml:space="preserve">MC0248</x:t>
  </x:si>
  <x:si>
    <x:t xml:space="preserve">Sepilok Orangutan Rehabilitation Centre</x:t>
  </x:si>
  <x:si>
    <x:t xml:space="preserve">Sandakan</x:t>
  </x:si>
  <x:si>
    <x:t xml:space="preserve">orangutan; primate; primates; rehabilitation; rehabilitated wildlife; conservation; protected sanctuary; wildlife; education; nature</x:t>
  </x:si>
  <x:si>
    <x:t xml:space="preserve">A protected wildlife rehabilitation centre near Sandakan that cares for orphaned and injured orangutans, which are primates, before preparing them for release into the wild.</x:t>
  </x:si>
  <x:si>
    <x:t xml:space="preserve">https://www.google.com/maps/search/?api=1&amp;query=Sepilok%20Orangutan%20Rehabilitation%20Centre%2C%20Sabah%2C%20Malaysia</x:t>
  </x:si>
  <x:si>
    <x:t xml:space="preserve">A106</x:t>
  </x:si>
  <x:si>
    <x:t xml:space="preserve">MC0249</x:t>
  </x:si>
  <x:si>
    <x:t xml:space="preserve">Sabah State Museum</x:t>
  </x:si>
  <x:si>
    <x:t xml:space="preserve">museum; history; culture; heritage; indoor</x:t>
  </x:si>
  <x:si>
    <x:t xml:space="preserve">A museum in Kota Kinabalu covering Sabah's natural history, ethnography and colonial past.</x:t>
  </x:si>
  <x:si>
    <x:t xml:space="preserve">https://www.google.com/maps/search/?api=1&amp;query=Sabah%20State%20Museum%2C%20Sabah%2C%20Malaysia</x:t>
  </x:si>
  <x:si>
    <x:t xml:space="preserve">A107</x:t>
  </x:si>
  <x:si>
    <x:t xml:space="preserve">MC0250</x:t>
  </x:si>
  <x:si>
    <x:t xml:space="preserve">Mari Mari Cultural Village</x:t>
  </x:si>
  <x:si>
    <x:t xml:space="preserve">indigenous culture; heritage; performance; food; education</x:t>
  </x:si>
  <x:si>
    <x:t xml:space="preserve">A living cultural village near Kota Kinabalu showcasing the traditions of Sabah's indigenous ethnic groups.</x:t>
  </x:si>
  <x:si>
    <x:t xml:space="preserve">https://www.google.com/maps/search/?api=1&amp;query=Mari%20Mari%20Cultural%20Village%2C%20Sabah%2C%20Malaysia</x:t>
  </x:si>
  <x:si>
    <x:t xml:space="preserve">A108</x:t>
  </x:si>
  <x:si>
    <x:t xml:space="preserve">MC0251</x:t>
  </x:si>
  <x:si>
    <x:t xml:space="preserve">Poring Hot Spring</x:t>
  </x:si>
  <x:si>
    <x:t xml:space="preserve">Ranau</x:t>
  </x:si>
  <x:si>
    <x:t xml:space="preserve">hot springs; relaxation; nature; canopy walk; wellness</x:t>
  </x:si>
  <x:si>
    <x:t xml:space="preserve">A hot spring and canopy walkway attraction within Kinabalu Park in Ranau district, Sabah.</x:t>
  </x:si>
  <x:si>
    <x:t xml:space="preserve">https://www.google.com/maps/search/?api=1&amp;query=Poring%20Hot%20Spring%2C%20Sabah%2C%20Malaysia</x:t>
  </x:si>
  <x:si>
    <x:t xml:space="preserve">A109</x:t>
  </x:si>
  <x:si>
    <x:t xml:space="preserve">MC0252</x:t>
  </x:si>
  <x:si>
    <x:t xml:space="preserve">Danum Valley Conservation Area</x:t>
  </x:si>
  <x:si>
    <x:t xml:space="preserve">Lahad Datu</x:t>
  </x:si>
  <x:si>
    <x:t xml:space="preserve">rainforest; wildlife; conservation; hiking; nature</x:t>
  </x:si>
  <x:si>
    <x:t xml:space="preserve">One of the world's most pristine lowland rainforests, in Lahad Datu district, Sabah, known for wildlife research and eco-tourism.</x:t>
  </x:si>
  <x:si>
    <x:t xml:space="preserve">https://www.google.com/maps/search/?api=1&amp;query=Danum%20Valley%20Conservation%20Area%2C%20Sabah%2C%20Malaysia</x:t>
  </x:si>
  <x:si>
    <x:t xml:space="preserve">A110</x:t>
  </x:si>
  <x:si>
    <x:t xml:space="preserve">MC0253</x:t>
  </x:si>
  <x:si>
    <x:t xml:space="preserve">Tip of Borneo</x:t>
  </x:si>
  <x:si>
    <x:t xml:space="preserve">Kudat</x:t>
  </x:si>
  <x:si>
    <x:t xml:space="preserve">coast; scenery; sunset; photography; relaxation</x:t>
  </x:si>
  <x:si>
    <x:t xml:space="preserve">The northernmost point of Borneo island, in Kudat district, Sabah, known for its dramatic coastal viewpoint.</x:t>
  </x:si>
  <x:si>
    <x:t xml:space="preserve">https://www.google.com/maps/search/?api=1&amp;query=Tip%20of%20Borneo%2C%20Sabah%2C%20Malaysia</x:t>
  </x:si>
  <x:si>
    <x:t xml:space="preserve">A111</x:t>
  </x:si>
  <x:si>
    <x:t xml:space="preserve">MC0254</x:t>
  </x:si>
  <x:si>
    <x:t xml:space="preserve">Lok Kawi Wildlife Park</x:t>
  </x:si>
  <x:si>
    <x:t xml:space="preserve">Penampang</x:t>
  </x:si>
  <x:si>
    <x:t xml:space="preserve">A zoo and wildlife park near Penampang, Sabah, housing Bornean species including orangutans and elephants.</x:t>
  </x:si>
  <x:si>
    <x:t xml:space="preserve">https://www.google.com/maps/search/?api=1&amp;query=Lok%20Kawi%20Wildlife%20Park%2C%20Sabah%2C%20Malaysia</x:t>
  </x:si>
  <x:si>
    <x:t xml:space="preserve">A112</x:t>
  </x:si>
  <x:si>
    <x:t xml:space="preserve">MC0255</x:t>
  </x:si>
  <x:si>
    <x:t xml:space="preserve">Signal Hill Observatory Platform</x:t>
  </x:si>
  <x:si>
    <x:t xml:space="preserve">viewpoint; city; sunset</x:t>
  </x:si>
  <x:si>
    <x:t xml:space="preserve">A hilltop viewpoint in Kota Kinabalu offering panoramic city and harbour views.</x:t>
  </x:si>
  <x:si>
    <x:t xml:space="preserve">https://www.google.com/maps/search/?api=1&amp;query=Signal%20Hill%20Observatory%20Platform%2C%20Sabah%2C%20Malaysia</x:t>
  </x:si>
  <x:si>
    <x:t xml:space="preserve">Sabah expansion batch</x:t>
  </x:si>
  <x:si>
    <x:t xml:space="preserve">MC0256</x:t>
  </x:si>
  <x:si>
    <x:t xml:space="preserve">Kota Kinabalu City Mosque</x:t>
  </x:si>
  <x:si>
    <x:t xml:space="preserve">mosque; lagoon; architecture</x:t>
  </x:si>
  <x:si>
    <x:t xml:space="preserve">A large waterfront mosque in Kota Kinabalu known as the floating mosque for its reflection in a surrounding lagoon.</x:t>
  </x:si>
  <x:si>
    <x:t xml:space="preserve">https://www.google.com/maps/search/?api=1&amp;query=Kota%20Kinabalu%20City%20Mosque%2C%20Sabah%2C%20Malaysia</x:t>
  </x:si>
  <x:si>
    <x:t xml:space="preserve">MC0257</x:t>
  </x:si>
  <x:si>
    <x:t xml:space="preserve">Gaya Street Sunday Market</x:t>
  </x:si>
  <x:si>
    <x:t xml:space="preserve">market; crafts; food</x:t>
  </x:si>
  <x:si>
    <x:t xml:space="preserve">A popular weekly street market in Kota Kinabalu selling local produce, crafts and food.</x:t>
  </x:si>
  <x:si>
    <x:t xml:space="preserve">https://www.google.com/maps/search/?api=1&amp;query=Gaya%20Street%20Sunday%20Market%2C%20Sabah%2C%20Malaysia</x:t>
  </x:si>
  <x:si>
    <x:t xml:space="preserve">MC0258</x:t>
  </x:si>
  <x:si>
    <x:t xml:space="preserve">Tanjung Aru Beach</x:t>
  </x:si>
  <x:si>
    <x:t xml:space="preserve">beach; sunset; local food</x:t>
  </x:si>
  <x:si>
    <x:t xml:space="preserve">A beach in Kota Kinabalu known for its sunset views and seafood stalls.</x:t>
  </x:si>
  <x:si>
    <x:t xml:space="preserve">https://www.google.com/maps/search/?api=1&amp;query=Tanjung%20Aru%20Beach%2C%20Sabah%2C%20Malaysia</x:t>
  </x:si>
  <x:si>
    <x:t xml:space="preserve">MC0259</x:t>
  </x:si>
  <x:si>
    <x:t xml:space="preserve">Monsopiad Heritage Village</x:t>
  </x:si>
  <x:si>
    <x:t xml:space="preserve">Kadazan culture; heritage; village</x:t>
  </x:si>
  <x:si>
    <x:t xml:space="preserve">A cultural village in Penampang, Sabah, dedicated to Kadazan warrior heritage and traditions.</x:t>
  </x:si>
  <x:si>
    <x:t xml:space="preserve">https://www.google.com/maps/search/?api=1&amp;query=Monsopiad%20Heritage%20Village%2C%20Sabah%2C%20Malaysia</x:t>
  </x:si>
  <x:si>
    <x:t xml:space="preserve">MC0260</x:t>
  </x:si>
  <x:si>
    <x:t xml:space="preserve">Kiulu River</x:t>
  </x:si>
  <x:si>
    <x:t xml:space="preserve">Tamparuli</x:t>
  </x:si>
  <x:si>
    <x:t xml:space="preserve">rafting; countryside; river</x:t>
  </x:si>
  <x:si>
    <x:t xml:space="preserve">A river in Tamparuli district, Sabah, popular for white-water rafting and tubing.</x:t>
  </x:si>
  <x:si>
    <x:t xml:space="preserve">https://www.google.com/maps/search/?api=1&amp;query=Kiulu%20River%2C%20Sabah%2C%20Malaysia</x:t>
  </x:si>
  <x:si>
    <x:t xml:space="preserve">MC0261</x:t>
  </x:si>
  <x:si>
    <x:t xml:space="preserve">Upside Down House Sabah</x:t>
  </x:si>
  <x:si>
    <x:t xml:space="preserve">Tuaran</x:t>
  </x:si>
  <x:si>
    <x:t xml:space="preserve">family; photography; novelty</x:t>
  </x:si>
  <x:si>
    <x:t xml:space="preserve">A novelty attraction house in Tuaran, Sabah, built entirely inverted.</x:t>
  </x:si>
  <x:si>
    <x:t xml:space="preserve">https://www.google.com/maps/search/?api=1&amp;query=Upside%20Down%20House%20Sabah%2C%20Sabah%2C%20Malaysia</x:t>
  </x:si>
  <x:si>
    <x:t xml:space="preserve">MC0262</x:t>
  </x:si>
  <x:si>
    <x:t xml:space="preserve">Mantanani Islands</x:t>
  </x:si>
  <x:si>
    <x:t xml:space="preserve">Kota Belud</x:t>
  </x:si>
  <x:si>
    <x:t xml:space="preserve">island; diving; beach</x:t>
  </x:si>
  <x:si>
    <x:t xml:space="preserve">A group of islands off Kota Belud, Sabah, known for clear waters, coral reefs and turtle sightings.</x:t>
  </x:si>
  <x:si>
    <x:t xml:space="preserve">https://www.google.com/maps/search/?api=1&amp;query=Mantanani%20Islands%2C%20Sabah%2C%20Malaysia</x:t>
  </x:si>
  <x:si>
    <x:t xml:space="preserve">MC0263</x:t>
  </x:si>
  <x:si>
    <x:t xml:space="preserve">Kota Belud Tamu</x:t>
  </x:si>
  <x:si>
    <x:t xml:space="preserve">weekly market; culture; local food</x:t>
  </x:si>
  <x:si>
    <x:t xml:space="preserve">A weekly open-air market in Kota Belud, Sabah, known for its Bajau traders and local produce.</x:t>
  </x:si>
  <x:si>
    <x:t xml:space="preserve">https://www.google.com/maps/search/?api=1&amp;query=Kota%20Belud%20Tamu%2C%20Sabah%2C%20Malaysia</x:t>
  </x:si>
  <x:si>
    <x:t xml:space="preserve">MC0264</x:t>
  </x:si>
  <x:si>
    <x:t xml:space="preserve">Kundasang War Memorial</x:t>
  </x:si>
  <x:si>
    <x:t xml:space="preserve">Kundasang</x:t>
  </x:si>
  <x:si>
    <x:t xml:space="preserve">war memorial; gardens; history</x:t>
  </x:si>
  <x:si>
    <x:t xml:space="preserve">A memorial garden in Kundasang, Sabah, honouring Allied soldiers and Sandakan-Ranau Death March victims of the Second World War.</x:t>
  </x:si>
  <x:si>
    <x:t xml:space="preserve">https://www.google.com/maps/search/?api=1&amp;query=Kundasang%20War%20Memorial%2C%20Sabah%2C%20Malaysia</x:t>
  </x:si>
  <x:si>
    <x:t xml:space="preserve">MC0265</x:t>
  </x:si>
  <x:si>
    <x:t xml:space="preserve">Desa Cattle Dairy Farm</x:t>
  </x:si>
  <x:si>
    <x:t xml:space="preserve">dairy farm; scenery; family</x:t>
  </x:si>
  <x:si>
    <x:t xml:space="preserve">A highland dairy farm in Kundasang, Sabah, popular for scenic views and fresh dairy products.</x:t>
  </x:si>
  <x:si>
    <x:t xml:space="preserve">https://www.google.com/maps/search/?api=1&amp;query=Desa%20Cattle%20Dairy%20Farm%2C%20Sabah%2C%20Malaysia</x:t>
  </x:si>
  <x:si>
    <x:t xml:space="preserve">MC0266</x:t>
  </x:si>
  <x:si>
    <x:t xml:space="preserve">Sabah Tea Garden</x:t>
  </x:si>
  <x:si>
    <x:t xml:space="preserve">tea plantation; highland; cafe</x:t>
  </x:si>
  <x:si>
    <x:t xml:space="preserve">A working tea plantation in Ranau district, Sabah, near Mount Kinabalu, open for tours and stays.</x:t>
  </x:si>
  <x:si>
    <x:t xml:space="preserve">https://www.google.com/maps/search/?api=1&amp;query=Sabah%20Tea%20Garden%2C%20Sabah%2C%20Malaysia</x:t>
  </x:si>
  <x:si>
    <x:t xml:space="preserve">MC0267</x:t>
  </x:si>
  <x:si>
    <x:t xml:space="preserve">Gombizau Honey Bee Farm</x:t>
  </x:si>
  <x:si>
    <x:t xml:space="preserve">honey; village; agrotourism</x:t>
  </x:si>
  <x:si>
    <x:t xml:space="preserve">A stingless bee farm in Kudat district, Sabah, showcasing local honey production.</x:t>
  </x:si>
  <x:si>
    <x:t xml:space="preserve">https://www.google.com/maps/search/?api=1&amp;query=Gombizau%20Honey%20Bee%20Farm%2C%20Sabah%2C%20Malaysia</x:t>
  </x:si>
  <x:si>
    <x:t xml:space="preserve">MC0268</x:t>
  </x:si>
  <x:si>
    <x:t xml:space="preserve">Sumangkap Gong Making Village</x:t>
  </x:si>
  <x:si>
    <x:t xml:space="preserve">gong making; crafts; village</x:t>
  </x:si>
  <x:si>
    <x:t xml:space="preserve">A village in Kudat district, Sabah, known for traditional handmade brass gong craftsmanship.</x:t>
  </x:si>
  <x:si>
    <x:t xml:space="preserve">https://www.google.com/maps/search/?api=1&amp;query=Sumangkap%20Gong%20Making%20Village%2C%20Sabah%2C%20Malaysia</x:t>
  </x:si>
  <x:si>
    <x:t xml:space="preserve">MC0269</x:t>
  </x:si>
  <x:si>
    <x:t xml:space="preserve">Bornean Sun Bear Conservation Centre</x:t>
  </x:si>
  <x:si>
    <x:t xml:space="preserve">sun bear; conservation; education</x:t>
  </x:si>
  <x:si>
    <x:t xml:space="preserve">A conservation centre near Sandakan dedicated to the rescue and rehabilitation of Bornean sun bears.</x:t>
  </x:si>
  <x:si>
    <x:t xml:space="preserve">https://www.google.com/maps/search/?api=1&amp;query=Bornean%20Sun%20Bear%20Conservation%20Centre%2C%20Sabah%2C%20Malaysia</x:t>
  </x:si>
  <x:si>
    <x:t xml:space="preserve">MC0270</x:t>
  </x:si>
  <x:si>
    <x:t xml:space="preserve">Rainforest Discovery Centre</x:t>
  </x:si>
  <x:si>
    <x:t xml:space="preserve">canopy walk; birdwatching; rainforest</x:t>
  </x:si>
  <x:si>
    <x:t xml:space="preserve">A nature education centre near Sandakan with a canopy walkway through lowland rainforest.</x:t>
  </x:si>
  <x:si>
    <x:t xml:space="preserve">https://www.google.com/maps/search/?api=1&amp;query=Rainforest%20Discovery%20Centre%2C%20Sabah%2C%20Malaysia</x:t>
  </x:si>
  <x:si>
    <x:t xml:space="preserve">MC0271</x:t>
  </x:si>
  <x:si>
    <x:t xml:space="preserve">Sandakan Memorial Park</x:t>
  </x:si>
  <x:si>
    <x:t xml:space="preserve">war history; memorial; park</x:t>
  </x:si>
  <x:si>
    <x:t xml:space="preserve">A memorial park in Sandakan on the site of a former Second World War POW camp, honouring Death March victims.</x:t>
  </x:si>
  <x:si>
    <x:t xml:space="preserve">https://www.google.com/maps/search/?api=1&amp;query=Sandakan%20Memorial%20Park%2C%20Sabah%2C%20Malaysia</x:t>
  </x:si>
  <x:si>
    <x:t xml:space="preserve">MC0272</x:t>
  </x:si>
  <x:si>
    <x:t xml:space="preserve">Kinabatangan River</x:t>
  </x:si>
  <x:si>
    <x:t xml:space="preserve">Kinabatangan</x:t>
  </x:si>
  <x:si>
    <x:t xml:space="preserve">river cruise; wildlife; rainforest</x:t>
  </x:si>
  <x:si>
    <x:t xml:space="preserve">Sabah's longest river, renowned for wildlife river cruises spotting proboscis monkeys, orangutans and pygmy elephants.</x:t>
  </x:si>
  <x:si>
    <x:t xml:space="preserve">https://www.google.com/maps/search/?api=1&amp;query=Kinabatangan%20River%2C%20Sabah%2C%20Malaysia</x:t>
  </x:si>
  <x:si>
    <x:t xml:space="preserve">MC0273</x:t>
  </x:si>
  <x:si>
    <x:t xml:space="preserve">Tabin Wildlife Reserve</x:t>
  </x:si>
  <x:si>
    <x:t xml:space="preserve">wildlife; rainforest; mud volcano</x:t>
  </x:si>
  <x:si>
    <x:t xml:space="preserve">A large wildlife reserve in Lahad Datu district, Sabah, known for its mud volcano and diverse rainforest fauna.</x:t>
  </x:si>
  <x:si>
    <x:t xml:space="preserve">https://www.google.com/maps/search/?api=1&amp;query=Tabin%20Wildlife%20Reserve%2C%20Sabah%2C%20Malaysia</x:t>
  </x:si>
  <x:si>
    <x:t xml:space="preserve">MC0274</x:t>
  </x:si>
  <x:si>
    <x:t xml:space="preserve">Tun Sakaran Marine Park</x:t>
  </x:si>
  <x:si>
    <x:t xml:space="preserve">marine park; islands; diving</x:t>
  </x:si>
  <x:si>
    <x:t xml:space="preserve">A marine park off Semporna, Sabah, comprising several islands known for coral reefs and diving.</x:t>
  </x:si>
  <x:si>
    <x:t xml:space="preserve">https://www.google.com/maps/search/?api=1&amp;query=Tun%20Sakaran%20Marine%20Park%2C%20Sabah%2C%20Malaysia</x:t>
  </x:si>
  <x:si>
    <x:t xml:space="preserve">MC0275</x:t>
  </x:si>
  <x:si>
    <x:t xml:space="preserve">Tawau Hills Park</x:t>
  </x:si>
  <x:si>
    <x:t xml:space="preserve">Tawau</x:t>
  </x:si>
  <x:si>
    <x:t xml:space="preserve">rainforest; waterfall; hiking</x:t>
  </x:si>
  <x:si>
    <x:t xml:space="preserve">A rainforest park near Tawau town, Sabah, with hot springs and Malaysia's tallest tropical tree.</x:t>
  </x:si>
  <x:si>
    <x:t xml:space="preserve">https://www.google.com/maps/search/?api=1&amp;query=Tawau%20Hills%20Park%2C%20Sabah%2C%20Malaysia</x:t>
  </x:si>
  <x:si>
    <x:t xml:space="preserve">MC0276</x:t>
  </x:si>
  <x:si>
    <x:t xml:space="preserve">Sabah Agriculture Park</x:t>
  </x:si>
  <x:si>
    <x:t xml:space="preserve">Tenom</x:t>
  </x:si>
  <x:si>
    <x:t xml:space="preserve">An agricultural showcase park in Tenom, Sabah, featuring plantations and demonstration farms.</x:t>
  </x:si>
  <x:si>
    <x:t xml:space="preserve">https://www.google.com/maps/search/?api=1&amp;query=Sabah%20Agriculture%20Park%2C%20Sabah%2C%20Malaysia</x:t>
  </x:si>
  <x:si>
    <x:t xml:space="preserve">MC0277</x:t>
  </x:si>
  <x:si>
    <x:t xml:space="preserve">Batu Sumpah Keningau</x:t>
  </x:si>
  <x:si>
    <x:t xml:space="preserve">Keningau</x:t>
  </x:si>
  <x:si>
    <x:t xml:space="preserve">historic monument; civic history; landmark</x:t>
  </x:si>
  <x:si>
    <x:t xml:space="preserve">A historic monument in Keningau, Sabah, marking the 1964 Sabah Oath Stone agreement among native leaders.</x:t>
  </x:si>
  <x:si>
    <x:t xml:space="preserve">https://www.google.com/maps/search/?api=1&amp;query=Batu%20Sumpah%20Keningau%2C%20Sabah%2C%20Malaysia</x:t>
  </x:si>
  <x:si>
    <x:t xml:space="preserve">MC0278</x:t>
  </x:si>
  <x:si>
    <x:t xml:space="preserve">Bako National Park</x:t>
  </x:si>
  <x:si>
    <x:t xml:space="preserve">Sarawak</x:t>
  </x:si>
  <x:si>
    <x:t xml:space="preserve">Kuching</x:t>
  </x:si>
  <x:si>
    <x:t xml:space="preserve">ASEAN Heritage Park; national park; rainforest; mangrove; peat swamp; kerangas heath forest; dipterocarp forest; coastal cliffs; beaches; sea stacks; rock formations; jungle trekking; hiking; nature trails; wildlife; proboscis monkey; silvered langur; long-tailed macaque; bearded pig; monitor lizard; birdwatching; pitcher plants; night walk; photography; geology; conservation; nature education; camping; boat ride</x:t>
  </x:si>
  <x:si>
    <x:t xml:space="preserve">Sarawak's oldest national park protects 2,727 hectares of rainforest, mangroves, heath forest, beaches and rugged coastal formations. Reached by boat from Kampung Bako, its 18 colour-coded trails offer wildlife watching, pitcher plants, sea-stack views and hikes ranging from gentle walks to full-day routes.</x:t>
  </x:si>
  <x:si>
    <x:t xml:space="preserve">https://www.malaysia.travel/explore/bako-national-park ; https://www.malaysia.travel/index.php/explore/bako-national-park ; https://bakonationalpark.com/ ; https://sfc.sarawak.gov.my/web/subpage/webpage_view/49 ; https://forestry.sarawak.gov.my/web/subpage/webpage_view/1024 ; https://service.sarawak.gov.my/web/web/home/sla_view/211/690/ ; https://forestry.sarawak.gov.my/web/subpage/webpage_view/1012 ; https://www.malaysia.travel/explore/exploring-sarawak-a-treasure-trove-of-natural-wonders ; https://mapcarta.com/Bako_National_Park</x:t>
  </x:si>
  <x:si>
    <x:t xml:space="preserve">https://ebrochures.malaysia.travel/en/malaysia-travel-guide/sarawak/</x:t>
  </x:si>
  <x:si>
    <x:t xml:space="preserve">A021</x:t>
  </x:si>
  <x:si>
    <x:t xml:space="preserve">MC0279</x:t>
  </x:si>
  <x:si>
    <x:t xml:space="preserve">Gunung Mulu National Park</x:t>
  </x:si>
  <x:si>
    <x:t xml:space="preserve">Miri / Mulu</x:t>
  </x:si>
  <x:si>
    <x:t xml:space="preserve">UNESCO World Heritage Site; national park; tropical rainforest; limestone karst; caves; cave exploration; show caves; adventure caving; Sarawak Chamber; Deer Cave; Lang Cave; Clearwater Cave; Cave of the Winds; Garden of Eden; underground river; bats; bat exodus; limestone pinnacles; Gunung Api; Mount Mulu; mountain climbing; jungle trekking; hiking; canopy walk; longboat; waterfalls; birdwatching; wildlife; orchids; pitcher plants; endemic species; geology; biodiversity; conservation; research; photography; Penan culture</x:t>
  </x:si>
  <x:si>
    <x:t xml:space="preserve">A remote UNESCO World Heritage Site protecting 528.64 square kilometres of equatorial rainforest, mountains, limestone pinnacles and immense cave systems. Visitors can explore show caves, watch the Deer Cave bat exodus, walk the canopy bridge or undertake demanding guided expeditions to the Pinnacles and Mount Mulu.</x:t>
  </x:si>
  <x:si>
    <x:t xml:space="preserve">https://www.malaysia.travel/explore/gunung-mulu-national-park ; https://mulupark.com/about-us/mulu-world-heritage-area/ ; https://mulupark.com/plan-your-trip/ ; https://mulupark.com/tours-activities/ ; https://mulupark.com/clearwater-winds/ ; https://www.malaysia.travel/explore/exploring-sarawak-a-treasure-trove-of-natural-wonders ; https://www.malaysia.travel/explore/echoes-of-the-past-discover-malaysia-s-unesco-world-heritage-sites ; https://ebrochures.malaysia.travel/en/birdwatching-paradise/sarawak/</x:t>
  </x:si>
  <x:si>
    <x:t xml:space="preserve">A022</x:t>
  </x:si>
  <x:si>
    <x:t xml:space="preserve">MC0280</x:t>
  </x:si>
  <x:si>
    <x:t xml:space="preserve">Sarawak Cultural Village</x:t>
  </x:si>
  <x:si>
    <x:t xml:space="preserve">culture; indigenous heritage; performance; family; education</x:t>
  </x:si>
  <x:si>
    <x:t xml:space="preserve">A living museum near Kuching showcasing the traditional houses and lifestyles of Sarawak's various ethnic groups.</x:t>
  </x:si>
  <x:si>
    <x:t xml:space="preserve">https://www.google.com/maps/search/?api=1&amp;query=Sarawak%20Cultural%20Village%2C%20Sarawak%2C%20Malaysia</x:t>
  </x:si>
  <x:si>
    <x:t xml:space="preserve">A113</x:t>
  </x:si>
  <x:si>
    <x:t xml:space="preserve">MC0281</x:t>
  </x:si>
  <x:si>
    <x:t xml:space="preserve">Semenggoh Wildlife Centre</x:t>
  </x:si>
  <x:si>
    <x:t xml:space="preserve">orangutan; conservation; wildlife; nature; education</x:t>
  </x:si>
  <x:si>
    <x:t xml:space="preserve">A wildlife rehabilitation centre near Kuching known for its semi-wild orangutan feeding sessions.</x:t>
  </x:si>
  <x:si>
    <x:t xml:space="preserve">https://www.google.com/maps/search/?api=1&amp;query=Semenggoh%20Wildlife%20Centre%2C%20Sarawak%2C%20Malaysia</x:t>
  </x:si>
  <x:si>
    <x:t xml:space="preserve">A114</x:t>
  </x:si>
  <x:si>
    <x:t xml:space="preserve">MC0282</x:t>
  </x:si>
  <x:si>
    <x:t xml:space="preserve">Kuching Waterfront</x:t>
  </x:si>
  <x:si>
    <x:t xml:space="preserve">waterfront; walking; relaxation; food; heritage</x:t>
  </x:si>
  <x:si>
    <x:t xml:space="preserve">A landscaped riverside promenade along the Sarawak River in central Kuching.</x:t>
  </x:si>
  <x:si>
    <x:t xml:space="preserve">https://www.google.com/maps/search/?api=1&amp;query=Kuching%20Waterfront%2C%20Sarawak%2C%20Malaysia</x:t>
  </x:si>
  <x:si>
    <x:t xml:space="preserve">A115</x:t>
  </x:si>
  <x:si>
    <x:t xml:space="preserve">MC0283</x:t>
  </x:si>
  <x:si>
    <x:t xml:space="preserve">Fort Margherita</x:t>
  </x:si>
  <x:si>
    <x:t xml:space="preserve">fort; history; museum; heritage; architecture</x:t>
  </x:si>
  <x:si>
    <x:t xml:space="preserve">A 19th-century fort built by the Brooke dynasty overlooking the Sarawak River in Kuching.</x:t>
  </x:si>
  <x:si>
    <x:t xml:space="preserve">https://www.google.com/maps/search/?api=1&amp;query=Fort%20Margherita%2C%20Sarawak%2C%20Malaysia</x:t>
  </x:si>
  <x:si>
    <x:t xml:space="preserve">A116</x:t>
  </x:si>
  <x:si>
    <x:t xml:space="preserve">MC0284</x:t>
  </x:si>
  <x:si>
    <x:t xml:space="preserve">Niah National Park</x:t>
  </x:si>
  <x:si>
    <x:t xml:space="preserve">Miri</x:t>
  </x:si>
  <x:si>
    <x:t xml:space="preserve">cave; archaeology; hiking; rainforest; heritage</x:t>
  </x:si>
  <x:si>
    <x:t xml:space="preserve">A national park near Miri famous for its vast limestone caves with archaeological significance and swiftlet nests.</x:t>
  </x:si>
  <x:si>
    <x:t xml:space="preserve">https://www.google.com/maps/search/?api=1&amp;query=Niah%20National%20Park%2C%20Sarawak%2C%20Malaysia</x:t>
  </x:si>
  <x:si>
    <x:t xml:space="preserve">A117</x:t>
  </x:si>
  <x:si>
    <x:t xml:space="preserve">MC0285</x:t>
  </x:si>
  <x:si>
    <x:t xml:space="preserve">Kubah National Park</x:t>
  </x:si>
  <x:si>
    <x:t xml:space="preserve">rainforest; hiking; waterfall; wildlife; nature</x:t>
  </x:si>
  <x:si>
    <x:t xml:space="preserve">A rainforest park near Kuching known for its palm species and waterfalls.</x:t>
  </x:si>
  <x:si>
    <x:t xml:space="preserve">https://www.google.com/maps/search/?api=1&amp;query=Kubah%20National%20Park%2C%20Sarawak%2C%20Malaysia</x:t>
  </x:si>
  <x:si>
    <x:t xml:space="preserve">A118</x:t>
  </x:si>
  <x:si>
    <x:t xml:space="preserve">MC0286</x:t>
  </x:si>
  <x:si>
    <x:t xml:space="preserve">Fairy Cave</x:t>
  </x:si>
  <x:si>
    <x:t xml:space="preserve">Bau</x:t>
  </x:si>
  <x:si>
    <x:t xml:space="preserve">cave; limestone; hiking; nature; photography</x:t>
  </x:si>
  <x:si>
    <x:t xml:space="preserve">A large limestone cave in Bau district, Sarawak, with dramatic light shafts, popular for exploration.</x:t>
  </x:si>
  <x:si>
    <x:t xml:space="preserve">https://www.google.com/maps/search/?api=1&amp;query=Fairy%20Cave%2C%20Sarawak%2C%20Malaysia</x:t>
  </x:si>
  <x:si>
    <x:t xml:space="preserve">A119</x:t>
  </x:si>
  <x:si>
    <x:t xml:space="preserve">MC0287</x:t>
  </x:si>
  <x:si>
    <x:t xml:space="preserve">Cat Museum</x:t>
  </x:si>
  <x:si>
    <x:t xml:space="preserve">museum; cats; family; culture; indoor</x:t>
  </x:si>
  <x:si>
    <x:t xml:space="preserve">A museum in Kuching dedicated to cat-themed exhibits, reflecting the city's name, which means cat in Malay.</x:t>
  </x:si>
  <x:si>
    <x:t xml:space="preserve">https://www.google.com/maps/search/?api=1&amp;query=Cat%20Museum%2C%20Sarawak%2C%20Malaysia</x:t>
  </x:si>
  <x:si>
    <x:t xml:space="preserve">A120</x:t>
  </x:si>
  <x:si>
    <x:t xml:space="preserve">MC0288</x:t>
  </x:si>
  <x:si>
    <x:t xml:space="preserve">Sarawak Museum Complex</x:t>
  </x:si>
  <x:si>
    <x:t xml:space="preserve">Borneo cultures; museum; history</x:t>
  </x:si>
  <x:si>
    <x:t xml:space="preserve">Borneo's oldest museum, in Kuching, covering the region's natural history, ethnography and archaeology.</x:t>
  </x:si>
  <x:si>
    <x:t xml:space="preserve">https://www.google.com/maps/search/?api=1&amp;query=Sarawak%20Museum%20Complex%2C%20Sarawak%2C%20Malaysia</x:t>
  </x:si>
  <x:si>
    <x:t xml:space="preserve">Sarawak expansion batch</x:t>
  </x:si>
  <x:si>
    <x:t xml:space="preserve">MC0289</x:t>
  </x:si>
  <x:si>
    <x:t xml:space="preserve">Darul Hana Bridge</x:t>
  </x:si>
  <x:si>
    <x:t xml:space="preserve">pedestrian bridge; architecture; river</x:t>
  </x:si>
  <x:si>
    <x:t xml:space="preserve">A pedestrian bridge across the Sarawak River in Kuching connecting the old town to the new waterfront.</x:t>
  </x:si>
  <x:si>
    <x:t xml:space="preserve">https://www.google.com/maps/search/?api=1&amp;query=Darul%20Hana%20Bridge%2C%20Sarawak%2C%20Malaysia</x:t>
  </x:si>
  <x:si>
    <x:t xml:space="preserve">MC0290</x:t>
  </x:si>
  <x:si>
    <x:t xml:space="preserve">Fort Margherita and Brooke Gallery</x:t>
  </x:si>
  <x:si>
    <x:t xml:space="preserve">fort; Brooke history; museum</x:t>
  </x:si>
  <x:si>
    <x:t xml:space="preserve">A Brooke-era fort in Kuching, now housing a gallery on the history of the Brooke dynasty's rule over Sarawak.</x:t>
  </x:si>
  <x:si>
    <x:t xml:space="preserve">https://www.google.com/maps/search/?api=1&amp;query=Fort%20Margherita%20and%20Brooke%20Gallery%2C%20Sarawak%2C%20Malaysia</x:t>
  </x:si>
  <x:si>
    <x:t xml:space="preserve">MC0291</x:t>
  </x:si>
  <x:si>
    <x:t xml:space="preserve">Main Bazaar</x:t>
  </x:si>
  <x:si>
    <x:t xml:space="preserve">handicrafts; heritage shops; waterfront</x:t>
  </x:si>
  <x:si>
    <x:t xml:space="preserve">Kuching's oldest street, lined with antique shops, art galleries and handicraft stores.</x:t>
  </x:si>
  <x:si>
    <x:t xml:space="preserve">https://www.google.com/maps/search/?api=1&amp;query=Main%20Bazaar%2C%20Sarawak%2C%20Malaysia</x:t>
  </x:si>
  <x:si>
    <x:t xml:space="preserve">MC0292</x:t>
  </x:si>
  <x:si>
    <x:t xml:space="preserve">Damai Beach</x:t>
  </x:si>
  <x:si>
    <x:t xml:space="preserve">Santubong</x:t>
  </x:si>
  <x:si>
    <x:t xml:space="preserve">beach; mountain; resort</x:t>
  </x:si>
  <x:si>
    <x:t xml:space="preserve">A beach resort area near Santubong, close to Kuching, popular for its mountain backdrop.</x:t>
  </x:si>
  <x:si>
    <x:t xml:space="preserve">https://www.google.com/maps/search/?api=1&amp;query=Damai%20Beach%2C%20Sarawak%2C%20Malaysia</x:t>
  </x:si>
  <x:si>
    <x:t xml:space="preserve">MC0293</x:t>
  </x:si>
  <x:si>
    <x:t xml:space="preserve">Fairy Cave Nature Reserve</x:t>
  </x:si>
  <x:si>
    <x:t xml:space="preserve">limestone cave; hiking; viewpoint</x:t>
  </x:si>
  <x:si>
    <x:t xml:space="preserve">A limestone show cave in Bau district, Sarawak, known for its cathedral-like chambers and shafts of light.</x:t>
  </x:si>
  <x:si>
    <x:t xml:space="preserve">https://www.google.com/maps/search/?api=1&amp;query=Fairy%20Cave%20Nature%20Reserve%2C%20Sarawak%2C%20Malaysia</x:t>
  </x:si>
  <x:si>
    <x:t xml:space="preserve">MC0294</x:t>
  </x:si>
  <x:si>
    <x:t xml:space="preserve">Wind Cave Nature Reserve</x:t>
  </x:si>
  <x:si>
    <x:t xml:space="preserve">cave; bats; river</x:t>
  </x:si>
  <x:si>
    <x:t xml:space="preserve">A limestone cave system in Bau district, Sarawak, known for its bat colonies and underground river.</x:t>
  </x:si>
  <x:si>
    <x:t xml:space="preserve">https://www.google.com/maps/search/?api=1&amp;query=Wind%20Cave%20Nature%20Reserve%2C%20Sarawak%2C%20Malaysia</x:t>
  </x:si>
  <x:si>
    <x:t xml:space="preserve">MC0295</x:t>
  </x:si>
  <x:si>
    <x:t xml:space="preserve">Annah Rais Longhouse</x:t>
  </x:si>
  <x:si>
    <x:t xml:space="preserve">Padawan</x:t>
  </x:si>
  <x:si>
    <x:t xml:space="preserve">Bidayuh; longhouse; village</x:t>
  </x:si>
  <x:si>
    <x:t xml:space="preserve">A traditional Bidayuh longhouse settlement near Kuching offering cultural homestay experiences.</x:t>
  </x:si>
  <x:si>
    <x:t xml:space="preserve">https://www.google.com/maps/search/?api=1&amp;query=Annah%20Rais%20Longhouse%2C%20Sarawak%2C%20Malaysia</x:t>
  </x:si>
  <x:si>
    <x:t xml:space="preserve">MC0296</x:t>
  </x:si>
  <x:si>
    <x:t xml:space="preserve">Gunung Gading National Park</x:t>
  </x:si>
  <x:si>
    <x:t xml:space="preserve">Lundu</x:t>
  </x:si>
  <x:si>
    <x:t xml:space="preserve">rafflesia; hiking; rainforest</x:t>
  </x:si>
  <x:si>
    <x:t xml:space="preserve">A national park in Lundu district, Sarawak, famous for seasonal Rafflesia flower sightings.</x:t>
  </x:si>
  <x:si>
    <x:t xml:space="preserve">https://www.google.com/maps/search/?api=1&amp;query=Gunung%20Gading%20National%20Park%2C%20Sarawak%2C%20Malaysia</x:t>
  </x:si>
  <x:si>
    <x:t xml:space="preserve">MC0297</x:t>
  </x:si>
  <x:si>
    <x:t xml:space="preserve">Tanjung Datu National Park</x:t>
  </x:si>
  <x:si>
    <x:t xml:space="preserve">remote coast; rainforest; turtles</x:t>
  </x:si>
  <x:si>
    <x:t xml:space="preserve">A remote coastal rainforest park in Lundu district, Sarawak, known for pristine beaches and marine life.</x:t>
  </x:si>
  <x:si>
    <x:t xml:space="preserve">https://www.google.com/maps/search/?api=1&amp;query=Tanjung%20Datu%20National%20Park%2C%20Sarawak%2C%20Malaysia</x:t>
  </x:si>
  <x:si>
    <x:t xml:space="preserve">MC0298</x:t>
  </x:si>
  <x:si>
    <x:t xml:space="preserve">Batang Ai National Park</x:t>
  </x:si>
  <x:si>
    <x:t xml:space="preserve">Sri Aman</x:t>
  </x:si>
  <x:si>
    <x:t xml:space="preserve">rainforest; lake; Iban culture</x:t>
  </x:si>
  <x:si>
    <x:t xml:space="preserve">A rainforest park around the Batang Ai reservoir in Sri Aman, Sarawak, known for Iban longhouses and orangutan habitat.</x:t>
  </x:si>
  <x:si>
    <x:t xml:space="preserve">https://www.google.com/maps/search/?api=1&amp;query=Batang%20Ai%20National%20Park%2C%20Sarawak%2C%20Malaysia</x:t>
  </x:si>
  <x:si>
    <x:t xml:space="preserve">MC0299</x:t>
  </x:si>
  <x:si>
    <x:t xml:space="preserve">Fort Alice</x:t>
  </x:si>
  <x:si>
    <x:t xml:space="preserve">fort; local history; museum</x:t>
  </x:si>
  <x:si>
    <x:t xml:space="preserve">A 19th-century Brooke-era fort in Sri Aman town, Sarawak.</x:t>
  </x:si>
  <x:si>
    <x:t xml:space="preserve">https://www.google.com/maps/search/?api=1&amp;query=Fort%20Alice%2C%20Sarawak%2C%20Malaysia</x:t>
  </x:si>
  <x:si>
    <x:t xml:space="preserve">MC0300</x:t>
  </x:si>
  <x:si>
    <x:t xml:space="preserve">Sibu Central Market</x:t>
  </x:si>
  <x:si>
    <x:t xml:space="preserve">Sibu</x:t>
  </x:si>
  <x:si>
    <x:t xml:space="preserve">market; local produce; food</x:t>
  </x:si>
  <x:si>
    <x:t xml:space="preserve">One of the largest markets in Sarawak, in Sibu, known for its wide range of local produce and food.</x:t>
  </x:si>
  <x:si>
    <x:t xml:space="preserve">https://www.google.com/maps/search/?api=1&amp;query=Sibu%20Central%20Market%2C%20Sarawak%2C%20Malaysia</x:t>
  </x:si>
  <x:si>
    <x:t xml:space="preserve">MC0301</x:t>
  </x:si>
  <x:si>
    <x:t xml:space="preserve">Sibu Heritage Centre</x:t>
  </x:si>
  <x:si>
    <x:t xml:space="preserve">town history; culture; museum</x:t>
  </x:si>
  <x:si>
    <x:t xml:space="preserve">A museum in Sibu documenting the town's Foochow Chinese settlement history.</x:t>
  </x:si>
  <x:si>
    <x:t xml:space="preserve">https://www.google.com/maps/search/?api=1&amp;query=Sibu%20Heritage%20Centre%2C%20Sarawak%2C%20Malaysia</x:t>
  </x:si>
  <x:si>
    <x:t xml:space="preserve">MC0302</x:t>
  </x:si>
  <x:si>
    <x:t xml:space="preserve">Lamin Dana Cultural Boutique Lodge</x:t>
  </x:si>
  <x:si>
    <x:t xml:space="preserve">Mukah</x:t>
  </x:si>
  <x:si>
    <x:t xml:space="preserve">Melanau culture; village; crafts</x:t>
  </x:si>
  <x:si>
    <x:t xml:space="preserve">A Melanau cultural lodge in Mukah district, Sarawak.</x:t>
  </x:si>
  <x:si>
    <x:t xml:space="preserve">https://www.google.com/maps/search/?api=1&amp;query=Lamin%20Dana%20Cultural%20Boutique%20Lodge%2C%20Sarawak%2C%20Malaysia</x:t>
  </x:si>
  <x:si>
    <x:t xml:space="preserve">MC0303</x:t>
  </x:si>
  <x:si>
    <x:t xml:space="preserve">Similajau National Park</x:t>
  </x:si>
  <x:si>
    <x:t xml:space="preserve">Bintulu</x:t>
  </x:si>
  <x:si>
    <x:t xml:space="preserve">coast; rainforest; hiking</x:t>
  </x:si>
  <x:si>
    <x:t xml:space="preserve">A coastal rainforest park near Bintulu, Sarawak, known for its beaches and wildlife.</x:t>
  </x:si>
  <x:si>
    <x:t xml:space="preserve">https://www.google.com/maps/search/?api=1&amp;query=Similajau%20National%20Park%2C%20Sarawak%2C%20Malaysia</x:t>
  </x:si>
  <x:si>
    <x:t xml:space="preserve">MC0304</x:t>
  </x:si>
  <x:si>
    <x:t xml:space="preserve">Taman Tumbina</x:t>
  </x:si>
  <x:si>
    <x:t xml:space="preserve">botanical garden; animals; family</x:t>
  </x:si>
  <x:si>
    <x:t xml:space="preserve">A wildlife and botanical park in Bintulu, Sarawak, combining a zoo and gardens.</x:t>
  </x:si>
  <x:si>
    <x:t xml:space="preserve">https://www.google.com/maps/search/?api=1&amp;query=Taman%20Tumbina%2C%20Sarawak%2C%20Malaysia</x:t>
  </x:si>
  <x:si>
    <x:t xml:space="preserve">MC0305</x:t>
  </x:si>
  <x:si>
    <x:t xml:space="preserve">Miri-Sibuti Coral Reefs National Park</x:t>
  </x:si>
  <x:si>
    <x:t xml:space="preserve">diving; coral reefs; marine park</x:t>
  </x:si>
  <x:si>
    <x:t xml:space="preserve">A marine park off Miri, Sarawak, protecting coral reefs and popular for diving.</x:t>
  </x:si>
  <x:si>
    <x:t xml:space="preserve">https://www.google.com/maps/search/?api=1&amp;query=Miri-Sibuti%20Coral%20Reefs%20National%20Park%2C%20Sarawak%2C%20Malaysia</x:t>
  </x:si>
  <x:si>
    <x:t xml:space="preserve">MC0306</x:t>
  </x:si>
  <x:si>
    <x:t xml:space="preserve">Canada Hill and The Grand Old Lady</x:t>
  </x:si>
  <x:si>
    <x:t xml:space="preserve">oil history; viewpoint; museum</x:t>
  </x:si>
  <x:si>
    <x:t xml:space="preserve">A hill in Miri, Sarawak, home to the Grand Old Lady, Malaysia's first oil well, and a related petroleum museum.</x:t>
  </x:si>
  <x:si>
    <x:t xml:space="preserve">https://www.google.com/maps/search/?api=1&amp;query=Canada%20Hill%20and%20The%20Grand%20Old%20Lady%2C%20Sarawak%2C%20Malaysia</x:t>
  </x:si>
  <x:si>
    <x:t xml:space="preserve">MC0307</x:t>
  </x:si>
  <x:si>
    <x:t xml:space="preserve">Bukit Mas</x:t>
  </x:si>
  <x:si>
    <x:t xml:space="preserve">Limbang</x:t>
  </x:si>
  <x:si>
    <x:t xml:space="preserve">hill; hiking; viewpoint</x:t>
  </x:si>
  <x:si>
    <x:t xml:space="preserve">A hill and nature site in Limbang district, Sarawak.</x:t>
  </x:si>
  <x:si>
    <x:t xml:space="preserve">https://www.google.com/maps/search/?api=1&amp;query=Bukit%20Mas%2C%20Sarawak%2C%20Malaysia</x:t>
  </x:si>
  <x:si>
    <x:t xml:space="preserve">MC0308</x:t>
  </x:si>
  <x:si>
    <x:t xml:space="preserve">Ba'kelalan Highlands</x:t>
  </x:si>
  <x:si>
    <x:t xml:space="preserve">Lawas</x:t>
  </x:si>
  <x:si>
    <x:t xml:space="preserve">highland village; Lun Bawang; salt</x:t>
  </x:si>
  <x:si>
    <x:t xml:space="preserve">A remote highland farming community near the Kalimantan border in Lawas district, Sarawak, known for rice terraces and apple orchards.</x:t>
  </x:si>
  <x:si>
    <x:t xml:space="preserve">https://www.google.com/maps/search/?api=1&amp;query=Ba'kelalan%20Highlands%2C%20Sarawak%2C%20Malaysia</x:t>
  </x:si>
  <x:si>
    <x:t xml:space="preserve">MC0309</x:t>
  </x:si>
  <x:si>
    <x:t xml:space="preserve">Bario Highlands</x:t>
  </x:si>
  <x:si>
    <x:t xml:space="preserve">Bario</x:t>
  </x:si>
  <x:si>
    <x:t xml:space="preserve">Kelabit culture; highland; trekking</x:t>
  </x:si>
  <x:si>
    <x:t xml:space="preserve">A remote highland region in the Kelabit Highlands, Sarawak, accessible mainly by air, known for trekking and Kelabit longhouse culture.</x:t>
  </x:si>
  <x:si>
    <x:t xml:space="preserve">https://www.google.com/maps/search/?api=1&amp;query=Bario%20Highlands%2C%20Sarawak%2C%20Malaysia</x:t>
  </x:si>
  <x:si>
    <x:t xml:space="preserve">MC0310</x:t>
  </x:si>
  <x:si>
    <x:t xml:space="preserve">Bakun Lake</x:t>
  </x:si>
  <x:si>
    <x:t xml:space="preserve">Belaga</x:t>
  </x:si>
  <x:si>
    <x:t xml:space="preserve">lake; interior; boating</x:t>
  </x:si>
  <x:si>
    <x:t xml:space="preserve">A large reservoir formed by the Bakun Dam in Belaga district, Sarawak.</x:t>
  </x:si>
  <x:si>
    <x:t xml:space="preserve">https://www.google.com/maps/search/?api=1&amp;query=Bakun%20Lake%2C%20Sarawak%2C%20Malaysia</x:t>
  </x:si>
  <x:si>
    <x:t xml:space="preserve">MC0311</x:t>
  </x:si>
  <x:si>
    <x:t xml:space="preserve">Pulau Ketam</x:t>
  </x:si>
  <x:si>
    <x:t xml:space="preserve">Selangor</x:t>
  </x:si>
  <x:si>
    <x:t xml:space="preserve">Klang / Port Klang</x:t>
  </x:si>
  <x:si>
    <x:t xml:space="preserve">Island; fishing village; stilt houses; mangrove; mudflats; Chinese heritage; Hokkien culture; Teochew culture; seafood; crab; fishing; seafood processing; temples; Hock Leng Keng Temple; murals; colourful houses; boardwalk; cycling; electric scooter; walking; village life; cultural tourism; photography; boat ride; ferry; homestay; local food; car-free destination</x:t>
  </x:si>
  <x:si>
    <x:t xml:space="preserve">A car-free mangrove island off Port Klang, known for its Chinese fishing villages built on stilts above tidal mudflats. Visitors explore narrow boardwalks on foot or bicycle, observe the working fishing community, visit colourful temples and murals, and enjoy seafood—especially locally caught crab.</x:t>
  </x:si>
  <x:si>
    <x:t xml:space="preserve">https://www.malaysia.travel/explore/pulau-ketam ; https://www.pulauketam.com/v3/ferry-schedule/ ; https://selangor.travel/wp-content/uploads/2017/04/TS2025_DIRECTORY_Screen_Sp-1.pdf ; https://selangor.travel/exploring-royal-klang-a-journey-through-heritage-culture-and-flavours/ ; https://selangor.travel/wp-content/uploads/2023/03/TS_SPLENDID-SELANGOR-TRAVEL-ITINERARY_compressed.pdf ; https://www.mbdk.gov.my/en/tourism/tourist-spot ; https://mygeoname.mygeoportal.gov.my/pdf/10.pdf</x:t>
  </x:si>
  <x:si>
    <x:t xml:space="preserve">https://ebrochures.malaysia.travel/en/malaysia-travel-guide/selangor/</x:t>
  </x:si>
  <x:si>
    <x:t xml:space="preserve">A023</x:t>
  </x:si>
  <x:si>
    <x:t xml:space="preserve">MC0312</x:t>
  </x:si>
  <x:si>
    <x:t xml:space="preserve">Batu Caves</x:t>
  </x:si>
  <x:si>
    <x:t xml:space="preserve">Gombak / Batu Caves</x:t>
  </x:si>
  <x:si>
    <x:t xml:space="preserve">Hindu temple; pilgrimage; Thaipusam; Lord Murugan; Sri Subramaniar Swamy Temple; Temple Cave; Cathedral Cave; Ramayana Cave; Cave Villa; limestone cave; 272 steps; rainbow staircase; Tamil culture; Indian heritage; religious tourism; cultural tourism; architecture; geology; photography; monkeys; festival; KTM Komuter</x:t>
  </x:si>
  <x:si>
    <x:t xml:space="preserve">An important Hindu pilgrimage complex within a limestone hill in Gombak. Visitors pass the monumental golden Lord Murugan statue and climb 272 colourful steps to the Temple Cave, while the site becomes a major centre of worship and celebration during Thaipusam.</x:t>
  </x:si>
  <x:si>
    <x:t xml:space="preserve">https://www.malaysia.travel/explore/batu-caves ; https://www.malaysia.travel/explore/4-top-cultural-destinations-in-selangor ; https://selangor.travel/listing/batu-caves/ ; https://www.tourism.gov.my/media/view/vm2026-strenghtens-visibility-at-thaipusam-festival-batu-caves ; https://www.ktmb.com.my/komuter.html ; https://www.ktmb.com.my/TrainTime.html ; https://www.mps.gov.my/ms/batu-caves ; https://www.mindat.org/loc-312776.html</x:t>
  </x:si>
  <x:si>
    <x:t xml:space="preserve">A024</x:t>
  </x:si>
  <x:si>
    <x:t xml:space="preserve">MC0313</x:t>
  </x:si>
  <x:si>
    <x:t xml:space="preserve">Sunway Lagoon</x:t>
  </x:si>
  <x:si>
    <x:t xml:space="preserve">Petaling Jaya / Bandar Sunway</x:t>
  </x:si>
  <x:si>
    <x:t xml:space="preserve">Theme park; water park; Sunway Lost Lagoon; amusement park; wildlife park; X Park; Scream Park; Captain Quack Land; Night Park; water slides; wave pool; thrill rides; roller coaster; wildlife; family attraction; children's attractions; adventure; bungy jump; flying fox; go kart; bird and animal encounters; live entertainment; swimming; photography; nightlife; shopping nearby; Sunway City</x:t>
  </x:si>
  <x:si>
    <x:t xml:space="preserve">A large multi-park attraction in Bandar Sunway combining water rides, amusement rides, wildlife encounters, adventure activities, a scare attraction and an evening park. Its seven experiences and more than 90 rides and attractions cater to families, children and thrill-seekers, subject to individual height, age, weight and health restrictions.</x:t>
  </x:si>
  <x:si>
    <x:t xml:space="preserve">https://www.malaysia.travel/explore/sunway-lagoon ; https://sunwaylagoon.com/ ; https://sunwaylagoon.com/pricing/ ; https://sunwaylagoon.com/etickets/ ; https://sunwaylagoon.com/frequently-asked-questions/ ; https://sunwaylagoon.com/park-rules/ ; https://sunwaylagoon.com/how-to-get-here/ ; https://sunwaylagoon.com/quack-xpress/</x:t>
  </x:si>
  <x:si>
    <x:t xml:space="preserve">A028</x:t>
  </x:si>
  <x:si>
    <x:t xml:space="preserve">MC0314</x:t>
  </x:si>
  <x:si>
    <x:t xml:space="preserve">i-City Theme Park</x:t>
  </x:si>
  <x:si>
    <x:t xml:space="preserve">Shah Alam</x:t>
  </x:si>
  <x:si>
    <x:t xml:space="preserve">theme park; lights; family; children; night activity</x:t>
  </x:si>
  <x:si>
    <x:t xml:space="preserve">A mixed leisure and theme park complex in Shah Alam known for its digital light displays and water park.</x:t>
  </x:si>
  <x:si>
    <x:t xml:space="preserve">https://www.google.com/maps/search/?api=1&amp;query=i-City%20Theme%20Park%2C%20Selangor%2C%20Malaysia</x:t>
  </x:si>
  <x:si>
    <x:t xml:space="preserve">A121</x:t>
  </x:si>
  <x:si>
    <x:t xml:space="preserve">MC0315</x:t>
  </x:si>
  <x:si>
    <x:t xml:space="preserve">Sky Mirror Kuala Selangor</x:t>
  </x:si>
  <x:si>
    <x:t xml:space="preserve">Kuala Selangor</x:t>
  </x:si>
  <x:si>
    <x:t xml:space="preserve">sandbank; photography; boat trip; nature; scenery</x:t>
  </x:si>
  <x:si>
    <x:t xml:space="preserve">A tidal sandbank off Kuala Selangor that creates a mirror-like reflection at low tide, accessible by boat.</x:t>
  </x:si>
  <x:si>
    <x:t xml:space="preserve">https://www.google.com/maps/search/?api=1&amp;query=Sky%20Mirror%20Kuala%20Selangor%2C%20Selangor%2C%20Malaysia</x:t>
  </x:si>
  <x:si>
    <x:t xml:space="preserve">A122</x:t>
  </x:si>
  <x:si>
    <x:t xml:space="preserve">MC0316</x:t>
  </x:si>
  <x:si>
    <x:t xml:space="preserve">Kuala Selangor Nature Park</x:t>
  </x:si>
  <x:si>
    <x:t xml:space="preserve">mangrove; birdwatching; walking; wildlife; relaxation</x:t>
  </x:si>
  <x:si>
    <x:t xml:space="preserve">A mangrove nature reserve near Kuala Selangor known for silvered leaf monkeys, birdlife and nearby firefly viewing.</x:t>
  </x:si>
  <x:si>
    <x:t xml:space="preserve">https://www.google.com/maps/search/?api=1&amp;query=Kuala%20Selangor%20Nature%20Park%2C%20Selangor%2C%20Malaysia</x:t>
  </x:si>
  <x:si>
    <x:t xml:space="preserve">A123</x:t>
  </x:si>
  <x:si>
    <x:t xml:space="preserve">MC0317</x:t>
  </x:si>
  <x:si>
    <x:t xml:space="preserve">Sekinchan Paddy Fields</x:t>
  </x:si>
  <x:si>
    <x:t xml:space="preserve">Sekinchan</x:t>
  </x:si>
  <x:si>
    <x:t xml:space="preserve">paddy fields; scenery; photography; rural culture; relaxation</x:t>
  </x:si>
  <x:si>
    <x:t xml:space="preserve">Expansive rice paddy fields in Sekinchan, Selangor, a popular photography and agro-tourism destination.</x:t>
  </x:si>
  <x:si>
    <x:t xml:space="preserve">https://www.google.com/maps/search/?api=1&amp;query=Sekinchan%20Paddy%20Fields%2C%20Selangor%2C%20Malaysia</x:t>
  </x:si>
  <x:si>
    <x:t xml:space="preserve">A124</x:t>
  </x:si>
  <x:si>
    <x:t xml:space="preserve">MC0318</x:t>
  </x:si>
  <x:si>
    <x:t xml:space="preserve">Sultan Salahuddin Abdul Aziz Shah Mosque</x:t>
  </x:si>
  <x:si>
    <x:t xml:space="preserve">mosque; architecture; religion; photography; culture</x:t>
  </x:si>
  <x:si>
    <x:t xml:space="preserve">Selangor's state mosque in Shah Alam, one of the largest mosques in Southeast Asia, known for its large blue dome.</x:t>
  </x:si>
  <x:si>
    <x:t xml:space="preserve">https://www.google.com/maps/search/?api=1&amp;query=Sultan%20Salahuddin%20Abdul%20Aziz%20Shah%20Mosque%2C%20Selangor%2C%20Malaysia</x:t>
  </x:si>
  <x:si>
    <x:t xml:space="preserve">A125</x:t>
  </x:si>
  <x:si>
    <x:t xml:space="preserve">MC0319</x:t>
  </x:si>
  <x:si>
    <x:t xml:space="preserve">Farm in the City</x:t>
  </x:si>
  <x:si>
    <x:t xml:space="preserve">Seri Kembangan</x:t>
  </x:si>
  <x:si>
    <x:t xml:space="preserve">animals; farm; family; children; education</x:t>
  </x:si>
  <x:si>
    <x:t xml:space="preserve">A family-oriented agro-tourism park in Seri Kembangan, Selangor, with farm animals and interactive activities.</x:t>
  </x:si>
  <x:si>
    <x:t xml:space="preserve">https://www.google.com/maps/search/?api=1&amp;query=Farm%20in%20the%20City%2C%20Selangor%2C%20Malaysia</x:t>
  </x:si>
  <x:si>
    <x:t xml:space="preserve">A126</x:t>
  </x:si>
  <x:si>
    <x:t xml:space="preserve">MC0320</x:t>
  </x:si>
  <x:si>
    <x:t xml:space="preserve">National Botanical Garden Shah Alam</x:t>
  </x:si>
  <x:si>
    <x:t xml:space="preserve">garden; nature; walking; family; relaxation</x:t>
  </x:si>
  <x:si>
    <x:t xml:space="preserve">A large botanical garden in Shah Alam with themed plant sections and a canopy walk.</x:t>
  </x:si>
  <x:si>
    <x:t xml:space="preserve">https://www.google.com/maps/search/?api=1&amp;query=National%20Botanical%20Garden%20Shah%20Alam%2C%20Selangor%2C%20Malaysia</x:t>
  </x:si>
  <x:si>
    <x:t xml:space="preserve">A127</x:t>
  </x:si>
  <x:si>
    <x:t xml:space="preserve">MC0321</x:t>
  </x:si>
  <x:si>
    <x:t xml:space="preserve">Sultan Salahuddin Abdul Aziz Mosque</x:t>
  </x:si>
  <x:si>
    <x:t xml:space="preserve">blue mosque; architecture; landmark</x:t>
  </x:si>
  <x:si>
    <x:t xml:space="preserve">Selangor's state mosque in Shah Alam, notable for one of the largest domes in the world and its blue-and-white architecture.</x:t>
  </x:si>
  <x:si>
    <x:t xml:space="preserve">https://www.google.com/maps/search/?api=1&amp;query=Sultan%20Salahuddin%20Abdul%20Aziz%20Mosque%2C%20Selangor%2C%20Malaysia</x:t>
  </x:si>
  <x:si>
    <x:t xml:space="preserve">Selangor expansion batch</x:t>
  </x:si>
  <x:si>
    <x:t xml:space="preserve">MC0322</x:t>
  </x:si>
  <x:si>
    <x:t xml:space="preserve">Selangor State Museum</x:t>
  </x:si>
  <x:si>
    <x:t xml:space="preserve">state history; museum; culture</x:t>
  </x:si>
  <x:si>
    <x:t xml:space="preserve">A museum in Shah Alam, also known as Muzium Sultan Alam Shah, documenting Selangor's history and culture.</x:t>
  </x:si>
  <x:si>
    <x:t xml:space="preserve">https://www.google.com/maps/search/?api=1&amp;query=Selangor%20State%20Museum%2C%20Selangor%2C%20Malaysia</x:t>
  </x:si>
  <x:si>
    <x:t xml:space="preserve">MC0323</x:t>
  </x:si>
  <x:si>
    <x:t xml:space="preserve">National Botanic Gardens Shah Alam</x:t>
  </x:si>
  <x:si>
    <x:t xml:space="preserve">botanical garden; cycling; family</x:t>
  </x:si>
  <x:si>
    <x:t xml:space="preserve">A landscaped botanical garden in Shah Alam featuring themed gardens and a canopy walkway.</x:t>
  </x:si>
  <x:si>
    <x:t xml:space="preserve">https://www.google.com/maps/search/?api=1&amp;query=National%20Botanic%20Gardens%20Shah%20Alam%2C%20Selangor%2C%20Malaysia</x:t>
  </x:si>
  <x:si>
    <x:t xml:space="preserve">MC0324</x:t>
  </x:si>
  <x:si>
    <x:t xml:space="preserve">Raja Tun Uda Library</x:t>
  </x:si>
  <x:si>
    <x:t xml:space="preserve">library; family; architecture</x:t>
  </x:si>
  <x:si>
    <x:t xml:space="preserve">A public library and cultural landmark in Shah Alam known for its distinctive architecture.</x:t>
  </x:si>
  <x:si>
    <x:t xml:space="preserve">https://www.google.com/maps/search/?api=1&amp;query=Raja%20Tun%20Uda%20Library%2C%20Selangor%2C%20Malaysia</x:t>
  </x:si>
  <x:si>
    <x:t xml:space="preserve">MC0325</x:t>
  </x:si>
  <x:si>
    <x:t xml:space="preserve">Sultan Abdul Aziz Royal Gallery</x:t>
  </x:si>
  <x:si>
    <x:t xml:space="preserve">Klang</x:t>
  </x:si>
  <x:si>
    <x:t xml:space="preserve">A royal gallery in Klang showcasing Selangor's royal history and regalia.</x:t>
  </x:si>
  <x:si>
    <x:t xml:space="preserve">https://www.google.com/maps/search/?api=1&amp;query=Sultan%20Abdul%20Aziz%20Royal%20Gallery%2C%20Selangor%2C%20Malaysia</x:t>
  </x:si>
  <x:si>
    <x:t xml:space="preserve">MC0326</x:t>
  </x:si>
  <x:si>
    <x:t xml:space="preserve">Klang Heritage Walk</x:t>
  </x:si>
  <x:si>
    <x:t xml:space="preserve">heritage buildings; food; walking</x:t>
  </x:si>
  <x:si>
    <x:t xml:space="preserve">A heritage trail through Klang's historic royal town, passing colonial buildings and temples.</x:t>
  </x:si>
  <x:si>
    <x:t xml:space="preserve">https://www.google.com/maps/search/?api=1&amp;query=Klang%20Heritage%20Walk%2C%20Selangor%2C%20Malaysia</x:t>
  </x:si>
  <x:si>
    <x:t xml:space="preserve">MC0327</x:t>
  </x:si>
  <x:si>
    <x:t xml:space="preserve">Bukit Melawati</x:t>
  </x:si>
  <x:si>
    <x:t xml:space="preserve">fort; lighthouse; monkeys</x:t>
  </x:si>
  <x:si>
    <x:t xml:space="preserve">A historic hill in Kuala Selangor with a former fort, lighthouse and views over the river mouth.</x:t>
  </x:si>
  <x:si>
    <x:t xml:space="preserve">https://www.google.com/maps/search/?api=1&amp;query=Bukit%20Melawati%2C%20Selangor%2C%20Malaysia</x:t>
  </x:si>
  <x:si>
    <x:t xml:space="preserve">MC0328</x:t>
  </x:si>
  <x:si>
    <x:t xml:space="preserve">Kampung Kuantan Fireflies</x:t>
  </x:si>
  <x:si>
    <x:t xml:space="preserve">fireflies; river; night boat</x:t>
  </x:si>
  <x:si>
    <x:t xml:space="preserve">A riverside village near Kuala Selangor famous for synchronised firefly-watching boat rides.</x:t>
  </x:si>
  <x:si>
    <x:t xml:space="preserve">https://www.google.com/maps/search/?api=1&amp;query=Kampung%20Kuantan%20Fireflies%2C%20Selangor%2C%20Malaysia</x:t>
  </x:si>
  <x:si>
    <x:t xml:space="preserve">MC0329</x:t>
  </x:si>
  <x:si>
    <x:t xml:space="preserve">Pantai Redang Sekinchan</x:t>
  </x:si>
  <x:si>
    <x:t xml:space="preserve">beach; fishing village; sunset</x:t>
  </x:si>
  <x:si>
    <x:t xml:space="preserve">A coastal recreational beach area in Sekinchan, Selangor.</x:t>
  </x:si>
  <x:si>
    <x:t xml:space="preserve">https://www.google.com/maps/search/?api=1&amp;query=Pantai%20Redang%20Sekinchan%2C%20Selangor%2C%20Malaysia</x:t>
  </x:si>
  <x:si>
    <x:t xml:space="preserve">MC0330</x:t>
  </x:si>
  <x:si>
    <x:t xml:space="preserve">Sabak Bernam Museum</x:t>
  </x:si>
  <x:si>
    <x:t xml:space="preserve">Sabak Bernam</x:t>
  </x:si>
  <x:si>
    <x:t xml:space="preserve">agriculture; local history; museum</x:t>
  </x:si>
  <x:si>
    <x:t xml:space="preserve">A small district museum in Sabak Bernam, Selangor.</x:t>
  </x:si>
  <x:si>
    <x:t xml:space="preserve">https://www.google.com/maps/search/?api=1&amp;query=Sabak%20Bernam%20Museum%2C%20Selangor%2C%20Malaysia</x:t>
  </x:si>
  <x:si>
    <x:t xml:space="preserve">MC0331</x:t>
  </x:si>
  <x:si>
    <x:t xml:space="preserve">Kuala Kubu Bharu Heritage Town</x:t>
  </x:si>
  <x:si>
    <x:t xml:space="preserve">Hulu Selangor</x:t>
  </x:si>
  <x:si>
    <x:t xml:space="preserve">heritage town; murals; food</x:t>
  </x:si>
  <x:si>
    <x:t xml:space="preserve">A small historic town in Hulu Selangor known for its colonial-era shophouses and nearby waterfalls.</x:t>
  </x:si>
  <x:si>
    <x:t xml:space="preserve">https://www.google.com/maps/search/?api=1&amp;query=Kuala%20Kubu%20Bharu%20Heritage%20Town%2C%20Selangor%2C%20Malaysia</x:t>
  </x:si>
  <x:si>
    <x:t xml:space="preserve">MC0332</x:t>
  </x:si>
  <x:si>
    <x:t xml:space="preserve">Sungai Chiling Waterfall</x:t>
  </x:si>
  <x:si>
    <x:t xml:space="preserve">waterfall; hiking; river</x:t>
  </x:si>
  <x:si>
    <x:t xml:space="preserve">A popular waterfall and hiking trail in Hulu Selangor district.</x:t>
  </x:si>
  <x:si>
    <x:t xml:space="preserve">https://www.google.com/maps/search/?api=1&amp;query=Sungai%20Chiling%20Waterfall%2C%20Selangor%2C%20Malaysia</x:t>
  </x:si>
  <x:si>
    <x:t xml:space="preserve">MC0333</x:t>
  </x:si>
  <x:si>
    <x:t xml:space="preserve">Kanching Recreational Forest</x:t>
  </x:si>
  <x:si>
    <x:t xml:space="preserve">Rawang</x:t>
  </x:si>
  <x:si>
    <x:t xml:space="preserve">waterfall; forest; hiking</x:t>
  </x:si>
  <x:si>
    <x:t xml:space="preserve">A waterfall recreational forest in Rawang, Selangor, popular with hikers.</x:t>
  </x:si>
  <x:si>
    <x:t xml:space="preserve">https://www.google.com/maps/search/?api=1&amp;query=Kanching%20Recreational%20Forest%2C%20Selangor%2C%20Malaysia</x:t>
  </x:si>
  <x:si>
    <x:t xml:space="preserve">MC0334</x:t>
  </x:si>
  <x:si>
    <x:t xml:space="preserve">FRIM Forest Skywalk</x:t>
  </x:si>
  <x:si>
    <x:t xml:space="preserve">Gombak</x:t>
  </x:si>
  <x:si>
    <x:t xml:space="preserve">forest; canopy; education</x:t>
  </x:si>
  <x:si>
    <x:t xml:space="preserve">A canopy walkway within the Forest Research Institute Malaysia in Gombak, suspended above tropical rainforest.</x:t>
  </x:si>
  <x:si>
    <x:t xml:space="preserve">https://www.google.com/maps/search/?api=1&amp;query=FRIM%20Forest%20Skywalk%2C%20Selangor%2C%20Malaysia</x:t>
  </x:si>
  <x:si>
    <x:t xml:space="preserve">MC0335</x:t>
  </x:si>
  <x:si>
    <x:t xml:space="preserve">Taman Jaya</x:t>
  </x:si>
  <x:si>
    <x:t xml:space="preserve">Petaling Jaya</x:t>
  </x:si>
  <x:si>
    <x:t xml:space="preserve">urban park; lake; walking</x:t>
  </x:si>
  <x:si>
    <x:t xml:space="preserve">A lake park in Petaling Jaya popular for jogging and family outings.</x:t>
  </x:si>
  <x:si>
    <x:t xml:space="preserve">https://www.google.com/maps/search/?api=1&amp;query=Taman%20Jaya%2C%20Selangor%2C%20Malaysia</x:t>
  </x:si>
  <x:si>
    <x:t xml:space="preserve">MC0336</x:t>
  </x:si>
  <x:si>
    <x:t xml:space="preserve">Subang Ria Recreational Park</x:t>
  </x:si>
  <x:si>
    <x:t xml:space="preserve">Subang Jaya</x:t>
  </x:si>
  <x:si>
    <x:t xml:space="preserve">lake; park; family</x:t>
  </x:si>
  <x:si>
    <x:t xml:space="preserve">A recreational lake park in Subang Jaya with a mini water theme park.</x:t>
  </x:si>
  <x:si>
    <x:t xml:space="preserve">https://www.google.com/maps/search/?api=1&amp;query=Subang%20Ria%20Recreational%20Park%2C%20Selangor%2C%20Malaysia</x:t>
  </x:si>
  <x:si>
    <x:t xml:space="preserve">MC0337</x:t>
  </x:si>
  <x:si>
    <x:t xml:space="preserve">Sepang International Circuit</x:t>
  </x:si>
  <x:si>
    <x:t xml:space="preserve">Sepang</x:t>
  </x:si>
  <x:si>
    <x:t xml:space="preserve">motorsport; events; landmark</x:t>
  </x:si>
  <x:si>
    <x:t xml:space="preserve">A motorsport racing circuit in Sepang, Selangor, that has hosted major international races.</x:t>
  </x:si>
  <x:si>
    <x:t xml:space="preserve">https://www.google.com/maps/search/?api=1&amp;query=Sepang%20International%20Circuit%2C%20Selangor%2C%20Malaysia</x:t>
  </x:si>
  <x:si>
    <x:t xml:space="preserve">MC0338</x:t>
  </x:si>
  <x:si>
    <x:t xml:space="preserve">Bagan Lalang Beach</x:t>
  </x:si>
  <x:si>
    <x:t xml:space="preserve">beach; seafood; sunset</x:t>
  </x:si>
  <x:si>
    <x:t xml:space="preserve">A beach in Sepang district, Selangor, popular for kite-flying and water sports.</x:t>
  </x:si>
  <x:si>
    <x:t xml:space="preserve">https://www.google.com/maps/search/?api=1&amp;query=Bagan%20Lalang%20Beach%2C%20Selangor%2C%20Malaysia</x:t>
  </x:si>
  <x:si>
    <x:t xml:space="preserve">MC0339</x:t>
  </x:si>
  <x:si>
    <x:t xml:space="preserve">Mah Meri Cultural Village</x:t>
  </x:si>
  <x:si>
    <x:t xml:space="preserve">Banting</x:t>
  </x:si>
  <x:si>
    <x:t xml:space="preserve">indigenous culture; masks; crafts</x:t>
  </x:si>
  <x:si>
    <x:t xml:space="preserve">A cultural village in Banting, Selangor, showcasing the traditions and wood-carving craft of the Mah Meri indigenous community.</x:t>
  </x:si>
  <x:si>
    <x:t xml:space="preserve">https://www.google.com/maps/search/?api=1&amp;query=Mah%20Meri%20Cultural%20Village%2C%20Selangor%2C%20Malaysia</x:t>
  </x:si>
  <x:si>
    <x:t xml:space="preserve">MC0340</x:t>
  </x:si>
  <x:si>
    <x:t xml:space="preserve">Pulau Tenggol</x:t>
  </x:si>
  <x:si>
    <x:t xml:space="preserve">Terengganu</x:t>
  </x:si>
  <x:si>
    <x:t xml:space="preserve">Dungun / Kuala Dungun</x:t>
  </x:si>
  <x:si>
    <x:t xml:space="preserve">Island; marine park; South China Sea; scuba diving; snorkelling; wall diving; drift diving; wreck diving; coral reef; marine life; whale shark; blacktip reef shark; turtle; nudibranch; batfish; underwater photography; strong currents; beach; rocky cliffs; boat trip; day trip; resort; nature; adventure; conservation</x:t>
  </x:si>
  <x:si>
    <x:t xml:space="preserve">A small, comparatively secluded marine-park island off Kuala Dungun, renowned for clear water, coral gardens, steep underwater walls, wrecks and diverse marine life. Its strong currents and numerous dive sites make it especially attractive to experienced scuba divers, while sheltered areas also support snorkelling.</x:t>
  </x:si>
  <x:si>
    <x:t xml:space="preserve">https://www.malaysia.travel/explore/pulau-tenggol-terengganu-a-thalassophile-s-heaven ; https://mpd.gov.my/index.php/en/visitors/places-of-interest/pulau-tenggol ; https://ebrochures.malaysia.travel/en/islands-and-beaches/islands-of-terengganu/ ; https://ebrochures.malaysia.travel/en/dive-in-paradise/pulau-tenggol/ ; https://www.malaysia.travel/explore/5-most-beautiful-islands-to-discover-in-terengganu ; https://www.dof.gov.my/en/services/marine-park-resource-management/marine-park-management/ ; https://www.dof.gov.my/en/services/marine-park-resource-management/conservation-charge-fee-rates/ ; https://mygeoname.mygeoportal.gov.my/exportpdf00.jsp?kodnegeri=11 ; https://www.tenggol.com.my/go-diving/</x:t>
  </x:si>
  <x:si>
    <x:t xml:space="preserve">https://ebrochures.malaysia.travel/en/malaysia-travel-guide/terengganu/</x:t>
  </x:si>
  <x:si>
    <x:t xml:space="preserve">A025</x:t>
  </x:si>
  <x:si>
    <x:t xml:space="preserve">MC0341</x:t>
  </x:si>
  <x:si>
    <x:t xml:space="preserve">Chemerong Forest Reserve</x:t>
  </x:si>
  <x:si>
    <x:t xml:space="preserve">Dungun / Hulu Dungun</x:t>
  </x:si>
  <x:si>
    <x:t xml:space="preserve">Forest reserve; forest eco park; Pasir Raja Forest Reserve; Chemerong Waterfall; CBL trail; Chemerong-Berembun-Langsir; Mount Berembun; Langsir Waterfall; hill dipterocarp forest; jungle trekking; hiking; camping; waterfall; river; swimming; Jeram Lesung Pool; giant Chengal tree; nature; adventure; photography; guided hike; multi-day expedition</x:t>
  </x:si>
  <x:si>
    <x:t xml:space="preserve">A hill-dipterocarp recreation forest in Hulu Dungun centred on Chemerong Waterfall and the demanding Chemerong-Berembun-Langsir hiking circuit. Casual visitors can use the recreation area, while experienced hikers undertake guided waterfall, mountain and multi-day camping routes through the reserve.</x:t>
  </x:si>
  <x:si>
    <x:t xml:space="preserve">https://www.malaysia.travel/explore/chemerong-forest-reserve ; https://trgforestry.terengganu.gov.my/index.php?option=com_content&amp;view=article&amp;id=83&amp;Itemid=339&amp;lang=en ; https://www.forestry.gov.my/my/terengganu/taman-eko-rimba-chemerong ; https://www.forestry.gov.my/index.php/my/perkhidmatan/info-perhutanan/hutan-lipur-hutan-taman-negeri ; https://ebrochures.malaysia.travel/en/malaysia-travel-guide/terengganu/ ; https://ebrochures.malaysia.travel/en/adventure-with-nature/jungle-trekking/</x:t>
  </x:si>
  <x:si>
    <x:t xml:space="preserve">A026</x:t>
  </x:si>
  <x:si>
    <x:t xml:space="preserve">MC0342</x:t>
  </x:si>
  <x:si>
    <x:t xml:space="preserve">Redang Island</x:t>
  </x:si>
  <x:si>
    <x:t xml:space="preserve">Kuala Nerus</x:t>
  </x:si>
  <x:si>
    <x:t xml:space="preserve">island; beach; snorkelling; diving; relaxation</x:t>
  </x:si>
  <x:si>
    <x:t xml:space="preserve">An island off Kuala Nerus, Terengganu, known for its clear turquoise waters and coral reefs, popular for diving and snorkelling.</x:t>
  </x:si>
  <x:si>
    <x:t xml:space="preserve">https://www.google.com/maps/search/?api=1&amp;query=Redang%20Island%2C%20Terengganu%2C%20Malaysia</x:t>
  </x:si>
  <x:si>
    <x:t xml:space="preserve">A128</x:t>
  </x:si>
  <x:si>
    <x:t xml:space="preserve">MC0343</x:t>
  </x:si>
  <x:si>
    <x:t xml:space="preserve">Perhentian Islands</x:t>
  </x:si>
  <x:si>
    <x:t xml:space="preserve">Besut</x:t>
  </x:si>
  <x:si>
    <x:t xml:space="preserve">A pair of islands off Besut, Terengganu, renowned for coral reefs, turtles and backpacker-friendly beaches.</x:t>
  </x:si>
  <x:si>
    <x:t xml:space="preserve">https://www.google.com/maps/search/?api=1&amp;query=Perhentian%20Islands%2C%20Terengganu%2C%20Malaysia</x:t>
  </x:si>
  <x:si>
    <x:t xml:space="preserve">A129</x:t>
  </x:si>
  <x:si>
    <x:t xml:space="preserve">MC0344</x:t>
  </x:si>
  <x:si>
    <x:t xml:space="preserve">Islamic Civilisation Park</x:t>
  </x:si>
  <x:si>
    <x:t xml:space="preserve">Kuala Terengganu</x:t>
  </x:si>
  <x:si>
    <x:t xml:space="preserve">Islamic architecture; monuments; family; culture; education</x:t>
  </x:si>
  <x:si>
    <x:t xml:space="preserve">A park in Kuala Terengganu featuring scale replicas of famous Islamic monuments from around the world.</x:t>
  </x:si>
  <x:si>
    <x:t xml:space="preserve">https://www.google.com/maps/search/?api=1&amp;query=Islamic%20Civilisation%20Park%2C%20Terengganu%2C%20Malaysia</x:t>
  </x:si>
  <x:si>
    <x:t xml:space="preserve">A130</x:t>
  </x:si>
  <x:si>
    <x:t xml:space="preserve">MC0345</x:t>
  </x:si>
  <x:si>
    <x:t xml:space="preserve">Terengganu State Museum</x:t>
  </x:si>
  <x:si>
    <x:t xml:space="preserve">museum; culture; heritage; history; indoor</x:t>
  </x:si>
  <x:si>
    <x:t xml:space="preserve">One of the largest museums in Southeast Asia, in Kuala Terengganu, covering the state's maritime and Islamic heritage.</x:t>
  </x:si>
  <x:si>
    <x:t xml:space="preserve">https://www.google.com/maps/search/?api=1&amp;query=Terengganu%20State%20Museum%2C%20Terengganu%2C%20Malaysia</x:t>
  </x:si>
  <x:si>
    <x:t xml:space="preserve">A131</x:t>
  </x:si>
  <x:si>
    <x:t xml:space="preserve">MC0346</x:t>
  </x:si>
  <x:si>
    <x:t xml:space="preserve">Crystal Mosque</x:t>
  </x:si>
  <x:si>
    <x:t xml:space="preserve">mosque; architecture; religion; photography; waterfront</x:t>
  </x:si>
  <x:si>
    <x:t xml:space="preserve">A striking glass-and-steel mosque in Kuala Terengganu, illuminated at night and set on Wan Man Island.</x:t>
  </x:si>
  <x:si>
    <x:t xml:space="preserve">https://www.google.com/maps/search/?api=1&amp;query=Crystal%20Mosque%2C%20Terengganu%2C%20Malaysia</x:t>
  </x:si>
  <x:si>
    <x:t xml:space="preserve">A132</x:t>
  </x:si>
  <x:si>
    <x:t xml:space="preserve">MC0347</x:t>
  </x:si>
  <x:si>
    <x:t xml:space="preserve">Kenyir Lake</x:t>
  </x:si>
  <x:si>
    <x:t xml:space="preserve">Hulu Terengganu</x:t>
  </x:si>
  <x:si>
    <x:t xml:space="preserve">lake; boat trip; fishing; nature; relaxation; adventure</x:t>
  </x:si>
  <x:si>
    <x:t xml:space="preserve">Malaysia's largest man-made lake, in Hulu Terengganu, surrounded by rainforest and popular for fishing and eco-tourism.</x:t>
  </x:si>
  <x:si>
    <x:t xml:space="preserve">https://www.google.com/maps/search/?api=1&amp;query=Kenyir%20Lake%2C%20Terengganu%2C%20Malaysia</x:t>
  </x:si>
  <x:si>
    <x:t xml:space="preserve">A133</x:t>
  </x:si>
  <x:si>
    <x:t xml:space="preserve">MC0348</x:t>
  </x:si>
  <x:si>
    <x:t xml:space="preserve">Rantau Abang Turtle Information Centre</x:t>
  </x:si>
  <x:si>
    <x:t xml:space="preserve">Dungun</x:t>
  </x:si>
  <x:si>
    <x:t xml:space="preserve">turtles; conservation; education; wildlife; family</x:t>
  </x:si>
  <x:si>
    <x:t xml:space="preserve">A conservation and education centre in Dungun, Terengganu, dedicated to sea turtle protection.</x:t>
  </x:si>
  <x:si>
    <x:t xml:space="preserve">https://www.google.com/maps/search/?api=1&amp;query=Rantau%20Abang%20Turtle%20Information%20Centre%2C%20Terengganu%2C%20Malaysia</x:t>
  </x:si>
  <x:si>
    <x:t xml:space="preserve">A134</x:t>
  </x:si>
  <x:si>
    <x:t xml:space="preserve">MC0349</x:t>
  </x:si>
  <x:si>
    <x:t xml:space="preserve">Kampung Cina Kuala Terengganu</x:t>
  </x:si>
  <x:si>
    <x:t xml:space="preserve">heritage; culture; food; architecture; walking</x:t>
  </x:si>
  <x:si>
    <x:t xml:space="preserve">Kuala Terengganu's historic Chinatown, known for its riverside shophouses and temples.</x:t>
  </x:si>
  <x:si>
    <x:t xml:space="preserve">https://www.google.com/maps/search/?api=1&amp;query=Kampung%20Cina%20Kuala%20Terengganu%2C%20Terengganu%2C%20Malaysia</x:t>
  </x:si>
  <x:si>
    <x:t xml:space="preserve">A135</x:t>
  </x:si>
  <x:si>
    <x:t xml:space="preserve">MC0350</x:t>
  </x:si>
  <x:si>
    <x:t xml:space="preserve">Pasar Payang</x:t>
  </x:si>
  <x:si>
    <x:t xml:space="preserve">market; batik; local food</x:t>
  </x:si>
  <x:si>
    <x:t xml:space="preserve">Kuala Terengganu's main market, known for local textiles like batik and songket, plus fresh produce and seafood.</x:t>
  </x:si>
  <x:si>
    <x:t xml:space="preserve">https://www.google.com/maps/search/?api=1&amp;query=Pasar%20Payang%2C%20Terengganu%2C%20Malaysia</x:t>
  </x:si>
  <x:si>
    <x:t xml:space="preserve">Terengganu expansion batch</x:t>
  </x:si>
  <x:si>
    <x:t xml:space="preserve">MC0351</x:t>
  </x:si>
  <x:si>
    <x:t xml:space="preserve">Kampung Cina</x:t>
  </x:si>
  <x:si>
    <x:t xml:space="preserve">heritage street; murals; food</x:t>
  </x:si>
  <x:si>
    <x:t xml:space="preserve">The historic Chinatown quarter of Kuala Terengganu along the waterfront.</x:t>
  </x:si>
  <x:si>
    <x:t xml:space="preserve">https://www.google.com/maps/search/?api=1&amp;query=Kampung%20Cina%2C%20Terengganu%2C%20Malaysia</x:t>
  </x:si>
  <x:si>
    <x:t xml:space="preserve">MC0352</x:t>
  </x:si>
  <x:si>
    <x:t xml:space="preserve">Pulau Duyong</x:t>
  </x:si>
  <x:si>
    <x:t xml:space="preserve">boatbuilding; village; river</x:t>
  </x:si>
  <x:si>
    <x:t xml:space="preserve">A river island in Kuala Terengganu traditionally known for wooden boat-building craftsmanship.</x:t>
  </x:si>
  <x:si>
    <x:t xml:space="preserve">https://www.google.com/maps/search/?api=1&amp;query=Pulau%20Duyong%2C%20Terengganu%2C%20Malaysia</x:t>
  </x:si>
  <x:si>
    <x:t xml:space="preserve">MC0353</x:t>
  </x:si>
  <x:si>
    <x:t xml:space="preserve">Tengku Tengah Zaharah Mosque</x:t>
  </x:si>
  <x:si>
    <x:t xml:space="preserve">floating mosque; architecture; lagoon</x:t>
  </x:si>
  <x:si>
    <x:t xml:space="preserve">A mosque in Kuala Nerus, Terengganu, built to appear as if floating on the Terengganu River lagoon.</x:t>
  </x:si>
  <x:si>
    <x:t xml:space="preserve">https://www.google.com/maps/search/?api=1&amp;query=Tengku%20Tengah%20Zaharah%20Mosque%2C%20Terengganu%2C%20Malaysia</x:t>
  </x:si>
  <x:si>
    <x:t xml:space="preserve">MC0354</x:t>
  </x:si>
  <x:si>
    <x:t xml:space="preserve">Setiu Wetlands</x:t>
  </x:si>
  <x:si>
    <x:t xml:space="preserve">Setiu</x:t>
  </x:si>
  <x:si>
    <x:t xml:space="preserve">wetland; mangrove; wildlife</x:t>
  </x:si>
  <x:si>
    <x:t xml:space="preserve">An ecologically rich wetland area in Setiu district, Terengganu, known for its diverse birdlife and lagoon system.</x:t>
  </x:si>
  <x:si>
    <x:t xml:space="preserve">https://www.google.com/maps/search/?api=1&amp;query=Setiu%20Wetlands%2C%20Terengganu%2C%20Malaysia</x:t>
  </x:si>
  <x:si>
    <x:t xml:space="preserve">MC0355</x:t>
  </x:si>
  <x:si>
    <x:t xml:space="preserve">Penarik Beach</x:t>
  </x:si>
  <x:si>
    <x:t xml:space="preserve">beach; fishing village; seafood</x:t>
  </x:si>
  <x:si>
    <x:t xml:space="preserve">A quiet beach in Setiu district, Terengganu, known for its casuarina trees.</x:t>
  </x:si>
  <x:si>
    <x:t xml:space="preserve">https://www.google.com/maps/search/?api=1&amp;query=Penarik%20Beach%2C%20Terengganu%2C%20Malaysia</x:t>
  </x:si>
  <x:si>
    <x:t xml:space="preserve">MC0356</x:t>
  </x:si>
  <x:si>
    <x:t xml:space="preserve">Lang Tengah Island</x:t>
  </x:si>
  <x:si>
    <x:t xml:space="preserve">A small island off Setiu district, Terengganu, known for pristine reefs and boutique island resorts.</x:t>
  </x:si>
  <x:si>
    <x:t xml:space="preserve">https://www.google.com/maps/search/?api=1&amp;query=Lang%20Tengah%20Island%2C%20Terengganu%2C%20Malaysia</x:t>
  </x:si>
  <x:si>
    <x:t xml:space="preserve">MC0357</x:t>
  </x:si>
  <x:si>
    <x:t xml:space="preserve">Perhentian Besar Island</x:t>
  </x:si>
  <x:si>
    <x:t xml:space="preserve">island; snorkelling; beach</x:t>
  </x:si>
  <x:si>
    <x:t xml:space="preserve">The larger of the two Perhentian Islands, known for family-friendly beaches and resorts.</x:t>
  </x:si>
  <x:si>
    <x:t xml:space="preserve">https://www.google.com/maps/search/?api=1&amp;query=Perhentian%20Besar%20Island%2C%20Terengganu%2C%20Malaysia</x:t>
  </x:si>
  <x:si>
    <x:t xml:space="preserve">MC0358</x:t>
  </x:si>
  <x:si>
    <x:t xml:space="preserve">Perhentian Kecil Island</x:t>
  </x:si>
  <x:si>
    <x:t xml:space="preserve">island; diving; village</x:t>
  </x:si>
  <x:si>
    <x:t xml:space="preserve">The smaller Perhentian Island, popular with backpackers for its budget accommodation and nightlife.</x:t>
  </x:si>
  <x:si>
    <x:t xml:space="preserve">https://www.google.com/maps/search/?api=1&amp;query=Perhentian%20Kecil%20Island%2C%20Terengganu%2C%20Malaysia</x:t>
  </x:si>
  <x:si>
    <x:t xml:space="preserve">MC0359</x:t>
  </x:si>
  <x:si>
    <x:t xml:space="preserve">Lata Tembakah Waterfall</x:t>
  </x:si>
  <x:si>
    <x:t xml:space="preserve">A waterfall recreational spot in Besut district, Terengganu.</x:t>
  </x:si>
  <x:si>
    <x:t xml:space="preserve">https://www.google.com/maps/search/?api=1&amp;query=Lata%20Tembakah%20Waterfall%2C%20Terengganu%2C%20Malaysia</x:t>
  </x:si>
  <x:si>
    <x:t xml:space="preserve">MC0360</x:t>
  </x:si>
  <x:si>
    <x:t xml:space="preserve">Kapas Island</x:t>
  </x:si>
  <x:si>
    <x:t xml:space="preserve">Marang</x:t>
  </x:si>
  <x:si>
    <x:t xml:space="preserve">A small island off Marang, Terengganu, known for clear water and turtle sightings.</x:t>
  </x:si>
  <x:si>
    <x:t xml:space="preserve">https://www.google.com/maps/search/?api=1&amp;query=Kapas%20Island%2C%20Terengganu%2C%20Malaysia</x:t>
  </x:si>
  <x:si>
    <x:t xml:space="preserve">MC0361</x:t>
  </x:si>
  <x:si>
    <x:t xml:space="preserve">Kelulut Beach</x:t>
  </x:si>
  <x:si>
    <x:t xml:space="preserve">beach; coast; recreation</x:t>
  </x:si>
  <x:si>
    <x:t xml:space="preserve">A beach in Marang district, Terengganu.</x:t>
  </x:si>
  <x:si>
    <x:t xml:space="preserve">https://www.google.com/maps/search/?api=1&amp;query=Kelulut%20Beach%2C%20Terengganu%2C%20Malaysia</x:t>
  </x:si>
  <x:si>
    <x:t xml:space="preserve">MC0362</x:t>
  </x:si>
  <x:si>
    <x:t xml:space="preserve">Tenggol Island</x:t>
  </x:si>
  <x:si>
    <x:t xml:space="preserve">island; diving; marine life</x:t>
  </x:si>
  <x:si>
    <x:t xml:space="preserve">An island off Dungun, Terengganu, popular for diving with soft corals and marine life.</x:t>
  </x:si>
  <x:si>
    <x:t xml:space="preserve">https://www.google.com/maps/search/?api=1&amp;query=Tenggol%20Island%2C%20Terengganu%2C%20Malaysia</x:t>
  </x:si>
  <x:si>
    <x:t xml:space="preserve">MC0363</x:t>
  </x:si>
  <x:si>
    <x:t xml:space="preserve">Chemerong Waterfall</x:t>
  </x:si>
  <x:si>
    <x:t xml:space="preserve">waterfall; trekking; rainforest</x:t>
  </x:si>
  <x:si>
    <x:t xml:space="preserve">A tall waterfall in Dungun district, Terengganu, among the tallest in the Peninsula, popular with hikers.</x:t>
  </x:si>
  <x:si>
    <x:t xml:space="preserve">https://www.google.com/maps/search/?api=1&amp;query=Chemerong%20Waterfall%2C%20Terengganu%2C%20Malaysia</x:t>
  </x:si>
  <x:si>
    <x:t xml:space="preserve">MC0364</x:t>
  </x:si>
  <x:si>
    <x:t xml:space="preserve">Bukit Besi Museum</x:t>
  </x:si>
  <x:si>
    <x:t xml:space="preserve">mining history; museum; town</x:t>
  </x:si>
  <x:si>
    <x:t xml:space="preserve">A museum in Dungun, Terengganu, documenting the area's former iron-ore mining town history.</x:t>
  </x:si>
  <x:si>
    <x:t xml:space="preserve">https://www.google.com/maps/search/?api=1&amp;query=Bukit%20Besi%20Museum%2C%20Terengganu%2C%20Malaysia</x:t>
  </x:si>
  <x:si>
    <x:t xml:space="preserve">MC0365</x:t>
  </x:si>
  <x:si>
    <x:t xml:space="preserve">Kemasik Beach</x:t>
  </x:si>
  <x:si>
    <x:t xml:space="preserve">Kemaman</x:t>
  </x:si>
  <x:si>
    <x:t xml:space="preserve">beach; rock formation; coast</x:t>
  </x:si>
  <x:si>
    <x:t xml:space="preserve">A beach in Kemaman district, Terengganu, known for its unique rock formations.</x:t>
  </x:si>
  <x:si>
    <x:t xml:space="preserve">https://www.google.com/maps/search/?api=1&amp;query=Kemasik%20Beach%2C%20Terengganu%2C%20Malaysia</x:t>
  </x:si>
  <x:si>
    <x:t xml:space="preserve">MC0366</x:t>
  </x:si>
  <x:si>
    <x:t xml:space="preserve">Yak Yah Firefly Sanctuary</x:t>
  </x:si>
  <x:si>
    <x:t xml:space="preserve">A firefly-watching river site in Kemaman district, Terengganu.</x:t>
  </x:si>
  <x:si>
    <x:t xml:space="preserve">https://www.google.com/maps/search/?api=1&amp;query=Yak%20Yah%20Firefly%20Sanctuary%2C%20Terengganu%2C%20Malaysia</x:t>
  </x:si>
  <x:si>
    <x:t xml:space="preserve">MC0367</x:t>
  </x:si>
  <x:si>
    <x:t xml:space="preserve">Lake Kenyir</x:t>
  </x:si>
  <x:si>
    <x:t xml:space="preserve">lake; islands; rainforest</x:t>
  </x:si>
  <x:si>
    <x:t xml:space="preserve">Malaysia's largest man-made lake, in Hulu Terengganu, offering houseboats, waterfalls and jungle trekking.</x:t>
  </x:si>
  <x:si>
    <x:t xml:space="preserve">https://www.google.com/maps/search/?api=1&amp;query=Lake%20Kenyir%2C%20Terengganu%2C%20Malaysia</x:t>
  </x:si>
  <x:si>
    <x:t xml:space="preserve">MC0368</x:t>
  </x:si>
  <x:si>
    <x:t xml:space="preserve">Kenyir Elephant Conservation Village</x:t>
  </x:si>
  <x:si>
    <x:t xml:space="preserve">elephants; conservation; forest</x:t>
  </x:si>
  <x:si>
    <x:t xml:space="preserve">An elephant conservation site near Kenyir Lake in Hulu Terengganu district.</x:t>
  </x:si>
  <x:si>
    <x:t xml:space="preserve">https://www.google.com/maps/search/?api=1&amp;query=Kenyir%20Elephant%20Conservation%20Village%2C%20Terengganu%2C%20Malaysia</x:t>
  </x:si>
  <x:si>
    <x:t xml:space="preserve">MC0369</x:t>
  </x:si>
  <x:si>
    <x:t xml:space="preserve">Sekayu Recreational Forest</x:t>
  </x:si>
  <x:si>
    <x:t xml:space="preserve">A waterfall recreational forest in Hulu Terengganu district, Terengganu.</x:t>
  </x:si>
  <x:si>
    <x:t xml:space="preserve">https://www.google.com/maps/search/?api=1&amp;query=Sekayu%20Recreational%20Forest%2C%20Terengganu%2C%20Malaysia</x:t>
  </x:si>
  <x:si>
    <x:t xml:space="preserve">MC0370</x:t>
  </x:si>
  <x:si>
    <x:t xml:space="preserve">Kelah Sanctuary</x:t>
  </x:si>
  <x:si>
    <x:t xml:space="preserve">fish sanctuary; river; rainforest</x:t>
  </x:si>
  <x:si>
    <x:t xml:space="preserve">A river sanctuary for Malaysian mahseer (kelah) fish in Hulu Terengganu district.</x:t>
  </x:si>
  <x:si>
    <x:t xml:space="preserve">https://www.google.com/maps/search/?api=1&amp;query=Kelah%20Sanctuary%2C%20Terengganu%2C%20Malaysia</x:t>
  </x:si>
  <x:si>
    <x:t xml:space="preserve">MC0371</x:t>
  </x:si>
  <x:si>
    <x:t xml:space="preserve">Rantau Abang Turtle Beach</x:t>
  </x:si>
  <x:si>
    <x:t xml:space="preserve">Rantau Abang</x:t>
  </x:si>
  <x:si>
    <x:t xml:space="preserve">turtles; beach; conservation</x:t>
  </x:si>
  <x:si>
    <x:t xml:space="preserve">A beach in Rantau Abang, Terengganu, historically known as a major leatherback turtle nesting site.</x:t>
  </x:si>
  <x:si>
    <x:t xml:space="preserve">https://www.google.com/maps/search/?api=1&amp;query=Rantau%20Abang%20Turtle%20Beach%2C%20Terengganu%2C%20Malaysia</x:t>
  </x:si>
  <x:si>
    <x:t xml:space="preserve">MC0372</x:t>
  </x:si>
  <x:si>
    <x:t xml:space="preserve">KL Bird Park</x:t>
  </x:si>
  <x:si>
    <x:t xml:space="preserve">W.P. Kuala Lumpur</x:t>
  </x:si>
  <x:si>
    <x:t xml:space="preserve">Perdana Botanical Gardens / Tasik Perdana</x:t>
  </x:si>
  <x:si>
    <x:t xml:space="preserve">Bird park; aviary; free-flight aviary; wildlife; birds; birdwatching; ecotourism; family attraction; education; conservation; photography; bird show; bird feeding; hornbill; flamingo; parrot; macaw; eagle; ostrich; Birds of Paradise; Rhinoceros Hornbill; landscaped park; nature; outdoor walking; Kuala Lumpur Lake Gardens</x:t>
  </x:si>
  <x:si>
    <x:t xml:space="preserve">A 20.9-acre bird park beside Perdana Botanical Gardens, housing about 3,000 local and international birds from more than 200 species. Its four zones combine large free-flight walk-in aviaries with hornbills, parrots, flightless birds, feeding sessions, educational displays and scheduled bird shows.</x:t>
  </x:si>
  <x:si>
    <x:t xml:space="preserve">https://www.malaysia.travel/explore/kl-bird-park ; https://www.klbirdpark.com/ ; https://www.klbirdpark.com/plan-your-visit/ ; https://www.klbirdpark.com/contacts/ ; https://www.malaysia.travel/storage/files/pdf/2026-Malaysia-Surreal-Experience.pdf ; https://ebrochures.malaysia.travel/en/malaysia-travel-guide/kuala-lumpur/ ; https://www.findlatitudeandlongitude.com/l/Kuala%2BLumpur%2BBird%2BPark%252C%2B920%252C%2BJalan%2BCenderawasih%252C%2BPerdana%2BBotanical%2BGardens%252C%2BKuala%2BLumpur%252C%2BKuala%2BLumpur%252C%2BMalaysia%252C%2B50480/6564055/</x:t>
  </x:si>
  <x:si>
    <x:t xml:space="preserve">https://ebrochures.malaysia.travel/en/malaysia-travel-guide/kuala-lumpur/</x:t>
  </x:si>
  <x:si>
    <x:t xml:space="preserve">A027</x:t>
  </x:si>
  <x:si>
    <x:t xml:space="preserve">MC0373</x:t>
  </x:si>
  <x:si>
    <x:t xml:space="preserve">Petronas Twin Towers</x:t>
  </x:si>
  <x:si>
    <x:t xml:space="preserve">Kuala Lumpur City Centre</x:t>
  </x:si>
  <x:si>
    <x:t xml:space="preserve">architecture; city view; shopping; photography; landmark</x:t>
  </x:si>
  <x:si>
    <x:t xml:space="preserve">An 88-storey twin skyscraper in KLCC, once the world's tallest buildings, with a Skybridge and observation deck.</x:t>
  </x:si>
  <x:si>
    <x:t xml:space="preserve">https://www.google.com/maps/search/?api=1&amp;query=Petronas%20Twin%20Towers%2C%20Kuala%20Lumpur%2C%20Malaysia</x:t>
  </x:si>
  <x:si>
    <x:t xml:space="preserve">A136</x:t>
  </x:si>
  <x:si>
    <x:t xml:space="preserve">MC0374</x:t>
  </x:si>
  <x:si>
    <x:t xml:space="preserve">KLCC Park</x:t>
  </x:si>
  <x:si>
    <x:t xml:space="preserve">urban park; walking; relaxation; family; scenery</x:t>
  </x:si>
  <x:si>
    <x:t xml:space="preserve">A landscaped park at the foot of the Petronas Twin Towers, featuring the Lake Symphony fountain show and a wading pool.</x:t>
  </x:si>
  <x:si>
    <x:t xml:space="preserve">https://www.google.com/maps/search/?api=1&amp;query=KLCC%20Park%2C%20Kuala%20Lumpur%2C%20Malaysia</x:t>
  </x:si>
  <x:si>
    <x:t xml:space="preserve">A137</x:t>
  </x:si>
  <x:si>
    <x:t xml:space="preserve">MC0375</x:t>
  </x:si>
  <x:si>
    <x:t xml:space="preserve">Aquaria KLCC</x:t>
  </x:si>
  <x:si>
    <x:t xml:space="preserve">An aquarium beneath the Kuala Lumpur Convention Centre showcasing marine and freshwater species via a walk-through tunnel.</x:t>
  </x:si>
  <x:si>
    <x:t xml:space="preserve">https://www.google.com/maps/search/?api=1&amp;query=Aquaria%20KLCC%2C%20Kuala%20Lumpur%2C%20Malaysia</x:t>
  </x:si>
  <x:si>
    <x:t xml:space="preserve">A138</x:t>
  </x:si>
  <x:si>
    <x:t xml:space="preserve">MC0376</x:t>
  </x:si>
  <x:si>
    <x:t xml:space="preserve">Central Market Kuala Lumpur</x:t>
  </x:si>
  <x:si>
    <x:t xml:space="preserve">City Centre</x:t>
  </x:si>
  <x:si>
    <x:t xml:space="preserve">market; handicrafts; shopping; culture; local food</x:t>
  </x:si>
  <x:si>
    <x:t xml:space="preserve">A historic Art Deco market building in downtown Kuala Lumpur, now a hub for arts, crafts and cultural souvenirs.</x:t>
  </x:si>
  <x:si>
    <x:t xml:space="preserve">https://www.google.com/maps/search/?api=1&amp;query=Central%20Market%20Kuala%20Lumpur%2C%20Kuala%20Lumpur%2C%20Malaysia</x:t>
  </x:si>
  <x:si>
    <x:t xml:space="preserve">A139</x:t>
  </x:si>
  <x:si>
    <x:t xml:space="preserve">MC0377</x:t>
  </x:si>
  <x:si>
    <x:t xml:space="preserve">Perdana Botanical Gardens</x:t>
  </x:si>
  <x:si>
    <x:t xml:space="preserve">Lake Gardens</x:t>
  </x:si>
  <x:si>
    <x:t xml:space="preserve">garden; walking; relaxation; nature; family</x:t>
  </x:si>
  <x:si>
    <x:t xml:space="preserve">Kuala Lumpur's main public garden, formerly the Lake Gardens, featuring landscaped grounds, a lake and a deer park.</x:t>
  </x:si>
  <x:si>
    <x:t xml:space="preserve">https://www.google.com/maps/search/?api=1&amp;query=Perdana%20Botanical%20Gardens%2C%20Kuala%20Lumpur%2C%20Malaysia</x:t>
  </x:si>
  <x:si>
    <x:t xml:space="preserve">A140</x:t>
  </x:si>
  <x:si>
    <x:t xml:space="preserve">MC0378</x:t>
  </x:si>
  <x:si>
    <x:t xml:space="preserve">Islamic Arts Museum Malaysia</x:t>
  </x:si>
  <x:si>
    <x:t xml:space="preserve">museum; Islamic art; culture; architecture; indoor</x:t>
  </x:si>
  <x:si>
    <x:t xml:space="preserve">A museum in the Lake Gardens area of Kuala Lumpur with one of the region's most comprehensive collections of Islamic decorative arts.</x:t>
  </x:si>
  <x:si>
    <x:t xml:space="preserve">https://www.google.com/maps/search/?api=1&amp;query=Islamic%20Arts%20Museum%20Malaysia%2C%20Kuala%20Lumpur%2C%20Malaysia</x:t>
  </x:si>
  <x:si>
    <x:t xml:space="preserve">A141</x:t>
  </x:si>
  <x:si>
    <x:t xml:space="preserve">MC0379</x:t>
  </x:si>
  <x:si>
    <x:t xml:space="preserve">National Museum of Malaysia</x:t>
  </x:si>
  <x:si>
    <x:t xml:space="preserve">Brickfields</x:t>
  </x:si>
  <x:si>
    <x:t xml:space="preserve">museum; Malaysian history; culture; heritage; indoor</x:t>
  </x:si>
  <x:si>
    <x:t xml:space="preserve">Kuala Lumpur's main national museum, covering Malaysian history, culture and natural heritage in Minangkabau-inspired architecture.</x:t>
  </x:si>
  <x:si>
    <x:t xml:space="preserve">https://www.google.com/maps/search/?api=1&amp;query=National%20Museum%20of%20Malaysia%2C%20Kuala%20Lumpur%2C%20Malaysia</x:t>
  </x:si>
  <x:si>
    <x:t xml:space="preserve">A142</x:t>
  </x:si>
  <x:si>
    <x:t xml:space="preserve">MC0380</x:t>
  </x:si>
  <x:si>
    <x:t xml:space="preserve">Thean Hou Temple</x:t>
  </x:si>
  <x:si>
    <x:t xml:space="preserve">Seputeh</x:t>
  </x:si>
  <x:si>
    <x:t xml:space="preserve">temple; architecture; culture; religion; photography</x:t>
  </x:si>
  <x:si>
    <x:t xml:space="preserve">A large, colourful Chinese temple in Seputeh, Kuala Lumpur, built on a hilltop and popular for its city views and Chinese New Year decorations.</x:t>
  </x:si>
  <x:si>
    <x:t xml:space="preserve">https://www.google.com/maps/search/?api=1&amp;query=Thean%20Hou%20Temple%2C%20Kuala%20Lumpur%2C%20Malaysia</x:t>
  </x:si>
  <x:si>
    <x:t xml:space="preserve">A143</x:t>
  </x:si>
  <x:si>
    <x:t xml:space="preserve">MC0381</x:t>
  </x:si>
  <x:si>
    <x:t xml:space="preserve">Jalan Alor</x:t>
  </x:si>
  <x:si>
    <x:t xml:space="preserve">Bukit Bintang</x:t>
  </x:si>
  <x:si>
    <x:t xml:space="preserve">street food; local food; night activity; culture; walking</x:t>
  </x:si>
  <x:si>
    <x:t xml:space="preserve">A famous street food strip in Bukit Bintang, Kuala Lumpur, lined with hawker stalls and open-air restaurants.</x:t>
  </x:si>
  <x:si>
    <x:t xml:space="preserve">https://www.google.com/maps/search/?api=1&amp;query=Jalan%20Alor%2C%20Kuala%20Lumpur%2C%20Malaysia</x:t>
  </x:si>
  <x:si>
    <x:t xml:space="preserve">A144</x:t>
  </x:si>
  <x:si>
    <x:t xml:space="preserve">MC0382</x:t>
  </x:si>
  <x:si>
    <x:t xml:space="preserve">Pavilion Kuala Lumpur</x:t>
  </x:si>
  <x:si>
    <x:t xml:space="preserve">shopping; dining; city</x:t>
  </x:si>
  <x:si>
    <x:t xml:space="preserve">A major upscale shopping mall in Bukit Bintang, Kuala Lumpur.</x:t>
  </x:si>
  <x:si>
    <x:t xml:space="preserve">https://www.google.com/maps/search/?api=1&amp;query=Pavilion%20Kuala%20Lumpur%2C%20Kuala%20Lumpur%2C%20Malaysia</x:t>
  </x:si>
  <x:si>
    <x:t xml:space="preserve">Kuala Lumpur expansion batch</x:t>
  </x:si>
  <x:si>
    <x:t xml:space="preserve">MC0383</x:t>
  </x:si>
  <x:si>
    <x:t xml:space="preserve">Petaling Street</x:t>
  </x:si>
  <x:si>
    <x:t xml:space="preserve">Chinatown</x:t>
  </x:si>
  <x:si>
    <x:t xml:space="preserve">market; heritage; food</x:t>
  </x:si>
  <x:si>
    <x:t xml:space="preserve">The heart of Kuala Lumpur's Chinatown, known for its bustling market lane and street food.</x:t>
  </x:si>
  <x:si>
    <x:t xml:space="preserve">https://www.google.com/maps/search/?api=1&amp;query=Petaling%20Street%2C%20Kuala%20Lumpur%2C%20Malaysia</x:t>
  </x:si>
  <x:si>
    <x:t xml:space="preserve">MC0384</x:t>
  </x:si>
  <x:si>
    <x:t xml:space="preserve">Central Market</x:t>
  </x:si>
  <x:si>
    <x:t xml:space="preserve">crafts; heritage; souvenirs</x:t>
  </x:si>
  <x:si>
    <x:t xml:space="preserve">A historic Art Deco heritage crafts market near Kuala Lumpur's Chinatown.</x:t>
  </x:si>
  <x:si>
    <x:t xml:space="preserve">https://www.google.com/maps/search/?api=1&amp;query=Central%20Market%2C%20Kuala%20Lumpur%2C%20Malaysia</x:t>
  </x:si>
  <x:si>
    <x:t xml:space="preserve">MC0385</x:t>
  </x:si>
  <x:si>
    <x:t xml:space="preserve">Kwai Chai Hong</x:t>
  </x:si>
  <x:si>
    <x:t xml:space="preserve">laneway; murals; heritage</x:t>
  </x:si>
  <x:si>
    <x:t xml:space="preserve">A restored heritage back-alley in Kuala Lumpur's Chinatown known for its murals and retro-themed shops.</x:t>
  </x:si>
  <x:si>
    <x:t xml:space="preserve">https://www.google.com/maps/search/?api=1&amp;query=Kwai%20Chai%20Hong%2C%20Kuala%20Lumpur%2C%20Malaysia</x:t>
  </x:si>
  <x:si>
    <x:t xml:space="preserve">MC0386</x:t>
  </x:si>
  <x:si>
    <x:t xml:space="preserve">Sultan Abdul Samad Building</x:t>
  </x:si>
  <x:si>
    <x:t xml:space="preserve">Merdeka Square</x:t>
  </x:si>
  <x:si>
    <x:t xml:space="preserve">colonial architecture; landmark; history</x:t>
  </x:si>
  <x:si>
    <x:t xml:space="preserve">An iconic colonial-era building with a clock tower facing Merdeka Square, formerly housing British administrative offices.</x:t>
  </x:si>
  <x:si>
    <x:t xml:space="preserve">https://www.google.com/maps/search/?api=1&amp;query=Sultan%20Abdul%20Samad%20Building%2C%20Kuala%20Lumpur%2C%20Malaysia</x:t>
  </x:si>
  <x:si>
    <x:t xml:space="preserve">MC0387</x:t>
  </x:si>
  <x:si>
    <x:t xml:space="preserve">Kuala Lumpur City Gallery</x:t>
  </x:si>
  <x:si>
    <x:t xml:space="preserve">city history; models; gallery</x:t>
  </x:si>
  <x:si>
    <x:t xml:space="preserve">An exhibition centre at Merdeka Square showcasing Kuala Lumpur's urban development and history, with a large city model.</x:t>
  </x:si>
  <x:si>
    <x:t xml:space="preserve">https://www.google.com/maps/search/?api=1&amp;query=Kuala%20Lumpur%20City%20Gallery%2C%20Kuala%20Lumpur%2C%20Malaysia</x:t>
  </x:si>
  <x:si>
    <x:t xml:space="preserve">MC0388</x:t>
  </x:si>
  <x:si>
    <x:t xml:space="preserve">Kuala Lumpur Bird Park</x:t>
  </x:si>
  <x:si>
    <x:t xml:space="preserve">birds; aviary; family</x:t>
  </x:si>
  <x:si>
    <x:t xml:space="preserve">One of the world's largest free-flight walk-in aviaries, located in Kuala Lumpur's Lake Gardens.</x:t>
  </x:si>
  <x:si>
    <x:t xml:space="preserve">https://www.google.com/maps/search/?api=1&amp;query=Kuala%20Lumpur%20Bird%20Park%2C%20Kuala%20Lumpur%2C%20Malaysia</x:t>
  </x:si>
  <x:si>
    <x:t xml:space="preserve">MC0389</x:t>
  </x:si>
  <x:si>
    <x:t xml:space="preserve">Little India Brickfields</x:t>
  </x:si>
  <x:si>
    <x:t xml:space="preserve">food; shopping; neighbourhood</x:t>
  </x:si>
  <x:si>
    <x:t xml:space="preserve">A cultural enclave in Brickfields, Kuala Lumpur, known for Indian eateries, textile shops and temples.</x:t>
  </x:si>
  <x:si>
    <x:t xml:space="preserve">https://www.google.com/maps/search/?api=1&amp;query=Little%20India%20Brickfields%2C%20Kuala%20Lumpur%2C%20Malaysia</x:t>
  </x:si>
  <x:si>
    <x:t xml:space="preserve">MC0390</x:t>
  </x:si>
  <x:si>
    <x:t xml:space="preserve">Kampung Baru Food Trail</x:t>
  </x:si>
  <x:si>
    <x:t xml:space="preserve">Kampung Baru</x:t>
  </x:si>
  <x:si>
    <x:t xml:space="preserve">Malay food; village; city</x:t>
  </x:si>
  <x:si>
    <x:t xml:space="preserve">A Malay heritage enclave near KLCC known for traditional food stalls and old wooden houses amid the modern skyline.</x:t>
  </x:si>
  <x:si>
    <x:t xml:space="preserve">https://www.google.com/maps/search/?api=1&amp;query=Kampung%20Baru%20Food%20Trail%2C%20Kuala%20Lumpur%2C%20Malaysia</x:t>
  </x:si>
  <x:si>
    <x:t xml:space="preserve">MC0391</x:t>
  </x:si>
  <x:si>
    <x:t xml:space="preserve">Sentul Depot</x:t>
  </x:si>
  <x:si>
    <x:t xml:space="preserve">Sentul</x:t>
  </x:si>
  <x:si>
    <x:t xml:space="preserve">industrial heritage; arts; events</x:t>
  </x:si>
  <x:si>
    <x:t xml:space="preserve">A former railway depot in Sentul, Kuala Lumpur, redeveloped into an arts and performance space.</x:t>
  </x:si>
  <x:si>
    <x:t xml:space="preserve">https://www.google.com/maps/search/?api=1&amp;query=Sentul%20Depot%2C%20Kuala%20Lumpur%2C%20Malaysia</x:t>
  </x:si>
  <x:si>
    <x:t xml:space="preserve">MC0392</x:t>
  </x:si>
  <x:si>
    <x:t xml:space="preserve">Titiwangsa Lake Gardens</x:t>
  </x:si>
  <x:si>
    <x:t xml:space="preserve">Titiwangsa</x:t>
  </x:si>
  <x:si>
    <x:t xml:space="preserve">lake; skyline; family</x:t>
  </x:si>
  <x:si>
    <x:t xml:space="preserve">A lake park in Titiwangsa, Kuala Lumpur, popular for paddle boating and skyline views of the city.</x:t>
  </x:si>
  <x:si>
    <x:t xml:space="preserve">https://www.google.com/maps/search/?api=1&amp;query=Titiwangsa%20Lake%20Gardens%2C%20Kuala%20Lumpur%2C%20Malaysia</x:t>
  </x:si>
  <x:si>
    <x:t xml:space="preserve">MC0393</x:t>
  </x:si>
  <x:si>
    <x:t xml:space="preserve">Royal Selangor Visitor Centre</x:t>
  </x:si>
  <x:si>
    <x:t xml:space="preserve">Setapak</x:t>
  </x:si>
  <x:si>
    <x:t xml:space="preserve">pewter; factory tour; crafts</x:t>
  </x:si>
  <x:si>
    <x:t xml:space="preserve">A pewter-making visitor centre and factory tour by Royal Selangor in Setapak, Kuala Lumpur.</x:t>
  </x:si>
  <x:si>
    <x:t xml:space="preserve">https://www.google.com/maps/search/?api=1&amp;query=Royal%20Selangor%20Visitor%20Centre%2C%20Kuala%20Lumpur%2C%20Malaysia</x:t>
  </x:si>
  <x:si>
    <x:t xml:space="preserve">MC0394</x:t>
  </x:si>
  <x:si>
    <x:t xml:space="preserve">Taman Tasik Permaisuri</x:t>
  </x:si>
  <x:si>
    <x:t xml:space="preserve">Cheras</x:t>
  </x:si>
  <x:si>
    <x:t xml:space="preserve">lake park; walking; family</x:t>
  </x:si>
  <x:si>
    <x:t xml:space="preserve">A lake park in Cheras, Kuala Lumpur, popular for jogging and family outings.</x:t>
  </x:si>
  <x:si>
    <x:t xml:space="preserve">https://www.google.com/maps/search/?api=1&amp;query=Taman%20Tasik%20Permaisuri%2C%20Kuala%20Lumpur%2C%20Malaysia</x:t>
  </x:si>
  <x:si>
    <x:t xml:space="preserve">MC0395</x:t>
  </x:si>
  <x:si>
    <x:t xml:space="preserve">Bukit Kembara Trail</x:t>
  </x:si>
  <x:si>
    <x:t xml:space="preserve">Ampang</x:t>
  </x:si>
  <x:si>
    <x:t xml:space="preserve">hiking; reservoir; forest</x:t>
  </x:si>
  <x:si>
    <x:t xml:space="preserve">A hiking trail in the Ampang forest reserve area of Kuala Lumpur.</x:t>
  </x:si>
  <x:si>
    <x:t xml:space="preserve">https://www.google.com/maps/search/?api=1&amp;query=Bukit%20Kembara%20Trail%2C%20Kuala%20Lumpur%2C%20Malaysia</x:t>
  </x:si>
  <x:si>
    <x:t xml:space="preserve">MC0396</x:t>
  </x:si>
  <x:si>
    <x:t xml:space="preserve">Saujana Hijau Park</x:t>
  </x:si>
  <x:si>
    <x:t xml:space="preserve">W.P. Putrajaya</x:t>
  </x:si>
  <x:si>
    <x:t xml:space="preserve">Presint 11 / Putrajaya</x:t>
  </x:si>
  <x:si>
    <x:t xml:space="preserve">Urban park; landscaped garden; conifer garden; highland landscape; gymnosperms; pine trees; juniper; thuja; cycads; European Garden; Oriental Garden; English Garden; three hills; jogging; brisk walking; cycling; picnic; playground; viewpoints; photography; wedding photography; OOTD; botanical education; research; guided visit; family recreation; wheelchair-friendly; gazebos; lawns; nature; relaxation</x:t>
  </x:si>
  <x:si>
    <x:t xml:space="preserve">A 117-acre landscaped park in Putrajaya's Precinct 11, spread across three hills and known for conifers and other gymnosperms. Its English, Oriental and European themed gardens, broad paths, lawns, gazebos and viewpoints support jogging, walking, cycling, picnics, photography and nature education.</x:t>
  </x:si>
  <x:si>
    <x:t xml:space="preserve">https://www.malaysia.travel/explore/saujana-hijau-park ; https://www.ppj.gov.my/en/second-menu/taman-saujana-hijau ; https://www.ppj.gov.my/en/second-page/latar-belakang-taman ; https://www.ppj.gov.my/second-page/perkhidmatan-aktiviti-rekreasi-5 ; https://www.ppj.gov.my/second-page/fasiliti-5 ; https://www.ppj.gov.my/second-page/waktu-operasi-taman-3 ; https://taman.ppj.gov.my/ ; https://mygeoname.mygeoportal.gov.my/exportpdf00.jsp?kodnegeri=16</x:t>
  </x:si>
  <x:si>
    <x:t xml:space="preserve">https://ebrochures.malaysia.travel/en/malaysia-travel-guide/putrajaya/</x:t>
  </x:si>
  <x:si>
    <x:t xml:space="preserve">A031</x:t>
  </x:si>
  <x:si>
    <x:t xml:space="preserve">MC0397</x:t>
  </x:si>
  <x:si>
    <x:t xml:space="preserve">Putrajaya Wetlands Park</x:t>
  </x:si>
  <x:si>
    <x:t xml:space="preserve">Presint 13 / Putrajaya</x:t>
  </x:si>
  <x:si>
    <x:t xml:space="preserve">Constructed freshwater wetland; wetland park; urban ecology; green lung; 24 wetland cells; open lake; natural water filtration; birdwatching; migratory birds; local birds; freshwater fish; aquatic wildlife; flora and fauna; Nature Interpretation Centre; Wetland Studio; Lookout Tower; Flamingo Pond; Swan Lake; walking trails; lakeside promenade; jogging; brisk walking; cycling; picnic; photography; guided visit; environmental education; research; camping; glamping; fishing; kayaking; buggy; adventure activities; family recreation; wheelchair-friendly</x:t>
  </x:si>
  <x:si>
    <x:t xml:space="preserve">A major public park in Precinct 13 that serves as the visitor gateway to Putrajaya's constructed freshwater wetland system of lakes and 24 wetland cells. It combines water-filtration ecology, bird and aquatic habitats, walking and cycling routes, interpretation facilities, viewpoints and family recreation.</x:t>
  </x:si>
  <x:si>
    <x:t xml:space="preserve">https://www.malaysia.travel/explore/putrajaya-wetlands-park ; https://www.ppj.gov.my/en/second-menu/taman-wetland ; https://www.ppj.gov.my/en/page/taman-wetland-putrajaya?slug=eko-pelancongan ; https://www.ppj.gov.my/index.php/second-page/latar-belakang-taman-6 ; https://gerbang.ppj.gov.my/second-page/perkhidmatan-aktiviti-rekreasi-7 ; https://www.ppj.gov.my/second-page/fasiliti-2 ; https://www.ppj.gov.my/index.php/second-page/waktu-operasi-taman-5 ; https://www.ppj.gov.my/second-page/kadar-sewaan-perkhidmatan ; https://taman.ppj.gov.my/</x:t>
  </x:si>
  <x:si>
    <x:t xml:space="preserve">A032</x:t>
  </x:si>
  <x:si>
    <x:t xml:space="preserve">MC0398</x:t>
  </x:si>
  <x:si>
    <x:t xml:space="preserve">Putra Mosque</x:t>
  </x:si>
  <x:si>
    <x:t xml:space="preserve">Putrajaya</x:t>
  </x:si>
  <x:si>
    <x:t xml:space="preserve">mosque; architecture; religion; lakeside; photography</x:t>
  </x:si>
  <x:si>
    <x:t xml:space="preserve">Putrajaya's pink-domed mosque, built from rose-tinted granite and overlooking Putrajaya Lake.</x:t>
  </x:si>
  <x:si>
    <x:t xml:space="preserve">https://www.google.com/maps/search/?api=1&amp;query=Putra%20Mosque%2C%20W.P.%20Putrajaya%2C%20Malaysia</x:t>
  </x:si>
  <x:si>
    <x:t xml:space="preserve">A145</x:t>
  </x:si>
  <x:si>
    <x:t xml:space="preserve">MC0399</x:t>
  </x:si>
  <x:si>
    <x:t xml:space="preserve">Putrajaya Botanical Garden</x:t>
  </x:si>
  <x:si>
    <x:t xml:space="preserve">garden; walking; cycling; relaxation; nature</x:t>
  </x:si>
  <x:si>
    <x:t xml:space="preserve">A large botanical garden in Putrajaya showcasing tropical flora across themed sections.</x:t>
  </x:si>
  <x:si>
    <x:t xml:space="preserve">https://www.google.com/maps/search/?api=1&amp;query=Putrajaya%20Botanical%20Garden%2C%20W.P.%20Putrajaya%2C%20Malaysia</x:t>
  </x:si>
  <x:si>
    <x:t xml:space="preserve">A146</x:t>
  </x:si>
  <x:si>
    <x:t xml:space="preserve">MC0400</x:t>
  </x:si>
  <x:si>
    <x:t xml:space="preserve">Putrajaya Lake</x:t>
  </x:si>
  <x:si>
    <x:t xml:space="preserve">lake; scenery; walking; relaxation; recreation</x:t>
  </x:si>
  <x:si>
    <x:t xml:space="preserve">A large man-made lake at the centre of Putrajaya used for recreation, boating and water sports events.</x:t>
  </x:si>
  <x:si>
    <x:t xml:space="preserve">https://www.google.com/maps/search/?api=1&amp;query=Putrajaya%20Lake%2C%20W.P.%20Putrajaya%2C%20Malaysia</x:t>
  </x:si>
  <x:si>
    <x:t xml:space="preserve">A147</x:t>
  </x:si>
  <x:si>
    <x:t xml:space="preserve">MC0401</x:t>
  </x:si>
  <x:si>
    <x:t xml:space="preserve">Cruise Tasik Putrajaya</x:t>
  </x:si>
  <x:si>
    <x:t xml:space="preserve">lake cruise; sightseeing; relaxation; architecture; family</x:t>
  </x:si>
  <x:si>
    <x:t xml:space="preserve">A scenic boat cruise on Putrajaya Lake passing the city's landmark bridges and government buildings.</x:t>
  </x:si>
  <x:si>
    <x:t xml:space="preserve">https://www.google.com/maps/search/?api=1&amp;query=Cruise%20Tasik%20Putrajaya%2C%20W.P.%20Putrajaya%2C%20Malaysia</x:t>
  </x:si>
  <x:si>
    <x:t xml:space="preserve">A148</x:t>
  </x:si>
  <x:si>
    <x:t xml:space="preserve">MC0402</x:t>
  </x:si>
  <x:si>
    <x:t xml:space="preserve">Moroccan Pavilion Putrajaya</x:t>
  </x:si>
  <x:si>
    <x:t xml:space="preserve">architecture; culture; photography; garden; indoor</x:t>
  </x:si>
  <x:si>
    <x:t xml:space="preserve">A Moroccan-style pavilion and garden on the shores of Putrajaya Lake.</x:t>
  </x:si>
  <x:si>
    <x:t xml:space="preserve">https://www.google.com/maps/search/?api=1&amp;query=Moroccan%20Pavilion%20Putrajaya%2C%20W.P.%20Putrajaya%2C%20Malaysia</x:t>
  </x:si>
  <x:si>
    <x:t xml:space="preserve">A149</x:t>
  </x:si>
  <x:si>
    <x:t xml:space="preserve">MC0403</x:t>
  </x:si>
  <x:si>
    <x:t xml:space="preserve">Millennium Monument</x:t>
  </x:si>
  <x:si>
    <x:t xml:space="preserve">monument; history; lakeside; walking; photography</x:t>
  </x:si>
  <x:si>
    <x:t xml:space="preserve">A monument in Putrajaya commemorating Malaysia's development milestones.</x:t>
  </x:si>
  <x:si>
    <x:t xml:space="preserve">https://www.google.com/maps/search/?api=1&amp;query=Millennium%20Monument%2C%20W.P.%20Putrajaya%2C%20Malaysia</x:t>
  </x:si>
  <x:si>
    <x:t xml:space="preserve">A150</x:t>
  </x:si>
  <x:si>
    <x:t xml:space="preserve">MC0404</x:t>
  </x:si>
  <x:si>
    <x:t xml:space="preserve">Seri Wawasan Bridge</x:t>
  </x:si>
  <x:si>
    <x:t xml:space="preserve">bridge; architecture; night view; photography; sightseeing</x:t>
  </x:si>
  <x:si>
    <x:t xml:space="preserve">A cable-stayed bridge in Putrajaya, one of several architecturally distinct bridges spanning the lake.</x:t>
  </x:si>
  <x:si>
    <x:t xml:space="preserve">https://www.google.com/maps/search/?api=1&amp;query=Seri%20Wawasan%20Bridge%2C%20W.P.%20Putrajaya%2C%20Malaysia</x:t>
  </x:si>
  <x:si>
    <x:t xml:space="preserve">A151</x:t>
  </x:si>
  <x:si>
    <x:t xml:space="preserve">MC0405</x:t>
  </x:si>
  <x:si>
    <x:t xml:space="preserve">Anjung Floria</x:t>
  </x:si>
  <x:si>
    <x:t xml:space="preserve">garden; flowers; walking; relaxation; family</x:t>
  </x:si>
  <x:si>
    <x:t xml:space="preserve">A flower garden along Putrajaya Lake, popular for photography.</x:t>
  </x:si>
  <x:si>
    <x:t xml:space="preserve">https://www.google.com/maps/search/?api=1&amp;query=Anjung%20Floria%2C%20W.P.%20Putrajaya%2C%20Malaysia</x:t>
  </x:si>
  <x:si>
    <x:t xml:space="preserve">A152</x:t>
  </x:si>
  <x:si>
    <x:t xml:space="preserve">MC0406</x:t>
  </x:si>
  <x:si>
    <x:t xml:space="preserve">Perdana Putra</x:t>
  </x:si>
  <x:si>
    <x:t xml:space="preserve">Precinct 1</x:t>
  </x:si>
  <x:si>
    <x:t xml:space="preserve">civic architecture; landmark; photography</x:t>
  </x:si>
  <x:si>
    <x:t xml:space="preserve">The Malaysian Prime Minister's office building in Precinct 1, Putrajaya, a landmark with a green dome overlooking the city.</x:t>
  </x:si>
  <x:si>
    <x:t xml:space="preserve">https://www.google.com/maps/search/?api=1&amp;query=Perdana%20Putra%2C%20W.P.%20Putrajaya%2C%20Malaysia</x:t>
  </x:si>
  <x:si>
    <x:t xml:space="preserve">W.P. Putrajaya expansion batch</x:t>
  </x:si>
  <x:si>
    <x:t xml:space="preserve">MC0407</x:t>
  </x:si>
  <x:si>
    <x:t xml:space="preserve">Tuanku Mizan Zainal Abidin Mosque</x:t>
  </x:si>
  <x:si>
    <x:t xml:space="preserve">Precinct 3</x:t>
  </x:si>
  <x:si>
    <x:t xml:space="preserve">iron mosque; architecture; landmark</x:t>
  </x:si>
  <x:si>
    <x:t xml:space="preserve">A large mosque in Precinct 3, Putrajaya, known as the Iron Mosque for its steel structure.</x:t>
  </x:si>
  <x:si>
    <x:t xml:space="preserve">https://www.google.com/maps/search/?api=1&amp;query=Tuanku%20Mizan%20Zainal%20Abidin%20Mosque%2C%20W.P.%20Putrajaya%2C%20Malaysia</x:t>
  </x:si>
  <x:si>
    <x:t xml:space="preserve">MC0408</x:t>
  </x:si>
  <x:si>
    <x:t xml:space="preserve">Seri Gemilang Bridge</x:t>
  </x:si>
  <x:si>
    <x:t xml:space="preserve">Precinct 4</x:t>
  </x:si>
  <x:si>
    <x:t xml:space="preserve">bridge; architecture; photography</x:t>
  </x:si>
  <x:si>
    <x:t xml:space="preserve">A landmark bridge in Putrajaya connecting government precincts across the lake.</x:t>
  </x:si>
  <x:si>
    <x:t xml:space="preserve">https://www.google.com/maps/search/?api=1&amp;query=Seri%20Gemilang%20Bridge%2C%20W.P.%20Putrajaya%2C%20Malaysia</x:t>
  </x:si>
  <x:si>
    <x:t xml:space="preserve">MC0409</x:t>
  </x:si>
  <x:si>
    <x:t xml:space="preserve">China-Malaysia Friendship Garden</x:t>
  </x:si>
  <x:si>
    <x:t xml:space="preserve">Precinct 16</x:t>
  </x:si>
  <x:si>
    <x:t xml:space="preserve">garden; landscaping; photography</x:t>
  </x:si>
  <x:si>
    <x:t xml:space="preserve">A garden in Precinct 16, Putrajaya, commemorating diplomatic ties between China and Malaysia.</x:t>
  </x:si>
  <x:si>
    <x:t xml:space="preserve">https://www.google.com/maps/search/?api=1&amp;query=China-Malaysia%20Friendship%20Garden%2C%20W.P.%20Putrajaya%2C%20Malaysia</x:t>
  </x:si>
  <x:si>
    <x:t xml:space="preserve">MC0410</x:t>
  </x:si>
  <x:si>
    <x:t xml:space="preserve">Taman Saujana Hijau</x:t>
  </x:si>
  <x:si>
    <x:t xml:space="preserve">Precinct 19</x:t>
  </x:si>
  <x:si>
    <x:t xml:space="preserve">landscape park; cycling; sunrise</x:t>
  </x:si>
  <x:si>
    <x:t xml:space="preserve">A large public park in Precinct 19, Putrajaya, used for events and recreation.</x:t>
  </x:si>
  <x:si>
    <x:t xml:space="preserve">https://www.google.com/maps/search/?api=1&amp;query=Taman%20Saujana%20Hijau%2C%20W.P.%20Putrajaya%2C%20Malaysia</x:t>
  </x:si>
  <x:si>
    <x:t xml:space="preserve">MC0411</x:t>
  </x:si>
  <x:si>
    <x:t xml:space="preserve">Putrajaya Steps</x:t>
  </x:si>
  <x:si>
    <x:t xml:space="preserve">stairs; viewpoint; civic space</x:t>
  </x:si>
  <x:si>
    <x:t xml:space="preserve">A landscaped promenade and staircase feature near Precinct 1, Putrajaya, by the lake.</x:t>
  </x:si>
  <x:si>
    <x:t xml:space="preserve">https://www.google.com/maps/search/?api=1&amp;query=Putrajaya%20Steps%2C%20W.P.%20Putrajaya%2C%20Malaysia</x:t>
  </x:si>
  <x:si>
    <x:t xml:space="preserve">MC0412</x:t>
  </x:si>
  <x:si>
    <x:t xml:space="preserve">Marina Putrajaya</x:t>
  </x:si>
  <x:si>
    <x:t xml:space="preserve">Precinct 6</x:t>
  </x:si>
  <x:si>
    <x:t xml:space="preserve">water sports; lakeside; family</x:t>
  </x:si>
  <x:si>
    <x:t xml:space="preserve">A waterfront marina and leisure precinct in Precinct 6, Putrajaya, used for water sports and lake cruises.</x:t>
  </x:si>
  <x:si>
    <x:t xml:space="preserve">https://www.google.com/maps/search/?api=1&amp;query=Marina%20Putrajaya%2C%20W.P.%20Putrajaya%2C%20Malaysia</x:t>
  </x:si>
  <x:si>
    <x:t xml:space="preserve">MC0413</x:t>
  </x:si>
  <x:si>
    <x:t xml:space="preserve">Labuan War Cemetery</x:t>
  </x:si>
  <x:si>
    <x:t xml:space="preserve">W.P. Labuan</x:t>
  </x:si>
  <x:si>
    <x:t xml:space="preserve">Labuan / Victoria</x:t>
  </x:si>
  <x:si>
    <x:t xml:space="preserve">World War II; war cemetery; memorial; Commonwealth War Graves Commission; North Borneo; Borneo Campaign; Sandakan Death Marches; prisoners of war; Commonwealth forces; Australian history; British history; Indian history; New Zealand history; military history; heritage; remembrance; education; reflection; cemetery; Labuan Memorial; Labuan Cremation Memorial; Remembrance Day; photography</x:t>
  </x:si>
  <x:si>
    <x:t xml:space="preserve">A Commonwealth war cemetery and memorial on Jalan Tanjung Batu containing 3,922 Second World War burials gathered from across Borneo. Its landscaped grounds, Labuan Memorial and Cremation Memorial commemorate Commonwealth personnel and preserve the history of the Borneo campaign, prisoner-of-war camps and Sandakan death marches.</x:t>
  </x:si>
  <x:si>
    <x:t xml:space="preserve">https://www.malaysia.travel/explore/the-labuan-war-cemetery-a-journey-through-north-borneo-s-history ; https://www.cwgc.org/visit-us/find-cemeteries-memorials/cemetery-details/17000/labuan-war-cemetery/ ; https://ebrochures.malaysia.travel/en/malaysia-travel-guide/labuan/ ; https://www.malaysia.travel/events/remembrance-day ; https://www.pl.gov.my/wp-content/uploads/2026/04/BUKU-LAPORAN-2023-PL_compressed.pdf</x:t>
  </x:si>
  <x:si>
    <x:t xml:space="preserve">https://ebrochures.malaysia.travel/en/malaysia-travel-guide/labuan/</x:t>
  </x:si>
  <x:si>
    <x:t xml:space="preserve">A029</x:t>
  </x:si>
  <x:si>
    <x:t xml:space="preserve">MC0414</x:t>
  </x:si>
  <x:si>
    <x:t xml:space="preserve">Pantai Layang-Layangan</x:t>
  </x:si>
  <x:si>
    <x:t xml:space="preserve">Layang-Layangan / Labuan Island</x:t>
  </x:si>
  <x:si>
    <x:t xml:space="preserve">Beach; island coastline; South China Sea; west coast; sunset; United Nations Beach; UN'08; COBSEA; clean beach; seaside walk; cycling; beach volleyball; picnic; horse riding; live music; restaurants; nature; sand crabs; beach wildlife; family recreation; couples; photography; relaxation; Peace Park; Surrender Point</x:t>
  </x:si>
  <x:si>
    <x:t xml:space="preserve">A long public beach on Labuan's west coast facing the South China Sea and forming part of the UN'08 beach stretch. It is known for clean coastal scenery, sand-crab patterns and sunset views, with opportunities for walking, cycling, beach volleyball, picnics and evening food or live music nearby.</x:t>
  </x:si>
  <x:si>
    <x:t xml:space="preserve">https://www.malaysia.travel/explore/pantai-layang-layangan ; https://www.pl.gov.my/pantai-awam/?lang=en ; https://mygeoname.mygeoportal.gov.my/exportpdf00.jsp?kodnegeri=15 ; https://www.pl.gov.my/wp-content/uploads/2026/04/BUKU-LAPORAN-2023-PL_compressed.pdf</x:t>
  </x:si>
  <x:si>
    <x:t xml:space="preserve">A030</x:t>
  </x:si>
  <x:si>
    <x:t xml:space="preserve">MC0415</x:t>
  </x:si>
  <x:si>
    <x:t xml:space="preserve">Labuan Marine Museum</x:t>
  </x:si>
  <x:si>
    <x:t xml:space="preserve">Labuan</x:t>
  </x:si>
  <x:si>
    <x:t xml:space="preserve">marine museum; aquarium; education; family; indoor</x:t>
  </x:si>
  <x:si>
    <x:t xml:space="preserve">A museum in Labuan showcasing marine biodiversity and maritime heritage.</x:t>
  </x:si>
  <x:si>
    <x:t xml:space="preserve">https://www.google.com/maps/search/?api=1&amp;query=Labuan%20Marine%20Museum%2C%20W.P.%20Labuan%2C%20Malaysia</x:t>
  </x:si>
  <x:si>
    <x:t xml:space="preserve">A153</x:t>
  </x:si>
  <x:si>
    <x:t xml:space="preserve">MC0416</x:t>
  </x:si>
  <x:si>
    <x:t xml:space="preserve">Chimney Museum</x:t>
  </x:si>
  <x:si>
    <x:t xml:space="preserve">Tanjung Kubong</x:t>
  </x:si>
  <x:si>
    <x:t xml:space="preserve">museum; coal mining; history; heritage; architecture</x:t>
  </x:si>
  <x:si>
    <x:t xml:space="preserve">A preserved 19th-century brick chimney in Tanjung Kubong, Labuan, a remnant of the island's colonial coal-mining industry.</x:t>
  </x:si>
  <x:si>
    <x:t xml:space="preserve">https://www.google.com/maps/search/?api=1&amp;query=Chimney%20Museum%2C%20W.P.%20Labuan%2C%20Malaysia</x:t>
  </x:si>
  <x:si>
    <x:t xml:space="preserve">A154</x:t>
  </x:si>
  <x:si>
    <x:t xml:space="preserve">MC0417</x:t>
  </x:si>
  <x:si>
    <x:t xml:space="preserve">Labuan Bird Park</x:t>
  </x:si>
  <x:si>
    <x:t xml:space="preserve">birds; wildlife; family; children; education</x:t>
  </x:si>
  <x:si>
    <x:t xml:space="preserve">A bird park in Tanjung Kubong, Labuan, with walk-in aviaries.</x:t>
  </x:si>
  <x:si>
    <x:t xml:space="preserve">https://www.google.com/maps/search/?api=1&amp;query=Labuan%20Bird%20Park%2C%20W.P.%20Labuan%2C%20Malaysia</x:t>
  </x:si>
  <x:si>
    <x:t xml:space="preserve">A155</x:t>
  </x:si>
  <x:si>
    <x:t xml:space="preserve">MC0418</x:t>
  </x:si>
  <x:si>
    <x:t xml:space="preserve">Peace Park</x:t>
  </x:si>
  <x:si>
    <x:t xml:space="preserve">Layang-Layangan</x:t>
  </x:si>
  <x:si>
    <x:t xml:space="preserve">memorial; garden; walking; history; relaxation</x:t>
  </x:si>
  <x:si>
    <x:t xml:space="preserve">A memorial park in Layang-Layangan, Labuan, commemorating Second World War surrender ceremonies.</x:t>
  </x:si>
  <x:si>
    <x:t xml:space="preserve">https://www.google.com/maps/search/?api=1&amp;query=Peace%20Park%2C%20W.P.%20Labuan%2C%20Malaysia</x:t>
  </x:si>
  <x:si>
    <x:t xml:space="preserve">A156</x:t>
  </x:si>
  <x:si>
    <x:t xml:space="preserve">MC0419</x:t>
  </x:si>
  <x:si>
    <x:t xml:space="preserve">Surrender Point</x:t>
  </x:si>
  <x:si>
    <x:t xml:space="preserve">war history; memorial; heritage; education; outdoor</x:t>
  </x:si>
  <x:si>
    <x:t xml:space="preserve">A historic site in Layang-Layangan, Labuan, marking the site of the Japanese surrender to Allied forces in 1945.</x:t>
  </x:si>
  <x:si>
    <x:t xml:space="preserve">https://www.google.com/maps/search/?api=1&amp;query=Surrender%20Point%2C%20W.P.%20Labuan%2C%20Malaysia</x:t>
  </x:si>
  <x:si>
    <x:t xml:space="preserve">A157</x:t>
  </x:si>
  <x:si>
    <x:t xml:space="preserve">MC0420</x:t>
  </x:si>
  <x:si>
    <x:t xml:space="preserve">Labuan International Sea Sports Complex</x:t>
  </x:si>
  <x:si>
    <x:t xml:space="preserve">sea sports; recreation; family; waterfront; events</x:t>
  </x:si>
  <x:si>
    <x:t xml:space="preserve">A waterfront sports complex in Labuan used for sailing and water-sports events.</x:t>
  </x:si>
  <x:si>
    <x:t xml:space="preserve">https://www.google.com/maps/search/?api=1&amp;query=Labuan%20International%20Sea%20Sports%20Complex%2C%20W.P.%20Labuan%2C%20Malaysia</x:t>
  </x:si>
  <x:si>
    <x:t xml:space="preserve">A158</x:t>
  </x:si>
  <x:si>
    <x:t xml:space="preserve">MC0421</x:t>
  </x:si>
  <x:si>
    <x:t xml:space="preserve">Patau-Patau Water Village</x:t>
  </x:si>
  <x:si>
    <x:t xml:space="preserve">water village; local culture; heritage; walking; photography</x:t>
  </x:si>
  <x:si>
    <x:t xml:space="preserve">A stilt water village in Labuan town.</x:t>
  </x:si>
  <x:si>
    <x:t xml:space="preserve">https://www.google.com/maps/search/?api=1&amp;query=Patau-Patau%20Water%20Village%2C%20W.P.%20Labuan%2C%20Malaysia</x:t>
  </x:si>
  <x:si>
    <x:t xml:space="preserve">A159</x:t>
  </x:si>
  <x:si>
    <x:t xml:space="preserve">MC0422</x:t>
  </x:si>
  <x:si>
    <x:t xml:space="preserve">Rusukan Besar Island</x:t>
  </x:si>
  <x:si>
    <x:t xml:space="preserve">island; beach; snorkelling; marine life; relaxation</x:t>
  </x:si>
  <x:si>
    <x:t xml:space="preserve">An island off Labuan known for diving and marine park status.</x:t>
  </x:si>
  <x:si>
    <x:t xml:space="preserve">https://www.google.com/maps/search/?api=1&amp;query=Rusukan%20Besar%20Island%2C%20W.P.%20Labuan%2C%20Malaysia</x:t>
  </x:si>
  <x:si>
    <x:t xml:space="preserve">A160</x:t>
  </x:si>
  <x:si>
    <x:t xml:space="preserve">MC0423</x:t>
  </x:si>
  <x:si>
    <x:t xml:space="preserve">Labuan Museum</x:t>
  </x:si>
  <x:si>
    <x:t xml:space="preserve">Bandar Labuan</x:t>
  </x:si>
  <x:si>
    <x:t xml:space="preserve">island history; museum; culture</x:t>
  </x:si>
  <x:si>
    <x:t xml:space="preserve">A museum in Bandar Labuan covering the island's history and culture.</x:t>
  </x:si>
  <x:si>
    <x:t xml:space="preserve">https://www.google.com/maps/search/?api=1&amp;query=Labuan%20Museum%2C%20W.P.%20Labuan%2C%20Malaysia</x:t>
  </x:si>
  <x:si>
    <x:t xml:space="preserve">W.P. Labuan expansion batch</x:t>
  </x:si>
  <x:si>
    <x:t xml:space="preserve">MC0424</x:t>
  </x:si>
  <x:si>
    <x:t xml:space="preserve">Labuan Botanical Garden</x:t>
  </x:si>
  <x:si>
    <x:t xml:space="preserve">garden; walking; heritage</x:t>
  </x:si>
  <x:si>
    <x:t xml:space="preserve">A botanical garden in Bandar Labuan with landscaped tropical plant collections.</x:t>
  </x:si>
  <x:si>
    <x:t xml:space="preserve">https://www.google.com/maps/search/?api=1&amp;query=Labuan%20Botanical%20Garden%2C%20W.P.%20Labuan%2C%20Malaysia</x:t>
  </x:si>
  <x:si>
    <x:t xml:space="preserve">MC0425</x:t>
  </x:si>
  <x:si>
    <x:t xml:space="preserve">Labuan Weekend Tamu</x:t>
  </x:si>
  <x:si>
    <x:t xml:space="preserve">market; food; crafts</x:t>
  </x:si>
  <x:si>
    <x:t xml:space="preserve">A weekend market in Bandar Labuan selling local produce and goods.</x:t>
  </x:si>
  <x:si>
    <x:t xml:space="preserve">https://www.google.com/maps/search/?api=1&amp;query=Labuan%20Weekend%20Tamu%2C%20W.P.%20Labuan%2C%20Malaysia</x:t>
  </x:si>
  <x:si>
    <x:t xml:space="preserve">MC0426</x:t>
  </x:si>
  <x:si>
    <x:t xml:space="preserve">Labuan Clock Tower</x:t>
  </x:si>
  <x:si>
    <x:t xml:space="preserve">Tanjung Purun</x:t>
  </x:si>
  <x:si>
    <x:t xml:space="preserve">clock tower; landmark; history</x:t>
  </x:si>
  <x:si>
    <x:t xml:space="preserve">A heritage clock tower landmark in Tanjung Purun, Labuan.</x:t>
  </x:si>
  <x:si>
    <x:t xml:space="preserve">https://www.google.com/maps/search/?api=1&amp;query=Labuan%20Clock%20Tower%2C%20W.P.%20Labuan%2C%20Malaysia</x:t>
  </x:si>
  <x:si>
    <x:t xml:space="preserve">MC0427</x:t>
  </x:si>
  <x:si>
    <x:t xml:space="preserve">Bebuloh Water Village</x:t>
  </x:si>
  <x:si>
    <x:t xml:space="preserve">Kampung Bebuloh</x:t>
  </x:si>
  <x:si>
    <x:t xml:space="preserve">water village; community; local life</x:t>
  </x:si>
  <x:si>
    <x:t xml:space="preserve">A traditional stilt water village in Kampung Bebuloh, Labuan.</x:t>
  </x:si>
  <x:si>
    <x:t xml:space="preserve">https://www.google.com/maps/search/?api=1&amp;query=Bebuloh%20Water%20Village%2C%20W.P.%20Labuan%2C%20Malaysia</x:t>
  </x:si>
  <x:si>
    <x:t xml:space="preserve">MC0428</x:t>
  </x:si>
  <x:si>
    <x:t xml:space="preserve">Pohon Batu Beach</x:t>
  </x:si>
  <x:si>
    <x:t xml:space="preserve">Pohon Batu</x:t>
  </x:si>
  <x:si>
    <x:t xml:space="preserve">beach; sunset; recreation</x:t>
  </x:si>
  <x:si>
    <x:t xml:space="preserve">A beach in Pohon Batu, Labuan.</x:t>
  </x:si>
  <x:si>
    <x:t xml:space="preserve">https://www.google.com/maps/search/?api=1&amp;query=Pohon%20Batu%20Beach%2C%20W.P.%20Labuan%2C%20Malaysia</x:t>
  </x:si>
  <x:si>
    <x:t xml:space="preserve">MC0429</x:t>
  </x:si>
  <x:si>
    <x:t xml:space="preserve">Pancur Hitam Beach</x:t>
  </x:si>
  <x:si>
    <x:t xml:space="preserve">Pancur Hitam</x:t>
  </x:si>
  <x:si>
    <x:t xml:space="preserve">beach; park; family</x:t>
  </x:si>
  <x:si>
    <x:t xml:space="preserve">A beach in Pancur Hitam, Labuan.</x:t>
  </x:si>
  <x:si>
    <x:t xml:space="preserve">https://www.google.com/maps/search/?api=1&amp;query=Pancur%20Hitam%20Beach%2C%20W.P.%20Labuan%2C%20Malaysia</x:t>
  </x:si>
  <x:si>
    <x:t xml:space="preserve">MC0430</x:t>
  </x:si>
  <x:si>
    <x:t xml:space="preserve">Kinabenuwa Mangrove Ecology Park</x:t>
  </x:si>
  <x:si>
    <x:t xml:space="preserve">Kinabenuwa</x:t>
  </x:si>
  <x:si>
    <x:t xml:space="preserve">mangrove; boardwalk; ecology</x:t>
  </x:si>
  <x:si>
    <x:t xml:space="preserve">A mangrove eco-park in Kinabenuwa, Labuan.</x:t>
  </x:si>
  <x:si>
    <x:t xml:space="preserve">https://www.google.com/maps/search/?api=1&amp;query=Kinabenuwa%20Mangrove%20Ecology%20Park%2C%20W.P.%20Labuan%2C%20Malaysia</x:t>
  </x:si>
  <x:si>
    <x:t xml:space="preserve">MC0431</x:t>
  </x:si>
  <x:si>
    <x:t xml:space="preserve">Pulau Rusukan Besar Marine Park</x:t>
  </x:si>
  <x:si>
    <x:t xml:space="preserve">Rusukan Besar</x:t>
  </x:si>
  <x:si>
    <x:t xml:space="preserve">island; snorkelling; marine park</x:t>
  </x:si>
  <x:si>
    <x:t xml:space="preserve">A marine park island off Labuan protecting coral reefs, popular for diving.</x:t>
  </x:si>
  <x:si>
    <x:t xml:space="preserve">https://www.google.com/maps/search/?api=1&amp;query=Pulau%20Rusukan%20Besar%20Marine%20Park%2C%20W.P.%20Labuan%2C%20Malaysia</x:t>
  </x:si>
  <x:si>
    <x:t xml:space="preserve">State-by-State Review Queue</x:t>
  </x:si>
  <x:si>
    <x:t xml:space="preserve">Counts update automatically when Review Status or Coverage Lens is changed in the Catalogue sheet.</x:t>
  </x:si>
  <x:si>
    <x:t xml:space="preserve">Candidates</x:t>
  </x:si>
  <x:si>
    <x:t xml:space="preserve">Unclassified / Other</x:t>
  </x:si>
  <x:si>
    <x:t xml:space="preserve">Pending Review</x:t>
  </x:si>
  <x:si>
    <x:t xml:space="preserve">Non-map Source Links</x:t>
  </x:si>
  <x:si>
    <x:t xml:space="preserve">Reviewed</x:t>
  </x:si>
  <x:si>
    <x:t xml:space="preserve">Review %</x:t>
  </x:si>
  <x:si>
    <x:t xml:space="preserve">TOTAL</x:t>
  </x:si>
  <x:si>
    <x:t xml:space="preserve">Source Index and Research Basis</x:t>
  </x:si>
  <x:si>
    <x:t xml:space="preserve">These links support candidate discovery. They do not make a row verified; review the exact attraction page and current visitor information before approval.</x:t>
  </x:si>
  <x:si>
    <x:t xml:space="preserve">Tourism Malaysia Guide</x:t>
  </x:si>
  <x:si>
    <x:t xml:space="preserve">Coverage Role</x:t>
  </x:si>
  <x:si>
    <x:t xml:space="preserve">Per-row Discovery Link</x:t>
  </x:si>
  <x:si>
    <x:t xml:space="preserve">Required Reviewer Action</x:t>
  </x:si>
  <x:si>
    <x:t xml:space="preserve">Official state-level discovery guide</x:t>
  </x:si>
  <x:si>
    <x:t xml:space="preserve">See Candidate Source URL in Catalogue</x:t>
  </x:si>
  <x:si>
    <x:t xml:space="preserve">Confirm exact place, authoritative source, current access and suitable metadata</x:t>
  </x:si>
  <x:si>
    <x:t xml:space="preserve">How to Review Master Candidates</x:t>
  </x:si>
  <x:si>
    <x:t xml:space="preserve">Recommended review sequence</x:t>
  </x:si>
  <x:si>
    <x:t xml:space="preserve">1</x:t>
  </x:si>
  <x:si>
    <x:t xml:space="preserve">Open the Candidate Source URL</x:t>
  </x:si>
  <x:si>
    <x:t xml:space="preserve">Confirm the place exists and the name/locality are correct.</x:t>
  </x:si>
  <x:si>
    <x:t xml:space="preserve">2</x:t>
  </x:si>
  <x:si>
    <x:t xml:space="preserve">Find an authoritative page</x:t>
  </x:si>
  <x:si>
    <x:t xml:space="preserve">Prefer attraction operator, government, park authority, museum, UNESCO or established tourism body.</x:t>
  </x:si>
  <x:si>
    <x:t xml:space="preserve">3</x:t>
  </x:si>
  <x:si>
    <x:t xml:space="preserve">Check current visitor relevance</x:t>
  </x:si>
  <x:si>
    <x:t xml:space="preserve">Confirm public access, seasonality, closures, booking requirements and whether it is suitable for recommendation.</x:t>
  </x:si>
  <x:si>
    <x:t xml:space="preserve">4</x:t>
  </x:si>
  <x:si>
    <x:t xml:space="preserve">Improve classification</x:t>
  </x:si>
  <x:si>
    <x:t xml:space="preserve">Update category, coverage lens, setting, tags and description using supported facts only.</x:t>
  </x:si>
  <x:si>
    <x:t xml:space="preserve">5</x:t>
  </x:si>
  <x:si>
    <x:t xml:space="preserve">Set Review Status</x:t>
  </x:si>
  <x:si>
    <x:t xml:space="preserve">Choose Approved only when the attraction and sources are sufficient; otherwise use Needs More Research or Rejected.</x:t>
  </x:si>
  <x:si>
    <x:t xml:space="preserve">Status meanings</x:t>
  </x:si>
  <x:si>
    <x:t xml:space="preserve">Status</x:t>
  </x:si>
  <x:si>
    <x:t xml:space="preserve">Use when</x:t>
  </x:si>
  <x:si>
    <x:t xml:space="preserve">Colour</x:t>
  </x:si>
  <x:si>
    <x:t xml:space="preserve">Default for every generated or imported candidate</x:t>
  </x:si>
  <x:si>
    <x:t xml:space="preserve">Amber</x:t>
  </x:si>
  <x:si>
    <x:t xml:space="preserve">Approved</x:t>
  </x:si>
  <x:si>
    <x:t xml:space="preserve">Place and key source evidence have been checked</x:t>
  </x:si>
  <x:si>
    <x:t xml:space="preserve">Green</x:t>
  </x:si>
  <x:si>
    <x:t xml:space="preserve">Needs More Research</x:t>
  </x:si>
  <x:si>
    <x:t xml:space="preserve">Promising candidate but evidence or current details are incomplete</x:t>
  </x:si>
  <x:si>
    <x:t xml:space="preserve">Blue</x:t>
  </x:si>
  <x:si>
    <x:t xml:space="preserve">Duplicate, closed, unsuitable, mislocated or unsupported</x:t>
  </x:si>
  <x:si>
    <x:t xml:space="preserve">Red</x:t>
  </x:si>
  <x:si>
    <x:t xml:space="preserve">Important scope note</x:t>
  </x:si>
  <x:si>
    <x:t xml:space="preserve">This workbook is a best-effort research queue, not a verified tourism database. Descriptions on expansion rows are deliberately cautious and should not be used as chatbot facts until the corresponding row is approved and migrated into the production dataset.</x:t>
  </x:si>
  <x:si>
    <x:t xml:space="preserve">Source rule: Google Maps search links are discovery aids only. Before approving a place, add at least one direct official, government, tourism-board, or attraction-operator source and record the review date.</x:t>
  </x:si>
</x:sst>
</file>

<file path=xl/styles.xml><?xml version="1.0" encoding="utf-8"?>
<x:styleSheet xmlns:x="http://schemas.openxmlformats.org/spreadsheetml/2006/main">
  <x:numFmts count="2">
    <x:numFmt numFmtId="168" formatCode="yyyy\-mm\-dd"/>
    <x:numFmt numFmtId="169" formatCode="0.0%"/>
  </x:numFmts>
  <x:fonts count="16">
    <x:font>
      <x:sz val="10"/>
      <x:name val="Arial"/>
    </x:font>
    <x:font>
      <x:sz val="10"/>
      <x:name val="Arial"/>
    </x:font>
    <x:font>
      <x:b/>
      <x:sz val="18"/>
      <x:color rgb="FFFFFFFF"/>
      <x:name val="Aptos Display"/>
    </x:font>
    <x:font>
      <x:i/>
      <x:sz val="10"/>
      <x:color rgb="FF1F1F1F"/>
      <x:name val="Aptos"/>
    </x:font>
    <x:font>
      <x:b/>
      <x:sz val="10"/>
      <x:color rgb="FFFFFFFF"/>
      <x:name val="Aptos"/>
    </x:font>
    <x:font>
      <x:sz val="10"/>
      <x:name val="Aptos"/>
    </x:font>
    <x:font>
      <x:b/>
      <x:sz val="17"/>
      <x:color rgb="FFFFFFFF"/>
      <x:name val="Aptos Display"/>
    </x:font>
    <x:font>
      <x:i/>
      <x:sz val="10"/>
      <x:name val="Aptos"/>
    </x:font>
    <x:font>
      <x:i/>
      <x:sz val="11"/>
      <x:name val="Calibri"/>
    </x:font>
    <x:font>
      <x:b/>
      <x:sz val="11"/>
      <x:color rgb="FFFFFFFF"/>
      <x:name val="Calibri"/>
    </x:font>
    <x:font>
      <x:b/>
      <x:sz val="11"/>
      <x:name val="Calibri"/>
    </x:font>
    <x:font>
      <x:sz val="11"/>
      <x:name val="Calibri"/>
    </x:font>
    <x:font>
      <x:sz val="11"/>
      <x:color rgb="FF7F6000"/>
      <x:name val="Calibri"/>
    </x:font>
    <x:font>
      <x:b/>
      <x:sz val="10"/>
      <x:color rgb="FF7F6000"/>
      <x:name val="Arial"/>
    </x:font>
    <x:font>
      <x:b/>
      <x:sz val="14"/>
      <x:color rgb="FFFFFFFF"/>
      <x:name val="Arial"/>
    </x:font>
    <x:font>
      <x:b/>
      <x:sz val="10"/>
      <x:color rgb="FFFFFFFF"/>
      <x:name val="Arial"/>
    </x:font>
  </x:fonts>
  <x:fills count="15">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2F75B5"/>
      </x:patternFill>
    </x:fill>
    <x:fill>
      <x:patternFill patternType="solid">
        <x:fgColor rgb="FF1F4E78"/>
      </x:patternFill>
    </x:fill>
    <x:fill>
      <x:patternFill patternType="solid">
        <x:fgColor rgb="FFFFF2CC"/>
      </x:patternFill>
    </x:fill>
    <x:fill>
      <x:patternFill patternType="solid">
        <x:fgColor rgb="FF1E3A5F"/>
      </x:patternFill>
    </x:fill>
    <x:fill>
      <x:patternFill patternType="solid">
        <x:fgColor rgb="FF2F75B5"/>
      </x:patternFill>
    </x:fill>
    <x:fill>
      <x:patternFill patternType="solid">
        <x:fgColor rgb="FF2F75B5"/>
      </x:patternFill>
    </x:fill>
    <x:fill>
      <x:patternFill patternType="solid">
        <x:fgColor rgb="FF1E3A5F"/>
      </x:patternFill>
    </x:fill>
    <x:fill>
      <x:patternFill patternType="solid">
        <x:fgColor rgb="FF2F75B5"/>
      </x:patternFill>
    </x:fill>
    <x:fill>
      <x:patternFill patternType="solid">
        <x:fgColor rgb="FF1E3A5F"/>
      </x:patternFill>
    </x:fill>
    <x:fill>
      <x:patternFill patternType="solid">
        <x:fgColor rgb="FF2F75B5"/>
      </x:patternFill>
    </x:fill>
    <x:fill>
      <x:patternFill patternType="solid">
        <x:fgColor rgb="FF1E3A5F"/>
      </x:patternFill>
    </x:fill>
  </x:fills>
  <x:borders count="14">
    <x:border/>
    <x:border>
      <x:bottom style="thin">
        <x:color rgb="FFD9E2F3"/>
      </x:bottom>
    </x:border>
    <x:border>
      <x:top style="thin">
        <x:color rgb="FFD9E2F3"/>
      </x:top>
      <x:bottom style="thin">
        <x:color rgb="FFD9E2F3"/>
      </x:bottom>
    </x:border>
    <x:border>
      <x:top style="thin">
        <x:color rgb="FFD9E2F3"/>
      </x:top>
    </x:border>
    <x:border>
      <x:bottom style="double">
        <x:color rgb="FF17365D"/>
      </x:bottom>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s>
  <x:cellStyleXfs count="2">
    <x:xf numFmtId="0" fontId="0" fillId="0" borderId="0"/>
    <x:xf numFmtId="0" fontId="1" fillId="0" borderId="0"/>
  </x:cellStyleXfs>
  <x:cellXfs count="79">
    <x:xf numFmtId="0" fontId="0" fillId="0" borderId="0" xfId="0"/>
    <x:xf numFmtId="0" fontId="13" fillId="6" borderId="0" xfId="1" applyFont="1" applyFill="1" applyAlignment="1">
      <x:alignment wrapText="1"/>
    </x:xf>
    <x:xf numFmtId="0" fontId="12" fillId="6" borderId="0" xfId="1" applyFont="1" applyFill="1" applyAlignment="1">
      <x:alignment vertical="center" wrapText="1"/>
    </x:xf>
    <x:xf numFmtId="0" fontId="9" fillId="4" borderId="0" xfId="1" applyFont="1" applyFill="1"/>
    <x:xf numFmtId="0" fontId="8" fillId="3" borderId="0" xfId="1" applyFont="1" applyFill="1" applyAlignment="1">
      <x:alignment wrapText="1"/>
    </x:xf>
    <x:xf numFmtId="0" fontId="7" fillId="3" borderId="0" xfId="1" applyFont="1" applyFill="1"/>
    <x:xf numFmtId="0" fontId="6" fillId="2" borderId="0" xfId="1" applyFont="1" applyFill="1"/>
    <x:xf numFmtId="0" fontId="3" fillId="3" borderId="0" xfId="1" applyFont="1" applyFill="1" applyAlignment="1">
      <x:alignment vertical="center" wrapText="1"/>
    </x:xf>
    <x:xf numFmtId="0" fontId="2" fillId="2" borderId="0" xfId="1" applyFont="1" applyFill="1" applyAlignment="1">
      <x:alignment vertical="center"/>
    </x:xf>
    <x:xf numFmtId="0" fontId="1" fillId="0" borderId="0" xfId="1"/>
    <x:xf numFmtId="0" fontId="4" fillId="4" borderId="0" xfId="1" applyFont="1" applyFill="1" applyAlignment="1">
      <x:alignment vertical="center" wrapText="1"/>
    </x:xf>
    <x:xf numFmtId="0" fontId="4" fillId="5" borderId="0" xfId="1" applyFont="1" applyFill="1" applyAlignment="1">
      <x:alignment vertical="center" wrapText="1"/>
    </x:xf>
    <x:xf numFmtId="0" fontId="5" fillId="0" borderId="1" xfId="1" applyFont="1" applyBorder="1" applyAlignment="1">
      <x:alignment vertical="top"/>
    </x:xf>
    <x:xf numFmtId="0" fontId="5" fillId="0" borderId="1" xfId="1" applyFont="1" applyBorder="1" applyAlignment="1">
      <x:alignment vertical="top" wrapText="1"/>
    </x:xf>
    <x:xf numFmtId="168" fontId="5" fillId="0" borderId="1" xfId="1" applyNumberFormat="1" applyFont="1" applyBorder="1" applyAlignment="1">
      <x:alignment vertical="top"/>
    </x:xf>
    <x:xf numFmtId="0" fontId="5" fillId="0" borderId="1" xfId="1" applyFont="1" applyBorder="1" applyAlignment="1">
      <x:alignment horizontal="center" vertical="top"/>
    </x:xf>
    <x:xf numFmtId="0" fontId="5" fillId="0" borderId="2" xfId="1" applyFont="1" applyBorder="1" applyAlignment="1">
      <x:alignment vertical="top"/>
    </x:xf>
    <x:xf numFmtId="0" fontId="5" fillId="0" borderId="2" xfId="1" applyFont="1" applyBorder="1" applyAlignment="1">
      <x:alignment vertical="top" wrapText="1"/>
    </x:xf>
    <x:xf numFmtId="168" fontId="5" fillId="0" borderId="2" xfId="1" applyNumberFormat="1" applyFont="1" applyBorder="1" applyAlignment="1">
      <x:alignment vertical="top"/>
    </x:xf>
    <x:xf numFmtId="0" fontId="5" fillId="0" borderId="2" xfId="1" applyFont="1" applyBorder="1" applyAlignment="1">
      <x:alignment horizontal="center" vertical="top"/>
    </x:xf>
    <x:xf numFmtId="0" fontId="5" fillId="0" borderId="3" xfId="1" applyFont="1" applyBorder="1" applyAlignment="1">
      <x:alignment vertical="top"/>
    </x:xf>
    <x:xf numFmtId="0" fontId="5" fillId="0" borderId="3" xfId="1" applyFont="1" applyBorder="1" applyAlignment="1">
      <x:alignment vertical="top" wrapText="1"/>
    </x:xf>
    <x:xf numFmtId="168" fontId="5" fillId="0" borderId="3" xfId="1" applyNumberFormat="1" applyFont="1" applyBorder="1" applyAlignment="1">
      <x:alignment vertical="top"/>
    </x:xf>
    <x:xf numFmtId="0" fontId="5" fillId="0" borderId="3" xfId="1" applyFont="1" applyBorder="1" applyAlignment="1">
      <x:alignment horizontal="center" vertical="top"/>
    </x:xf>
    <x:xf numFmtId="0" fontId="5" fillId="0" borderId="0" xfId="1" applyFont="1"/>
    <x:xf numFmtId="0" fontId="4" fillId="4" borderId="0" xfId="1" applyFont="1" applyFill="1" applyAlignment="1">
      <x:alignment wrapText="1"/>
    </x:xf>
    <x:xf numFmtId="0" fontId="5" fillId="0" borderId="1" xfId="1" applyFont="1" applyBorder="1"/>
    <x:xf numFmtId="169" fontId="5" fillId="0" borderId="1" xfId="1" applyNumberFormat="1" applyFont="1" applyBorder="1"/>
    <x:xf numFmtId="0" fontId="5" fillId="0" borderId="2" xfId="1" applyFont="1" applyBorder="1"/>
    <x:xf numFmtId="169" fontId="5" fillId="0" borderId="2" xfId="1" applyNumberFormat="1" applyFont="1" applyBorder="1"/>
    <x:xf numFmtId="0" fontId="5" fillId="0" borderId="3" xfId="1" applyFont="1" applyBorder="1"/>
    <x:xf numFmtId="169" fontId="5" fillId="0" borderId="3" xfId="1" applyNumberFormat="1" applyFont="1" applyBorder="1"/>
    <x:xf numFmtId="169" fontId="5" fillId="0" borderId="0" xfId="1" applyNumberFormat="1" applyFont="1"/>
    <x:xf numFmtId="0" fontId="4" fillId="2" borderId="4" xfId="1" applyFont="1" applyFill="1" applyBorder="1"/>
    <x:xf numFmtId="169" fontId="4" fillId="2" borderId="4" xfId="1" applyNumberFormat="1" applyFont="1" applyFill="1" applyBorder="1"/>
    <x:xf numFmtId="0" fontId="9" fillId="4" borderId="0" xfId="1" applyFont="1" applyFill="1" applyAlignment="1">
      <x:alignment wrapText="1"/>
    </x:xf>
    <x:xf numFmtId="0" fontId="5" fillId="0" borderId="1" xfId="1" applyFont="1" applyBorder="1" applyAlignment="1">
      <x:alignment wrapText="1"/>
    </x:xf>
    <x:xf numFmtId="0" fontId="5" fillId="0" borderId="2" xfId="1" applyFont="1" applyBorder="1" applyAlignment="1">
      <x:alignment wrapText="1"/>
    </x:xf>
    <x:xf numFmtId="0" fontId="5" fillId="0" borderId="3" xfId="1" applyFont="1" applyBorder="1" applyAlignment="1">
      <x:alignment wrapText="1"/>
    </x:xf>
    <x:xf numFmtId="0" fontId="10" fillId="3" borderId="0" xfId="1" applyFont="1" applyFill="1"/>
    <x:xf numFmtId="0" fontId="11" fillId="0" borderId="1" xfId="1" applyFont="1" applyBorder="1" applyAlignment="1">
      <x:alignment wrapText="1"/>
    </x:xf>
    <x:xf numFmtId="0" fontId="11" fillId="0" borderId="2" xfId="1" applyFont="1" applyBorder="1" applyAlignment="1">
      <x:alignment wrapText="1"/>
    </x:xf>
    <x:xf numFmtId="0" fontId="11" fillId="0" borderId="3" xfId="1" applyFont="1" applyBorder="1" applyAlignment="1">
      <x:alignment wrapText="1"/>
    </x:xf>
    <x:xf numFmtId="0" fontId="0" fillId="0" borderId="0" xfId="0" applyNumberFormat="1" applyFont="1" applyFill="1" applyBorder="1" applyAlignment="1">
      <x:alignment wrapText="1"/>
    </x:xf>
    <x:xf numFmtId="0" fontId="0" fillId="7" borderId="0" xfId="0" applyNumberFormat="1" applyFont="1" applyFill="1" applyBorder="1"/>
    <x:xf numFmtId="0" fontId="14" fillId="7" borderId="0" xfId="0" applyNumberFormat="1" applyFont="1" applyFill="1" applyBorder="1"/>
    <x:xf numFmtId="0" fontId="0" fillId="8" borderId="0" xfId="0" applyNumberFormat="1" applyFont="1" applyFill="1" applyBorder="1"/>
    <x:xf numFmtId="0" fontId="15" fillId="8" borderId="0"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9" borderId="0" xfId="0" applyNumberFormat="1" applyFont="1" applyFill="1" applyBorder="1" applyAlignment="1">
      <x:alignment wrapText="1"/>
    </x:xf>
    <x:xf numFmtId="0" fontId="15" fillId="9" borderId="0" xfId="0" applyNumberFormat="1" applyFont="1" applyFill="1" applyBorder="1" applyAlignment="1">
      <x:alignment wrapText="1"/>
    </x:xf>
    <x:xf numFmtId="0" fontId="15" fillId="9" borderId="0" xfId="0" applyNumberFormat="1" applyFont="1" applyFill="1" applyBorder="1" applyAlignment="1">
      <x:alignment horizontal="center" wrapText="1"/>
    </x:xf>
    <x:xf numFmtId="0" fontId="15" fillId="9" borderId="0" xfId="0" applyNumberFormat="1" applyFont="1" applyFill="1" applyBorder="1" applyAlignment="1">
      <x:alignment horizontal="center" vertical="center" wrapText="1"/>
    </x:xf>
    <x:xf numFmtId="0" fontId="14" fillId="10" borderId="0" xfId="0" applyNumberFormat="1" applyFont="1" applyFill="1" applyBorder="1"/>
    <x:xf numFmtId="0" fontId="15" fillId="9" borderId="0" xfId="0" applyNumberFormat="1" applyFont="1" applyFill="1" applyBorder="1"/>
    <x:xf numFmtId="0" fontId="15" fillId="4" borderId="0" xfId="0" applyNumberFormat="1" applyFont="1" applyFill="1" applyBorder="1" applyAlignment="1">
      <x:alignment horizontal="center" vertical="center" wrapText="1"/>
    </x:xf>
    <x:xf numFmtId="0" fontId="15" fillId="11" borderId="0" xfId="0" applyNumberFormat="1" applyFont="1" applyFill="1" applyBorder="1" applyAlignment="1">
      <x:alignment horizontal="center" vertical="center" wrapText="1"/>
    </x:xf>
    <x:xf numFmtId="0" fontId="14" fillId="12" borderId="0" xfId="0" applyNumberFormat="1" applyFont="1" applyFill="1" applyBorder="1"/>
    <x:xf numFmtId="0" fontId="15" fillId="11" borderId="0" xfId="0" applyNumberFormat="1" applyFont="1" applyFill="1" applyBorder="1"/>
    <x:xf numFmtId="0" fontId="15" fillId="13" borderId="0" xfId="0" applyNumberFormat="1" applyFont="1" applyFill="1" applyBorder="1" applyAlignment="1">
      <x:alignment horizontal="center" vertical="center" wrapText="1"/>
    </x:xf>
    <x:xf numFmtId="0" fontId="14" fillId="14" borderId="0" xfId="0" applyNumberFormat="1" applyFont="1" applyFill="1" applyBorder="1"/>
    <x:xf numFmtId="0" fontId="15" fillId="13" borderId="0" xfId="0" applyNumberFormat="1" applyFont="1" applyFill="1" applyBorder="1"/>
  </x:cellXfs>
  <x:cellStyles count="2">
    <x:cellStyle name="Normal" xfId="0"/>
    <x:cellStyle name="Normal 2" xfId="1"/>
  </x:cellStyles>
  <x:dxfs count="7">
    <x:dxf>
      <x:font>
        <x:b/>
        <x:color rgb="FF9C0006"/>
      </x:font>
      <x:fill>
        <x:patternFill>
          <x:bgColor rgb="FFFCE4D6"/>
        </x:patternFill>
      </x:fill>
    </x:dxf>
    <x:dxf>
      <x:font>
        <x:color rgb="FF9C0006"/>
      </x:font>
      <x:fill>
        <x:patternFill>
          <x:bgColor rgb="FFFCE4D6"/>
        </x:patternFill>
      </x:fill>
    </x:dxf>
    <x:dxf>
      <x:font>
        <x:color rgb="FF375623"/>
      </x:font>
      <x:fill>
        <x:patternFill>
          <x:bgColor rgb="FFE2F0D9"/>
        </x:patternFill>
      </x:fill>
    </x:dxf>
    <x:dxf>
      <x:font>
        <x:color rgb="FF7F6000"/>
      </x:font>
      <x:fill>
        <x:patternFill>
          <x:bgColor rgb="FFFFF2CC"/>
        </x:patternFill>
      </x:fill>
    </x:dxf>
    <x:dxf>
      <x:fill>
        <x:patternFill>
          <x:bgColor rgb="FFC6EAF5"/>
        </x:patternFill>
      </x:fill>
    </x:dxf>
    <x:dxf>
      <x:fill>
        <x:patternFill>
          <x:bgColor rgb="FFC6EAF5"/>
        </x:patternFill>
      </x:fill>
    </x:dxf>
    <x:dxf>
      <x:fill>
        <x:patternFill patternType="solid">
          <x:bgColor rgb="FFC6EAF5"/>
        </x:patternFill>
      </x:fill>
    </x:dxf>
  </x:dxfs>
  <x:colors>
    <x:indexedColors>
      <x:rgbColor rgb="FF000000"/>
      <x:rgbColor rgb="FFFFFFFF"/>
      <x:rgbColor rgb="FFFF0000"/>
      <x:rgbColor rgb="FF00FF00"/>
      <x:rgbColor rgb="FF0000FF"/>
      <x:rgbColor rgb="FFFFFF00"/>
      <x:rgbColor rgb="FFFF00FF"/>
      <x:rgbColor rgb="FF00FFFF"/>
      <x:rgbColor rgb="FF9C0006"/>
      <x:rgbColor rgb="FF008000"/>
      <x:rgbColor rgb="FF000080"/>
      <x:rgbColor rgb="FF7F6000"/>
      <x:rgbColor rgb="FF800080"/>
      <x:rgbColor rgb="FF008080"/>
      <x:rgbColor rgb="FFC0C0C0"/>
      <x:rgbColor rgb="FF808080"/>
      <x:rgbColor rgb="FF9999FF"/>
      <x:rgbColor rgb="FF993366"/>
      <x:rgbColor rgb="FFFFF2CC"/>
      <x:rgbColor rgb="FFD9EAF7"/>
      <x:rgbColor rgb="FF660066"/>
      <x:rgbColor rgb="FFFF8080"/>
      <x:rgbColor rgb="FF0066CC"/>
      <x:rgbColor rgb="FFD9E2F3"/>
      <x:rgbColor rgb="FF000080"/>
      <x:rgbColor rgb="FFFF00FF"/>
      <x:rgbColor rgb="FFFFFF00"/>
      <x:rgbColor rgb="FF00FFFF"/>
      <x:rgbColor rgb="FF800080"/>
      <x:rgbColor rgb="FF800000"/>
      <x:rgbColor rgb="FF008080"/>
      <x:rgbColor rgb="FF0000FF"/>
      <x:rgbColor rgb="FF00CCFF"/>
      <x:rgbColor rgb="FFCCFFFF"/>
      <x:rgbColor rgb="FFE2F0D9"/>
      <x:rgbColor rgb="FFFFFF99"/>
      <x:rgbColor rgb="FF99CCFF"/>
      <x:rgbColor rgb="FFFF99CC"/>
      <x:rgbColor rgb="FFCC99FF"/>
      <x:rgbColor rgb="FFFCE4D6"/>
      <x:rgbColor rgb="FF2F75B5"/>
      <x:rgbColor rgb="FF33CCCC"/>
      <x:rgbColor rgb="FF99CC00"/>
      <x:rgbColor rgb="FFFFCC00"/>
      <x:rgbColor rgb="FFFF9900"/>
      <x:rgbColor rgb="FFFF6600"/>
      <x:rgbColor rgb="FF666699"/>
      <x:rgbColor rgb="FF969696"/>
      <x:rgbColor rgb="FF17365D"/>
      <x:rgbColor rgb="FF339966"/>
      <x:rgbColor rgb="FF003300"/>
      <x:rgbColor rgb="FF375623"/>
      <x:rgbColor rgb="FF993300"/>
      <x:rgbColor rgb="FF993366"/>
      <x:rgbColor rgb="FF1F4E78"/>
      <x:rgbColor rgb="FF1F1F1F"/>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eb178787c639461d" /><Relationship Type="http://schemas.openxmlformats.org/officeDocument/2006/relationships/theme" Target="/xl/theme/theme1.xml" Id="Rd460376193c64f93" /><Relationship Type="http://schemas.openxmlformats.org/officeDocument/2006/relationships/sharedStrings" Target="/xl/sharedStrings.xml" Id="R73e6919e6c864609" /><Relationship Type="http://schemas.openxmlformats.org/officeDocument/2006/relationships/worksheet" Target="/xl/worksheets/sheet1.xml" Id="Re09d3e119c8c4dec" /><Relationship Type="http://schemas.openxmlformats.org/officeDocument/2006/relationships/worksheet" Target="/xl/worksheets/sheet2.xml" Id="R61b6baeea38e4f9e" /><Relationship Type="http://schemas.openxmlformats.org/officeDocument/2006/relationships/worksheet" Target="/xl/worksheets/sheet3.xml" Id="Rcd2b471ed4084e9b" /><Relationship Type="http://schemas.openxmlformats.org/officeDocument/2006/relationships/worksheet" Target="/xl/worksheets/sheet4.xml" Id="R747e8056a2a44f32" /></Relationships>
</file>

<file path=xl/tables/table1.xml><?xml version="1.0" encoding="utf-8"?>
<x:table xmlns:x="http://schemas.openxmlformats.org/spreadsheetml/2006/main" id="1" name="MasterCandidatesTable" displayName="MasterCandidatesTable" ref="A3:R434" totalsRowShown="0">
  <x:tableColumns count="18">
    <x:tableColumn id="1" name="Candidate ID"/>
    <x:tableColumn id="2" name="Attraction Name"/>
    <x:tableColumn id="3" name="State / Territory"/>
    <x:tableColumn id="4" name="City / District"/>
    <x:tableColumn id="5" name="Primary Category"/>
    <x:tableColumn id="6" name="Coverage Lens"/>
    <x:tableColumn id="7" name="Setting"/>
    <x:tableColumn id="8" name="Interests / Tags"/>
    <x:tableColumn id="9" name="Candidate Description"/>
    <x:tableColumn id="10" name="Discovery / Source Link(s)"/>
    <x:tableColumn id="11" name="State Tourism Guide URL"/>
    <x:tableColumn id="12" name="Source Basis"/>
    <x:tableColumn id="13" name="Origin Batch"/>
    <x:tableColumn id="14" name="Existing Record ID"/>
    <x:tableColumn id="15" name="Date Added"/>
    <x:tableColumn id="16" name="Review Status"/>
    <x:tableColumn id="17" name="Reviewer Notes"/>
    <x:tableColumn id="18" name="Source Status"/>
  </x:tableColumns>
  <x:tableStyleInfo showFirstColumn="0" showLastColumn="0" showRowStripes="1" showColumnStripes="0"/>
</x:table>
</file>

<file path=xl/tables/table2.xml><?xml version="1.0" encoding="utf-8"?>
<x:table xmlns:x="http://schemas.openxmlformats.org/spreadsheetml/2006/main" id="2" name="SourceIndexTable" displayName="SourceIndexTable" ref="A4:E20" totalsRowShown="0">
  <x:tableColumns count="5">
    <x:tableColumn id="1" name="State / Territory"/>
    <x:tableColumn id="2" name="Tourism Malaysia Guide"/>
    <x:tableColumn id="3" name="Coverage Role"/>
    <x:tableColumn id="4" name="Per-row Discovery Link"/>
    <x:tableColumn id="5" name="Required Reviewer Action"/>
  </x:tableColumns>
  <x:tableStyleInfo showFirstColumn="0" showLastColumn="0" showRowStripes="1" showColumnStripes="0"/>
</x: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915d93a679b4dd8" /></Relationships>
</file>

<file path=xl/worksheets/_rels/sheet3.xml.rels>&#65279;<?xml version="1.0" encoding="utf-8"?><Relationships xmlns="http://schemas.openxmlformats.org/package/2006/relationships"><Relationship Type="http://schemas.openxmlformats.org/officeDocument/2006/relationships/table" Target="/xl/tables/table2.xml" Id="R38f8dd3e78054ec4" /></Relationships>
</file>

<file path=xl/worksheets/sheet1.xml><?xml version="1.0" encoding="utf-8"?>
<x:worksheet xmlns:x="http://schemas.openxmlformats.org/spreadsheetml/2006/main">
  <x:sheetViews>
    <x:sheetView showGridLines="0" workbookViewId="0"/>
  </x:sheetViews>
  <x:sheetFormatPr defaultColWidth="8.7109375" defaultRowHeight="12.75"/>
  <x:cols>
    <x:col min="1" max="1" width="14" style="9" customWidth="1"/>
    <x:col min="2" max="2" width="31" style="9" customWidth="1"/>
    <x:col min="3" max="3" width="19" style="9" customWidth="1"/>
    <x:col min="4" max="5" width="22" style="9" customWidth="1"/>
    <x:col min="6" max="6" width="16" style="9" customWidth="1"/>
    <x:col min="7" max="7" width="15" style="9" customWidth="1"/>
    <x:col min="8" max="8" width="34" style="9" customWidth="1"/>
    <x:col min="9" max="9" width="58" style="9" customWidth="1"/>
    <x:col min="10" max="10" width="44" style="9" customWidth="1"/>
    <x:col min="11" max="11" width="42" style="9" customWidth="1"/>
    <x:col min="12" max="12" width="34" style="9" customWidth="1"/>
    <x:col min="13" max="13" width="27" style="9" customWidth="1"/>
    <x:col min="14" max="14" width="16" style="9" customWidth="1"/>
    <x:col min="15" max="15" width="13" style="9" customWidth="1"/>
    <x:col min="16" max="16" width="18" style="9" customWidth="1"/>
    <x:col min="17" max="17" width="34" style="9" customWidth="1"/>
    <x:col min="18" max="18" width="17" style="9" customWidth="1"/>
    <x:col min="19" max="19" width="17" hidden="0" customWidth="1"/>
    <x:col min="20" max="20" width="19" hidden="0" customWidth="1"/>
    <x:col min="21" max="21" width="19" hidden="0" customWidth="1"/>
    <x:col min="22" max="22" width="19" hidden="0" customWidth="1"/>
    <x:col min="23" max="23" width="19" hidden="0" customWidth="1"/>
    <x:col min="24" max="24" width="19" hidden="0" customWidth="1"/>
    <x:col min="25" max="25" width="25" hidden="0" customWidth="1"/>
    <x:col min="26" max="26" width="42" hidden="0" customWidth="1"/>
  </x:cols>
  <x:sheetData>
    <x:row r="1" ht="30" customHeight="1">
      <x:c r="A1" s="8" t="s">
        <x:v>0</x:v>
      </x:c>
      <x:c r="B1" s="8"/>
      <x:c r="C1" s="8"/>
      <x:c r="D1" s="8"/>
      <x:c r="E1" s="8"/>
      <x:c r="F1" s="8"/>
      <x:c r="G1" s="8"/>
      <x:c r="H1" s="8"/>
      <x:c r="I1" s="8"/>
      <x:c r="J1" s="8"/>
      <x:c r="K1" s="8"/>
      <x:c r="L1" s="8"/>
      <x:c r="M1" s="8"/>
      <x:c r="N1" s="8"/>
      <x:c r="O1" s="8"/>
      <x:c r="P1" s="8"/>
      <x:c r="Q1" s="8"/>
      <x:c r="R1" s="8"/>
    </x:row>
    <x:row r="2" ht="30" customHeight="1">
      <x:c r="A2" s="7" t="s">
        <x:v>1</x:v>
      </x:c>
      <x:c r="B2" s="7"/>
      <x:c r="C2" s="7"/>
      <x:c r="D2" s="7"/>
      <x:c r="E2" s="7"/>
      <x:c r="F2" s="7"/>
      <x:c r="G2" s="7"/>
      <x:c r="H2" s="7"/>
      <x:c r="I2" s="7"/>
      <x:c r="J2" s="7"/>
      <x:c r="K2" s="7"/>
      <x:c r="L2" s="7"/>
      <x:c r="M2" s="7"/>
      <x:c r="N2" s="7"/>
      <x:c r="O2" s="7"/>
      <x:c r="P2" s="7"/>
      <x:c r="Q2" s="7"/>
      <x:c r="R2" s="7"/>
    </x:row>
    <x:row r="3" ht="30" customHeight="1">
      <x:c r="A3" s="10" t="s">
        <x:v>2</x:v>
      </x:c>
      <x:c r="B3" s="10" t="s">
        <x:v>3</x:v>
      </x:c>
      <x:c r="C3" s="10" t="s">
        <x:v>4</x:v>
      </x:c>
      <x:c r="D3" s="10" t="s">
        <x:v>5</x:v>
      </x:c>
      <x:c r="E3" s="10" t="s">
        <x:v>6</x:v>
      </x:c>
      <x:c r="F3" s="10" t="s">
        <x:v>7</x:v>
      </x:c>
      <x:c r="G3" s="10" t="s">
        <x:v>8</x:v>
      </x:c>
      <x:c r="H3" s="10" t="s">
        <x:v>9</x:v>
      </x:c>
      <x:c r="I3" s="10" t="s">
        <x:v>10</x:v>
      </x:c>
      <x:c r="J3" s="10" t="s">
        <x:v>11</x:v>
      </x:c>
      <x:c r="K3" s="10" t="s">
        <x:v>12</x:v>
      </x:c>
      <x:c r="L3" s="10" t="s">
        <x:v>13</x:v>
      </x:c>
      <x:c r="M3" s="10" t="s">
        <x:v>14</x:v>
      </x:c>
      <x:c r="N3" s="10" t="s">
        <x:v>15</x:v>
      </x:c>
      <x:c r="O3" s="10" t="s">
        <x:v>16</x:v>
      </x:c>
      <x:c r="P3" s="11" t="s">
        <x:v>17</x:v>
      </x:c>
      <x:c r="Q3" s="11" t="s">
        <x:v>18</x:v>
      </x:c>
      <x:c r="R3" s="11" t="s">
        <x:v>19</x:v>
      </x:c>
      <x:c r="S3" s="76" t="str">
        <x:v>Walking Difficulty</x:v>
      </x:c>
      <x:c r="T3" s="76" t="str">
        <x:v>Step-Free Access</x:v>
      </x:c>
      <x:c r="U3" s="76" t="str">
        <x:v>Resting Seats Available</x:v>
      </x:c>
      <x:c r="V3" s="76" t="str">
        <x:v>Accessible Toilet</x:v>
      </x:c>
      <x:c r="W3" s="76" t="str">
        <x:v>Parking Proximity</x:v>
      </x:c>
      <x:c r="X3" s="76" t="str">
        <x:v>Shelter Available</x:v>
      </x:c>
      <x:c r="Y3" s="76" t="str">
        <x:v>Elderly Suitability</x:v>
      </x:c>
      <x:c r="Z3" s="76" t="str">
        <x:v>Elderly Accessibility Notes</x:v>
      </x:c>
    </x:row>
    <x:row r="4" ht="60" customHeight="1">
      <x:c r="A4" s="12" t="s">
        <x:v>20</x:v>
      </x:c>
      <x:c r="B4" s="12" t="s">
        <x:v>21</x:v>
      </x:c>
      <x:c r="C4" s="12" t="s">
        <x:v>22</x:v>
      </x:c>
      <x:c r="D4" s="12" t="s">
        <x:v>23</x:v>
      </x:c>
      <x:c r="E4" s="12" t="s">
        <x:v>24</x:v>
      </x:c>
      <x:c r="F4" s="12" t="s">
        <x:v>25</x:v>
      </x:c>
      <x:c r="G4" s="12" t="s">
        <x:v>26</x:v>
      </x:c>
      <x:c r="H4" s="13" t="s">
        <x:v>27</x:v>
      </x:c>
      <x:c r="I4" s="13" t="s">
        <x:v>28</x:v>
      </x:c>
      <x:c r="J4" s="13" t="s">
        <x:v>29</x:v>
      </x:c>
      <x:c r="K4" s="13" t="s">
        <x:v>30</x:v>
      </x:c>
      <x:c r="L4" s="13" t="s">
        <x:v>31</x:v>
      </x:c>
      <x:c r="M4" s="13" t="s">
        <x:v>32</x:v>
      </x:c>
      <x:c r="N4" s="12" t="s">
        <x:v>33</x:v>
      </x:c>
      <x:c r="O4" s="14">
        <x:v>46249</x:v>
      </x:c>
      <x:c r="P4" s="15" t="s">
        <x:v>34</x:v>
      </x:c>
      <x:c r="Q4" s="13"/>
      <x:c r="R4" s="15" t="str">
        <x:f t="shared" ref="R4:R67" si="0">IF(J4="","Missing Link",IF(AND(ISNUMBER(SEARCH("google.com/maps",J4)),ISERROR(SEARCH(";",J4))),"Discovery Link Only","Source Link Present"))</x:f>
        <x:v>Source Link Present</x:v>
      </x:c>
      <x:c r="S4" s="43" t="str">
        <x:v>Unknown</x:v>
      </x:c>
      <x:c r="T4" s="43" t="str">
        <x:v>Unknown</x:v>
      </x:c>
      <x:c r="U4" s="43" t="str">
        <x:v>Unknown</x:v>
      </x:c>
      <x:c r="V4" s="43" t="str">
        <x:v>Unknown</x:v>
      </x:c>
      <x:c r="W4" s="43" t="str">
        <x:v>Unknown</x:v>
      </x:c>
      <x:c r="X4" s="43" t="str">
        <x:v>Unknown</x:v>
      </x:c>
      <x:c r="Y4" s="43" t="str">
        <x:v>Unknown</x:v>
      </x:c>
      <x:c r="Z4" s="43"/>
    </x:row>
    <x:row r="5" ht="60" customHeight="1">
      <x:c r="A5" s="16" t="s">
        <x:v>35</x:v>
      </x:c>
      <x:c r="B5" s="16" t="s">
        <x:v>36</x:v>
      </x:c>
      <x:c r="C5" s="16" t="s">
        <x:v>22</x:v>
      </x:c>
      <x:c r="D5" s="16" t="s">
        <x:v>23</x:v>
      </x:c>
      <x:c r="E5" s="16" t="s">
        <x:v>37</x:v>
      </x:c>
      <x:c r="F5" s="16" t="s">
        <x:v>25</x:v>
      </x:c>
      <x:c r="G5" s="16" t="s">
        <x:v>26</x:v>
      </x:c>
      <x:c r="H5" s="17" t="s">
        <x:v>38</x:v>
      </x:c>
      <x:c r="I5" s="17" t="s">
        <x:v>39</x:v>
      </x:c>
      <x:c r="J5" s="17" t="s">
        <x:v>40</x:v>
      </x:c>
      <x:c r="K5" s="17" t="s">
        <x:v>30</x:v>
      </x:c>
      <x:c r="L5" s="17" t="s">
        <x:v>31</x:v>
      </x:c>
      <x:c r="M5" s="17" t="s">
        <x:v>32</x:v>
      </x:c>
      <x:c r="N5" s="16" t="s">
        <x:v>41</x:v>
      </x:c>
      <x:c r="O5" s="18">
        <x:v>46249</x:v>
      </x:c>
      <x:c r="P5" s="19" t="s">
        <x:v>34</x:v>
      </x:c>
      <x:c r="Q5" s="17"/>
      <x:c r="R5" s="19" t="str">
        <x:f t="shared" si="0"/>
        <x:v>Source Link Present</x:v>
      </x:c>
      <x:c r="S5" s="43" t="str">
        <x:v>Unknown</x:v>
      </x:c>
      <x:c r="T5" s="43" t="str">
        <x:v>Unknown</x:v>
      </x:c>
      <x:c r="U5" s="43" t="str">
        <x:v>Unknown</x:v>
      </x:c>
      <x:c r="V5" s="43" t="str">
        <x:v>Unknown</x:v>
      </x:c>
      <x:c r="W5" s="43" t="str">
        <x:v>Unknown</x:v>
      </x:c>
      <x:c r="X5" s="43" t="str">
        <x:v>Unknown</x:v>
      </x:c>
      <x:c r="Y5" s="43" t="str">
        <x:v>Unknown</x:v>
      </x:c>
      <x:c r="Z5" s="43"/>
    </x:row>
    <x:row r="6" ht="60" customHeight="1">
      <x:c r="A6" s="16" t="s">
        <x:v>42</x:v>
      </x:c>
      <x:c r="B6" s="16" t="s">
        <x:v>43</x:v>
      </x:c>
      <x:c r="C6" s="16" t="s">
        <x:v>22</x:v>
      </x:c>
      <x:c r="D6" s="16" t="s">
        <x:v>44</x:v>
      </x:c>
      <x:c r="E6" s="16" t="s">
        <x:v>45</x:v>
      </x:c>
      <x:c r="F6" s="16" t="s">
        <x:v>25</x:v>
      </x:c>
      <x:c r="G6" s="16" t="s">
        <x:v>46</x:v>
      </x:c>
      <x:c r="H6" s="17" t="s">
        <x:v>47</x:v>
      </x:c>
      <x:c r="I6" s="17" t="s">
        <x:v>48</x:v>
      </x:c>
      <x:c r="J6" s="17" t="s">
        <x:v>49</x:v>
      </x:c>
      <x:c r="K6" s="17" t="s">
        <x:v>30</x:v>
      </x:c>
      <x:c r="L6" s="17" t="s">
        <x:v>31</x:v>
      </x:c>
      <x:c r="M6" s="17" t="s">
        <x:v>32</x:v>
      </x:c>
      <x:c r="N6" s="16" t="s">
        <x:v>50</x:v>
      </x:c>
      <x:c r="O6" s="18">
        <x:v>46249</x:v>
      </x:c>
      <x:c r="P6" s="19" t="s">
        <x:v>34</x:v>
      </x:c>
      <x:c r="Q6" s="17"/>
      <x:c r="R6" s="19" t="str">
        <x:f t="shared" si="0"/>
        <x:v>Source Link Present</x:v>
      </x:c>
      <x:c r="S6" s="43" t="str">
        <x:v>Unknown</x:v>
      </x:c>
      <x:c r="T6" s="43" t="str">
        <x:v>Unknown</x:v>
      </x:c>
      <x:c r="U6" s="43" t="str">
        <x:v>Unknown</x:v>
      </x:c>
      <x:c r="V6" s="43" t="str">
        <x:v>Unknown</x:v>
      </x:c>
      <x:c r="W6" s="43" t="str">
        <x:v>Unknown</x:v>
      </x:c>
      <x:c r="X6" s="43" t="str">
        <x:v>Unknown</x:v>
      </x:c>
      <x:c r="Y6" s="43" t="str">
        <x:v>Unknown</x:v>
      </x:c>
      <x:c r="Z6" s="43"/>
    </x:row>
    <x:row r="7" ht="60" customHeight="1">
      <x:c r="A7" s="16" t="s">
        <x:v>51</x:v>
      </x:c>
      <x:c r="B7" s="16" t="s">
        <x:v>52</x:v>
      </x:c>
      <x:c r="C7" s="16" t="s">
        <x:v>22</x:v>
      </x:c>
      <x:c r="D7" s="16" t="s">
        <x:v>53</x:v>
      </x:c>
      <x:c r="E7" s="16" t="s">
        <x:v>54</x:v>
      </x:c>
      <x:c r="F7" s="16" t="s">
        <x:v>25</x:v>
      </x:c>
      <x:c r="G7" s="16" t="s">
        <x:v>46</x:v>
      </x:c>
      <x:c r="H7" s="17" t="s">
        <x:v>55</x:v>
      </x:c>
      <x:c r="I7" s="17" t="s">
        <x:v>56</x:v>
      </x:c>
      <x:c r="J7" s="17" t="s">
        <x:v>57</x:v>
      </x:c>
      <x:c r="K7" s="17" t="s">
        <x:v>30</x:v>
      </x:c>
      <x:c r="L7" s="17" t="s">
        <x:v>58</x:v>
      </x:c>
      <x:c r="M7" s="17" t="s">
        <x:v>59</x:v>
      </x:c>
      <x:c r="N7" s="16" t="s">
        <x:v>60</x:v>
      </x:c>
      <x:c r="O7" s="18">
        <x:v>46249</x:v>
      </x:c>
      <x:c r="P7" s="19" t="s">
        <x:v>34</x:v>
      </x:c>
      <x:c r="Q7" s="17"/>
      <x:c r="R7" s="19" t="str">
        <x:f t="shared" si="0"/>
        <x:v>Discovery Link Only</x:v>
      </x:c>
      <x:c r="S7" s="43" t="str">
        <x:v>Unknown</x:v>
      </x:c>
      <x:c r="T7" s="43" t="str">
        <x:v>Unknown</x:v>
      </x:c>
      <x:c r="U7" s="43" t="str">
        <x:v>Unknown</x:v>
      </x:c>
      <x:c r="V7" s="43" t="str">
        <x:v>Unknown</x:v>
      </x:c>
      <x:c r="W7" s="43" t="str">
        <x:v>Unknown</x:v>
      </x:c>
      <x:c r="X7" s="43" t="str">
        <x:v>Unknown</x:v>
      </x:c>
      <x:c r="Y7" s="43" t="str">
        <x:v>Unknown</x:v>
      </x:c>
      <x:c r="Z7" s="43"/>
    </x:row>
    <x:row r="8" ht="60" customHeight="1">
      <x:c r="A8" s="16" t="s">
        <x:v>61</x:v>
      </x:c>
      <x:c r="B8" s="16" t="s">
        <x:v>62</x:v>
      </x:c>
      <x:c r="C8" s="16" t="s">
        <x:v>22</x:v>
      </x:c>
      <x:c r="D8" s="16" t="s">
        <x:v>63</x:v>
      </x:c>
      <x:c r="E8" s="16" t="s">
        <x:v>64</x:v>
      </x:c>
      <x:c r="F8" s="16" t="s">
        <x:v>25</x:v>
      </x:c>
      <x:c r="G8" s="16" t="s">
        <x:v>26</x:v>
      </x:c>
      <x:c r="H8" s="17" t="s">
        <x:v>65</x:v>
      </x:c>
      <x:c r="I8" s="17" t="s">
        <x:v>66</x:v>
      </x:c>
      <x:c r="J8" s="17" t="s">
        <x:v>67</x:v>
      </x:c>
      <x:c r="K8" s="17" t="s">
        <x:v>30</x:v>
      </x:c>
      <x:c r="L8" s="17" t="s">
        <x:v>58</x:v>
      </x:c>
      <x:c r="M8" s="17" t="s">
        <x:v>59</x:v>
      </x:c>
      <x:c r="N8" s="16" t="s">
        <x:v>68</x:v>
      </x:c>
      <x:c r="O8" s="18">
        <x:v>46249</x:v>
      </x:c>
      <x:c r="P8" s="19" t="s">
        <x:v>34</x:v>
      </x:c>
      <x:c r="Q8" s="17"/>
      <x:c r="R8" s="19" t="str">
        <x:f t="shared" si="0"/>
        <x:v>Discovery Link Only</x:v>
      </x:c>
      <x:c r="S8" s="43" t="str">
        <x:v>Unknown</x:v>
      </x:c>
      <x:c r="T8" s="43" t="str">
        <x:v>Unknown</x:v>
      </x:c>
      <x:c r="U8" s="43" t="str">
        <x:v>Unknown</x:v>
      </x:c>
      <x:c r="V8" s="43" t="str">
        <x:v>Unknown</x:v>
      </x:c>
      <x:c r="W8" s="43" t="str">
        <x:v>Unknown</x:v>
      </x:c>
      <x:c r="X8" s="43" t="str">
        <x:v>Unknown</x:v>
      </x:c>
      <x:c r="Y8" s="43" t="str">
        <x:v>Unknown</x:v>
      </x:c>
      <x:c r="Z8" s="43"/>
    </x:row>
    <x:row r="9" ht="60" customHeight="1">
      <x:c r="A9" s="16" t="s">
        <x:v>69</x:v>
      </x:c>
      <x:c r="B9" s="16" t="s">
        <x:v>70</x:v>
      </x:c>
      <x:c r="C9" s="16" t="s">
        <x:v>22</x:v>
      </x:c>
      <x:c r="D9" s="16" t="s">
        <x:v>71</x:v>
      </x:c>
      <x:c r="E9" s="16" t="s">
        <x:v>72</x:v>
      </x:c>
      <x:c r="F9" s="16" t="s">
        <x:v>25</x:v>
      </x:c>
      <x:c r="G9" s="16" t="s">
        <x:v>26</x:v>
      </x:c>
      <x:c r="H9" s="17" t="s">
        <x:v>73</x:v>
      </x:c>
      <x:c r="I9" s="17" t="s">
        <x:v>74</x:v>
      </x:c>
      <x:c r="J9" s="17" t="s">
        <x:v>75</x:v>
      </x:c>
      <x:c r="K9" s="17" t="s">
        <x:v>30</x:v>
      </x:c>
      <x:c r="L9" s="17" t="s">
        <x:v>58</x:v>
      </x:c>
      <x:c r="M9" s="17" t="s">
        <x:v>59</x:v>
      </x:c>
      <x:c r="N9" s="16" t="s">
        <x:v>76</x:v>
      </x:c>
      <x:c r="O9" s="18">
        <x:v>46249</x:v>
      </x:c>
      <x:c r="P9" s="19" t="s">
        <x:v>34</x:v>
      </x:c>
      <x:c r="Q9" s="17"/>
      <x:c r="R9" s="19" t="str">
        <x:f t="shared" si="0"/>
        <x:v>Discovery Link Only</x:v>
      </x:c>
      <x:c r="S9" s="43" t="str">
        <x:v>Unknown</x:v>
      </x:c>
      <x:c r="T9" s="43" t="str">
        <x:v>Unknown</x:v>
      </x:c>
      <x:c r="U9" s="43" t="str">
        <x:v>Unknown</x:v>
      </x:c>
      <x:c r="V9" s="43" t="str">
        <x:v>Unknown</x:v>
      </x:c>
      <x:c r="W9" s="43" t="str">
        <x:v>Unknown</x:v>
      </x:c>
      <x:c r="X9" s="43" t="str">
        <x:v>Unknown</x:v>
      </x:c>
      <x:c r="Y9" s="43" t="str">
        <x:v>Unknown</x:v>
      </x:c>
      <x:c r="Z9" s="43"/>
    </x:row>
    <x:row r="10" ht="60" customHeight="1">
      <x:c r="A10" s="16" t="s">
        <x:v>77</x:v>
      </x:c>
      <x:c r="B10" s="16" t="s">
        <x:v>78</x:v>
      </x:c>
      <x:c r="C10" s="16" t="s">
        <x:v>22</x:v>
      </x:c>
      <x:c r="D10" s="16" t="s">
        <x:v>79</x:v>
      </x:c>
      <x:c r="E10" s="16" t="s">
        <x:v>45</x:v>
      </x:c>
      <x:c r="F10" s="16" t="s">
        <x:v>25</x:v>
      </x:c>
      <x:c r="G10" s="16" t="s">
        <x:v>26</x:v>
      </x:c>
      <x:c r="H10" s="17" t="s">
        <x:v>80</x:v>
      </x:c>
      <x:c r="I10" s="17" t="s">
        <x:v>81</x:v>
      </x:c>
      <x:c r="J10" s="17" t="s">
        <x:v>82</x:v>
      </x:c>
      <x:c r="K10" s="17" t="s">
        <x:v>30</x:v>
      </x:c>
      <x:c r="L10" s="17" t="s">
        <x:v>58</x:v>
      </x:c>
      <x:c r="M10" s="17" t="s">
        <x:v>59</x:v>
      </x:c>
      <x:c r="N10" s="16" t="s">
        <x:v>83</x:v>
      </x:c>
      <x:c r="O10" s="18">
        <x:v>46249</x:v>
      </x:c>
      <x:c r="P10" s="19" t="s">
        <x:v>34</x:v>
      </x:c>
      <x:c r="Q10" s="17"/>
      <x:c r="R10" s="19" t="str">
        <x:f t="shared" si="0"/>
        <x:v>Discovery Link Only</x:v>
      </x:c>
      <x:c r="S10" s="43" t="str">
        <x:v>Unknown</x:v>
      </x:c>
      <x:c r="T10" s="43" t="str">
        <x:v>Unknown</x:v>
      </x:c>
      <x:c r="U10" s="43" t="str">
        <x:v>Unknown</x:v>
      </x:c>
      <x:c r="V10" s="43" t="str">
        <x:v>Unknown</x:v>
      </x:c>
      <x:c r="W10" s="43" t="str">
        <x:v>Unknown</x:v>
      </x:c>
      <x:c r="X10" s="43" t="str">
        <x:v>Unknown</x:v>
      </x:c>
      <x:c r="Y10" s="43" t="str">
        <x:v>Unknown</x:v>
      </x:c>
      <x:c r="Z10" s="43"/>
    </x:row>
    <x:row r="11" ht="60" customHeight="1">
      <x:c r="A11" s="16" t="s">
        <x:v>84</x:v>
      </x:c>
      <x:c r="B11" s="16" t="s">
        <x:v>85</x:v>
      </x:c>
      <x:c r="C11" s="16" t="s">
        <x:v>22</x:v>
      </x:c>
      <x:c r="D11" s="16" t="s">
        <x:v>86</x:v>
      </x:c>
      <x:c r="E11" s="16" t="s">
        <x:v>45</x:v>
      </x:c>
      <x:c r="F11" s="16" t="s">
        <x:v>25</x:v>
      </x:c>
      <x:c r="G11" s="16" t="s">
        <x:v>26</x:v>
      </x:c>
      <x:c r="H11" s="17" t="s">
        <x:v>87</x:v>
      </x:c>
      <x:c r="I11" s="17" t="s">
        <x:v>88</x:v>
      </x:c>
      <x:c r="J11" s="17" t="s">
        <x:v>89</x:v>
      </x:c>
      <x:c r="K11" s="17" t="s">
        <x:v>30</x:v>
      </x:c>
      <x:c r="L11" s="17" t="s">
        <x:v>58</x:v>
      </x:c>
      <x:c r="M11" s="17" t="s">
        <x:v>59</x:v>
      </x:c>
      <x:c r="N11" s="16" t="s">
        <x:v>90</x:v>
      </x:c>
      <x:c r="O11" s="18">
        <x:v>46249</x:v>
      </x:c>
      <x:c r="P11" s="19" t="s">
        <x:v>34</x:v>
      </x:c>
      <x:c r="Q11" s="17"/>
      <x:c r="R11" s="19" t="str">
        <x:f t="shared" si="0"/>
        <x:v>Discovery Link Only</x:v>
      </x:c>
      <x:c r="S11" s="43" t="str">
        <x:v>Unknown</x:v>
      </x:c>
      <x:c r="T11" s="43" t="str">
        <x:v>Unknown</x:v>
      </x:c>
      <x:c r="U11" s="43" t="str">
        <x:v>Unknown</x:v>
      </x:c>
      <x:c r="V11" s="43" t="str">
        <x:v>Unknown</x:v>
      </x:c>
      <x:c r="W11" s="43" t="str">
        <x:v>Unknown</x:v>
      </x:c>
      <x:c r="X11" s="43" t="str">
        <x:v>Unknown</x:v>
      </x:c>
      <x:c r="Y11" s="43" t="str">
        <x:v>Unknown</x:v>
      </x:c>
      <x:c r="Z11" s="43"/>
    </x:row>
    <x:row r="12" ht="60" customHeight="1">
      <x:c r="A12" s="16" t="s">
        <x:v>91</x:v>
      </x:c>
      <x:c r="B12" s="16" t="s">
        <x:v>92</x:v>
      </x:c>
      <x:c r="C12" s="16" t="s">
        <x:v>22</x:v>
      </x:c>
      <x:c r="D12" s="16" t="s">
        <x:v>71</x:v>
      </x:c>
      <x:c r="E12" s="16" t="s">
        <x:v>37</x:v>
      </x:c>
      <x:c r="F12" s="16" t="s">
        <x:v>25</x:v>
      </x:c>
      <x:c r="G12" s="16" t="s">
        <x:v>26</x:v>
      </x:c>
      <x:c r="H12" s="17" t="s">
        <x:v>93</x:v>
      </x:c>
      <x:c r="I12" s="17" t="s">
        <x:v>94</x:v>
      </x:c>
      <x:c r="J12" s="17" t="s">
        <x:v>95</x:v>
      </x:c>
      <x:c r="K12" s="17" t="s">
        <x:v>30</x:v>
      </x:c>
      <x:c r="L12" s="17" t="s">
        <x:v>58</x:v>
      </x:c>
      <x:c r="M12" s="17" t="s">
        <x:v>59</x:v>
      </x:c>
      <x:c r="N12" s="16" t="s">
        <x:v>96</x:v>
      </x:c>
      <x:c r="O12" s="18">
        <x:v>46249</x:v>
      </x:c>
      <x:c r="P12" s="19" t="s">
        <x:v>34</x:v>
      </x:c>
      <x:c r="Q12" s="17"/>
      <x:c r="R12" s="19" t="str">
        <x:f t="shared" si="0"/>
        <x:v>Discovery Link Only</x:v>
      </x:c>
      <x:c r="S12" s="43" t="str">
        <x:v>Unknown</x:v>
      </x:c>
      <x:c r="T12" s="43" t="str">
        <x:v>Unknown</x:v>
      </x:c>
      <x:c r="U12" s="43" t="str">
        <x:v>Unknown</x:v>
      </x:c>
      <x:c r="V12" s="43" t="str">
        <x:v>Unknown</x:v>
      </x:c>
      <x:c r="W12" s="43" t="str">
        <x:v>Unknown</x:v>
      </x:c>
      <x:c r="X12" s="43" t="str">
        <x:v>Unknown</x:v>
      </x:c>
      <x:c r="Y12" s="43" t="str">
        <x:v>Unknown</x:v>
      </x:c>
      <x:c r="Z12" s="43"/>
    </x:row>
    <x:row r="13" ht="60" customHeight="1">
      <x:c r="A13" s="16" t="s">
        <x:v>97</x:v>
      </x:c>
      <x:c r="B13" s="16" t="s">
        <x:v>98</x:v>
      </x:c>
      <x:c r="C13" s="16" t="s">
        <x:v>22</x:v>
      </x:c>
      <x:c r="D13" s="16" t="s">
        <x:v>23</x:v>
      </x:c>
      <x:c r="E13" s="16" t="s">
        <x:v>99</x:v>
      </x:c>
      <x:c r="F13" s="16" t="s">
        <x:v>25</x:v>
      </x:c>
      <x:c r="G13" s="16" t="s">
        <x:v>46</x:v>
      </x:c>
      <x:c r="H13" s="17" t="s">
        <x:v>100</x:v>
      </x:c>
      <x:c r="I13" s="17" t="s">
        <x:v>101</x:v>
      </x:c>
      <x:c r="J13" s="17" t="s">
        <x:v>102</x:v>
      </x:c>
      <x:c r="K13" s="17" t="s">
        <x:v>30</x:v>
      </x:c>
      <x:c r="L13" s="17" t="s">
        <x:v>58</x:v>
      </x:c>
      <x:c r="M13" s="17" t="s">
        <x:v>59</x:v>
      </x:c>
      <x:c r="N13" s="16" t="s">
        <x:v>103</x:v>
      </x:c>
      <x:c r="O13" s="18">
        <x:v>46249</x:v>
      </x:c>
      <x:c r="P13" s="19" t="s">
        <x:v>34</x:v>
      </x:c>
      <x:c r="Q13" s="17"/>
      <x:c r="R13" s="19" t="str">
        <x:f t="shared" si="0"/>
        <x:v>Discovery Link Only</x:v>
      </x:c>
      <x:c r="S13" s="43" t="str">
        <x:v>Unknown</x:v>
      </x:c>
      <x:c r="T13" s="43" t="str">
        <x:v>Unknown</x:v>
      </x:c>
      <x:c r="U13" s="43" t="str">
        <x:v>Unknown</x:v>
      </x:c>
      <x:c r="V13" s="43" t="str">
        <x:v>Unknown</x:v>
      </x:c>
      <x:c r="W13" s="43" t="str">
        <x:v>Unknown</x:v>
      </x:c>
      <x:c r="X13" s="43" t="str">
        <x:v>Unknown</x:v>
      </x:c>
      <x:c r="Y13" s="43" t="str">
        <x:v>Unknown</x:v>
      </x:c>
      <x:c r="Z13" s="43"/>
    </x:row>
    <x:row r="14" ht="60" customHeight="1">
      <x:c r="A14" s="16" t="s">
        <x:v>104</x:v>
      </x:c>
      <x:c r="B14" s="16" t="s">
        <x:v>105</x:v>
      </x:c>
      <x:c r="C14" s="16" t="s">
        <x:v>22</x:v>
      </x:c>
      <x:c r="D14" s="16" t="s">
        <x:v>23</x:v>
      </x:c>
      <x:c r="E14" s="16" t="s">
        <x:v>106</x:v>
      </x:c>
      <x:c r="F14" s="16" t="s">
        <x:v>107</x:v>
      </x:c>
      <x:c r="G14" s="16" t="s">
        <x:v>46</x:v>
      </x:c>
      <x:c r="H14" s="17" t="s">
        <x:v>108</x:v>
      </x:c>
      <x:c r="I14" s="17" t="s">
        <x:v>109</x:v>
      </x:c>
      <x:c r="J14" s="17" t="s">
        <x:v>110</x:v>
      </x:c>
      <x:c r="K14" s="17" t="s">
        <x:v>30</x:v>
      </x:c>
      <x:c r="L14" s="17" t="s">
        <x:v>111</x:v>
      </x:c>
      <x:c r="M14" s="17" t="s">
        <x:v>112</x:v>
      </x:c>
      <x:c r="N14" s="16"/>
      <x:c r="O14" s="18">
        <x:v>46249</x:v>
      </x:c>
      <x:c r="P14" s="19" t="s">
        <x:v>34</x:v>
      </x:c>
      <x:c r="Q14" s="17"/>
      <x:c r="R14" s="19" t="str">
        <x:f t="shared" si="0"/>
        <x:v>Discovery Link Only</x:v>
      </x:c>
      <x:c r="S14" s="43" t="str">
        <x:v>Unknown</x:v>
      </x:c>
      <x:c r="T14" s="43" t="str">
        <x:v>Unknown</x:v>
      </x:c>
      <x:c r="U14" s="43" t="str">
        <x:v>Unknown</x:v>
      </x:c>
      <x:c r="V14" s="43" t="str">
        <x:v>Unknown</x:v>
      </x:c>
      <x:c r="W14" s="43" t="str">
        <x:v>Unknown</x:v>
      </x:c>
      <x:c r="X14" s="43" t="str">
        <x:v>Unknown</x:v>
      </x:c>
      <x:c r="Y14" s="43" t="str">
        <x:v>Unknown</x:v>
      </x:c>
      <x:c r="Z14" s="43"/>
    </x:row>
    <x:row r="15" ht="60" customHeight="1">
      <x:c r="A15" s="16" t="s">
        <x:v>113</x:v>
      </x:c>
      <x:c r="B15" s="16" t="s">
        <x:v>114</x:v>
      </x:c>
      <x:c r="C15" s="16" t="s">
        <x:v>22</x:v>
      </x:c>
      <x:c r="D15" s="16" t="s">
        <x:v>23</x:v>
      </x:c>
      <x:c r="E15" s="16" t="s">
        <x:v>115</x:v>
      </x:c>
      <x:c r="F15" s="16" t="s">
        <x:v>107</x:v>
      </x:c>
      <x:c r="G15" s="16" t="s">
        <x:v>46</x:v>
      </x:c>
      <x:c r="H15" s="17" t="s">
        <x:v>116</x:v>
      </x:c>
      <x:c r="I15" s="17" t="s">
        <x:v>117</x:v>
      </x:c>
      <x:c r="J15" s="17" t="s">
        <x:v>118</x:v>
      </x:c>
      <x:c r="K15" s="17" t="s">
        <x:v>30</x:v>
      </x:c>
      <x:c r="L15" s="17" t="s">
        <x:v>111</x:v>
      </x:c>
      <x:c r="M15" s="17" t="s">
        <x:v>112</x:v>
      </x:c>
      <x:c r="N15" s="16"/>
      <x:c r="O15" s="18">
        <x:v>46249</x:v>
      </x:c>
      <x:c r="P15" s="19" t="s">
        <x:v>34</x:v>
      </x:c>
      <x:c r="Q15" s="17"/>
      <x:c r="R15" s="19" t="str">
        <x:f t="shared" si="0"/>
        <x:v>Discovery Link Only</x:v>
      </x:c>
      <x:c r="S15" s="43" t="str">
        <x:v>Unknown</x:v>
      </x:c>
      <x:c r="T15" s="43" t="str">
        <x:v>Unknown</x:v>
      </x:c>
      <x:c r="U15" s="43" t="str">
        <x:v>Unknown</x:v>
      </x:c>
      <x:c r="V15" s="43" t="str">
        <x:v>Unknown</x:v>
      </x:c>
      <x:c r="W15" s="43" t="str">
        <x:v>Unknown</x:v>
      </x:c>
      <x:c r="X15" s="43" t="str">
        <x:v>Unknown</x:v>
      </x:c>
      <x:c r="Y15" s="43" t="str">
        <x:v>Unknown</x:v>
      </x:c>
      <x:c r="Z15" s="43"/>
    </x:row>
    <x:row r="16" ht="60" customHeight="1">
      <x:c r="A16" s="16" t="s">
        <x:v>119</x:v>
      </x:c>
      <x:c r="B16" s="16" t="s">
        <x:v>120</x:v>
      </x:c>
      <x:c r="C16" s="16" t="s">
        <x:v>22</x:v>
      </x:c>
      <x:c r="D16" s="16" t="s">
        <x:v>23</x:v>
      </x:c>
      <x:c r="E16" s="16" t="s">
        <x:v>115</x:v>
      </x:c>
      <x:c r="F16" s="16" t="s">
        <x:v>121</x:v>
      </x:c>
      <x:c r="G16" s="16" t="s">
        <x:v>46</x:v>
      </x:c>
      <x:c r="H16" s="17" t="s">
        <x:v>122</x:v>
      </x:c>
      <x:c r="I16" s="17" t="s">
        <x:v>123</x:v>
      </x:c>
      <x:c r="J16" s="17" t="s">
        <x:v>124</x:v>
      </x:c>
      <x:c r="K16" s="17" t="s">
        <x:v>30</x:v>
      </x:c>
      <x:c r="L16" s="17" t="s">
        <x:v>111</x:v>
      </x:c>
      <x:c r="M16" s="17" t="s">
        <x:v>112</x:v>
      </x:c>
      <x:c r="N16" s="16"/>
      <x:c r="O16" s="18">
        <x:v>46249</x:v>
      </x:c>
      <x:c r="P16" s="19" t="s">
        <x:v>34</x:v>
      </x:c>
      <x:c r="Q16" s="17"/>
      <x:c r="R16" s="19" t="str">
        <x:f t="shared" si="0"/>
        <x:v>Discovery Link Only</x:v>
      </x:c>
      <x:c r="S16" s="43" t="str">
        <x:v>Unknown</x:v>
      </x:c>
      <x:c r="T16" s="43" t="str">
        <x:v>Unknown</x:v>
      </x:c>
      <x:c r="U16" s="43" t="str">
        <x:v>Unknown</x:v>
      </x:c>
      <x:c r="V16" s="43" t="str">
        <x:v>Unknown</x:v>
      </x:c>
      <x:c r="W16" s="43" t="str">
        <x:v>Unknown</x:v>
      </x:c>
      <x:c r="X16" s="43" t="str">
        <x:v>Unknown</x:v>
      </x:c>
      <x:c r="Y16" s="43" t="str">
        <x:v>Unknown</x:v>
      </x:c>
      <x:c r="Z16" s="43"/>
    </x:row>
    <x:row r="17" ht="60" customHeight="1">
      <x:c r="A17" s="16" t="s">
        <x:v>125</x:v>
      </x:c>
      <x:c r="B17" s="16" t="s">
        <x:v>126</x:v>
      </x:c>
      <x:c r="C17" s="16" t="s">
        <x:v>22</x:v>
      </x:c>
      <x:c r="D17" s="16" t="s">
        <x:v>23</x:v>
      </x:c>
      <x:c r="E17" s="16" t="s">
        <x:v>106</x:v>
      </x:c>
      <x:c r="F17" s="16" t="s">
        <x:v>127</x:v>
      </x:c>
      <x:c r="G17" s="16" t="s">
        <x:v>46</x:v>
      </x:c>
      <x:c r="H17" s="17" t="s">
        <x:v>128</x:v>
      </x:c>
      <x:c r="I17" s="17" t="s">
        <x:v>129</x:v>
      </x:c>
      <x:c r="J17" s="17" t="s">
        <x:v>130</x:v>
      </x:c>
      <x:c r="K17" s="17" t="s">
        <x:v>30</x:v>
      </x:c>
      <x:c r="L17" s="17" t="s">
        <x:v>111</x:v>
      </x:c>
      <x:c r="M17" s="17" t="s">
        <x:v>112</x:v>
      </x:c>
      <x:c r="N17" s="16"/>
      <x:c r="O17" s="18">
        <x:v>46249</x:v>
      </x:c>
      <x:c r="P17" s="19" t="s">
        <x:v>34</x:v>
      </x:c>
      <x:c r="Q17" s="17"/>
      <x:c r="R17" s="19" t="str">
        <x:f t="shared" si="0"/>
        <x:v>Discovery Link Only</x:v>
      </x:c>
      <x:c r="S17" s="43" t="str">
        <x:v>Unknown</x:v>
      </x:c>
      <x:c r="T17" s="43" t="str">
        <x:v>Unknown</x:v>
      </x:c>
      <x:c r="U17" s="43" t="str">
        <x:v>Unknown</x:v>
      </x:c>
      <x:c r="V17" s="43" t="str">
        <x:v>Unknown</x:v>
      </x:c>
      <x:c r="W17" s="43" t="str">
        <x:v>Unknown</x:v>
      </x:c>
      <x:c r="X17" s="43" t="str">
        <x:v>Unknown</x:v>
      </x:c>
      <x:c r="Y17" s="43" t="str">
        <x:v>Unknown</x:v>
      </x:c>
      <x:c r="Z17" s="43"/>
    </x:row>
    <x:row r="18" ht="60" customHeight="1">
      <x:c r="A18" s="16" t="s">
        <x:v>131</x:v>
      </x:c>
      <x:c r="B18" s="16" t="s">
        <x:v>132</x:v>
      </x:c>
      <x:c r="C18" s="16" t="s">
        <x:v>22</x:v>
      </x:c>
      <x:c r="D18" s="16" t="s">
        <x:v>23</x:v>
      </x:c>
      <x:c r="E18" s="16" t="s">
        <x:v>133</x:v>
      </x:c>
      <x:c r="F18" s="16" t="s">
        <x:v>107</x:v>
      </x:c>
      <x:c r="G18" s="16" t="s">
        <x:v>134</x:v>
      </x:c>
      <x:c r="H18" s="17" t="s">
        <x:v>135</x:v>
      </x:c>
      <x:c r="I18" s="17" t="s">
        <x:v>136</x:v>
      </x:c>
      <x:c r="J18" s="17" t="s">
        <x:v>137</x:v>
      </x:c>
      <x:c r="K18" s="17" t="s">
        <x:v>30</x:v>
      </x:c>
      <x:c r="L18" s="17" t="s">
        <x:v>111</x:v>
      </x:c>
      <x:c r="M18" s="17" t="s">
        <x:v>112</x:v>
      </x:c>
      <x:c r="N18" s="16"/>
      <x:c r="O18" s="18">
        <x:v>46249</x:v>
      </x:c>
      <x:c r="P18" s="19" t="s">
        <x:v>34</x:v>
      </x:c>
      <x:c r="Q18" s="17"/>
      <x:c r="R18" s="19" t="str">
        <x:f t="shared" si="0"/>
        <x:v>Discovery Link Only</x:v>
      </x:c>
      <x:c r="S18" s="43" t="str">
        <x:v>Unknown</x:v>
      </x:c>
      <x:c r="T18" s="43" t="str">
        <x:v>Unknown</x:v>
      </x:c>
      <x:c r="U18" s="43" t="str">
        <x:v>Unknown</x:v>
      </x:c>
      <x:c r="V18" s="43" t="str">
        <x:v>Unknown</x:v>
      </x:c>
      <x:c r="W18" s="43" t="str">
        <x:v>Unknown</x:v>
      </x:c>
      <x:c r="X18" s="43" t="str">
        <x:v>Unknown</x:v>
      </x:c>
      <x:c r="Y18" s="43" t="str">
        <x:v>Unknown</x:v>
      </x:c>
      <x:c r="Z18" s="43"/>
    </x:row>
    <x:row r="19" ht="60" customHeight="1">
      <x:c r="A19" s="16" t="s">
        <x:v>138</x:v>
      </x:c>
      <x:c r="B19" s="16" t="s">
        <x:v>139</x:v>
      </x:c>
      <x:c r="C19" s="16" t="s">
        <x:v>22</x:v>
      </x:c>
      <x:c r="D19" s="16" t="s">
        <x:v>53</x:v>
      </x:c>
      <x:c r="E19" s="16" t="s">
        <x:v>140</x:v>
      </x:c>
      <x:c r="F19" s="16" t="s">
        <x:v>107</x:v>
      </x:c>
      <x:c r="G19" s="16" t="s">
        <x:v>46</x:v>
      </x:c>
      <x:c r="H19" s="17" t="s">
        <x:v>141</x:v>
      </x:c>
      <x:c r="I19" s="17" t="s">
        <x:v>142</x:v>
      </x:c>
      <x:c r="J19" s="17" t="s">
        <x:v>143</x:v>
      </x:c>
      <x:c r="K19" s="17" t="s">
        <x:v>30</x:v>
      </x:c>
      <x:c r="L19" s="17" t="s">
        <x:v>111</x:v>
      </x:c>
      <x:c r="M19" s="17" t="s">
        <x:v>112</x:v>
      </x:c>
      <x:c r="N19" s="16"/>
      <x:c r="O19" s="18">
        <x:v>46249</x:v>
      </x:c>
      <x:c r="P19" s="19" t="s">
        <x:v>34</x:v>
      </x:c>
      <x:c r="Q19" s="17"/>
      <x:c r="R19" s="19" t="str">
        <x:f t="shared" si="0"/>
        <x:v>Discovery Link Only</x:v>
      </x:c>
      <x:c r="S19" s="43" t="str">
        <x:v>Unknown</x:v>
      </x:c>
      <x:c r="T19" s="43" t="str">
        <x:v>Unknown</x:v>
      </x:c>
      <x:c r="U19" s="43" t="str">
        <x:v>Unknown</x:v>
      </x:c>
      <x:c r="V19" s="43" t="str">
        <x:v>Unknown</x:v>
      </x:c>
      <x:c r="W19" s="43" t="str">
        <x:v>Unknown</x:v>
      </x:c>
      <x:c r="X19" s="43" t="str">
        <x:v>Unknown</x:v>
      </x:c>
      <x:c r="Y19" s="43" t="str">
        <x:v>Unknown</x:v>
      </x:c>
      <x:c r="Z19" s="43"/>
    </x:row>
    <x:row r="20" ht="60" customHeight="1">
      <x:c r="A20" s="16" t="s">
        <x:v>144</x:v>
      </x:c>
      <x:c r="B20" s="16" t="s">
        <x:v>145</x:v>
      </x:c>
      <x:c r="C20" s="16" t="s">
        <x:v>22</x:v>
      </x:c>
      <x:c r="D20" s="16" t="s">
        <x:v>53</x:v>
      </x:c>
      <x:c r="E20" s="16" t="s">
        <x:v>140</x:v>
      </x:c>
      <x:c r="F20" s="16" t="s">
        <x:v>121</x:v>
      </x:c>
      <x:c r="G20" s="16" t="s">
        <x:v>46</x:v>
      </x:c>
      <x:c r="H20" s="17" t="s">
        <x:v>146</x:v>
      </x:c>
      <x:c r="I20" s="17" t="s">
        <x:v>147</x:v>
      </x:c>
      <x:c r="J20" s="17" t="s">
        <x:v>148</x:v>
      </x:c>
      <x:c r="K20" s="17" t="s">
        <x:v>30</x:v>
      </x:c>
      <x:c r="L20" s="17" t="s">
        <x:v>111</x:v>
      </x:c>
      <x:c r="M20" s="17" t="s">
        <x:v>112</x:v>
      </x:c>
      <x:c r="N20" s="16"/>
      <x:c r="O20" s="18">
        <x:v>46249</x:v>
      </x:c>
      <x:c r="P20" s="19" t="s">
        <x:v>34</x:v>
      </x:c>
      <x:c r="Q20" s="17"/>
      <x:c r="R20" s="19" t="str">
        <x:f t="shared" si="0"/>
        <x:v>Discovery Link Only</x:v>
      </x:c>
      <x:c r="S20" s="43" t="str">
        <x:v>Unknown</x:v>
      </x:c>
      <x:c r="T20" s="43" t="str">
        <x:v>Unknown</x:v>
      </x:c>
      <x:c r="U20" s="43" t="str">
        <x:v>Unknown</x:v>
      </x:c>
      <x:c r="V20" s="43" t="str">
        <x:v>Unknown</x:v>
      </x:c>
      <x:c r="W20" s="43" t="str">
        <x:v>Unknown</x:v>
      </x:c>
      <x:c r="X20" s="43" t="str">
        <x:v>Unknown</x:v>
      </x:c>
      <x:c r="Y20" s="43" t="str">
        <x:v>Unknown</x:v>
      </x:c>
      <x:c r="Z20" s="43"/>
    </x:row>
    <x:row r="21" ht="60" customHeight="1">
      <x:c r="A21" s="16" t="s">
        <x:v>149</x:v>
      </x:c>
      <x:c r="B21" s="16" t="s">
        <x:v>150</x:v>
      </x:c>
      <x:c r="C21" s="16" t="s">
        <x:v>22</x:v>
      </x:c>
      <x:c r="D21" s="16" t="s">
        <x:v>86</x:v>
      </x:c>
      <x:c r="E21" s="16" t="s">
        <x:v>151</x:v>
      </x:c>
      <x:c r="F21" s="16" t="s">
        <x:v>107</x:v>
      </x:c>
      <x:c r="G21" s="16" t="s">
        <x:v>134</x:v>
      </x:c>
      <x:c r="H21" s="17" t="s">
        <x:v>152</x:v>
      </x:c>
      <x:c r="I21" s="17" t="s">
        <x:v>153</x:v>
      </x:c>
      <x:c r="J21" s="17" t="s">
        <x:v>154</x:v>
      </x:c>
      <x:c r="K21" s="17" t="s">
        <x:v>30</x:v>
      </x:c>
      <x:c r="L21" s="17" t="s">
        <x:v>111</x:v>
      </x:c>
      <x:c r="M21" s="17" t="s">
        <x:v>112</x:v>
      </x:c>
      <x:c r="N21" s="16"/>
      <x:c r="O21" s="18">
        <x:v>46249</x:v>
      </x:c>
      <x:c r="P21" s="19" t="s">
        <x:v>34</x:v>
      </x:c>
      <x:c r="Q21" s="17"/>
      <x:c r="R21" s="19" t="str">
        <x:f t="shared" si="0"/>
        <x:v>Discovery Link Only</x:v>
      </x:c>
      <x:c r="S21" s="43" t="str">
        <x:v>Unknown</x:v>
      </x:c>
      <x:c r="T21" s="43" t="str">
        <x:v>Unknown</x:v>
      </x:c>
      <x:c r="U21" s="43" t="str">
        <x:v>Unknown</x:v>
      </x:c>
      <x:c r="V21" s="43" t="str">
        <x:v>Unknown</x:v>
      </x:c>
      <x:c r="W21" s="43" t="str">
        <x:v>Unknown</x:v>
      </x:c>
      <x:c r="X21" s="43" t="str">
        <x:v>Unknown</x:v>
      </x:c>
      <x:c r="Y21" s="43" t="str">
        <x:v>Unknown</x:v>
      </x:c>
      <x:c r="Z21" s="43"/>
    </x:row>
    <x:row r="22" ht="60" customHeight="1">
      <x:c r="A22" s="16" t="s">
        <x:v>155</x:v>
      </x:c>
      <x:c r="B22" s="16" t="s">
        <x:v>156</x:v>
      </x:c>
      <x:c r="C22" s="16" t="s">
        <x:v>22</x:v>
      </x:c>
      <x:c r="D22" s="16" t="s">
        <x:v>71</x:v>
      </x:c>
      <x:c r="E22" s="16" t="s">
        <x:v>45</x:v>
      </x:c>
      <x:c r="F22" s="16" t="s">
        <x:v>107</x:v>
      </x:c>
      <x:c r="G22" s="16" t="s">
        <x:v>26</x:v>
      </x:c>
      <x:c r="H22" s="17" t="s">
        <x:v>157</x:v>
      </x:c>
      <x:c r="I22" s="17" t="s">
        <x:v>158</x:v>
      </x:c>
      <x:c r="J22" s="17" t="s">
        <x:v>159</x:v>
      </x:c>
      <x:c r="K22" s="17" t="s">
        <x:v>30</x:v>
      </x:c>
      <x:c r="L22" s="17" t="s">
        <x:v>111</x:v>
      </x:c>
      <x:c r="M22" s="17" t="s">
        <x:v>112</x:v>
      </x:c>
      <x:c r="N22" s="16"/>
      <x:c r="O22" s="18">
        <x:v>46249</x:v>
      </x:c>
      <x:c r="P22" s="19" t="s">
        <x:v>34</x:v>
      </x:c>
      <x:c r="Q22" s="17"/>
      <x:c r="R22" s="19" t="str">
        <x:f t="shared" si="0"/>
        <x:v>Discovery Link Only</x:v>
      </x:c>
      <x:c r="S22" s="43" t="str">
        <x:v>Unknown</x:v>
      </x:c>
      <x:c r="T22" s="43" t="str">
        <x:v>Unknown</x:v>
      </x:c>
      <x:c r="U22" s="43" t="str">
        <x:v>Unknown</x:v>
      </x:c>
      <x:c r="V22" s="43" t="str">
        <x:v>Unknown</x:v>
      </x:c>
      <x:c r="W22" s="43" t="str">
        <x:v>Unknown</x:v>
      </x:c>
      <x:c r="X22" s="43" t="str">
        <x:v>Unknown</x:v>
      </x:c>
      <x:c r="Y22" s="43" t="str">
        <x:v>Unknown</x:v>
      </x:c>
      <x:c r="Z22" s="43"/>
    </x:row>
    <x:row r="23" ht="60" customHeight="1">
      <x:c r="A23" s="16" t="s">
        <x:v>160</x:v>
      </x:c>
      <x:c r="B23" s="16" t="s">
        <x:v>161</x:v>
      </x:c>
      <x:c r="C23" s="16" t="s">
        <x:v>22</x:v>
      </x:c>
      <x:c r="D23" s="16" t="s">
        <x:v>71</x:v>
      </x:c>
      <x:c r="E23" s="16" t="s">
        <x:v>162</x:v>
      </x:c>
      <x:c r="F23" s="16" t="s">
        <x:v>121</x:v>
      </x:c>
      <x:c r="G23" s="16" t="s">
        <x:v>46</x:v>
      </x:c>
      <x:c r="H23" s="17" t="s">
        <x:v>163</x:v>
      </x:c>
      <x:c r="I23" s="17" t="s">
        <x:v>164</x:v>
      </x:c>
      <x:c r="J23" s="17" t="s">
        <x:v>165</x:v>
      </x:c>
      <x:c r="K23" s="17" t="s">
        <x:v>30</x:v>
      </x:c>
      <x:c r="L23" s="17" t="s">
        <x:v>111</x:v>
      </x:c>
      <x:c r="M23" s="17" t="s">
        <x:v>112</x:v>
      </x:c>
      <x:c r="N23" s="16"/>
      <x:c r="O23" s="18">
        <x:v>46249</x:v>
      </x:c>
      <x:c r="P23" s="19" t="s">
        <x:v>34</x:v>
      </x:c>
      <x:c r="Q23" s="17"/>
      <x:c r="R23" s="19" t="str">
        <x:f t="shared" si="0"/>
        <x:v>Discovery Link Only</x:v>
      </x:c>
      <x:c r="S23" s="43" t="str">
        <x:v>Unknown</x:v>
      </x:c>
      <x:c r="T23" s="43" t="str">
        <x:v>Unknown</x:v>
      </x:c>
      <x:c r="U23" s="43" t="str">
        <x:v>Unknown</x:v>
      </x:c>
      <x:c r="V23" s="43" t="str">
        <x:v>Unknown</x:v>
      </x:c>
      <x:c r="W23" s="43" t="str">
        <x:v>Unknown</x:v>
      </x:c>
      <x:c r="X23" s="43" t="str">
        <x:v>Unknown</x:v>
      </x:c>
      <x:c r="Y23" s="43" t="str">
        <x:v>Unknown</x:v>
      </x:c>
      <x:c r="Z23" s="43"/>
    </x:row>
    <x:row r="24" ht="60" customHeight="1">
      <x:c r="A24" s="16" t="s">
        <x:v>166</x:v>
      </x:c>
      <x:c r="B24" s="16" t="s">
        <x:v>167</x:v>
      </x:c>
      <x:c r="C24" s="16" t="s">
        <x:v>22</x:v>
      </x:c>
      <x:c r="D24" s="16" t="s">
        <x:v>71</x:v>
      </x:c>
      <x:c r="E24" s="16" t="s">
        <x:v>140</x:v>
      </x:c>
      <x:c r="F24" s="16" t="s">
        <x:v>121</x:v>
      </x:c>
      <x:c r="G24" s="16" t="s">
        <x:v>46</x:v>
      </x:c>
      <x:c r="H24" s="17" t="s">
        <x:v>168</x:v>
      </x:c>
      <x:c r="I24" s="17" t="s">
        <x:v>169</x:v>
      </x:c>
      <x:c r="J24" s="17" t="s">
        <x:v>170</x:v>
      </x:c>
      <x:c r="K24" s="17" t="s">
        <x:v>30</x:v>
      </x:c>
      <x:c r="L24" s="17" t="s">
        <x:v>111</x:v>
      </x:c>
      <x:c r="M24" s="17" t="s">
        <x:v>112</x:v>
      </x:c>
      <x:c r="N24" s="16"/>
      <x:c r="O24" s="18">
        <x:v>46249</x:v>
      </x:c>
      <x:c r="P24" s="19" t="s">
        <x:v>34</x:v>
      </x:c>
      <x:c r="Q24" s="17"/>
      <x:c r="R24" s="19" t="str">
        <x:f t="shared" si="0"/>
        <x:v>Discovery Link Only</x:v>
      </x:c>
      <x:c r="S24" s="43" t="str">
        <x:v>Unknown</x:v>
      </x:c>
      <x:c r="T24" s="43" t="str">
        <x:v>Unknown</x:v>
      </x:c>
      <x:c r="U24" s="43" t="str">
        <x:v>Unknown</x:v>
      </x:c>
      <x:c r="V24" s="43" t="str">
        <x:v>Unknown</x:v>
      </x:c>
      <x:c r="W24" s="43" t="str">
        <x:v>Unknown</x:v>
      </x:c>
      <x:c r="X24" s="43" t="str">
        <x:v>Unknown</x:v>
      </x:c>
      <x:c r="Y24" s="43" t="str">
        <x:v>Unknown</x:v>
      </x:c>
      <x:c r="Z24" s="43"/>
    </x:row>
    <x:row r="25" ht="60" customHeight="1">
      <x:c r="A25" s="16" t="s">
        <x:v>171</x:v>
      </x:c>
      <x:c r="B25" s="16" t="s">
        <x:v>172</x:v>
      </x:c>
      <x:c r="C25" s="16" t="s">
        <x:v>22</x:v>
      </x:c>
      <x:c r="D25" s="16" t="s">
        <x:v>173</x:v>
      </x:c>
      <x:c r="E25" s="16" t="s">
        <x:v>72</x:v>
      </x:c>
      <x:c r="F25" s="16" t="s">
        <x:v>107</x:v>
      </x:c>
      <x:c r="G25" s="16" t="s">
        <x:v>26</x:v>
      </x:c>
      <x:c r="H25" s="17" t="s">
        <x:v>174</x:v>
      </x:c>
      <x:c r="I25" s="17" t="s">
        <x:v>175</x:v>
      </x:c>
      <x:c r="J25" s="17" t="s">
        <x:v>176</x:v>
      </x:c>
      <x:c r="K25" s="17" t="s">
        <x:v>30</x:v>
      </x:c>
      <x:c r="L25" s="17" t="s">
        <x:v>111</x:v>
      </x:c>
      <x:c r="M25" s="17" t="s">
        <x:v>112</x:v>
      </x:c>
      <x:c r="N25" s="16"/>
      <x:c r="O25" s="18">
        <x:v>46249</x:v>
      </x:c>
      <x:c r="P25" s="19" t="s">
        <x:v>34</x:v>
      </x:c>
      <x:c r="Q25" s="17"/>
      <x:c r="R25" s="19" t="str">
        <x:f t="shared" si="0"/>
        <x:v>Discovery Link Only</x:v>
      </x:c>
      <x:c r="S25" s="43" t="str">
        <x:v>Unknown</x:v>
      </x:c>
      <x:c r="T25" s="43" t="str">
        <x:v>Unknown</x:v>
      </x:c>
      <x:c r="U25" s="43" t="str">
        <x:v>Unknown</x:v>
      </x:c>
      <x:c r="V25" s="43" t="str">
        <x:v>Unknown</x:v>
      </x:c>
      <x:c r="W25" s="43" t="str">
        <x:v>Unknown</x:v>
      </x:c>
      <x:c r="X25" s="43" t="str">
        <x:v>Unknown</x:v>
      </x:c>
      <x:c r="Y25" s="43" t="str">
        <x:v>Unknown</x:v>
      </x:c>
      <x:c r="Z25" s="43"/>
    </x:row>
    <x:row r="26" ht="60" customHeight="1">
      <x:c r="A26" s="16" t="s">
        <x:v>177</x:v>
      </x:c>
      <x:c r="B26" s="16" t="s">
        <x:v>178</x:v>
      </x:c>
      <x:c r="C26" s="16" t="s">
        <x:v>22</x:v>
      </x:c>
      <x:c r="D26" s="16" t="s">
        <x:v>173</x:v>
      </x:c>
      <x:c r="E26" s="16" t="s">
        <x:v>72</x:v>
      </x:c>
      <x:c r="F26" s="16" t="s">
        <x:v>127</x:v>
      </x:c>
      <x:c r="G26" s="16" t="s">
        <x:v>26</x:v>
      </x:c>
      <x:c r="H26" s="17" t="s">
        <x:v>179</x:v>
      </x:c>
      <x:c r="I26" s="17" t="s">
        <x:v>180</x:v>
      </x:c>
      <x:c r="J26" s="17" t="s">
        <x:v>181</x:v>
      </x:c>
      <x:c r="K26" s="17" t="s">
        <x:v>30</x:v>
      </x:c>
      <x:c r="L26" s="17" t="s">
        <x:v>111</x:v>
      </x:c>
      <x:c r="M26" s="17" t="s">
        <x:v>112</x:v>
      </x:c>
      <x:c r="N26" s="16"/>
      <x:c r="O26" s="18">
        <x:v>46249</x:v>
      </x:c>
      <x:c r="P26" s="19" t="s">
        <x:v>34</x:v>
      </x:c>
      <x:c r="Q26" s="17"/>
      <x:c r="R26" s="19" t="str">
        <x:f t="shared" si="0"/>
        <x:v>Discovery Link Only</x:v>
      </x:c>
      <x:c r="S26" s="43" t="str">
        <x:v>Unknown</x:v>
      </x:c>
      <x:c r="T26" s="43" t="str">
        <x:v>Unknown</x:v>
      </x:c>
      <x:c r="U26" s="43" t="str">
        <x:v>Unknown</x:v>
      </x:c>
      <x:c r="V26" s="43" t="str">
        <x:v>Unknown</x:v>
      </x:c>
      <x:c r="W26" s="43" t="str">
        <x:v>Unknown</x:v>
      </x:c>
      <x:c r="X26" s="43" t="str">
        <x:v>Unknown</x:v>
      </x:c>
      <x:c r="Y26" s="43" t="str">
        <x:v>Unknown</x:v>
      </x:c>
      <x:c r="Z26" s="43"/>
    </x:row>
    <x:row r="27" ht="60" customHeight="1">
      <x:c r="A27" s="16" t="s">
        <x:v>182</x:v>
      </x:c>
      <x:c r="B27" s="16" t="s">
        <x:v>183</x:v>
      </x:c>
      <x:c r="C27" s="16" t="s">
        <x:v>22</x:v>
      </x:c>
      <x:c r="D27" s="16" t="s">
        <x:v>173</x:v>
      </x:c>
      <x:c r="E27" s="16" t="s">
        <x:v>72</x:v>
      </x:c>
      <x:c r="F27" s="16" t="s">
        <x:v>127</x:v>
      </x:c>
      <x:c r="G27" s="16" t="s">
        <x:v>26</x:v>
      </x:c>
      <x:c r="H27" s="17" t="s">
        <x:v>184</x:v>
      </x:c>
      <x:c r="I27" s="17" t="s">
        <x:v>185</x:v>
      </x:c>
      <x:c r="J27" s="17" t="s">
        <x:v>186</x:v>
      </x:c>
      <x:c r="K27" s="17" t="s">
        <x:v>30</x:v>
      </x:c>
      <x:c r="L27" s="17" t="s">
        <x:v>111</x:v>
      </x:c>
      <x:c r="M27" s="17" t="s">
        <x:v>112</x:v>
      </x:c>
      <x:c r="N27" s="16"/>
      <x:c r="O27" s="18">
        <x:v>46249</x:v>
      </x:c>
      <x:c r="P27" s="19" t="s">
        <x:v>34</x:v>
      </x:c>
      <x:c r="Q27" s="17"/>
      <x:c r="R27" s="19" t="str">
        <x:f t="shared" si="0"/>
        <x:v>Discovery Link Only</x:v>
      </x:c>
      <x:c r="S27" s="43" t="str">
        <x:v>Unknown</x:v>
      </x:c>
      <x:c r="T27" s="43" t="str">
        <x:v>Unknown</x:v>
      </x:c>
      <x:c r="U27" s="43" t="str">
        <x:v>Unknown</x:v>
      </x:c>
      <x:c r="V27" s="43" t="str">
        <x:v>Unknown</x:v>
      </x:c>
      <x:c r="W27" s="43" t="str">
        <x:v>Unknown</x:v>
      </x:c>
      <x:c r="X27" s="43" t="str">
        <x:v>Unknown</x:v>
      </x:c>
      <x:c r="Y27" s="43" t="str">
        <x:v>Unknown</x:v>
      </x:c>
      <x:c r="Z27" s="43"/>
    </x:row>
    <x:row r="28" ht="60" customHeight="1">
      <x:c r="A28" s="16" t="s">
        <x:v>187</x:v>
      </x:c>
      <x:c r="B28" s="16" t="s">
        <x:v>188</x:v>
      </x:c>
      <x:c r="C28" s="16" t="s">
        <x:v>22</x:v>
      </x:c>
      <x:c r="D28" s="16" t="s">
        <x:v>173</x:v>
      </x:c>
      <x:c r="E28" s="16" t="s">
        <x:v>72</x:v>
      </x:c>
      <x:c r="F28" s="16" t="s">
        <x:v>121</x:v>
      </x:c>
      <x:c r="G28" s="16" t="s">
        <x:v>26</x:v>
      </x:c>
      <x:c r="H28" s="17" t="s">
        <x:v>189</x:v>
      </x:c>
      <x:c r="I28" s="17" t="s">
        <x:v>190</x:v>
      </x:c>
      <x:c r="J28" s="17" t="s">
        <x:v>191</x:v>
      </x:c>
      <x:c r="K28" s="17" t="s">
        <x:v>30</x:v>
      </x:c>
      <x:c r="L28" s="17" t="s">
        <x:v>111</x:v>
      </x:c>
      <x:c r="M28" s="17" t="s">
        <x:v>112</x:v>
      </x:c>
      <x:c r="N28" s="16"/>
      <x:c r="O28" s="18">
        <x:v>46249</x:v>
      </x:c>
      <x:c r="P28" s="19" t="s">
        <x:v>34</x:v>
      </x:c>
      <x:c r="Q28" s="17"/>
      <x:c r="R28" s="19" t="str">
        <x:f t="shared" si="0"/>
        <x:v>Discovery Link Only</x:v>
      </x:c>
      <x:c r="S28" s="43" t="str">
        <x:v>Unknown</x:v>
      </x:c>
      <x:c r="T28" s="43" t="str">
        <x:v>Unknown</x:v>
      </x:c>
      <x:c r="U28" s="43" t="str">
        <x:v>Unknown</x:v>
      </x:c>
      <x:c r="V28" s="43" t="str">
        <x:v>Unknown</x:v>
      </x:c>
      <x:c r="W28" s="43" t="str">
        <x:v>Unknown</x:v>
      </x:c>
      <x:c r="X28" s="43" t="str">
        <x:v>Unknown</x:v>
      </x:c>
      <x:c r="Y28" s="43" t="str">
        <x:v>Unknown</x:v>
      </x:c>
      <x:c r="Z28" s="43"/>
    </x:row>
    <x:row r="29" ht="60" customHeight="1">
      <x:c r="A29" s="16" t="s">
        <x:v>192</x:v>
      </x:c>
      <x:c r="B29" s="16" t="s">
        <x:v>193</x:v>
      </x:c>
      <x:c r="C29" s="16" t="s">
        <x:v>22</x:v>
      </x:c>
      <x:c r="D29" s="16" t="s">
        <x:v>173</x:v>
      </x:c>
      <x:c r="E29" s="16" t="s">
        <x:v>45</x:v>
      </x:c>
      <x:c r="F29" s="16" t="s">
        <x:v>194</x:v>
      </x:c>
      <x:c r="G29" s="16" t="s">
        <x:v>26</x:v>
      </x:c>
      <x:c r="H29" s="17" t="s">
        <x:v>195</x:v>
      </x:c>
      <x:c r="I29" s="17" t="s">
        <x:v>196</x:v>
      </x:c>
      <x:c r="J29" s="17" t="s">
        <x:v>197</x:v>
      </x:c>
      <x:c r="K29" s="17" t="s">
        <x:v>30</x:v>
      </x:c>
      <x:c r="L29" s="17" t="s">
        <x:v>111</x:v>
      </x:c>
      <x:c r="M29" s="17" t="s">
        <x:v>112</x:v>
      </x:c>
      <x:c r="N29" s="16"/>
      <x:c r="O29" s="18">
        <x:v>46249</x:v>
      </x:c>
      <x:c r="P29" s="19" t="s">
        <x:v>34</x:v>
      </x:c>
      <x:c r="Q29" s="17"/>
      <x:c r="R29" s="19" t="str">
        <x:f t="shared" si="0"/>
        <x:v>Discovery Link Only</x:v>
      </x:c>
      <x:c r="S29" s="43" t="str">
        <x:v>Unknown</x:v>
      </x:c>
      <x:c r="T29" s="43" t="str">
        <x:v>Unknown</x:v>
      </x:c>
      <x:c r="U29" s="43" t="str">
        <x:v>Unknown</x:v>
      </x:c>
      <x:c r="V29" s="43" t="str">
        <x:v>Unknown</x:v>
      </x:c>
      <x:c r="W29" s="43" t="str">
        <x:v>Unknown</x:v>
      </x:c>
      <x:c r="X29" s="43" t="str">
        <x:v>Unknown</x:v>
      </x:c>
      <x:c r="Y29" s="43" t="str">
        <x:v>Unknown</x:v>
      </x:c>
      <x:c r="Z29" s="43"/>
    </x:row>
    <x:row r="30" ht="60" customHeight="1">
      <x:c r="A30" s="16" t="s">
        <x:v>198</x:v>
      </x:c>
      <x:c r="B30" s="16" t="s">
        <x:v>199</x:v>
      </x:c>
      <x:c r="C30" s="16" t="s">
        <x:v>22</x:v>
      </x:c>
      <x:c r="D30" s="16" t="s">
        <x:v>79</x:v>
      </x:c>
      <x:c r="E30" s="16" t="s">
        <x:v>99</x:v>
      </x:c>
      <x:c r="F30" s="16" t="s">
        <x:v>121</x:v>
      </x:c>
      <x:c r="G30" s="16" t="s">
        <x:v>46</x:v>
      </x:c>
      <x:c r="H30" s="17" t="s">
        <x:v>200</x:v>
      </x:c>
      <x:c r="I30" s="17" t="s">
        <x:v>201</x:v>
      </x:c>
      <x:c r="J30" s="17" t="s">
        <x:v>202</x:v>
      </x:c>
      <x:c r="K30" s="17" t="s">
        <x:v>30</x:v>
      </x:c>
      <x:c r="L30" s="17" t="s">
        <x:v>111</x:v>
      </x:c>
      <x:c r="M30" s="17" t="s">
        <x:v>112</x:v>
      </x:c>
      <x:c r="N30" s="16"/>
      <x:c r="O30" s="18">
        <x:v>46249</x:v>
      </x:c>
      <x:c r="P30" s="19" t="s">
        <x:v>34</x:v>
      </x:c>
      <x:c r="Q30" s="17"/>
      <x:c r="R30" s="19" t="str">
        <x:f t="shared" si="0"/>
        <x:v>Discovery Link Only</x:v>
      </x:c>
      <x:c r="S30" s="43" t="str">
        <x:v>Unknown</x:v>
      </x:c>
      <x:c r="T30" s="43" t="str">
        <x:v>Unknown</x:v>
      </x:c>
      <x:c r="U30" s="43" t="str">
        <x:v>Unknown</x:v>
      </x:c>
      <x:c r="V30" s="43" t="str">
        <x:v>Unknown</x:v>
      </x:c>
      <x:c r="W30" s="43" t="str">
        <x:v>Unknown</x:v>
      </x:c>
      <x:c r="X30" s="43" t="str">
        <x:v>Unknown</x:v>
      </x:c>
      <x:c r="Y30" s="43" t="str">
        <x:v>Unknown</x:v>
      </x:c>
      <x:c r="Z30" s="43"/>
    </x:row>
    <x:row r="31" ht="60" customHeight="1">
      <x:c r="A31" s="16" t="s">
        <x:v>203</x:v>
      </x:c>
      <x:c r="B31" s="16" t="s">
        <x:v>204</x:v>
      </x:c>
      <x:c r="C31" s="16" t="s">
        <x:v>22</x:v>
      </x:c>
      <x:c r="D31" s="16" t="s">
        <x:v>79</x:v>
      </x:c>
      <x:c r="E31" s="16" t="s">
        <x:v>45</x:v>
      </x:c>
      <x:c r="F31" s="16" t="s">
        <x:v>127</x:v>
      </x:c>
      <x:c r="G31" s="16" t="s">
        <x:v>26</x:v>
      </x:c>
      <x:c r="H31" s="17" t="s">
        <x:v>205</x:v>
      </x:c>
      <x:c r="I31" s="17" t="s">
        <x:v>206</x:v>
      </x:c>
      <x:c r="J31" s="17" t="s">
        <x:v>207</x:v>
      </x:c>
      <x:c r="K31" s="17" t="s">
        <x:v>30</x:v>
      </x:c>
      <x:c r="L31" s="17" t="s">
        <x:v>111</x:v>
      </x:c>
      <x:c r="M31" s="17" t="s">
        <x:v>112</x:v>
      </x:c>
      <x:c r="N31" s="16"/>
      <x:c r="O31" s="18">
        <x:v>46249</x:v>
      </x:c>
      <x:c r="P31" s="19" t="s">
        <x:v>34</x:v>
      </x:c>
      <x:c r="Q31" s="17"/>
      <x:c r="R31" s="19" t="str">
        <x:f t="shared" si="0"/>
        <x:v>Discovery Link Only</x:v>
      </x:c>
      <x:c r="S31" s="43" t="str">
        <x:v>Unknown</x:v>
      </x:c>
      <x:c r="T31" s="43" t="str">
        <x:v>Unknown</x:v>
      </x:c>
      <x:c r="U31" s="43" t="str">
        <x:v>Unknown</x:v>
      </x:c>
      <x:c r="V31" s="43" t="str">
        <x:v>Unknown</x:v>
      </x:c>
      <x:c r="W31" s="43" t="str">
        <x:v>Unknown</x:v>
      </x:c>
      <x:c r="X31" s="43" t="str">
        <x:v>Unknown</x:v>
      </x:c>
      <x:c r="Y31" s="43" t="str">
        <x:v>Unknown</x:v>
      </x:c>
      <x:c r="Z31" s="43"/>
    </x:row>
    <x:row r="32" ht="60" customHeight="1">
      <x:c r="A32" s="16" t="s">
        <x:v>208</x:v>
      </x:c>
      <x:c r="B32" s="16" t="s">
        <x:v>209</x:v>
      </x:c>
      <x:c r="C32" s="16" t="s">
        <x:v>22</x:v>
      </x:c>
      <x:c r="D32" s="16" t="s">
        <x:v>210</x:v>
      </x:c>
      <x:c r="E32" s="16" t="s">
        <x:v>72</x:v>
      </x:c>
      <x:c r="F32" s="16" t="s">
        <x:v>121</x:v>
      </x:c>
      <x:c r="G32" s="16" t="s">
        <x:v>26</x:v>
      </x:c>
      <x:c r="H32" s="17" t="s">
        <x:v>211</x:v>
      </x:c>
      <x:c r="I32" s="17" t="s">
        <x:v>212</x:v>
      </x:c>
      <x:c r="J32" s="17" t="s">
        <x:v>213</x:v>
      </x:c>
      <x:c r="K32" s="17" t="s">
        <x:v>30</x:v>
      </x:c>
      <x:c r="L32" s="17" t="s">
        <x:v>111</x:v>
      </x:c>
      <x:c r="M32" s="17" t="s">
        <x:v>112</x:v>
      </x:c>
      <x:c r="N32" s="16"/>
      <x:c r="O32" s="18">
        <x:v>46249</x:v>
      </x:c>
      <x:c r="P32" s="19" t="s">
        <x:v>34</x:v>
      </x:c>
      <x:c r="Q32" s="17"/>
      <x:c r="R32" s="19" t="str">
        <x:f t="shared" si="0"/>
        <x:v>Discovery Link Only</x:v>
      </x:c>
      <x:c r="S32" s="43" t="str">
        <x:v>Unknown</x:v>
      </x:c>
      <x:c r="T32" s="43" t="str">
        <x:v>Unknown</x:v>
      </x:c>
      <x:c r="U32" s="43" t="str">
        <x:v>Unknown</x:v>
      </x:c>
      <x:c r="V32" s="43" t="str">
        <x:v>Unknown</x:v>
      </x:c>
      <x:c r="W32" s="43" t="str">
        <x:v>Unknown</x:v>
      </x:c>
      <x:c r="X32" s="43" t="str">
        <x:v>Unknown</x:v>
      </x:c>
      <x:c r="Y32" s="43" t="str">
        <x:v>Unknown</x:v>
      </x:c>
      <x:c r="Z32" s="43"/>
    </x:row>
    <x:row r="33" ht="60" customHeight="1">
      <x:c r="A33" s="16" t="s">
        <x:v>214</x:v>
      </x:c>
      <x:c r="B33" s="16" t="s">
        <x:v>215</x:v>
      </x:c>
      <x:c r="C33" s="16" t="s">
        <x:v>22</x:v>
      </x:c>
      <x:c r="D33" s="16" t="s">
        <x:v>210</x:v>
      </x:c>
      <x:c r="E33" s="16" t="s">
        <x:v>106</x:v>
      </x:c>
      <x:c r="F33" s="16" t="s">
        <x:v>127</x:v>
      </x:c>
      <x:c r="G33" s="16" t="s">
        <x:v>46</x:v>
      </x:c>
      <x:c r="H33" s="17" t="s">
        <x:v>216</x:v>
      </x:c>
      <x:c r="I33" s="17" t="s">
        <x:v>217</x:v>
      </x:c>
      <x:c r="J33" s="17" t="s">
        <x:v>218</x:v>
      </x:c>
      <x:c r="K33" s="17" t="s">
        <x:v>30</x:v>
      </x:c>
      <x:c r="L33" s="17" t="s">
        <x:v>111</x:v>
      </x:c>
      <x:c r="M33" s="17" t="s">
        <x:v>112</x:v>
      </x:c>
      <x:c r="N33" s="16"/>
      <x:c r="O33" s="18">
        <x:v>46249</x:v>
      </x:c>
      <x:c r="P33" s="19" t="s">
        <x:v>34</x:v>
      </x:c>
      <x:c r="Q33" s="17"/>
      <x:c r="R33" s="19" t="str">
        <x:f t="shared" si="0"/>
        <x:v>Discovery Link Only</x:v>
      </x:c>
      <x:c r="S33" s="43" t="str">
        <x:v>Unknown</x:v>
      </x:c>
      <x:c r="T33" s="43" t="str">
        <x:v>Unknown</x:v>
      </x:c>
      <x:c r="U33" s="43" t="str">
        <x:v>Unknown</x:v>
      </x:c>
      <x:c r="V33" s="43" t="str">
        <x:v>Unknown</x:v>
      </x:c>
      <x:c r="W33" s="43" t="str">
        <x:v>Unknown</x:v>
      </x:c>
      <x:c r="X33" s="43" t="str">
        <x:v>Unknown</x:v>
      </x:c>
      <x:c r="Y33" s="43" t="str">
        <x:v>Unknown</x:v>
      </x:c>
      <x:c r="Z33" s="43"/>
    </x:row>
    <x:row r="34" ht="60" customHeight="1">
      <x:c r="A34" s="16" t="s">
        <x:v>219</x:v>
      </x:c>
      <x:c r="B34" s="16" t="s">
        <x:v>220</x:v>
      </x:c>
      <x:c r="C34" s="16" t="s">
        <x:v>22</x:v>
      </x:c>
      <x:c r="D34" s="16" t="s">
        <x:v>221</x:v>
      </x:c>
      <x:c r="E34" s="16" t="s">
        <x:v>24</x:v>
      </x:c>
      <x:c r="F34" s="16" t="s">
        <x:v>121</x:v>
      </x:c>
      <x:c r="G34" s="16" t="s">
        <x:v>26</x:v>
      </x:c>
      <x:c r="H34" s="17" t="s">
        <x:v>222</x:v>
      </x:c>
      <x:c r="I34" s="17" t="s">
        <x:v>223</x:v>
      </x:c>
      <x:c r="J34" s="17" t="s">
        <x:v>224</x:v>
      </x:c>
      <x:c r="K34" s="17" t="s">
        <x:v>30</x:v>
      </x:c>
      <x:c r="L34" s="17" t="s">
        <x:v>111</x:v>
      </x:c>
      <x:c r="M34" s="17" t="s">
        <x:v>112</x:v>
      </x:c>
      <x:c r="N34" s="16"/>
      <x:c r="O34" s="18">
        <x:v>46249</x:v>
      </x:c>
      <x:c r="P34" s="19" t="s">
        <x:v>34</x:v>
      </x:c>
      <x:c r="Q34" s="17"/>
      <x:c r="R34" s="19" t="str">
        <x:f t="shared" si="0"/>
        <x:v>Discovery Link Only</x:v>
      </x:c>
      <x:c r="S34" s="43" t="str">
        <x:v>Unknown</x:v>
      </x:c>
      <x:c r="T34" s="43" t="str">
        <x:v>Unknown</x:v>
      </x:c>
      <x:c r="U34" s="43" t="str">
        <x:v>Unknown</x:v>
      </x:c>
      <x:c r="V34" s="43" t="str">
        <x:v>Unknown</x:v>
      </x:c>
      <x:c r="W34" s="43" t="str">
        <x:v>Unknown</x:v>
      </x:c>
      <x:c r="X34" s="43" t="str">
        <x:v>Unknown</x:v>
      </x:c>
      <x:c r="Y34" s="43" t="str">
        <x:v>Unknown</x:v>
      </x:c>
      <x:c r="Z34" s="43"/>
    </x:row>
    <x:row r="35" ht="60" customHeight="1">
      <x:c r="A35" s="16" t="s">
        <x:v>225</x:v>
      </x:c>
      <x:c r="B35" s="16" t="s">
        <x:v>226</x:v>
      </x:c>
      <x:c r="C35" s="16" t="s">
        <x:v>22</x:v>
      </x:c>
      <x:c r="D35" s="16" t="s">
        <x:v>221</x:v>
      </x:c>
      <x:c r="E35" s="16" t="s">
        <x:v>115</x:v>
      </x:c>
      <x:c r="F35" s="16" t="s">
        <x:v>121</x:v>
      </x:c>
      <x:c r="G35" s="16" t="s">
        <x:v>46</x:v>
      </x:c>
      <x:c r="H35" s="17" t="s">
        <x:v>227</x:v>
      </x:c>
      <x:c r="I35" s="17" t="s">
        <x:v>228</x:v>
      </x:c>
      <x:c r="J35" s="17" t="s">
        <x:v>229</x:v>
      </x:c>
      <x:c r="K35" s="17" t="s">
        <x:v>30</x:v>
      </x:c>
      <x:c r="L35" s="17" t="s">
        <x:v>111</x:v>
      </x:c>
      <x:c r="M35" s="17" t="s">
        <x:v>112</x:v>
      </x:c>
      <x:c r="N35" s="16"/>
      <x:c r="O35" s="18">
        <x:v>46249</x:v>
      </x:c>
      <x:c r="P35" s="19" t="s">
        <x:v>34</x:v>
      </x:c>
      <x:c r="Q35" s="17"/>
      <x:c r="R35" s="19" t="str">
        <x:f t="shared" si="0"/>
        <x:v>Discovery Link Only</x:v>
      </x:c>
      <x:c r="S35" s="43" t="str">
        <x:v>Unknown</x:v>
      </x:c>
      <x:c r="T35" s="43" t="str">
        <x:v>Unknown</x:v>
      </x:c>
      <x:c r="U35" s="43" t="str">
        <x:v>Unknown</x:v>
      </x:c>
      <x:c r="V35" s="43" t="str">
        <x:v>Unknown</x:v>
      </x:c>
      <x:c r="W35" s="43" t="str">
        <x:v>Unknown</x:v>
      </x:c>
      <x:c r="X35" s="43" t="str">
        <x:v>Unknown</x:v>
      </x:c>
      <x:c r="Y35" s="43" t="str">
        <x:v>Unknown</x:v>
      </x:c>
      <x:c r="Z35" s="43"/>
    </x:row>
    <x:row r="36" ht="60" customHeight="1">
      <x:c r="A36" s="16" t="s">
        <x:v>230</x:v>
      </x:c>
      <x:c r="B36" s="16" t="s">
        <x:v>231</x:v>
      </x:c>
      <x:c r="C36" s="16" t="s">
        <x:v>22</x:v>
      </x:c>
      <x:c r="D36" s="16" t="s">
        <x:v>232</x:v>
      </x:c>
      <x:c r="E36" s="16" t="s">
        <x:v>45</x:v>
      </x:c>
      <x:c r="F36" s="16" t="s">
        <x:v>107</x:v>
      </x:c>
      <x:c r="G36" s="16" t="s">
        <x:v>26</x:v>
      </x:c>
      <x:c r="H36" s="17" t="s">
        <x:v>233</x:v>
      </x:c>
      <x:c r="I36" s="17" t="s">
        <x:v>234</x:v>
      </x:c>
      <x:c r="J36" s="17" t="s">
        <x:v>235</x:v>
      </x:c>
      <x:c r="K36" s="17" t="s">
        <x:v>30</x:v>
      </x:c>
      <x:c r="L36" s="17" t="s">
        <x:v>111</x:v>
      </x:c>
      <x:c r="M36" s="17" t="s">
        <x:v>112</x:v>
      </x:c>
      <x:c r="N36" s="16"/>
      <x:c r="O36" s="18">
        <x:v>46249</x:v>
      </x:c>
      <x:c r="P36" s="19" t="s">
        <x:v>34</x:v>
      </x:c>
      <x:c r="Q36" s="17"/>
      <x:c r="R36" s="19" t="str">
        <x:f t="shared" si="0"/>
        <x:v>Discovery Link Only</x:v>
      </x:c>
      <x:c r="S36" s="43" t="str">
        <x:v>Unknown</x:v>
      </x:c>
      <x:c r="T36" s="43" t="str">
        <x:v>Unknown</x:v>
      </x:c>
      <x:c r="U36" s="43" t="str">
        <x:v>Unknown</x:v>
      </x:c>
      <x:c r="V36" s="43" t="str">
        <x:v>Unknown</x:v>
      </x:c>
      <x:c r="W36" s="43" t="str">
        <x:v>Unknown</x:v>
      </x:c>
      <x:c r="X36" s="43" t="str">
        <x:v>Unknown</x:v>
      </x:c>
      <x:c r="Y36" s="43" t="str">
        <x:v>Unknown</x:v>
      </x:c>
      <x:c r="Z36" s="43"/>
    </x:row>
    <x:row r="37" ht="60" customHeight="1">
      <x:c r="A37" s="16" t="s">
        <x:v>236</x:v>
      </x:c>
      <x:c r="B37" s="16" t="s">
        <x:v>237</x:v>
      </x:c>
      <x:c r="C37" s="16" t="s">
        <x:v>22</x:v>
      </x:c>
      <x:c r="D37" s="16" t="s">
        <x:v>232</x:v>
      </x:c>
      <x:c r="E37" s="16" t="s">
        <x:v>162</x:v>
      </x:c>
      <x:c r="F37" s="16" t="s">
        <x:v>121</x:v>
      </x:c>
      <x:c r="G37" s="16" t="s">
        <x:v>46</x:v>
      </x:c>
      <x:c r="H37" s="17" t="s">
        <x:v>238</x:v>
      </x:c>
      <x:c r="I37" s="17" t="s">
        <x:v>239</x:v>
      </x:c>
      <x:c r="J37" s="17" t="s">
        <x:v>240</x:v>
      </x:c>
      <x:c r="K37" s="17" t="s">
        <x:v>30</x:v>
      </x:c>
      <x:c r="L37" s="17" t="s">
        <x:v>111</x:v>
      </x:c>
      <x:c r="M37" s="17" t="s">
        <x:v>112</x:v>
      </x:c>
      <x:c r="N37" s="16"/>
      <x:c r="O37" s="18">
        <x:v>46249</x:v>
      </x:c>
      <x:c r="P37" s="19" t="s">
        <x:v>34</x:v>
      </x:c>
      <x:c r="Q37" s="17"/>
      <x:c r="R37" s="19" t="str">
        <x:f t="shared" si="0"/>
        <x:v>Discovery Link Only</x:v>
      </x:c>
      <x:c r="S37" s="43" t="str">
        <x:v>Unknown</x:v>
      </x:c>
      <x:c r="T37" s="43" t="str">
        <x:v>Unknown</x:v>
      </x:c>
      <x:c r="U37" s="43" t="str">
        <x:v>Unknown</x:v>
      </x:c>
      <x:c r="V37" s="43" t="str">
        <x:v>Unknown</x:v>
      </x:c>
      <x:c r="W37" s="43" t="str">
        <x:v>Unknown</x:v>
      </x:c>
      <x:c r="X37" s="43" t="str">
        <x:v>Unknown</x:v>
      </x:c>
      <x:c r="Y37" s="43" t="str">
        <x:v>Unknown</x:v>
      </x:c>
      <x:c r="Z37" s="43"/>
    </x:row>
    <x:row r="38" ht="60" customHeight="1">
      <x:c r="A38" s="16" t="s">
        <x:v>241</x:v>
      </x:c>
      <x:c r="B38" s="16" t="s">
        <x:v>242</x:v>
      </x:c>
      <x:c r="C38" s="16" t="s">
        <x:v>22</x:v>
      </x:c>
      <x:c r="D38" s="16" t="s">
        <x:v>243</x:v>
      </x:c>
      <x:c r="E38" s="16" t="s">
        <x:v>45</x:v>
      </x:c>
      <x:c r="F38" s="16" t="s">
        <x:v>194</x:v>
      </x:c>
      <x:c r="G38" s="16" t="s">
        <x:v>26</x:v>
      </x:c>
      <x:c r="H38" s="17" t="s">
        <x:v>244</x:v>
      </x:c>
      <x:c r="I38" s="17" t="s">
        <x:v>245</x:v>
      </x:c>
      <x:c r="J38" s="17" t="s">
        <x:v>246</x:v>
      </x:c>
      <x:c r="K38" s="17" t="s">
        <x:v>30</x:v>
      </x:c>
      <x:c r="L38" s="17" t="s">
        <x:v>111</x:v>
      </x:c>
      <x:c r="M38" s="17" t="s">
        <x:v>112</x:v>
      </x:c>
      <x:c r="N38" s="16"/>
      <x:c r="O38" s="18">
        <x:v>46249</x:v>
      </x:c>
      <x:c r="P38" s="19" t="s">
        <x:v>34</x:v>
      </x:c>
      <x:c r="Q38" s="17"/>
      <x:c r="R38" s="19" t="str">
        <x:f t="shared" si="0"/>
        <x:v>Discovery Link Only</x:v>
      </x:c>
      <x:c r="S38" s="43" t="str">
        <x:v>Unknown</x:v>
      </x:c>
      <x:c r="T38" s="43" t="str">
        <x:v>Unknown</x:v>
      </x:c>
      <x:c r="U38" s="43" t="str">
        <x:v>Unknown</x:v>
      </x:c>
      <x:c r="V38" s="43" t="str">
        <x:v>Unknown</x:v>
      </x:c>
      <x:c r="W38" s="43" t="str">
        <x:v>Unknown</x:v>
      </x:c>
      <x:c r="X38" s="43" t="str">
        <x:v>Unknown</x:v>
      </x:c>
      <x:c r="Y38" s="43" t="str">
        <x:v>Unknown</x:v>
      </x:c>
      <x:c r="Z38" s="43"/>
    </x:row>
    <x:row r="39" ht="60" customHeight="1">
      <x:c r="A39" s="16" t="s">
        <x:v>247</x:v>
      </x:c>
      <x:c r="B39" s="16" t="s">
        <x:v>248</x:v>
      </x:c>
      <x:c r="C39" s="16" t="s">
        <x:v>249</x:v>
      </x:c>
      <x:c r="D39" s="16" t="s">
        <x:v>250</x:v>
      </x:c>
      <x:c r="E39" s="16" t="s">
        <x:v>251</x:v>
      </x:c>
      <x:c r="F39" s="16" t="s">
        <x:v>25</x:v>
      </x:c>
      <x:c r="G39" s="16" t="s">
        <x:v>26</x:v>
      </x:c>
      <x:c r="H39" s="17" t="s">
        <x:v>252</x:v>
      </x:c>
      <x:c r="I39" s="17" t="s">
        <x:v>253</x:v>
      </x:c>
      <x:c r="J39" s="17" t="s">
        <x:v>254</x:v>
      </x:c>
      <x:c r="K39" s="17" t="s">
        <x:v>255</x:v>
      </x:c>
      <x:c r="L39" s="17" t="s">
        <x:v>58</x:v>
      </x:c>
      <x:c r="M39" s="17" t="s">
        <x:v>256</x:v>
      </x:c>
      <x:c r="N39" s="16" t="s">
        <x:v>257</x:v>
      </x:c>
      <x:c r="O39" s="18">
        <x:v>46249</x:v>
      </x:c>
      <x:c r="P39" s="19" t="s">
        <x:v>34</x:v>
      </x:c>
      <x:c r="Q39" s="17"/>
      <x:c r="R39" s="19" t="str">
        <x:f t="shared" si="0"/>
        <x:v>Source Link Present</x:v>
      </x:c>
      <x:c r="S39" s="43" t="str">
        <x:v>Unknown</x:v>
      </x:c>
      <x:c r="T39" s="43" t="str">
        <x:v>Unknown</x:v>
      </x:c>
      <x:c r="U39" s="43" t="str">
        <x:v>Unknown</x:v>
      </x:c>
      <x:c r="V39" s="43" t="str">
        <x:v>Unknown</x:v>
      </x:c>
      <x:c r="W39" s="43" t="str">
        <x:v>Unknown</x:v>
      </x:c>
      <x:c r="X39" s="43" t="str">
        <x:v>Unknown</x:v>
      </x:c>
      <x:c r="Y39" s="43" t="str">
        <x:v>Unknown</x:v>
      </x:c>
      <x:c r="Z39" s="43"/>
    </x:row>
    <x:row r="40" ht="60" customHeight="1">
      <x:c r="A40" s="16" t="s">
        <x:v>258</x:v>
      </x:c>
      <x:c r="B40" s="16" t="s">
        <x:v>259</x:v>
      </x:c>
      <x:c r="C40" s="16" t="s">
        <x:v>249</x:v>
      </x:c>
      <x:c r="D40" s="16" t="s">
        <x:v>260</x:v>
      </x:c>
      <x:c r="E40" s="16" t="s">
        <x:v>72</x:v>
      </x:c>
      <x:c r="F40" s="16" t="s">
        <x:v>25</x:v>
      </x:c>
      <x:c r="G40" s="16" t="s">
        <x:v>26</x:v>
      </x:c>
      <x:c r="H40" s="17" t="s">
        <x:v>261</x:v>
      </x:c>
      <x:c r="I40" s="17" t="s">
        <x:v>262</x:v>
      </x:c>
      <x:c r="J40" s="17" t="s">
        <x:v>263</x:v>
      </x:c>
      <x:c r="K40" s="17" t="s">
        <x:v>255</x:v>
      </x:c>
      <x:c r="L40" s="17" t="s">
        <x:v>58</x:v>
      </x:c>
      <x:c r="M40" s="17" t="s">
        <x:v>256</x:v>
      </x:c>
      <x:c r="N40" s="16" t="s">
        <x:v>264</x:v>
      </x:c>
      <x:c r="O40" s="18">
        <x:v>46249</x:v>
      </x:c>
      <x:c r="P40" s="19" t="s">
        <x:v>34</x:v>
      </x:c>
      <x:c r="Q40" s="17"/>
      <x:c r="R40" s="19" t="str">
        <x:f t="shared" si="0"/>
        <x:v>Source Link Present</x:v>
      </x:c>
      <x:c r="S40" s="43" t="str">
        <x:v>Unknown</x:v>
      </x:c>
      <x:c r="T40" s="43" t="str">
        <x:v>Unknown</x:v>
      </x:c>
      <x:c r="U40" s="43" t="str">
        <x:v>Unknown</x:v>
      </x:c>
      <x:c r="V40" s="43" t="str">
        <x:v>Unknown</x:v>
      </x:c>
      <x:c r="W40" s="43" t="str">
        <x:v>Unknown</x:v>
      </x:c>
      <x:c r="X40" s="43" t="str">
        <x:v>Unknown</x:v>
      </x:c>
      <x:c r="Y40" s="43" t="str">
        <x:v>Unknown</x:v>
      </x:c>
      <x:c r="Z40" s="43"/>
    </x:row>
    <x:row r="41" ht="60" customHeight="1">
      <x:c r="A41" s="16" t="s">
        <x:v>265</x:v>
      </x:c>
      <x:c r="B41" s="16" t="s">
        <x:v>266</x:v>
      </x:c>
      <x:c r="C41" s="16" t="s">
        <x:v>249</x:v>
      </x:c>
      <x:c r="D41" s="16" t="s">
        <x:v>267</x:v>
      </x:c>
      <x:c r="E41" s="16" t="s">
        <x:v>251</x:v>
      </x:c>
      <x:c r="F41" s="16" t="s">
        <x:v>25</x:v>
      </x:c>
      <x:c r="G41" s="16" t="s">
        <x:v>26</x:v>
      </x:c>
      <x:c r="H41" s="17" t="s">
        <x:v>268</x:v>
      </x:c>
      <x:c r="I41" s="17" t="s">
        <x:v>269</x:v>
      </x:c>
      <x:c r="J41" s="17" t="s">
        <x:v>270</x:v>
      </x:c>
      <x:c r="K41" s="17" t="s">
        <x:v>255</x:v>
      </x:c>
      <x:c r="L41" s="17" t="s">
        <x:v>58</x:v>
      </x:c>
      <x:c r="M41" s="17" t="s">
        <x:v>256</x:v>
      </x:c>
      <x:c r="N41" s="16" t="s">
        <x:v>271</x:v>
      </x:c>
      <x:c r="O41" s="18">
        <x:v>46249</x:v>
      </x:c>
      <x:c r="P41" s="19" t="s">
        <x:v>34</x:v>
      </x:c>
      <x:c r="Q41" s="17"/>
      <x:c r="R41" s="19" t="str">
        <x:f t="shared" si="0"/>
        <x:v>Discovery Link Only</x:v>
      </x:c>
      <x:c r="S41" s="43" t="str">
        <x:v>Unknown</x:v>
      </x:c>
      <x:c r="T41" s="43" t="str">
        <x:v>Unknown</x:v>
      </x:c>
      <x:c r="U41" s="43" t="str">
        <x:v>Unknown</x:v>
      </x:c>
      <x:c r="V41" s="43" t="str">
        <x:v>Unknown</x:v>
      </x:c>
      <x:c r="W41" s="43" t="str">
        <x:v>Unknown</x:v>
      </x:c>
      <x:c r="X41" s="43" t="str">
        <x:v>Unknown</x:v>
      </x:c>
      <x:c r="Y41" s="43" t="str">
        <x:v>Unknown</x:v>
      </x:c>
      <x:c r="Z41" s="43"/>
    </x:row>
    <x:row r="42" ht="60" customHeight="1">
      <x:c r="A42" s="16" t="s">
        <x:v>272</x:v>
      </x:c>
      <x:c r="B42" s="16" t="s">
        <x:v>273</x:v>
      </x:c>
      <x:c r="C42" s="16" t="s">
        <x:v>249</x:v>
      </x:c>
      <x:c r="D42" s="16" t="s">
        <x:v>267</x:v>
      </x:c>
      <x:c r="E42" s="16" t="s">
        <x:v>45</x:v>
      </x:c>
      <x:c r="F42" s="16" t="s">
        <x:v>25</x:v>
      </x:c>
      <x:c r="G42" s="16" t="s">
        <x:v>26</x:v>
      </x:c>
      <x:c r="H42" s="17" t="s">
        <x:v>274</x:v>
      </x:c>
      <x:c r="I42" s="17" t="s">
        <x:v>275</x:v>
      </x:c>
      <x:c r="J42" s="17" t="s">
        <x:v>276</x:v>
      </x:c>
      <x:c r="K42" s="17" t="s">
        <x:v>255</x:v>
      </x:c>
      <x:c r="L42" s="17" t="s">
        <x:v>58</x:v>
      </x:c>
      <x:c r="M42" s="17" t="s">
        <x:v>256</x:v>
      </x:c>
      <x:c r="N42" s="16" t="s">
        <x:v>277</x:v>
      </x:c>
      <x:c r="O42" s="18">
        <x:v>46249</x:v>
      </x:c>
      <x:c r="P42" s="19" t="s">
        <x:v>34</x:v>
      </x:c>
      <x:c r="Q42" s="17"/>
      <x:c r="R42" s="19" t="str">
        <x:f t="shared" si="0"/>
        <x:v>Discovery Link Only</x:v>
      </x:c>
      <x:c r="S42" s="43" t="str">
        <x:v>Unknown</x:v>
      </x:c>
      <x:c r="T42" s="43" t="str">
        <x:v>Unknown</x:v>
      </x:c>
      <x:c r="U42" s="43" t="str">
        <x:v>Unknown</x:v>
      </x:c>
      <x:c r="V42" s="43" t="str">
        <x:v>Unknown</x:v>
      </x:c>
      <x:c r="W42" s="43" t="str">
        <x:v>Unknown</x:v>
      </x:c>
      <x:c r="X42" s="43" t="str">
        <x:v>Unknown</x:v>
      </x:c>
      <x:c r="Y42" s="43" t="str">
        <x:v>Unknown</x:v>
      </x:c>
      <x:c r="Z42" s="43"/>
    </x:row>
    <x:row r="43" ht="60" customHeight="1">
      <x:c r="A43" s="16" t="s">
        <x:v>278</x:v>
      </x:c>
      <x:c r="B43" s="16" t="s">
        <x:v>279</x:v>
      </x:c>
      <x:c r="C43" s="16" t="s">
        <x:v>249</x:v>
      </x:c>
      <x:c r="D43" s="16" t="s">
        <x:v>267</x:v>
      </x:c>
      <x:c r="E43" s="16" t="s">
        <x:v>72</x:v>
      </x:c>
      <x:c r="F43" s="16" t="s">
        <x:v>25</x:v>
      </x:c>
      <x:c r="G43" s="16" t="s">
        <x:v>26</x:v>
      </x:c>
      <x:c r="H43" s="17" t="s">
        <x:v>280</x:v>
      </x:c>
      <x:c r="I43" s="17" t="s">
        <x:v>281</x:v>
      </x:c>
      <x:c r="J43" s="17" t="s">
        <x:v>282</x:v>
      </x:c>
      <x:c r="K43" s="17" t="s">
        <x:v>255</x:v>
      </x:c>
      <x:c r="L43" s="17" t="s">
        <x:v>58</x:v>
      </x:c>
      <x:c r="M43" s="17" t="s">
        <x:v>256</x:v>
      </x:c>
      <x:c r="N43" s="16" t="s">
        <x:v>283</x:v>
      </x:c>
      <x:c r="O43" s="18">
        <x:v>46249</x:v>
      </x:c>
      <x:c r="P43" s="19" t="s">
        <x:v>34</x:v>
      </x:c>
      <x:c r="Q43" s="17"/>
      <x:c r="R43" s="19" t="str">
        <x:f t="shared" si="0"/>
        <x:v>Discovery Link Only</x:v>
      </x:c>
      <x:c r="S43" s="43" t="str">
        <x:v>Unknown</x:v>
      </x:c>
      <x:c r="T43" s="43" t="str">
        <x:v>Unknown</x:v>
      </x:c>
      <x:c r="U43" s="43" t="str">
        <x:v>Unknown</x:v>
      </x:c>
      <x:c r="V43" s="43" t="str">
        <x:v>Unknown</x:v>
      </x:c>
      <x:c r="W43" s="43" t="str">
        <x:v>Unknown</x:v>
      </x:c>
      <x:c r="X43" s="43" t="str">
        <x:v>Unknown</x:v>
      </x:c>
      <x:c r="Y43" s="43" t="str">
        <x:v>Unknown</x:v>
      </x:c>
      <x:c r="Z43" s="43"/>
    </x:row>
    <x:row r="44" ht="60" customHeight="1">
      <x:c r="A44" s="16" t="s">
        <x:v>284</x:v>
      </x:c>
      <x:c r="B44" s="16" t="s">
        <x:v>285</x:v>
      </x:c>
      <x:c r="C44" s="16" t="s">
        <x:v>249</x:v>
      </x:c>
      <x:c r="D44" s="16" t="s">
        <x:v>267</x:v>
      </x:c>
      <x:c r="E44" s="16" t="s">
        <x:v>37</x:v>
      </x:c>
      <x:c r="F44" s="16" t="s">
        <x:v>25</x:v>
      </x:c>
      <x:c r="G44" s="16" t="s">
        <x:v>46</x:v>
      </x:c>
      <x:c r="H44" s="17" t="s">
        <x:v>286</x:v>
      </x:c>
      <x:c r="I44" s="17" t="s">
        <x:v>287</x:v>
      </x:c>
      <x:c r="J44" s="17" t="s">
        <x:v>288</x:v>
      </x:c>
      <x:c r="K44" s="17" t="s">
        <x:v>255</x:v>
      </x:c>
      <x:c r="L44" s="17" t="s">
        <x:v>58</x:v>
      </x:c>
      <x:c r="M44" s="17" t="s">
        <x:v>256</x:v>
      </x:c>
      <x:c r="N44" s="16" t="s">
        <x:v>289</x:v>
      </x:c>
      <x:c r="O44" s="18">
        <x:v>46249</x:v>
      </x:c>
      <x:c r="P44" s="19" t="s">
        <x:v>34</x:v>
      </x:c>
      <x:c r="Q44" s="17"/>
      <x:c r="R44" s="19" t="str">
        <x:f t="shared" si="0"/>
        <x:v>Discovery Link Only</x:v>
      </x:c>
      <x:c r="S44" s="43" t="str">
        <x:v>Unknown</x:v>
      </x:c>
      <x:c r="T44" s="43" t="str">
        <x:v>Unknown</x:v>
      </x:c>
      <x:c r="U44" s="43" t="str">
        <x:v>Unknown</x:v>
      </x:c>
      <x:c r="V44" s="43" t="str">
        <x:v>Unknown</x:v>
      </x:c>
      <x:c r="W44" s="43" t="str">
        <x:v>Unknown</x:v>
      </x:c>
      <x:c r="X44" s="43" t="str">
        <x:v>Unknown</x:v>
      </x:c>
      <x:c r="Y44" s="43" t="str">
        <x:v>Unknown</x:v>
      </x:c>
      <x:c r="Z44" s="43"/>
    </x:row>
    <x:row r="45" ht="60" customHeight="1">
      <x:c r="A45" s="16" t="s">
        <x:v>290</x:v>
      </x:c>
      <x:c r="B45" s="16" t="s">
        <x:v>291</x:v>
      </x:c>
      <x:c r="C45" s="16" t="s">
        <x:v>249</x:v>
      </x:c>
      <x:c r="D45" s="16" t="s">
        <x:v>267</x:v>
      </x:c>
      <x:c r="E45" s="16" t="s">
        <x:v>54</x:v>
      </x:c>
      <x:c r="F45" s="16" t="s">
        <x:v>25</x:v>
      </x:c>
      <x:c r="G45" s="16" t="s">
        <x:v>134</x:v>
      </x:c>
      <x:c r="H45" s="17" t="s">
        <x:v>292</x:v>
      </x:c>
      <x:c r="I45" s="17" t="s">
        <x:v>293</x:v>
      </x:c>
      <x:c r="J45" s="17" t="s">
        <x:v>294</x:v>
      </x:c>
      <x:c r="K45" s="17" t="s">
        <x:v>255</x:v>
      </x:c>
      <x:c r="L45" s="17" t="s">
        <x:v>58</x:v>
      </x:c>
      <x:c r="M45" s="17" t="s">
        <x:v>256</x:v>
      </x:c>
      <x:c r="N45" s="16" t="s">
        <x:v>295</x:v>
      </x:c>
      <x:c r="O45" s="18">
        <x:v>46249</x:v>
      </x:c>
      <x:c r="P45" s="19" t="s">
        <x:v>34</x:v>
      </x:c>
      <x:c r="Q45" s="17"/>
      <x:c r="R45" s="19" t="str">
        <x:f t="shared" si="0"/>
        <x:v>Discovery Link Only</x:v>
      </x:c>
      <x:c r="S45" s="43" t="str">
        <x:v>Unknown</x:v>
      </x:c>
      <x:c r="T45" s="43" t="str">
        <x:v>Unknown</x:v>
      </x:c>
      <x:c r="U45" s="43" t="str">
        <x:v>Unknown</x:v>
      </x:c>
      <x:c r="V45" s="43" t="str">
        <x:v>Unknown</x:v>
      </x:c>
      <x:c r="W45" s="43" t="str">
        <x:v>Unknown</x:v>
      </x:c>
      <x:c r="X45" s="43" t="str">
        <x:v>Unknown</x:v>
      </x:c>
      <x:c r="Y45" s="43" t="str">
        <x:v>Unknown</x:v>
      </x:c>
      <x:c r="Z45" s="43"/>
    </x:row>
    <x:row r="46" ht="60" customHeight="1">
      <x:c r="A46" s="16" t="s">
        <x:v>296</x:v>
      </x:c>
      <x:c r="B46" s="16" t="s">
        <x:v>297</x:v>
      </x:c>
      <x:c r="C46" s="16" t="s">
        <x:v>249</x:v>
      </x:c>
      <x:c r="D46" s="16" t="s">
        <x:v>298</x:v>
      </x:c>
      <x:c r="E46" s="16" t="s">
        <x:v>133</x:v>
      </x:c>
      <x:c r="F46" s="16" t="s">
        <x:v>25</x:v>
      </x:c>
      <x:c r="G46" s="16" t="s">
        <x:v>46</x:v>
      </x:c>
      <x:c r="H46" s="17" t="s">
        <x:v>299</x:v>
      </x:c>
      <x:c r="I46" s="17" t="s">
        <x:v>300</x:v>
      </x:c>
      <x:c r="J46" s="17" t="s">
        <x:v>301</x:v>
      </x:c>
      <x:c r="K46" s="17" t="s">
        <x:v>255</x:v>
      </x:c>
      <x:c r="L46" s="17" t="s">
        <x:v>58</x:v>
      </x:c>
      <x:c r="M46" s="17" t="s">
        <x:v>256</x:v>
      </x:c>
      <x:c r="N46" s="16" t="s">
        <x:v>302</x:v>
      </x:c>
      <x:c r="O46" s="18">
        <x:v>46249</x:v>
      </x:c>
      <x:c r="P46" s="19" t="s">
        <x:v>34</x:v>
      </x:c>
      <x:c r="Q46" s="17"/>
      <x:c r="R46" s="19" t="str">
        <x:f t="shared" si="0"/>
        <x:v>Discovery Link Only</x:v>
      </x:c>
      <x:c r="S46" s="43" t="str">
        <x:v>Unknown</x:v>
      </x:c>
      <x:c r="T46" s="43" t="str">
        <x:v>Unknown</x:v>
      </x:c>
      <x:c r="U46" s="43" t="str">
        <x:v>Unknown</x:v>
      </x:c>
      <x:c r="V46" s="43" t="str">
        <x:v>Unknown</x:v>
      </x:c>
      <x:c r="W46" s="43" t="str">
        <x:v>Unknown</x:v>
      </x:c>
      <x:c r="X46" s="43" t="str">
        <x:v>Unknown</x:v>
      </x:c>
      <x:c r="Y46" s="43" t="str">
        <x:v>Unknown</x:v>
      </x:c>
      <x:c r="Z46" s="43"/>
    </x:row>
    <x:row r="47" ht="60" customHeight="1">
      <x:c r="A47" s="16" t="s">
        <x:v>303</x:v>
      </x:c>
      <x:c r="B47" s="16" t="s">
        <x:v>304</x:v>
      </x:c>
      <x:c r="C47" s="16" t="s">
        <x:v>249</x:v>
      </x:c>
      <x:c r="D47" s="16" t="s">
        <x:v>305</x:v>
      </x:c>
      <x:c r="E47" s="16" t="s">
        <x:v>45</x:v>
      </x:c>
      <x:c r="F47" s="16" t="s">
        <x:v>25</x:v>
      </x:c>
      <x:c r="G47" s="16" t="s">
        <x:v>26</x:v>
      </x:c>
      <x:c r="H47" s="17" t="s">
        <x:v>306</x:v>
      </x:c>
      <x:c r="I47" s="17" t="s">
        <x:v>307</x:v>
      </x:c>
      <x:c r="J47" s="17" t="s">
        <x:v>308</x:v>
      </x:c>
      <x:c r="K47" s="17" t="s">
        <x:v>255</x:v>
      </x:c>
      <x:c r="L47" s="17" t="s">
        <x:v>58</x:v>
      </x:c>
      <x:c r="M47" s="17" t="s">
        <x:v>256</x:v>
      </x:c>
      <x:c r="N47" s="16" t="s">
        <x:v>309</x:v>
      </x:c>
      <x:c r="O47" s="18">
        <x:v>46249</x:v>
      </x:c>
      <x:c r="P47" s="19" t="s">
        <x:v>34</x:v>
      </x:c>
      <x:c r="Q47" s="17"/>
      <x:c r="R47" s="19" t="str">
        <x:f t="shared" si="0"/>
        <x:v>Discovery Link Only</x:v>
      </x:c>
      <x:c r="S47" s="43" t="str">
        <x:v>Unknown</x:v>
      </x:c>
      <x:c r="T47" s="43" t="str">
        <x:v>Unknown</x:v>
      </x:c>
      <x:c r="U47" s="43" t="str">
        <x:v>Unknown</x:v>
      </x:c>
      <x:c r="V47" s="43" t="str">
        <x:v>Unknown</x:v>
      </x:c>
      <x:c r="W47" s="43" t="str">
        <x:v>Unknown</x:v>
      </x:c>
      <x:c r="X47" s="43" t="str">
        <x:v>Unknown</x:v>
      </x:c>
      <x:c r="Y47" s="43" t="str">
        <x:v>Unknown</x:v>
      </x:c>
      <x:c r="Z47" s="43"/>
    </x:row>
    <x:row r="48" ht="60" customHeight="1">
      <x:c r="A48" s="16" t="s">
        <x:v>310</x:v>
      </x:c>
      <x:c r="B48" s="16" t="s">
        <x:v>311</x:v>
      </x:c>
      <x:c r="C48" s="16" t="s">
        <x:v>249</x:v>
      </x:c>
      <x:c r="D48" s="16" t="s">
        <x:v>312</x:v>
      </x:c>
      <x:c r="E48" s="16" t="s">
        <x:v>151</x:v>
      </x:c>
      <x:c r="F48" s="16" t="s">
        <x:v>121</x:v>
      </x:c>
      <x:c r="G48" s="16" t="s">
        <x:v>46</x:v>
      </x:c>
      <x:c r="H48" s="17" t="s">
        <x:v>313</x:v>
      </x:c>
      <x:c r="I48" s="17" t="s">
        <x:v>314</x:v>
      </x:c>
      <x:c r="J48" s="17" t="s">
        <x:v>315</x:v>
      </x:c>
      <x:c r="K48" s="17" t="s">
        <x:v>255</x:v>
      </x:c>
      <x:c r="L48" s="17" t="s">
        <x:v>58</x:v>
      </x:c>
      <x:c r="M48" s="17" t="s">
        <x:v>256</x:v>
      </x:c>
      <x:c r="N48" s="16" t="s">
        <x:v>316</x:v>
      </x:c>
      <x:c r="O48" s="18">
        <x:v>46249</x:v>
      </x:c>
      <x:c r="P48" s="19" t="s">
        <x:v>34</x:v>
      </x:c>
      <x:c r="Q48" s="17"/>
      <x:c r="R48" s="19" t="str">
        <x:f t="shared" si="0"/>
        <x:v>Discovery Link Only</x:v>
      </x:c>
      <x:c r="S48" s="43" t="str">
        <x:v>Unknown</x:v>
      </x:c>
      <x:c r="T48" s="43" t="str">
        <x:v>Unknown</x:v>
      </x:c>
      <x:c r="U48" s="43" t="str">
        <x:v>Unknown</x:v>
      </x:c>
      <x:c r="V48" s="43" t="str">
        <x:v>Unknown</x:v>
      </x:c>
      <x:c r="W48" s="43" t="str">
        <x:v>Unknown</x:v>
      </x:c>
      <x:c r="X48" s="43" t="str">
        <x:v>Unknown</x:v>
      </x:c>
      <x:c r="Y48" s="43" t="str">
        <x:v>Unknown</x:v>
      </x:c>
      <x:c r="Z48" s="43"/>
    </x:row>
    <x:row r="49" ht="60" customHeight="1">
      <x:c r="A49" s="16" t="s">
        <x:v>317</x:v>
      </x:c>
      <x:c r="B49" s="16" t="s">
        <x:v>318</x:v>
      </x:c>
      <x:c r="C49" s="16" t="s">
        <x:v>249</x:v>
      </x:c>
      <x:c r="D49" s="16" t="s">
        <x:v>267</x:v>
      </x:c>
      <x:c r="E49" s="16" t="s">
        <x:v>45</x:v>
      </x:c>
      <x:c r="F49" s="16" t="s">
        <x:v>107</x:v>
      </x:c>
      <x:c r="G49" s="16" t="s">
        <x:v>26</x:v>
      </x:c>
      <x:c r="H49" s="17" t="s">
        <x:v>319</x:v>
      </x:c>
      <x:c r="I49" s="17" t="s">
        <x:v>320</x:v>
      </x:c>
      <x:c r="J49" s="17" t="s">
        <x:v>321</x:v>
      </x:c>
      <x:c r="K49" s="17" t="s">
        <x:v>255</x:v>
      </x:c>
      <x:c r="L49" s="17" t="s">
        <x:v>111</x:v>
      </x:c>
      <x:c r="M49" s="17" t="s">
        <x:v>322</x:v>
      </x:c>
      <x:c r="N49" s="16"/>
      <x:c r="O49" s="18">
        <x:v>46249</x:v>
      </x:c>
      <x:c r="P49" s="19" t="s">
        <x:v>34</x:v>
      </x:c>
      <x:c r="Q49" s="17"/>
      <x:c r="R49" s="19" t="str">
        <x:f t="shared" si="0"/>
        <x:v>Discovery Link Only</x:v>
      </x:c>
      <x:c r="S49" s="43" t="str">
        <x:v>Unknown</x:v>
      </x:c>
      <x:c r="T49" s="43" t="str">
        <x:v>Unknown</x:v>
      </x:c>
      <x:c r="U49" s="43" t="str">
        <x:v>Unknown</x:v>
      </x:c>
      <x:c r="V49" s="43" t="str">
        <x:v>Unknown</x:v>
      </x:c>
      <x:c r="W49" s="43" t="str">
        <x:v>Unknown</x:v>
      </x:c>
      <x:c r="X49" s="43" t="str">
        <x:v>Unknown</x:v>
      </x:c>
      <x:c r="Y49" s="43" t="str">
        <x:v>Unknown</x:v>
      </x:c>
      <x:c r="Z49" s="43"/>
    </x:row>
    <x:row r="50" ht="60" customHeight="1">
      <x:c r="A50" s="16" t="s">
        <x:v>323</x:v>
      </x:c>
      <x:c r="B50" s="16" t="s">
        <x:v>324</x:v>
      </x:c>
      <x:c r="C50" s="16" t="s">
        <x:v>249</x:v>
      </x:c>
      <x:c r="D50" s="16" t="s">
        <x:v>267</x:v>
      </x:c>
      <x:c r="E50" s="16" t="s">
        <x:v>45</x:v>
      </x:c>
      <x:c r="F50" s="16" t="s">
        <x:v>107</x:v>
      </x:c>
      <x:c r="G50" s="16" t="s">
        <x:v>26</x:v>
      </x:c>
      <x:c r="H50" s="17" t="s">
        <x:v>325</x:v>
      </x:c>
      <x:c r="I50" s="17" t="s">
        <x:v>326</x:v>
      </x:c>
      <x:c r="J50" s="17" t="s">
        <x:v>327</x:v>
      </x:c>
      <x:c r="K50" s="17" t="s">
        <x:v>255</x:v>
      </x:c>
      <x:c r="L50" s="17" t="s">
        <x:v>111</x:v>
      </x:c>
      <x:c r="M50" s="17" t="s">
        <x:v>322</x:v>
      </x:c>
      <x:c r="N50" s="16"/>
      <x:c r="O50" s="18">
        <x:v>46249</x:v>
      </x:c>
      <x:c r="P50" s="19" t="s">
        <x:v>34</x:v>
      </x:c>
      <x:c r="Q50" s="17"/>
      <x:c r="R50" s="19" t="str">
        <x:f t="shared" si="0"/>
        <x:v>Discovery Link Only</x:v>
      </x:c>
      <x:c r="S50" s="43" t="str">
        <x:v>Unknown</x:v>
      </x:c>
      <x:c r="T50" s="43" t="str">
        <x:v>Unknown</x:v>
      </x:c>
      <x:c r="U50" s="43" t="str">
        <x:v>Unknown</x:v>
      </x:c>
      <x:c r="V50" s="43" t="str">
        <x:v>Unknown</x:v>
      </x:c>
      <x:c r="W50" s="43" t="str">
        <x:v>Unknown</x:v>
      </x:c>
      <x:c r="X50" s="43" t="str">
        <x:v>Unknown</x:v>
      </x:c>
      <x:c r="Y50" s="43" t="str">
        <x:v>Unknown</x:v>
      </x:c>
      <x:c r="Z50" s="43"/>
    </x:row>
    <x:row r="51" ht="60" customHeight="1">
      <x:c r="A51" s="16" t="s">
        <x:v>328</x:v>
      </x:c>
      <x:c r="B51" s="16" t="s">
        <x:v>329</x:v>
      </x:c>
      <x:c r="C51" s="16" t="s">
        <x:v>249</x:v>
      </x:c>
      <x:c r="D51" s="16" t="s">
        <x:v>267</x:v>
      </x:c>
      <x:c r="E51" s="16" t="s">
        <x:v>72</x:v>
      </x:c>
      <x:c r="F51" s="16" t="s">
        <x:v>107</x:v>
      </x:c>
      <x:c r="G51" s="16" t="s">
        <x:v>26</x:v>
      </x:c>
      <x:c r="H51" s="17" t="s">
        <x:v>330</x:v>
      </x:c>
      <x:c r="I51" s="17" t="s">
        <x:v>331</x:v>
      </x:c>
      <x:c r="J51" s="17" t="s">
        <x:v>332</x:v>
      </x:c>
      <x:c r="K51" s="17" t="s">
        <x:v>255</x:v>
      </x:c>
      <x:c r="L51" s="17" t="s">
        <x:v>111</x:v>
      </x:c>
      <x:c r="M51" s="17" t="s">
        <x:v>322</x:v>
      </x:c>
      <x:c r="N51" s="16"/>
      <x:c r="O51" s="18">
        <x:v>46249</x:v>
      </x:c>
      <x:c r="P51" s="19" t="s">
        <x:v>34</x:v>
      </x:c>
      <x:c r="Q51" s="17"/>
      <x:c r="R51" s="19" t="str">
        <x:f t="shared" si="0"/>
        <x:v>Discovery Link Only</x:v>
      </x:c>
      <x:c r="S51" s="43" t="str">
        <x:v>Unknown</x:v>
      </x:c>
      <x:c r="T51" s="43" t="str">
        <x:v>Unknown</x:v>
      </x:c>
      <x:c r="U51" s="43" t="str">
        <x:v>Unknown</x:v>
      </x:c>
      <x:c r="V51" s="43" t="str">
        <x:v>Unknown</x:v>
      </x:c>
      <x:c r="W51" s="43" t="str">
        <x:v>Unknown</x:v>
      </x:c>
      <x:c r="X51" s="43" t="str">
        <x:v>Unknown</x:v>
      </x:c>
      <x:c r="Y51" s="43" t="str">
        <x:v>Unknown</x:v>
      </x:c>
      <x:c r="Z51" s="43"/>
    </x:row>
    <x:row r="52" ht="60" customHeight="1">
      <x:c r="A52" s="16" t="s">
        <x:v>333</x:v>
      </x:c>
      <x:c r="B52" s="16" t="s">
        <x:v>334</x:v>
      </x:c>
      <x:c r="C52" s="16" t="s">
        <x:v>249</x:v>
      </x:c>
      <x:c r="D52" s="16" t="s">
        <x:v>267</x:v>
      </x:c>
      <x:c r="E52" s="16" t="s">
        <x:v>72</x:v>
      </x:c>
      <x:c r="F52" s="16" t="s">
        <x:v>127</x:v>
      </x:c>
      <x:c r="G52" s="16" t="s">
        <x:v>26</x:v>
      </x:c>
      <x:c r="H52" s="17" t="s">
        <x:v>335</x:v>
      </x:c>
      <x:c r="I52" s="17" t="s">
        <x:v>336</x:v>
      </x:c>
      <x:c r="J52" s="17" t="s">
        <x:v>337</x:v>
      </x:c>
      <x:c r="K52" s="17" t="s">
        <x:v>255</x:v>
      </x:c>
      <x:c r="L52" s="17" t="s">
        <x:v>111</x:v>
      </x:c>
      <x:c r="M52" s="17" t="s">
        <x:v>322</x:v>
      </x:c>
      <x:c r="N52" s="16"/>
      <x:c r="O52" s="18">
        <x:v>46249</x:v>
      </x:c>
      <x:c r="P52" s="19" t="s">
        <x:v>34</x:v>
      </x:c>
      <x:c r="Q52" s="17"/>
      <x:c r="R52" s="19" t="str">
        <x:f t="shared" si="0"/>
        <x:v>Discovery Link Only</x:v>
      </x:c>
      <x:c r="S52" s="43" t="str">
        <x:v>Unknown</x:v>
      </x:c>
      <x:c r="T52" s="43" t="str">
        <x:v>Unknown</x:v>
      </x:c>
      <x:c r="U52" s="43" t="str">
        <x:v>Unknown</x:v>
      </x:c>
      <x:c r="V52" s="43" t="str">
        <x:v>Unknown</x:v>
      </x:c>
      <x:c r="W52" s="43" t="str">
        <x:v>Unknown</x:v>
      </x:c>
      <x:c r="X52" s="43" t="str">
        <x:v>Unknown</x:v>
      </x:c>
      <x:c r="Y52" s="43" t="str">
        <x:v>Unknown</x:v>
      </x:c>
      <x:c r="Z52" s="43"/>
    </x:row>
    <x:row r="53" ht="60" customHeight="1">
      <x:c r="A53" s="16" t="s">
        <x:v>338</x:v>
      </x:c>
      <x:c r="B53" s="16" t="s">
        <x:v>339</x:v>
      </x:c>
      <x:c r="C53" s="16" t="s">
        <x:v>249</x:v>
      </x:c>
      <x:c r="D53" s="16" t="s">
        <x:v>267</x:v>
      </x:c>
      <x:c r="E53" s="16" t="s">
        <x:v>99</x:v>
      </x:c>
      <x:c r="F53" s="16" t="s">
        <x:v>121</x:v>
      </x:c>
      <x:c r="G53" s="16" t="s">
        <x:v>46</x:v>
      </x:c>
      <x:c r="H53" s="17" t="s">
        <x:v>340</x:v>
      </x:c>
      <x:c r="I53" s="17" t="s">
        <x:v>341</x:v>
      </x:c>
      <x:c r="J53" s="17" t="s">
        <x:v>342</x:v>
      </x:c>
      <x:c r="K53" s="17" t="s">
        <x:v>255</x:v>
      </x:c>
      <x:c r="L53" s="17" t="s">
        <x:v>111</x:v>
      </x:c>
      <x:c r="M53" s="17" t="s">
        <x:v>322</x:v>
      </x:c>
      <x:c r="N53" s="16"/>
      <x:c r="O53" s="18">
        <x:v>46249</x:v>
      </x:c>
      <x:c r="P53" s="19" t="s">
        <x:v>34</x:v>
      </x:c>
      <x:c r="Q53" s="17"/>
      <x:c r="R53" s="19" t="str">
        <x:f t="shared" si="0"/>
        <x:v>Discovery Link Only</x:v>
      </x:c>
      <x:c r="S53" s="43" t="str">
        <x:v>Unknown</x:v>
      </x:c>
      <x:c r="T53" s="43" t="str">
        <x:v>Unknown</x:v>
      </x:c>
      <x:c r="U53" s="43" t="str">
        <x:v>Unknown</x:v>
      </x:c>
      <x:c r="V53" s="43" t="str">
        <x:v>Unknown</x:v>
      </x:c>
      <x:c r="W53" s="43" t="str">
        <x:v>Unknown</x:v>
      </x:c>
      <x:c r="X53" s="43" t="str">
        <x:v>Unknown</x:v>
      </x:c>
      <x:c r="Y53" s="43" t="str">
        <x:v>Unknown</x:v>
      </x:c>
      <x:c r="Z53" s="43"/>
    </x:row>
    <x:row r="54" ht="60" customHeight="1">
      <x:c r="A54" s="16" t="s">
        <x:v>343</x:v>
      </x:c>
      <x:c r="B54" s="16" t="s">
        <x:v>344</x:v>
      </x:c>
      <x:c r="C54" s="16" t="s">
        <x:v>249</x:v>
      </x:c>
      <x:c r="D54" s="16" t="s">
        <x:v>267</x:v>
      </x:c>
      <x:c r="E54" s="16" t="s">
        <x:v>162</x:v>
      </x:c>
      <x:c r="F54" s="16" t="s">
        <x:v>121</x:v>
      </x:c>
      <x:c r="G54" s="16" t="s">
        <x:v>46</x:v>
      </x:c>
      <x:c r="H54" s="17" t="s">
        <x:v>163</x:v>
      </x:c>
      <x:c r="I54" s="17" t="s">
        <x:v>345</x:v>
      </x:c>
      <x:c r="J54" s="17" t="s">
        <x:v>346</x:v>
      </x:c>
      <x:c r="K54" s="17" t="s">
        <x:v>255</x:v>
      </x:c>
      <x:c r="L54" s="17" t="s">
        <x:v>111</x:v>
      </x:c>
      <x:c r="M54" s="17" t="s">
        <x:v>322</x:v>
      </x:c>
      <x:c r="N54" s="16"/>
      <x:c r="O54" s="18">
        <x:v>46249</x:v>
      </x:c>
      <x:c r="P54" s="19" t="s">
        <x:v>34</x:v>
      </x:c>
      <x:c r="Q54" s="17"/>
      <x:c r="R54" s="19" t="str">
        <x:f t="shared" si="0"/>
        <x:v>Discovery Link Only</x:v>
      </x:c>
      <x:c r="S54" s="43" t="str">
        <x:v>Unknown</x:v>
      </x:c>
      <x:c r="T54" s="43" t="str">
        <x:v>Unknown</x:v>
      </x:c>
      <x:c r="U54" s="43" t="str">
        <x:v>Unknown</x:v>
      </x:c>
      <x:c r="V54" s="43" t="str">
        <x:v>Unknown</x:v>
      </x:c>
      <x:c r="W54" s="43" t="str">
        <x:v>Unknown</x:v>
      </x:c>
      <x:c r="X54" s="43" t="str">
        <x:v>Unknown</x:v>
      </x:c>
      <x:c r="Y54" s="43" t="str">
        <x:v>Unknown</x:v>
      </x:c>
      <x:c r="Z54" s="43"/>
    </x:row>
    <x:row r="55" ht="60" customHeight="1">
      <x:c r="A55" s="16" t="s">
        <x:v>347</x:v>
      </x:c>
      <x:c r="B55" s="16" t="s">
        <x:v>348</x:v>
      </x:c>
      <x:c r="C55" s="16" t="s">
        <x:v>249</x:v>
      </x:c>
      <x:c r="D55" s="16" t="s">
        <x:v>312</x:v>
      </x:c>
      <x:c r="E55" s="16" t="s">
        <x:v>106</x:v>
      </x:c>
      <x:c r="F55" s="16" t="s">
        <x:v>107</x:v>
      </x:c>
      <x:c r="G55" s="16" t="s">
        <x:v>46</x:v>
      </x:c>
      <x:c r="H55" s="17" t="s">
        <x:v>349</x:v>
      </x:c>
      <x:c r="I55" s="17" t="s">
        <x:v>350</x:v>
      </x:c>
      <x:c r="J55" s="17" t="s">
        <x:v>351</x:v>
      </x:c>
      <x:c r="K55" s="17" t="s">
        <x:v>255</x:v>
      </x:c>
      <x:c r="L55" s="17" t="s">
        <x:v>111</x:v>
      </x:c>
      <x:c r="M55" s="17" t="s">
        <x:v>322</x:v>
      </x:c>
      <x:c r="N55" s="16"/>
      <x:c r="O55" s="18">
        <x:v>46249</x:v>
      </x:c>
      <x:c r="P55" s="19" t="s">
        <x:v>34</x:v>
      </x:c>
      <x:c r="Q55" s="17"/>
      <x:c r="R55" s="19" t="str">
        <x:f t="shared" si="0"/>
        <x:v>Discovery Link Only</x:v>
      </x:c>
      <x:c r="S55" s="43" t="str">
        <x:v>Unknown</x:v>
      </x:c>
      <x:c r="T55" s="43" t="str">
        <x:v>Unknown</x:v>
      </x:c>
      <x:c r="U55" s="43" t="str">
        <x:v>Unknown</x:v>
      </x:c>
      <x:c r="V55" s="43" t="str">
        <x:v>Unknown</x:v>
      </x:c>
      <x:c r="W55" s="43" t="str">
        <x:v>Unknown</x:v>
      </x:c>
      <x:c r="X55" s="43" t="str">
        <x:v>Unknown</x:v>
      </x:c>
      <x:c r="Y55" s="43" t="str">
        <x:v>Unknown</x:v>
      </x:c>
      <x:c r="Z55" s="43"/>
    </x:row>
    <x:row r="56" ht="60" customHeight="1">
      <x:c r="A56" s="16" t="s">
        <x:v>352</x:v>
      </x:c>
      <x:c r="B56" s="16" t="s">
        <x:v>353</x:v>
      </x:c>
      <x:c r="C56" s="16" t="s">
        <x:v>249</x:v>
      </x:c>
      <x:c r="D56" s="16" t="s">
        <x:v>312</x:v>
      </x:c>
      <x:c r="E56" s="16" t="s">
        <x:v>115</x:v>
      </x:c>
      <x:c r="F56" s="16" t="s">
        <x:v>127</x:v>
      </x:c>
      <x:c r="G56" s="16" t="s">
        <x:v>46</x:v>
      </x:c>
      <x:c r="H56" s="17" t="s">
        <x:v>354</x:v>
      </x:c>
      <x:c r="I56" s="17" t="s">
        <x:v>355</x:v>
      </x:c>
      <x:c r="J56" s="17" t="s">
        <x:v>356</x:v>
      </x:c>
      <x:c r="K56" s="17" t="s">
        <x:v>255</x:v>
      </x:c>
      <x:c r="L56" s="17" t="s">
        <x:v>111</x:v>
      </x:c>
      <x:c r="M56" s="17" t="s">
        <x:v>322</x:v>
      </x:c>
      <x:c r="N56" s="16"/>
      <x:c r="O56" s="18">
        <x:v>46249</x:v>
      </x:c>
      <x:c r="P56" s="19" t="s">
        <x:v>34</x:v>
      </x:c>
      <x:c r="Q56" s="17"/>
      <x:c r="R56" s="19" t="str">
        <x:f t="shared" si="0"/>
        <x:v>Discovery Link Only</x:v>
      </x:c>
      <x:c r="S56" s="43" t="str">
        <x:v>Unknown</x:v>
      </x:c>
      <x:c r="T56" s="43" t="str">
        <x:v>Unknown</x:v>
      </x:c>
      <x:c r="U56" s="43" t="str">
        <x:v>Unknown</x:v>
      </x:c>
      <x:c r="V56" s="43" t="str">
        <x:v>Unknown</x:v>
      </x:c>
      <x:c r="W56" s="43" t="str">
        <x:v>Unknown</x:v>
      </x:c>
      <x:c r="X56" s="43" t="str">
        <x:v>Unknown</x:v>
      </x:c>
      <x:c r="Y56" s="43" t="str">
        <x:v>Unknown</x:v>
      </x:c>
      <x:c r="Z56" s="43"/>
    </x:row>
    <x:row r="57" ht="60" customHeight="1">
      <x:c r="A57" s="16" t="s">
        <x:v>357</x:v>
      </x:c>
      <x:c r="B57" s="16" t="s">
        <x:v>358</x:v>
      </x:c>
      <x:c r="C57" s="16" t="s">
        <x:v>249</x:v>
      </x:c>
      <x:c r="D57" s="16" t="s">
        <x:v>312</x:v>
      </x:c>
      <x:c r="E57" s="16" t="s">
        <x:v>151</x:v>
      </x:c>
      <x:c r="F57" s="16" t="s">
        <x:v>121</x:v>
      </x:c>
      <x:c r="G57" s="16" t="s">
        <x:v>134</x:v>
      </x:c>
      <x:c r="H57" s="17" t="s">
        <x:v>359</x:v>
      </x:c>
      <x:c r="I57" s="17" t="s">
        <x:v>360</x:v>
      </x:c>
      <x:c r="J57" s="17" t="s">
        <x:v>361</x:v>
      </x:c>
      <x:c r="K57" s="17" t="s">
        <x:v>255</x:v>
      </x:c>
      <x:c r="L57" s="17" t="s">
        <x:v>111</x:v>
      </x:c>
      <x:c r="M57" s="17" t="s">
        <x:v>322</x:v>
      </x:c>
      <x:c r="N57" s="16"/>
      <x:c r="O57" s="18">
        <x:v>46249</x:v>
      </x:c>
      <x:c r="P57" s="19" t="s">
        <x:v>34</x:v>
      </x:c>
      <x:c r="Q57" s="17"/>
      <x:c r="R57" s="19" t="str">
        <x:f t="shared" si="0"/>
        <x:v>Discovery Link Only</x:v>
      </x:c>
      <x:c r="S57" s="43" t="str">
        <x:v>Unknown</x:v>
      </x:c>
      <x:c r="T57" s="43" t="str">
        <x:v>Unknown</x:v>
      </x:c>
      <x:c r="U57" s="43" t="str">
        <x:v>Unknown</x:v>
      </x:c>
      <x:c r="V57" s="43" t="str">
        <x:v>Unknown</x:v>
      </x:c>
      <x:c r="W57" s="43" t="str">
        <x:v>Unknown</x:v>
      </x:c>
      <x:c r="X57" s="43" t="str">
        <x:v>Unknown</x:v>
      </x:c>
      <x:c r="Y57" s="43" t="str">
        <x:v>Unknown</x:v>
      </x:c>
      <x:c r="Z57" s="43"/>
    </x:row>
    <x:row r="58" ht="60" customHeight="1">
      <x:c r="A58" s="16" t="s">
        <x:v>362</x:v>
      </x:c>
      <x:c r="B58" s="16" t="s">
        <x:v>363</x:v>
      </x:c>
      <x:c r="C58" s="16" t="s">
        <x:v>249</x:v>
      </x:c>
      <x:c r="D58" s="16" t="s">
        <x:v>312</x:v>
      </x:c>
      <x:c r="E58" s="16" t="s">
        <x:v>133</x:v>
      </x:c>
      <x:c r="F58" s="16" t="s">
        <x:v>121</x:v>
      </x:c>
      <x:c r="G58" s="16" t="s">
        <x:v>134</x:v>
      </x:c>
      <x:c r="H58" s="17" t="s">
        <x:v>364</x:v>
      </x:c>
      <x:c r="I58" s="17" t="s">
        <x:v>365</x:v>
      </x:c>
      <x:c r="J58" s="17" t="s">
        <x:v>366</x:v>
      </x:c>
      <x:c r="K58" s="17" t="s">
        <x:v>255</x:v>
      </x:c>
      <x:c r="L58" s="17" t="s">
        <x:v>111</x:v>
      </x:c>
      <x:c r="M58" s="17" t="s">
        <x:v>322</x:v>
      </x:c>
      <x:c r="N58" s="16"/>
      <x:c r="O58" s="18">
        <x:v>46249</x:v>
      </x:c>
      <x:c r="P58" s="19" t="s">
        <x:v>34</x:v>
      </x:c>
      <x:c r="Q58" s="17"/>
      <x:c r="R58" s="19" t="str">
        <x:f t="shared" si="0"/>
        <x:v>Discovery Link Only</x:v>
      </x:c>
      <x:c r="S58" s="43" t="str">
        <x:v>Unknown</x:v>
      </x:c>
      <x:c r="T58" s="43" t="str">
        <x:v>Unknown</x:v>
      </x:c>
      <x:c r="U58" s="43" t="str">
        <x:v>Unknown</x:v>
      </x:c>
      <x:c r="V58" s="43" t="str">
        <x:v>Unknown</x:v>
      </x:c>
      <x:c r="W58" s="43" t="str">
        <x:v>Unknown</x:v>
      </x:c>
      <x:c r="X58" s="43" t="str">
        <x:v>Unknown</x:v>
      </x:c>
      <x:c r="Y58" s="43" t="str">
        <x:v>Unknown</x:v>
      </x:c>
      <x:c r="Z58" s="43"/>
    </x:row>
    <x:row r="59" ht="60" customHeight="1">
      <x:c r="A59" s="16" t="s">
        <x:v>367</x:v>
      </x:c>
      <x:c r="B59" s="16" t="s">
        <x:v>368</x:v>
      </x:c>
      <x:c r="C59" s="16" t="s">
        <x:v>249</x:v>
      </x:c>
      <x:c r="D59" s="16" t="s">
        <x:v>369</x:v>
      </x:c>
      <x:c r="E59" s="16" t="s">
        <x:v>115</x:v>
      </x:c>
      <x:c r="F59" s="16" t="s">
        <x:v>107</x:v>
      </x:c>
      <x:c r="G59" s="16" t="s">
        <x:v>46</x:v>
      </x:c>
      <x:c r="H59" s="17" t="s">
        <x:v>370</x:v>
      </x:c>
      <x:c r="I59" s="17" t="s">
        <x:v>371</x:v>
      </x:c>
      <x:c r="J59" s="17" t="s">
        <x:v>372</x:v>
      </x:c>
      <x:c r="K59" s="17" t="s">
        <x:v>255</x:v>
      </x:c>
      <x:c r="L59" s="17" t="s">
        <x:v>111</x:v>
      </x:c>
      <x:c r="M59" s="17" t="s">
        <x:v>322</x:v>
      </x:c>
      <x:c r="N59" s="16"/>
      <x:c r="O59" s="18">
        <x:v>46249</x:v>
      </x:c>
      <x:c r="P59" s="19" t="s">
        <x:v>34</x:v>
      </x:c>
      <x:c r="Q59" s="17"/>
      <x:c r="R59" s="19" t="str">
        <x:f t="shared" si="0"/>
        <x:v>Discovery Link Only</x:v>
      </x:c>
      <x:c r="S59" s="43" t="str">
        <x:v>Unknown</x:v>
      </x:c>
      <x:c r="T59" s="43" t="str">
        <x:v>Unknown</x:v>
      </x:c>
      <x:c r="U59" s="43" t="str">
        <x:v>Unknown</x:v>
      </x:c>
      <x:c r="V59" s="43" t="str">
        <x:v>Unknown</x:v>
      </x:c>
      <x:c r="W59" s="43" t="str">
        <x:v>Unknown</x:v>
      </x:c>
      <x:c r="X59" s="43" t="str">
        <x:v>Unknown</x:v>
      </x:c>
      <x:c r="Y59" s="43" t="str">
        <x:v>Unknown</x:v>
      </x:c>
      <x:c r="Z59" s="43"/>
    </x:row>
    <x:row r="60" ht="60" customHeight="1">
      <x:c r="A60" s="16" t="s">
        <x:v>373</x:v>
      </x:c>
      <x:c r="B60" s="16" t="s">
        <x:v>374</x:v>
      </x:c>
      <x:c r="C60" s="16" t="s">
        <x:v>249</x:v>
      </x:c>
      <x:c r="D60" s="16" t="s">
        <x:v>305</x:v>
      </x:c>
      <x:c r="E60" s="16" t="s">
        <x:v>45</x:v>
      </x:c>
      <x:c r="F60" s="16" t="s">
        <x:v>107</x:v>
      </x:c>
      <x:c r="G60" s="16" t="s">
        <x:v>26</x:v>
      </x:c>
      <x:c r="H60" s="17" t="s">
        <x:v>375</x:v>
      </x:c>
      <x:c r="I60" s="17" t="s">
        <x:v>376</x:v>
      </x:c>
      <x:c r="J60" s="17" t="s">
        <x:v>377</x:v>
      </x:c>
      <x:c r="K60" s="17" t="s">
        <x:v>255</x:v>
      </x:c>
      <x:c r="L60" s="17" t="s">
        <x:v>111</x:v>
      </x:c>
      <x:c r="M60" s="17" t="s">
        <x:v>322</x:v>
      </x:c>
      <x:c r="N60" s="16"/>
      <x:c r="O60" s="18">
        <x:v>46249</x:v>
      </x:c>
      <x:c r="P60" s="19" t="s">
        <x:v>34</x:v>
      </x:c>
      <x:c r="Q60" s="17"/>
      <x:c r="R60" s="19" t="str">
        <x:f t="shared" si="0"/>
        <x:v>Discovery Link Only</x:v>
      </x:c>
      <x:c r="S60" s="43" t="str">
        <x:v>Unknown</x:v>
      </x:c>
      <x:c r="T60" s="43" t="str">
        <x:v>Unknown</x:v>
      </x:c>
      <x:c r="U60" s="43" t="str">
        <x:v>Unknown</x:v>
      </x:c>
      <x:c r="V60" s="43" t="str">
        <x:v>Unknown</x:v>
      </x:c>
      <x:c r="W60" s="43" t="str">
        <x:v>Unknown</x:v>
      </x:c>
      <x:c r="X60" s="43" t="str">
        <x:v>Unknown</x:v>
      </x:c>
      <x:c r="Y60" s="43" t="str">
        <x:v>Unknown</x:v>
      </x:c>
      <x:c r="Z60" s="43"/>
    </x:row>
    <x:row r="61" ht="60" customHeight="1">
      <x:c r="A61" s="16" t="s">
        <x:v>378</x:v>
      </x:c>
      <x:c r="B61" s="16" t="s">
        <x:v>379</x:v>
      </x:c>
      <x:c r="C61" s="16" t="s">
        <x:v>249</x:v>
      </x:c>
      <x:c r="D61" s="16" t="s">
        <x:v>305</x:v>
      </x:c>
      <x:c r="E61" s="16" t="s">
        <x:v>45</x:v>
      </x:c>
      <x:c r="F61" s="16" t="s">
        <x:v>121</x:v>
      </x:c>
      <x:c r="G61" s="16" t="s">
        <x:v>26</x:v>
      </x:c>
      <x:c r="H61" s="17" t="s">
        <x:v>244</x:v>
      </x:c>
      <x:c r="I61" s="17" t="s">
        <x:v>380</x:v>
      </x:c>
      <x:c r="J61" s="17" t="s">
        <x:v>381</x:v>
      </x:c>
      <x:c r="K61" s="17" t="s">
        <x:v>255</x:v>
      </x:c>
      <x:c r="L61" s="17" t="s">
        <x:v>111</x:v>
      </x:c>
      <x:c r="M61" s="17" t="s">
        <x:v>322</x:v>
      </x:c>
      <x:c r="N61" s="16"/>
      <x:c r="O61" s="18">
        <x:v>46249</x:v>
      </x:c>
      <x:c r="P61" s="19" t="s">
        <x:v>34</x:v>
      </x:c>
      <x:c r="Q61" s="17"/>
      <x:c r="R61" s="19" t="str">
        <x:f t="shared" si="0"/>
        <x:v>Discovery Link Only</x:v>
      </x:c>
      <x:c r="S61" s="43" t="str">
        <x:v>Unknown</x:v>
      </x:c>
      <x:c r="T61" s="43" t="str">
        <x:v>Unknown</x:v>
      </x:c>
      <x:c r="U61" s="43" t="str">
        <x:v>Unknown</x:v>
      </x:c>
      <x:c r="V61" s="43" t="str">
        <x:v>Unknown</x:v>
      </x:c>
      <x:c r="W61" s="43" t="str">
        <x:v>Unknown</x:v>
      </x:c>
      <x:c r="X61" s="43" t="str">
        <x:v>Unknown</x:v>
      </x:c>
      <x:c r="Y61" s="43" t="str">
        <x:v>Unknown</x:v>
      </x:c>
      <x:c r="Z61" s="43"/>
    </x:row>
    <x:row r="62" ht="60" customHeight="1">
      <x:c r="A62" s="16" t="s">
        <x:v>382</x:v>
      </x:c>
      <x:c r="B62" s="16" t="s">
        <x:v>383</x:v>
      </x:c>
      <x:c r="C62" s="16" t="s">
        <x:v>249</x:v>
      </x:c>
      <x:c r="D62" s="16" t="s">
        <x:v>305</x:v>
      </x:c>
      <x:c r="E62" s="16" t="s">
        <x:v>24</x:v>
      </x:c>
      <x:c r="F62" s="16" t="s">
        <x:v>121</x:v>
      </x:c>
      <x:c r="G62" s="16" t="s">
        <x:v>26</x:v>
      </x:c>
      <x:c r="H62" s="17" t="s">
        <x:v>384</x:v>
      </x:c>
      <x:c r="I62" s="17" t="s">
        <x:v>385</x:v>
      </x:c>
      <x:c r="J62" s="17" t="s">
        <x:v>386</x:v>
      </x:c>
      <x:c r="K62" s="17" t="s">
        <x:v>255</x:v>
      </x:c>
      <x:c r="L62" s="17" t="s">
        <x:v>111</x:v>
      </x:c>
      <x:c r="M62" s="17" t="s">
        <x:v>322</x:v>
      </x:c>
      <x:c r="N62" s="16"/>
      <x:c r="O62" s="18">
        <x:v>46249</x:v>
      </x:c>
      <x:c r="P62" s="19" t="s">
        <x:v>34</x:v>
      </x:c>
      <x:c r="Q62" s="17"/>
      <x:c r="R62" s="19" t="str">
        <x:f t="shared" si="0"/>
        <x:v>Discovery Link Only</x:v>
      </x:c>
      <x:c r="S62" s="43" t="str">
        <x:v>Unknown</x:v>
      </x:c>
      <x:c r="T62" s="43" t="str">
        <x:v>Unknown</x:v>
      </x:c>
      <x:c r="U62" s="43" t="str">
        <x:v>Unknown</x:v>
      </x:c>
      <x:c r="V62" s="43" t="str">
        <x:v>Unknown</x:v>
      </x:c>
      <x:c r="W62" s="43" t="str">
        <x:v>Unknown</x:v>
      </x:c>
      <x:c r="X62" s="43" t="str">
        <x:v>Unknown</x:v>
      </x:c>
      <x:c r="Y62" s="43" t="str">
        <x:v>Unknown</x:v>
      </x:c>
      <x:c r="Z62" s="43"/>
    </x:row>
    <x:row r="63" ht="60" customHeight="1">
      <x:c r="A63" s="16" t="s">
        <x:v>387</x:v>
      </x:c>
      <x:c r="B63" s="16" t="s">
        <x:v>388</x:v>
      </x:c>
      <x:c r="C63" s="16" t="s">
        <x:v>249</x:v>
      </x:c>
      <x:c r="D63" s="16" t="s">
        <x:v>389</x:v>
      </x:c>
      <x:c r="E63" s="16" t="s">
        <x:v>45</x:v>
      </x:c>
      <x:c r="F63" s="16" t="s">
        <x:v>194</x:v>
      </x:c>
      <x:c r="G63" s="16" t="s">
        <x:v>26</x:v>
      </x:c>
      <x:c r="H63" s="17" t="s">
        <x:v>244</x:v>
      </x:c>
      <x:c r="I63" s="17" t="s">
        <x:v>390</x:v>
      </x:c>
      <x:c r="J63" s="17" t="s">
        <x:v>391</x:v>
      </x:c>
      <x:c r="K63" s="17" t="s">
        <x:v>255</x:v>
      </x:c>
      <x:c r="L63" s="17" t="s">
        <x:v>111</x:v>
      </x:c>
      <x:c r="M63" s="17" t="s">
        <x:v>322</x:v>
      </x:c>
      <x:c r="N63" s="16"/>
      <x:c r="O63" s="18">
        <x:v>46249</x:v>
      </x:c>
      <x:c r="P63" s="19" t="s">
        <x:v>34</x:v>
      </x:c>
      <x:c r="Q63" s="17"/>
      <x:c r="R63" s="19" t="str">
        <x:f t="shared" si="0"/>
        <x:v>Discovery Link Only</x:v>
      </x:c>
      <x:c r="S63" s="43" t="str">
        <x:v>Unknown</x:v>
      </x:c>
      <x:c r="T63" s="43" t="str">
        <x:v>Unknown</x:v>
      </x:c>
      <x:c r="U63" s="43" t="str">
        <x:v>Unknown</x:v>
      </x:c>
      <x:c r="V63" s="43" t="str">
        <x:v>Unknown</x:v>
      </x:c>
      <x:c r="W63" s="43" t="str">
        <x:v>Unknown</x:v>
      </x:c>
      <x:c r="X63" s="43" t="str">
        <x:v>Unknown</x:v>
      </x:c>
      <x:c r="Y63" s="43" t="str">
        <x:v>Unknown</x:v>
      </x:c>
      <x:c r="Z63" s="43"/>
    </x:row>
    <x:row r="64" ht="60" customHeight="1">
      <x:c r="A64" s="16" t="s">
        <x:v>392</x:v>
      </x:c>
      <x:c r="B64" s="16" t="s">
        <x:v>393</x:v>
      </x:c>
      <x:c r="C64" s="16" t="s">
        <x:v>249</x:v>
      </x:c>
      <x:c r="D64" s="16" t="s">
        <x:v>389</x:v>
      </x:c>
      <x:c r="E64" s="16" t="s">
        <x:v>394</x:v>
      </x:c>
      <x:c r="F64" s="16" t="s">
        <x:v>121</x:v>
      </x:c>
      <x:c r="G64" s="16" t="s">
        <x:v>46</x:v>
      </x:c>
      <x:c r="H64" s="17" t="s">
        <x:v>395</x:v>
      </x:c>
      <x:c r="I64" s="17" t="s">
        <x:v>396</x:v>
      </x:c>
      <x:c r="J64" s="17" t="s">
        <x:v>397</x:v>
      </x:c>
      <x:c r="K64" s="17" t="s">
        <x:v>255</x:v>
      </x:c>
      <x:c r="L64" s="17" t="s">
        <x:v>111</x:v>
      </x:c>
      <x:c r="M64" s="17" t="s">
        <x:v>322</x:v>
      </x:c>
      <x:c r="N64" s="16"/>
      <x:c r="O64" s="18">
        <x:v>46249</x:v>
      </x:c>
      <x:c r="P64" s="19" t="s">
        <x:v>34</x:v>
      </x:c>
      <x:c r="Q64" s="17"/>
      <x:c r="R64" s="19" t="str">
        <x:f t="shared" si="0"/>
        <x:v>Discovery Link Only</x:v>
      </x:c>
      <x:c r="S64" s="43" t="str">
        <x:v>Unknown</x:v>
      </x:c>
      <x:c r="T64" s="43" t="str">
        <x:v>Unknown</x:v>
      </x:c>
      <x:c r="U64" s="43" t="str">
        <x:v>Unknown</x:v>
      </x:c>
      <x:c r="V64" s="43" t="str">
        <x:v>Unknown</x:v>
      </x:c>
      <x:c r="W64" s="43" t="str">
        <x:v>Unknown</x:v>
      </x:c>
      <x:c r="X64" s="43" t="str">
        <x:v>Unknown</x:v>
      </x:c>
      <x:c r="Y64" s="43" t="str">
        <x:v>Unknown</x:v>
      </x:c>
      <x:c r="Z64" s="43"/>
    </x:row>
    <x:row r="65" ht="60" customHeight="1">
      <x:c r="A65" s="16" t="s">
        <x:v>398</x:v>
      </x:c>
      <x:c r="B65" s="16" t="s">
        <x:v>399</x:v>
      </x:c>
      <x:c r="C65" s="16" t="s">
        <x:v>249</x:v>
      </x:c>
      <x:c r="D65" s="16" t="s">
        <x:v>400</x:v>
      </x:c>
      <x:c r="E65" s="16" t="s">
        <x:v>45</x:v>
      </x:c>
      <x:c r="F65" s="16" t="s">
        <x:v>194</x:v>
      </x:c>
      <x:c r="G65" s="16" t="s">
        <x:v>26</x:v>
      </x:c>
      <x:c r="H65" s="17" t="s">
        <x:v>401</x:v>
      </x:c>
      <x:c r="I65" s="17" t="s">
        <x:v>402</x:v>
      </x:c>
      <x:c r="J65" s="17" t="s">
        <x:v>403</x:v>
      </x:c>
      <x:c r="K65" s="17" t="s">
        <x:v>255</x:v>
      </x:c>
      <x:c r="L65" s="17" t="s">
        <x:v>111</x:v>
      </x:c>
      <x:c r="M65" s="17" t="s">
        <x:v>322</x:v>
      </x:c>
      <x:c r="N65" s="16"/>
      <x:c r="O65" s="18">
        <x:v>46249</x:v>
      </x:c>
      <x:c r="P65" s="19" t="s">
        <x:v>34</x:v>
      </x:c>
      <x:c r="Q65" s="17"/>
      <x:c r="R65" s="19" t="str">
        <x:f t="shared" si="0"/>
        <x:v>Discovery Link Only</x:v>
      </x:c>
      <x:c r="S65" s="43" t="str">
        <x:v>Unknown</x:v>
      </x:c>
      <x:c r="T65" s="43" t="str">
        <x:v>Unknown</x:v>
      </x:c>
      <x:c r="U65" s="43" t="str">
        <x:v>Unknown</x:v>
      </x:c>
      <x:c r="V65" s="43" t="str">
        <x:v>Unknown</x:v>
      </x:c>
      <x:c r="W65" s="43" t="str">
        <x:v>Unknown</x:v>
      </x:c>
      <x:c r="X65" s="43" t="str">
        <x:v>Unknown</x:v>
      </x:c>
      <x:c r="Y65" s="43" t="str">
        <x:v>Unknown</x:v>
      </x:c>
      <x:c r="Z65" s="43"/>
    </x:row>
    <x:row r="66" ht="60" customHeight="1">
      <x:c r="A66" s="16" t="s">
        <x:v>404</x:v>
      </x:c>
      <x:c r="B66" s="16" t="s">
        <x:v>405</x:v>
      </x:c>
      <x:c r="C66" s="16" t="s">
        <x:v>249</x:v>
      </x:c>
      <x:c r="D66" s="16" t="s">
        <x:v>250</x:v>
      </x:c>
      <x:c r="E66" s="16" t="s">
        <x:v>251</x:v>
      </x:c>
      <x:c r="F66" s="16" t="s">
        <x:v>107</x:v>
      </x:c>
      <x:c r="G66" s="16" t="s">
        <x:v>26</x:v>
      </x:c>
      <x:c r="H66" s="17" t="s">
        <x:v>406</x:v>
      </x:c>
      <x:c r="I66" s="17" t="s">
        <x:v>407</x:v>
      </x:c>
      <x:c r="J66" s="17" t="s">
        <x:v>408</x:v>
      </x:c>
      <x:c r="K66" s="17" t="s">
        <x:v>255</x:v>
      </x:c>
      <x:c r="L66" s="17" t="s">
        <x:v>111</x:v>
      </x:c>
      <x:c r="M66" s="17" t="s">
        <x:v>322</x:v>
      </x:c>
      <x:c r="N66" s="16"/>
      <x:c r="O66" s="18">
        <x:v>46249</x:v>
      </x:c>
      <x:c r="P66" s="19" t="s">
        <x:v>34</x:v>
      </x:c>
      <x:c r="Q66" s="17"/>
      <x:c r="R66" s="19" t="str">
        <x:f t="shared" si="0"/>
        <x:v>Discovery Link Only</x:v>
      </x:c>
      <x:c r="S66" s="43" t="str">
        <x:v>Unknown</x:v>
      </x:c>
      <x:c r="T66" s="43" t="str">
        <x:v>Unknown</x:v>
      </x:c>
      <x:c r="U66" s="43" t="str">
        <x:v>Unknown</x:v>
      </x:c>
      <x:c r="V66" s="43" t="str">
        <x:v>Unknown</x:v>
      </x:c>
      <x:c r="W66" s="43" t="str">
        <x:v>Unknown</x:v>
      </x:c>
      <x:c r="X66" s="43" t="str">
        <x:v>Unknown</x:v>
      </x:c>
      <x:c r="Y66" s="43" t="str">
        <x:v>Unknown</x:v>
      </x:c>
      <x:c r="Z66" s="43"/>
    </x:row>
    <x:row r="67" ht="60" customHeight="1">
      <x:c r="A67" s="16" t="s">
        <x:v>409</x:v>
      </x:c>
      <x:c r="B67" s="16" t="s">
        <x:v>410</x:v>
      </x:c>
      <x:c r="C67" s="16" t="s">
        <x:v>249</x:v>
      </x:c>
      <x:c r="D67" s="16" t="s">
        <x:v>411</x:v>
      </x:c>
      <x:c r="E67" s="16" t="s">
        <x:v>45</x:v>
      </x:c>
      <x:c r="F67" s="16" t="s">
        <x:v>194</x:v>
      </x:c>
      <x:c r="G67" s="16" t="s">
        <x:v>26</x:v>
      </x:c>
      <x:c r="H67" s="17" t="s">
        <x:v>412</x:v>
      </x:c>
      <x:c r="I67" s="17" t="s">
        <x:v>413</x:v>
      </x:c>
      <x:c r="J67" s="17" t="s">
        <x:v>414</x:v>
      </x:c>
      <x:c r="K67" s="17" t="s">
        <x:v>255</x:v>
      </x:c>
      <x:c r="L67" s="17" t="s">
        <x:v>111</x:v>
      </x:c>
      <x:c r="M67" s="17" t="s">
        <x:v>322</x:v>
      </x:c>
      <x:c r="N67" s="16"/>
      <x:c r="O67" s="18">
        <x:v>46249</x:v>
      </x:c>
      <x:c r="P67" s="19" t="s">
        <x:v>34</x:v>
      </x:c>
      <x:c r="Q67" s="17"/>
      <x:c r="R67" s="19" t="str">
        <x:f t="shared" si="0"/>
        <x:v>Discovery Link Only</x:v>
      </x:c>
      <x:c r="S67" s="43" t="str">
        <x:v>Unknown</x:v>
      </x:c>
      <x:c r="T67" s="43" t="str">
        <x:v>Unknown</x:v>
      </x:c>
      <x:c r="U67" s="43" t="str">
        <x:v>Unknown</x:v>
      </x:c>
      <x:c r="V67" s="43" t="str">
        <x:v>Unknown</x:v>
      </x:c>
      <x:c r="W67" s="43" t="str">
        <x:v>Unknown</x:v>
      </x:c>
      <x:c r="X67" s="43" t="str">
        <x:v>Unknown</x:v>
      </x:c>
      <x:c r="Y67" s="43" t="str">
        <x:v>Unknown</x:v>
      </x:c>
      <x:c r="Z67" s="43"/>
    </x:row>
    <x:row r="68" ht="60" customHeight="1">
      <x:c r="A68" s="16" t="s">
        <x:v>415</x:v>
      </x:c>
      <x:c r="B68" s="16" t="s">
        <x:v>416</x:v>
      </x:c>
      <x:c r="C68" s="16" t="s">
        <x:v>417</x:v>
      </x:c>
      <x:c r="D68" s="16" t="s">
        <x:v>418</x:v>
      </x:c>
      <x:c r="E68" s="16" t="s">
        <x:v>45</x:v>
      </x:c>
      <x:c r="F68" s="16" t="s">
        <x:v>25</x:v>
      </x:c>
      <x:c r="G68" s="16" t="s">
        <x:v>46</x:v>
      </x:c>
      <x:c r="H68" s="17" t="s">
        <x:v>419</x:v>
      </x:c>
      <x:c r="I68" s="17" t="s">
        <x:v>420</x:v>
      </x:c>
      <x:c r="J68" s="17" t="s">
        <x:v>421</x:v>
      </x:c>
      <x:c r="K68" s="17" t="s">
        <x:v>422</x:v>
      </x:c>
      <x:c r="L68" s="17" t="s">
        <x:v>58</x:v>
      </x:c>
      <x:c r="M68" s="17" t="s">
        <x:v>256</x:v>
      </x:c>
      <x:c r="N68" s="16" t="s">
        <x:v>423</x:v>
      </x:c>
      <x:c r="O68" s="18">
        <x:v>46249</x:v>
      </x:c>
      <x:c r="P68" s="19" t="s">
        <x:v>34</x:v>
      </x:c>
      <x:c r="Q68" s="17"/>
      <x:c r="R68" s="19" t="str">
        <x:f t="shared" ref="R68:R131" si="1">IF(J68="","Missing Link",IF(AND(ISNUMBER(SEARCH("google.com/maps",J68)),ISERROR(SEARCH(";",J68))),"Discovery Link Only","Source Link Present"))</x:f>
        <x:v>Source Link Present</x:v>
      </x:c>
      <x:c r="S68" s="43" t="str">
        <x:v>Unknown</x:v>
      </x:c>
      <x:c r="T68" s="43" t="str">
        <x:v>Unknown</x:v>
      </x:c>
      <x:c r="U68" s="43" t="str">
        <x:v>Unknown</x:v>
      </x:c>
      <x:c r="V68" s="43" t="str">
        <x:v>Unknown</x:v>
      </x:c>
      <x:c r="W68" s="43" t="str">
        <x:v>Unknown</x:v>
      </x:c>
      <x:c r="X68" s="43" t="str">
        <x:v>Unknown</x:v>
      </x:c>
      <x:c r="Y68" s="43" t="str">
        <x:v>Unknown</x:v>
      </x:c>
      <x:c r="Z68" s="43"/>
    </x:row>
    <x:row r="69" ht="60" customHeight="1">
      <x:c r="A69" s="16" t="s">
        <x:v>424</x:v>
      </x:c>
      <x:c r="B69" s="16" t="s">
        <x:v>425</x:v>
      </x:c>
      <x:c r="C69" s="16" t="s">
        <x:v>417</x:v>
      </x:c>
      <x:c r="D69" s="16" t="s">
        <x:v>426</x:v>
      </x:c>
      <x:c r="E69" s="16" t="s">
        <x:v>162</x:v>
      </x:c>
      <x:c r="F69" s="16" t="s">
        <x:v>121</x:v>
      </x:c>
      <x:c r="G69" s="16" t="s">
        <x:v>134</x:v>
      </x:c>
      <x:c r="H69" s="17" t="s">
        <x:v>427</x:v>
      </x:c>
      <x:c r="I69" s="17" t="s">
        <x:v>428</x:v>
      </x:c>
      <x:c r="J69" s="17" t="s">
        <x:v>429</x:v>
      </x:c>
      <x:c r="K69" s="17" t="s">
        <x:v>422</x:v>
      </x:c>
      <x:c r="L69" s="17" t="s">
        <x:v>58</x:v>
      </x:c>
      <x:c r="M69" s="17" t="s">
        <x:v>256</x:v>
      </x:c>
      <x:c r="N69" s="16" t="s">
        <x:v>430</x:v>
      </x:c>
      <x:c r="O69" s="18">
        <x:v>46249</x:v>
      </x:c>
      <x:c r="P69" s="19" t="s">
        <x:v>34</x:v>
      </x:c>
      <x:c r="Q69" s="17"/>
      <x:c r="R69" s="19" t="str">
        <x:f t="shared" si="1"/>
        <x:v>Discovery Link Only</x:v>
      </x:c>
      <x:c r="S69" s="43" t="str">
        <x:v>Unknown</x:v>
      </x:c>
      <x:c r="T69" s="43" t="str">
        <x:v>Unknown</x:v>
      </x:c>
      <x:c r="U69" s="43" t="str">
        <x:v>Unknown</x:v>
      </x:c>
      <x:c r="V69" s="43" t="str">
        <x:v>Unknown</x:v>
      </x:c>
      <x:c r="W69" s="43" t="str">
        <x:v>Unknown</x:v>
      </x:c>
      <x:c r="X69" s="43" t="str">
        <x:v>Unknown</x:v>
      </x:c>
      <x:c r="Y69" s="43" t="str">
        <x:v>Unknown</x:v>
      </x:c>
      <x:c r="Z69" s="43"/>
    </x:row>
    <x:row r="70" ht="60" customHeight="1">
      <x:c r="A70" s="16" t="s">
        <x:v>431</x:v>
      </x:c>
      <x:c r="B70" s="16" t="s">
        <x:v>432</x:v>
      </x:c>
      <x:c r="C70" s="16" t="s">
        <x:v>417</x:v>
      </x:c>
      <x:c r="D70" s="16" t="s">
        <x:v>426</x:v>
      </x:c>
      <x:c r="E70" s="16" t="s">
        <x:v>133</x:v>
      </x:c>
      <x:c r="F70" s="16" t="s">
        <x:v>25</x:v>
      </x:c>
      <x:c r="G70" s="16" t="s">
        <x:v>46</x:v>
      </x:c>
      <x:c r="H70" s="17" t="s">
        <x:v>433</x:v>
      </x:c>
      <x:c r="I70" s="17" t="s">
        <x:v>434</x:v>
      </x:c>
      <x:c r="J70" s="17" t="s">
        <x:v>435</x:v>
      </x:c>
      <x:c r="K70" s="17" t="s">
        <x:v>422</x:v>
      </x:c>
      <x:c r="L70" s="17" t="s">
        <x:v>58</x:v>
      </x:c>
      <x:c r="M70" s="17" t="s">
        <x:v>256</x:v>
      </x:c>
      <x:c r="N70" s="16" t="s">
        <x:v>436</x:v>
      </x:c>
      <x:c r="O70" s="18">
        <x:v>46249</x:v>
      </x:c>
      <x:c r="P70" s="19" t="s">
        <x:v>34</x:v>
      </x:c>
      <x:c r="Q70" s="17"/>
      <x:c r="R70" s="19" t="str">
        <x:f t="shared" si="1"/>
        <x:v>Discovery Link Only</x:v>
      </x:c>
      <x:c r="S70" s="43" t="str">
        <x:v>Unknown</x:v>
      </x:c>
      <x:c r="T70" s="43" t="str">
        <x:v>Unknown</x:v>
      </x:c>
      <x:c r="U70" s="43" t="str">
        <x:v>Unknown</x:v>
      </x:c>
      <x:c r="V70" s="43" t="str">
        <x:v>Unknown</x:v>
      </x:c>
      <x:c r="W70" s="43" t="str">
        <x:v>Unknown</x:v>
      </x:c>
      <x:c r="X70" s="43" t="str">
        <x:v>Unknown</x:v>
      </x:c>
      <x:c r="Y70" s="43" t="str">
        <x:v>Unknown</x:v>
      </x:c>
      <x:c r="Z70" s="43"/>
    </x:row>
    <x:row r="71" ht="60" customHeight="1">
      <x:c r="A71" s="16" t="s">
        <x:v>437</x:v>
      </x:c>
      <x:c r="B71" s="16" t="s">
        <x:v>438</x:v>
      </x:c>
      <x:c r="C71" s="16" t="s">
        <x:v>417</x:v>
      </x:c>
      <x:c r="D71" s="16" t="s">
        <x:v>426</x:v>
      </x:c>
      <x:c r="E71" s="16" t="s">
        <x:v>99</x:v>
      </x:c>
      <x:c r="F71" s="16" t="s">
        <x:v>121</x:v>
      </x:c>
      <x:c r="G71" s="16" t="s">
        <x:v>46</x:v>
      </x:c>
      <x:c r="H71" s="17" t="s">
        <x:v>439</x:v>
      </x:c>
      <x:c r="I71" s="17" t="s">
        <x:v>440</x:v>
      </x:c>
      <x:c r="J71" s="17" t="s">
        <x:v>441</x:v>
      </x:c>
      <x:c r="K71" s="17" t="s">
        <x:v>422</x:v>
      </x:c>
      <x:c r="L71" s="17" t="s">
        <x:v>58</x:v>
      </x:c>
      <x:c r="M71" s="17" t="s">
        <x:v>256</x:v>
      </x:c>
      <x:c r="N71" s="16" t="s">
        <x:v>442</x:v>
      </x:c>
      <x:c r="O71" s="18">
        <x:v>46249</x:v>
      </x:c>
      <x:c r="P71" s="19" t="s">
        <x:v>34</x:v>
      </x:c>
      <x:c r="Q71" s="17"/>
      <x:c r="R71" s="19" t="str">
        <x:f t="shared" si="1"/>
        <x:v>Discovery Link Only</x:v>
      </x:c>
      <x:c r="S71" s="43" t="str">
        <x:v>Unknown</x:v>
      </x:c>
      <x:c r="T71" s="43" t="str">
        <x:v>Unknown</x:v>
      </x:c>
      <x:c r="U71" s="43" t="str">
        <x:v>Unknown</x:v>
      </x:c>
      <x:c r="V71" s="43" t="str">
        <x:v>Unknown</x:v>
      </x:c>
      <x:c r="W71" s="43" t="str">
        <x:v>Unknown</x:v>
      </x:c>
      <x:c r="X71" s="43" t="str">
        <x:v>Unknown</x:v>
      </x:c>
      <x:c r="Y71" s="43" t="str">
        <x:v>Unknown</x:v>
      </x:c>
      <x:c r="Z71" s="43"/>
    </x:row>
    <x:row r="72" ht="60" customHeight="1">
      <x:c r="A72" s="16" t="s">
        <x:v>443</x:v>
      </x:c>
      <x:c r="B72" s="16" t="s">
        <x:v>444</x:v>
      </x:c>
      <x:c r="C72" s="16" t="s">
        <x:v>417</x:v>
      </x:c>
      <x:c r="D72" s="16" t="s">
        <x:v>445</x:v>
      </x:c>
      <x:c r="E72" s="16" t="s">
        <x:v>106</x:v>
      </x:c>
      <x:c r="F72" s="16" t="s">
        <x:v>25</x:v>
      </x:c>
      <x:c r="G72" s="16" t="s">
        <x:v>46</x:v>
      </x:c>
      <x:c r="H72" s="17" t="s">
        <x:v>446</x:v>
      </x:c>
      <x:c r="I72" s="17" t="s">
        <x:v>447</x:v>
      </x:c>
      <x:c r="J72" s="17" t="s">
        <x:v>448</x:v>
      </x:c>
      <x:c r="K72" s="17" t="s">
        <x:v>422</x:v>
      </x:c>
      <x:c r="L72" s="17" t="s">
        <x:v>58</x:v>
      </x:c>
      <x:c r="M72" s="17" t="s">
        <x:v>256</x:v>
      </x:c>
      <x:c r="N72" s="16" t="s">
        <x:v>449</x:v>
      </x:c>
      <x:c r="O72" s="18">
        <x:v>46249</x:v>
      </x:c>
      <x:c r="P72" s="19" t="s">
        <x:v>34</x:v>
      </x:c>
      <x:c r="Q72" s="17"/>
      <x:c r="R72" s="19" t="str">
        <x:f t="shared" si="1"/>
        <x:v>Discovery Link Only</x:v>
      </x:c>
      <x:c r="S72" s="43" t="str">
        <x:v>Unknown</x:v>
      </x:c>
      <x:c r="T72" s="43" t="str">
        <x:v>Unknown</x:v>
      </x:c>
      <x:c r="U72" s="43" t="str">
        <x:v>Unknown</x:v>
      </x:c>
      <x:c r="V72" s="43" t="str">
        <x:v>Unknown</x:v>
      </x:c>
      <x:c r="W72" s="43" t="str">
        <x:v>Unknown</x:v>
      </x:c>
      <x:c r="X72" s="43" t="str">
        <x:v>Unknown</x:v>
      </x:c>
      <x:c r="Y72" s="43" t="str">
        <x:v>Unknown</x:v>
      </x:c>
      <x:c r="Z72" s="43"/>
    </x:row>
    <x:row r="73" ht="60" customHeight="1">
      <x:c r="A73" s="16" t="s">
        <x:v>450</x:v>
      </x:c>
      <x:c r="B73" s="16" t="s">
        <x:v>451</x:v>
      </x:c>
      <x:c r="C73" s="16" t="s">
        <x:v>417</x:v>
      </x:c>
      <x:c r="D73" s="16" t="s">
        <x:v>426</x:v>
      </x:c>
      <x:c r="E73" s="16" t="s">
        <x:v>72</x:v>
      </x:c>
      <x:c r="F73" s="16" t="s">
        <x:v>25</x:v>
      </x:c>
      <x:c r="G73" s="16" t="s">
        <x:v>26</x:v>
      </x:c>
      <x:c r="H73" s="17" t="s">
        <x:v>452</x:v>
      </x:c>
      <x:c r="I73" s="17" t="s">
        <x:v>453</x:v>
      </x:c>
      <x:c r="J73" s="17" t="s">
        <x:v>454</x:v>
      </x:c>
      <x:c r="K73" s="17" t="s">
        <x:v>422</x:v>
      </x:c>
      <x:c r="L73" s="17" t="s">
        <x:v>58</x:v>
      </x:c>
      <x:c r="M73" s="17" t="s">
        <x:v>256</x:v>
      </x:c>
      <x:c r="N73" s="16" t="s">
        <x:v>455</x:v>
      </x:c>
      <x:c r="O73" s="18">
        <x:v>46249</x:v>
      </x:c>
      <x:c r="P73" s="19" t="s">
        <x:v>34</x:v>
      </x:c>
      <x:c r="Q73" s="17"/>
      <x:c r="R73" s="19" t="str">
        <x:f t="shared" si="1"/>
        <x:v>Discovery Link Only</x:v>
      </x:c>
      <x:c r="S73" s="43" t="str">
        <x:v>Unknown</x:v>
      </x:c>
      <x:c r="T73" s="43" t="str">
        <x:v>Unknown</x:v>
      </x:c>
      <x:c r="U73" s="43" t="str">
        <x:v>Unknown</x:v>
      </x:c>
      <x:c r="V73" s="43" t="str">
        <x:v>Unknown</x:v>
      </x:c>
      <x:c r="W73" s="43" t="str">
        <x:v>Unknown</x:v>
      </x:c>
      <x:c r="X73" s="43" t="str">
        <x:v>Unknown</x:v>
      </x:c>
      <x:c r="Y73" s="43" t="str">
        <x:v>Unknown</x:v>
      </x:c>
      <x:c r="Z73" s="43"/>
    </x:row>
    <x:row r="74" ht="60" customHeight="1">
      <x:c r="A74" s="16" t="s">
        <x:v>456</x:v>
      </x:c>
      <x:c r="B74" s="16" t="s">
        <x:v>457</x:v>
      </x:c>
      <x:c r="C74" s="16" t="s">
        <x:v>417</x:v>
      </x:c>
      <x:c r="D74" s="16" t="s">
        <x:v>458</x:v>
      </x:c>
      <x:c r="E74" s="16" t="s">
        <x:v>72</x:v>
      </x:c>
      <x:c r="F74" s="16" t="s">
        <x:v>25</x:v>
      </x:c>
      <x:c r="G74" s="16" t="s">
        <x:v>26</x:v>
      </x:c>
      <x:c r="H74" s="17" t="s">
        <x:v>459</x:v>
      </x:c>
      <x:c r="I74" s="17" t="s">
        <x:v>460</x:v>
      </x:c>
      <x:c r="J74" s="17" t="s">
        <x:v>461</x:v>
      </x:c>
      <x:c r="K74" s="17" t="s">
        <x:v>422</x:v>
      </x:c>
      <x:c r="L74" s="17" t="s">
        <x:v>58</x:v>
      </x:c>
      <x:c r="M74" s="17" t="s">
        <x:v>256</x:v>
      </x:c>
      <x:c r="N74" s="16" t="s">
        <x:v>462</x:v>
      </x:c>
      <x:c r="O74" s="18">
        <x:v>46249</x:v>
      </x:c>
      <x:c r="P74" s="19" t="s">
        <x:v>34</x:v>
      </x:c>
      <x:c r="Q74" s="17"/>
      <x:c r="R74" s="19" t="str">
        <x:f t="shared" si="1"/>
        <x:v>Discovery Link Only</x:v>
      </x:c>
      <x:c r="S74" s="43" t="str">
        <x:v>Unknown</x:v>
      </x:c>
      <x:c r="T74" s="43" t="str">
        <x:v>Unknown</x:v>
      </x:c>
      <x:c r="U74" s="43" t="str">
        <x:v>Unknown</x:v>
      </x:c>
      <x:c r="V74" s="43" t="str">
        <x:v>Unknown</x:v>
      </x:c>
      <x:c r="W74" s="43" t="str">
        <x:v>Unknown</x:v>
      </x:c>
      <x:c r="X74" s="43" t="str">
        <x:v>Unknown</x:v>
      </x:c>
      <x:c r="Y74" s="43" t="str">
        <x:v>Unknown</x:v>
      </x:c>
      <x:c r="Z74" s="43"/>
    </x:row>
    <x:row r="75" ht="60" customHeight="1">
      <x:c r="A75" s="16" t="s">
        <x:v>463</x:v>
      </x:c>
      <x:c r="B75" s="16" t="s">
        <x:v>464</x:v>
      </x:c>
      <x:c r="C75" s="16" t="s">
        <x:v>417</x:v>
      </x:c>
      <x:c r="D75" s="16" t="s">
        <x:v>465</x:v>
      </x:c>
      <x:c r="E75" s="16" t="s">
        <x:v>251</x:v>
      </x:c>
      <x:c r="F75" s="16" t="s">
        <x:v>25</x:v>
      </x:c>
      <x:c r="G75" s="16" t="s">
        <x:v>26</x:v>
      </x:c>
      <x:c r="H75" s="17" t="s">
        <x:v>466</x:v>
      </x:c>
      <x:c r="I75" s="17" t="s">
        <x:v>467</x:v>
      </x:c>
      <x:c r="J75" s="17" t="s">
        <x:v>468</x:v>
      </x:c>
      <x:c r="K75" s="17" t="s">
        <x:v>422</x:v>
      </x:c>
      <x:c r="L75" s="17" t="s">
        <x:v>58</x:v>
      </x:c>
      <x:c r="M75" s="17" t="s">
        <x:v>256</x:v>
      </x:c>
      <x:c r="N75" s="16" t="s">
        <x:v>469</x:v>
      </x:c>
      <x:c r="O75" s="18">
        <x:v>46249</x:v>
      </x:c>
      <x:c r="P75" s="19" t="s">
        <x:v>34</x:v>
      </x:c>
      <x:c r="Q75" s="17"/>
      <x:c r="R75" s="19" t="str">
        <x:f t="shared" si="1"/>
        <x:v>Discovery Link Only</x:v>
      </x:c>
      <x:c r="S75" s="43" t="str">
        <x:v>Unknown</x:v>
      </x:c>
      <x:c r="T75" s="43" t="str">
        <x:v>Unknown</x:v>
      </x:c>
      <x:c r="U75" s="43" t="str">
        <x:v>Unknown</x:v>
      </x:c>
      <x:c r="V75" s="43" t="str">
        <x:v>Unknown</x:v>
      </x:c>
      <x:c r="W75" s="43" t="str">
        <x:v>Unknown</x:v>
      </x:c>
      <x:c r="X75" s="43" t="str">
        <x:v>Unknown</x:v>
      </x:c>
      <x:c r="Y75" s="43" t="str">
        <x:v>Unknown</x:v>
      </x:c>
      <x:c r="Z75" s="43"/>
    </x:row>
    <x:row r="76" ht="60" customHeight="1">
      <x:c r="A76" s="16" t="s">
        <x:v>470</x:v>
      </x:c>
      <x:c r="B76" s="16" t="s">
        <x:v>471</x:v>
      </x:c>
      <x:c r="C76" s="16" t="s">
        <x:v>417</x:v>
      </x:c>
      <x:c r="D76" s="16" t="s">
        <x:v>426</x:v>
      </x:c>
      <x:c r="E76" s="16" t="s">
        <x:v>45</x:v>
      </x:c>
      <x:c r="F76" s="16" t="s">
        <x:v>121</x:v>
      </x:c>
      <x:c r="G76" s="16" t="s">
        <x:v>26</x:v>
      </x:c>
      <x:c r="H76" s="17" t="s">
        <x:v>472</x:v>
      </x:c>
      <x:c r="I76" s="17" t="s">
        <x:v>473</x:v>
      </x:c>
      <x:c r="J76" s="17" t="s">
        <x:v>474</x:v>
      </x:c>
      <x:c r="K76" s="17" t="s">
        <x:v>422</x:v>
      </x:c>
      <x:c r="L76" s="17" t="s">
        <x:v>58</x:v>
      </x:c>
      <x:c r="M76" s="17" t="s">
        <x:v>256</x:v>
      </x:c>
      <x:c r="N76" s="16" t="s">
        <x:v>475</x:v>
      </x:c>
      <x:c r="O76" s="18">
        <x:v>46249</x:v>
      </x:c>
      <x:c r="P76" s="19" t="s">
        <x:v>34</x:v>
      </x:c>
      <x:c r="Q76" s="17"/>
      <x:c r="R76" s="19" t="str">
        <x:f t="shared" si="1"/>
        <x:v>Discovery Link Only</x:v>
      </x:c>
      <x:c r="S76" s="43" t="str">
        <x:v>Unknown</x:v>
      </x:c>
      <x:c r="T76" s="43" t="str">
        <x:v>Unknown</x:v>
      </x:c>
      <x:c r="U76" s="43" t="str">
        <x:v>Unknown</x:v>
      </x:c>
      <x:c r="V76" s="43" t="str">
        <x:v>Unknown</x:v>
      </x:c>
      <x:c r="W76" s="43" t="str">
        <x:v>Unknown</x:v>
      </x:c>
      <x:c r="X76" s="43" t="str">
        <x:v>Unknown</x:v>
      </x:c>
      <x:c r="Y76" s="43" t="str">
        <x:v>Unknown</x:v>
      </x:c>
      <x:c r="Z76" s="43"/>
    </x:row>
    <x:row r="77" ht="60" customHeight="1">
      <x:c r="A77" s="16" t="s">
        <x:v>476</x:v>
      </x:c>
      <x:c r="B77" s="16" t="s">
        <x:v>477</x:v>
      </x:c>
      <x:c r="C77" s="16" t="s">
        <x:v>417</x:v>
      </x:c>
      <x:c r="D77" s="16" t="s">
        <x:v>426</x:v>
      </x:c>
      <x:c r="E77" s="16" t="s">
        <x:v>106</x:v>
      </x:c>
      <x:c r="F77" s="16" t="s">
        <x:v>25</x:v>
      </x:c>
      <x:c r="G77" s="16" t="s">
        <x:v>46</x:v>
      </x:c>
      <x:c r="H77" s="17" t="s">
        <x:v>478</x:v>
      </x:c>
      <x:c r="I77" s="17" t="s">
        <x:v>479</x:v>
      </x:c>
      <x:c r="J77" s="17" t="s">
        <x:v>480</x:v>
      </x:c>
      <x:c r="K77" s="17" t="s">
        <x:v>422</x:v>
      </x:c>
      <x:c r="L77" s="17" t="s">
        <x:v>58</x:v>
      </x:c>
      <x:c r="M77" s="17" t="s">
        <x:v>256</x:v>
      </x:c>
      <x:c r="N77" s="16" t="s">
        <x:v>481</x:v>
      </x:c>
      <x:c r="O77" s="18">
        <x:v>46249</x:v>
      </x:c>
      <x:c r="P77" s="19" t="s">
        <x:v>34</x:v>
      </x:c>
      <x:c r="Q77" s="17"/>
      <x:c r="R77" s="19" t="str">
        <x:f t="shared" si="1"/>
        <x:v>Discovery Link Only</x:v>
      </x:c>
      <x:c r="S77" s="43" t="str">
        <x:v>Unknown</x:v>
      </x:c>
      <x:c r="T77" s="43" t="str">
        <x:v>Unknown</x:v>
      </x:c>
      <x:c r="U77" s="43" t="str">
        <x:v>Unknown</x:v>
      </x:c>
      <x:c r="V77" s="43" t="str">
        <x:v>Unknown</x:v>
      </x:c>
      <x:c r="W77" s="43" t="str">
        <x:v>Unknown</x:v>
      </x:c>
      <x:c r="X77" s="43" t="str">
        <x:v>Unknown</x:v>
      </x:c>
      <x:c r="Y77" s="43" t="str">
        <x:v>Unknown</x:v>
      </x:c>
      <x:c r="Z77" s="43"/>
    </x:row>
    <x:row r="78" ht="60" customHeight="1">
      <x:c r="A78" s="16" t="s">
        <x:v>482</x:v>
      </x:c>
      <x:c r="B78" s="16" t="s">
        <x:v>483</x:v>
      </x:c>
      <x:c r="C78" s="16" t="s">
        <x:v>417</x:v>
      </x:c>
      <x:c r="D78" s="16" t="s">
        <x:v>426</x:v>
      </x:c>
      <x:c r="E78" s="16" t="s">
        <x:v>133</x:v>
      </x:c>
      <x:c r="F78" s="16" t="s">
        <x:v>121</x:v>
      </x:c>
      <x:c r="G78" s="16" t="s">
        <x:v>134</x:v>
      </x:c>
      <x:c r="H78" s="17" t="s">
        <x:v>484</x:v>
      </x:c>
      <x:c r="I78" s="17" t="s">
        <x:v>485</x:v>
      </x:c>
      <x:c r="J78" s="17" t="s">
        <x:v>486</x:v>
      </x:c>
      <x:c r="K78" s="17" t="s">
        <x:v>422</x:v>
      </x:c>
      <x:c r="L78" s="17" t="s">
        <x:v>111</x:v>
      </x:c>
      <x:c r="M78" s="17" t="s">
        <x:v>487</x:v>
      </x:c>
      <x:c r="N78" s="16"/>
      <x:c r="O78" s="18">
        <x:v>46249</x:v>
      </x:c>
      <x:c r="P78" s="19" t="s">
        <x:v>34</x:v>
      </x:c>
      <x:c r="Q78" s="17"/>
      <x:c r="R78" s="19" t="str">
        <x:f t="shared" si="1"/>
        <x:v>Discovery Link Only</x:v>
      </x:c>
      <x:c r="S78" s="43" t="str">
        <x:v>Unknown</x:v>
      </x:c>
      <x:c r="T78" s="43" t="str">
        <x:v>Unknown</x:v>
      </x:c>
      <x:c r="U78" s="43" t="str">
        <x:v>Unknown</x:v>
      </x:c>
      <x:c r="V78" s="43" t="str">
        <x:v>Unknown</x:v>
      </x:c>
      <x:c r="W78" s="43" t="str">
        <x:v>Unknown</x:v>
      </x:c>
      <x:c r="X78" s="43" t="str">
        <x:v>Unknown</x:v>
      </x:c>
      <x:c r="Y78" s="43" t="str">
        <x:v>Unknown</x:v>
      </x:c>
      <x:c r="Z78" s="43"/>
    </x:row>
    <x:row r="79" ht="60" customHeight="1">
      <x:c r="A79" s="16" t="s">
        <x:v>488</x:v>
      </x:c>
      <x:c r="B79" s="16" t="s">
        <x:v>489</x:v>
      </x:c>
      <x:c r="C79" s="16" t="s">
        <x:v>417</x:v>
      </x:c>
      <x:c r="D79" s="16" t="s">
        <x:v>426</x:v>
      </x:c>
      <x:c r="E79" s="16" t="s">
        <x:v>99</x:v>
      </x:c>
      <x:c r="F79" s="16" t="s">
        <x:v>121</x:v>
      </x:c>
      <x:c r="G79" s="16" t="s">
        <x:v>46</x:v>
      </x:c>
      <x:c r="H79" s="17" t="s">
        <x:v>490</x:v>
      </x:c>
      <x:c r="I79" s="17" t="s">
        <x:v>491</x:v>
      </x:c>
      <x:c r="J79" s="17" t="s">
        <x:v>492</x:v>
      </x:c>
      <x:c r="K79" s="17" t="s">
        <x:v>422</x:v>
      </x:c>
      <x:c r="L79" s="17" t="s">
        <x:v>111</x:v>
      </x:c>
      <x:c r="M79" s="17" t="s">
        <x:v>487</x:v>
      </x:c>
      <x:c r="N79" s="16"/>
      <x:c r="O79" s="18">
        <x:v>46249</x:v>
      </x:c>
      <x:c r="P79" s="19" t="s">
        <x:v>34</x:v>
      </x:c>
      <x:c r="Q79" s="17"/>
      <x:c r="R79" s="19" t="str">
        <x:f t="shared" si="1"/>
        <x:v>Discovery Link Only</x:v>
      </x:c>
      <x:c r="S79" s="43" t="str">
        <x:v>Unknown</x:v>
      </x:c>
      <x:c r="T79" s="43" t="str">
        <x:v>Unknown</x:v>
      </x:c>
      <x:c r="U79" s="43" t="str">
        <x:v>Unknown</x:v>
      </x:c>
      <x:c r="V79" s="43" t="str">
        <x:v>Unknown</x:v>
      </x:c>
      <x:c r="W79" s="43" t="str">
        <x:v>Unknown</x:v>
      </x:c>
      <x:c r="X79" s="43" t="str">
        <x:v>Unknown</x:v>
      </x:c>
      <x:c r="Y79" s="43" t="str">
        <x:v>Unknown</x:v>
      </x:c>
      <x:c r="Z79" s="43"/>
    </x:row>
    <x:row r="80" ht="60" customHeight="1">
      <x:c r="A80" s="16" t="s">
        <x:v>493</x:v>
      </x:c>
      <x:c r="B80" s="16" t="s">
        <x:v>494</x:v>
      </x:c>
      <x:c r="C80" s="16" t="s">
        <x:v>417</x:v>
      </x:c>
      <x:c r="D80" s="16" t="s">
        <x:v>445</x:v>
      </x:c>
      <x:c r="E80" s="16" t="s">
        <x:v>106</x:v>
      </x:c>
      <x:c r="F80" s="16" t="s">
        <x:v>127</x:v>
      </x:c>
      <x:c r="G80" s="16" t="s">
        <x:v>46</x:v>
      </x:c>
      <x:c r="H80" s="17" t="s">
        <x:v>495</x:v>
      </x:c>
      <x:c r="I80" s="17" t="s">
        <x:v>496</x:v>
      </x:c>
      <x:c r="J80" s="17" t="s">
        <x:v>497</x:v>
      </x:c>
      <x:c r="K80" s="17" t="s">
        <x:v>422</x:v>
      </x:c>
      <x:c r="L80" s="17" t="s">
        <x:v>111</x:v>
      </x:c>
      <x:c r="M80" s="17" t="s">
        <x:v>487</x:v>
      </x:c>
      <x:c r="N80" s="16"/>
      <x:c r="O80" s="18">
        <x:v>46249</x:v>
      </x:c>
      <x:c r="P80" s="19" t="s">
        <x:v>34</x:v>
      </x:c>
      <x:c r="Q80" s="17"/>
      <x:c r="R80" s="19" t="str">
        <x:f t="shared" si="1"/>
        <x:v>Discovery Link Only</x:v>
      </x:c>
      <x:c r="S80" s="43" t="str">
        <x:v>Unknown</x:v>
      </x:c>
      <x:c r="T80" s="43" t="str">
        <x:v>Unknown</x:v>
      </x:c>
      <x:c r="U80" s="43" t="str">
        <x:v>Unknown</x:v>
      </x:c>
      <x:c r="V80" s="43" t="str">
        <x:v>Unknown</x:v>
      </x:c>
      <x:c r="W80" s="43" t="str">
        <x:v>Unknown</x:v>
      </x:c>
      <x:c r="X80" s="43" t="str">
        <x:v>Unknown</x:v>
      </x:c>
      <x:c r="Y80" s="43" t="str">
        <x:v>Unknown</x:v>
      </x:c>
      <x:c r="Z80" s="43"/>
    </x:row>
    <x:row r="81" ht="60" customHeight="1">
      <x:c r="A81" s="16" t="s">
        <x:v>498</x:v>
      </x:c>
      <x:c r="B81" s="16" t="s">
        <x:v>499</x:v>
      </x:c>
      <x:c r="C81" s="16" t="s">
        <x:v>417</x:v>
      </x:c>
      <x:c r="D81" s="16" t="s">
        <x:v>445</x:v>
      </x:c>
      <x:c r="E81" s="16" t="s">
        <x:v>72</x:v>
      </x:c>
      <x:c r="F81" s="16" t="s">
        <x:v>121</x:v>
      </x:c>
      <x:c r="G81" s="16" t="s">
        <x:v>26</x:v>
      </x:c>
      <x:c r="H81" s="17" t="s">
        <x:v>500</x:v>
      </x:c>
      <x:c r="I81" s="17" t="s">
        <x:v>501</x:v>
      </x:c>
      <x:c r="J81" s="17" t="s">
        <x:v>502</x:v>
      </x:c>
      <x:c r="K81" s="17" t="s">
        <x:v>422</x:v>
      </x:c>
      <x:c r="L81" s="17" t="s">
        <x:v>111</x:v>
      </x:c>
      <x:c r="M81" s="17" t="s">
        <x:v>487</x:v>
      </x:c>
      <x:c r="N81" s="16"/>
      <x:c r="O81" s="18">
        <x:v>46249</x:v>
      </x:c>
      <x:c r="P81" s="19" t="s">
        <x:v>34</x:v>
      </x:c>
      <x:c r="Q81" s="17"/>
      <x:c r="R81" s="19" t="str">
        <x:f t="shared" si="1"/>
        <x:v>Discovery Link Only</x:v>
      </x:c>
      <x:c r="S81" s="43" t="str">
        <x:v>Unknown</x:v>
      </x:c>
      <x:c r="T81" s="43" t="str">
        <x:v>Unknown</x:v>
      </x:c>
      <x:c r="U81" s="43" t="str">
        <x:v>Unknown</x:v>
      </x:c>
      <x:c r="V81" s="43" t="str">
        <x:v>Unknown</x:v>
      </x:c>
      <x:c r="W81" s="43" t="str">
        <x:v>Unknown</x:v>
      </x:c>
      <x:c r="X81" s="43" t="str">
        <x:v>Unknown</x:v>
      </x:c>
      <x:c r="Y81" s="43" t="str">
        <x:v>Unknown</x:v>
      </x:c>
      <x:c r="Z81" s="43"/>
    </x:row>
    <x:row r="82" ht="60" customHeight="1">
      <x:c r="A82" s="16" t="s">
        <x:v>503</x:v>
      </x:c>
      <x:c r="B82" s="16" t="s">
        <x:v>504</x:v>
      </x:c>
      <x:c r="C82" s="16" t="s">
        <x:v>417</x:v>
      </x:c>
      <x:c r="D82" s="16" t="s">
        <x:v>458</x:v>
      </x:c>
      <x:c r="E82" s="16" t="s">
        <x:v>72</x:v>
      </x:c>
      <x:c r="F82" s="16" t="s">
        <x:v>121</x:v>
      </x:c>
      <x:c r="G82" s="16" t="s">
        <x:v>26</x:v>
      </x:c>
      <x:c r="H82" s="17" t="s">
        <x:v>505</x:v>
      </x:c>
      <x:c r="I82" s="17" t="s">
        <x:v>506</x:v>
      </x:c>
      <x:c r="J82" s="17" t="s">
        <x:v>507</x:v>
      </x:c>
      <x:c r="K82" s="17" t="s">
        <x:v>422</x:v>
      </x:c>
      <x:c r="L82" s="17" t="s">
        <x:v>111</x:v>
      </x:c>
      <x:c r="M82" s="17" t="s">
        <x:v>487</x:v>
      </x:c>
      <x:c r="N82" s="16"/>
      <x:c r="O82" s="18">
        <x:v>46249</x:v>
      </x:c>
      <x:c r="P82" s="19" t="s">
        <x:v>34</x:v>
      </x:c>
      <x:c r="Q82" s="17"/>
      <x:c r="R82" s="19" t="str">
        <x:f t="shared" si="1"/>
        <x:v>Discovery Link Only</x:v>
      </x:c>
      <x:c r="S82" s="43" t="str">
        <x:v>Unknown</x:v>
      </x:c>
      <x:c r="T82" s="43" t="str">
        <x:v>Unknown</x:v>
      </x:c>
      <x:c r="U82" s="43" t="str">
        <x:v>Unknown</x:v>
      </x:c>
      <x:c r="V82" s="43" t="str">
        <x:v>Unknown</x:v>
      </x:c>
      <x:c r="W82" s="43" t="str">
        <x:v>Unknown</x:v>
      </x:c>
      <x:c r="X82" s="43" t="str">
        <x:v>Unknown</x:v>
      </x:c>
      <x:c r="Y82" s="43" t="str">
        <x:v>Unknown</x:v>
      </x:c>
      <x:c r="Z82" s="43"/>
    </x:row>
    <x:row r="83" ht="60" customHeight="1">
      <x:c r="A83" s="16" t="s">
        <x:v>508</x:v>
      </x:c>
      <x:c r="B83" s="16" t="s">
        <x:v>509</x:v>
      </x:c>
      <x:c r="C83" s="16" t="s">
        <x:v>417</x:v>
      </x:c>
      <x:c r="D83" s="16" t="s">
        <x:v>510</x:v>
      </x:c>
      <x:c r="E83" s="16" t="s">
        <x:v>45</x:v>
      </x:c>
      <x:c r="F83" s="16" t="s">
        <x:v>121</x:v>
      </x:c>
      <x:c r="G83" s="16" t="s">
        <x:v>26</x:v>
      </x:c>
      <x:c r="H83" s="17" t="s">
        <x:v>244</x:v>
      </x:c>
      <x:c r="I83" s="17" t="s">
        <x:v>511</x:v>
      </x:c>
      <x:c r="J83" s="17" t="s">
        <x:v>512</x:v>
      </x:c>
      <x:c r="K83" s="17" t="s">
        <x:v>422</x:v>
      </x:c>
      <x:c r="L83" s="17" t="s">
        <x:v>111</x:v>
      </x:c>
      <x:c r="M83" s="17" t="s">
        <x:v>487</x:v>
      </x:c>
      <x:c r="N83" s="16"/>
      <x:c r="O83" s="18">
        <x:v>46249</x:v>
      </x:c>
      <x:c r="P83" s="19" t="s">
        <x:v>34</x:v>
      </x:c>
      <x:c r="Q83" s="17"/>
      <x:c r="R83" s="19" t="str">
        <x:f t="shared" si="1"/>
        <x:v>Discovery Link Only</x:v>
      </x:c>
      <x:c r="S83" s="43" t="str">
        <x:v>Unknown</x:v>
      </x:c>
      <x:c r="T83" s="43" t="str">
        <x:v>Unknown</x:v>
      </x:c>
      <x:c r="U83" s="43" t="str">
        <x:v>Unknown</x:v>
      </x:c>
      <x:c r="V83" s="43" t="str">
        <x:v>Unknown</x:v>
      </x:c>
      <x:c r="W83" s="43" t="str">
        <x:v>Unknown</x:v>
      </x:c>
      <x:c r="X83" s="43" t="str">
        <x:v>Unknown</x:v>
      </x:c>
      <x:c r="Y83" s="43" t="str">
        <x:v>Unknown</x:v>
      </x:c>
      <x:c r="Z83" s="43"/>
    </x:row>
    <x:row r="84" ht="60" customHeight="1">
      <x:c r="A84" s="16" t="s">
        <x:v>513</x:v>
      </x:c>
      <x:c r="B84" s="16" t="s">
        <x:v>514</x:v>
      </x:c>
      <x:c r="C84" s="16" t="s">
        <x:v>417</x:v>
      </x:c>
      <x:c r="D84" s="16" t="s">
        <x:v>510</x:v>
      </x:c>
      <x:c r="E84" s="16" t="s">
        <x:v>72</x:v>
      </x:c>
      <x:c r="F84" s="16" t="s">
        <x:v>121</x:v>
      </x:c>
      <x:c r="G84" s="16" t="s">
        <x:v>26</x:v>
      </x:c>
      <x:c r="H84" s="17" t="s">
        <x:v>515</x:v>
      </x:c>
      <x:c r="I84" s="17" t="s">
        <x:v>516</x:v>
      </x:c>
      <x:c r="J84" s="17" t="s">
        <x:v>517</x:v>
      </x:c>
      <x:c r="K84" s="17" t="s">
        <x:v>422</x:v>
      </x:c>
      <x:c r="L84" s="17" t="s">
        <x:v>111</x:v>
      </x:c>
      <x:c r="M84" s="17" t="s">
        <x:v>487</x:v>
      </x:c>
      <x:c r="N84" s="16"/>
      <x:c r="O84" s="18">
        <x:v>46249</x:v>
      </x:c>
      <x:c r="P84" s="19" t="s">
        <x:v>34</x:v>
      </x:c>
      <x:c r="Q84" s="17"/>
      <x:c r="R84" s="19" t="str">
        <x:f t="shared" si="1"/>
        <x:v>Discovery Link Only</x:v>
      </x:c>
      <x:c r="S84" s="43" t="str">
        <x:v>Unknown</x:v>
      </x:c>
      <x:c r="T84" s="43" t="str">
        <x:v>Unknown</x:v>
      </x:c>
      <x:c r="U84" s="43" t="str">
        <x:v>Unknown</x:v>
      </x:c>
      <x:c r="V84" s="43" t="str">
        <x:v>Unknown</x:v>
      </x:c>
      <x:c r="W84" s="43" t="str">
        <x:v>Unknown</x:v>
      </x:c>
      <x:c r="X84" s="43" t="str">
        <x:v>Unknown</x:v>
      </x:c>
      <x:c r="Y84" s="43" t="str">
        <x:v>Unknown</x:v>
      </x:c>
      <x:c r="Z84" s="43"/>
    </x:row>
    <x:row r="85" ht="60" customHeight="1">
      <x:c r="A85" s="16" t="s">
        <x:v>518</x:v>
      </x:c>
      <x:c r="B85" s="16" t="s">
        <x:v>519</x:v>
      </x:c>
      <x:c r="C85" s="16" t="s">
        <x:v>417</x:v>
      </x:c>
      <x:c r="D85" s="16" t="s">
        <x:v>465</x:v>
      </x:c>
      <x:c r="E85" s="16" t="s">
        <x:v>45</x:v>
      </x:c>
      <x:c r="F85" s="16" t="s">
        <x:v>107</x:v>
      </x:c>
      <x:c r="G85" s="16" t="s">
        <x:v>26</x:v>
      </x:c>
      <x:c r="H85" s="17" t="s">
        <x:v>520</x:v>
      </x:c>
      <x:c r="I85" s="17" t="s">
        <x:v>521</x:v>
      </x:c>
      <x:c r="J85" s="17" t="s">
        <x:v>522</x:v>
      </x:c>
      <x:c r="K85" s="17" t="s">
        <x:v>422</x:v>
      </x:c>
      <x:c r="L85" s="17" t="s">
        <x:v>111</x:v>
      </x:c>
      <x:c r="M85" s="17" t="s">
        <x:v>487</x:v>
      </x:c>
      <x:c r="N85" s="16"/>
      <x:c r="O85" s="18">
        <x:v>46249</x:v>
      </x:c>
      <x:c r="P85" s="19" t="s">
        <x:v>34</x:v>
      </x:c>
      <x:c r="Q85" s="17"/>
      <x:c r="R85" s="19" t="str">
        <x:f t="shared" si="1"/>
        <x:v>Discovery Link Only</x:v>
      </x:c>
      <x:c r="S85" s="43" t="str">
        <x:v>Unknown</x:v>
      </x:c>
      <x:c r="T85" s="43" t="str">
        <x:v>Unknown</x:v>
      </x:c>
      <x:c r="U85" s="43" t="str">
        <x:v>Unknown</x:v>
      </x:c>
      <x:c r="V85" s="43" t="str">
        <x:v>Unknown</x:v>
      </x:c>
      <x:c r="W85" s="43" t="str">
        <x:v>Unknown</x:v>
      </x:c>
      <x:c r="X85" s="43" t="str">
        <x:v>Unknown</x:v>
      </x:c>
      <x:c r="Y85" s="43" t="str">
        <x:v>Unknown</x:v>
      </x:c>
      <x:c r="Z85" s="43"/>
    </x:row>
    <x:row r="86" ht="60" customHeight="1">
      <x:c r="A86" s="16" t="s">
        <x:v>523</x:v>
      </x:c>
      <x:c r="B86" s="16" t="s">
        <x:v>524</x:v>
      </x:c>
      <x:c r="C86" s="16" t="s">
        <x:v>417</x:v>
      </x:c>
      <x:c r="D86" s="16" t="s">
        <x:v>418</x:v>
      </x:c>
      <x:c r="E86" s="16" t="s">
        <x:v>115</x:v>
      </x:c>
      <x:c r="F86" s="16" t="s">
        <x:v>127</x:v>
      </x:c>
      <x:c r="G86" s="16" t="s">
        <x:v>46</x:v>
      </x:c>
      <x:c r="H86" s="17" t="s">
        <x:v>525</x:v>
      </x:c>
      <x:c r="I86" s="17" t="s">
        <x:v>526</x:v>
      </x:c>
      <x:c r="J86" s="17" t="s">
        <x:v>527</x:v>
      </x:c>
      <x:c r="K86" s="17" t="s">
        <x:v>422</x:v>
      </x:c>
      <x:c r="L86" s="17" t="s">
        <x:v>111</x:v>
      </x:c>
      <x:c r="M86" s="17" t="s">
        <x:v>487</x:v>
      </x:c>
      <x:c r="N86" s="16"/>
      <x:c r="O86" s="18">
        <x:v>46249</x:v>
      </x:c>
      <x:c r="P86" s="19" t="s">
        <x:v>34</x:v>
      </x:c>
      <x:c r="Q86" s="17"/>
      <x:c r="R86" s="19" t="str">
        <x:f t="shared" si="1"/>
        <x:v>Discovery Link Only</x:v>
      </x:c>
      <x:c r="S86" s="43" t="str">
        <x:v>Unknown</x:v>
      </x:c>
      <x:c r="T86" s="43" t="str">
        <x:v>Unknown</x:v>
      </x:c>
      <x:c r="U86" s="43" t="str">
        <x:v>Unknown</x:v>
      </x:c>
      <x:c r="V86" s="43" t="str">
        <x:v>Unknown</x:v>
      </x:c>
      <x:c r="W86" s="43" t="str">
        <x:v>Unknown</x:v>
      </x:c>
      <x:c r="X86" s="43" t="str">
        <x:v>Unknown</x:v>
      </x:c>
      <x:c r="Y86" s="43" t="str">
        <x:v>Unknown</x:v>
      </x:c>
      <x:c r="Z86" s="43"/>
    </x:row>
    <x:row r="87" ht="60" customHeight="1">
      <x:c r="A87" s="16" t="s">
        <x:v>528</x:v>
      </x:c>
      <x:c r="B87" s="16" t="s">
        <x:v>529</x:v>
      </x:c>
      <x:c r="C87" s="16" t="s">
        <x:v>417</x:v>
      </x:c>
      <x:c r="D87" s="16" t="s">
        <x:v>418</x:v>
      </x:c>
      <x:c r="E87" s="16" t="s">
        <x:v>45</x:v>
      </x:c>
      <x:c r="F87" s="16" t="s">
        <x:v>127</x:v>
      </x:c>
      <x:c r="G87" s="16" t="s">
        <x:v>26</x:v>
      </x:c>
      <x:c r="H87" s="17" t="s">
        <x:v>530</x:v>
      </x:c>
      <x:c r="I87" s="17" t="s">
        <x:v>531</x:v>
      </x:c>
      <x:c r="J87" s="17" t="s">
        <x:v>532</x:v>
      </x:c>
      <x:c r="K87" s="17" t="s">
        <x:v>422</x:v>
      </x:c>
      <x:c r="L87" s="17" t="s">
        <x:v>111</x:v>
      </x:c>
      <x:c r="M87" s="17" t="s">
        <x:v>487</x:v>
      </x:c>
      <x:c r="N87" s="16"/>
      <x:c r="O87" s="18">
        <x:v>46249</x:v>
      </x:c>
      <x:c r="P87" s="19" t="s">
        <x:v>34</x:v>
      </x:c>
      <x:c r="Q87" s="17"/>
      <x:c r="R87" s="19" t="str">
        <x:f t="shared" si="1"/>
        <x:v>Discovery Link Only</x:v>
      </x:c>
      <x:c r="S87" s="43" t="str">
        <x:v>Unknown</x:v>
      </x:c>
      <x:c r="T87" s="43" t="str">
        <x:v>Unknown</x:v>
      </x:c>
      <x:c r="U87" s="43" t="str">
        <x:v>Unknown</x:v>
      </x:c>
      <x:c r="V87" s="43" t="str">
        <x:v>Unknown</x:v>
      </x:c>
      <x:c r="W87" s="43" t="str">
        <x:v>Unknown</x:v>
      </x:c>
      <x:c r="X87" s="43" t="str">
        <x:v>Unknown</x:v>
      </x:c>
      <x:c r="Y87" s="43" t="str">
        <x:v>Unknown</x:v>
      </x:c>
      <x:c r="Z87" s="43"/>
    </x:row>
    <x:row r="88" ht="60" customHeight="1">
      <x:c r="A88" s="16" t="s">
        <x:v>533</x:v>
      </x:c>
      <x:c r="B88" s="16" t="s">
        <x:v>534</x:v>
      </x:c>
      <x:c r="C88" s="16" t="s">
        <x:v>417</x:v>
      </x:c>
      <x:c r="D88" s="16" t="s">
        <x:v>535</x:v>
      </x:c>
      <x:c r="E88" s="16" t="s">
        <x:v>45</x:v>
      </x:c>
      <x:c r="F88" s="16" t="s">
        <x:v>194</x:v>
      </x:c>
      <x:c r="G88" s="16" t="s">
        <x:v>26</x:v>
      </x:c>
      <x:c r="H88" s="17" t="s">
        <x:v>536</x:v>
      </x:c>
      <x:c r="I88" s="17" t="s">
        <x:v>537</x:v>
      </x:c>
      <x:c r="J88" s="17" t="s">
        <x:v>538</x:v>
      </x:c>
      <x:c r="K88" s="17" t="s">
        <x:v>422</x:v>
      </x:c>
      <x:c r="L88" s="17" t="s">
        <x:v>111</x:v>
      </x:c>
      <x:c r="M88" s="17" t="s">
        <x:v>487</x:v>
      </x:c>
      <x:c r="N88" s="16"/>
      <x:c r="O88" s="18">
        <x:v>46249</x:v>
      </x:c>
      <x:c r="P88" s="19" t="s">
        <x:v>34</x:v>
      </x:c>
      <x:c r="Q88" s="17"/>
      <x:c r="R88" s="19" t="str">
        <x:f t="shared" si="1"/>
        <x:v>Discovery Link Only</x:v>
      </x:c>
      <x:c r="S88" s="43" t="str">
        <x:v>Unknown</x:v>
      </x:c>
      <x:c r="T88" s="43" t="str">
        <x:v>Unknown</x:v>
      </x:c>
      <x:c r="U88" s="43" t="str">
        <x:v>Unknown</x:v>
      </x:c>
      <x:c r="V88" s="43" t="str">
        <x:v>Unknown</x:v>
      </x:c>
      <x:c r="W88" s="43" t="str">
        <x:v>Unknown</x:v>
      </x:c>
      <x:c r="X88" s="43" t="str">
        <x:v>Unknown</x:v>
      </x:c>
      <x:c r="Y88" s="43" t="str">
        <x:v>Unknown</x:v>
      </x:c>
      <x:c r="Z88" s="43"/>
    </x:row>
    <x:row r="89" ht="60" customHeight="1">
      <x:c r="A89" s="16" t="s">
        <x:v>539</x:v>
      </x:c>
      <x:c r="B89" s="16" t="s">
        <x:v>540</x:v>
      </x:c>
      <x:c r="C89" s="16" t="s">
        <x:v>417</x:v>
      </x:c>
      <x:c r="D89" s="16" t="s">
        <x:v>535</x:v>
      </x:c>
      <x:c r="E89" s="16" t="s">
        <x:v>45</x:v>
      </x:c>
      <x:c r="F89" s="16" t="s">
        <x:v>194</x:v>
      </x:c>
      <x:c r="G89" s="16" t="s">
        <x:v>26</x:v>
      </x:c>
      <x:c r="H89" s="17" t="s">
        <x:v>244</x:v>
      </x:c>
      <x:c r="I89" s="17" t="s">
        <x:v>541</x:v>
      </x:c>
      <x:c r="J89" s="17" t="s">
        <x:v>542</x:v>
      </x:c>
      <x:c r="K89" s="17" t="s">
        <x:v>422</x:v>
      </x:c>
      <x:c r="L89" s="17" t="s">
        <x:v>111</x:v>
      </x:c>
      <x:c r="M89" s="17" t="s">
        <x:v>487</x:v>
      </x:c>
      <x:c r="N89" s="16"/>
      <x:c r="O89" s="18">
        <x:v>46249</x:v>
      </x:c>
      <x:c r="P89" s="19" t="s">
        <x:v>34</x:v>
      </x:c>
      <x:c r="Q89" s="17"/>
      <x:c r="R89" s="19" t="str">
        <x:f t="shared" si="1"/>
        <x:v>Discovery Link Only</x:v>
      </x:c>
      <x:c r="S89" s="43" t="str">
        <x:v>Unknown</x:v>
      </x:c>
      <x:c r="T89" s="43" t="str">
        <x:v>Unknown</x:v>
      </x:c>
      <x:c r="U89" s="43" t="str">
        <x:v>Unknown</x:v>
      </x:c>
      <x:c r="V89" s="43" t="str">
        <x:v>Unknown</x:v>
      </x:c>
      <x:c r="W89" s="43" t="str">
        <x:v>Unknown</x:v>
      </x:c>
      <x:c r="X89" s="43" t="str">
        <x:v>Unknown</x:v>
      </x:c>
      <x:c r="Y89" s="43" t="str">
        <x:v>Unknown</x:v>
      </x:c>
      <x:c r="Z89" s="43"/>
    </x:row>
    <x:row r="90" ht="60" customHeight="1">
      <x:c r="A90" s="16" t="s">
        <x:v>543</x:v>
      </x:c>
      <x:c r="B90" s="16" t="s">
        <x:v>544</x:v>
      </x:c>
      <x:c r="C90" s="16" t="s">
        <x:v>417</x:v>
      </x:c>
      <x:c r="D90" s="16" t="s">
        <x:v>545</x:v>
      </x:c>
      <x:c r="E90" s="16" t="s">
        <x:v>151</x:v>
      </x:c>
      <x:c r="F90" s="16" t="s">
        <x:v>121</x:v>
      </x:c>
      <x:c r="G90" s="16" t="s">
        <x:v>134</x:v>
      </x:c>
      <x:c r="H90" s="17" t="s">
        <x:v>546</x:v>
      </x:c>
      <x:c r="I90" s="17" t="s">
        <x:v>547</x:v>
      </x:c>
      <x:c r="J90" s="17" t="s">
        <x:v>548</x:v>
      </x:c>
      <x:c r="K90" s="17" t="s">
        <x:v>422</x:v>
      </x:c>
      <x:c r="L90" s="17" t="s">
        <x:v>111</x:v>
      </x:c>
      <x:c r="M90" s="17" t="s">
        <x:v>487</x:v>
      </x:c>
      <x:c r="N90" s="16"/>
      <x:c r="O90" s="18">
        <x:v>46249</x:v>
      </x:c>
      <x:c r="P90" s="19" t="s">
        <x:v>34</x:v>
      </x:c>
      <x:c r="Q90" s="17"/>
      <x:c r="R90" s="19" t="str">
        <x:f t="shared" si="1"/>
        <x:v>Discovery Link Only</x:v>
      </x:c>
      <x:c r="S90" s="43" t="str">
        <x:v>Unknown</x:v>
      </x:c>
      <x:c r="T90" s="43" t="str">
        <x:v>Unknown</x:v>
      </x:c>
      <x:c r="U90" s="43" t="str">
        <x:v>Unknown</x:v>
      </x:c>
      <x:c r="V90" s="43" t="str">
        <x:v>Unknown</x:v>
      </x:c>
      <x:c r="W90" s="43" t="str">
        <x:v>Unknown</x:v>
      </x:c>
      <x:c r="X90" s="43" t="str">
        <x:v>Unknown</x:v>
      </x:c>
      <x:c r="Y90" s="43" t="str">
        <x:v>Unknown</x:v>
      </x:c>
      <x:c r="Z90" s="43"/>
    </x:row>
    <x:row r="91" ht="60" customHeight="1">
      <x:c r="A91" s="16" t="s">
        <x:v>549</x:v>
      </x:c>
      <x:c r="B91" s="16" t="s">
        <x:v>550</x:v>
      </x:c>
      <x:c r="C91" s="16" t="s">
        <x:v>417</x:v>
      </x:c>
      <x:c r="D91" s="16" t="s">
        <x:v>551</x:v>
      </x:c>
      <x:c r="E91" s="16" t="s">
        <x:v>45</x:v>
      </x:c>
      <x:c r="F91" s="16" t="s">
        <x:v>194</x:v>
      </x:c>
      <x:c r="G91" s="16" t="s">
        <x:v>26</x:v>
      </x:c>
      <x:c r="H91" s="17" t="s">
        <x:v>552</x:v>
      </x:c>
      <x:c r="I91" s="17" t="s">
        <x:v>553</x:v>
      </x:c>
      <x:c r="J91" s="17" t="s">
        <x:v>554</x:v>
      </x:c>
      <x:c r="K91" s="17" t="s">
        <x:v>422</x:v>
      </x:c>
      <x:c r="L91" s="17" t="s">
        <x:v>111</x:v>
      </x:c>
      <x:c r="M91" s="17" t="s">
        <x:v>487</x:v>
      </x:c>
      <x:c r="N91" s="16"/>
      <x:c r="O91" s="18">
        <x:v>46249</x:v>
      </x:c>
      <x:c r="P91" s="19" t="s">
        <x:v>34</x:v>
      </x:c>
      <x:c r="Q91" s="17"/>
      <x:c r="R91" s="19" t="str">
        <x:f t="shared" si="1"/>
        <x:v>Discovery Link Only</x:v>
      </x:c>
      <x:c r="S91" s="43" t="str">
        <x:v>Unknown</x:v>
      </x:c>
      <x:c r="T91" s="43" t="str">
        <x:v>Unknown</x:v>
      </x:c>
      <x:c r="U91" s="43" t="str">
        <x:v>Unknown</x:v>
      </x:c>
      <x:c r="V91" s="43" t="str">
        <x:v>Unknown</x:v>
      </x:c>
      <x:c r="W91" s="43" t="str">
        <x:v>Unknown</x:v>
      </x:c>
      <x:c r="X91" s="43" t="str">
        <x:v>Unknown</x:v>
      </x:c>
      <x:c r="Y91" s="43" t="str">
        <x:v>Unknown</x:v>
      </x:c>
      <x:c r="Z91" s="43"/>
    </x:row>
    <x:row r="92" ht="60" customHeight="1">
      <x:c r="A92" s="16" t="s">
        <x:v>555</x:v>
      </x:c>
      <x:c r="B92" s="16" t="s">
        <x:v>556</x:v>
      </x:c>
      <x:c r="C92" s="16" t="s">
        <x:v>557</x:v>
      </x:c>
      <x:c r="D92" s="16" t="s">
        <x:v>558</x:v>
      </x:c>
      <x:c r="E92" s="16" t="s">
        <x:v>72</x:v>
      </x:c>
      <x:c r="F92" s="16" t="s">
        <x:v>121</x:v>
      </x:c>
      <x:c r="G92" s="16" t="s">
        <x:v>26</x:v>
      </x:c>
      <x:c r="H92" s="17" t="s">
        <x:v>559</x:v>
      </x:c>
      <x:c r="I92" s="17" t="s">
        <x:v>560</x:v>
      </x:c>
      <x:c r="J92" s="17" t="s">
        <x:v>561</x:v>
      </x:c>
      <x:c r="K92" s="17" t="s">
        <x:v>562</x:v>
      </x:c>
      <x:c r="L92" s="17" t="s">
        <x:v>58</x:v>
      </x:c>
      <x:c r="M92" s="17" t="s">
        <x:v>256</x:v>
      </x:c>
      <x:c r="N92" s="16" t="s">
        <x:v>563</x:v>
      </x:c>
      <x:c r="O92" s="18">
        <x:v>46249</x:v>
      </x:c>
      <x:c r="P92" s="19" t="s">
        <x:v>34</x:v>
      </x:c>
      <x:c r="Q92" s="17"/>
      <x:c r="R92" s="19" t="str">
        <x:f t="shared" si="1"/>
        <x:v>Source Link Present</x:v>
      </x:c>
      <x:c r="S92" s="43" t="str">
        <x:v>Unknown</x:v>
      </x:c>
      <x:c r="T92" s="43" t="str">
        <x:v>Unknown</x:v>
      </x:c>
      <x:c r="U92" s="43" t="str">
        <x:v>Unknown</x:v>
      </x:c>
      <x:c r="V92" s="43" t="str">
        <x:v>Unknown</x:v>
      </x:c>
      <x:c r="W92" s="43" t="str">
        <x:v>Unknown</x:v>
      </x:c>
      <x:c r="X92" s="43" t="str">
        <x:v>Unknown</x:v>
      </x:c>
      <x:c r="Y92" s="43" t="str">
        <x:v>Unknown</x:v>
      </x:c>
      <x:c r="Z92" s="43"/>
    </x:row>
    <x:row r="93" ht="60" customHeight="1">
      <x:c r="A93" s="16" t="s">
        <x:v>564</x:v>
      </x:c>
      <x:c r="B93" s="16" t="s">
        <x:v>565</x:v>
      </x:c>
      <x:c r="C93" s="16" t="s">
        <x:v>557</x:v>
      </x:c>
      <x:c r="D93" s="16" t="s">
        <x:v>566</x:v>
      </x:c>
      <x:c r="E93" s="16" t="s">
        <x:v>72</x:v>
      </x:c>
      <x:c r="F93" s="16" t="s">
        <x:v>121</x:v>
      </x:c>
      <x:c r="G93" s="16" t="s">
        <x:v>26</x:v>
      </x:c>
      <x:c r="H93" s="17" t="s">
        <x:v>567</x:v>
      </x:c>
      <x:c r="I93" s="17" t="s">
        <x:v>568</x:v>
      </x:c>
      <x:c r="J93" s="17" t="s">
        <x:v>569</x:v>
      </x:c>
      <x:c r="K93" s="17" t="s">
        <x:v>562</x:v>
      </x:c>
      <x:c r="L93" s="17" t="s">
        <x:v>58</x:v>
      </x:c>
      <x:c r="M93" s="17" t="s">
        <x:v>256</x:v>
      </x:c>
      <x:c r="N93" s="16" t="s">
        <x:v>570</x:v>
      </x:c>
      <x:c r="O93" s="18">
        <x:v>46249</x:v>
      </x:c>
      <x:c r="P93" s="19" t="s">
        <x:v>34</x:v>
      </x:c>
      <x:c r="Q93" s="17"/>
      <x:c r="R93" s="19" t="str">
        <x:f t="shared" si="1"/>
        <x:v>Source Link Present</x:v>
      </x:c>
      <x:c r="S93" s="43" t="str">
        <x:v>Unknown</x:v>
      </x:c>
      <x:c r="T93" s="43" t="str">
        <x:v>Unknown</x:v>
      </x:c>
      <x:c r="U93" s="43" t="str">
        <x:v>Unknown</x:v>
      </x:c>
      <x:c r="V93" s="43" t="str">
        <x:v>Unknown</x:v>
      </x:c>
      <x:c r="W93" s="43" t="str">
        <x:v>Unknown</x:v>
      </x:c>
      <x:c r="X93" s="43" t="str">
        <x:v>Unknown</x:v>
      </x:c>
      <x:c r="Y93" s="43" t="str">
        <x:v>Unknown</x:v>
      </x:c>
      <x:c r="Z93" s="43"/>
    </x:row>
    <x:row r="94" ht="60" customHeight="1">
      <x:c r="A94" s="16" t="s">
        <x:v>571</x:v>
      </x:c>
      <x:c r="B94" s="16" t="s">
        <x:v>572</x:v>
      </x:c>
      <x:c r="C94" s="16" t="s">
        <x:v>557</x:v>
      </x:c>
      <x:c r="D94" s="16" t="s">
        <x:v>573</x:v>
      </x:c>
      <x:c r="E94" s="16" t="s">
        <x:v>115</x:v>
      </x:c>
      <x:c r="F94" s="16" t="s">
        <x:v>25</x:v>
      </x:c>
      <x:c r="G94" s="16" t="s">
        <x:v>26</x:v>
      </x:c>
      <x:c r="H94" s="17" t="s">
        <x:v>574</x:v>
      </x:c>
      <x:c r="I94" s="17" t="s">
        <x:v>575</x:v>
      </x:c>
      <x:c r="J94" s="17" t="s">
        <x:v>576</x:v>
      </x:c>
      <x:c r="K94" s="17" t="s">
        <x:v>562</x:v>
      </x:c>
      <x:c r="L94" s="17" t="s">
        <x:v>58</x:v>
      </x:c>
      <x:c r="M94" s="17" t="s">
        <x:v>256</x:v>
      </x:c>
      <x:c r="N94" s="16" t="s">
        <x:v>577</x:v>
      </x:c>
      <x:c r="O94" s="18">
        <x:v>46249</x:v>
      </x:c>
      <x:c r="P94" s="19" t="s">
        <x:v>34</x:v>
      </x:c>
      <x:c r="Q94" s="17"/>
      <x:c r="R94" s="19" t="str">
        <x:f t="shared" si="1"/>
        <x:v>Discovery Link Only</x:v>
      </x:c>
      <x:c r="S94" s="43" t="str">
        <x:v>Unknown</x:v>
      </x:c>
      <x:c r="T94" s="43" t="str">
        <x:v>Unknown</x:v>
      </x:c>
      <x:c r="U94" s="43" t="str">
        <x:v>Unknown</x:v>
      </x:c>
      <x:c r="V94" s="43" t="str">
        <x:v>Unknown</x:v>
      </x:c>
      <x:c r="W94" s="43" t="str">
        <x:v>Unknown</x:v>
      </x:c>
      <x:c r="X94" s="43" t="str">
        <x:v>Unknown</x:v>
      </x:c>
      <x:c r="Y94" s="43" t="str">
        <x:v>Unknown</x:v>
      </x:c>
      <x:c r="Z94" s="43"/>
    </x:row>
    <x:row r="95" ht="60" customHeight="1">
      <x:c r="A95" s="16" t="s">
        <x:v>578</x:v>
      </x:c>
      <x:c r="B95" s="16" t="s">
        <x:v>579</x:v>
      </x:c>
      <x:c r="C95" s="16" t="s">
        <x:v>557</x:v>
      </x:c>
      <x:c r="D95" s="16" t="s">
        <x:v>573</x:v>
      </x:c>
      <x:c r="E95" s="16" t="s">
        <x:v>133</x:v>
      </x:c>
      <x:c r="F95" s="16" t="s">
        <x:v>25</x:v>
      </x:c>
      <x:c r="G95" s="16" t="s">
        <x:v>46</x:v>
      </x:c>
      <x:c r="H95" s="17" t="s">
        <x:v>580</x:v>
      </x:c>
      <x:c r="I95" s="17" t="s">
        <x:v>581</x:v>
      </x:c>
      <x:c r="J95" s="17" t="s">
        <x:v>582</x:v>
      </x:c>
      <x:c r="K95" s="17" t="s">
        <x:v>562</x:v>
      </x:c>
      <x:c r="L95" s="17" t="s">
        <x:v>58</x:v>
      </x:c>
      <x:c r="M95" s="17" t="s">
        <x:v>256</x:v>
      </x:c>
      <x:c r="N95" s="16" t="s">
        <x:v>583</x:v>
      </x:c>
      <x:c r="O95" s="18">
        <x:v>46249</x:v>
      </x:c>
      <x:c r="P95" s="19" t="s">
        <x:v>34</x:v>
      </x:c>
      <x:c r="Q95" s="17"/>
      <x:c r="R95" s="19" t="str">
        <x:f t="shared" si="1"/>
        <x:v>Discovery Link Only</x:v>
      </x:c>
      <x:c r="S95" s="43" t="str">
        <x:v>Unknown</x:v>
      </x:c>
      <x:c r="T95" s="43" t="str">
        <x:v>Unknown</x:v>
      </x:c>
      <x:c r="U95" s="43" t="str">
        <x:v>Unknown</x:v>
      </x:c>
      <x:c r="V95" s="43" t="str">
        <x:v>Unknown</x:v>
      </x:c>
      <x:c r="W95" s="43" t="str">
        <x:v>Unknown</x:v>
      </x:c>
      <x:c r="X95" s="43" t="str">
        <x:v>Unknown</x:v>
      </x:c>
      <x:c r="Y95" s="43" t="str">
        <x:v>Unknown</x:v>
      </x:c>
      <x:c r="Z95" s="43"/>
    </x:row>
    <x:row r="96" ht="60" customHeight="1">
      <x:c r="A96" s="16" t="s">
        <x:v>584</x:v>
      </x:c>
      <x:c r="B96" s="16" t="s">
        <x:v>585</x:v>
      </x:c>
      <x:c r="C96" s="16" t="s">
        <x:v>557</x:v>
      </x:c>
      <x:c r="D96" s="16" t="s">
        <x:v>573</x:v>
      </x:c>
      <x:c r="E96" s="16" t="s">
        <x:v>151</x:v>
      </x:c>
      <x:c r="F96" s="16" t="s">
        <x:v>121</x:v>
      </x:c>
      <x:c r="G96" s="16" t="s">
        <x:v>26</x:v>
      </x:c>
      <x:c r="H96" s="17" t="s">
        <x:v>586</x:v>
      </x:c>
      <x:c r="I96" s="17" t="s">
        <x:v>587</x:v>
      </x:c>
      <x:c r="J96" s="17" t="s">
        <x:v>588</x:v>
      </x:c>
      <x:c r="K96" s="17" t="s">
        <x:v>562</x:v>
      </x:c>
      <x:c r="L96" s="17" t="s">
        <x:v>58</x:v>
      </x:c>
      <x:c r="M96" s="17" t="s">
        <x:v>256</x:v>
      </x:c>
      <x:c r="N96" s="16" t="s">
        <x:v>589</x:v>
      </x:c>
      <x:c r="O96" s="18">
        <x:v>46249</x:v>
      </x:c>
      <x:c r="P96" s="19" t="s">
        <x:v>34</x:v>
      </x:c>
      <x:c r="Q96" s="17"/>
      <x:c r="R96" s="19" t="str">
        <x:f t="shared" si="1"/>
        <x:v>Discovery Link Only</x:v>
      </x:c>
      <x:c r="S96" s="43" t="str">
        <x:v>Unknown</x:v>
      </x:c>
      <x:c r="T96" s="43" t="str">
        <x:v>Unknown</x:v>
      </x:c>
      <x:c r="U96" s="43" t="str">
        <x:v>Unknown</x:v>
      </x:c>
      <x:c r="V96" s="43" t="str">
        <x:v>Unknown</x:v>
      </x:c>
      <x:c r="W96" s="43" t="str">
        <x:v>Unknown</x:v>
      </x:c>
      <x:c r="X96" s="43" t="str">
        <x:v>Unknown</x:v>
      </x:c>
      <x:c r="Y96" s="43" t="str">
        <x:v>Unknown</x:v>
      </x:c>
      <x:c r="Z96" s="43"/>
    </x:row>
    <x:row r="97" ht="60" customHeight="1">
      <x:c r="A97" s="16" t="s">
        <x:v>590</x:v>
      </x:c>
      <x:c r="B97" s="16" t="s">
        <x:v>591</x:v>
      </x:c>
      <x:c r="C97" s="16" t="s">
        <x:v>557</x:v>
      </x:c>
      <x:c r="D97" s="16" t="s">
        <x:v>573</x:v>
      </x:c>
      <x:c r="E97" s="16" t="s">
        <x:v>140</x:v>
      </x:c>
      <x:c r="F97" s="16" t="s">
        <x:v>25</x:v>
      </x:c>
      <x:c r="G97" s="16" t="s">
        <x:v>26</x:v>
      </x:c>
      <x:c r="H97" s="17" t="s">
        <x:v>592</x:v>
      </x:c>
      <x:c r="I97" s="17" t="s">
        <x:v>593</x:v>
      </x:c>
      <x:c r="J97" s="17" t="s">
        <x:v>594</x:v>
      </x:c>
      <x:c r="K97" s="17" t="s">
        <x:v>562</x:v>
      </x:c>
      <x:c r="L97" s="17" t="s">
        <x:v>58</x:v>
      </x:c>
      <x:c r="M97" s="17" t="s">
        <x:v>256</x:v>
      </x:c>
      <x:c r="N97" s="16" t="s">
        <x:v>595</x:v>
      </x:c>
      <x:c r="O97" s="18">
        <x:v>46249</x:v>
      </x:c>
      <x:c r="P97" s="19" t="s">
        <x:v>34</x:v>
      </x:c>
      <x:c r="Q97" s="17"/>
      <x:c r="R97" s="19" t="str">
        <x:f t="shared" si="1"/>
        <x:v>Discovery Link Only</x:v>
      </x:c>
      <x:c r="S97" s="43" t="str">
        <x:v>Unknown</x:v>
      </x:c>
      <x:c r="T97" s="43" t="str">
        <x:v>Unknown</x:v>
      </x:c>
      <x:c r="U97" s="43" t="str">
        <x:v>Unknown</x:v>
      </x:c>
      <x:c r="V97" s="43" t="str">
        <x:v>Unknown</x:v>
      </x:c>
      <x:c r="W97" s="43" t="str">
        <x:v>Unknown</x:v>
      </x:c>
      <x:c r="X97" s="43" t="str">
        <x:v>Unknown</x:v>
      </x:c>
      <x:c r="Y97" s="43" t="str">
        <x:v>Unknown</x:v>
      </x:c>
      <x:c r="Z97" s="43"/>
    </x:row>
    <x:row r="98" ht="60" customHeight="1">
      <x:c r="A98" s="16" t="s">
        <x:v>596</x:v>
      </x:c>
      <x:c r="B98" s="16" t="s">
        <x:v>597</x:v>
      </x:c>
      <x:c r="C98" s="16" t="s">
        <x:v>557</x:v>
      </x:c>
      <x:c r="D98" s="16" t="s">
        <x:v>573</x:v>
      </x:c>
      <x:c r="E98" s="16" t="s">
        <x:v>133</x:v>
      </x:c>
      <x:c r="F98" s="16" t="s">
        <x:v>25</x:v>
      </x:c>
      <x:c r="G98" s="16" t="s">
        <x:v>46</x:v>
      </x:c>
      <x:c r="H98" s="17" t="s">
        <x:v>598</x:v>
      </x:c>
      <x:c r="I98" s="17" t="s">
        <x:v>599</x:v>
      </x:c>
      <x:c r="J98" s="17" t="s">
        <x:v>600</x:v>
      </x:c>
      <x:c r="K98" s="17" t="s">
        <x:v>562</x:v>
      </x:c>
      <x:c r="L98" s="17" t="s">
        <x:v>58</x:v>
      </x:c>
      <x:c r="M98" s="17" t="s">
        <x:v>256</x:v>
      </x:c>
      <x:c r="N98" s="16" t="s">
        <x:v>601</x:v>
      </x:c>
      <x:c r="O98" s="18">
        <x:v>46249</x:v>
      </x:c>
      <x:c r="P98" s="19" t="s">
        <x:v>34</x:v>
      </x:c>
      <x:c r="Q98" s="17"/>
      <x:c r="R98" s="19" t="str">
        <x:f t="shared" si="1"/>
        <x:v>Discovery Link Only</x:v>
      </x:c>
      <x:c r="S98" s="43" t="str">
        <x:v>Unknown</x:v>
      </x:c>
      <x:c r="T98" s="43" t="str">
        <x:v>Unknown</x:v>
      </x:c>
      <x:c r="U98" s="43" t="str">
        <x:v>Unknown</x:v>
      </x:c>
      <x:c r="V98" s="43" t="str">
        <x:v>Unknown</x:v>
      </x:c>
      <x:c r="W98" s="43" t="str">
        <x:v>Unknown</x:v>
      </x:c>
      <x:c r="X98" s="43" t="str">
        <x:v>Unknown</x:v>
      </x:c>
      <x:c r="Y98" s="43" t="str">
        <x:v>Unknown</x:v>
      </x:c>
      <x:c r="Z98" s="43"/>
    </x:row>
    <x:row r="99" ht="60" customHeight="1">
      <x:c r="A99" s="16" t="s">
        <x:v>602</x:v>
      </x:c>
      <x:c r="B99" s="16" t="s">
        <x:v>603</x:v>
      </x:c>
      <x:c r="C99" s="16" t="s">
        <x:v>557</x:v>
      </x:c>
      <x:c r="D99" s="16" t="s">
        <x:v>573</x:v>
      </x:c>
      <x:c r="E99" s="16" t="s">
        <x:v>133</x:v>
      </x:c>
      <x:c r="F99" s="16" t="s">
        <x:v>25</x:v>
      </x:c>
      <x:c r="G99" s="16" t="s">
        <x:v>134</x:v>
      </x:c>
      <x:c r="H99" s="17" t="s">
        <x:v>604</x:v>
      </x:c>
      <x:c r="I99" s="17" t="s">
        <x:v>605</x:v>
      </x:c>
      <x:c r="J99" s="17" t="s">
        <x:v>606</x:v>
      </x:c>
      <x:c r="K99" s="17" t="s">
        <x:v>562</x:v>
      </x:c>
      <x:c r="L99" s="17" t="s">
        <x:v>58</x:v>
      </x:c>
      <x:c r="M99" s="17" t="s">
        <x:v>256</x:v>
      </x:c>
      <x:c r="N99" s="16" t="s">
        <x:v>607</x:v>
      </x:c>
      <x:c r="O99" s="18">
        <x:v>46249</x:v>
      </x:c>
      <x:c r="P99" s="19" t="s">
        <x:v>34</x:v>
      </x:c>
      <x:c r="Q99" s="17"/>
      <x:c r="R99" s="19" t="str">
        <x:f t="shared" si="1"/>
        <x:v>Discovery Link Only</x:v>
      </x:c>
      <x:c r="S99" s="43" t="str">
        <x:v>Unknown</x:v>
      </x:c>
      <x:c r="T99" s="43" t="str">
        <x:v>Unknown</x:v>
      </x:c>
      <x:c r="U99" s="43" t="str">
        <x:v>Unknown</x:v>
      </x:c>
      <x:c r="V99" s="43" t="str">
        <x:v>Unknown</x:v>
      </x:c>
      <x:c r="W99" s="43" t="str">
        <x:v>Unknown</x:v>
      </x:c>
      <x:c r="X99" s="43" t="str">
        <x:v>Unknown</x:v>
      </x:c>
      <x:c r="Y99" s="43" t="str">
        <x:v>Unknown</x:v>
      </x:c>
      <x:c r="Z99" s="43"/>
    </x:row>
    <x:row r="100" ht="60" customHeight="1">
      <x:c r="A100" s="16" t="s">
        <x:v>608</x:v>
      </x:c>
      <x:c r="B100" s="16" t="s">
        <x:v>609</x:v>
      </x:c>
      <x:c r="C100" s="16" t="s">
        <x:v>557</x:v>
      </x:c>
      <x:c r="D100" s="16" t="s">
        <x:v>573</x:v>
      </x:c>
      <x:c r="E100" s="16" t="s">
        <x:v>106</x:v>
      </x:c>
      <x:c r="F100" s="16" t="s">
        <x:v>25</x:v>
      </x:c>
      <x:c r="G100" s="16" t="s">
        <x:v>46</x:v>
      </x:c>
      <x:c r="H100" s="17" t="s">
        <x:v>610</x:v>
      </x:c>
      <x:c r="I100" s="17" t="s">
        <x:v>611</x:v>
      </x:c>
      <x:c r="J100" s="17" t="s">
        <x:v>612</x:v>
      </x:c>
      <x:c r="K100" s="17" t="s">
        <x:v>562</x:v>
      </x:c>
      <x:c r="L100" s="17" t="s">
        <x:v>58</x:v>
      </x:c>
      <x:c r="M100" s="17" t="s">
        <x:v>256</x:v>
      </x:c>
      <x:c r="N100" s="16" t="s">
        <x:v>613</x:v>
      </x:c>
      <x:c r="O100" s="18">
        <x:v>46249</x:v>
      </x:c>
      <x:c r="P100" s="19" t="s">
        <x:v>34</x:v>
      </x:c>
      <x:c r="Q100" s="17"/>
      <x:c r="R100" s="19" t="str">
        <x:f t="shared" si="1"/>
        <x:v>Discovery Link Only</x:v>
      </x:c>
      <x:c r="S100" s="43" t="str">
        <x:v>Unknown</x:v>
      </x:c>
      <x:c r="T100" s="43" t="str">
        <x:v>Unknown</x:v>
      </x:c>
      <x:c r="U100" s="43" t="str">
        <x:v>Unknown</x:v>
      </x:c>
      <x:c r="V100" s="43" t="str">
        <x:v>Unknown</x:v>
      </x:c>
      <x:c r="W100" s="43" t="str">
        <x:v>Unknown</x:v>
      </x:c>
      <x:c r="X100" s="43" t="str">
        <x:v>Unknown</x:v>
      </x:c>
      <x:c r="Y100" s="43" t="str">
        <x:v>Unknown</x:v>
      </x:c>
      <x:c r="Z100" s="43"/>
    </x:row>
    <x:row r="101" ht="60" customHeight="1">
      <x:c r="A101" s="16" t="s">
        <x:v>614</x:v>
      </x:c>
      <x:c r="B101" s="16" t="s">
        <x:v>615</x:v>
      </x:c>
      <x:c r="C101" s="16" t="s">
        <x:v>557</x:v>
      </x:c>
      <x:c r="D101" s="16" t="s">
        <x:v>616</x:v>
      </x:c>
      <x:c r="E101" s="16" t="s">
        <x:v>24</x:v>
      </x:c>
      <x:c r="F101" s="16" t="s">
        <x:v>25</x:v>
      </x:c>
      <x:c r="G101" s="16" t="s">
        <x:v>26</x:v>
      </x:c>
      <x:c r="H101" s="17" t="s">
        <x:v>617</x:v>
      </x:c>
      <x:c r="I101" s="17" t="s">
        <x:v>618</x:v>
      </x:c>
      <x:c r="J101" s="17" t="s">
        <x:v>619</x:v>
      </x:c>
      <x:c r="K101" s="17" t="s">
        <x:v>562</x:v>
      </x:c>
      <x:c r="L101" s="17" t="s">
        <x:v>58</x:v>
      </x:c>
      <x:c r="M101" s="17" t="s">
        <x:v>256</x:v>
      </x:c>
      <x:c r="N101" s="16" t="s">
        <x:v>620</x:v>
      </x:c>
      <x:c r="O101" s="18">
        <x:v>46249</x:v>
      </x:c>
      <x:c r="P101" s="19" t="s">
        <x:v>34</x:v>
      </x:c>
      <x:c r="Q101" s="17"/>
      <x:c r="R101" s="19" t="str">
        <x:f t="shared" si="1"/>
        <x:v>Discovery Link Only</x:v>
      </x:c>
      <x:c r="S101" s="43" t="str">
        <x:v>Unknown</x:v>
      </x:c>
      <x:c r="T101" s="43" t="str">
        <x:v>Unknown</x:v>
      </x:c>
      <x:c r="U101" s="43" t="str">
        <x:v>Unknown</x:v>
      </x:c>
      <x:c r="V101" s="43" t="str">
        <x:v>Unknown</x:v>
      </x:c>
      <x:c r="W101" s="43" t="str">
        <x:v>Unknown</x:v>
      </x:c>
      <x:c r="X101" s="43" t="str">
        <x:v>Unknown</x:v>
      </x:c>
      <x:c r="Y101" s="43" t="str">
        <x:v>Unknown</x:v>
      </x:c>
      <x:c r="Z101" s="43"/>
    </x:row>
    <x:row r="102" ht="60" customHeight="1">
      <x:c r="A102" s="16" t="s">
        <x:v>621</x:v>
      </x:c>
      <x:c r="B102" s="16" t="s">
        <x:v>622</x:v>
      </x:c>
      <x:c r="C102" s="16" t="s">
        <x:v>557</x:v>
      </x:c>
      <x:c r="D102" s="16" t="s">
        <x:v>558</x:v>
      </x:c>
      <x:c r="E102" s="16" t="s">
        <x:v>115</x:v>
      </x:c>
      <x:c r="F102" s="16" t="s">
        <x:v>107</x:v>
      </x:c>
      <x:c r="G102" s="16" t="s">
        <x:v>46</x:v>
      </x:c>
      <x:c r="H102" s="17" t="s">
        <x:v>623</x:v>
      </x:c>
      <x:c r="I102" s="17" t="s">
        <x:v>624</x:v>
      </x:c>
      <x:c r="J102" s="17" t="s">
        <x:v>625</x:v>
      </x:c>
      <x:c r="K102" s="17" t="s">
        <x:v>562</x:v>
      </x:c>
      <x:c r="L102" s="17" t="s">
        <x:v>111</x:v>
      </x:c>
      <x:c r="M102" s="17" t="s">
        <x:v>626</x:v>
      </x:c>
      <x:c r="N102" s="16"/>
      <x:c r="O102" s="18">
        <x:v>46249</x:v>
      </x:c>
      <x:c r="P102" s="19" t="s">
        <x:v>34</x:v>
      </x:c>
      <x:c r="Q102" s="17"/>
      <x:c r="R102" s="19" t="str">
        <x:f t="shared" si="1"/>
        <x:v>Discovery Link Only</x:v>
      </x:c>
      <x:c r="S102" s="43" t="str">
        <x:v>Unknown</x:v>
      </x:c>
      <x:c r="T102" s="43" t="str">
        <x:v>Unknown</x:v>
      </x:c>
      <x:c r="U102" s="43" t="str">
        <x:v>Unknown</x:v>
      </x:c>
      <x:c r="V102" s="43" t="str">
        <x:v>Unknown</x:v>
      </x:c>
      <x:c r="W102" s="43" t="str">
        <x:v>Unknown</x:v>
      </x:c>
      <x:c r="X102" s="43" t="str">
        <x:v>Unknown</x:v>
      </x:c>
      <x:c r="Y102" s="43" t="str">
        <x:v>Unknown</x:v>
      </x:c>
      <x:c r="Z102" s="43"/>
    </x:row>
    <x:row r="103" ht="60" customHeight="1">
      <x:c r="A103" s="16" t="s">
        <x:v>627</x:v>
      </x:c>
      <x:c r="B103" s="16" t="s">
        <x:v>628</x:v>
      </x:c>
      <x:c r="C103" s="16" t="s">
        <x:v>557</x:v>
      </x:c>
      <x:c r="D103" s="16" t="s">
        <x:v>558</x:v>
      </x:c>
      <x:c r="E103" s="16" t="s">
        <x:v>106</x:v>
      </x:c>
      <x:c r="F103" s="16" t="s">
        <x:v>107</x:v>
      </x:c>
      <x:c r="G103" s="16" t="s">
        <x:v>46</x:v>
      </x:c>
      <x:c r="H103" s="17" t="s">
        <x:v>629</x:v>
      </x:c>
      <x:c r="I103" s="17" t="s">
        <x:v>630</x:v>
      </x:c>
      <x:c r="J103" s="17" t="s">
        <x:v>631</x:v>
      </x:c>
      <x:c r="K103" s="17" t="s">
        <x:v>562</x:v>
      </x:c>
      <x:c r="L103" s="17" t="s">
        <x:v>111</x:v>
      </x:c>
      <x:c r="M103" s="17" t="s">
        <x:v>626</x:v>
      </x:c>
      <x:c r="N103" s="16"/>
      <x:c r="O103" s="18">
        <x:v>46249</x:v>
      </x:c>
      <x:c r="P103" s="19" t="s">
        <x:v>34</x:v>
      </x:c>
      <x:c r="Q103" s="17"/>
      <x:c r="R103" s="19" t="str">
        <x:f t="shared" si="1"/>
        <x:v>Discovery Link Only</x:v>
      </x:c>
      <x:c r="S103" s="43" t="str">
        <x:v>Unknown</x:v>
      </x:c>
      <x:c r="T103" s="43" t="str">
        <x:v>Unknown</x:v>
      </x:c>
      <x:c r="U103" s="43" t="str">
        <x:v>Unknown</x:v>
      </x:c>
      <x:c r="V103" s="43" t="str">
        <x:v>Unknown</x:v>
      </x:c>
      <x:c r="W103" s="43" t="str">
        <x:v>Unknown</x:v>
      </x:c>
      <x:c r="X103" s="43" t="str">
        <x:v>Unknown</x:v>
      </x:c>
      <x:c r="Y103" s="43" t="str">
        <x:v>Unknown</x:v>
      </x:c>
      <x:c r="Z103" s="43"/>
    </x:row>
    <x:row r="104" ht="60" customHeight="1">
      <x:c r="A104" s="16" t="s">
        <x:v>632</x:v>
      </x:c>
      <x:c r="B104" s="16" t="s">
        <x:v>633</x:v>
      </x:c>
      <x:c r="C104" s="16" t="s">
        <x:v>557</x:v>
      </x:c>
      <x:c r="D104" s="16" t="s">
        <x:v>558</x:v>
      </x:c>
      <x:c r="E104" s="16" t="s">
        <x:v>115</x:v>
      </x:c>
      <x:c r="F104" s="16" t="s">
        <x:v>107</x:v>
      </x:c>
      <x:c r="G104" s="16" t="s">
        <x:v>46</x:v>
      </x:c>
      <x:c r="H104" s="17" t="s">
        <x:v>634</x:v>
      </x:c>
      <x:c r="I104" s="17" t="s">
        <x:v>635</x:v>
      </x:c>
      <x:c r="J104" s="17" t="s">
        <x:v>636</x:v>
      </x:c>
      <x:c r="K104" s="17" t="s">
        <x:v>562</x:v>
      </x:c>
      <x:c r="L104" s="17" t="s">
        <x:v>111</x:v>
      </x:c>
      <x:c r="M104" s="17" t="s">
        <x:v>626</x:v>
      </x:c>
      <x:c r="N104" s="16"/>
      <x:c r="O104" s="18">
        <x:v>46249</x:v>
      </x:c>
      <x:c r="P104" s="19" t="s">
        <x:v>34</x:v>
      </x:c>
      <x:c r="Q104" s="17"/>
      <x:c r="R104" s="19" t="str">
        <x:f t="shared" si="1"/>
        <x:v>Discovery Link Only</x:v>
      </x:c>
      <x:c r="S104" s="43" t="str">
        <x:v>Unknown</x:v>
      </x:c>
      <x:c r="T104" s="43" t="str">
        <x:v>Unknown</x:v>
      </x:c>
      <x:c r="U104" s="43" t="str">
        <x:v>Unknown</x:v>
      </x:c>
      <x:c r="V104" s="43" t="str">
        <x:v>Unknown</x:v>
      </x:c>
      <x:c r="W104" s="43" t="str">
        <x:v>Unknown</x:v>
      </x:c>
      <x:c r="X104" s="43" t="str">
        <x:v>Unknown</x:v>
      </x:c>
      <x:c r="Y104" s="43" t="str">
        <x:v>Unknown</x:v>
      </x:c>
      <x:c r="Z104" s="43"/>
    </x:row>
    <x:row r="105" ht="60" customHeight="1">
      <x:c r="A105" s="16" t="s">
        <x:v>637</x:v>
      </x:c>
      <x:c r="B105" s="16" t="s">
        <x:v>638</x:v>
      </x:c>
      <x:c r="C105" s="16" t="s">
        <x:v>557</x:v>
      </x:c>
      <x:c r="D105" s="16" t="s">
        <x:v>558</x:v>
      </x:c>
      <x:c r="E105" s="16" t="s">
        <x:v>106</x:v>
      </x:c>
      <x:c r="F105" s="16" t="s">
        <x:v>127</x:v>
      </x:c>
      <x:c r="G105" s="16" t="s">
        <x:v>46</x:v>
      </x:c>
      <x:c r="H105" s="17" t="s">
        <x:v>108</x:v>
      </x:c>
      <x:c r="I105" s="17" t="s">
        <x:v>639</x:v>
      </x:c>
      <x:c r="J105" s="17" t="s">
        <x:v>640</x:v>
      </x:c>
      <x:c r="K105" s="17" t="s">
        <x:v>562</x:v>
      </x:c>
      <x:c r="L105" s="17" t="s">
        <x:v>111</x:v>
      </x:c>
      <x:c r="M105" s="17" t="s">
        <x:v>626</x:v>
      </x:c>
      <x:c r="N105" s="16"/>
      <x:c r="O105" s="18">
        <x:v>46249</x:v>
      </x:c>
      <x:c r="P105" s="19" t="s">
        <x:v>34</x:v>
      </x:c>
      <x:c r="Q105" s="17"/>
      <x:c r="R105" s="19" t="str">
        <x:f t="shared" si="1"/>
        <x:v>Discovery Link Only</x:v>
      </x:c>
      <x:c r="S105" s="43" t="str">
        <x:v>Unknown</x:v>
      </x:c>
      <x:c r="T105" s="43" t="str">
        <x:v>Unknown</x:v>
      </x:c>
      <x:c r="U105" s="43" t="str">
        <x:v>Unknown</x:v>
      </x:c>
      <x:c r="V105" s="43" t="str">
        <x:v>Unknown</x:v>
      </x:c>
      <x:c r="W105" s="43" t="str">
        <x:v>Unknown</x:v>
      </x:c>
      <x:c r="X105" s="43" t="str">
        <x:v>Unknown</x:v>
      </x:c>
      <x:c r="Y105" s="43" t="str">
        <x:v>Unknown</x:v>
      </x:c>
      <x:c r="Z105" s="43"/>
    </x:row>
    <x:row r="106" ht="60" customHeight="1">
      <x:c r="A106" s="16" t="s">
        <x:v>641</x:v>
      </x:c>
      <x:c r="B106" s="16" t="s">
        <x:v>642</x:v>
      </x:c>
      <x:c r="C106" s="16" t="s">
        <x:v>557</x:v>
      </x:c>
      <x:c r="D106" s="16" t="s">
        <x:v>558</x:v>
      </x:c>
      <x:c r="E106" s="16" t="s">
        <x:v>133</x:v>
      </x:c>
      <x:c r="F106" s="16" t="s">
        <x:v>121</x:v>
      </x:c>
      <x:c r="G106" s="16" t="s">
        <x:v>134</x:v>
      </x:c>
      <x:c r="H106" s="17" t="s">
        <x:v>643</x:v>
      </x:c>
      <x:c r="I106" s="17" t="s">
        <x:v>644</x:v>
      </x:c>
      <x:c r="J106" s="17" t="s">
        <x:v>645</x:v>
      </x:c>
      <x:c r="K106" s="17" t="s">
        <x:v>562</x:v>
      </x:c>
      <x:c r="L106" s="17" t="s">
        <x:v>111</x:v>
      </x:c>
      <x:c r="M106" s="17" t="s">
        <x:v>626</x:v>
      </x:c>
      <x:c r="N106" s="16"/>
      <x:c r="O106" s="18">
        <x:v>46249</x:v>
      </x:c>
      <x:c r="P106" s="19" t="s">
        <x:v>34</x:v>
      </x:c>
      <x:c r="Q106" s="17"/>
      <x:c r="R106" s="19" t="str">
        <x:f t="shared" si="1"/>
        <x:v>Discovery Link Only</x:v>
      </x:c>
      <x:c r="S106" s="43" t="str">
        <x:v>Unknown</x:v>
      </x:c>
      <x:c r="T106" s="43" t="str">
        <x:v>Unknown</x:v>
      </x:c>
      <x:c r="U106" s="43" t="str">
        <x:v>Unknown</x:v>
      </x:c>
      <x:c r="V106" s="43" t="str">
        <x:v>Unknown</x:v>
      </x:c>
      <x:c r="W106" s="43" t="str">
        <x:v>Unknown</x:v>
      </x:c>
      <x:c r="X106" s="43" t="str">
        <x:v>Unknown</x:v>
      </x:c>
      <x:c r="Y106" s="43" t="str">
        <x:v>Unknown</x:v>
      </x:c>
      <x:c r="Z106" s="43"/>
    </x:row>
    <x:row r="107" ht="60" customHeight="1">
      <x:c r="A107" s="16" t="s">
        <x:v>646</x:v>
      </x:c>
      <x:c r="B107" s="16" t="s">
        <x:v>647</x:v>
      </x:c>
      <x:c r="C107" s="16" t="s">
        <x:v>557</x:v>
      </x:c>
      <x:c r="D107" s="16" t="s">
        <x:v>558</x:v>
      </x:c>
      <x:c r="E107" s="16" t="s">
        <x:v>140</x:v>
      </x:c>
      <x:c r="F107" s="16" t="s">
        <x:v>107</x:v>
      </x:c>
      <x:c r="G107" s="16" t="s">
        <x:v>46</x:v>
      </x:c>
      <x:c r="H107" s="17" t="s">
        <x:v>648</x:v>
      </x:c>
      <x:c r="I107" s="17" t="s">
        <x:v>649</x:v>
      </x:c>
      <x:c r="J107" s="17" t="s">
        <x:v>650</x:v>
      </x:c>
      <x:c r="K107" s="17" t="s">
        <x:v>562</x:v>
      </x:c>
      <x:c r="L107" s="17" t="s">
        <x:v>111</x:v>
      </x:c>
      <x:c r="M107" s="17" t="s">
        <x:v>626</x:v>
      </x:c>
      <x:c r="N107" s="16"/>
      <x:c r="O107" s="18">
        <x:v>46249</x:v>
      </x:c>
      <x:c r="P107" s="19" t="s">
        <x:v>34</x:v>
      </x:c>
      <x:c r="Q107" s="17"/>
      <x:c r="R107" s="19" t="str">
        <x:f t="shared" si="1"/>
        <x:v>Discovery Link Only</x:v>
      </x:c>
      <x:c r="S107" s="43" t="str">
        <x:v>Unknown</x:v>
      </x:c>
      <x:c r="T107" s="43" t="str">
        <x:v>Unknown</x:v>
      </x:c>
      <x:c r="U107" s="43" t="str">
        <x:v>Unknown</x:v>
      </x:c>
      <x:c r="V107" s="43" t="str">
        <x:v>Unknown</x:v>
      </x:c>
      <x:c r="W107" s="43" t="str">
        <x:v>Unknown</x:v>
      </x:c>
      <x:c r="X107" s="43" t="str">
        <x:v>Unknown</x:v>
      </x:c>
      <x:c r="Y107" s="43" t="str">
        <x:v>Unknown</x:v>
      </x:c>
      <x:c r="Z107" s="43"/>
    </x:row>
    <x:row r="108" ht="60" customHeight="1">
      <x:c r="A108" s="16" t="s">
        <x:v>651</x:v>
      </x:c>
      <x:c r="B108" s="16" t="s">
        <x:v>652</x:v>
      </x:c>
      <x:c r="C108" s="16" t="s">
        <x:v>557</x:v>
      </x:c>
      <x:c r="D108" s="16" t="s">
        <x:v>558</x:v>
      </x:c>
      <x:c r="E108" s="16" t="s">
        <x:v>99</x:v>
      </x:c>
      <x:c r="F108" s="16" t="s">
        <x:v>121</x:v>
      </x:c>
      <x:c r="G108" s="16" t="s">
        <x:v>46</x:v>
      </x:c>
      <x:c r="H108" s="17" t="s">
        <x:v>653</x:v>
      </x:c>
      <x:c r="I108" s="17" t="s">
        <x:v>654</x:v>
      </x:c>
      <x:c r="J108" s="17" t="s">
        <x:v>655</x:v>
      </x:c>
      <x:c r="K108" s="17" t="s">
        <x:v>562</x:v>
      </x:c>
      <x:c r="L108" s="17" t="s">
        <x:v>111</x:v>
      </x:c>
      <x:c r="M108" s="17" t="s">
        <x:v>626</x:v>
      </x:c>
      <x:c r="N108" s="16"/>
      <x:c r="O108" s="18">
        <x:v>46249</x:v>
      </x:c>
      <x:c r="P108" s="19" t="s">
        <x:v>34</x:v>
      </x:c>
      <x:c r="Q108" s="17"/>
      <x:c r="R108" s="19" t="str">
        <x:f t="shared" si="1"/>
        <x:v>Discovery Link Only</x:v>
      </x:c>
      <x:c r="S108" s="43" t="str">
        <x:v>Unknown</x:v>
      </x:c>
      <x:c r="T108" s="43" t="str">
        <x:v>Unknown</x:v>
      </x:c>
      <x:c r="U108" s="43" t="str">
        <x:v>Unknown</x:v>
      </x:c>
      <x:c r="V108" s="43" t="str">
        <x:v>Unknown</x:v>
      </x:c>
      <x:c r="W108" s="43" t="str">
        <x:v>Unknown</x:v>
      </x:c>
      <x:c r="X108" s="43" t="str">
        <x:v>Unknown</x:v>
      </x:c>
      <x:c r="Y108" s="43" t="str">
        <x:v>Unknown</x:v>
      </x:c>
      <x:c r="Z108" s="43"/>
    </x:row>
    <x:row r="109" ht="60" customHeight="1">
      <x:c r="A109" s="16" t="s">
        <x:v>656</x:v>
      </x:c>
      <x:c r="B109" s="16" t="s">
        <x:v>657</x:v>
      </x:c>
      <x:c r="C109" s="16" t="s">
        <x:v>557</x:v>
      </x:c>
      <x:c r="D109" s="16" t="s">
        <x:v>616</x:v>
      </x:c>
      <x:c r="E109" s="16" t="s">
        <x:v>37</x:v>
      </x:c>
      <x:c r="F109" s="16" t="s">
        <x:v>107</x:v>
      </x:c>
      <x:c r="G109" s="16" t="s">
        <x:v>26</x:v>
      </x:c>
      <x:c r="H109" s="17" t="s">
        <x:v>658</x:v>
      </x:c>
      <x:c r="I109" s="17" t="s">
        <x:v>659</x:v>
      </x:c>
      <x:c r="J109" s="17" t="s">
        <x:v>660</x:v>
      </x:c>
      <x:c r="K109" s="17" t="s">
        <x:v>562</x:v>
      </x:c>
      <x:c r="L109" s="17" t="s">
        <x:v>111</x:v>
      </x:c>
      <x:c r="M109" s="17" t="s">
        <x:v>626</x:v>
      </x:c>
      <x:c r="N109" s="16"/>
      <x:c r="O109" s="18">
        <x:v>46249</x:v>
      </x:c>
      <x:c r="P109" s="19" t="s">
        <x:v>34</x:v>
      </x:c>
      <x:c r="Q109" s="17"/>
      <x:c r="R109" s="19" t="str">
        <x:f t="shared" si="1"/>
        <x:v>Discovery Link Only</x:v>
      </x:c>
      <x:c r="S109" s="43" t="str">
        <x:v>Unknown</x:v>
      </x:c>
      <x:c r="T109" s="43" t="str">
        <x:v>Unknown</x:v>
      </x:c>
      <x:c r="U109" s="43" t="str">
        <x:v>Unknown</x:v>
      </x:c>
      <x:c r="V109" s="43" t="str">
        <x:v>Unknown</x:v>
      </x:c>
      <x:c r="W109" s="43" t="str">
        <x:v>Unknown</x:v>
      </x:c>
      <x:c r="X109" s="43" t="str">
        <x:v>Unknown</x:v>
      </x:c>
      <x:c r="Y109" s="43" t="str">
        <x:v>Unknown</x:v>
      </x:c>
      <x:c r="Z109" s="43"/>
    </x:row>
    <x:row r="110" ht="60" customHeight="1">
      <x:c r="A110" s="16" t="s">
        <x:v>661</x:v>
      </x:c>
      <x:c r="B110" s="16" t="s">
        <x:v>662</x:v>
      </x:c>
      <x:c r="C110" s="16" t="s">
        <x:v>557</x:v>
      </x:c>
      <x:c r="D110" s="16" t="s">
        <x:v>616</x:v>
      </x:c>
      <x:c r="E110" s="16" t="s">
        <x:v>99</x:v>
      </x:c>
      <x:c r="F110" s="16" t="s">
        <x:v>121</x:v>
      </x:c>
      <x:c r="G110" s="16" t="s">
        <x:v>46</x:v>
      </x:c>
      <x:c r="H110" s="17" t="s">
        <x:v>663</x:v>
      </x:c>
      <x:c r="I110" s="17" t="s">
        <x:v>664</x:v>
      </x:c>
      <x:c r="J110" s="17" t="s">
        <x:v>665</x:v>
      </x:c>
      <x:c r="K110" s="17" t="s">
        <x:v>562</x:v>
      </x:c>
      <x:c r="L110" s="17" t="s">
        <x:v>111</x:v>
      </x:c>
      <x:c r="M110" s="17" t="s">
        <x:v>626</x:v>
      </x:c>
      <x:c r="N110" s="16"/>
      <x:c r="O110" s="18">
        <x:v>46249</x:v>
      </x:c>
      <x:c r="P110" s="19" t="s">
        <x:v>34</x:v>
      </x:c>
      <x:c r="Q110" s="17"/>
      <x:c r="R110" s="19" t="str">
        <x:f t="shared" si="1"/>
        <x:v>Discovery Link Only</x:v>
      </x:c>
      <x:c r="S110" s="43" t="str">
        <x:v>Unknown</x:v>
      </x:c>
      <x:c r="T110" s="43" t="str">
        <x:v>Unknown</x:v>
      </x:c>
      <x:c r="U110" s="43" t="str">
        <x:v>Unknown</x:v>
      </x:c>
      <x:c r="V110" s="43" t="str">
        <x:v>Unknown</x:v>
      </x:c>
      <x:c r="W110" s="43" t="str">
        <x:v>Unknown</x:v>
      </x:c>
      <x:c r="X110" s="43" t="str">
        <x:v>Unknown</x:v>
      </x:c>
      <x:c r="Y110" s="43" t="str">
        <x:v>Unknown</x:v>
      </x:c>
      <x:c r="Z110" s="43"/>
    </x:row>
    <x:row r="111" ht="60" customHeight="1">
      <x:c r="A111" s="16" t="s">
        <x:v>666</x:v>
      </x:c>
      <x:c r="B111" s="16" t="s">
        <x:v>667</x:v>
      </x:c>
      <x:c r="C111" s="16" t="s">
        <x:v>557</x:v>
      </x:c>
      <x:c r="D111" s="16" t="s">
        <x:v>616</x:v>
      </x:c>
      <x:c r="E111" s="16" t="s">
        <x:v>54</x:v>
      </x:c>
      <x:c r="F111" s="16" t="s">
        <x:v>127</x:v>
      </x:c>
      <x:c r="G111" s="16" t="s">
        <x:v>46</x:v>
      </x:c>
      <x:c r="H111" s="17" t="s">
        <x:v>668</x:v>
      </x:c>
      <x:c r="I111" s="17" t="s">
        <x:v>669</x:v>
      </x:c>
      <x:c r="J111" s="17" t="s">
        <x:v>670</x:v>
      </x:c>
      <x:c r="K111" s="17" t="s">
        <x:v>562</x:v>
      </x:c>
      <x:c r="L111" s="17" t="s">
        <x:v>111</x:v>
      </x:c>
      <x:c r="M111" s="17" t="s">
        <x:v>626</x:v>
      </x:c>
      <x:c r="N111" s="16"/>
      <x:c r="O111" s="18">
        <x:v>46249</x:v>
      </x:c>
      <x:c r="P111" s="19" t="s">
        <x:v>34</x:v>
      </x:c>
      <x:c r="Q111" s="17"/>
      <x:c r="R111" s="19" t="str">
        <x:f t="shared" si="1"/>
        <x:v>Discovery Link Only</x:v>
      </x:c>
      <x:c r="S111" s="43" t="str">
        <x:v>Unknown</x:v>
      </x:c>
      <x:c r="T111" s="43" t="str">
        <x:v>Unknown</x:v>
      </x:c>
      <x:c r="U111" s="43" t="str">
        <x:v>Unknown</x:v>
      </x:c>
      <x:c r="V111" s="43" t="str">
        <x:v>Unknown</x:v>
      </x:c>
      <x:c r="W111" s="43" t="str">
        <x:v>Unknown</x:v>
      </x:c>
      <x:c r="X111" s="43" t="str">
        <x:v>Unknown</x:v>
      </x:c>
      <x:c r="Y111" s="43" t="str">
        <x:v>Unknown</x:v>
      </x:c>
      <x:c r="Z111" s="43"/>
    </x:row>
    <x:row r="112" ht="60" customHeight="1">
      <x:c r="A112" s="16" t="s">
        <x:v>671</x:v>
      </x:c>
      <x:c r="B112" s="16" t="s">
        <x:v>672</x:v>
      </x:c>
      <x:c r="C112" s="16" t="s">
        <x:v>557</x:v>
      </x:c>
      <x:c r="D112" s="16" t="s">
        <x:v>566</x:v>
      </x:c>
      <x:c r="E112" s="16" t="s">
        <x:v>37</x:v>
      </x:c>
      <x:c r="F112" s="16" t="s">
        <x:v>107</x:v>
      </x:c>
      <x:c r="G112" s="16" t="s">
        <x:v>26</x:v>
      </x:c>
      <x:c r="H112" s="17" t="s">
        <x:v>673</x:v>
      </x:c>
      <x:c r="I112" s="17" t="s">
        <x:v>674</x:v>
      </x:c>
      <x:c r="J112" s="17" t="s">
        <x:v>675</x:v>
      </x:c>
      <x:c r="K112" s="17" t="s">
        <x:v>562</x:v>
      </x:c>
      <x:c r="L112" s="17" t="s">
        <x:v>111</x:v>
      </x:c>
      <x:c r="M112" s="17" t="s">
        <x:v>626</x:v>
      </x:c>
      <x:c r="N112" s="16"/>
      <x:c r="O112" s="18">
        <x:v>46249</x:v>
      </x:c>
      <x:c r="P112" s="19" t="s">
        <x:v>34</x:v>
      </x:c>
      <x:c r="Q112" s="17"/>
      <x:c r="R112" s="19" t="str">
        <x:f t="shared" si="1"/>
        <x:v>Discovery Link Only</x:v>
      </x:c>
      <x:c r="S112" s="43" t="str">
        <x:v>Unknown</x:v>
      </x:c>
      <x:c r="T112" s="43" t="str">
        <x:v>Unknown</x:v>
      </x:c>
      <x:c r="U112" s="43" t="str">
        <x:v>Unknown</x:v>
      </x:c>
      <x:c r="V112" s="43" t="str">
        <x:v>Unknown</x:v>
      </x:c>
      <x:c r="W112" s="43" t="str">
        <x:v>Unknown</x:v>
      </x:c>
      <x:c r="X112" s="43" t="str">
        <x:v>Unknown</x:v>
      </x:c>
      <x:c r="Y112" s="43" t="str">
        <x:v>Unknown</x:v>
      </x:c>
      <x:c r="Z112" s="43"/>
    </x:row>
    <x:row r="113" ht="60" customHeight="1">
      <x:c r="A113" s="16" t="s">
        <x:v>676</x:v>
      </x:c>
      <x:c r="B113" s="16" t="s">
        <x:v>677</x:v>
      </x:c>
      <x:c r="C113" s="16" t="s">
        <x:v>557</x:v>
      </x:c>
      <x:c r="D113" s="16" t="s">
        <x:v>566</x:v>
      </x:c>
      <x:c r="E113" s="16" t="s">
        <x:v>151</x:v>
      </x:c>
      <x:c r="F113" s="16" t="s">
        <x:v>107</x:v>
      </x:c>
      <x:c r="G113" s="16" t="s">
        <x:v>134</x:v>
      </x:c>
      <x:c r="H113" s="17" t="s">
        <x:v>678</x:v>
      </x:c>
      <x:c r="I113" s="17" t="s">
        <x:v>679</x:v>
      </x:c>
      <x:c r="J113" s="17" t="s">
        <x:v>680</x:v>
      </x:c>
      <x:c r="K113" s="17" t="s">
        <x:v>562</x:v>
      </x:c>
      <x:c r="L113" s="17" t="s">
        <x:v>111</x:v>
      </x:c>
      <x:c r="M113" s="17" t="s">
        <x:v>626</x:v>
      </x:c>
      <x:c r="N113" s="16"/>
      <x:c r="O113" s="18">
        <x:v>46249</x:v>
      </x:c>
      <x:c r="P113" s="19" t="s">
        <x:v>34</x:v>
      </x:c>
      <x:c r="Q113" s="17"/>
      <x:c r="R113" s="19" t="str">
        <x:f t="shared" si="1"/>
        <x:v>Discovery Link Only</x:v>
      </x:c>
      <x:c r="S113" s="43" t="str">
        <x:v>Unknown</x:v>
      </x:c>
      <x:c r="T113" s="43" t="str">
        <x:v>Unknown</x:v>
      </x:c>
      <x:c r="U113" s="43" t="str">
        <x:v>Unknown</x:v>
      </x:c>
      <x:c r="V113" s="43" t="str">
        <x:v>Unknown</x:v>
      </x:c>
      <x:c r="W113" s="43" t="str">
        <x:v>Unknown</x:v>
      </x:c>
      <x:c r="X113" s="43" t="str">
        <x:v>Unknown</x:v>
      </x:c>
      <x:c r="Y113" s="43" t="str">
        <x:v>Unknown</x:v>
      </x:c>
      <x:c r="Z113" s="43"/>
    </x:row>
    <x:row r="114" ht="60" customHeight="1">
      <x:c r="A114" s="16" t="s">
        <x:v>681</x:v>
      </x:c>
      <x:c r="B114" s="16" t="s">
        <x:v>682</x:v>
      </x:c>
      <x:c r="C114" s="16" t="s">
        <x:v>557</x:v>
      </x:c>
      <x:c r="D114" s="16" t="s">
        <x:v>683</x:v>
      </x:c>
      <x:c r="E114" s="16" t="s">
        <x:v>394</x:v>
      </x:c>
      <x:c r="F114" s="16" t="s">
        <x:v>121</x:v>
      </x:c>
      <x:c r="G114" s="16" t="s">
        <x:v>46</x:v>
      </x:c>
      <x:c r="H114" s="17" t="s">
        <x:v>684</x:v>
      </x:c>
      <x:c r="I114" s="17" t="s">
        <x:v>685</x:v>
      </x:c>
      <x:c r="J114" s="17" t="s">
        <x:v>686</x:v>
      </x:c>
      <x:c r="K114" s="17" t="s">
        <x:v>562</x:v>
      </x:c>
      <x:c r="L114" s="17" t="s">
        <x:v>111</x:v>
      </x:c>
      <x:c r="M114" s="17" t="s">
        <x:v>626</x:v>
      </x:c>
      <x:c r="N114" s="16"/>
      <x:c r="O114" s="18">
        <x:v>46249</x:v>
      </x:c>
      <x:c r="P114" s="19" t="s">
        <x:v>34</x:v>
      </x:c>
      <x:c r="Q114" s="17"/>
      <x:c r="R114" s="19" t="str">
        <x:f t="shared" si="1"/>
        <x:v>Discovery Link Only</x:v>
      </x:c>
      <x:c r="S114" s="43" t="str">
        <x:v>Unknown</x:v>
      </x:c>
      <x:c r="T114" s="43" t="str">
        <x:v>Unknown</x:v>
      </x:c>
      <x:c r="U114" s="43" t="str">
        <x:v>Unknown</x:v>
      </x:c>
      <x:c r="V114" s="43" t="str">
        <x:v>Unknown</x:v>
      </x:c>
      <x:c r="W114" s="43" t="str">
        <x:v>Unknown</x:v>
      </x:c>
      <x:c r="X114" s="43" t="str">
        <x:v>Unknown</x:v>
      </x:c>
      <x:c r="Y114" s="43" t="str">
        <x:v>Unknown</x:v>
      </x:c>
      <x:c r="Z114" s="43"/>
    </x:row>
    <x:row r="115" ht="60" customHeight="1">
      <x:c r="A115" s="16" t="s">
        <x:v>687</x:v>
      </x:c>
      <x:c r="B115" s="16" t="s">
        <x:v>688</x:v>
      </x:c>
      <x:c r="C115" s="16" t="s">
        <x:v>557</x:v>
      </x:c>
      <x:c r="D115" s="16" t="s">
        <x:v>683</x:v>
      </x:c>
      <x:c r="E115" s="16" t="s">
        <x:v>45</x:v>
      </x:c>
      <x:c r="F115" s="16" t="s">
        <x:v>194</x:v>
      </x:c>
      <x:c r="G115" s="16" t="s">
        <x:v>26</x:v>
      </x:c>
      <x:c r="H115" s="17" t="s">
        <x:v>244</x:v>
      </x:c>
      <x:c r="I115" s="17" t="s">
        <x:v>689</x:v>
      </x:c>
      <x:c r="J115" s="17" t="s">
        <x:v>690</x:v>
      </x:c>
      <x:c r="K115" s="17" t="s">
        <x:v>562</x:v>
      </x:c>
      <x:c r="L115" s="17" t="s">
        <x:v>111</x:v>
      </x:c>
      <x:c r="M115" s="17" t="s">
        <x:v>626</x:v>
      </x:c>
      <x:c r="N115" s="16"/>
      <x:c r="O115" s="18">
        <x:v>46249</x:v>
      </x:c>
      <x:c r="P115" s="19" t="s">
        <x:v>34</x:v>
      </x:c>
      <x:c r="Q115" s="17"/>
      <x:c r="R115" s="19" t="str">
        <x:f t="shared" si="1"/>
        <x:v>Discovery Link Only</x:v>
      </x:c>
      <x:c r="S115" s="43" t="str">
        <x:v>Unknown</x:v>
      </x:c>
      <x:c r="T115" s="43" t="str">
        <x:v>Unknown</x:v>
      </x:c>
      <x:c r="U115" s="43" t="str">
        <x:v>Unknown</x:v>
      </x:c>
      <x:c r="V115" s="43" t="str">
        <x:v>Unknown</x:v>
      </x:c>
      <x:c r="W115" s="43" t="str">
        <x:v>Unknown</x:v>
      </x:c>
      <x:c r="X115" s="43" t="str">
        <x:v>Unknown</x:v>
      </x:c>
      <x:c r="Y115" s="43" t="str">
        <x:v>Unknown</x:v>
      </x:c>
      <x:c r="Z115" s="43"/>
    </x:row>
    <x:row r="116" ht="60" customHeight="1">
      <x:c r="A116" s="16" t="s">
        <x:v>691</x:v>
      </x:c>
      <x:c r="B116" s="16" t="s">
        <x:v>692</x:v>
      </x:c>
      <x:c r="C116" s="16" t="s">
        <x:v>557</x:v>
      </x:c>
      <x:c r="D116" s="16" t="s">
        <x:v>693</x:v>
      </x:c>
      <x:c r="E116" s="16" t="s">
        <x:v>72</x:v>
      </x:c>
      <x:c r="F116" s="16" t="s">
        <x:v>121</x:v>
      </x:c>
      <x:c r="G116" s="16" t="s">
        <x:v>26</x:v>
      </x:c>
      <x:c r="H116" s="17" t="s">
        <x:v>694</x:v>
      </x:c>
      <x:c r="I116" s="17" t="s">
        <x:v>695</x:v>
      </x:c>
      <x:c r="J116" s="17" t="s">
        <x:v>696</x:v>
      </x:c>
      <x:c r="K116" s="17" t="s">
        <x:v>562</x:v>
      </x:c>
      <x:c r="L116" s="17" t="s">
        <x:v>111</x:v>
      </x:c>
      <x:c r="M116" s="17" t="s">
        <x:v>626</x:v>
      </x:c>
      <x:c r="N116" s="16"/>
      <x:c r="O116" s="18">
        <x:v>46249</x:v>
      </x:c>
      <x:c r="P116" s="19" t="s">
        <x:v>34</x:v>
      </x:c>
      <x:c r="Q116" s="17"/>
      <x:c r="R116" s="19" t="str">
        <x:f t="shared" si="1"/>
        <x:v>Discovery Link Only</x:v>
      </x:c>
      <x:c r="S116" s="43" t="str">
        <x:v>Unknown</x:v>
      </x:c>
      <x:c r="T116" s="43" t="str">
        <x:v>Unknown</x:v>
      </x:c>
      <x:c r="U116" s="43" t="str">
        <x:v>Unknown</x:v>
      </x:c>
      <x:c r="V116" s="43" t="str">
        <x:v>Unknown</x:v>
      </x:c>
      <x:c r="W116" s="43" t="str">
        <x:v>Unknown</x:v>
      </x:c>
      <x:c r="X116" s="43" t="str">
        <x:v>Unknown</x:v>
      </x:c>
      <x:c r="Y116" s="43" t="str">
        <x:v>Unknown</x:v>
      </x:c>
      <x:c r="Z116" s="43"/>
    </x:row>
    <x:row r="117" ht="60" customHeight="1">
      <x:c r="A117" s="16" t="s">
        <x:v>697</x:v>
      </x:c>
      <x:c r="B117" s="16" t="s">
        <x:v>698</x:v>
      </x:c>
      <x:c r="C117" s="16" t="s">
        <x:v>557</x:v>
      </x:c>
      <x:c r="D117" s="16" t="s">
        <x:v>699</x:v>
      </x:c>
      <x:c r="E117" s="16" t="s">
        <x:v>133</x:v>
      </x:c>
      <x:c r="F117" s="16" t="s">
        <x:v>127</x:v>
      </x:c>
      <x:c r="G117" s="16" t="s">
        <x:v>134</x:v>
      </x:c>
      <x:c r="H117" s="17" t="s">
        <x:v>700</x:v>
      </x:c>
      <x:c r="I117" s="17" t="s">
        <x:v>701</x:v>
      </x:c>
      <x:c r="J117" s="17" t="s">
        <x:v>702</x:v>
      </x:c>
      <x:c r="K117" s="17" t="s">
        <x:v>562</x:v>
      </x:c>
      <x:c r="L117" s="17" t="s">
        <x:v>111</x:v>
      </x:c>
      <x:c r="M117" s="17" t="s">
        <x:v>626</x:v>
      </x:c>
      <x:c r="N117" s="16"/>
      <x:c r="O117" s="18">
        <x:v>46249</x:v>
      </x:c>
      <x:c r="P117" s="19" t="s">
        <x:v>34</x:v>
      </x:c>
      <x:c r="Q117" s="17"/>
      <x:c r="R117" s="19" t="str">
        <x:f t="shared" si="1"/>
        <x:v>Discovery Link Only</x:v>
      </x:c>
      <x:c r="S117" s="43" t="str">
        <x:v>Unknown</x:v>
      </x:c>
      <x:c r="T117" s="43" t="str">
        <x:v>Unknown</x:v>
      </x:c>
      <x:c r="U117" s="43" t="str">
        <x:v>Unknown</x:v>
      </x:c>
      <x:c r="V117" s="43" t="str">
        <x:v>Unknown</x:v>
      </x:c>
      <x:c r="W117" s="43" t="str">
        <x:v>Unknown</x:v>
      </x:c>
      <x:c r="X117" s="43" t="str">
        <x:v>Unknown</x:v>
      </x:c>
      <x:c r="Y117" s="43" t="str">
        <x:v>Unknown</x:v>
      </x:c>
      <x:c r="Z117" s="43"/>
    </x:row>
    <x:row r="118" ht="60" customHeight="1">
      <x:c r="A118" s="16" t="s">
        <x:v>703</x:v>
      </x:c>
      <x:c r="B118" s="16" t="s">
        <x:v>704</x:v>
      </x:c>
      <x:c r="C118" s="16" t="s">
        <x:v>705</x:v>
      </x:c>
      <x:c r="D118" s="16" t="s">
        <x:v>704</x:v>
      </x:c>
      <x:c r="E118" s="16" t="s">
        <x:v>72</x:v>
      </x:c>
      <x:c r="F118" s="16" t="s">
        <x:v>25</x:v>
      </x:c>
      <x:c r="G118" s="16" t="s">
        <x:v>46</x:v>
      </x:c>
      <x:c r="H118" s="17" t="s">
        <x:v>706</x:v>
      </x:c>
      <x:c r="I118" s="17" t="s">
        <x:v>707</x:v>
      </x:c>
      <x:c r="J118" s="17" t="s">
        <x:v>708</x:v>
      </x:c>
      <x:c r="K118" s="17" t="s">
        <x:v>709</x:v>
      </x:c>
      <x:c r="L118" s="17" t="s">
        <x:v>58</x:v>
      </x:c>
      <x:c r="M118" s="17" t="s">
        <x:v>256</x:v>
      </x:c>
      <x:c r="N118" s="16" t="s">
        <x:v>710</x:v>
      </x:c>
      <x:c r="O118" s="18">
        <x:v>46249</x:v>
      </x:c>
      <x:c r="P118" s="19" t="s">
        <x:v>34</x:v>
      </x:c>
      <x:c r="Q118" s="17"/>
      <x:c r="R118" s="19" t="str">
        <x:f t="shared" si="1"/>
        <x:v>Source Link Present</x:v>
      </x:c>
      <x:c r="S118" s="43" t="str">
        <x:v>Unknown</x:v>
      </x:c>
      <x:c r="T118" s="43" t="str">
        <x:v>Unknown</x:v>
      </x:c>
      <x:c r="U118" s="43" t="str">
        <x:v>Unknown</x:v>
      </x:c>
      <x:c r="V118" s="43" t="str">
        <x:v>Unknown</x:v>
      </x:c>
      <x:c r="W118" s="43" t="str">
        <x:v>Unknown</x:v>
      </x:c>
      <x:c r="X118" s="43" t="str">
        <x:v>Unknown</x:v>
      </x:c>
      <x:c r="Y118" s="43" t="str">
        <x:v>Unknown</x:v>
      </x:c>
      <x:c r="Z118" s="43"/>
    </x:row>
    <x:row r="119" ht="60" customHeight="1">
      <x:c r="A119" s="16" t="s">
        <x:v>711</x:v>
      </x:c>
      <x:c r="B119" s="16" t="s">
        <x:v>712</x:v>
      </x:c>
      <x:c r="C119" s="16" t="s">
        <x:v>705</x:v>
      </x:c>
      <x:c r="D119" s="16" t="s">
        <x:v>713</x:v>
      </x:c>
      <x:c r="E119" s="16" t="s">
        <x:v>45</x:v>
      </x:c>
      <x:c r="F119" s="16" t="s">
        <x:v>25</x:v>
      </x:c>
      <x:c r="G119" s="16" t="s">
        <x:v>26</x:v>
      </x:c>
      <x:c r="H119" s="17" t="s">
        <x:v>714</x:v>
      </x:c>
      <x:c r="I119" s="17" t="s">
        <x:v>715</x:v>
      </x:c>
      <x:c r="J119" s="17" t="s">
        <x:v>716</x:v>
      </x:c>
      <x:c r="K119" s="17" t="s">
        <x:v>709</x:v>
      </x:c>
      <x:c r="L119" s="17" t="s">
        <x:v>58</x:v>
      </x:c>
      <x:c r="M119" s="17" t="s">
        <x:v>256</x:v>
      </x:c>
      <x:c r="N119" s="16" t="s">
        <x:v>717</x:v>
      </x:c>
      <x:c r="O119" s="18">
        <x:v>46249</x:v>
      </x:c>
      <x:c r="P119" s="19" t="s">
        <x:v>34</x:v>
      </x:c>
      <x:c r="Q119" s="17"/>
      <x:c r="R119" s="19" t="str">
        <x:f t="shared" si="1"/>
        <x:v>Source Link Present</x:v>
      </x:c>
      <x:c r="S119" s="43" t="str">
        <x:v>Unknown</x:v>
      </x:c>
      <x:c r="T119" s="43" t="str">
        <x:v>Unknown</x:v>
      </x:c>
      <x:c r="U119" s="43" t="str">
        <x:v>Unknown</x:v>
      </x:c>
      <x:c r="V119" s="43" t="str">
        <x:v>Unknown</x:v>
      </x:c>
      <x:c r="W119" s="43" t="str">
        <x:v>Unknown</x:v>
      </x:c>
      <x:c r="X119" s="43" t="str">
        <x:v>Unknown</x:v>
      </x:c>
      <x:c r="Y119" s="43" t="str">
        <x:v>Unknown</x:v>
      </x:c>
      <x:c r="Z119" s="43"/>
    </x:row>
    <x:row r="120" ht="60" customHeight="1">
      <x:c r="A120" s="16" t="s">
        <x:v>718</x:v>
      </x:c>
      <x:c r="B120" s="16" t="s">
        <x:v>719</x:v>
      </x:c>
      <x:c r="C120" s="16" t="s">
        <x:v>705</x:v>
      </x:c>
      <x:c r="D120" s="16" t="s">
        <x:v>704</x:v>
      </x:c>
      <x:c r="E120" s="16" t="s">
        <x:v>133</x:v>
      </x:c>
      <x:c r="F120" s="16" t="s">
        <x:v>25</x:v>
      </x:c>
      <x:c r="G120" s="16" t="s">
        <x:v>46</x:v>
      </x:c>
      <x:c r="H120" s="17" t="s">
        <x:v>720</x:v>
      </x:c>
      <x:c r="I120" s="17" t="s">
        <x:v>721</x:v>
      </x:c>
      <x:c r="J120" s="17" t="s">
        <x:v>722</x:v>
      </x:c>
      <x:c r="K120" s="17" t="s">
        <x:v>709</x:v>
      </x:c>
      <x:c r="L120" s="17" t="s">
        <x:v>58</x:v>
      </x:c>
      <x:c r="M120" s="17" t="s">
        <x:v>256</x:v>
      </x:c>
      <x:c r="N120" s="16" t="s">
        <x:v>723</x:v>
      </x:c>
      <x:c r="O120" s="18">
        <x:v>46249</x:v>
      </x:c>
      <x:c r="P120" s="19" t="s">
        <x:v>34</x:v>
      </x:c>
      <x:c r="Q120" s="17"/>
      <x:c r="R120" s="19" t="str">
        <x:f t="shared" si="1"/>
        <x:v>Discovery Link Only</x:v>
      </x:c>
      <x:c r="S120" s="43" t="str">
        <x:v>Unknown</x:v>
      </x:c>
      <x:c r="T120" s="43" t="str">
        <x:v>Unknown</x:v>
      </x:c>
      <x:c r="U120" s="43" t="str">
        <x:v>Unknown</x:v>
      </x:c>
      <x:c r="V120" s="43" t="str">
        <x:v>Unknown</x:v>
      </x:c>
      <x:c r="W120" s="43" t="str">
        <x:v>Unknown</x:v>
      </x:c>
      <x:c r="X120" s="43" t="str">
        <x:v>Unknown</x:v>
      </x:c>
      <x:c r="Y120" s="43" t="str">
        <x:v>Unknown</x:v>
      </x:c>
      <x:c r="Z120" s="43"/>
    </x:row>
    <x:row r="121" ht="60" customHeight="1">
      <x:c r="A121" s="16" t="s">
        <x:v>724</x:v>
      </x:c>
      <x:c r="B121" s="16" t="s">
        <x:v>725</x:v>
      </x:c>
      <x:c r="C121" s="16" t="s">
        <x:v>705</x:v>
      </x:c>
      <x:c r="D121" s="16" t="s">
        <x:v>704</x:v>
      </x:c>
      <x:c r="E121" s="16" t="s">
        <x:v>115</x:v>
      </x:c>
      <x:c r="F121" s="16" t="s">
        <x:v>25</x:v>
      </x:c>
      <x:c r="G121" s="16" t="s">
        <x:v>26</x:v>
      </x:c>
      <x:c r="H121" s="17" t="s">
        <x:v>726</x:v>
      </x:c>
      <x:c r="I121" s="17" t="s">
        <x:v>727</x:v>
      </x:c>
      <x:c r="J121" s="17" t="s">
        <x:v>728</x:v>
      </x:c>
      <x:c r="K121" s="17" t="s">
        <x:v>709</x:v>
      </x:c>
      <x:c r="L121" s="17" t="s">
        <x:v>58</x:v>
      </x:c>
      <x:c r="M121" s="17" t="s">
        <x:v>256</x:v>
      </x:c>
      <x:c r="N121" s="16" t="s">
        <x:v>729</x:v>
      </x:c>
      <x:c r="O121" s="18">
        <x:v>46249</x:v>
      </x:c>
      <x:c r="P121" s="19" t="s">
        <x:v>34</x:v>
      </x:c>
      <x:c r="Q121" s="17"/>
      <x:c r="R121" s="19" t="str">
        <x:f t="shared" si="1"/>
        <x:v>Discovery Link Only</x:v>
      </x:c>
      <x:c r="S121" s="43" t="str">
        <x:v>Unknown</x:v>
      </x:c>
      <x:c r="T121" s="43" t="str">
        <x:v>Unknown</x:v>
      </x:c>
      <x:c r="U121" s="43" t="str">
        <x:v>Unknown</x:v>
      </x:c>
      <x:c r="V121" s="43" t="str">
        <x:v>Unknown</x:v>
      </x:c>
      <x:c r="W121" s="43" t="str">
        <x:v>Unknown</x:v>
      </x:c>
      <x:c r="X121" s="43" t="str">
        <x:v>Unknown</x:v>
      </x:c>
      <x:c r="Y121" s="43" t="str">
        <x:v>Unknown</x:v>
      </x:c>
      <x:c r="Z121" s="43"/>
    </x:row>
    <x:row r="122" ht="60" customHeight="1">
      <x:c r="A122" s="16" t="s">
        <x:v>730</x:v>
      </x:c>
      <x:c r="B122" s="16" t="s">
        <x:v>731</x:v>
      </x:c>
      <x:c r="C122" s="16" t="s">
        <x:v>705</x:v>
      </x:c>
      <x:c r="D122" s="16" t="s">
        <x:v>732</x:v>
      </x:c>
      <x:c r="E122" s="16" t="s">
        <x:v>133</x:v>
      </x:c>
      <x:c r="F122" s="16" t="s">
        <x:v>25</x:v>
      </x:c>
      <x:c r="G122" s="16" t="s">
        <x:v>46</x:v>
      </x:c>
      <x:c r="H122" s="17" t="s">
        <x:v>733</x:v>
      </x:c>
      <x:c r="I122" s="17" t="s">
        <x:v>734</x:v>
      </x:c>
      <x:c r="J122" s="17" t="s">
        <x:v>735</x:v>
      </x:c>
      <x:c r="K122" s="17" t="s">
        <x:v>709</x:v>
      </x:c>
      <x:c r="L122" s="17" t="s">
        <x:v>58</x:v>
      </x:c>
      <x:c r="M122" s="17" t="s">
        <x:v>256</x:v>
      </x:c>
      <x:c r="N122" s="16" t="s">
        <x:v>736</x:v>
      </x:c>
      <x:c r="O122" s="18">
        <x:v>46249</x:v>
      </x:c>
      <x:c r="P122" s="19" t="s">
        <x:v>34</x:v>
      </x:c>
      <x:c r="Q122" s="17"/>
      <x:c r="R122" s="19" t="str">
        <x:f t="shared" si="1"/>
        <x:v>Discovery Link Only</x:v>
      </x:c>
      <x:c r="S122" s="43" t="str">
        <x:v>Unknown</x:v>
      </x:c>
      <x:c r="T122" s="43" t="str">
        <x:v>Unknown</x:v>
      </x:c>
      <x:c r="U122" s="43" t="str">
        <x:v>Unknown</x:v>
      </x:c>
      <x:c r="V122" s="43" t="str">
        <x:v>Unknown</x:v>
      </x:c>
      <x:c r="W122" s="43" t="str">
        <x:v>Unknown</x:v>
      </x:c>
      <x:c r="X122" s="43" t="str">
        <x:v>Unknown</x:v>
      </x:c>
      <x:c r="Y122" s="43" t="str">
        <x:v>Unknown</x:v>
      </x:c>
      <x:c r="Z122" s="43"/>
    </x:row>
    <x:row r="123" ht="60" customHeight="1">
      <x:c r="A123" s="16" t="s">
        <x:v>737</x:v>
      </x:c>
      <x:c r="B123" s="16" t="s">
        <x:v>738</x:v>
      </x:c>
      <x:c r="C123" s="16" t="s">
        <x:v>705</x:v>
      </x:c>
      <x:c r="D123" s="16" t="s">
        <x:v>713</x:v>
      </x:c>
      <x:c r="E123" s="16" t="s">
        <x:v>133</x:v>
      </x:c>
      <x:c r="F123" s="16" t="s">
        <x:v>25</x:v>
      </x:c>
      <x:c r="G123" s="16" t="s">
        <x:v>46</x:v>
      </x:c>
      <x:c r="H123" s="17" t="s">
        <x:v>739</x:v>
      </x:c>
      <x:c r="I123" s="17" t="s">
        <x:v>740</x:v>
      </x:c>
      <x:c r="J123" s="17" t="s">
        <x:v>741</x:v>
      </x:c>
      <x:c r="K123" s="17" t="s">
        <x:v>709</x:v>
      </x:c>
      <x:c r="L123" s="17" t="s">
        <x:v>58</x:v>
      </x:c>
      <x:c r="M123" s="17" t="s">
        <x:v>256</x:v>
      </x:c>
      <x:c r="N123" s="16" t="s">
        <x:v>742</x:v>
      </x:c>
      <x:c r="O123" s="18">
        <x:v>46249</x:v>
      </x:c>
      <x:c r="P123" s="19" t="s">
        <x:v>34</x:v>
      </x:c>
      <x:c r="Q123" s="17"/>
      <x:c r="R123" s="19" t="str">
        <x:f t="shared" si="1"/>
        <x:v>Discovery Link Only</x:v>
      </x:c>
      <x:c r="S123" s="43" t="str">
        <x:v>Unknown</x:v>
      </x:c>
      <x:c r="T123" s="43" t="str">
        <x:v>Unknown</x:v>
      </x:c>
      <x:c r="U123" s="43" t="str">
        <x:v>Unknown</x:v>
      </x:c>
      <x:c r="V123" s="43" t="str">
        <x:v>Unknown</x:v>
      </x:c>
      <x:c r="W123" s="43" t="str">
        <x:v>Unknown</x:v>
      </x:c>
      <x:c r="X123" s="43" t="str">
        <x:v>Unknown</x:v>
      </x:c>
      <x:c r="Y123" s="43" t="str">
        <x:v>Unknown</x:v>
      </x:c>
      <x:c r="Z123" s="43"/>
    </x:row>
    <x:row r="124" ht="60" customHeight="1">
      <x:c r="A124" s="16" t="s">
        <x:v>743</x:v>
      </x:c>
      <x:c r="B124" s="16" t="s">
        <x:v>744</x:v>
      </x:c>
      <x:c r="C124" s="16" t="s">
        <x:v>705</x:v>
      </x:c>
      <x:c r="D124" s="16" t="s">
        <x:v>745</x:v>
      </x:c>
      <x:c r="E124" s="16" t="s">
        <x:v>54</x:v>
      </x:c>
      <x:c r="F124" s="16" t="s">
        <x:v>25</x:v>
      </x:c>
      <x:c r="G124" s="16" t="s">
        <x:v>26</x:v>
      </x:c>
      <x:c r="H124" s="17" t="s">
        <x:v>746</x:v>
      </x:c>
      <x:c r="I124" s="17" t="s">
        <x:v>747</x:v>
      </x:c>
      <x:c r="J124" s="17" t="s">
        <x:v>748</x:v>
      </x:c>
      <x:c r="K124" s="17" t="s">
        <x:v>709</x:v>
      </x:c>
      <x:c r="L124" s="17" t="s">
        <x:v>58</x:v>
      </x:c>
      <x:c r="M124" s="17" t="s">
        <x:v>256</x:v>
      </x:c>
      <x:c r="N124" s="16" t="s">
        <x:v>749</x:v>
      </x:c>
      <x:c r="O124" s="18">
        <x:v>46249</x:v>
      </x:c>
      <x:c r="P124" s="19" t="s">
        <x:v>34</x:v>
      </x:c>
      <x:c r="Q124" s="17"/>
      <x:c r="R124" s="19" t="str">
        <x:f t="shared" si="1"/>
        <x:v>Discovery Link Only</x:v>
      </x:c>
      <x:c r="S124" s="43" t="str">
        <x:v>Unknown</x:v>
      </x:c>
      <x:c r="T124" s="43" t="str">
        <x:v>Unknown</x:v>
      </x:c>
      <x:c r="U124" s="43" t="str">
        <x:v>Unknown</x:v>
      </x:c>
      <x:c r="V124" s="43" t="str">
        <x:v>Unknown</x:v>
      </x:c>
      <x:c r="W124" s="43" t="str">
        <x:v>Unknown</x:v>
      </x:c>
      <x:c r="X124" s="43" t="str">
        <x:v>Unknown</x:v>
      </x:c>
      <x:c r="Y124" s="43" t="str">
        <x:v>Unknown</x:v>
      </x:c>
      <x:c r="Z124" s="43"/>
    </x:row>
    <x:row r="125" ht="60" customHeight="1">
      <x:c r="A125" s="16" t="s">
        <x:v>750</x:v>
      </x:c>
      <x:c r="B125" s="16" t="s">
        <x:v>751</x:v>
      </x:c>
      <x:c r="C125" s="16" t="s">
        <x:v>705</x:v>
      </x:c>
      <x:c r="D125" s="16" t="s">
        <x:v>713</x:v>
      </x:c>
      <x:c r="E125" s="16" t="s">
        <x:v>251</x:v>
      </x:c>
      <x:c r="F125" s="16" t="s">
        <x:v>25</x:v>
      </x:c>
      <x:c r="G125" s="16" t="s">
        <x:v>26</x:v>
      </x:c>
      <x:c r="H125" s="17" t="s">
        <x:v>752</x:v>
      </x:c>
      <x:c r="I125" s="17" t="s">
        <x:v>753</x:v>
      </x:c>
      <x:c r="J125" s="17" t="s">
        <x:v>754</x:v>
      </x:c>
      <x:c r="K125" s="17" t="s">
        <x:v>709</x:v>
      </x:c>
      <x:c r="L125" s="17" t="s">
        <x:v>58</x:v>
      </x:c>
      <x:c r="M125" s="17" t="s">
        <x:v>256</x:v>
      </x:c>
      <x:c r="N125" s="16" t="s">
        <x:v>755</x:v>
      </x:c>
      <x:c r="O125" s="18">
        <x:v>46249</x:v>
      </x:c>
      <x:c r="P125" s="19" t="s">
        <x:v>34</x:v>
      </x:c>
      <x:c r="Q125" s="17"/>
      <x:c r="R125" s="19" t="str">
        <x:f t="shared" si="1"/>
        <x:v>Discovery Link Only</x:v>
      </x:c>
      <x:c r="S125" s="43" t="str">
        <x:v>Unknown</x:v>
      </x:c>
      <x:c r="T125" s="43" t="str">
        <x:v>Unknown</x:v>
      </x:c>
      <x:c r="U125" s="43" t="str">
        <x:v>Unknown</x:v>
      </x:c>
      <x:c r="V125" s="43" t="str">
        <x:v>Unknown</x:v>
      </x:c>
      <x:c r="W125" s="43" t="str">
        <x:v>Unknown</x:v>
      </x:c>
      <x:c r="X125" s="43" t="str">
        <x:v>Unknown</x:v>
      </x:c>
      <x:c r="Y125" s="43" t="str">
        <x:v>Unknown</x:v>
      </x:c>
      <x:c r="Z125" s="43"/>
    </x:row>
    <x:row r="126" ht="60" customHeight="1">
      <x:c r="A126" s="16" t="s">
        <x:v>756</x:v>
      </x:c>
      <x:c r="B126" s="16" t="s">
        <x:v>757</x:v>
      </x:c>
      <x:c r="C126" s="16" t="s">
        <x:v>705</x:v>
      </x:c>
      <x:c r="D126" s="16" t="s">
        <x:v>745</x:v>
      </x:c>
      <x:c r="E126" s="16" t="s">
        <x:v>24</x:v>
      </x:c>
      <x:c r="F126" s="16" t="s">
        <x:v>25</x:v>
      </x:c>
      <x:c r="G126" s="16" t="s">
        <x:v>26</x:v>
      </x:c>
      <x:c r="H126" s="17" t="s">
        <x:v>758</x:v>
      </x:c>
      <x:c r="I126" s="17" t="s">
        <x:v>759</x:v>
      </x:c>
      <x:c r="J126" s="17" t="s">
        <x:v>760</x:v>
      </x:c>
      <x:c r="K126" s="17" t="s">
        <x:v>709</x:v>
      </x:c>
      <x:c r="L126" s="17" t="s">
        <x:v>58</x:v>
      </x:c>
      <x:c r="M126" s="17" t="s">
        <x:v>256</x:v>
      </x:c>
      <x:c r="N126" s="16" t="s">
        <x:v>761</x:v>
      </x:c>
      <x:c r="O126" s="18">
        <x:v>46249</x:v>
      </x:c>
      <x:c r="P126" s="19" t="s">
        <x:v>34</x:v>
      </x:c>
      <x:c r="Q126" s="17"/>
      <x:c r="R126" s="19" t="str">
        <x:f t="shared" si="1"/>
        <x:v>Discovery Link Only</x:v>
      </x:c>
      <x:c r="S126" s="43" t="str">
        <x:v>Unknown</x:v>
      </x:c>
      <x:c r="T126" s="43" t="str">
        <x:v>Unknown</x:v>
      </x:c>
      <x:c r="U126" s="43" t="str">
        <x:v>Unknown</x:v>
      </x:c>
      <x:c r="V126" s="43" t="str">
        <x:v>Unknown</x:v>
      </x:c>
      <x:c r="W126" s="43" t="str">
        <x:v>Unknown</x:v>
      </x:c>
      <x:c r="X126" s="43" t="str">
        <x:v>Unknown</x:v>
      </x:c>
      <x:c r="Y126" s="43" t="str">
        <x:v>Unknown</x:v>
      </x:c>
      <x:c r="Z126" s="43"/>
    </x:row>
    <x:row r="127" ht="60" customHeight="1">
      <x:c r="A127" s="16" t="s">
        <x:v>762</x:v>
      </x:c>
      <x:c r="B127" s="16" t="s">
        <x:v>763</x:v>
      </x:c>
      <x:c r="C127" s="16" t="s">
        <x:v>705</x:v>
      </x:c>
      <x:c r="D127" s="16" t="s">
        <x:v>764</x:v>
      </x:c>
      <x:c r="E127" s="16" t="s">
        <x:v>45</x:v>
      </x:c>
      <x:c r="F127" s="16" t="s">
        <x:v>25</x:v>
      </x:c>
      <x:c r="G127" s="16" t="s">
        <x:v>26</x:v>
      </x:c>
      <x:c r="H127" s="17" t="s">
        <x:v>765</x:v>
      </x:c>
      <x:c r="I127" s="17" t="s">
        <x:v>766</x:v>
      </x:c>
      <x:c r="J127" s="17" t="s">
        <x:v>767</x:v>
      </x:c>
      <x:c r="K127" s="17" t="s">
        <x:v>709</x:v>
      </x:c>
      <x:c r="L127" s="17" t="s">
        <x:v>58</x:v>
      </x:c>
      <x:c r="M127" s="17" t="s">
        <x:v>256</x:v>
      </x:c>
      <x:c r="N127" s="16" t="s">
        <x:v>768</x:v>
      </x:c>
      <x:c r="O127" s="18">
        <x:v>46249</x:v>
      </x:c>
      <x:c r="P127" s="19" t="s">
        <x:v>34</x:v>
      </x:c>
      <x:c r="Q127" s="17"/>
      <x:c r="R127" s="19" t="str">
        <x:f t="shared" si="1"/>
        <x:v>Discovery Link Only</x:v>
      </x:c>
      <x:c r="S127" s="43" t="str">
        <x:v>Unknown</x:v>
      </x:c>
      <x:c r="T127" s="43" t="str">
        <x:v>Unknown</x:v>
      </x:c>
      <x:c r="U127" s="43" t="str">
        <x:v>Unknown</x:v>
      </x:c>
      <x:c r="V127" s="43" t="str">
        <x:v>Unknown</x:v>
      </x:c>
      <x:c r="W127" s="43" t="str">
        <x:v>Unknown</x:v>
      </x:c>
      <x:c r="X127" s="43" t="str">
        <x:v>Unknown</x:v>
      </x:c>
      <x:c r="Y127" s="43" t="str">
        <x:v>Unknown</x:v>
      </x:c>
      <x:c r="Z127" s="43"/>
    </x:row>
    <x:row r="128" ht="60" customHeight="1">
      <x:c r="A128" s="16" t="s">
        <x:v>769</x:v>
      </x:c>
      <x:c r="B128" s="16" t="s">
        <x:v>770</x:v>
      </x:c>
      <x:c r="C128" s="16" t="s">
        <x:v>705</x:v>
      </x:c>
      <x:c r="D128" s="16" t="s">
        <x:v>745</x:v>
      </x:c>
      <x:c r="E128" s="16" t="s">
        <x:v>133</x:v>
      </x:c>
      <x:c r="F128" s="16" t="s">
        <x:v>107</x:v>
      </x:c>
      <x:c r="G128" s="16" t="s">
        <x:v>134</x:v>
      </x:c>
      <x:c r="H128" s="17" t="s">
        <x:v>771</x:v>
      </x:c>
      <x:c r="I128" s="17" t="s">
        <x:v>772</x:v>
      </x:c>
      <x:c r="J128" s="17" t="s">
        <x:v>773</x:v>
      </x:c>
      <x:c r="K128" s="17" t="s">
        <x:v>709</x:v>
      </x:c>
      <x:c r="L128" s="17" t="s">
        <x:v>111</x:v>
      </x:c>
      <x:c r="M128" s="17" t="s">
        <x:v>774</x:v>
      </x:c>
      <x:c r="N128" s="16"/>
      <x:c r="O128" s="18">
        <x:v>46249</x:v>
      </x:c>
      <x:c r="P128" s="19" t="s">
        <x:v>34</x:v>
      </x:c>
      <x:c r="Q128" s="17"/>
      <x:c r="R128" s="19" t="str">
        <x:f t="shared" si="1"/>
        <x:v>Discovery Link Only</x:v>
      </x:c>
      <x:c r="S128" s="43" t="str">
        <x:v>Unknown</x:v>
      </x:c>
      <x:c r="T128" s="43" t="str">
        <x:v>Unknown</x:v>
      </x:c>
      <x:c r="U128" s="43" t="str">
        <x:v>Unknown</x:v>
      </x:c>
      <x:c r="V128" s="43" t="str">
        <x:v>Unknown</x:v>
      </x:c>
      <x:c r="W128" s="43" t="str">
        <x:v>Unknown</x:v>
      </x:c>
      <x:c r="X128" s="43" t="str">
        <x:v>Unknown</x:v>
      </x:c>
      <x:c r="Y128" s="43" t="str">
        <x:v>Unknown</x:v>
      </x:c>
      <x:c r="Z128" s="43"/>
    </x:row>
    <x:row r="129" ht="60" customHeight="1">
      <x:c r="A129" s="16" t="s">
        <x:v>775</x:v>
      </x:c>
      <x:c r="B129" s="16" t="s">
        <x:v>776</x:v>
      </x:c>
      <x:c r="C129" s="16" t="s">
        <x:v>705</x:v>
      </x:c>
      <x:c r="D129" s="16" t="s">
        <x:v>745</x:v>
      </x:c>
      <x:c r="E129" s="16" t="s">
        <x:v>24</x:v>
      </x:c>
      <x:c r="F129" s="16" t="s">
        <x:v>121</x:v>
      </x:c>
      <x:c r="G129" s="16" t="s">
        <x:v>26</x:v>
      </x:c>
      <x:c r="H129" s="17" t="s">
        <x:v>777</x:v>
      </x:c>
      <x:c r="I129" s="17" t="s">
        <x:v>778</x:v>
      </x:c>
      <x:c r="J129" s="17" t="s">
        <x:v>779</x:v>
      </x:c>
      <x:c r="K129" s="17" t="s">
        <x:v>709</x:v>
      </x:c>
      <x:c r="L129" s="17" t="s">
        <x:v>111</x:v>
      </x:c>
      <x:c r="M129" s="17" t="s">
        <x:v>774</x:v>
      </x:c>
      <x:c r="N129" s="16"/>
      <x:c r="O129" s="18">
        <x:v>46249</x:v>
      </x:c>
      <x:c r="P129" s="19" t="s">
        <x:v>34</x:v>
      </x:c>
      <x:c r="Q129" s="17"/>
      <x:c r="R129" s="19" t="str">
        <x:f t="shared" si="1"/>
        <x:v>Discovery Link Only</x:v>
      </x:c>
      <x:c r="S129" s="43" t="str">
        <x:v>Unknown</x:v>
      </x:c>
      <x:c r="T129" s="43" t="str">
        <x:v>Unknown</x:v>
      </x:c>
      <x:c r="U129" s="43" t="str">
        <x:v>Unknown</x:v>
      </x:c>
      <x:c r="V129" s="43" t="str">
        <x:v>Unknown</x:v>
      </x:c>
      <x:c r="W129" s="43" t="str">
        <x:v>Unknown</x:v>
      </x:c>
      <x:c r="X129" s="43" t="str">
        <x:v>Unknown</x:v>
      </x:c>
      <x:c r="Y129" s="43" t="str">
        <x:v>Unknown</x:v>
      </x:c>
      <x:c r="Z129" s="43"/>
    </x:row>
    <x:row r="130" ht="60" customHeight="1">
      <x:c r="A130" s="16" t="s">
        <x:v>780</x:v>
      </x:c>
      <x:c r="B130" s="16" t="s">
        <x:v>781</x:v>
      </x:c>
      <x:c r="C130" s="16" t="s">
        <x:v>705</x:v>
      </x:c>
      <x:c r="D130" s="16" t="s">
        <x:v>745</x:v>
      </x:c>
      <x:c r="E130" s="16" t="s">
        <x:v>106</x:v>
      </x:c>
      <x:c r="F130" s="16" t="s">
        <x:v>121</x:v>
      </x:c>
      <x:c r="G130" s="16" t="s">
        <x:v>46</x:v>
      </x:c>
      <x:c r="H130" s="17" t="s">
        <x:v>782</x:v>
      </x:c>
      <x:c r="I130" s="17" t="s">
        <x:v>783</x:v>
      </x:c>
      <x:c r="J130" s="17" t="s">
        <x:v>784</x:v>
      </x:c>
      <x:c r="K130" s="17" t="s">
        <x:v>709</x:v>
      </x:c>
      <x:c r="L130" s="17" t="s">
        <x:v>111</x:v>
      </x:c>
      <x:c r="M130" s="17" t="s">
        <x:v>774</x:v>
      </x:c>
      <x:c r="N130" s="16"/>
      <x:c r="O130" s="18">
        <x:v>46249</x:v>
      </x:c>
      <x:c r="P130" s="19" t="s">
        <x:v>34</x:v>
      </x:c>
      <x:c r="Q130" s="17"/>
      <x:c r="R130" s="19" t="str">
        <x:f t="shared" si="1"/>
        <x:v>Discovery Link Only</x:v>
      </x:c>
      <x:c r="S130" s="43" t="str">
        <x:v>Unknown</x:v>
      </x:c>
      <x:c r="T130" s="43" t="str">
        <x:v>Unknown</x:v>
      </x:c>
      <x:c r="U130" s="43" t="str">
        <x:v>Unknown</x:v>
      </x:c>
      <x:c r="V130" s="43" t="str">
        <x:v>Unknown</x:v>
      </x:c>
      <x:c r="W130" s="43" t="str">
        <x:v>Unknown</x:v>
      </x:c>
      <x:c r="X130" s="43" t="str">
        <x:v>Unknown</x:v>
      </x:c>
      <x:c r="Y130" s="43" t="str">
        <x:v>Unknown</x:v>
      </x:c>
      <x:c r="Z130" s="43"/>
    </x:row>
    <x:row r="131" ht="60" customHeight="1">
      <x:c r="A131" s="16" t="s">
        <x:v>785</x:v>
      </x:c>
      <x:c r="B131" s="16" t="s">
        <x:v>786</x:v>
      </x:c>
      <x:c r="C131" s="16" t="s">
        <x:v>705</x:v>
      </x:c>
      <x:c r="D131" s="16" t="s">
        <x:v>745</x:v>
      </x:c>
      <x:c r="E131" s="16" t="s">
        <x:v>133</x:v>
      </x:c>
      <x:c r="F131" s="16" t="s">
        <x:v>121</x:v>
      </x:c>
      <x:c r="G131" s="16" t="s">
        <x:v>134</x:v>
      </x:c>
      <x:c r="H131" s="17" t="s">
        <x:v>787</x:v>
      </x:c>
      <x:c r="I131" s="17" t="s">
        <x:v>788</x:v>
      </x:c>
      <x:c r="J131" s="17" t="s">
        <x:v>789</x:v>
      </x:c>
      <x:c r="K131" s="17" t="s">
        <x:v>709</x:v>
      </x:c>
      <x:c r="L131" s="17" t="s">
        <x:v>111</x:v>
      </x:c>
      <x:c r="M131" s="17" t="s">
        <x:v>774</x:v>
      </x:c>
      <x:c r="N131" s="16"/>
      <x:c r="O131" s="18">
        <x:v>46249</x:v>
      </x:c>
      <x:c r="P131" s="19" t="s">
        <x:v>34</x:v>
      </x:c>
      <x:c r="Q131" s="17"/>
      <x:c r="R131" s="19" t="str">
        <x:f t="shared" si="1"/>
        <x:v>Discovery Link Only</x:v>
      </x:c>
      <x:c r="S131" s="43" t="str">
        <x:v>Unknown</x:v>
      </x:c>
      <x:c r="T131" s="43" t="str">
        <x:v>Unknown</x:v>
      </x:c>
      <x:c r="U131" s="43" t="str">
        <x:v>Unknown</x:v>
      </x:c>
      <x:c r="V131" s="43" t="str">
        <x:v>Unknown</x:v>
      </x:c>
      <x:c r="W131" s="43" t="str">
        <x:v>Unknown</x:v>
      </x:c>
      <x:c r="X131" s="43" t="str">
        <x:v>Unknown</x:v>
      </x:c>
      <x:c r="Y131" s="43" t="str">
        <x:v>Unknown</x:v>
      </x:c>
      <x:c r="Z131" s="43"/>
    </x:row>
    <x:row r="132" ht="60" customHeight="1">
      <x:c r="A132" s="16" t="s">
        <x:v>790</x:v>
      </x:c>
      <x:c r="B132" s="16" t="s">
        <x:v>791</x:v>
      </x:c>
      <x:c r="C132" s="16" t="s">
        <x:v>705</x:v>
      </x:c>
      <x:c r="D132" s="16" t="s">
        <x:v>713</x:v>
      </x:c>
      <x:c r="E132" s="16" t="s">
        <x:v>133</x:v>
      </x:c>
      <x:c r="F132" s="16" t="s">
        <x:v>107</x:v>
      </x:c>
      <x:c r="G132" s="16" t="s">
        <x:v>134</x:v>
      </x:c>
      <x:c r="H132" s="17" t="s">
        <x:v>792</x:v>
      </x:c>
      <x:c r="I132" s="17" t="s">
        <x:v>793</x:v>
      </x:c>
      <x:c r="J132" s="17" t="s">
        <x:v>794</x:v>
      </x:c>
      <x:c r="K132" s="17" t="s">
        <x:v>709</x:v>
      </x:c>
      <x:c r="L132" s="17" t="s">
        <x:v>111</x:v>
      </x:c>
      <x:c r="M132" s="17" t="s">
        <x:v>774</x:v>
      </x:c>
      <x:c r="N132" s="16"/>
      <x:c r="O132" s="18">
        <x:v>46249</x:v>
      </x:c>
      <x:c r="P132" s="19" t="s">
        <x:v>34</x:v>
      </x:c>
      <x:c r="Q132" s="17"/>
      <x:c r="R132" s="19" t="str">
        <x:f t="shared" ref="R132:R195" si="2">IF(J132="","Missing Link",IF(AND(ISNUMBER(SEARCH("google.com/maps",J132)),ISERROR(SEARCH(";",J132))),"Discovery Link Only","Source Link Present"))</x:f>
        <x:v>Discovery Link Only</x:v>
      </x:c>
      <x:c r="S132" s="43" t="str">
        <x:v>Unknown</x:v>
      </x:c>
      <x:c r="T132" s="43" t="str">
        <x:v>Unknown</x:v>
      </x:c>
      <x:c r="U132" s="43" t="str">
        <x:v>Unknown</x:v>
      </x:c>
      <x:c r="V132" s="43" t="str">
        <x:v>Unknown</x:v>
      </x:c>
      <x:c r="W132" s="43" t="str">
        <x:v>Unknown</x:v>
      </x:c>
      <x:c r="X132" s="43" t="str">
        <x:v>Unknown</x:v>
      </x:c>
      <x:c r="Y132" s="43" t="str">
        <x:v>Unknown</x:v>
      </x:c>
      <x:c r="Z132" s="43"/>
    </x:row>
    <x:row r="133" ht="60" customHeight="1">
      <x:c r="A133" s="16" t="s">
        <x:v>795</x:v>
      </x:c>
      <x:c r="B133" s="16" t="s">
        <x:v>796</x:v>
      </x:c>
      <x:c r="C133" s="16" t="s">
        <x:v>705</x:v>
      </x:c>
      <x:c r="D133" s="16" t="s">
        <x:v>797</x:v>
      </x:c>
      <x:c r="E133" s="16" t="s">
        <x:v>133</x:v>
      </x:c>
      <x:c r="F133" s="16" t="s">
        <x:v>127</x:v>
      </x:c>
      <x:c r="G133" s="16" t="s">
        <x:v>134</x:v>
      </x:c>
      <x:c r="H133" s="17" t="s">
        <x:v>798</x:v>
      </x:c>
      <x:c r="I133" s="17" t="s">
        <x:v>799</x:v>
      </x:c>
      <x:c r="J133" s="17" t="s">
        <x:v>800</x:v>
      </x:c>
      <x:c r="K133" s="17" t="s">
        <x:v>709</x:v>
      </x:c>
      <x:c r="L133" s="17" t="s">
        <x:v>111</x:v>
      </x:c>
      <x:c r="M133" s="17" t="s">
        <x:v>774</x:v>
      </x:c>
      <x:c r="N133" s="16"/>
      <x:c r="O133" s="18">
        <x:v>46249</x:v>
      </x:c>
      <x:c r="P133" s="19" t="s">
        <x:v>34</x:v>
      </x:c>
      <x:c r="Q133" s="17"/>
      <x:c r="R133" s="19" t="str">
        <x:f t="shared" si="2"/>
        <x:v>Discovery Link Only</x:v>
      </x:c>
      <x:c r="S133" s="43" t="str">
        <x:v>Unknown</x:v>
      </x:c>
      <x:c r="T133" s="43" t="str">
        <x:v>Unknown</x:v>
      </x:c>
      <x:c r="U133" s="43" t="str">
        <x:v>Unknown</x:v>
      </x:c>
      <x:c r="V133" s="43" t="str">
        <x:v>Unknown</x:v>
      </x:c>
      <x:c r="W133" s="43" t="str">
        <x:v>Unknown</x:v>
      </x:c>
      <x:c r="X133" s="43" t="str">
        <x:v>Unknown</x:v>
      </x:c>
      <x:c r="Y133" s="43" t="str">
        <x:v>Unknown</x:v>
      </x:c>
      <x:c r="Z133" s="43"/>
    </x:row>
    <x:row r="134" ht="60" customHeight="1">
      <x:c r="A134" s="16" t="s">
        <x:v>801</x:v>
      </x:c>
      <x:c r="B134" s="16" t="s">
        <x:v>802</x:v>
      </x:c>
      <x:c r="C134" s="16" t="s">
        <x:v>705</x:v>
      </x:c>
      <x:c r="D134" s="16" t="s">
        <x:v>797</x:v>
      </x:c>
      <x:c r="E134" s="16" t="s">
        <x:v>251</x:v>
      </x:c>
      <x:c r="F134" s="16" t="s">
        <x:v>107</x:v>
      </x:c>
      <x:c r="G134" s="16" t="s">
        <x:v>26</x:v>
      </x:c>
      <x:c r="H134" s="17" t="s">
        <x:v>803</x:v>
      </x:c>
      <x:c r="I134" s="17" t="s">
        <x:v>804</x:v>
      </x:c>
      <x:c r="J134" s="17" t="s">
        <x:v>805</x:v>
      </x:c>
      <x:c r="K134" s="17" t="s">
        <x:v>709</x:v>
      </x:c>
      <x:c r="L134" s="17" t="s">
        <x:v>111</x:v>
      </x:c>
      <x:c r="M134" s="17" t="s">
        <x:v>774</x:v>
      </x:c>
      <x:c r="N134" s="16"/>
      <x:c r="O134" s="18">
        <x:v>46249</x:v>
      </x:c>
      <x:c r="P134" s="19" t="s">
        <x:v>34</x:v>
      </x:c>
      <x:c r="Q134" s="17"/>
      <x:c r="R134" s="19" t="str">
        <x:f t="shared" si="2"/>
        <x:v>Discovery Link Only</x:v>
      </x:c>
      <x:c r="S134" s="43" t="str">
        <x:v>Unknown</x:v>
      </x:c>
      <x:c r="T134" s="43" t="str">
        <x:v>Unknown</x:v>
      </x:c>
      <x:c r="U134" s="43" t="str">
        <x:v>Unknown</x:v>
      </x:c>
      <x:c r="V134" s="43" t="str">
        <x:v>Unknown</x:v>
      </x:c>
      <x:c r="W134" s="43" t="str">
        <x:v>Unknown</x:v>
      </x:c>
      <x:c r="X134" s="43" t="str">
        <x:v>Unknown</x:v>
      </x:c>
      <x:c r="Y134" s="43" t="str">
        <x:v>Unknown</x:v>
      </x:c>
      <x:c r="Z134" s="43"/>
    </x:row>
    <x:row r="135" ht="60" customHeight="1">
      <x:c r="A135" s="16" t="s">
        <x:v>806</x:v>
      </x:c>
      <x:c r="B135" s="16" t="s">
        <x:v>807</x:v>
      </x:c>
      <x:c r="C135" s="16" t="s">
        <x:v>705</x:v>
      </x:c>
      <x:c r="D135" s="16" t="s">
        <x:v>764</x:v>
      </x:c>
      <x:c r="E135" s="16" t="s">
        <x:v>133</x:v>
      </x:c>
      <x:c r="F135" s="16" t="s">
        <x:v>127</x:v>
      </x:c>
      <x:c r="G135" s="16" t="s">
        <x:v>134</x:v>
      </x:c>
      <x:c r="H135" s="17" t="s">
        <x:v>808</x:v>
      </x:c>
      <x:c r="I135" s="17" t="s">
        <x:v>809</x:v>
      </x:c>
      <x:c r="J135" s="17" t="s">
        <x:v>810</x:v>
      </x:c>
      <x:c r="K135" s="17" t="s">
        <x:v>709</x:v>
      </x:c>
      <x:c r="L135" s="17" t="s">
        <x:v>111</x:v>
      </x:c>
      <x:c r="M135" s="17" t="s">
        <x:v>774</x:v>
      </x:c>
      <x:c r="N135" s="16"/>
      <x:c r="O135" s="18">
        <x:v>46249</x:v>
      </x:c>
      <x:c r="P135" s="19" t="s">
        <x:v>34</x:v>
      </x:c>
      <x:c r="Q135" s="17"/>
      <x:c r="R135" s="19" t="str">
        <x:f t="shared" si="2"/>
        <x:v>Discovery Link Only</x:v>
      </x:c>
      <x:c r="S135" s="43" t="str">
        <x:v>Unknown</x:v>
      </x:c>
      <x:c r="T135" s="43" t="str">
        <x:v>Unknown</x:v>
      </x:c>
      <x:c r="U135" s="43" t="str">
        <x:v>Unknown</x:v>
      </x:c>
      <x:c r="V135" s="43" t="str">
        <x:v>Unknown</x:v>
      </x:c>
      <x:c r="W135" s="43" t="str">
        <x:v>Unknown</x:v>
      </x:c>
      <x:c r="X135" s="43" t="str">
        <x:v>Unknown</x:v>
      </x:c>
      <x:c r="Y135" s="43" t="str">
        <x:v>Unknown</x:v>
      </x:c>
      <x:c r="Z135" s="43"/>
    </x:row>
    <x:row r="136" ht="60" customHeight="1">
      <x:c r="A136" s="16" t="s">
        <x:v>811</x:v>
      </x:c>
      <x:c r="B136" s="16" t="s">
        <x:v>812</x:v>
      </x:c>
      <x:c r="C136" s="16" t="s">
        <x:v>705</x:v>
      </x:c>
      <x:c r="D136" s="16" t="s">
        <x:v>764</x:v>
      </x:c>
      <x:c r="E136" s="16" t="s">
        <x:v>45</x:v>
      </x:c>
      <x:c r="F136" s="16" t="s">
        <x:v>194</x:v>
      </x:c>
      <x:c r="G136" s="16" t="s">
        <x:v>26</x:v>
      </x:c>
      <x:c r="H136" s="17" t="s">
        <x:v>813</x:v>
      </x:c>
      <x:c r="I136" s="17" t="s">
        <x:v>814</x:v>
      </x:c>
      <x:c r="J136" s="17" t="s">
        <x:v>815</x:v>
      </x:c>
      <x:c r="K136" s="17" t="s">
        <x:v>709</x:v>
      </x:c>
      <x:c r="L136" s="17" t="s">
        <x:v>111</x:v>
      </x:c>
      <x:c r="M136" s="17" t="s">
        <x:v>774</x:v>
      </x:c>
      <x:c r="N136" s="16"/>
      <x:c r="O136" s="18">
        <x:v>46249</x:v>
      </x:c>
      <x:c r="P136" s="19" t="s">
        <x:v>34</x:v>
      </x:c>
      <x:c r="Q136" s="17"/>
      <x:c r="R136" s="19" t="str">
        <x:f t="shared" si="2"/>
        <x:v>Discovery Link Only</x:v>
      </x:c>
      <x:c r="S136" s="43" t="str">
        <x:v>Unknown</x:v>
      </x:c>
      <x:c r="T136" s="43" t="str">
        <x:v>Unknown</x:v>
      </x:c>
      <x:c r="U136" s="43" t="str">
        <x:v>Unknown</x:v>
      </x:c>
      <x:c r="V136" s="43" t="str">
        <x:v>Unknown</x:v>
      </x:c>
      <x:c r="W136" s="43" t="str">
        <x:v>Unknown</x:v>
      </x:c>
      <x:c r="X136" s="43" t="str">
        <x:v>Unknown</x:v>
      </x:c>
      <x:c r="Y136" s="43" t="str">
        <x:v>Unknown</x:v>
      </x:c>
      <x:c r="Z136" s="43"/>
    </x:row>
    <x:row r="137" ht="60" customHeight="1">
      <x:c r="A137" s="16" t="s">
        <x:v>816</x:v>
      </x:c>
      <x:c r="B137" s="16" t="s">
        <x:v>817</x:v>
      </x:c>
      <x:c r="C137" s="16" t="s">
        <x:v>705</x:v>
      </x:c>
      <x:c r="D137" s="16" t="s">
        <x:v>818</x:v>
      </x:c>
      <x:c r="E137" s="16" t="s">
        <x:v>133</x:v>
      </x:c>
      <x:c r="F137" s="16" t="s">
        <x:v>127</x:v>
      </x:c>
      <x:c r="G137" s="16" t="s">
        <x:v>134</x:v>
      </x:c>
      <x:c r="H137" s="17" t="s">
        <x:v>819</x:v>
      </x:c>
      <x:c r="I137" s="17" t="s">
        <x:v>820</x:v>
      </x:c>
      <x:c r="J137" s="17" t="s">
        <x:v>821</x:v>
      </x:c>
      <x:c r="K137" s="17" t="s">
        <x:v>709</x:v>
      </x:c>
      <x:c r="L137" s="17" t="s">
        <x:v>111</x:v>
      </x:c>
      <x:c r="M137" s="17" t="s">
        <x:v>774</x:v>
      </x:c>
      <x:c r="N137" s="16"/>
      <x:c r="O137" s="18">
        <x:v>46249</x:v>
      </x:c>
      <x:c r="P137" s="19" t="s">
        <x:v>34</x:v>
      </x:c>
      <x:c r="Q137" s="17"/>
      <x:c r="R137" s="19" t="str">
        <x:f t="shared" si="2"/>
        <x:v>Discovery Link Only</x:v>
      </x:c>
      <x:c r="S137" s="43" t="str">
        <x:v>Unknown</x:v>
      </x:c>
      <x:c r="T137" s="43" t="str">
        <x:v>Unknown</x:v>
      </x:c>
      <x:c r="U137" s="43" t="str">
        <x:v>Unknown</x:v>
      </x:c>
      <x:c r="V137" s="43" t="str">
        <x:v>Unknown</x:v>
      </x:c>
      <x:c r="W137" s="43" t="str">
        <x:v>Unknown</x:v>
      </x:c>
      <x:c r="X137" s="43" t="str">
        <x:v>Unknown</x:v>
      </x:c>
      <x:c r="Y137" s="43" t="str">
        <x:v>Unknown</x:v>
      </x:c>
      <x:c r="Z137" s="43"/>
    </x:row>
    <x:row r="138" ht="60" customHeight="1">
      <x:c r="A138" s="16" t="s">
        <x:v>822</x:v>
      </x:c>
      <x:c r="B138" s="16" t="s">
        <x:v>823</x:v>
      </x:c>
      <x:c r="C138" s="16" t="s">
        <x:v>705</x:v>
      </x:c>
      <x:c r="D138" s="16" t="s">
        <x:v>818</x:v>
      </x:c>
      <x:c r="E138" s="16" t="s">
        <x:v>45</x:v>
      </x:c>
      <x:c r="F138" s="16" t="s">
        <x:v>194</x:v>
      </x:c>
      <x:c r="G138" s="16" t="s">
        <x:v>26</x:v>
      </x:c>
      <x:c r="H138" s="17" t="s">
        <x:v>824</x:v>
      </x:c>
      <x:c r="I138" s="17" t="s">
        <x:v>825</x:v>
      </x:c>
      <x:c r="J138" s="17" t="s">
        <x:v>826</x:v>
      </x:c>
      <x:c r="K138" s="17" t="s">
        <x:v>709</x:v>
      </x:c>
      <x:c r="L138" s="17" t="s">
        <x:v>111</x:v>
      </x:c>
      <x:c r="M138" s="17" t="s">
        <x:v>774</x:v>
      </x:c>
      <x:c r="N138" s="16"/>
      <x:c r="O138" s="18">
        <x:v>46249</x:v>
      </x:c>
      <x:c r="P138" s="19" t="s">
        <x:v>34</x:v>
      </x:c>
      <x:c r="Q138" s="17"/>
      <x:c r="R138" s="19" t="str">
        <x:f t="shared" si="2"/>
        <x:v>Discovery Link Only</x:v>
      </x:c>
      <x:c r="S138" s="43" t="str">
        <x:v>Unknown</x:v>
      </x:c>
      <x:c r="T138" s="43" t="str">
        <x:v>Unknown</x:v>
      </x:c>
      <x:c r="U138" s="43" t="str">
        <x:v>Unknown</x:v>
      </x:c>
      <x:c r="V138" s="43" t="str">
        <x:v>Unknown</x:v>
      </x:c>
      <x:c r="W138" s="43" t="str">
        <x:v>Unknown</x:v>
      </x:c>
      <x:c r="X138" s="43" t="str">
        <x:v>Unknown</x:v>
      </x:c>
      <x:c r="Y138" s="43" t="str">
        <x:v>Unknown</x:v>
      </x:c>
      <x:c r="Z138" s="43"/>
    </x:row>
    <x:row r="139" ht="60" customHeight="1">
      <x:c r="A139" s="16" t="s">
        <x:v>827</x:v>
      </x:c>
      <x:c r="B139" s="16" t="s">
        <x:v>828</x:v>
      </x:c>
      <x:c r="C139" s="16" t="s">
        <x:v>705</x:v>
      </x:c>
      <x:c r="D139" s="16" t="s">
        <x:v>704</x:v>
      </x:c>
      <x:c r="E139" s="16" t="s">
        <x:v>72</x:v>
      </x:c>
      <x:c r="F139" s="16" t="s">
        <x:v>107</x:v>
      </x:c>
      <x:c r="G139" s="16" t="s">
        <x:v>26</x:v>
      </x:c>
      <x:c r="H139" s="17" t="s">
        <x:v>829</x:v>
      </x:c>
      <x:c r="I139" s="17" t="s">
        <x:v>830</x:v>
      </x:c>
      <x:c r="J139" s="17" t="s">
        <x:v>831</x:v>
      </x:c>
      <x:c r="K139" s="17" t="s">
        <x:v>709</x:v>
      </x:c>
      <x:c r="L139" s="17" t="s">
        <x:v>111</x:v>
      </x:c>
      <x:c r="M139" s="17" t="s">
        <x:v>774</x:v>
      </x:c>
      <x:c r="N139" s="16"/>
      <x:c r="O139" s="18">
        <x:v>46249</x:v>
      </x:c>
      <x:c r="P139" s="19" t="s">
        <x:v>34</x:v>
      </x:c>
      <x:c r="Q139" s="17"/>
      <x:c r="R139" s="19" t="str">
        <x:f t="shared" si="2"/>
        <x:v>Discovery Link Only</x:v>
      </x:c>
      <x:c r="S139" s="43" t="str">
        <x:v>Unknown</x:v>
      </x:c>
      <x:c r="T139" s="43" t="str">
        <x:v>Unknown</x:v>
      </x:c>
      <x:c r="U139" s="43" t="str">
        <x:v>Unknown</x:v>
      </x:c>
      <x:c r="V139" s="43" t="str">
        <x:v>Unknown</x:v>
      </x:c>
      <x:c r="W139" s="43" t="str">
        <x:v>Unknown</x:v>
      </x:c>
      <x:c r="X139" s="43" t="str">
        <x:v>Unknown</x:v>
      </x:c>
      <x:c r="Y139" s="43" t="str">
        <x:v>Unknown</x:v>
      </x:c>
      <x:c r="Z139" s="43"/>
    </x:row>
    <x:row r="140" ht="60" customHeight="1">
      <x:c r="A140" s="16" t="s">
        <x:v>832</x:v>
      </x:c>
      <x:c r="B140" s="16" t="s">
        <x:v>833</x:v>
      </x:c>
      <x:c r="C140" s="16" t="s">
        <x:v>705</x:v>
      </x:c>
      <x:c r="D140" s="16" t="s">
        <x:v>704</x:v>
      </x:c>
      <x:c r="E140" s="16" t="s">
        <x:v>115</x:v>
      </x:c>
      <x:c r="F140" s="16" t="s">
        <x:v>127</x:v>
      </x:c>
      <x:c r="G140" s="16" t="s">
        <x:v>46</x:v>
      </x:c>
      <x:c r="H140" s="17" t="s">
        <x:v>834</x:v>
      </x:c>
      <x:c r="I140" s="17" t="s">
        <x:v>835</x:v>
      </x:c>
      <x:c r="J140" s="17" t="s">
        <x:v>836</x:v>
      </x:c>
      <x:c r="K140" s="17" t="s">
        <x:v>709</x:v>
      </x:c>
      <x:c r="L140" s="17" t="s">
        <x:v>111</x:v>
      </x:c>
      <x:c r="M140" s="17" t="s">
        <x:v>774</x:v>
      </x:c>
      <x:c r="N140" s="16"/>
      <x:c r="O140" s="18">
        <x:v>46249</x:v>
      </x:c>
      <x:c r="P140" s="19" t="s">
        <x:v>34</x:v>
      </x:c>
      <x:c r="Q140" s="17"/>
      <x:c r="R140" s="19" t="str">
        <x:f t="shared" si="2"/>
        <x:v>Discovery Link Only</x:v>
      </x:c>
      <x:c r="S140" s="43" t="str">
        <x:v>Unknown</x:v>
      </x:c>
      <x:c r="T140" s="43" t="str">
        <x:v>Unknown</x:v>
      </x:c>
      <x:c r="U140" s="43" t="str">
        <x:v>Unknown</x:v>
      </x:c>
      <x:c r="V140" s="43" t="str">
        <x:v>Unknown</x:v>
      </x:c>
      <x:c r="W140" s="43" t="str">
        <x:v>Unknown</x:v>
      </x:c>
      <x:c r="X140" s="43" t="str">
        <x:v>Unknown</x:v>
      </x:c>
      <x:c r="Y140" s="43" t="str">
        <x:v>Unknown</x:v>
      </x:c>
      <x:c r="Z140" s="43"/>
    </x:row>
    <x:row r="141" ht="60" customHeight="1">
      <x:c r="A141" s="16" t="s">
        <x:v>837</x:v>
      </x:c>
      <x:c r="B141" s="16" t="s">
        <x:v>838</x:v>
      </x:c>
      <x:c r="C141" s="16" t="s">
        <x:v>705</x:v>
      </x:c>
      <x:c r="D141" s="16" t="s">
        <x:v>839</x:v>
      </x:c>
      <x:c r="E141" s="16" t="s">
        <x:v>45</x:v>
      </x:c>
      <x:c r="F141" s="16" t="s">
        <x:v>121</x:v>
      </x:c>
      <x:c r="G141" s="16" t="s">
        <x:v>26</x:v>
      </x:c>
      <x:c r="H141" s="17" t="s">
        <x:v>840</x:v>
      </x:c>
      <x:c r="I141" s="17" t="s">
        <x:v>841</x:v>
      </x:c>
      <x:c r="J141" s="17" t="s">
        <x:v>842</x:v>
      </x:c>
      <x:c r="K141" s="17" t="s">
        <x:v>709</x:v>
      </x:c>
      <x:c r="L141" s="17" t="s">
        <x:v>111</x:v>
      </x:c>
      <x:c r="M141" s="17" t="s">
        <x:v>774</x:v>
      </x:c>
      <x:c r="N141" s="16"/>
      <x:c r="O141" s="18">
        <x:v>46249</x:v>
      </x:c>
      <x:c r="P141" s="19" t="s">
        <x:v>34</x:v>
      </x:c>
      <x:c r="Q141" s="17"/>
      <x:c r="R141" s="19" t="str">
        <x:f t="shared" si="2"/>
        <x:v>Discovery Link Only</x:v>
      </x:c>
      <x:c r="S141" s="43" t="str">
        <x:v>Unknown</x:v>
      </x:c>
      <x:c r="T141" s="43" t="str">
        <x:v>Unknown</x:v>
      </x:c>
      <x:c r="U141" s="43" t="str">
        <x:v>Unknown</x:v>
      </x:c>
      <x:c r="V141" s="43" t="str">
        <x:v>Unknown</x:v>
      </x:c>
      <x:c r="W141" s="43" t="str">
        <x:v>Unknown</x:v>
      </x:c>
      <x:c r="X141" s="43" t="str">
        <x:v>Unknown</x:v>
      </x:c>
      <x:c r="Y141" s="43" t="str">
        <x:v>Unknown</x:v>
      </x:c>
      <x:c r="Z141" s="43"/>
    </x:row>
    <x:row r="142" ht="60" customHeight="1">
      <x:c r="A142" s="16" t="s">
        <x:v>843</x:v>
      </x:c>
      <x:c r="B142" s="16" t="s">
        <x:v>844</x:v>
      </x:c>
      <x:c r="C142" s="16" t="s">
        <x:v>705</x:v>
      </x:c>
      <x:c r="D142" s="16" t="s">
        <x:v>845</x:v>
      </x:c>
      <x:c r="E142" s="16" t="s">
        <x:v>115</x:v>
      </x:c>
      <x:c r="F142" s="16" t="s">
        <x:v>127</x:v>
      </x:c>
      <x:c r="G142" s="16" t="s">
        <x:v>46</x:v>
      </x:c>
      <x:c r="H142" s="17" t="s">
        <x:v>846</x:v>
      </x:c>
      <x:c r="I142" s="17" t="s">
        <x:v>847</x:v>
      </x:c>
      <x:c r="J142" s="17" t="s">
        <x:v>848</x:v>
      </x:c>
      <x:c r="K142" s="17" t="s">
        <x:v>709</x:v>
      </x:c>
      <x:c r="L142" s="17" t="s">
        <x:v>111</x:v>
      </x:c>
      <x:c r="M142" s="17" t="s">
        <x:v>774</x:v>
      </x:c>
      <x:c r="N142" s="16"/>
      <x:c r="O142" s="18">
        <x:v>46249</x:v>
      </x:c>
      <x:c r="P142" s="19" t="s">
        <x:v>34</x:v>
      </x:c>
      <x:c r="Q142" s="17"/>
      <x:c r="R142" s="19" t="str">
        <x:f t="shared" si="2"/>
        <x:v>Discovery Link Only</x:v>
      </x:c>
      <x:c r="S142" s="43" t="str">
        <x:v>Unknown</x:v>
      </x:c>
      <x:c r="T142" s="43" t="str">
        <x:v>Unknown</x:v>
      </x:c>
      <x:c r="U142" s="43" t="str">
        <x:v>Unknown</x:v>
      </x:c>
      <x:c r="V142" s="43" t="str">
        <x:v>Unknown</x:v>
      </x:c>
      <x:c r="W142" s="43" t="str">
        <x:v>Unknown</x:v>
      </x:c>
      <x:c r="X142" s="43" t="str">
        <x:v>Unknown</x:v>
      </x:c>
      <x:c r="Y142" s="43" t="str">
        <x:v>Unknown</x:v>
      </x:c>
      <x:c r="Z142" s="43"/>
    </x:row>
    <x:row r="143" ht="60" customHeight="1">
      <x:c r="A143" s="16" t="s">
        <x:v>849</x:v>
      </x:c>
      <x:c r="B143" s="16" t="s">
        <x:v>850</x:v>
      </x:c>
      <x:c r="C143" s="16" t="s">
        <x:v>851</x:v>
      </x:c>
      <x:c r="D143" s="16" t="s">
        <x:v>850</x:v>
      </x:c>
      <x:c r="E143" s="16" t="s">
        <x:v>54</x:v>
      </x:c>
      <x:c r="F143" s="16" t="s">
        <x:v>25</x:v>
      </x:c>
      <x:c r="G143" s="16" t="s">
        <x:v>46</x:v>
      </x:c>
      <x:c r="H143" s="17" t="s">
        <x:v>852</x:v>
      </x:c>
      <x:c r="I143" s="17" t="s">
        <x:v>853</x:v>
      </x:c>
      <x:c r="J143" s="17" t="s">
        <x:v>854</x:v>
      </x:c>
      <x:c r="K143" s="17" t="s">
        <x:v>855</x:v>
      </x:c>
      <x:c r="L143" s="17" t="s">
        <x:v>58</x:v>
      </x:c>
      <x:c r="M143" s="17" t="s">
        <x:v>256</x:v>
      </x:c>
      <x:c r="N143" s="16" t="s">
        <x:v>856</x:v>
      </x:c>
      <x:c r="O143" s="18">
        <x:v>46249</x:v>
      </x:c>
      <x:c r="P143" s="19" t="s">
        <x:v>34</x:v>
      </x:c>
      <x:c r="Q143" s="17"/>
      <x:c r="R143" s="19" t="str">
        <x:f t="shared" si="2"/>
        <x:v>Source Link Present</x:v>
      </x:c>
      <x:c r="S143" s="43" t="str">
        <x:v>Unknown</x:v>
      </x:c>
      <x:c r="T143" s="43" t="str">
        <x:v>Unknown</x:v>
      </x:c>
      <x:c r="U143" s="43" t="str">
        <x:v>Unknown</x:v>
      </x:c>
      <x:c r="V143" s="43" t="str">
        <x:v>Unknown</x:v>
      </x:c>
      <x:c r="W143" s="43" t="str">
        <x:v>Unknown</x:v>
      </x:c>
      <x:c r="X143" s="43" t="str">
        <x:v>Unknown</x:v>
      </x:c>
      <x:c r="Y143" s="43" t="str">
        <x:v>Unknown</x:v>
      </x:c>
      <x:c r="Z143" s="43"/>
    </x:row>
    <x:row r="144" ht="60" customHeight="1">
      <x:c r="A144" s="16" t="s">
        <x:v>857</x:v>
      </x:c>
      <x:c r="B144" s="16" t="s">
        <x:v>858</x:v>
      </x:c>
      <x:c r="C144" s="16" t="s">
        <x:v>851</x:v>
      </x:c>
      <x:c r="D144" s="16" t="s">
        <x:v>858</x:v>
      </x:c>
      <x:c r="E144" s="16" t="s">
        <x:v>45</x:v>
      </x:c>
      <x:c r="F144" s="16" t="s">
        <x:v>121</x:v>
      </x:c>
      <x:c r="G144" s="16" t="s">
        <x:v>46</x:v>
      </x:c>
      <x:c r="H144" s="17" t="s">
        <x:v>859</x:v>
      </x:c>
      <x:c r="I144" s="17" t="s">
        <x:v>860</x:v>
      </x:c>
      <x:c r="J144" s="17" t="s">
        <x:v>861</x:v>
      </x:c>
      <x:c r="K144" s="17" t="s">
        <x:v>855</x:v>
      </x:c>
      <x:c r="L144" s="17" t="s">
        <x:v>58</x:v>
      </x:c>
      <x:c r="M144" s="17" t="s">
        <x:v>256</x:v>
      </x:c>
      <x:c r="N144" s="16" t="s">
        <x:v>862</x:v>
      </x:c>
      <x:c r="O144" s="18">
        <x:v>46249</x:v>
      </x:c>
      <x:c r="P144" s="19" t="s">
        <x:v>34</x:v>
      </x:c>
      <x:c r="Q144" s="17"/>
      <x:c r="R144" s="19" t="str">
        <x:f t="shared" si="2"/>
        <x:v>Source Link Present</x:v>
      </x:c>
      <x:c r="S144" s="43" t="str">
        <x:v>Unknown</x:v>
      </x:c>
      <x:c r="T144" s="43" t="str">
        <x:v>Unknown</x:v>
      </x:c>
      <x:c r="U144" s="43" t="str">
        <x:v>Unknown</x:v>
      </x:c>
      <x:c r="V144" s="43" t="str">
        <x:v>Unknown</x:v>
      </x:c>
      <x:c r="W144" s="43" t="str">
        <x:v>Unknown</x:v>
      </x:c>
      <x:c r="X144" s="43" t="str">
        <x:v>Unknown</x:v>
      </x:c>
      <x:c r="Y144" s="43" t="str">
        <x:v>Unknown</x:v>
      </x:c>
      <x:c r="Z144" s="43"/>
    </x:row>
    <x:row r="145" ht="60" customHeight="1">
      <x:c r="A145" s="16" t="s">
        <x:v>863</x:v>
      </x:c>
      <x:c r="B145" s="16" t="s">
        <x:v>864</x:v>
      </x:c>
      <x:c r="C145" s="16" t="s">
        <x:v>851</x:v>
      </x:c>
      <x:c r="D145" s="16" t="s">
        <x:v>865</x:v>
      </x:c>
      <x:c r="E145" s="16" t="s">
        <x:v>251</x:v>
      </x:c>
      <x:c r="F145" s="16" t="s">
        <x:v>25</x:v>
      </x:c>
      <x:c r="G145" s="16" t="s">
        <x:v>26</x:v>
      </x:c>
      <x:c r="H145" s="17" t="s">
        <x:v>866</x:v>
      </x:c>
      <x:c r="I145" s="17" t="s">
        <x:v>867</x:v>
      </x:c>
      <x:c r="J145" s="17" t="s">
        <x:v>868</x:v>
      </x:c>
      <x:c r="K145" s="17" t="s">
        <x:v>855</x:v>
      </x:c>
      <x:c r="L145" s="17" t="s">
        <x:v>58</x:v>
      </x:c>
      <x:c r="M145" s="17" t="s">
        <x:v>256</x:v>
      </x:c>
      <x:c r="N145" s="16" t="s">
        <x:v>869</x:v>
      </x:c>
      <x:c r="O145" s="18">
        <x:v>46249</x:v>
      </x:c>
      <x:c r="P145" s="19" t="s">
        <x:v>34</x:v>
      </x:c>
      <x:c r="Q145" s="17"/>
      <x:c r="R145" s="19" t="str">
        <x:f t="shared" si="2"/>
        <x:v>Discovery Link Only</x:v>
      </x:c>
      <x:c r="S145" s="43" t="str">
        <x:v>Unknown</x:v>
      </x:c>
      <x:c r="T145" s="43" t="str">
        <x:v>Unknown</x:v>
      </x:c>
      <x:c r="U145" s="43" t="str">
        <x:v>Unknown</x:v>
      </x:c>
      <x:c r="V145" s="43" t="str">
        <x:v>Unknown</x:v>
      </x:c>
      <x:c r="W145" s="43" t="str">
        <x:v>Unknown</x:v>
      </x:c>
      <x:c r="X145" s="43" t="str">
        <x:v>Unknown</x:v>
      </x:c>
      <x:c r="Y145" s="43" t="str">
        <x:v>Unknown</x:v>
      </x:c>
      <x:c r="Z145" s="43"/>
    </x:row>
    <x:row r="146" ht="60" customHeight="1">
      <x:c r="A146" s="16" t="s">
        <x:v>870</x:v>
      </x:c>
      <x:c r="B146" s="16" t="s">
        <x:v>871</x:v>
      </x:c>
      <x:c r="C146" s="16" t="s">
        <x:v>851</x:v>
      </x:c>
      <x:c r="D146" s="16" t="s">
        <x:v>872</x:v>
      </x:c>
      <x:c r="E146" s="16" t="s">
        <x:v>394</x:v>
      </x:c>
      <x:c r="F146" s="16" t="s">
        <x:v>25</x:v>
      </x:c>
      <x:c r="G146" s="16" t="s">
        <x:v>26</x:v>
      </x:c>
      <x:c r="H146" s="17" t="s">
        <x:v>873</x:v>
      </x:c>
      <x:c r="I146" s="17" t="s">
        <x:v>874</x:v>
      </x:c>
      <x:c r="J146" s="17" t="s">
        <x:v>875</x:v>
      </x:c>
      <x:c r="K146" s="17" t="s">
        <x:v>855</x:v>
      </x:c>
      <x:c r="L146" s="17" t="s">
        <x:v>58</x:v>
      </x:c>
      <x:c r="M146" s="17" t="s">
        <x:v>256</x:v>
      </x:c>
      <x:c r="N146" s="16" t="s">
        <x:v>876</x:v>
      </x:c>
      <x:c r="O146" s="18">
        <x:v>46249</x:v>
      </x:c>
      <x:c r="P146" s="19" t="s">
        <x:v>34</x:v>
      </x:c>
      <x:c r="Q146" s="17"/>
      <x:c r="R146" s="19" t="str">
        <x:f t="shared" si="2"/>
        <x:v>Discovery Link Only</x:v>
      </x:c>
      <x:c r="S146" s="43" t="str">
        <x:v>Unknown</x:v>
      </x:c>
      <x:c r="T146" s="43" t="str">
        <x:v>Unknown</x:v>
      </x:c>
      <x:c r="U146" s="43" t="str">
        <x:v>Unknown</x:v>
      </x:c>
      <x:c r="V146" s="43" t="str">
        <x:v>Unknown</x:v>
      </x:c>
      <x:c r="W146" s="43" t="str">
        <x:v>Unknown</x:v>
      </x:c>
      <x:c r="X146" s="43" t="str">
        <x:v>Unknown</x:v>
      </x:c>
      <x:c r="Y146" s="43" t="str">
        <x:v>Unknown</x:v>
      </x:c>
      <x:c r="Z146" s="43"/>
    </x:row>
    <x:row r="147" ht="60" customHeight="1">
      <x:c r="A147" s="16" t="s">
        <x:v>877</x:v>
      </x:c>
      <x:c r="B147" s="16" t="s">
        <x:v>878</x:v>
      </x:c>
      <x:c r="C147" s="16" t="s">
        <x:v>851</x:v>
      </x:c>
      <x:c r="D147" s="16" t="s">
        <x:v>879</x:v>
      </x:c>
      <x:c r="E147" s="16" t="s">
        <x:v>72</x:v>
      </x:c>
      <x:c r="F147" s="16" t="s">
        <x:v>25</x:v>
      </x:c>
      <x:c r="G147" s="16" t="s">
        <x:v>26</x:v>
      </x:c>
      <x:c r="H147" s="17" t="s">
        <x:v>880</x:v>
      </x:c>
      <x:c r="I147" s="17" t="s">
        <x:v>881</x:v>
      </x:c>
      <x:c r="J147" s="17" t="s">
        <x:v>882</x:v>
      </x:c>
      <x:c r="K147" s="17" t="s">
        <x:v>855</x:v>
      </x:c>
      <x:c r="L147" s="17" t="s">
        <x:v>58</x:v>
      </x:c>
      <x:c r="M147" s="17" t="s">
        <x:v>256</x:v>
      </x:c>
      <x:c r="N147" s="16" t="s">
        <x:v>883</x:v>
      </x:c>
      <x:c r="O147" s="18">
        <x:v>46249</x:v>
      </x:c>
      <x:c r="P147" s="19" t="s">
        <x:v>34</x:v>
      </x:c>
      <x:c r="Q147" s="17"/>
      <x:c r="R147" s="19" t="str">
        <x:f t="shared" si="2"/>
        <x:v>Discovery Link Only</x:v>
      </x:c>
      <x:c r="S147" s="43" t="str">
        <x:v>Unknown</x:v>
      </x:c>
      <x:c r="T147" s="43" t="str">
        <x:v>Unknown</x:v>
      </x:c>
      <x:c r="U147" s="43" t="str">
        <x:v>Unknown</x:v>
      </x:c>
      <x:c r="V147" s="43" t="str">
        <x:v>Unknown</x:v>
      </x:c>
      <x:c r="W147" s="43" t="str">
        <x:v>Unknown</x:v>
      </x:c>
      <x:c r="X147" s="43" t="str">
        <x:v>Unknown</x:v>
      </x:c>
      <x:c r="Y147" s="43" t="str">
        <x:v>Unknown</x:v>
      </x:c>
      <x:c r="Z147" s="43"/>
    </x:row>
    <x:row r="148" ht="60" customHeight="1">
      <x:c r="A148" s="16" t="s">
        <x:v>884</x:v>
      </x:c>
      <x:c r="B148" s="16" t="s">
        <x:v>885</x:v>
      </x:c>
      <x:c r="C148" s="16" t="s">
        <x:v>851</x:v>
      </x:c>
      <x:c r="D148" s="16" t="s">
        <x:v>886</x:v>
      </x:c>
      <x:c r="E148" s="16" t="s">
        <x:v>37</x:v>
      </x:c>
      <x:c r="F148" s="16" t="s">
        <x:v>25</x:v>
      </x:c>
      <x:c r="G148" s="16" t="s">
        <x:v>26</x:v>
      </x:c>
      <x:c r="H148" s="17" t="s">
        <x:v>887</x:v>
      </x:c>
      <x:c r="I148" s="17" t="s">
        <x:v>888</x:v>
      </x:c>
      <x:c r="J148" s="17" t="s">
        <x:v>889</x:v>
      </x:c>
      <x:c r="K148" s="17" t="s">
        <x:v>855</x:v>
      </x:c>
      <x:c r="L148" s="17" t="s">
        <x:v>58</x:v>
      </x:c>
      <x:c r="M148" s="17" t="s">
        <x:v>256</x:v>
      </x:c>
      <x:c r="N148" s="16" t="s">
        <x:v>890</x:v>
      </x:c>
      <x:c r="O148" s="18">
        <x:v>46249</x:v>
      </x:c>
      <x:c r="P148" s="19" t="s">
        <x:v>34</x:v>
      </x:c>
      <x:c r="Q148" s="17"/>
      <x:c r="R148" s="19" t="str">
        <x:f t="shared" si="2"/>
        <x:v>Discovery Link Only</x:v>
      </x:c>
      <x:c r="S148" s="43" t="str">
        <x:v>Unknown</x:v>
      </x:c>
      <x:c r="T148" s="43" t="str">
        <x:v>Unknown</x:v>
      </x:c>
      <x:c r="U148" s="43" t="str">
        <x:v>Unknown</x:v>
      </x:c>
      <x:c r="V148" s="43" t="str">
        <x:v>Unknown</x:v>
      </x:c>
      <x:c r="W148" s="43" t="str">
        <x:v>Unknown</x:v>
      </x:c>
      <x:c r="X148" s="43" t="str">
        <x:v>Unknown</x:v>
      </x:c>
      <x:c r="Y148" s="43" t="str">
        <x:v>Unknown</x:v>
      </x:c>
      <x:c r="Z148" s="43"/>
    </x:row>
    <x:row r="149" ht="60" customHeight="1">
      <x:c r="A149" s="16" t="s">
        <x:v>891</x:v>
      </x:c>
      <x:c r="B149" s="16" t="s">
        <x:v>892</x:v>
      </x:c>
      <x:c r="C149" s="16" t="s">
        <x:v>851</x:v>
      </x:c>
      <x:c r="D149" s="16" t="s">
        <x:v>879</x:v>
      </x:c>
      <x:c r="E149" s="16" t="s">
        <x:v>45</x:v>
      </x:c>
      <x:c r="F149" s="16" t="s">
        <x:v>25</x:v>
      </x:c>
      <x:c r="G149" s="16" t="s">
        <x:v>26</x:v>
      </x:c>
      <x:c r="H149" s="17" t="s">
        <x:v>893</x:v>
      </x:c>
      <x:c r="I149" s="17" t="s">
        <x:v>894</x:v>
      </x:c>
      <x:c r="J149" s="17" t="s">
        <x:v>895</x:v>
      </x:c>
      <x:c r="K149" s="17" t="s">
        <x:v>855</x:v>
      </x:c>
      <x:c r="L149" s="17" t="s">
        <x:v>58</x:v>
      </x:c>
      <x:c r="M149" s="17" t="s">
        <x:v>256</x:v>
      </x:c>
      <x:c r="N149" s="16" t="s">
        <x:v>896</x:v>
      </x:c>
      <x:c r="O149" s="18">
        <x:v>46249</x:v>
      </x:c>
      <x:c r="P149" s="19" t="s">
        <x:v>34</x:v>
      </x:c>
      <x:c r="Q149" s="17"/>
      <x:c r="R149" s="19" t="str">
        <x:f t="shared" si="2"/>
        <x:v>Discovery Link Only</x:v>
      </x:c>
      <x:c r="S149" s="43" t="str">
        <x:v>Unknown</x:v>
      </x:c>
      <x:c r="T149" s="43" t="str">
        <x:v>Unknown</x:v>
      </x:c>
      <x:c r="U149" s="43" t="str">
        <x:v>Unknown</x:v>
      </x:c>
      <x:c r="V149" s="43" t="str">
        <x:v>Unknown</x:v>
      </x:c>
      <x:c r="W149" s="43" t="str">
        <x:v>Unknown</x:v>
      </x:c>
      <x:c r="X149" s="43" t="str">
        <x:v>Unknown</x:v>
      </x:c>
      <x:c r="Y149" s="43" t="str">
        <x:v>Unknown</x:v>
      </x:c>
      <x:c r="Z149" s="43"/>
    </x:row>
    <x:row r="150" ht="60" customHeight="1">
      <x:c r="A150" s="16" t="s">
        <x:v>897</x:v>
      </x:c>
      <x:c r="B150" s="16" t="s">
        <x:v>898</x:v>
      </x:c>
      <x:c r="C150" s="16" t="s">
        <x:v>851</x:v>
      </x:c>
      <x:c r="D150" s="16" t="s">
        <x:v>899</x:v>
      </x:c>
      <x:c r="E150" s="16" t="s">
        <x:v>54</x:v>
      </x:c>
      <x:c r="F150" s="16" t="s">
        <x:v>25</x:v>
      </x:c>
      <x:c r="G150" s="16" t="s">
        <x:v>46</x:v>
      </x:c>
      <x:c r="H150" s="17" t="s">
        <x:v>900</x:v>
      </x:c>
      <x:c r="I150" s="17" t="s">
        <x:v>901</x:v>
      </x:c>
      <x:c r="J150" s="17" t="s">
        <x:v>902</x:v>
      </x:c>
      <x:c r="K150" s="17" t="s">
        <x:v>855</x:v>
      </x:c>
      <x:c r="L150" s="17" t="s">
        <x:v>58</x:v>
      </x:c>
      <x:c r="M150" s="17" t="s">
        <x:v>256</x:v>
      </x:c>
      <x:c r="N150" s="16" t="s">
        <x:v>903</x:v>
      </x:c>
      <x:c r="O150" s="18">
        <x:v>46249</x:v>
      </x:c>
      <x:c r="P150" s="19" t="s">
        <x:v>34</x:v>
      </x:c>
      <x:c r="Q150" s="17"/>
      <x:c r="R150" s="19" t="str">
        <x:f t="shared" si="2"/>
        <x:v>Discovery Link Only</x:v>
      </x:c>
      <x:c r="S150" s="43" t="str">
        <x:v>Unknown</x:v>
      </x:c>
      <x:c r="T150" s="43" t="str">
        <x:v>Unknown</x:v>
      </x:c>
      <x:c r="U150" s="43" t="str">
        <x:v>Unknown</x:v>
      </x:c>
      <x:c r="V150" s="43" t="str">
        <x:v>Unknown</x:v>
      </x:c>
      <x:c r="W150" s="43" t="str">
        <x:v>Unknown</x:v>
      </x:c>
      <x:c r="X150" s="43" t="str">
        <x:v>Unknown</x:v>
      </x:c>
      <x:c r="Y150" s="43" t="str">
        <x:v>Unknown</x:v>
      </x:c>
      <x:c r="Z150" s="43"/>
    </x:row>
    <x:row r="151" ht="60" customHeight="1">
      <x:c r="A151" s="16" t="s">
        <x:v>904</x:v>
      </x:c>
      <x:c r="B151" s="16" t="s">
        <x:v>905</x:v>
      </x:c>
      <x:c r="C151" s="16" t="s">
        <x:v>851</x:v>
      </x:c>
      <x:c r="D151" s="16" t="s">
        <x:v>879</x:v>
      </x:c>
      <x:c r="E151" s="16" t="s">
        <x:v>72</x:v>
      </x:c>
      <x:c r="F151" s="16" t="s">
        <x:v>25</x:v>
      </x:c>
      <x:c r="G151" s="16" t="s">
        <x:v>26</x:v>
      </x:c>
      <x:c r="H151" s="17" t="s">
        <x:v>906</x:v>
      </x:c>
      <x:c r="I151" s="17" t="s">
        <x:v>907</x:v>
      </x:c>
      <x:c r="J151" s="17" t="s">
        <x:v>908</x:v>
      </x:c>
      <x:c r="K151" s="17" t="s">
        <x:v>855</x:v>
      </x:c>
      <x:c r="L151" s="17" t="s">
        <x:v>58</x:v>
      </x:c>
      <x:c r="M151" s="17" t="s">
        <x:v>256</x:v>
      </x:c>
      <x:c r="N151" s="16" t="s">
        <x:v>909</x:v>
      </x:c>
      <x:c r="O151" s="18">
        <x:v>46249</x:v>
      </x:c>
      <x:c r="P151" s="19" t="s">
        <x:v>34</x:v>
      </x:c>
      <x:c r="Q151" s="17"/>
      <x:c r="R151" s="19" t="str">
        <x:f t="shared" si="2"/>
        <x:v>Discovery Link Only</x:v>
      </x:c>
      <x:c r="S151" s="43" t="str">
        <x:v>Unknown</x:v>
      </x:c>
      <x:c r="T151" s="43" t="str">
        <x:v>Unknown</x:v>
      </x:c>
      <x:c r="U151" s="43" t="str">
        <x:v>Unknown</x:v>
      </x:c>
      <x:c r="V151" s="43" t="str">
        <x:v>Unknown</x:v>
      </x:c>
      <x:c r="W151" s="43" t="str">
        <x:v>Unknown</x:v>
      </x:c>
      <x:c r="X151" s="43" t="str">
        <x:v>Unknown</x:v>
      </x:c>
      <x:c r="Y151" s="43" t="str">
        <x:v>Unknown</x:v>
      </x:c>
      <x:c r="Z151" s="43"/>
    </x:row>
    <x:row r="152" ht="60" customHeight="1">
      <x:c r="A152" s="16" t="s">
        <x:v>910</x:v>
      </x:c>
      <x:c r="B152" s="16" t="s">
        <x:v>911</x:v>
      </x:c>
      <x:c r="C152" s="16" t="s">
        <x:v>851</x:v>
      </x:c>
      <x:c r="D152" s="16" t="s">
        <x:v>858</x:v>
      </x:c>
      <x:c r="E152" s="16" t="s">
        <x:v>45</x:v>
      </x:c>
      <x:c r="F152" s="16" t="s">
        <x:v>25</x:v>
      </x:c>
      <x:c r="G152" s="16" t="s">
        <x:v>26</x:v>
      </x:c>
      <x:c r="H152" s="17" t="s">
        <x:v>912</x:v>
      </x:c>
      <x:c r="I152" s="17" t="s">
        <x:v>913</x:v>
      </x:c>
      <x:c r="J152" s="17" t="s">
        <x:v>914</x:v>
      </x:c>
      <x:c r="K152" s="17" t="s">
        <x:v>855</x:v>
      </x:c>
      <x:c r="L152" s="17" t="s">
        <x:v>58</x:v>
      </x:c>
      <x:c r="M152" s="17" t="s">
        <x:v>256</x:v>
      </x:c>
      <x:c r="N152" s="16" t="s">
        <x:v>915</x:v>
      </x:c>
      <x:c r="O152" s="18">
        <x:v>46249</x:v>
      </x:c>
      <x:c r="P152" s="19" t="s">
        <x:v>34</x:v>
      </x:c>
      <x:c r="Q152" s="17"/>
      <x:c r="R152" s="19" t="str">
        <x:f t="shared" si="2"/>
        <x:v>Discovery Link Only</x:v>
      </x:c>
      <x:c r="S152" s="43" t="str">
        <x:v>Unknown</x:v>
      </x:c>
      <x:c r="T152" s="43" t="str">
        <x:v>Unknown</x:v>
      </x:c>
      <x:c r="U152" s="43" t="str">
        <x:v>Unknown</x:v>
      </x:c>
      <x:c r="V152" s="43" t="str">
        <x:v>Unknown</x:v>
      </x:c>
      <x:c r="W152" s="43" t="str">
        <x:v>Unknown</x:v>
      </x:c>
      <x:c r="X152" s="43" t="str">
        <x:v>Unknown</x:v>
      </x:c>
      <x:c r="Y152" s="43" t="str">
        <x:v>Unknown</x:v>
      </x:c>
      <x:c r="Z152" s="43"/>
    </x:row>
    <x:row r="153" ht="60" customHeight="1">
      <x:c r="A153" s="16" t="s">
        <x:v>916</x:v>
      </x:c>
      <x:c r="B153" s="16" t="s">
        <x:v>917</x:v>
      </x:c>
      <x:c r="C153" s="16" t="s">
        <x:v>851</x:v>
      </x:c>
      <x:c r="D153" s="16" t="s">
        <x:v>879</x:v>
      </x:c>
      <x:c r="E153" s="16" t="s">
        <x:v>106</x:v>
      </x:c>
      <x:c r="F153" s="16" t="s">
        <x:v>107</x:v>
      </x:c>
      <x:c r="G153" s="16" t="s">
        <x:v>46</x:v>
      </x:c>
      <x:c r="H153" s="17" t="s">
        <x:v>349</x:v>
      </x:c>
      <x:c r="I153" s="17" t="s">
        <x:v>918</x:v>
      </x:c>
      <x:c r="J153" s="17" t="s">
        <x:v>919</x:v>
      </x:c>
      <x:c r="K153" s="17" t="s">
        <x:v>855</x:v>
      </x:c>
      <x:c r="L153" s="17" t="s">
        <x:v>111</x:v>
      </x:c>
      <x:c r="M153" s="17" t="s">
        <x:v>920</x:v>
      </x:c>
      <x:c r="N153" s="16"/>
      <x:c r="O153" s="18">
        <x:v>46249</x:v>
      </x:c>
      <x:c r="P153" s="19" t="s">
        <x:v>34</x:v>
      </x:c>
      <x:c r="Q153" s="17"/>
      <x:c r="R153" s="19" t="str">
        <x:f t="shared" si="2"/>
        <x:v>Discovery Link Only</x:v>
      </x:c>
      <x:c r="S153" s="43" t="str">
        <x:v>Unknown</x:v>
      </x:c>
      <x:c r="T153" s="43" t="str">
        <x:v>Unknown</x:v>
      </x:c>
      <x:c r="U153" s="43" t="str">
        <x:v>Unknown</x:v>
      </x:c>
      <x:c r="V153" s="43" t="str">
        <x:v>Unknown</x:v>
      </x:c>
      <x:c r="W153" s="43" t="str">
        <x:v>Unknown</x:v>
      </x:c>
      <x:c r="X153" s="43" t="str">
        <x:v>Unknown</x:v>
      </x:c>
      <x:c r="Y153" s="43" t="str">
        <x:v>Unknown</x:v>
      </x:c>
      <x:c r="Z153" s="43"/>
    </x:row>
    <x:row r="154" ht="60" customHeight="1">
      <x:c r="A154" s="16" t="s">
        <x:v>921</x:v>
      </x:c>
      <x:c r="B154" s="16" t="s">
        <x:v>922</x:v>
      </x:c>
      <x:c r="C154" s="16" t="s">
        <x:v>851</x:v>
      </x:c>
      <x:c r="D154" s="16" t="s">
        <x:v>879</x:v>
      </x:c>
      <x:c r="E154" s="16" t="s">
        <x:v>24</x:v>
      </x:c>
      <x:c r="F154" s="16" t="s">
        <x:v>121</x:v>
      </x:c>
      <x:c r="G154" s="16" t="s">
        <x:v>26</x:v>
      </x:c>
      <x:c r="H154" s="17" t="s">
        <x:v>923</x:v>
      </x:c>
      <x:c r="I154" s="17" t="s">
        <x:v>924</x:v>
      </x:c>
      <x:c r="J154" s="17" t="s">
        <x:v>925</x:v>
      </x:c>
      <x:c r="K154" s="17" t="s">
        <x:v>855</x:v>
      </x:c>
      <x:c r="L154" s="17" t="s">
        <x:v>111</x:v>
      </x:c>
      <x:c r="M154" s="17" t="s">
        <x:v>920</x:v>
      </x:c>
      <x:c r="N154" s="16"/>
      <x:c r="O154" s="18">
        <x:v>46249</x:v>
      </x:c>
      <x:c r="P154" s="19" t="s">
        <x:v>34</x:v>
      </x:c>
      <x:c r="Q154" s="17"/>
      <x:c r="R154" s="19" t="str">
        <x:f t="shared" si="2"/>
        <x:v>Discovery Link Only</x:v>
      </x:c>
      <x:c r="S154" s="43" t="str">
        <x:v>Unknown</x:v>
      </x:c>
      <x:c r="T154" s="43" t="str">
        <x:v>Unknown</x:v>
      </x:c>
      <x:c r="U154" s="43" t="str">
        <x:v>Unknown</x:v>
      </x:c>
      <x:c r="V154" s="43" t="str">
        <x:v>Unknown</x:v>
      </x:c>
      <x:c r="W154" s="43" t="str">
        <x:v>Unknown</x:v>
      </x:c>
      <x:c r="X154" s="43" t="str">
        <x:v>Unknown</x:v>
      </x:c>
      <x:c r="Y154" s="43" t="str">
        <x:v>Unknown</x:v>
      </x:c>
      <x:c r="Z154" s="43"/>
    </x:row>
    <x:row r="155" ht="60" customHeight="1">
      <x:c r="A155" s="16" t="s">
        <x:v>926</x:v>
      </x:c>
      <x:c r="B155" s="16" t="s">
        <x:v>927</x:v>
      </x:c>
      <x:c r="C155" s="16" t="s">
        <x:v>851</x:v>
      </x:c>
      <x:c r="D155" s="16" t="s">
        <x:v>928</x:v>
      </x:c>
      <x:c r="E155" s="16" t="s">
        <x:v>133</x:v>
      </x:c>
      <x:c r="F155" s="16" t="s">
        <x:v>107</x:v>
      </x:c>
      <x:c r="G155" s="16" t="s">
        <x:v>134</x:v>
      </x:c>
      <x:c r="H155" s="17" t="s">
        <x:v>929</x:v>
      </x:c>
      <x:c r="I155" s="17" t="s">
        <x:v>930</x:v>
      </x:c>
      <x:c r="J155" s="17" t="s">
        <x:v>931</x:v>
      </x:c>
      <x:c r="K155" s="17" t="s">
        <x:v>855</x:v>
      </x:c>
      <x:c r="L155" s="17" t="s">
        <x:v>111</x:v>
      </x:c>
      <x:c r="M155" s="17" t="s">
        <x:v>920</x:v>
      </x:c>
      <x:c r="N155" s="16"/>
      <x:c r="O155" s="18">
        <x:v>46249</x:v>
      </x:c>
      <x:c r="P155" s="19" t="s">
        <x:v>34</x:v>
      </x:c>
      <x:c r="Q155" s="17"/>
      <x:c r="R155" s="19" t="str">
        <x:f t="shared" si="2"/>
        <x:v>Discovery Link Only</x:v>
      </x:c>
      <x:c r="S155" s="43" t="str">
        <x:v>Unknown</x:v>
      </x:c>
      <x:c r="T155" s="43" t="str">
        <x:v>Unknown</x:v>
      </x:c>
      <x:c r="U155" s="43" t="str">
        <x:v>Unknown</x:v>
      </x:c>
      <x:c r="V155" s="43" t="str">
        <x:v>Unknown</x:v>
      </x:c>
      <x:c r="W155" s="43" t="str">
        <x:v>Unknown</x:v>
      </x:c>
      <x:c r="X155" s="43" t="str">
        <x:v>Unknown</x:v>
      </x:c>
      <x:c r="Y155" s="43" t="str">
        <x:v>Unknown</x:v>
      </x:c>
      <x:c r="Z155" s="43"/>
    </x:row>
    <x:row r="156" ht="60" customHeight="1">
      <x:c r="A156" s="16" t="s">
        <x:v>932</x:v>
      </x:c>
      <x:c r="B156" s="16" t="s">
        <x:v>933</x:v>
      </x:c>
      <x:c r="C156" s="16" t="s">
        <x:v>851</x:v>
      </x:c>
      <x:c r="D156" s="16" t="s">
        <x:v>928</x:v>
      </x:c>
      <x:c r="E156" s="16" t="s">
        <x:v>99</x:v>
      </x:c>
      <x:c r="F156" s="16" t="s">
        <x:v>127</x:v>
      </x:c>
      <x:c r="G156" s="16" t="s">
        <x:v>46</x:v>
      </x:c>
      <x:c r="H156" s="17" t="s">
        <x:v>934</x:v>
      </x:c>
      <x:c r="I156" s="17" t="s">
        <x:v>935</x:v>
      </x:c>
      <x:c r="J156" s="17" t="s">
        <x:v>936</x:v>
      </x:c>
      <x:c r="K156" s="17" t="s">
        <x:v>855</x:v>
      </x:c>
      <x:c r="L156" s="17" t="s">
        <x:v>111</x:v>
      </x:c>
      <x:c r="M156" s="17" t="s">
        <x:v>920</x:v>
      </x:c>
      <x:c r="N156" s="16"/>
      <x:c r="O156" s="18">
        <x:v>46249</x:v>
      </x:c>
      <x:c r="P156" s="19" t="s">
        <x:v>34</x:v>
      </x:c>
      <x:c r="Q156" s="17"/>
      <x:c r="R156" s="19" t="str">
        <x:f t="shared" si="2"/>
        <x:v>Discovery Link Only</x:v>
      </x:c>
      <x:c r="S156" s="43" t="str">
        <x:v>Unknown</x:v>
      </x:c>
      <x:c r="T156" s="43" t="str">
        <x:v>Unknown</x:v>
      </x:c>
      <x:c r="U156" s="43" t="str">
        <x:v>Unknown</x:v>
      </x:c>
      <x:c r="V156" s="43" t="str">
        <x:v>Unknown</x:v>
      </x:c>
      <x:c r="W156" s="43" t="str">
        <x:v>Unknown</x:v>
      </x:c>
      <x:c r="X156" s="43" t="str">
        <x:v>Unknown</x:v>
      </x:c>
      <x:c r="Y156" s="43" t="str">
        <x:v>Unknown</x:v>
      </x:c>
      <x:c r="Z156" s="43"/>
    </x:row>
    <x:row r="157" ht="60" customHeight="1">
      <x:c r="A157" s="16" t="s">
        <x:v>937</x:v>
      </x:c>
      <x:c r="B157" s="16" t="s">
        <x:v>938</x:v>
      </x:c>
      <x:c r="C157" s="16" t="s">
        <x:v>851</x:v>
      </x:c>
      <x:c r="D157" s="16" t="s">
        <x:v>939</x:v>
      </x:c>
      <x:c r="E157" s="16" t="s">
        <x:v>37</x:v>
      </x:c>
      <x:c r="F157" s="16" t="s">
        <x:v>107</x:v>
      </x:c>
      <x:c r="G157" s="16" t="s">
        <x:v>26</x:v>
      </x:c>
      <x:c r="H157" s="17" t="s">
        <x:v>940</x:v>
      </x:c>
      <x:c r="I157" s="17" t="s">
        <x:v>941</x:v>
      </x:c>
      <x:c r="J157" s="17" t="s">
        <x:v>942</x:v>
      </x:c>
      <x:c r="K157" s="17" t="s">
        <x:v>855</x:v>
      </x:c>
      <x:c r="L157" s="17" t="s">
        <x:v>111</x:v>
      </x:c>
      <x:c r="M157" s="17" t="s">
        <x:v>920</x:v>
      </x:c>
      <x:c r="N157" s="16"/>
      <x:c r="O157" s="18">
        <x:v>46249</x:v>
      </x:c>
      <x:c r="P157" s="19" t="s">
        <x:v>34</x:v>
      </x:c>
      <x:c r="Q157" s="17"/>
      <x:c r="R157" s="19" t="str">
        <x:f t="shared" si="2"/>
        <x:v>Discovery Link Only</x:v>
      </x:c>
      <x:c r="S157" s="43" t="str">
        <x:v>Unknown</x:v>
      </x:c>
      <x:c r="T157" s="43" t="str">
        <x:v>Unknown</x:v>
      </x:c>
      <x:c r="U157" s="43" t="str">
        <x:v>Unknown</x:v>
      </x:c>
      <x:c r="V157" s="43" t="str">
        <x:v>Unknown</x:v>
      </x:c>
      <x:c r="W157" s="43" t="str">
        <x:v>Unknown</x:v>
      </x:c>
      <x:c r="X157" s="43" t="str">
        <x:v>Unknown</x:v>
      </x:c>
      <x:c r="Y157" s="43" t="str">
        <x:v>Unknown</x:v>
      </x:c>
      <x:c r="Z157" s="43"/>
    </x:row>
    <x:row r="158" ht="60" customHeight="1">
      <x:c r="A158" s="16" t="s">
        <x:v>943</x:v>
      </x:c>
      <x:c r="B158" s="16" t="s">
        <x:v>944</x:v>
      </x:c>
      <x:c r="C158" s="16" t="s">
        <x:v>851</x:v>
      </x:c>
      <x:c r="D158" s="16" t="s">
        <x:v>945</x:v>
      </x:c>
      <x:c r="E158" s="16" t="s">
        <x:v>45</x:v>
      </x:c>
      <x:c r="F158" s="16" t="s">
        <x:v>194</x:v>
      </x:c>
      <x:c r="G158" s="16" t="s">
        <x:v>26</x:v>
      </x:c>
      <x:c r="H158" s="17" t="s">
        <x:v>946</x:v>
      </x:c>
      <x:c r="I158" s="17" t="s">
        <x:v>947</x:v>
      </x:c>
      <x:c r="J158" s="17" t="s">
        <x:v>948</x:v>
      </x:c>
      <x:c r="K158" s="17" t="s">
        <x:v>855</x:v>
      </x:c>
      <x:c r="L158" s="17" t="s">
        <x:v>111</x:v>
      </x:c>
      <x:c r="M158" s="17" t="s">
        <x:v>920</x:v>
      </x:c>
      <x:c r="N158" s="16"/>
      <x:c r="O158" s="18">
        <x:v>46249</x:v>
      </x:c>
      <x:c r="P158" s="19" t="s">
        <x:v>34</x:v>
      </x:c>
      <x:c r="Q158" s="17"/>
      <x:c r="R158" s="19" t="str">
        <x:f t="shared" si="2"/>
        <x:v>Discovery Link Only</x:v>
      </x:c>
      <x:c r="S158" s="43" t="str">
        <x:v>Unknown</x:v>
      </x:c>
      <x:c r="T158" s="43" t="str">
        <x:v>Unknown</x:v>
      </x:c>
      <x:c r="U158" s="43" t="str">
        <x:v>Unknown</x:v>
      </x:c>
      <x:c r="V158" s="43" t="str">
        <x:v>Unknown</x:v>
      </x:c>
      <x:c r="W158" s="43" t="str">
        <x:v>Unknown</x:v>
      </x:c>
      <x:c r="X158" s="43" t="str">
        <x:v>Unknown</x:v>
      </x:c>
      <x:c r="Y158" s="43" t="str">
        <x:v>Unknown</x:v>
      </x:c>
      <x:c r="Z158" s="43"/>
    </x:row>
    <x:row r="159" ht="60" customHeight="1">
      <x:c r="A159" s="16" t="s">
        <x:v>949</x:v>
      </x:c>
      <x:c r="B159" s="16" t="s">
        <x:v>950</x:v>
      </x:c>
      <x:c r="C159" s="16" t="s">
        <x:v>851</x:v>
      </x:c>
      <x:c r="D159" s="16" t="s">
        <x:v>945</x:v>
      </x:c>
      <x:c r="E159" s="16" t="s">
        <x:v>72</x:v>
      </x:c>
      <x:c r="F159" s="16" t="s">
        <x:v>127</x:v>
      </x:c>
      <x:c r="G159" s="16" t="s">
        <x:v>26</x:v>
      </x:c>
      <x:c r="H159" s="17" t="s">
        <x:v>951</x:v>
      </x:c>
      <x:c r="I159" s="17" t="s">
        <x:v>952</x:v>
      </x:c>
      <x:c r="J159" s="17" t="s">
        <x:v>953</x:v>
      </x:c>
      <x:c r="K159" s="17" t="s">
        <x:v>855</x:v>
      </x:c>
      <x:c r="L159" s="17" t="s">
        <x:v>111</x:v>
      </x:c>
      <x:c r="M159" s="17" t="s">
        <x:v>920</x:v>
      </x:c>
      <x:c r="N159" s="16"/>
      <x:c r="O159" s="18">
        <x:v>46249</x:v>
      </x:c>
      <x:c r="P159" s="19" t="s">
        <x:v>34</x:v>
      </x:c>
      <x:c r="Q159" s="17"/>
      <x:c r="R159" s="19" t="str">
        <x:f t="shared" si="2"/>
        <x:v>Discovery Link Only</x:v>
      </x:c>
      <x:c r="S159" s="43" t="str">
        <x:v>Unknown</x:v>
      </x:c>
      <x:c r="T159" s="43" t="str">
        <x:v>Unknown</x:v>
      </x:c>
      <x:c r="U159" s="43" t="str">
        <x:v>Unknown</x:v>
      </x:c>
      <x:c r="V159" s="43" t="str">
        <x:v>Unknown</x:v>
      </x:c>
      <x:c r="W159" s="43" t="str">
        <x:v>Unknown</x:v>
      </x:c>
      <x:c r="X159" s="43" t="str">
        <x:v>Unknown</x:v>
      </x:c>
      <x:c r="Y159" s="43" t="str">
        <x:v>Unknown</x:v>
      </x:c>
      <x:c r="Z159" s="43"/>
    </x:row>
    <x:row r="160" ht="60" customHeight="1">
      <x:c r="A160" s="16" t="s">
        <x:v>954</x:v>
      </x:c>
      <x:c r="B160" s="16" t="s">
        <x:v>955</x:v>
      </x:c>
      <x:c r="C160" s="16" t="s">
        <x:v>851</x:v>
      </x:c>
      <x:c r="D160" s="16" t="s">
        <x:v>956</x:v>
      </x:c>
      <x:c r="E160" s="16" t="s">
        <x:v>37</x:v>
      </x:c>
      <x:c r="F160" s="16" t="s">
        <x:v>121</x:v>
      </x:c>
      <x:c r="G160" s="16" t="s">
        <x:v>26</x:v>
      </x:c>
      <x:c r="H160" s="17" t="s">
        <x:v>957</x:v>
      </x:c>
      <x:c r="I160" s="17" t="s">
        <x:v>958</x:v>
      </x:c>
      <x:c r="J160" s="17" t="s">
        <x:v>959</x:v>
      </x:c>
      <x:c r="K160" s="17" t="s">
        <x:v>855</x:v>
      </x:c>
      <x:c r="L160" s="17" t="s">
        <x:v>111</x:v>
      </x:c>
      <x:c r="M160" s="17" t="s">
        <x:v>920</x:v>
      </x:c>
      <x:c r="N160" s="16"/>
      <x:c r="O160" s="18">
        <x:v>46249</x:v>
      </x:c>
      <x:c r="P160" s="19" t="s">
        <x:v>34</x:v>
      </x:c>
      <x:c r="Q160" s="17"/>
      <x:c r="R160" s="19" t="str">
        <x:f t="shared" si="2"/>
        <x:v>Discovery Link Only</x:v>
      </x:c>
      <x:c r="S160" s="43" t="str">
        <x:v>Unknown</x:v>
      </x:c>
      <x:c r="T160" s="43" t="str">
        <x:v>Unknown</x:v>
      </x:c>
      <x:c r="U160" s="43" t="str">
        <x:v>Unknown</x:v>
      </x:c>
      <x:c r="V160" s="43" t="str">
        <x:v>Unknown</x:v>
      </x:c>
      <x:c r="W160" s="43" t="str">
        <x:v>Unknown</x:v>
      </x:c>
      <x:c r="X160" s="43" t="str">
        <x:v>Unknown</x:v>
      </x:c>
      <x:c r="Y160" s="43" t="str">
        <x:v>Unknown</x:v>
      </x:c>
      <x:c r="Z160" s="43"/>
    </x:row>
    <x:row r="161" ht="60" customHeight="1">
      <x:c r="A161" s="16" t="s">
        <x:v>960</x:v>
      </x:c>
      <x:c r="B161" s="16" t="s">
        <x:v>961</x:v>
      </x:c>
      <x:c r="C161" s="16" t="s">
        <x:v>851</x:v>
      </x:c>
      <x:c r="D161" s="16" t="s">
        <x:v>956</x:v>
      </x:c>
      <x:c r="E161" s="16" t="s">
        <x:v>45</x:v>
      </x:c>
      <x:c r="F161" s="16" t="s">
        <x:v>127</x:v>
      </x:c>
      <x:c r="G161" s="16" t="s">
        <x:v>26</x:v>
      </x:c>
      <x:c r="H161" s="17" t="s">
        <x:v>962</x:v>
      </x:c>
      <x:c r="I161" s="17" t="s">
        <x:v>963</x:v>
      </x:c>
      <x:c r="J161" s="17" t="s">
        <x:v>964</x:v>
      </x:c>
      <x:c r="K161" s="17" t="s">
        <x:v>855</x:v>
      </x:c>
      <x:c r="L161" s="17" t="s">
        <x:v>111</x:v>
      </x:c>
      <x:c r="M161" s="17" t="s">
        <x:v>920</x:v>
      </x:c>
      <x:c r="N161" s="16"/>
      <x:c r="O161" s="18">
        <x:v>46249</x:v>
      </x:c>
      <x:c r="P161" s="19" t="s">
        <x:v>34</x:v>
      </x:c>
      <x:c r="Q161" s="17"/>
      <x:c r="R161" s="19" t="str">
        <x:f t="shared" si="2"/>
        <x:v>Discovery Link Only</x:v>
      </x:c>
      <x:c r="S161" s="43" t="str">
        <x:v>Unknown</x:v>
      </x:c>
      <x:c r="T161" s="43" t="str">
        <x:v>Unknown</x:v>
      </x:c>
      <x:c r="U161" s="43" t="str">
        <x:v>Unknown</x:v>
      </x:c>
      <x:c r="V161" s="43" t="str">
        <x:v>Unknown</x:v>
      </x:c>
      <x:c r="W161" s="43" t="str">
        <x:v>Unknown</x:v>
      </x:c>
      <x:c r="X161" s="43" t="str">
        <x:v>Unknown</x:v>
      </x:c>
      <x:c r="Y161" s="43" t="str">
        <x:v>Unknown</x:v>
      </x:c>
      <x:c r="Z161" s="43"/>
    </x:row>
    <x:row r="162" ht="60" customHeight="1">
      <x:c r="A162" s="16" t="s">
        <x:v>965</x:v>
      </x:c>
      <x:c r="B162" s="16" t="s">
        <x:v>966</x:v>
      </x:c>
      <x:c r="C162" s="16" t="s">
        <x:v>851</x:v>
      </x:c>
      <x:c r="D162" s="16" t="s">
        <x:v>865</x:v>
      </x:c>
      <x:c r="E162" s="16" t="s">
        <x:v>45</x:v>
      </x:c>
      <x:c r="F162" s="16" t="s">
        <x:v>107</x:v>
      </x:c>
      <x:c r="G162" s="16" t="s">
        <x:v>26</x:v>
      </x:c>
      <x:c r="H162" s="17" t="s">
        <x:v>967</x:v>
      </x:c>
      <x:c r="I162" s="17" t="s">
        <x:v>968</x:v>
      </x:c>
      <x:c r="J162" s="17" t="s">
        <x:v>969</x:v>
      </x:c>
      <x:c r="K162" s="17" t="s">
        <x:v>855</x:v>
      </x:c>
      <x:c r="L162" s="17" t="s">
        <x:v>111</x:v>
      </x:c>
      <x:c r="M162" s="17" t="s">
        <x:v>920</x:v>
      </x:c>
      <x:c r="N162" s="16"/>
      <x:c r="O162" s="18">
        <x:v>46249</x:v>
      </x:c>
      <x:c r="P162" s="19" t="s">
        <x:v>34</x:v>
      </x:c>
      <x:c r="Q162" s="17"/>
      <x:c r="R162" s="19" t="str">
        <x:f t="shared" si="2"/>
        <x:v>Discovery Link Only</x:v>
      </x:c>
      <x:c r="S162" s="43" t="str">
        <x:v>Unknown</x:v>
      </x:c>
      <x:c r="T162" s="43" t="str">
        <x:v>Unknown</x:v>
      </x:c>
      <x:c r="U162" s="43" t="str">
        <x:v>Unknown</x:v>
      </x:c>
      <x:c r="V162" s="43" t="str">
        <x:v>Unknown</x:v>
      </x:c>
      <x:c r="W162" s="43" t="str">
        <x:v>Unknown</x:v>
      </x:c>
      <x:c r="X162" s="43" t="str">
        <x:v>Unknown</x:v>
      </x:c>
      <x:c r="Y162" s="43" t="str">
        <x:v>Unknown</x:v>
      </x:c>
      <x:c r="Z162" s="43"/>
    </x:row>
    <x:row r="163" ht="60" customHeight="1">
      <x:c r="A163" s="16" t="s">
        <x:v>970</x:v>
      </x:c>
      <x:c r="B163" s="16" t="s">
        <x:v>971</x:v>
      </x:c>
      <x:c r="C163" s="16" t="s">
        <x:v>851</x:v>
      </x:c>
      <x:c r="D163" s="16" t="s">
        <x:v>865</x:v>
      </x:c>
      <x:c r="E163" s="16" t="s">
        <x:v>251</x:v>
      </x:c>
      <x:c r="F163" s="16" t="s">
        <x:v>107</x:v>
      </x:c>
      <x:c r="G163" s="16" t="s">
        <x:v>26</x:v>
      </x:c>
      <x:c r="H163" s="17" t="s">
        <x:v>972</x:v>
      </x:c>
      <x:c r="I163" s="17" t="s">
        <x:v>973</x:v>
      </x:c>
      <x:c r="J163" s="17" t="s">
        <x:v>974</x:v>
      </x:c>
      <x:c r="K163" s="17" t="s">
        <x:v>855</x:v>
      </x:c>
      <x:c r="L163" s="17" t="s">
        <x:v>111</x:v>
      </x:c>
      <x:c r="M163" s="17" t="s">
        <x:v>920</x:v>
      </x:c>
      <x:c r="N163" s="16"/>
      <x:c r="O163" s="18">
        <x:v>46249</x:v>
      </x:c>
      <x:c r="P163" s="19" t="s">
        <x:v>34</x:v>
      </x:c>
      <x:c r="Q163" s="17"/>
      <x:c r="R163" s="19" t="str">
        <x:f t="shared" si="2"/>
        <x:v>Discovery Link Only</x:v>
      </x:c>
      <x:c r="S163" s="43" t="str">
        <x:v>Unknown</x:v>
      </x:c>
      <x:c r="T163" s="43" t="str">
        <x:v>Unknown</x:v>
      </x:c>
      <x:c r="U163" s="43" t="str">
        <x:v>Unknown</x:v>
      </x:c>
      <x:c r="V163" s="43" t="str">
        <x:v>Unknown</x:v>
      </x:c>
      <x:c r="W163" s="43" t="str">
        <x:v>Unknown</x:v>
      </x:c>
      <x:c r="X163" s="43" t="str">
        <x:v>Unknown</x:v>
      </x:c>
      <x:c r="Y163" s="43" t="str">
        <x:v>Unknown</x:v>
      </x:c>
      <x:c r="Z163" s="43"/>
    </x:row>
    <x:row r="164" ht="60" customHeight="1">
      <x:c r="A164" s="16" t="s">
        <x:v>975</x:v>
      </x:c>
      <x:c r="B164" s="16" t="s">
        <x:v>976</x:v>
      </x:c>
      <x:c r="C164" s="16" t="s">
        <x:v>851</x:v>
      </x:c>
      <x:c r="D164" s="16" t="s">
        <x:v>865</x:v>
      </x:c>
      <x:c r="E164" s="16" t="s">
        <x:v>45</x:v>
      </x:c>
      <x:c r="F164" s="16" t="s">
        <x:v>127</x:v>
      </x:c>
      <x:c r="G164" s="16" t="s">
        <x:v>26</x:v>
      </x:c>
      <x:c r="H164" s="17" t="s">
        <x:v>977</x:v>
      </x:c>
      <x:c r="I164" s="17" t="s">
        <x:v>978</x:v>
      </x:c>
      <x:c r="J164" s="17" t="s">
        <x:v>979</x:v>
      </x:c>
      <x:c r="K164" s="17" t="s">
        <x:v>855</x:v>
      </x:c>
      <x:c r="L164" s="17" t="s">
        <x:v>111</x:v>
      </x:c>
      <x:c r="M164" s="17" t="s">
        <x:v>920</x:v>
      </x:c>
      <x:c r="N164" s="16"/>
      <x:c r="O164" s="18">
        <x:v>46249</x:v>
      </x:c>
      <x:c r="P164" s="19" t="s">
        <x:v>34</x:v>
      </x:c>
      <x:c r="Q164" s="17"/>
      <x:c r="R164" s="19" t="str">
        <x:f t="shared" si="2"/>
        <x:v>Discovery Link Only</x:v>
      </x:c>
      <x:c r="S164" s="43" t="str">
        <x:v>Unknown</x:v>
      </x:c>
      <x:c r="T164" s="43" t="str">
        <x:v>Unknown</x:v>
      </x:c>
      <x:c r="U164" s="43" t="str">
        <x:v>Unknown</x:v>
      </x:c>
      <x:c r="V164" s="43" t="str">
        <x:v>Unknown</x:v>
      </x:c>
      <x:c r="W164" s="43" t="str">
        <x:v>Unknown</x:v>
      </x:c>
      <x:c r="X164" s="43" t="str">
        <x:v>Unknown</x:v>
      </x:c>
      <x:c r="Y164" s="43" t="str">
        <x:v>Unknown</x:v>
      </x:c>
      <x:c r="Z164" s="43"/>
    </x:row>
    <x:row r="165" ht="60" customHeight="1">
      <x:c r="A165" s="16" t="s">
        <x:v>980</x:v>
      </x:c>
      <x:c r="B165" s="16" t="s">
        <x:v>981</x:v>
      </x:c>
      <x:c r="C165" s="16" t="s">
        <x:v>851</x:v>
      </x:c>
      <x:c r="D165" s="16" t="s">
        <x:v>982</x:v>
      </x:c>
      <x:c r="E165" s="16" t="s">
        <x:v>37</x:v>
      </x:c>
      <x:c r="F165" s="16" t="s">
        <x:v>107</x:v>
      </x:c>
      <x:c r="G165" s="16" t="s">
        <x:v>26</x:v>
      </x:c>
      <x:c r="H165" s="17" t="s">
        <x:v>983</x:v>
      </x:c>
      <x:c r="I165" s="17" t="s">
        <x:v>984</x:v>
      </x:c>
      <x:c r="J165" s="17" t="s">
        <x:v>985</x:v>
      </x:c>
      <x:c r="K165" s="17" t="s">
        <x:v>855</x:v>
      </x:c>
      <x:c r="L165" s="17" t="s">
        <x:v>111</x:v>
      </x:c>
      <x:c r="M165" s="17" t="s">
        <x:v>920</x:v>
      </x:c>
      <x:c r="N165" s="16"/>
      <x:c r="O165" s="18">
        <x:v>46249</x:v>
      </x:c>
      <x:c r="P165" s="19" t="s">
        <x:v>34</x:v>
      </x:c>
      <x:c r="Q165" s="17"/>
      <x:c r="R165" s="19" t="str">
        <x:f t="shared" si="2"/>
        <x:v>Discovery Link Only</x:v>
      </x:c>
      <x:c r="S165" s="43" t="str">
        <x:v>Unknown</x:v>
      </x:c>
      <x:c r="T165" s="43" t="str">
        <x:v>Unknown</x:v>
      </x:c>
      <x:c r="U165" s="43" t="str">
        <x:v>Unknown</x:v>
      </x:c>
      <x:c r="V165" s="43" t="str">
        <x:v>Unknown</x:v>
      </x:c>
      <x:c r="W165" s="43" t="str">
        <x:v>Unknown</x:v>
      </x:c>
      <x:c r="X165" s="43" t="str">
        <x:v>Unknown</x:v>
      </x:c>
      <x:c r="Y165" s="43" t="str">
        <x:v>Unknown</x:v>
      </x:c>
      <x:c r="Z165" s="43"/>
    </x:row>
    <x:row r="166" ht="60" customHeight="1">
      <x:c r="A166" s="16" t="s">
        <x:v>986</x:v>
      </x:c>
      <x:c r="B166" s="16" t="s">
        <x:v>987</x:v>
      </x:c>
      <x:c r="C166" s="16" t="s">
        <x:v>851</x:v>
      </x:c>
      <x:c r="D166" s="16" t="s">
        <x:v>982</x:v>
      </x:c>
      <x:c r="E166" s="16" t="s">
        <x:v>37</x:v>
      </x:c>
      <x:c r="F166" s="16" t="s">
        <x:v>121</x:v>
      </x:c>
      <x:c r="G166" s="16" t="s">
        <x:v>26</x:v>
      </x:c>
      <x:c r="H166" s="17" t="s">
        <x:v>988</x:v>
      </x:c>
      <x:c r="I166" s="17" t="s">
        <x:v>989</x:v>
      </x:c>
      <x:c r="J166" s="17" t="s">
        <x:v>990</x:v>
      </x:c>
      <x:c r="K166" s="17" t="s">
        <x:v>855</x:v>
      </x:c>
      <x:c r="L166" s="17" t="s">
        <x:v>111</x:v>
      </x:c>
      <x:c r="M166" s="17" t="s">
        <x:v>920</x:v>
      </x:c>
      <x:c r="N166" s="16"/>
      <x:c r="O166" s="18">
        <x:v>46249</x:v>
      </x:c>
      <x:c r="P166" s="19" t="s">
        <x:v>34</x:v>
      </x:c>
      <x:c r="Q166" s="17"/>
      <x:c r="R166" s="19" t="str">
        <x:f t="shared" si="2"/>
        <x:v>Discovery Link Only</x:v>
      </x:c>
      <x:c r="S166" s="43" t="str">
        <x:v>Unknown</x:v>
      </x:c>
      <x:c r="T166" s="43" t="str">
        <x:v>Unknown</x:v>
      </x:c>
      <x:c r="U166" s="43" t="str">
        <x:v>Unknown</x:v>
      </x:c>
      <x:c r="V166" s="43" t="str">
        <x:v>Unknown</x:v>
      </x:c>
      <x:c r="W166" s="43" t="str">
        <x:v>Unknown</x:v>
      </x:c>
      <x:c r="X166" s="43" t="str">
        <x:v>Unknown</x:v>
      </x:c>
      <x:c r="Y166" s="43" t="str">
        <x:v>Unknown</x:v>
      </x:c>
      <x:c r="Z166" s="43"/>
    </x:row>
    <x:row r="167" ht="60" customHeight="1">
      <x:c r="A167" s="16" t="s">
        <x:v>991</x:v>
      </x:c>
      <x:c r="B167" s="16" t="s">
        <x:v>992</x:v>
      </x:c>
      <x:c r="C167" s="16" t="s">
        <x:v>851</x:v>
      </x:c>
      <x:c r="D167" s="16" t="s">
        <x:v>899</x:v>
      </x:c>
      <x:c r="E167" s="16" t="s">
        <x:v>45</x:v>
      </x:c>
      <x:c r="F167" s="16" t="s">
        <x:v>107</x:v>
      </x:c>
      <x:c r="G167" s="16" t="s">
        <x:v>26</x:v>
      </x:c>
      <x:c r="H167" s="17" t="s">
        <x:v>244</x:v>
      </x:c>
      <x:c r="I167" s="17" t="s">
        <x:v>993</x:v>
      </x:c>
      <x:c r="J167" s="17" t="s">
        <x:v>994</x:v>
      </x:c>
      <x:c r="K167" s="17" t="s">
        <x:v>855</x:v>
      </x:c>
      <x:c r="L167" s="17" t="s">
        <x:v>111</x:v>
      </x:c>
      <x:c r="M167" s="17" t="s">
        <x:v>920</x:v>
      </x:c>
      <x:c r="N167" s="16"/>
      <x:c r="O167" s="18">
        <x:v>46249</x:v>
      </x:c>
      <x:c r="P167" s="19" t="s">
        <x:v>34</x:v>
      </x:c>
      <x:c r="Q167" s="17"/>
      <x:c r="R167" s="19" t="str">
        <x:f t="shared" si="2"/>
        <x:v>Discovery Link Only</x:v>
      </x:c>
      <x:c r="S167" s="43" t="str">
        <x:v>Unknown</x:v>
      </x:c>
      <x:c r="T167" s="43" t="str">
        <x:v>Unknown</x:v>
      </x:c>
      <x:c r="U167" s="43" t="str">
        <x:v>Unknown</x:v>
      </x:c>
      <x:c r="V167" s="43" t="str">
        <x:v>Unknown</x:v>
      </x:c>
      <x:c r="W167" s="43" t="str">
        <x:v>Unknown</x:v>
      </x:c>
      <x:c r="X167" s="43" t="str">
        <x:v>Unknown</x:v>
      </x:c>
      <x:c r="Y167" s="43" t="str">
        <x:v>Unknown</x:v>
      </x:c>
      <x:c r="Z167" s="43"/>
    </x:row>
    <x:row r="168" ht="60" customHeight="1">
      <x:c r="A168" s="16" t="s">
        <x:v>995</x:v>
      </x:c>
      <x:c r="B168" s="16" t="s">
        <x:v>996</x:v>
      </x:c>
      <x:c r="C168" s="16" t="s">
        <x:v>851</x:v>
      </x:c>
      <x:c r="D168" s="16" t="s">
        <x:v>899</x:v>
      </x:c>
      <x:c r="E168" s="16" t="s">
        <x:v>140</x:v>
      </x:c>
      <x:c r="F168" s="16" t="s">
        <x:v>121</x:v>
      </x:c>
      <x:c r="G168" s="16" t="s">
        <x:v>46</x:v>
      </x:c>
      <x:c r="H168" s="17" t="s">
        <x:v>997</x:v>
      </x:c>
      <x:c r="I168" s="17" t="s">
        <x:v>998</x:v>
      </x:c>
      <x:c r="J168" s="17" t="s">
        <x:v>999</x:v>
      </x:c>
      <x:c r="K168" s="17" t="s">
        <x:v>855</x:v>
      </x:c>
      <x:c r="L168" s="17" t="s">
        <x:v>111</x:v>
      </x:c>
      <x:c r="M168" s="17" t="s">
        <x:v>920</x:v>
      </x:c>
      <x:c r="N168" s="16"/>
      <x:c r="O168" s="18">
        <x:v>46249</x:v>
      </x:c>
      <x:c r="P168" s="19" t="s">
        <x:v>34</x:v>
      </x:c>
      <x:c r="Q168" s="17"/>
      <x:c r="R168" s="19" t="str">
        <x:f t="shared" si="2"/>
        <x:v>Discovery Link Only</x:v>
      </x:c>
      <x:c r="S168" s="43" t="str">
        <x:v>Unknown</x:v>
      </x:c>
      <x:c r="T168" s="43" t="str">
        <x:v>Unknown</x:v>
      </x:c>
      <x:c r="U168" s="43" t="str">
        <x:v>Unknown</x:v>
      </x:c>
      <x:c r="V168" s="43" t="str">
        <x:v>Unknown</x:v>
      </x:c>
      <x:c r="W168" s="43" t="str">
        <x:v>Unknown</x:v>
      </x:c>
      <x:c r="X168" s="43" t="str">
        <x:v>Unknown</x:v>
      </x:c>
      <x:c r="Y168" s="43" t="str">
        <x:v>Unknown</x:v>
      </x:c>
      <x:c r="Z168" s="43"/>
    </x:row>
    <x:row r="169" ht="60" customHeight="1">
      <x:c r="A169" s="16" t="s">
        <x:v>1000</x:v>
      </x:c>
      <x:c r="B169" s="16" t="s">
        <x:v>1001</x:v>
      </x:c>
      <x:c r="C169" s="16" t="s">
        <x:v>851</x:v>
      </x:c>
      <x:c r="D169" s="16" t="s">
        <x:v>872</x:v>
      </x:c>
      <x:c r="E169" s="16" t="s">
        <x:v>45</x:v>
      </x:c>
      <x:c r="F169" s="16" t="s">
        <x:v>107</x:v>
      </x:c>
      <x:c r="G169" s="16" t="s">
        <x:v>26</x:v>
      </x:c>
      <x:c r="H169" s="17" t="s">
        <x:v>1002</x:v>
      </x:c>
      <x:c r="I169" s="17" t="s">
        <x:v>1003</x:v>
      </x:c>
      <x:c r="J169" s="17" t="s">
        <x:v>1004</x:v>
      </x:c>
      <x:c r="K169" s="17" t="s">
        <x:v>855</x:v>
      </x:c>
      <x:c r="L169" s="17" t="s">
        <x:v>111</x:v>
      </x:c>
      <x:c r="M169" s="17" t="s">
        <x:v>920</x:v>
      </x:c>
      <x:c r="N169" s="16"/>
      <x:c r="O169" s="18">
        <x:v>46249</x:v>
      </x:c>
      <x:c r="P169" s="19" t="s">
        <x:v>34</x:v>
      </x:c>
      <x:c r="Q169" s="17"/>
      <x:c r="R169" s="19" t="str">
        <x:f t="shared" si="2"/>
        <x:v>Discovery Link Only</x:v>
      </x:c>
      <x:c r="S169" s="43" t="str">
        <x:v>Unknown</x:v>
      </x:c>
      <x:c r="T169" s="43" t="str">
        <x:v>Unknown</x:v>
      </x:c>
      <x:c r="U169" s="43" t="str">
        <x:v>Unknown</x:v>
      </x:c>
      <x:c r="V169" s="43" t="str">
        <x:v>Unknown</x:v>
      </x:c>
      <x:c r="W169" s="43" t="str">
        <x:v>Unknown</x:v>
      </x:c>
      <x:c r="X169" s="43" t="str">
        <x:v>Unknown</x:v>
      </x:c>
      <x:c r="Y169" s="43" t="str">
        <x:v>Unknown</x:v>
      </x:c>
      <x:c r="Z169" s="43"/>
    </x:row>
    <x:row r="170" ht="60" customHeight="1">
      <x:c r="A170" s="16" t="s">
        <x:v>1005</x:v>
      </x:c>
      <x:c r="B170" s="16" t="s">
        <x:v>1006</x:v>
      </x:c>
      <x:c r="C170" s="16" t="s">
        <x:v>851</x:v>
      </x:c>
      <x:c r="D170" s="16" t="s">
        <x:v>858</x:v>
      </x:c>
      <x:c r="E170" s="16" t="s">
        <x:v>162</x:v>
      </x:c>
      <x:c r="F170" s="16" t="s">
        <x:v>107</x:v>
      </x:c>
      <x:c r="G170" s="16" t="s">
        <x:v>46</x:v>
      </x:c>
      <x:c r="H170" s="17" t="s">
        <x:v>1007</x:v>
      </x:c>
      <x:c r="I170" s="17" t="s">
        <x:v>1008</x:v>
      </x:c>
      <x:c r="J170" s="17" t="s">
        <x:v>1009</x:v>
      </x:c>
      <x:c r="K170" s="17" t="s">
        <x:v>855</x:v>
      </x:c>
      <x:c r="L170" s="17" t="s">
        <x:v>111</x:v>
      </x:c>
      <x:c r="M170" s="17" t="s">
        <x:v>920</x:v>
      </x:c>
      <x:c r="N170" s="16"/>
      <x:c r="O170" s="18">
        <x:v>46249</x:v>
      </x:c>
      <x:c r="P170" s="19" t="s">
        <x:v>34</x:v>
      </x:c>
      <x:c r="Q170" s="17"/>
      <x:c r="R170" s="19" t="str">
        <x:f t="shared" si="2"/>
        <x:v>Discovery Link Only</x:v>
      </x:c>
      <x:c r="S170" s="43" t="str">
        <x:v>Unknown</x:v>
      </x:c>
      <x:c r="T170" s="43" t="str">
        <x:v>Unknown</x:v>
      </x:c>
      <x:c r="U170" s="43" t="str">
        <x:v>Unknown</x:v>
      </x:c>
      <x:c r="V170" s="43" t="str">
        <x:v>Unknown</x:v>
      </x:c>
      <x:c r="W170" s="43" t="str">
        <x:v>Unknown</x:v>
      </x:c>
      <x:c r="X170" s="43" t="str">
        <x:v>Unknown</x:v>
      </x:c>
      <x:c r="Y170" s="43" t="str">
        <x:v>Unknown</x:v>
      </x:c>
      <x:c r="Z170" s="43"/>
    </x:row>
    <x:row r="171" ht="60" customHeight="1">
      <x:c r="A171" s="16" t="s">
        <x:v>1010</x:v>
      </x:c>
      <x:c r="B171" s="16" t="s">
        <x:v>1011</x:v>
      </x:c>
      <x:c r="C171" s="16" t="s">
        <x:v>851</x:v>
      </x:c>
      <x:c r="D171" s="16" t="s">
        <x:v>858</x:v>
      </x:c>
      <x:c r="E171" s="16" t="s">
        <x:v>162</x:v>
      </x:c>
      <x:c r="F171" s="16" t="s">
        <x:v>121</x:v>
      </x:c>
      <x:c r="G171" s="16" t="s">
        <x:v>46</x:v>
      </x:c>
      <x:c r="H171" s="17" t="s">
        <x:v>1012</x:v>
      </x:c>
      <x:c r="I171" s="17" t="s">
        <x:v>1013</x:v>
      </x:c>
      <x:c r="J171" s="17" t="s">
        <x:v>1014</x:v>
      </x:c>
      <x:c r="K171" s="17" t="s">
        <x:v>855</x:v>
      </x:c>
      <x:c r="L171" s="17" t="s">
        <x:v>111</x:v>
      </x:c>
      <x:c r="M171" s="17" t="s">
        <x:v>920</x:v>
      </x:c>
      <x:c r="N171" s="16"/>
      <x:c r="O171" s="18">
        <x:v>46249</x:v>
      </x:c>
      <x:c r="P171" s="19" t="s">
        <x:v>34</x:v>
      </x:c>
      <x:c r="Q171" s="17"/>
      <x:c r="R171" s="19" t="str">
        <x:f t="shared" si="2"/>
        <x:v>Discovery Link Only</x:v>
      </x:c>
      <x:c r="S171" s="43" t="str">
        <x:v>Unknown</x:v>
      </x:c>
      <x:c r="T171" s="43" t="str">
        <x:v>Unknown</x:v>
      </x:c>
      <x:c r="U171" s="43" t="str">
        <x:v>Unknown</x:v>
      </x:c>
      <x:c r="V171" s="43" t="str">
        <x:v>Unknown</x:v>
      </x:c>
      <x:c r="W171" s="43" t="str">
        <x:v>Unknown</x:v>
      </x:c>
      <x:c r="X171" s="43" t="str">
        <x:v>Unknown</x:v>
      </x:c>
      <x:c r="Y171" s="43" t="str">
        <x:v>Unknown</x:v>
      </x:c>
      <x:c r="Z171" s="43"/>
    </x:row>
    <x:row r="172" ht="60" customHeight="1">
      <x:c r="A172" s="16" t="s">
        <x:v>1015</x:v>
      </x:c>
      <x:c r="B172" s="16" t="s">
        <x:v>1016</x:v>
      </x:c>
      <x:c r="C172" s="16" t="s">
        <x:v>851</x:v>
      </x:c>
      <x:c r="D172" s="16" t="s">
        <x:v>1017</x:v>
      </x:c>
      <x:c r="E172" s="16" t="s">
        <x:v>45</x:v>
      </x:c>
      <x:c r="F172" s="16" t="s">
        <x:v>194</x:v>
      </x:c>
      <x:c r="G172" s="16" t="s">
        <x:v>26</x:v>
      </x:c>
      <x:c r="H172" s="17" t="s">
        <x:v>1018</x:v>
      </x:c>
      <x:c r="I172" s="17" t="s">
        <x:v>1019</x:v>
      </x:c>
      <x:c r="J172" s="17" t="s">
        <x:v>1020</x:v>
      </x:c>
      <x:c r="K172" s="17" t="s">
        <x:v>855</x:v>
      </x:c>
      <x:c r="L172" s="17" t="s">
        <x:v>111</x:v>
      </x:c>
      <x:c r="M172" s="17" t="s">
        <x:v>920</x:v>
      </x:c>
      <x:c r="N172" s="16"/>
      <x:c r="O172" s="18">
        <x:v>46249</x:v>
      </x:c>
      <x:c r="P172" s="19" t="s">
        <x:v>34</x:v>
      </x:c>
      <x:c r="Q172" s="17"/>
      <x:c r="R172" s="19" t="str">
        <x:f t="shared" si="2"/>
        <x:v>Discovery Link Only</x:v>
      </x:c>
      <x:c r="S172" s="43" t="str">
        <x:v>Unknown</x:v>
      </x:c>
      <x:c r="T172" s="43" t="str">
        <x:v>Unknown</x:v>
      </x:c>
      <x:c r="U172" s="43" t="str">
        <x:v>Unknown</x:v>
      </x:c>
      <x:c r="V172" s="43" t="str">
        <x:v>Unknown</x:v>
      </x:c>
      <x:c r="W172" s="43" t="str">
        <x:v>Unknown</x:v>
      </x:c>
      <x:c r="X172" s="43" t="str">
        <x:v>Unknown</x:v>
      </x:c>
      <x:c r="Y172" s="43" t="str">
        <x:v>Unknown</x:v>
      </x:c>
      <x:c r="Z172" s="43"/>
    </x:row>
    <x:row r="173" ht="60" customHeight="1">
      <x:c r="A173" s="16" t="s">
        <x:v>1021</x:v>
      </x:c>
      <x:c r="B173" s="16" t="s">
        <x:v>1022</x:v>
      </x:c>
      <x:c r="C173" s="16" t="s">
        <x:v>1023</x:v>
      </x:c>
      <x:c r="D173" s="16" t="s">
        <x:v>1024</x:v>
      </x:c>
      <x:c r="E173" s="16" t="s">
        <x:v>45</x:v>
      </x:c>
      <x:c r="F173" s="16" t="s">
        <x:v>25</x:v>
      </x:c>
      <x:c r="G173" s="16" t="s">
        <x:v>26</x:v>
      </x:c>
      <x:c r="H173" s="17" t="s">
        <x:v>1025</x:v>
      </x:c>
      <x:c r="I173" s="17" t="s">
        <x:v>1026</x:v>
      </x:c>
      <x:c r="J173" s="17" t="s">
        <x:v>1027</x:v>
      </x:c>
      <x:c r="K173" s="17" t="s">
        <x:v>1028</x:v>
      </x:c>
      <x:c r="L173" s="17" t="s">
        <x:v>58</x:v>
      </x:c>
      <x:c r="M173" s="17" t="s">
        <x:v>256</x:v>
      </x:c>
      <x:c r="N173" s="16" t="s">
        <x:v>1029</x:v>
      </x:c>
      <x:c r="O173" s="18">
        <x:v>46249</x:v>
      </x:c>
      <x:c r="P173" s="19" t="s">
        <x:v>34</x:v>
      </x:c>
      <x:c r="Q173" s="17"/>
      <x:c r="R173" s="19" t="str">
        <x:f t="shared" si="2"/>
        <x:v>Source Link Present</x:v>
      </x:c>
      <x:c r="S173" s="43" t="str">
        <x:v>Unknown</x:v>
      </x:c>
      <x:c r="T173" s="43" t="str">
        <x:v>Unknown</x:v>
      </x:c>
      <x:c r="U173" s="43" t="str">
        <x:v>Unknown</x:v>
      </x:c>
      <x:c r="V173" s="43" t="str">
        <x:v>Unknown</x:v>
      </x:c>
      <x:c r="W173" s="43" t="str">
        <x:v>Unknown</x:v>
      </x:c>
      <x:c r="X173" s="43" t="str">
        <x:v>Yes</x:v>
      </x:c>
      <x:c r="Y173" s="43" t="str">
        <x:v>Unknown</x:v>
      </x:c>
      <x:c r="Z173" s="43" t="str">
        <x:v>Official forestry information records parking, toilets, huts and shelters. Activities include trekking, wading and caves, but route difficulty and step-free access are not documented.</x:v>
      </x:c>
    </x:row>
    <x:row r="174" ht="60" customHeight="1">
      <x:c r="A174" s="16" t="s">
        <x:v>1030</x:v>
      </x:c>
      <x:c r="B174" s="16" t="s">
        <x:v>1031</x:v>
      </x:c>
      <x:c r="C174" s="16" t="s">
        <x:v>1023</x:v>
      </x:c>
      <x:c r="D174" s="16" t="s">
        <x:v>1032</x:v>
      </x:c>
      <x:c r="E174" s="16" t="s">
        <x:v>45</x:v>
      </x:c>
      <x:c r="F174" s="16" t="s">
        <x:v>25</x:v>
      </x:c>
      <x:c r="G174" s="16" t="s">
        <x:v>26</x:v>
      </x:c>
      <x:c r="H174" s="17" t="s">
        <x:v>1033</x:v>
      </x:c>
      <x:c r="I174" s="17" t="s">
        <x:v>1034</x:v>
      </x:c>
      <x:c r="J174" s="17" t="s">
        <x:v>1035</x:v>
      </x:c>
      <x:c r="K174" s="17" t="s">
        <x:v>1028</x:v>
      </x:c>
      <x:c r="L174" s="17" t="s">
        <x:v>58</x:v>
      </x:c>
      <x:c r="M174" s="17" t="s">
        <x:v>256</x:v>
      </x:c>
      <x:c r="N174" s="16" t="s">
        <x:v>1036</x:v>
      </x:c>
      <x:c r="O174" s="18">
        <x:v>46249</x:v>
      </x:c>
      <x:c r="P174" s="19" t="s">
        <x:v>34</x:v>
      </x:c>
      <x:c r="Q174" s="17"/>
      <x:c r="R174" s="19" t="str">
        <x:f t="shared" si="2"/>
        <x:v>Source Link Present</x:v>
      </x:c>
      <x:c r="S174" s="43" t="str">
        <x:v>High</x:v>
      </x:c>
      <x:c r="T174" s="43" t="str">
        <x:v>Unknown</x:v>
      </x:c>
      <x:c r="U174" s="43" t="str">
        <x:v>Unknown</x:v>
      </x:c>
      <x:c r="V174" s="43" t="str">
        <x:v>Unknown</x:v>
      </x:c>
      <x:c r="W174" s="43" t="str">
        <x:v>Unknown</x:v>
      </x:c>
      <x:c r="X174" s="43" t="str">
        <x:v>Unknown</x:v>
      </x:c>
      <x:c r="Y174" s="43" t="str">
        <x:v>Unknown</x:v>
      </x:c>
      <x:c r="Z174" s="43" t="str">
        <x:v>The official park information describes jungle routes requiring about two hours of walking. Step-free access, resting seats and accessible toilets are not documented.</x:v>
      </x:c>
    </x:row>
    <x:row r="175" ht="60" customHeight="1">
      <x:c r="A175" s="16" t="s">
        <x:v>1037</x:v>
      </x:c>
      <x:c r="B175" s="16" t="s">
        <x:v>1038</x:v>
      </x:c>
      <x:c r="C175" s="16" t="s">
        <x:v>1023</x:v>
      </x:c>
      <x:c r="D175" s="16" t="s">
        <x:v>1039</x:v>
      </x:c>
      <x:c r="E175" s="16" t="s">
        <x:v>115</x:v>
      </x:c>
      <x:c r="F175" s="16" t="s">
        <x:v>25</x:v>
      </x:c>
      <x:c r="G175" s="16" t="s">
        <x:v>26</x:v>
      </x:c>
      <x:c r="H175" s="17" t="s">
        <x:v>1040</x:v>
      </x:c>
      <x:c r="I175" s="17" t="s">
        <x:v>1041</x:v>
      </x:c>
      <x:c r="J175" s="17" t="s">
        <x:v>1042</x:v>
      </x:c>
      <x:c r="K175" s="17" t="s">
        <x:v>1028</x:v>
      </x:c>
      <x:c r="L175" s="17" t="s">
        <x:v>58</x:v>
      </x:c>
      <x:c r="M175" s="17" t="s">
        <x:v>256</x:v>
      </x:c>
      <x:c r="N175" s="16" t="s">
        <x:v>1043</x:v>
      </x:c>
      <x:c r="O175" s="18">
        <x:v>46249</x:v>
      </x:c>
      <x:c r="P175" s="19" t="s">
        <x:v>34</x:v>
      </x:c>
      <x:c r="Q175" s="17"/>
      <x:c r="R175" s="19" t="str">
        <x:f t="shared" si="2"/>
        <x:v>Discovery Link Only</x:v>
      </x:c>
      <x:c r="S175" s="43" t="str">
        <x:v>Unknown</x:v>
      </x:c>
      <x:c r="T175" s="43" t="str">
        <x:v>Unknown</x:v>
      </x:c>
      <x:c r="U175" s="43" t="str">
        <x:v>Unknown</x:v>
      </x:c>
      <x:c r="V175" s="43" t="str">
        <x:v>Unknown</x:v>
      </x:c>
      <x:c r="W175" s="43" t="str">
        <x:v>Unknown</x:v>
      </x:c>
      <x:c r="X175" s="43" t="str">
        <x:v>Unknown</x:v>
      </x:c>
      <x:c r="Y175" s="43" t="str">
        <x:v>Unknown</x:v>
      </x:c>
      <x:c r="Z175" s="43"/>
    </x:row>
    <x:row r="176" ht="60" customHeight="1">
      <x:c r="A176" s="16" t="s">
        <x:v>1044</x:v>
      </x:c>
      <x:c r="B176" s="16" t="s">
        <x:v>1045</x:v>
      </x:c>
      <x:c r="C176" s="16" t="s">
        <x:v>1023</x:v>
      </x:c>
      <x:c r="D176" s="16" t="s">
        <x:v>1039</x:v>
      </x:c>
      <x:c r="E176" s="16" t="s">
        <x:v>394</x:v>
      </x:c>
      <x:c r="F176" s="16" t="s">
        <x:v>25</x:v>
      </x:c>
      <x:c r="G176" s="16" t="s">
        <x:v>46</x:v>
      </x:c>
      <x:c r="H176" s="17" t="s">
        <x:v>1046</x:v>
      </x:c>
      <x:c r="I176" s="17" t="s">
        <x:v>1047</x:v>
      </x:c>
      <x:c r="J176" s="17" t="str">
        <x:v>https://www.google.com/maps/search/?api=1&amp;query=Penang%20Hill%2C%20Penang%2C%20Malaysia
https://penanghill.gov.my/index.php/en/facilities-services</x:v>
      </x:c>
      <x:c r="K176" s="17" t="s">
        <x:v>1028</x:v>
      </x:c>
      <x:c r="L176" s="17" t="s">
        <x:v>58</x:v>
      </x:c>
      <x:c r="M176" s="17" t="s">
        <x:v>256</x:v>
      </x:c>
      <x:c r="N176" s="16" t="s">
        <x:v>1048</x:v>
      </x:c>
      <x:c r="O176" s="18">
        <x:v>46249</x:v>
      </x:c>
      <x:c r="P176" s="19" t="s">
        <x:v>34</x:v>
      </x:c>
      <x:c r="Q176" s="17"/>
      <x:c r="R176" s="19" t="str">
        <x:f t="shared" si="2"/>
        <x:v>Discovery Link Only</x:v>
      </x:c>
      <x:c r="S176" s="43" t="str">
        <x:v>Unknown</x:v>
      </x:c>
      <x:c r="T176" s="43" t="str">
        <x:v>Yes</x:v>
      </x:c>
      <x:c r="U176" s="43" t="str">
        <x:v>Unknown</x:v>
      </x:c>
      <x:c r="V176" s="43" t="str">
        <x:v>Unknown</x:v>
      </x:c>
      <x:c r="W176" s="43" t="str">
        <x:v>Unknown</x:v>
      </x:c>
      <x:c r="X176" s="43" t="str">
        <x:v>Unknown</x:v>
      </x:c>
      <x:c r="Y176" s="43" t="str">
        <x:v>Suitable with assistance</x:v>
      </x:c>
      <x:c r="Z176" s="43" t="str">
        <x:v>Wheelchair users can use designated access to board the funicular with staff assistance. Lightweight wheelchairs are available free of charge, subject to availability and a 100 kg limit; motorised wheelchairs are not allowed in the funicular.</x:v>
      </x:c>
    </x:row>
    <x:row r="177" ht="60" customHeight="1">
      <x:c r="A177" s="16" t="s">
        <x:v>1049</x:v>
      </x:c>
      <x:c r="B177" s="16" t="s">
        <x:v>1050</x:v>
      </x:c>
      <x:c r="C177" s="16" t="s">
        <x:v>1023</x:v>
      </x:c>
      <x:c r="D177" s="16" t="s">
        <x:v>1051</x:v>
      </x:c>
      <x:c r="E177" s="16" t="s">
        <x:v>106</x:v>
      </x:c>
      <x:c r="F177" s="16" t="s">
        <x:v>25</x:v>
      </x:c>
      <x:c r="G177" s="16" t="s">
        <x:v>46</x:v>
      </x:c>
      <x:c r="H177" s="17" t="s">
        <x:v>1052</x:v>
      </x:c>
      <x:c r="I177" s="17" t="s">
        <x:v>1053</x:v>
      </x:c>
      <x:c r="J177" s="17" t="s">
        <x:v>1054</x:v>
      </x:c>
      <x:c r="K177" s="17" t="s">
        <x:v>1028</x:v>
      </x:c>
      <x:c r="L177" s="17" t="s">
        <x:v>58</x:v>
      </x:c>
      <x:c r="M177" s="17" t="s">
        <x:v>256</x:v>
      </x:c>
      <x:c r="N177" s="16" t="s">
        <x:v>1055</x:v>
      </x:c>
      <x:c r="O177" s="18">
        <x:v>46249</x:v>
      </x:c>
      <x:c r="P177" s="19" t="s">
        <x:v>34</x:v>
      </x:c>
      <x:c r="Q177" s="17"/>
      <x:c r="R177" s="19" t="str">
        <x:f t="shared" si="2"/>
        <x:v>Discovery Link Only</x:v>
      </x:c>
      <x:c r="S177" s="43" t="str">
        <x:v>Unknown</x:v>
      </x:c>
      <x:c r="T177" s="43" t="str">
        <x:v>Unknown</x:v>
      </x:c>
      <x:c r="U177" s="43" t="str">
        <x:v>Unknown</x:v>
      </x:c>
      <x:c r="V177" s="43" t="str">
        <x:v>Unknown</x:v>
      </x:c>
      <x:c r="W177" s="43" t="str">
        <x:v>Unknown</x:v>
      </x:c>
      <x:c r="X177" s="43" t="str">
        <x:v>Unknown</x:v>
      </x:c>
      <x:c r="Y177" s="43" t="str">
        <x:v>Unknown</x:v>
      </x:c>
      <x:c r="Z177" s="43"/>
    </x:row>
    <x:row r="178" ht="60" customHeight="1">
      <x:c r="A178" s="16" t="s">
        <x:v>1056</x:v>
      </x:c>
      <x:c r="B178" s="16" t="s">
        <x:v>1057</x:v>
      </x:c>
      <x:c r="C178" s="16" t="s">
        <x:v>1023</x:v>
      </x:c>
      <x:c r="D178" s="16" t="s">
        <x:v>1032</x:v>
      </x:c>
      <x:c r="E178" s="16" t="s">
        <x:v>45</x:v>
      </x:c>
      <x:c r="F178" s="16" t="s">
        <x:v>25</x:v>
      </x:c>
      <x:c r="G178" s="16" t="s">
        <x:v>26</x:v>
      </x:c>
      <x:c r="H178" s="17" t="s">
        <x:v>1058</x:v>
      </x:c>
      <x:c r="I178" s="17" t="s">
        <x:v>1059</x:v>
      </x:c>
      <x:c r="J178" s="17" t="s">
        <x:v>1060</x:v>
      </x:c>
      <x:c r="K178" s="17" t="s">
        <x:v>1028</x:v>
      </x:c>
      <x:c r="L178" s="17" t="s">
        <x:v>58</x:v>
      </x:c>
      <x:c r="M178" s="17" t="s">
        <x:v>256</x:v>
      </x:c>
      <x:c r="N178" s="16" t="s">
        <x:v>1061</x:v>
      </x:c>
      <x:c r="O178" s="18">
        <x:v>46249</x:v>
      </x:c>
      <x:c r="P178" s="19" t="s">
        <x:v>34</x:v>
      </x:c>
      <x:c r="Q178" s="17"/>
      <x:c r="R178" s="19" t="str">
        <x:f t="shared" si="2"/>
        <x:v>Discovery Link Only</x:v>
      </x:c>
      <x:c r="S178" s="43" t="str">
        <x:v>Unknown</x:v>
      </x:c>
      <x:c r="T178" s="43" t="str">
        <x:v>Unknown</x:v>
      </x:c>
      <x:c r="U178" s="43" t="str">
        <x:v>Unknown</x:v>
      </x:c>
      <x:c r="V178" s="43" t="str">
        <x:v>Unknown</x:v>
      </x:c>
      <x:c r="W178" s="43" t="str">
        <x:v>Unknown</x:v>
      </x:c>
      <x:c r="X178" s="43" t="str">
        <x:v>Unknown</x:v>
      </x:c>
      <x:c r="Y178" s="43" t="str">
        <x:v>Unknown</x:v>
      </x:c>
      <x:c r="Z178" s="43"/>
    </x:row>
    <x:row r="179" ht="60" customHeight="1">
      <x:c r="A179" s="16" t="s">
        <x:v>1062</x:v>
      </x:c>
      <x:c r="B179" s="16" t="s">
        <x:v>1063</x:v>
      </x:c>
      <x:c r="C179" s="16" t="s">
        <x:v>1023</x:v>
      </x:c>
      <x:c r="D179" s="16" t="s">
        <x:v>1032</x:v>
      </x:c>
      <x:c r="E179" s="16" t="s">
        <x:v>37</x:v>
      </x:c>
      <x:c r="F179" s="16" t="s">
        <x:v>25</x:v>
      </x:c>
      <x:c r="G179" s="16" t="s">
        <x:v>46</x:v>
      </x:c>
      <x:c r="H179" s="17" t="s">
        <x:v>1064</x:v>
      </x:c>
      <x:c r="I179" s="17" t="s">
        <x:v>1065</x:v>
      </x:c>
      <x:c r="J179" s="17" t="str">
        <x:v>https://www.google.com/maps/search/?api=1&amp;query=Entopia%20by%20Penang%20Butterfly%20Farm%2C%20Penang%2C%20Malaysia
https://www.entopia.com/faq/</x:v>
      </x:c>
      <x:c r="K179" s="17" t="s">
        <x:v>1028</x:v>
      </x:c>
      <x:c r="L179" s="17" t="s">
        <x:v>58</x:v>
      </x:c>
      <x:c r="M179" s="17" t="s">
        <x:v>256</x:v>
      </x:c>
      <x:c r="N179" s="16" t="s">
        <x:v>1066</x:v>
      </x:c>
      <x:c r="O179" s="18">
        <x:v>46249</x:v>
      </x:c>
      <x:c r="P179" s="19" t="s">
        <x:v>34</x:v>
      </x:c>
      <x:c r="Q179" s="17"/>
      <x:c r="R179" s="19" t="str">
        <x:f t="shared" si="2"/>
        <x:v>Discovery Link Only</x:v>
      </x:c>
      <x:c r="S179" s="43" t="str">
        <x:v>Unknown</x:v>
      </x:c>
      <x:c r="T179" s="43" t="str">
        <x:v>Yes</x:v>
      </x:c>
      <x:c r="U179" s="43" t="str">
        <x:v>Unknown</x:v>
      </x:c>
      <x:c r="V179" s="43" t="str">
        <x:v>Yes</x:v>
      </x:c>
      <x:c r="W179" s="43" t="str">
        <x:v>Near</x:v>
      </x:c>
      <x:c r="X179" s="43" t="str">
        <x:v>Partial</x:v>
      </x:c>
      <x:c r="Y179" s="43" t="str">
        <x:v>Suitable</x:v>
      </x:c>
      <x:c r="Z179" s="43" t="str">
        <x:v>Natureland and The Cocoon are wheelchair accessible. Public lifts, accessible toilets, two loan wheelchairs and designated OKU parking bays near the entrance are available; the outdoor area remains weather-exposed.</x:v>
      </x:c>
    </x:row>
    <x:row r="180" ht="60" customHeight="1">
      <x:c r="A180" s="16" t="s">
        <x:v>1067</x:v>
      </x:c>
      <x:c r="B180" s="16" t="s">
        <x:v>1068</x:v>
      </x:c>
      <x:c r="C180" s="16" t="s">
        <x:v>1023</x:v>
      </x:c>
      <x:c r="D180" s="16" t="s">
        <x:v>1032</x:v>
      </x:c>
      <x:c r="E180" s="16" t="s">
        <x:v>64</x:v>
      </x:c>
      <x:c r="F180" s="16" t="s">
        <x:v>25</x:v>
      </x:c>
      <x:c r="G180" s="16" t="s">
        <x:v>26</x:v>
      </x:c>
      <x:c r="H180" s="17" t="s">
        <x:v>1069</x:v>
      </x:c>
      <x:c r="I180" s="17" t="s">
        <x:v>1070</x:v>
      </x:c>
      <x:c r="J180" s="17" t="s">
        <x:v>1071</x:v>
      </x:c>
      <x:c r="K180" s="17" t="s">
        <x:v>1028</x:v>
      </x:c>
      <x:c r="L180" s="17" t="s">
        <x:v>58</x:v>
      </x:c>
      <x:c r="M180" s="17" t="s">
        <x:v>256</x:v>
      </x:c>
      <x:c r="N180" s="16" t="s">
        <x:v>1072</x:v>
      </x:c>
      <x:c r="O180" s="18">
        <x:v>46249</x:v>
      </x:c>
      <x:c r="P180" s="19" t="s">
        <x:v>34</x:v>
      </x:c>
      <x:c r="Q180" s="17"/>
      <x:c r="R180" s="19" t="str">
        <x:f t="shared" si="2"/>
        <x:v>Discovery Link Only</x:v>
      </x:c>
      <x:c r="S180" s="43" t="str">
        <x:v>Unknown</x:v>
      </x:c>
      <x:c r="T180" s="43" t="str">
        <x:v>Unknown</x:v>
      </x:c>
      <x:c r="U180" s="43" t="str">
        <x:v>Unknown</x:v>
      </x:c>
      <x:c r="V180" s="43" t="str">
        <x:v>Unknown</x:v>
      </x:c>
      <x:c r="W180" s="43" t="str">
        <x:v>Unknown</x:v>
      </x:c>
      <x:c r="X180" s="43" t="str">
        <x:v>Unknown</x:v>
      </x:c>
      <x:c r="Y180" s="43" t="str">
        <x:v>Unknown</x:v>
      </x:c>
      <x:c r="Z180" s="43"/>
    </x:row>
    <x:row r="181" ht="60" customHeight="1">
      <x:c r="A181" s="16" t="s">
        <x:v>1073</x:v>
      </x:c>
      <x:c r="B181" s="16" t="s">
        <x:v>1074</x:v>
      </x:c>
      <x:c r="C181" s="16" t="s">
        <x:v>1023</x:v>
      </x:c>
      <x:c r="D181" s="16" t="s">
        <x:v>1075</x:v>
      </x:c>
      <x:c r="E181" s="16" t="s">
        <x:v>72</x:v>
      </x:c>
      <x:c r="F181" s="16" t="s">
        <x:v>25</x:v>
      </x:c>
      <x:c r="G181" s="16" t="s">
        <x:v>26</x:v>
      </x:c>
      <x:c r="H181" s="17" t="s">
        <x:v>1076</x:v>
      </x:c>
      <x:c r="I181" s="17" t="s">
        <x:v>1077</x:v>
      </x:c>
      <x:c r="J181" s="17" t="s">
        <x:v>1078</x:v>
      </x:c>
      <x:c r="K181" s="17" t="s">
        <x:v>1028</x:v>
      </x:c>
      <x:c r="L181" s="17" t="s">
        <x:v>58</x:v>
      </x:c>
      <x:c r="M181" s="17" t="s">
        <x:v>256</x:v>
      </x:c>
      <x:c r="N181" s="16" t="s">
        <x:v>1079</x:v>
      </x:c>
      <x:c r="O181" s="18">
        <x:v>46249</x:v>
      </x:c>
      <x:c r="P181" s="19" t="s">
        <x:v>34</x:v>
      </x:c>
      <x:c r="Q181" s="17"/>
      <x:c r="R181" s="19" t="str">
        <x:f t="shared" si="2"/>
        <x:v>Discovery Link Only</x:v>
      </x:c>
      <x:c r="S181" s="43" t="str">
        <x:v>Unknown</x:v>
      </x:c>
      <x:c r="T181" s="43" t="str">
        <x:v>Unknown</x:v>
      </x:c>
      <x:c r="U181" s="43" t="str">
        <x:v>Unknown</x:v>
      </x:c>
      <x:c r="V181" s="43" t="str">
        <x:v>Unknown</x:v>
      </x:c>
      <x:c r="W181" s="43" t="str">
        <x:v>Unknown</x:v>
      </x:c>
      <x:c r="X181" s="43" t="str">
        <x:v>Unknown</x:v>
      </x:c>
      <x:c r="Y181" s="43" t="str">
        <x:v>Unknown</x:v>
      </x:c>
      <x:c r="Z181" s="43"/>
    </x:row>
    <x:row r="182" ht="60" customHeight="1">
      <x:c r="A182" s="16" t="s">
        <x:v>1080</x:v>
      </x:c>
      <x:c r="B182" s="16" t="s">
        <x:v>1081</x:v>
      </x:c>
      <x:c r="C182" s="16" t="s">
        <x:v>1023</x:v>
      </x:c>
      <x:c r="D182" s="16" t="s">
        <x:v>1039</x:v>
      </x:c>
      <x:c r="E182" s="16" t="s">
        <x:v>24</x:v>
      </x:c>
      <x:c r="F182" s="16" t="s">
        <x:v>25</x:v>
      </x:c>
      <x:c r="G182" s="16" t="s">
        <x:v>26</x:v>
      </x:c>
      <x:c r="H182" s="17" t="s">
        <x:v>1082</x:v>
      </x:c>
      <x:c r="I182" s="17" t="s">
        <x:v>1083</x:v>
      </x:c>
      <x:c r="J182" s="17" t="str">
        <x:v>https://www.google.com/maps/search/?api=1&amp;query=Penang%20Botanic%20Gardens%2C%20Penang%2C%20Malaysia
https://botanicalgardens.penang.gov.my/index.php/en/visitors-info/place-to-visit</x:v>
      </x:c>
      <x:c r="K182" s="17" t="s">
        <x:v>1028</x:v>
      </x:c>
      <x:c r="L182" s="17" t="s">
        <x:v>58</x:v>
      </x:c>
      <x:c r="M182" s="17" t="s">
        <x:v>256</x:v>
      </x:c>
      <x:c r="N182" s="16" t="s">
        <x:v>1084</x:v>
      </x:c>
      <x:c r="O182" s="18">
        <x:v>46249</x:v>
      </x:c>
      <x:c r="P182" s="19" t="s">
        <x:v>34</x:v>
      </x:c>
      <x:c r="Q182" s="17"/>
      <x:c r="R182" s="19" t="str">
        <x:f t="shared" si="2"/>
        <x:v>Discovery Link Only</x:v>
      </x:c>
      <x:c r="S182" s="43" t="str">
        <x:v>Unknown</x:v>
      </x:c>
      <x:c r="T182" s="43" t="str">
        <x:v>Partial</x:v>
      </x:c>
      <x:c r="U182" s="43" t="str">
        <x:v>Unknown</x:v>
      </x:c>
      <x:c r="V182" s="43" t="str">
        <x:v>Unknown</x:v>
      </x:c>
      <x:c r="W182" s="43" t="str">
        <x:v>Unknown</x:v>
      </x:c>
      <x:c r="X182" s="43" t="str">
        <x:v>Partial</x:v>
      </x:c>
      <x:c r="Y182" s="43" t="str">
        <x:v>Suitable with assistance</x:v>
      </x:c>
      <x:c r="Z182" s="43" t="str">
        <x:v>The official garden information records wheelchair access, toilets, gazebos and an optional paid tram. Accessibility may vary because the site also contains jogging and forest trails.</x:v>
      </x:c>
    </x:row>
    <x:row r="183" ht="60" customHeight="1">
      <x:c r="A183" s="16" t="s">
        <x:v>1085</x:v>
      </x:c>
      <x:c r="B183" s="16" t="s">
        <x:v>1086</x:v>
      </x:c>
      <x:c r="C183" s="16" t="s">
        <x:v>1023</x:v>
      </x:c>
      <x:c r="D183" s="16" t="s">
        <x:v>1039</x:v>
      </x:c>
      <x:c r="E183" s="16" t="s">
        <x:v>133</x:v>
      </x:c>
      <x:c r="F183" s="16" t="s">
        <x:v>107</x:v>
      </x:c>
      <x:c r="G183" s="16" t="s">
        <x:v>134</x:v>
      </x:c>
      <x:c r="H183" s="17" t="s">
        <x:v>1087</x:v>
      </x:c>
      <x:c r="I183" s="17" t="s">
        <x:v>1088</x:v>
      </x:c>
      <x:c r="J183" s="17" t="s">
        <x:v>1089</x:v>
      </x:c>
      <x:c r="K183" s="17" t="s">
        <x:v>1028</x:v>
      </x:c>
      <x:c r="L183" s="17" t="s">
        <x:v>111</x:v>
      </x:c>
      <x:c r="M183" s="17" t="s">
        <x:v>1090</x:v>
      </x:c>
      <x:c r="N183" s="16"/>
      <x:c r="O183" s="18">
        <x:v>46249</x:v>
      </x:c>
      <x:c r="P183" s="19" t="s">
        <x:v>34</x:v>
      </x:c>
      <x:c r="Q183" s="17"/>
      <x:c r="R183" s="19" t="str">
        <x:f t="shared" si="2"/>
        <x:v>Discovery Link Only</x:v>
      </x:c>
      <x:c r="S183" s="43" t="str">
        <x:v>Unknown</x:v>
      </x:c>
      <x:c r="T183" s="43" t="str">
        <x:v>Unknown</x:v>
      </x:c>
      <x:c r="U183" s="43" t="str">
        <x:v>Unknown</x:v>
      </x:c>
      <x:c r="V183" s="43" t="str">
        <x:v>Unknown</x:v>
      </x:c>
      <x:c r="W183" s="43" t="str">
        <x:v>Unknown</x:v>
      </x:c>
      <x:c r="X183" s="43" t="str">
        <x:v>Unknown</x:v>
      </x:c>
      <x:c r="Y183" s="43" t="str">
        <x:v>Unknown</x:v>
      </x:c>
      <x:c r="Z183" s="43"/>
    </x:row>
    <x:row r="184" ht="60" customHeight="1">
      <x:c r="A184" s="16" t="s">
        <x:v>1091</x:v>
      </x:c>
      <x:c r="B184" s="16" t="s">
        <x:v>1092</x:v>
      </x:c>
      <x:c r="C184" s="16" t="s">
        <x:v>1023</x:v>
      </x:c>
      <x:c r="D184" s="16" t="s">
        <x:v>1039</x:v>
      </x:c>
      <x:c r="E184" s="16" t="s">
        <x:v>115</x:v>
      </x:c>
      <x:c r="F184" s="16" t="s">
        <x:v>107</x:v>
      </x:c>
      <x:c r="G184" s="16" t="s">
        <x:v>46</x:v>
      </x:c>
      <x:c r="H184" s="17" t="s">
        <x:v>1093</x:v>
      </x:c>
      <x:c r="I184" s="17" t="s">
        <x:v>1094</x:v>
      </x:c>
      <x:c r="J184" s="17" t="s">
        <x:v>1095</x:v>
      </x:c>
      <x:c r="K184" s="17" t="s">
        <x:v>1028</x:v>
      </x:c>
      <x:c r="L184" s="17" t="s">
        <x:v>111</x:v>
      </x:c>
      <x:c r="M184" s="17" t="s">
        <x:v>1090</x:v>
      </x:c>
      <x:c r="N184" s="16"/>
      <x:c r="O184" s="18">
        <x:v>46249</x:v>
      </x:c>
      <x:c r="P184" s="19" t="s">
        <x:v>34</x:v>
      </x:c>
      <x:c r="Q184" s="17"/>
      <x:c r="R184" s="19" t="str">
        <x:f t="shared" si="2"/>
        <x:v>Discovery Link Only</x:v>
      </x:c>
      <x:c r="S184" s="43" t="str">
        <x:v>Unknown</x:v>
      </x:c>
      <x:c r="T184" s="43" t="str">
        <x:v>Unknown</x:v>
      </x:c>
      <x:c r="U184" s="43" t="str">
        <x:v>Unknown</x:v>
      </x:c>
      <x:c r="V184" s="43" t="str">
        <x:v>Unknown</x:v>
      </x:c>
      <x:c r="W184" s="43" t="str">
        <x:v>Unknown</x:v>
      </x:c>
      <x:c r="X184" s="43" t="str">
        <x:v>Unknown</x:v>
      </x:c>
      <x:c r="Y184" s="43" t="str">
        <x:v>Unknown</x:v>
      </x:c>
      <x:c r="Z184" s="43"/>
    </x:row>
    <x:row r="185" ht="60" customHeight="1">
      <x:c r="A185" s="16" t="s">
        <x:v>1096</x:v>
      </x:c>
      <x:c r="B185" s="16" t="s">
        <x:v>1097</x:v>
      </x:c>
      <x:c r="C185" s="16" t="s">
        <x:v>1023</x:v>
      </x:c>
      <x:c r="D185" s="16" t="s">
        <x:v>1039</x:v>
      </x:c>
      <x:c r="E185" s="16" t="s">
        <x:v>115</x:v>
      </x:c>
      <x:c r="F185" s="16" t="s">
        <x:v>107</x:v>
      </x:c>
      <x:c r="G185" s="16" t="s">
        <x:v>46</x:v>
      </x:c>
      <x:c r="H185" s="17" t="s">
        <x:v>1098</x:v>
      </x:c>
      <x:c r="I185" s="17" t="s">
        <x:v>1099</x:v>
      </x:c>
      <x:c r="J185" s="17" t="s">
        <x:v>1100</x:v>
      </x:c>
      <x:c r="K185" s="17" t="s">
        <x:v>1028</x:v>
      </x:c>
      <x:c r="L185" s="17" t="s">
        <x:v>111</x:v>
      </x:c>
      <x:c r="M185" s="17" t="s">
        <x:v>1090</x:v>
      </x:c>
      <x:c r="N185" s="16"/>
      <x:c r="O185" s="18">
        <x:v>46249</x:v>
      </x:c>
      <x:c r="P185" s="19" t="s">
        <x:v>34</x:v>
      </x:c>
      <x:c r="Q185" s="17"/>
      <x:c r="R185" s="19" t="str">
        <x:f t="shared" si="2"/>
        <x:v>Discovery Link Only</x:v>
      </x:c>
      <x:c r="S185" s="43" t="str">
        <x:v>Unknown</x:v>
      </x:c>
      <x:c r="T185" s="43" t="str">
        <x:v>Unknown</x:v>
      </x:c>
      <x:c r="U185" s="43" t="str">
        <x:v>Unknown</x:v>
      </x:c>
      <x:c r="V185" s="43" t="str">
        <x:v>Unknown</x:v>
      </x:c>
      <x:c r="W185" s="43" t="str">
        <x:v>Unknown</x:v>
      </x:c>
      <x:c r="X185" s="43" t="str">
        <x:v>Unknown</x:v>
      </x:c>
      <x:c r="Y185" s="43" t="str">
        <x:v>Unknown</x:v>
      </x:c>
      <x:c r="Z185" s="43"/>
    </x:row>
    <x:row r="186" ht="60" customHeight="1">
      <x:c r="A186" s="16" t="s">
        <x:v>1101</x:v>
      </x:c>
      <x:c r="B186" s="16" t="s">
        <x:v>1102</x:v>
      </x:c>
      <x:c r="C186" s="16" t="s">
        <x:v>1023</x:v>
      </x:c>
      <x:c r="D186" s="16" t="s">
        <x:v>1039</x:v>
      </x:c>
      <x:c r="E186" s="16" t="s">
        <x:v>115</x:v>
      </x:c>
      <x:c r="F186" s="16" t="s">
        <x:v>107</x:v>
      </x:c>
      <x:c r="G186" s="16" t="s">
        <x:v>46</x:v>
      </x:c>
      <x:c r="H186" s="17" t="s">
        <x:v>1103</x:v>
      </x:c>
      <x:c r="I186" s="17" t="s">
        <x:v>1104</x:v>
      </x:c>
      <x:c r="J186" s="17" t="s">
        <x:v>1105</x:v>
      </x:c>
      <x:c r="K186" s="17" t="s">
        <x:v>1028</x:v>
      </x:c>
      <x:c r="L186" s="17" t="s">
        <x:v>111</x:v>
      </x:c>
      <x:c r="M186" s="17" t="s">
        <x:v>1090</x:v>
      </x:c>
      <x:c r="N186" s="16"/>
      <x:c r="O186" s="18">
        <x:v>46249</x:v>
      </x:c>
      <x:c r="P186" s="19" t="s">
        <x:v>34</x:v>
      </x:c>
      <x:c r="Q186" s="17"/>
      <x:c r="R186" s="19" t="str">
        <x:f t="shared" si="2"/>
        <x:v>Discovery Link Only</x:v>
      </x:c>
      <x:c r="S186" s="43" t="str">
        <x:v>Unknown</x:v>
      </x:c>
      <x:c r="T186" s="43" t="str">
        <x:v>Unknown</x:v>
      </x:c>
      <x:c r="U186" s="43" t="str">
        <x:v>Unknown</x:v>
      </x:c>
      <x:c r="V186" s="43" t="str">
        <x:v>Unknown</x:v>
      </x:c>
      <x:c r="W186" s="43" t="str">
        <x:v>Unknown</x:v>
      </x:c>
      <x:c r="X186" s="43" t="str">
        <x:v>Unknown</x:v>
      </x:c>
      <x:c r="Y186" s="43" t="str">
        <x:v>Unknown</x:v>
      </x:c>
      <x:c r="Z186" s="43"/>
    </x:row>
    <x:row r="187" ht="60" customHeight="1">
      <x:c r="A187" s="16" t="s">
        <x:v>1106</x:v>
      </x:c>
      <x:c r="B187" s="16" t="s">
        <x:v>1107</x:v>
      </x:c>
      <x:c r="C187" s="16" t="s">
        <x:v>1023</x:v>
      </x:c>
      <x:c r="D187" s="16" t="s">
        <x:v>1039</x:v>
      </x:c>
      <x:c r="E187" s="16" t="s">
        <x:v>133</x:v>
      </x:c>
      <x:c r="F187" s="16" t="s">
        <x:v>121</x:v>
      </x:c>
      <x:c r="G187" s="16" t="s">
        <x:v>134</x:v>
      </x:c>
      <x:c r="H187" s="17" t="s">
        <x:v>1108</x:v>
      </x:c>
      <x:c r="I187" s="17" t="s">
        <x:v>1109</x:v>
      </x:c>
      <x:c r="J187" s="17" t="s">
        <x:v>1110</x:v>
      </x:c>
      <x:c r="K187" s="17" t="s">
        <x:v>1028</x:v>
      </x:c>
      <x:c r="L187" s="17" t="s">
        <x:v>111</x:v>
      </x:c>
      <x:c r="M187" s="17" t="s">
        <x:v>1090</x:v>
      </x:c>
      <x:c r="N187" s="16"/>
      <x:c r="O187" s="18">
        <x:v>46249</x:v>
      </x:c>
      <x:c r="P187" s="19" t="s">
        <x:v>34</x:v>
      </x:c>
      <x:c r="Q187" s="17"/>
      <x:c r="R187" s="19" t="str">
        <x:f t="shared" si="2"/>
        <x:v>Discovery Link Only</x:v>
      </x:c>
      <x:c r="S187" s="43" t="str">
        <x:v>Unknown</x:v>
      </x:c>
      <x:c r="T187" s="43" t="str">
        <x:v>Unknown</x:v>
      </x:c>
      <x:c r="U187" s="43" t="str">
        <x:v>Unknown</x:v>
      </x:c>
      <x:c r="V187" s="43" t="str">
        <x:v>Unknown</x:v>
      </x:c>
      <x:c r="W187" s="43" t="str">
        <x:v>Unknown</x:v>
      </x:c>
      <x:c r="X187" s="43" t="str">
        <x:v>Unknown</x:v>
      </x:c>
      <x:c r="Y187" s="43" t="str">
        <x:v>Unknown</x:v>
      </x:c>
      <x:c r="Z187" s="43"/>
    </x:row>
    <x:row r="188" ht="60" customHeight="1">
      <x:c r="A188" s="16" t="s">
        <x:v>1111</x:v>
      </x:c>
      <x:c r="B188" s="16" t="s">
        <x:v>1112</x:v>
      </x:c>
      <x:c r="C188" s="16" t="s">
        <x:v>1023</x:v>
      </x:c>
      <x:c r="D188" s="16" t="s">
        <x:v>1039</x:v>
      </x:c>
      <x:c r="E188" s="16" t="s">
        <x:v>99</x:v>
      </x:c>
      <x:c r="F188" s="16" t="s">
        <x:v>107</x:v>
      </x:c>
      <x:c r="G188" s="16" t="s">
        <x:v>46</x:v>
      </x:c>
      <x:c r="H188" s="17" t="s">
        <x:v>1113</x:v>
      </x:c>
      <x:c r="I188" s="17" t="s">
        <x:v>1114</x:v>
      </x:c>
      <x:c r="J188" s="17" t="s">
        <x:v>1115</x:v>
      </x:c>
      <x:c r="K188" s="17" t="s">
        <x:v>1028</x:v>
      </x:c>
      <x:c r="L188" s="17" t="s">
        <x:v>111</x:v>
      </x:c>
      <x:c r="M188" s="17" t="s">
        <x:v>1090</x:v>
      </x:c>
      <x:c r="N188" s="16"/>
      <x:c r="O188" s="18">
        <x:v>46249</x:v>
      </x:c>
      <x:c r="P188" s="19" t="s">
        <x:v>34</x:v>
      </x:c>
      <x:c r="Q188" s="17"/>
      <x:c r="R188" s="19" t="str">
        <x:f t="shared" si="2"/>
        <x:v>Discovery Link Only</x:v>
      </x:c>
      <x:c r="S188" s="43" t="str">
        <x:v>Unknown</x:v>
      </x:c>
      <x:c r="T188" s="43" t="str">
        <x:v>Unknown</x:v>
      </x:c>
      <x:c r="U188" s="43" t="str">
        <x:v>Unknown</x:v>
      </x:c>
      <x:c r="V188" s="43" t="str">
        <x:v>Unknown</x:v>
      </x:c>
      <x:c r="W188" s="43" t="str">
        <x:v>Unknown</x:v>
      </x:c>
      <x:c r="X188" s="43" t="str">
        <x:v>Unknown</x:v>
      </x:c>
      <x:c r="Y188" s="43" t="str">
        <x:v>Unknown</x:v>
      </x:c>
      <x:c r="Z188" s="43"/>
    </x:row>
    <x:row r="189" ht="60" customHeight="1">
      <x:c r="A189" s="16" t="s">
        <x:v>1116</x:v>
      </x:c>
      <x:c r="B189" s="16" t="s">
        <x:v>1117</x:v>
      </x:c>
      <x:c r="C189" s="16" t="s">
        <x:v>1023</x:v>
      </x:c>
      <x:c r="D189" s="16" t="s">
        <x:v>1039</x:v>
      </x:c>
      <x:c r="E189" s="16" t="s">
        <x:v>99</x:v>
      </x:c>
      <x:c r="F189" s="16" t="s">
        <x:v>121</x:v>
      </x:c>
      <x:c r="G189" s="16" t="s">
        <x:v>46</x:v>
      </x:c>
      <x:c r="H189" s="17" t="s">
        <x:v>1118</x:v>
      </x:c>
      <x:c r="I189" s="17" t="s">
        <x:v>1119</x:v>
      </x:c>
      <x:c r="J189" s="17" t="s">
        <x:v>1120</x:v>
      </x:c>
      <x:c r="K189" s="17" t="s">
        <x:v>1028</x:v>
      </x:c>
      <x:c r="L189" s="17" t="s">
        <x:v>111</x:v>
      </x:c>
      <x:c r="M189" s="17" t="s">
        <x:v>1090</x:v>
      </x:c>
      <x:c r="N189" s="16"/>
      <x:c r="O189" s="18">
        <x:v>46249</x:v>
      </x:c>
      <x:c r="P189" s="19" t="s">
        <x:v>34</x:v>
      </x:c>
      <x:c r="Q189" s="17"/>
      <x:c r="R189" s="19" t="str">
        <x:f t="shared" si="2"/>
        <x:v>Discovery Link Only</x:v>
      </x:c>
      <x:c r="S189" s="43" t="str">
        <x:v>Unknown</x:v>
      </x:c>
      <x:c r="T189" s="43" t="str">
        <x:v>Unknown</x:v>
      </x:c>
      <x:c r="U189" s="43" t="str">
        <x:v>Unknown</x:v>
      </x:c>
      <x:c r="V189" s="43" t="str">
        <x:v>Unknown</x:v>
      </x:c>
      <x:c r="W189" s="43" t="str">
        <x:v>Unknown</x:v>
      </x:c>
      <x:c r="X189" s="43" t="str">
        <x:v>Unknown</x:v>
      </x:c>
      <x:c r="Y189" s="43" t="str">
        <x:v>Unknown</x:v>
      </x:c>
      <x:c r="Z189" s="43"/>
    </x:row>
    <x:row r="190" ht="60" customHeight="1">
      <x:c r="A190" s="16" t="s">
        <x:v>1121</x:v>
      </x:c>
      <x:c r="B190" s="16" t="s">
        <x:v>1122</x:v>
      </x:c>
      <x:c r="C190" s="16" t="s">
        <x:v>1023</x:v>
      </x:c>
      <x:c r="D190" s="16" t="s">
        <x:v>1051</x:v>
      </x:c>
      <x:c r="E190" s="16" t="s">
        <x:v>162</x:v>
      </x:c>
      <x:c r="F190" s="16" t="s">
        <x:v>121</x:v>
      </x:c>
      <x:c r="G190" s="16" t="s">
        <x:v>46</x:v>
      </x:c>
      <x:c r="H190" s="17" t="s">
        <x:v>1123</x:v>
      </x:c>
      <x:c r="I190" s="17" t="s">
        <x:v>1124</x:v>
      </x:c>
      <x:c r="J190" s="17" t="s">
        <x:v>1125</x:v>
      </x:c>
      <x:c r="K190" s="17" t="s">
        <x:v>1028</x:v>
      </x:c>
      <x:c r="L190" s="17" t="s">
        <x:v>111</x:v>
      </x:c>
      <x:c r="M190" s="17" t="s">
        <x:v>1090</x:v>
      </x:c>
      <x:c r="N190" s="16"/>
      <x:c r="O190" s="18">
        <x:v>46249</x:v>
      </x:c>
      <x:c r="P190" s="19" t="s">
        <x:v>34</x:v>
      </x:c>
      <x:c r="Q190" s="17"/>
      <x:c r="R190" s="19" t="str">
        <x:f t="shared" si="2"/>
        <x:v>Discovery Link Only</x:v>
      </x:c>
      <x:c r="S190" s="43" t="str">
        <x:v>Unknown</x:v>
      </x:c>
      <x:c r="T190" s="43" t="str">
        <x:v>Unknown</x:v>
      </x:c>
      <x:c r="U190" s="43" t="str">
        <x:v>Unknown</x:v>
      </x:c>
      <x:c r="V190" s="43" t="str">
        <x:v>Unknown</x:v>
      </x:c>
      <x:c r="W190" s="43" t="str">
        <x:v>Unknown</x:v>
      </x:c>
      <x:c r="X190" s="43" t="str">
        <x:v>Unknown</x:v>
      </x:c>
      <x:c r="Y190" s="43" t="str">
        <x:v>Unknown</x:v>
      </x:c>
      <x:c r="Z190" s="43"/>
    </x:row>
    <x:row r="191" ht="60" customHeight="1">
      <x:c r="A191" s="16" t="s">
        <x:v>1126</x:v>
      </x:c>
      <x:c r="B191" s="16" t="s">
        <x:v>1127</x:v>
      </x:c>
      <x:c r="C191" s="16" t="s">
        <x:v>1023</x:v>
      </x:c>
      <x:c r="D191" s="16" t="s">
        <x:v>1128</x:v>
      </x:c>
      <x:c r="E191" s="16" t="s">
        <x:v>162</x:v>
      </x:c>
      <x:c r="F191" s="16" t="s">
        <x:v>121</x:v>
      </x:c>
      <x:c r="G191" s="16" t="s">
        <x:v>46</x:v>
      </x:c>
      <x:c r="H191" s="17" t="s">
        <x:v>1129</x:v>
      </x:c>
      <x:c r="I191" s="17" t="s">
        <x:v>1130</x:v>
      </x:c>
      <x:c r="J191" s="17" t="s">
        <x:v>1131</x:v>
      </x:c>
      <x:c r="K191" s="17" t="s">
        <x:v>1028</x:v>
      </x:c>
      <x:c r="L191" s="17" t="s">
        <x:v>111</x:v>
      </x:c>
      <x:c r="M191" s="17" t="s">
        <x:v>1090</x:v>
      </x:c>
      <x:c r="N191" s="16"/>
      <x:c r="O191" s="18">
        <x:v>46249</x:v>
      </x:c>
      <x:c r="P191" s="19" t="s">
        <x:v>34</x:v>
      </x:c>
      <x:c r="Q191" s="17"/>
      <x:c r="R191" s="19" t="str">
        <x:f t="shared" si="2"/>
        <x:v>Discovery Link Only</x:v>
      </x:c>
      <x:c r="S191" s="43" t="str">
        <x:v>Unknown</x:v>
      </x:c>
      <x:c r="T191" s="43" t="str">
        <x:v>Unknown</x:v>
      </x:c>
      <x:c r="U191" s="43" t="str">
        <x:v>Unknown</x:v>
      </x:c>
      <x:c r="V191" s="43" t="str">
        <x:v>Unknown</x:v>
      </x:c>
      <x:c r="W191" s="43" t="str">
        <x:v>Unknown</x:v>
      </x:c>
      <x:c r="X191" s="43" t="str">
        <x:v>Unknown</x:v>
      </x:c>
      <x:c r="Y191" s="43" t="str">
        <x:v>Unknown</x:v>
      </x:c>
      <x:c r="Z191" s="43"/>
    </x:row>
    <x:row r="192" ht="60" customHeight="1">
      <x:c r="A192" s="16" t="s">
        <x:v>1132</x:v>
      </x:c>
      <x:c r="B192" s="16" t="s">
        <x:v>1133</x:v>
      </x:c>
      <x:c r="C192" s="16" t="s">
        <x:v>1023</x:v>
      </x:c>
      <x:c r="D192" s="16" t="s">
        <x:v>1128</x:v>
      </x:c>
      <x:c r="E192" s="16" t="s">
        <x:v>162</x:v>
      </x:c>
      <x:c r="F192" s="16" t="s">
        <x:v>121</x:v>
      </x:c>
      <x:c r="G192" s="16" t="s">
        <x:v>46</x:v>
      </x:c>
      <x:c r="H192" s="17" t="s">
        <x:v>1134</x:v>
      </x:c>
      <x:c r="I192" s="17" t="s">
        <x:v>1135</x:v>
      </x:c>
      <x:c r="J192" s="17" t="s">
        <x:v>1136</x:v>
      </x:c>
      <x:c r="K192" s="17" t="s">
        <x:v>1028</x:v>
      </x:c>
      <x:c r="L192" s="17" t="s">
        <x:v>111</x:v>
      </x:c>
      <x:c r="M192" s="17" t="s">
        <x:v>1090</x:v>
      </x:c>
      <x:c r="N192" s="16"/>
      <x:c r="O192" s="18">
        <x:v>46249</x:v>
      </x:c>
      <x:c r="P192" s="19" t="s">
        <x:v>34</x:v>
      </x:c>
      <x:c r="Q192" s="17"/>
      <x:c r="R192" s="19" t="str">
        <x:f t="shared" si="2"/>
        <x:v>Discovery Link Only</x:v>
      </x:c>
      <x:c r="S192" s="43" t="str">
        <x:v>Unknown</x:v>
      </x:c>
      <x:c r="T192" s="43" t="str">
        <x:v>Unknown</x:v>
      </x:c>
      <x:c r="U192" s="43" t="str">
        <x:v>Unknown</x:v>
      </x:c>
      <x:c r="V192" s="43" t="str">
        <x:v>Unknown</x:v>
      </x:c>
      <x:c r="W192" s="43" t="str">
        <x:v>Unknown</x:v>
      </x:c>
      <x:c r="X192" s="43" t="str">
        <x:v>Unknown</x:v>
      </x:c>
      <x:c r="Y192" s="43" t="str">
        <x:v>Unknown</x:v>
      </x:c>
      <x:c r="Z192" s="43"/>
    </x:row>
    <x:row r="193" ht="60" customHeight="1">
      <x:c r="A193" s="16" t="s">
        <x:v>1137</x:v>
      </x:c>
      <x:c r="B193" s="16" t="s">
        <x:v>1138</x:v>
      </x:c>
      <x:c r="C193" s="16" t="s">
        <x:v>1023</x:v>
      </x:c>
      <x:c r="D193" s="16" t="s">
        <x:v>1139</x:v>
      </x:c>
      <x:c r="E193" s="16" t="s">
        <x:v>133</x:v>
      </x:c>
      <x:c r="F193" s="16" t="s">
        <x:v>107</x:v>
      </x:c>
      <x:c r="G193" s="16" t="s">
        <x:v>134</x:v>
      </x:c>
      <x:c r="H193" s="17" t="s">
        <x:v>1140</x:v>
      </x:c>
      <x:c r="I193" s="17" t="s">
        <x:v>1141</x:v>
      </x:c>
      <x:c r="J193" s="17" t="s">
        <x:v>1142</x:v>
      </x:c>
      <x:c r="K193" s="17" t="s">
        <x:v>1028</x:v>
      </x:c>
      <x:c r="L193" s="17" t="s">
        <x:v>111</x:v>
      </x:c>
      <x:c r="M193" s="17" t="s">
        <x:v>1090</x:v>
      </x:c>
      <x:c r="N193" s="16"/>
      <x:c r="O193" s="18">
        <x:v>46249</x:v>
      </x:c>
      <x:c r="P193" s="19" t="s">
        <x:v>34</x:v>
      </x:c>
      <x:c r="Q193" s="17"/>
      <x:c r="R193" s="19" t="str">
        <x:f t="shared" si="2"/>
        <x:v>Discovery Link Only</x:v>
      </x:c>
      <x:c r="S193" s="43" t="str">
        <x:v>Unknown</x:v>
      </x:c>
      <x:c r="T193" s="43" t="str">
        <x:v>Unknown</x:v>
      </x:c>
      <x:c r="U193" s="43" t="str">
        <x:v>Unknown</x:v>
      </x:c>
      <x:c r="V193" s="43" t="str">
        <x:v>Unknown</x:v>
      </x:c>
      <x:c r="W193" s="43" t="str">
        <x:v>Unknown</x:v>
      </x:c>
      <x:c r="X193" s="43" t="str">
        <x:v>Unknown</x:v>
      </x:c>
      <x:c r="Y193" s="43" t="str">
        <x:v>Unknown</x:v>
      </x:c>
      <x:c r="Z193" s="43"/>
    </x:row>
    <x:row r="194" ht="60" customHeight="1">
      <x:c r="A194" s="16" t="s">
        <x:v>1143</x:v>
      </x:c>
      <x:c r="B194" s="16" t="s">
        <x:v>1144</x:v>
      </x:c>
      <x:c r="C194" s="16" t="s">
        <x:v>1023</x:v>
      </x:c>
      <x:c r="D194" s="16" t="s">
        <x:v>1139</x:v>
      </x:c>
      <x:c r="E194" s="16" t="s">
        <x:v>106</x:v>
      </x:c>
      <x:c r="F194" s="16" t="s">
        <x:v>107</x:v>
      </x:c>
      <x:c r="G194" s="16" t="s">
        <x:v>46</x:v>
      </x:c>
      <x:c r="H194" s="17" t="s">
        <x:v>1145</x:v>
      </x:c>
      <x:c r="I194" s="17" t="s">
        <x:v>1146</x:v>
      </x:c>
      <x:c r="J194" s="17" t="s">
        <x:v>1147</x:v>
      </x:c>
      <x:c r="K194" s="17" t="s">
        <x:v>1028</x:v>
      </x:c>
      <x:c r="L194" s="17" t="s">
        <x:v>111</x:v>
      </x:c>
      <x:c r="M194" s="17" t="s">
        <x:v>1090</x:v>
      </x:c>
      <x:c r="N194" s="16"/>
      <x:c r="O194" s="18">
        <x:v>46249</x:v>
      </x:c>
      <x:c r="P194" s="19" t="s">
        <x:v>34</x:v>
      </x:c>
      <x:c r="Q194" s="17"/>
      <x:c r="R194" s="19" t="str">
        <x:f t="shared" si="2"/>
        <x:v>Discovery Link Only</x:v>
      </x:c>
      <x:c r="S194" s="43" t="str">
        <x:v>Unknown</x:v>
      </x:c>
      <x:c r="T194" s="43" t="str">
        <x:v>Unknown</x:v>
      </x:c>
      <x:c r="U194" s="43" t="str">
        <x:v>Unknown</x:v>
      </x:c>
      <x:c r="V194" s="43" t="str">
        <x:v>Unknown</x:v>
      </x:c>
      <x:c r="W194" s="43" t="str">
        <x:v>Unknown</x:v>
      </x:c>
      <x:c r="X194" s="43" t="str">
        <x:v>Unknown</x:v>
      </x:c>
      <x:c r="Y194" s="43" t="str">
        <x:v>Unknown</x:v>
      </x:c>
      <x:c r="Z194" s="43"/>
    </x:row>
    <x:row r="195" ht="60" customHeight="1">
      <x:c r="A195" s="16" t="s">
        <x:v>1148</x:v>
      </x:c>
      <x:c r="B195" s="16" t="s">
        <x:v>1149</x:v>
      </x:c>
      <x:c r="C195" s="16" t="s">
        <x:v>1023</x:v>
      </x:c>
      <x:c r="D195" s="16" t="s">
        <x:v>1150</x:v>
      </x:c>
      <x:c r="E195" s="16" t="s">
        <x:v>106</x:v>
      </x:c>
      <x:c r="F195" s="16" t="s">
        <x:v>107</x:v>
      </x:c>
      <x:c r="G195" s="16" t="s">
        <x:v>46</x:v>
      </x:c>
      <x:c r="H195" s="17" t="s">
        <x:v>1151</x:v>
      </x:c>
      <x:c r="I195" s="17" t="s">
        <x:v>1152</x:v>
      </x:c>
      <x:c r="J195" s="17" t="s">
        <x:v>1153</x:v>
      </x:c>
      <x:c r="K195" s="17" t="s">
        <x:v>1028</x:v>
      </x:c>
      <x:c r="L195" s="17" t="s">
        <x:v>111</x:v>
      </x:c>
      <x:c r="M195" s="17" t="s">
        <x:v>1090</x:v>
      </x:c>
      <x:c r="N195" s="16"/>
      <x:c r="O195" s="18">
        <x:v>46249</x:v>
      </x:c>
      <x:c r="P195" s="19" t="s">
        <x:v>34</x:v>
      </x:c>
      <x:c r="Q195" s="17"/>
      <x:c r="R195" s="19" t="str">
        <x:f t="shared" si="2"/>
        <x:v>Discovery Link Only</x:v>
      </x:c>
      <x:c r="S195" s="43" t="str">
        <x:v>Unknown</x:v>
      </x:c>
      <x:c r="T195" s="43" t="str">
        <x:v>Unknown</x:v>
      </x:c>
      <x:c r="U195" s="43" t="str">
        <x:v>Unknown</x:v>
      </x:c>
      <x:c r="V195" s="43" t="str">
        <x:v>Unknown</x:v>
      </x:c>
      <x:c r="W195" s="43" t="str">
        <x:v>Unknown</x:v>
      </x:c>
      <x:c r="X195" s="43" t="str">
        <x:v>Unknown</x:v>
      </x:c>
      <x:c r="Y195" s="43" t="str">
        <x:v>Unknown</x:v>
      </x:c>
      <x:c r="Z195" s="43"/>
    </x:row>
    <x:row r="196" ht="60" customHeight="1">
      <x:c r="A196" s="16" t="s">
        <x:v>1154</x:v>
      </x:c>
      <x:c r="B196" s="16" t="s">
        <x:v>1155</x:v>
      </x:c>
      <x:c r="C196" s="16" t="s">
        <x:v>1023</x:v>
      </x:c>
      <x:c r="D196" s="16" t="s">
        <x:v>1156</x:v>
      </x:c>
      <x:c r="E196" s="16" t="s">
        <x:v>45</x:v>
      </x:c>
      <x:c r="F196" s="16" t="s">
        <x:v>121</x:v>
      </x:c>
      <x:c r="G196" s="16" t="s">
        <x:v>26</x:v>
      </x:c>
      <x:c r="H196" s="17" t="s">
        <x:v>1157</x:v>
      </x:c>
      <x:c r="I196" s="17" t="s">
        <x:v>1158</x:v>
      </x:c>
      <x:c r="J196" s="17" t="s">
        <x:v>1159</x:v>
      </x:c>
      <x:c r="K196" s="17" t="s">
        <x:v>1028</x:v>
      </x:c>
      <x:c r="L196" s="17" t="s">
        <x:v>111</x:v>
      </x:c>
      <x:c r="M196" s="17" t="s">
        <x:v>1090</x:v>
      </x:c>
      <x:c r="N196" s="16"/>
      <x:c r="O196" s="18">
        <x:v>46249</x:v>
      </x:c>
      <x:c r="P196" s="19" t="s">
        <x:v>34</x:v>
      </x:c>
      <x:c r="Q196" s="17"/>
      <x:c r="R196" s="19" t="str">
        <x:f t="shared" ref="R196:R259" si="3">IF(J196="","Missing Link",IF(AND(ISNUMBER(SEARCH("google.com/maps",J196)),ISERROR(SEARCH(";",J196))),"Discovery Link Only","Source Link Present"))</x:f>
        <x:v>Discovery Link Only</x:v>
      </x:c>
      <x:c r="S196" s="43" t="str">
        <x:v>Unknown</x:v>
      </x:c>
      <x:c r="T196" s="43" t="str">
        <x:v>Unknown</x:v>
      </x:c>
      <x:c r="U196" s="43" t="str">
        <x:v>Unknown</x:v>
      </x:c>
      <x:c r="V196" s="43" t="str">
        <x:v>Unknown</x:v>
      </x:c>
      <x:c r="W196" s="43" t="str">
        <x:v>Unknown</x:v>
      </x:c>
      <x:c r="X196" s="43" t="str">
        <x:v>Unknown</x:v>
      </x:c>
      <x:c r="Y196" s="43" t="str">
        <x:v>Unknown</x:v>
      </x:c>
      <x:c r="Z196" s="43"/>
    </x:row>
    <x:row r="197" ht="60" customHeight="1">
      <x:c r="A197" s="16" t="s">
        <x:v>1160</x:v>
      </x:c>
      <x:c r="B197" s="16" t="s">
        <x:v>1161</x:v>
      </x:c>
      <x:c r="C197" s="16" t="s">
        <x:v>1023</x:v>
      </x:c>
      <x:c r="D197" s="16" t="s">
        <x:v>1156</x:v>
      </x:c>
      <x:c r="E197" s="16" t="s">
        <x:v>37</x:v>
      </x:c>
      <x:c r="F197" s="16" t="s">
        <x:v>121</x:v>
      </x:c>
      <x:c r="G197" s="16" t="s">
        <x:v>26</x:v>
      </x:c>
      <x:c r="H197" s="17" t="s">
        <x:v>1162</x:v>
      </x:c>
      <x:c r="I197" s="17" t="s">
        <x:v>1163</x:v>
      </x:c>
      <x:c r="J197" s="17" t="s">
        <x:v>1164</x:v>
      </x:c>
      <x:c r="K197" s="17" t="s">
        <x:v>1028</x:v>
      </x:c>
      <x:c r="L197" s="17" t="s">
        <x:v>111</x:v>
      </x:c>
      <x:c r="M197" s="17" t="s">
        <x:v>1090</x:v>
      </x:c>
      <x:c r="N197" s="16"/>
      <x:c r="O197" s="18">
        <x:v>46249</x:v>
      </x:c>
      <x:c r="P197" s="19" t="s">
        <x:v>34</x:v>
      </x:c>
      <x:c r="Q197" s="17"/>
      <x:c r="R197" s="19" t="str">
        <x:f t="shared" si="3"/>
        <x:v>Discovery Link Only</x:v>
      </x:c>
      <x:c r="S197" s="43" t="str">
        <x:v>Unknown</x:v>
      </x:c>
      <x:c r="T197" s="43" t="str">
        <x:v>Unknown</x:v>
      </x:c>
      <x:c r="U197" s="43" t="str">
        <x:v>Unknown</x:v>
      </x:c>
      <x:c r="V197" s="43" t="str">
        <x:v>Unknown</x:v>
      </x:c>
      <x:c r="W197" s="43" t="str">
        <x:v>Unknown</x:v>
      </x:c>
      <x:c r="X197" s="43" t="str">
        <x:v>Unknown</x:v>
      </x:c>
      <x:c r="Y197" s="43" t="str">
        <x:v>Unknown</x:v>
      </x:c>
      <x:c r="Z197" s="43"/>
    </x:row>
    <x:row r="198" ht="60" customHeight="1">
      <x:c r="A198" s="16" t="s">
        <x:v>1165</x:v>
      </x:c>
      <x:c r="B198" s="16" t="s">
        <x:v>1166</x:v>
      </x:c>
      <x:c r="C198" s="16" t="s">
        <x:v>1167</x:v>
      </x:c>
      <x:c r="D198" s="16" t="s">
        <x:v>1168</x:v>
      </x:c>
      <x:c r="E198" s="16" t="s">
        <x:v>72</x:v>
      </x:c>
      <x:c r="F198" s="16" t="s">
        <x:v>121</x:v>
      </x:c>
      <x:c r="G198" s="16" t="s">
        <x:v>26</x:v>
      </x:c>
      <x:c r="H198" s="17" t="s">
        <x:v>1169</x:v>
      </x:c>
      <x:c r="I198" s="17" t="s">
        <x:v>1170</x:v>
      </x:c>
      <x:c r="J198" s="17" t="s">
        <x:v>1171</x:v>
      </x:c>
      <x:c r="K198" s="17" t="s">
        <x:v>1172</x:v>
      </x:c>
      <x:c r="L198" s="17" t="s">
        <x:v>58</x:v>
      </x:c>
      <x:c r="M198" s="17" t="s">
        <x:v>256</x:v>
      </x:c>
      <x:c r="N198" s="16" t="s">
        <x:v>1173</x:v>
      </x:c>
      <x:c r="O198" s="18">
        <x:v>46249</x:v>
      </x:c>
      <x:c r="P198" s="19" t="s">
        <x:v>34</x:v>
      </x:c>
      <x:c r="Q198" s="17"/>
      <x:c r="R198" s="19" t="str">
        <x:f t="shared" si="3"/>
        <x:v>Source Link Present</x:v>
      </x:c>
      <x:c r="S198" s="43" t="str">
        <x:v>Unknown</x:v>
      </x:c>
      <x:c r="T198" s="43" t="str">
        <x:v>Unknown</x:v>
      </x:c>
      <x:c r="U198" s="43" t="str">
        <x:v>Unknown</x:v>
      </x:c>
      <x:c r="V198" s="43" t="str">
        <x:v>Unknown</x:v>
      </x:c>
      <x:c r="W198" s="43" t="str">
        <x:v>Unknown</x:v>
      </x:c>
      <x:c r="X198" s="43" t="str">
        <x:v>Unknown</x:v>
      </x:c>
      <x:c r="Y198" s="43" t="str">
        <x:v>Unknown</x:v>
      </x:c>
      <x:c r="Z198" s="43"/>
    </x:row>
    <x:row r="199" ht="60" customHeight="1">
      <x:c r="A199" s="16" t="s">
        <x:v>1174</x:v>
      </x:c>
      <x:c r="B199" s="16" t="s">
        <x:v>1175</x:v>
      </x:c>
      <x:c r="C199" s="16" t="s">
        <x:v>1167</x:v>
      </x:c>
      <x:c r="D199" s="16" t="s">
        <x:v>1176</x:v>
      </x:c>
      <x:c r="E199" s="16" t="s">
        <x:v>394</x:v>
      </x:c>
      <x:c r="F199" s="16" t="s">
        <x:v>25</x:v>
      </x:c>
      <x:c r="G199" s="16" t="s">
        <x:v>26</x:v>
      </x:c>
      <x:c r="H199" s="17" t="s">
        <x:v>1177</x:v>
      </x:c>
      <x:c r="I199" s="17" t="s">
        <x:v>1178</x:v>
      </x:c>
      <x:c r="J199" s="17" t="s">
        <x:v>1179</x:v>
      </x:c>
      <x:c r="K199" s="17" t="s">
        <x:v>1172</x:v>
      </x:c>
      <x:c r="L199" s="17" t="s">
        <x:v>58</x:v>
      </x:c>
      <x:c r="M199" s="17" t="s">
        <x:v>256</x:v>
      </x:c>
      <x:c r="N199" s="16" t="s">
        <x:v>1180</x:v>
      </x:c>
      <x:c r="O199" s="18">
        <x:v>46249</x:v>
      </x:c>
      <x:c r="P199" s="19" t="s">
        <x:v>34</x:v>
      </x:c>
      <x:c r="Q199" s="17"/>
      <x:c r="R199" s="19" t="str">
        <x:f t="shared" si="3"/>
        <x:v>Source Link Present</x:v>
      </x:c>
      <x:c r="S199" s="43" t="str">
        <x:v>Unknown</x:v>
      </x:c>
      <x:c r="T199" s="43" t="str">
        <x:v>Unknown</x:v>
      </x:c>
      <x:c r="U199" s="43" t="str">
        <x:v>Unknown</x:v>
      </x:c>
      <x:c r="V199" s="43" t="str">
        <x:v>Unknown</x:v>
      </x:c>
      <x:c r="W199" s="43" t="str">
        <x:v>Unknown</x:v>
      </x:c>
      <x:c r="X199" s="43" t="str">
        <x:v>Unknown</x:v>
      </x:c>
      <x:c r="Y199" s="43" t="str">
        <x:v>Unknown</x:v>
      </x:c>
      <x:c r="Z199" s="43"/>
    </x:row>
    <x:row r="200" ht="60" customHeight="1">
      <x:c r="A200" s="16" t="s">
        <x:v>1181</x:v>
      </x:c>
      <x:c r="B200" s="16" t="s">
        <x:v>1182</x:v>
      </x:c>
      <x:c r="C200" s="16" t="s">
        <x:v>1167</x:v>
      </x:c>
      <x:c r="D200" s="16" t="s">
        <x:v>1183</x:v>
      </x:c>
      <x:c r="E200" s="16" t="s">
        <x:v>64</x:v>
      </x:c>
      <x:c r="F200" s="16" t="s">
        <x:v>25</x:v>
      </x:c>
      <x:c r="G200" s="16" t="s">
        <x:v>46</x:v>
      </x:c>
      <x:c r="H200" s="17" t="s">
        <x:v>1184</x:v>
      </x:c>
      <x:c r="I200" s="17" t="s">
        <x:v>1185</x:v>
      </x:c>
      <x:c r="J200" s="17" t="s">
        <x:v>1186</x:v>
      </x:c>
      <x:c r="K200" s="17" t="s">
        <x:v>1172</x:v>
      </x:c>
      <x:c r="L200" s="17" t="s">
        <x:v>58</x:v>
      </x:c>
      <x:c r="M200" s="17" t="s">
        <x:v>256</x:v>
      </x:c>
      <x:c r="N200" s="16" t="s">
        <x:v>1187</x:v>
      </x:c>
      <x:c r="O200" s="18">
        <x:v>46249</x:v>
      </x:c>
      <x:c r="P200" s="19" t="s">
        <x:v>34</x:v>
      </x:c>
      <x:c r="Q200" s="17"/>
      <x:c r="R200" s="19" t="str">
        <x:f t="shared" si="3"/>
        <x:v>Discovery Link Only</x:v>
      </x:c>
      <x:c r="S200" s="43" t="str">
        <x:v>Unknown</x:v>
      </x:c>
      <x:c r="T200" s="43" t="str">
        <x:v>Unknown</x:v>
      </x:c>
      <x:c r="U200" s="43" t="str">
        <x:v>Unknown</x:v>
      </x:c>
      <x:c r="V200" s="43" t="str">
        <x:v>Unknown</x:v>
      </x:c>
      <x:c r="W200" s="43" t="str">
        <x:v>Unknown</x:v>
      </x:c>
      <x:c r="X200" s="43" t="str">
        <x:v>Unknown</x:v>
      </x:c>
      <x:c r="Y200" s="43" t="str">
        <x:v>Unknown</x:v>
      </x:c>
      <x:c r="Z200" s="43"/>
    </x:row>
    <x:row r="201" ht="60" customHeight="1">
      <x:c r="A201" s="16" t="s">
        <x:v>1188</x:v>
      </x:c>
      <x:c r="B201" s="16" t="s">
        <x:v>1189</x:v>
      </x:c>
      <x:c r="C201" s="16" t="s">
        <x:v>1167</x:v>
      </x:c>
      <x:c r="D201" s="16" t="s">
        <x:v>1190</x:v>
      </x:c>
      <x:c r="E201" s="16" t="s">
        <x:v>115</x:v>
      </x:c>
      <x:c r="F201" s="16" t="s">
        <x:v>25</x:v>
      </x:c>
      <x:c r="G201" s="16" t="s">
        <x:v>46</x:v>
      </x:c>
      <x:c r="H201" s="17" t="s">
        <x:v>1191</x:v>
      </x:c>
      <x:c r="I201" s="17" t="s">
        <x:v>1192</x:v>
      </x:c>
      <x:c r="J201" s="17" t="s">
        <x:v>1193</x:v>
      </x:c>
      <x:c r="K201" s="17" t="s">
        <x:v>1172</x:v>
      </x:c>
      <x:c r="L201" s="17" t="s">
        <x:v>58</x:v>
      </x:c>
      <x:c r="M201" s="17" t="s">
        <x:v>256</x:v>
      </x:c>
      <x:c r="N201" s="16" t="s">
        <x:v>1194</x:v>
      </x:c>
      <x:c r="O201" s="18">
        <x:v>46249</x:v>
      </x:c>
      <x:c r="P201" s="19" t="s">
        <x:v>34</x:v>
      </x:c>
      <x:c r="Q201" s="17"/>
      <x:c r="R201" s="19" t="str">
        <x:f t="shared" si="3"/>
        <x:v>Discovery Link Only</x:v>
      </x:c>
      <x:c r="S201" s="43" t="str">
        <x:v>Unknown</x:v>
      </x:c>
      <x:c r="T201" s="43" t="str">
        <x:v>Unknown</x:v>
      </x:c>
      <x:c r="U201" s="43" t="str">
        <x:v>Unknown</x:v>
      </x:c>
      <x:c r="V201" s="43" t="str">
        <x:v>Unknown</x:v>
      </x:c>
      <x:c r="W201" s="43" t="str">
        <x:v>Unknown</x:v>
      </x:c>
      <x:c r="X201" s="43" t="str">
        <x:v>Unknown</x:v>
      </x:c>
      <x:c r="Y201" s="43" t="str">
        <x:v>Unknown</x:v>
      </x:c>
      <x:c r="Z201" s="43"/>
    </x:row>
    <x:row r="202" ht="60" customHeight="1">
      <x:c r="A202" s="16" t="s">
        <x:v>1195</x:v>
      </x:c>
      <x:c r="B202" s="16" t="s">
        <x:v>1196</x:v>
      </x:c>
      <x:c r="C202" s="16" t="s">
        <x:v>1167</x:v>
      </x:c>
      <x:c r="D202" s="16" t="s">
        <x:v>1183</x:v>
      </x:c>
      <x:c r="E202" s="16" t="s">
        <x:v>140</x:v>
      </x:c>
      <x:c r="F202" s="16" t="s">
        <x:v>121</x:v>
      </x:c>
      <x:c r="G202" s="16" t="s">
        <x:v>26</x:v>
      </x:c>
      <x:c r="H202" s="17" t="s">
        <x:v>1197</x:v>
      </x:c>
      <x:c r="I202" s="17" t="s">
        <x:v>1198</x:v>
      </x:c>
      <x:c r="J202" s="17" t="s">
        <x:v>1199</x:v>
      </x:c>
      <x:c r="K202" s="17" t="s">
        <x:v>1172</x:v>
      </x:c>
      <x:c r="L202" s="17" t="s">
        <x:v>58</x:v>
      </x:c>
      <x:c r="M202" s="17" t="s">
        <x:v>256</x:v>
      </x:c>
      <x:c r="N202" s="16" t="s">
        <x:v>1200</x:v>
      </x:c>
      <x:c r="O202" s="18">
        <x:v>46249</x:v>
      </x:c>
      <x:c r="P202" s="19" t="s">
        <x:v>34</x:v>
      </x:c>
      <x:c r="Q202" s="17"/>
      <x:c r="R202" s="19" t="str">
        <x:f t="shared" si="3"/>
        <x:v>Discovery Link Only</x:v>
      </x:c>
      <x:c r="S202" s="43" t="str">
        <x:v>Unknown</x:v>
      </x:c>
      <x:c r="T202" s="43" t="str">
        <x:v>Unknown</x:v>
      </x:c>
      <x:c r="U202" s="43" t="str">
        <x:v>Unknown</x:v>
      </x:c>
      <x:c r="V202" s="43" t="str">
        <x:v>Unknown</x:v>
      </x:c>
      <x:c r="W202" s="43" t="str">
        <x:v>Unknown</x:v>
      </x:c>
      <x:c r="X202" s="43" t="str">
        <x:v>Unknown</x:v>
      </x:c>
      <x:c r="Y202" s="43" t="str">
        <x:v>Unknown</x:v>
      </x:c>
      <x:c r="Z202" s="43"/>
    </x:row>
    <x:row r="203" ht="60" customHeight="1">
      <x:c r="A203" s="16" t="s">
        <x:v>1201</x:v>
      </x:c>
      <x:c r="B203" s="16" t="s">
        <x:v>1202</x:v>
      </x:c>
      <x:c r="C203" s="16" t="s">
        <x:v>1167</x:v>
      </x:c>
      <x:c r="D203" s="16" t="s">
        <x:v>1203</x:v>
      </x:c>
      <x:c r="E203" s="16" t="s">
        <x:v>45</x:v>
      </x:c>
      <x:c r="F203" s="16" t="s">
        <x:v>25</x:v>
      </x:c>
      <x:c r="G203" s="16" t="s">
        <x:v>26</x:v>
      </x:c>
      <x:c r="H203" s="17" t="s">
        <x:v>1204</x:v>
      </x:c>
      <x:c r="I203" s="17" t="s">
        <x:v>1205</x:v>
      </x:c>
      <x:c r="J203" s="17" t="s">
        <x:v>1206</x:v>
      </x:c>
      <x:c r="K203" s="17" t="s">
        <x:v>1172</x:v>
      </x:c>
      <x:c r="L203" s="17" t="s">
        <x:v>58</x:v>
      </x:c>
      <x:c r="M203" s="17" t="s">
        <x:v>256</x:v>
      </x:c>
      <x:c r="N203" s="16" t="s">
        <x:v>1207</x:v>
      </x:c>
      <x:c r="O203" s="18">
        <x:v>46249</x:v>
      </x:c>
      <x:c r="P203" s="19" t="s">
        <x:v>34</x:v>
      </x:c>
      <x:c r="Q203" s="17"/>
      <x:c r="R203" s="19" t="str">
        <x:f t="shared" si="3"/>
        <x:v>Discovery Link Only</x:v>
      </x:c>
      <x:c r="S203" s="43" t="str">
        <x:v>Unknown</x:v>
      </x:c>
      <x:c r="T203" s="43" t="str">
        <x:v>Unknown</x:v>
      </x:c>
      <x:c r="U203" s="43" t="str">
        <x:v>Unknown</x:v>
      </x:c>
      <x:c r="V203" s="43" t="str">
        <x:v>Unknown</x:v>
      </x:c>
      <x:c r="W203" s="43" t="str">
        <x:v>Unknown</x:v>
      </x:c>
      <x:c r="X203" s="43" t="str">
        <x:v>Unknown</x:v>
      </x:c>
      <x:c r="Y203" s="43" t="str">
        <x:v>Unknown</x:v>
      </x:c>
      <x:c r="Z203" s="43"/>
    </x:row>
    <x:row r="204" ht="60" customHeight="1">
      <x:c r="A204" s="16" t="s">
        <x:v>1208</x:v>
      </x:c>
      <x:c r="B204" s="16" t="s">
        <x:v>1209</x:v>
      </x:c>
      <x:c r="C204" s="16" t="s">
        <x:v>1167</x:v>
      </x:c>
      <x:c r="D204" s="16" t="s">
        <x:v>1210</x:v>
      </x:c>
      <x:c r="E204" s="16" t="s">
        <x:v>24</x:v>
      </x:c>
      <x:c r="F204" s="16" t="s">
        <x:v>25</x:v>
      </x:c>
      <x:c r="G204" s="16" t="s">
        <x:v>26</x:v>
      </x:c>
      <x:c r="H204" s="17" t="s">
        <x:v>1211</x:v>
      </x:c>
      <x:c r="I204" s="17" t="s">
        <x:v>1212</x:v>
      </x:c>
      <x:c r="J204" s="17" t="s">
        <x:v>1213</x:v>
      </x:c>
      <x:c r="K204" s="17" t="s">
        <x:v>1172</x:v>
      </x:c>
      <x:c r="L204" s="17" t="s">
        <x:v>58</x:v>
      </x:c>
      <x:c r="M204" s="17" t="s">
        <x:v>256</x:v>
      </x:c>
      <x:c r="N204" s="16" t="s">
        <x:v>1214</x:v>
      </x:c>
      <x:c r="O204" s="18">
        <x:v>46249</x:v>
      </x:c>
      <x:c r="P204" s="19" t="s">
        <x:v>34</x:v>
      </x:c>
      <x:c r="Q204" s="17"/>
      <x:c r="R204" s="19" t="str">
        <x:f t="shared" si="3"/>
        <x:v>Discovery Link Only</x:v>
      </x:c>
      <x:c r="S204" s="43" t="str">
        <x:v>Unknown</x:v>
      </x:c>
      <x:c r="T204" s="43" t="str">
        <x:v>Unknown</x:v>
      </x:c>
      <x:c r="U204" s="43" t="str">
        <x:v>Unknown</x:v>
      </x:c>
      <x:c r="V204" s="43" t="str">
        <x:v>Unknown</x:v>
      </x:c>
      <x:c r="W204" s="43" t="str">
        <x:v>Unknown</x:v>
      </x:c>
      <x:c r="X204" s="43" t="str">
        <x:v>Unknown</x:v>
      </x:c>
      <x:c r="Y204" s="43" t="str">
        <x:v>Unknown</x:v>
      </x:c>
      <x:c r="Z204" s="43"/>
    </x:row>
    <x:row r="205" ht="60" customHeight="1">
      <x:c r="A205" s="16" t="s">
        <x:v>1215</x:v>
      </x:c>
      <x:c r="B205" s="16" t="s">
        <x:v>1216</x:v>
      </x:c>
      <x:c r="C205" s="16" t="s">
        <x:v>1167</x:v>
      </x:c>
      <x:c r="D205" s="16" t="s">
        <x:v>1183</x:v>
      </x:c>
      <x:c r="E205" s="16" t="s">
        <x:v>106</x:v>
      </x:c>
      <x:c r="F205" s="16" t="s">
        <x:v>25</x:v>
      </x:c>
      <x:c r="G205" s="16" t="s">
        <x:v>46</x:v>
      </x:c>
      <x:c r="H205" s="17" t="s">
        <x:v>1217</x:v>
      </x:c>
      <x:c r="I205" s="17" t="s">
        <x:v>1218</x:v>
      </x:c>
      <x:c r="J205" s="17" t="s">
        <x:v>1219</x:v>
      </x:c>
      <x:c r="K205" s="17" t="s">
        <x:v>1172</x:v>
      </x:c>
      <x:c r="L205" s="17" t="s">
        <x:v>58</x:v>
      </x:c>
      <x:c r="M205" s="17" t="s">
        <x:v>256</x:v>
      </x:c>
      <x:c r="N205" s="16" t="s">
        <x:v>1220</x:v>
      </x:c>
      <x:c r="O205" s="18">
        <x:v>46249</x:v>
      </x:c>
      <x:c r="P205" s="19" t="s">
        <x:v>34</x:v>
      </x:c>
      <x:c r="Q205" s="17"/>
      <x:c r="R205" s="19" t="str">
        <x:f t="shared" si="3"/>
        <x:v>Discovery Link Only</x:v>
      </x:c>
      <x:c r="S205" s="43" t="str">
        <x:v>Unknown</x:v>
      </x:c>
      <x:c r="T205" s="43" t="str">
        <x:v>Unknown</x:v>
      </x:c>
      <x:c r="U205" s="43" t="str">
        <x:v>Unknown</x:v>
      </x:c>
      <x:c r="V205" s="43" t="str">
        <x:v>Unknown</x:v>
      </x:c>
      <x:c r="W205" s="43" t="str">
        <x:v>Unknown</x:v>
      </x:c>
      <x:c r="X205" s="43" t="str">
        <x:v>Unknown</x:v>
      </x:c>
      <x:c r="Y205" s="43" t="str">
        <x:v>Unknown</x:v>
      </x:c>
      <x:c r="Z205" s="43"/>
    </x:row>
    <x:row r="206" ht="60" customHeight="1">
      <x:c r="A206" s="16" t="s">
        <x:v>1221</x:v>
      </x:c>
      <x:c r="B206" s="16" t="s">
        <x:v>1222</x:v>
      </x:c>
      <x:c r="C206" s="16" t="s">
        <x:v>1167</x:v>
      </x:c>
      <x:c r="D206" s="16" t="s">
        <x:v>1223</x:v>
      </x:c>
      <x:c r="E206" s="16" t="s">
        <x:v>45</x:v>
      </x:c>
      <x:c r="F206" s="16" t="s">
        <x:v>25</x:v>
      </x:c>
      <x:c r="G206" s="16" t="s">
        <x:v>26</x:v>
      </x:c>
      <x:c r="H206" s="17" t="s">
        <x:v>1224</x:v>
      </x:c>
      <x:c r="I206" s="17" t="s">
        <x:v>1225</x:v>
      </x:c>
      <x:c r="J206" s="17" t="s">
        <x:v>1226</x:v>
      </x:c>
      <x:c r="K206" s="17" t="s">
        <x:v>1172</x:v>
      </x:c>
      <x:c r="L206" s="17" t="s">
        <x:v>58</x:v>
      </x:c>
      <x:c r="M206" s="17" t="s">
        <x:v>256</x:v>
      </x:c>
      <x:c r="N206" s="16" t="s">
        <x:v>1227</x:v>
      </x:c>
      <x:c r="O206" s="18">
        <x:v>46249</x:v>
      </x:c>
      <x:c r="P206" s="19" t="s">
        <x:v>34</x:v>
      </x:c>
      <x:c r="Q206" s="17"/>
      <x:c r="R206" s="19" t="str">
        <x:f t="shared" si="3"/>
        <x:v>Discovery Link Only</x:v>
      </x:c>
      <x:c r="S206" s="43" t="str">
        <x:v>Unknown</x:v>
      </x:c>
      <x:c r="T206" s="43" t="str">
        <x:v>Unknown</x:v>
      </x:c>
      <x:c r="U206" s="43" t="str">
        <x:v>Unknown</x:v>
      </x:c>
      <x:c r="V206" s="43" t="str">
        <x:v>Unknown</x:v>
      </x:c>
      <x:c r="W206" s="43" t="str">
        <x:v>Unknown</x:v>
      </x:c>
      <x:c r="X206" s="43" t="str">
        <x:v>Unknown</x:v>
      </x:c>
      <x:c r="Y206" s="43" t="str">
        <x:v>Unknown</x:v>
      </x:c>
      <x:c r="Z206" s="43"/>
    </x:row>
    <x:row r="207" ht="60" customHeight="1">
      <x:c r="A207" s="16" t="s">
        <x:v>1228</x:v>
      </x:c>
      <x:c r="B207" s="16" t="s">
        <x:v>1229</x:v>
      </x:c>
      <x:c r="C207" s="16" t="s">
        <x:v>1167</x:v>
      </x:c>
      <x:c r="D207" s="16" t="s">
        <x:v>1230</x:v>
      </x:c>
      <x:c r="E207" s="16" t="s">
        <x:v>251</x:v>
      </x:c>
      <x:c r="F207" s="16" t="s">
        <x:v>25</x:v>
      </x:c>
      <x:c r="G207" s="16" t="s">
        <x:v>26</x:v>
      </x:c>
      <x:c r="H207" s="17" t="s">
        <x:v>1231</x:v>
      </x:c>
      <x:c r="I207" s="17" t="s">
        <x:v>1232</x:v>
      </x:c>
      <x:c r="J207" s="17" t="s">
        <x:v>1233</x:v>
      </x:c>
      <x:c r="K207" s="17" t="s">
        <x:v>1172</x:v>
      </x:c>
      <x:c r="L207" s="17" t="s">
        <x:v>58</x:v>
      </x:c>
      <x:c r="M207" s="17" t="s">
        <x:v>256</x:v>
      </x:c>
      <x:c r="N207" s="16" t="s">
        <x:v>1234</x:v>
      </x:c>
      <x:c r="O207" s="18">
        <x:v>46249</x:v>
      </x:c>
      <x:c r="P207" s="19" t="s">
        <x:v>34</x:v>
      </x:c>
      <x:c r="Q207" s="17"/>
      <x:c r="R207" s="19" t="str">
        <x:f t="shared" si="3"/>
        <x:v>Discovery Link Only</x:v>
      </x:c>
      <x:c r="S207" s="43" t="str">
        <x:v>Unknown</x:v>
      </x:c>
      <x:c r="T207" s="43" t="str">
        <x:v>Unknown</x:v>
      </x:c>
      <x:c r="U207" s="43" t="str">
        <x:v>Unknown</x:v>
      </x:c>
      <x:c r="V207" s="43" t="str">
        <x:v>Unknown</x:v>
      </x:c>
      <x:c r="W207" s="43" t="str">
        <x:v>Unknown</x:v>
      </x:c>
      <x:c r="X207" s="43" t="str">
        <x:v>Unknown</x:v>
      </x:c>
      <x:c r="Y207" s="43" t="str">
        <x:v>Unknown</x:v>
      </x:c>
      <x:c r="Z207" s="43"/>
    </x:row>
    <x:row r="208" ht="60" customHeight="1">
      <x:c r="A208" s="16" t="s">
        <x:v>1235</x:v>
      </x:c>
      <x:c r="B208" s="16" t="s">
        <x:v>1236</x:v>
      </x:c>
      <x:c r="C208" s="16" t="s">
        <x:v>1167</x:v>
      </x:c>
      <x:c r="D208" s="16" t="s">
        <x:v>1183</x:v>
      </x:c>
      <x:c r="E208" s="16" t="s">
        <x:v>115</x:v>
      </x:c>
      <x:c r="F208" s="16" t="s">
        <x:v>107</x:v>
      </x:c>
      <x:c r="G208" s="16" t="s">
        <x:v>46</x:v>
      </x:c>
      <x:c r="H208" s="17" t="s">
        <x:v>1237</x:v>
      </x:c>
      <x:c r="I208" s="17" t="s">
        <x:v>1238</x:v>
      </x:c>
      <x:c r="J208" s="17" t="s">
        <x:v>1239</x:v>
      </x:c>
      <x:c r="K208" s="17" t="s">
        <x:v>1172</x:v>
      </x:c>
      <x:c r="L208" s="17" t="s">
        <x:v>111</x:v>
      </x:c>
      <x:c r="M208" s="17" t="s">
        <x:v>1240</x:v>
      </x:c>
      <x:c r="N208" s="16"/>
      <x:c r="O208" s="18">
        <x:v>46249</x:v>
      </x:c>
      <x:c r="P208" s="19" t="s">
        <x:v>34</x:v>
      </x:c>
      <x:c r="Q208" s="17"/>
      <x:c r="R208" s="19" t="str">
        <x:f t="shared" si="3"/>
        <x:v>Discovery Link Only</x:v>
      </x:c>
      <x:c r="S208" s="43" t="str">
        <x:v>Unknown</x:v>
      </x:c>
      <x:c r="T208" s="43" t="str">
        <x:v>Unknown</x:v>
      </x:c>
      <x:c r="U208" s="43" t="str">
        <x:v>Unknown</x:v>
      </x:c>
      <x:c r="V208" s="43" t="str">
        <x:v>Unknown</x:v>
      </x:c>
      <x:c r="W208" s="43" t="str">
        <x:v>Unknown</x:v>
      </x:c>
      <x:c r="X208" s="43" t="str">
        <x:v>Unknown</x:v>
      </x:c>
      <x:c r="Y208" s="43" t="str">
        <x:v>Unknown</x:v>
      </x:c>
      <x:c r="Z208" s="43"/>
    </x:row>
    <x:row r="209" ht="60" customHeight="1">
      <x:c r="A209" s="16" t="s">
        <x:v>1241</x:v>
      </x:c>
      <x:c r="B209" s="16" t="s">
        <x:v>1242</x:v>
      </x:c>
      <x:c r="C209" s="16" t="s">
        <x:v>1167</x:v>
      </x:c>
      <x:c r="D209" s="16" t="s">
        <x:v>1183</x:v>
      </x:c>
      <x:c r="E209" s="16" t="s">
        <x:v>133</x:v>
      </x:c>
      <x:c r="F209" s="16" t="s">
        <x:v>107</x:v>
      </x:c>
      <x:c r="G209" s="16" t="s">
        <x:v>134</x:v>
      </x:c>
      <x:c r="H209" s="17" t="s">
        <x:v>1243</x:v>
      </x:c>
      <x:c r="I209" s="17" t="s">
        <x:v>1244</x:v>
      </x:c>
      <x:c r="J209" s="17" t="s">
        <x:v>1245</x:v>
      </x:c>
      <x:c r="K209" s="17" t="s">
        <x:v>1172</x:v>
      </x:c>
      <x:c r="L209" s="17" t="s">
        <x:v>111</x:v>
      </x:c>
      <x:c r="M209" s="17" t="s">
        <x:v>1240</x:v>
      </x:c>
      <x:c r="N209" s="16"/>
      <x:c r="O209" s="18">
        <x:v>46249</x:v>
      </x:c>
      <x:c r="P209" s="19" t="s">
        <x:v>34</x:v>
      </x:c>
      <x:c r="Q209" s="17"/>
      <x:c r="R209" s="19" t="str">
        <x:f t="shared" si="3"/>
        <x:v>Discovery Link Only</x:v>
      </x:c>
      <x:c r="S209" s="43" t="str">
        <x:v>Unknown</x:v>
      </x:c>
      <x:c r="T209" s="43" t="str">
        <x:v>Unknown</x:v>
      </x:c>
      <x:c r="U209" s="43" t="str">
        <x:v>Unknown</x:v>
      </x:c>
      <x:c r="V209" s="43" t="str">
        <x:v>Unknown</x:v>
      </x:c>
      <x:c r="W209" s="43" t="str">
        <x:v>Unknown</x:v>
      </x:c>
      <x:c r="X209" s="43" t="str">
        <x:v>Unknown</x:v>
      </x:c>
      <x:c r="Y209" s="43" t="str">
        <x:v>Unknown</x:v>
      </x:c>
      <x:c r="Z209" s="43"/>
    </x:row>
    <x:row r="210" ht="60" customHeight="1">
      <x:c r="A210" s="16" t="s">
        <x:v>1246</x:v>
      </x:c>
      <x:c r="B210" s="16" t="s">
        <x:v>1247</x:v>
      </x:c>
      <x:c r="C210" s="16" t="s">
        <x:v>1167</x:v>
      </x:c>
      <x:c r="D210" s="16" t="s">
        <x:v>1183</x:v>
      </x:c>
      <x:c r="E210" s="16" t="s">
        <x:v>133</x:v>
      </x:c>
      <x:c r="F210" s="16" t="s">
        <x:v>121</x:v>
      </x:c>
      <x:c r="G210" s="16" t="s">
        <x:v>134</x:v>
      </x:c>
      <x:c r="H210" s="17" t="s">
        <x:v>1248</x:v>
      </x:c>
      <x:c r="I210" s="17" t="s">
        <x:v>1249</x:v>
      </x:c>
      <x:c r="J210" s="17" t="s">
        <x:v>1250</x:v>
      </x:c>
      <x:c r="K210" s="17" t="s">
        <x:v>1172</x:v>
      </x:c>
      <x:c r="L210" s="17" t="s">
        <x:v>111</x:v>
      </x:c>
      <x:c r="M210" s="17" t="s">
        <x:v>1240</x:v>
      </x:c>
      <x:c r="N210" s="16"/>
      <x:c r="O210" s="18">
        <x:v>46249</x:v>
      </x:c>
      <x:c r="P210" s="19" t="s">
        <x:v>34</x:v>
      </x:c>
      <x:c r="Q210" s="17"/>
      <x:c r="R210" s="19" t="str">
        <x:f t="shared" si="3"/>
        <x:v>Discovery Link Only</x:v>
      </x:c>
      <x:c r="S210" s="43" t="str">
        <x:v>Unknown</x:v>
      </x:c>
      <x:c r="T210" s="43" t="str">
        <x:v>Unknown</x:v>
      </x:c>
      <x:c r="U210" s="43" t="str">
        <x:v>Unknown</x:v>
      </x:c>
      <x:c r="V210" s="43" t="str">
        <x:v>Unknown</x:v>
      </x:c>
      <x:c r="W210" s="43" t="str">
        <x:v>Unknown</x:v>
      </x:c>
      <x:c r="X210" s="43" t="str">
        <x:v>Unknown</x:v>
      </x:c>
      <x:c r="Y210" s="43" t="str">
        <x:v>Unknown</x:v>
      </x:c>
      <x:c r="Z210" s="43"/>
    </x:row>
    <x:row r="211" ht="60" customHeight="1">
      <x:c r="A211" s="16" t="s">
        <x:v>1251</x:v>
      </x:c>
      <x:c r="B211" s="16" t="s">
        <x:v>1252</x:v>
      </x:c>
      <x:c r="C211" s="16" t="s">
        <x:v>1167</x:v>
      </x:c>
      <x:c r="D211" s="16" t="s">
        <x:v>1183</x:v>
      </x:c>
      <x:c r="E211" s="16" t="s">
        <x:v>106</x:v>
      </x:c>
      <x:c r="F211" s="16" t="s">
        <x:v>107</x:v>
      </x:c>
      <x:c r="G211" s="16" t="s">
        <x:v>46</x:v>
      </x:c>
      <x:c r="H211" s="17" t="s">
        <x:v>1253</x:v>
      </x:c>
      <x:c r="I211" s="17" t="s">
        <x:v>1254</x:v>
      </x:c>
      <x:c r="J211" s="17" t="s">
        <x:v>1255</x:v>
      </x:c>
      <x:c r="K211" s="17" t="s">
        <x:v>1172</x:v>
      </x:c>
      <x:c r="L211" s="17" t="s">
        <x:v>111</x:v>
      </x:c>
      <x:c r="M211" s="17" t="s">
        <x:v>1240</x:v>
      </x:c>
      <x:c r="N211" s="16"/>
      <x:c r="O211" s="18">
        <x:v>46249</x:v>
      </x:c>
      <x:c r="P211" s="19" t="s">
        <x:v>34</x:v>
      </x:c>
      <x:c r="Q211" s="17"/>
      <x:c r="R211" s="19" t="str">
        <x:f t="shared" si="3"/>
        <x:v>Discovery Link Only</x:v>
      </x:c>
      <x:c r="S211" s="43" t="str">
        <x:v>Unknown</x:v>
      </x:c>
      <x:c r="T211" s="43" t="str">
        <x:v>Unknown</x:v>
      </x:c>
      <x:c r="U211" s="43" t="str">
        <x:v>Unknown</x:v>
      </x:c>
      <x:c r="V211" s="43" t="str">
        <x:v>Unknown</x:v>
      </x:c>
      <x:c r="W211" s="43" t="str">
        <x:v>Unknown</x:v>
      </x:c>
      <x:c r="X211" s="43" t="str">
        <x:v>Unknown</x:v>
      </x:c>
      <x:c r="Y211" s="43" t="str">
        <x:v>Unknown</x:v>
      </x:c>
      <x:c r="Z211" s="43"/>
    </x:row>
    <x:row r="212" ht="60" customHeight="1">
      <x:c r="A212" s="16" t="s">
        <x:v>1256</x:v>
      </x:c>
      <x:c r="B212" s="16" t="s">
        <x:v>1257</x:v>
      </x:c>
      <x:c r="C212" s="16" t="s">
        <x:v>1167</x:v>
      </x:c>
      <x:c r="D212" s="16" t="s">
        <x:v>1183</x:v>
      </x:c>
      <x:c r="E212" s="16" t="s">
        <x:v>106</x:v>
      </x:c>
      <x:c r="F212" s="16" t="s">
        <x:v>107</x:v>
      </x:c>
      <x:c r="G212" s="16" t="s">
        <x:v>46</x:v>
      </x:c>
      <x:c r="H212" s="17" t="s">
        <x:v>1258</x:v>
      </x:c>
      <x:c r="I212" s="17" t="s">
        <x:v>1259</x:v>
      </x:c>
      <x:c r="J212" s="17" t="s">
        <x:v>1260</x:v>
      </x:c>
      <x:c r="K212" s="17" t="s">
        <x:v>1172</x:v>
      </x:c>
      <x:c r="L212" s="17" t="s">
        <x:v>111</x:v>
      </x:c>
      <x:c r="M212" s="17" t="s">
        <x:v>1240</x:v>
      </x:c>
      <x:c r="N212" s="16"/>
      <x:c r="O212" s="18">
        <x:v>46249</x:v>
      </x:c>
      <x:c r="P212" s="19" t="s">
        <x:v>34</x:v>
      </x:c>
      <x:c r="Q212" s="17"/>
      <x:c r="R212" s="19" t="str">
        <x:f t="shared" si="3"/>
        <x:v>Discovery Link Only</x:v>
      </x:c>
      <x:c r="S212" s="43" t="str">
        <x:v>Unknown</x:v>
      </x:c>
      <x:c r="T212" s="43" t="str">
        <x:v>Unknown</x:v>
      </x:c>
      <x:c r="U212" s="43" t="str">
        <x:v>Unknown</x:v>
      </x:c>
      <x:c r="V212" s="43" t="str">
        <x:v>Unknown</x:v>
      </x:c>
      <x:c r="W212" s="43" t="str">
        <x:v>Unknown</x:v>
      </x:c>
      <x:c r="X212" s="43" t="str">
        <x:v>Unknown</x:v>
      </x:c>
      <x:c r="Y212" s="43" t="str">
        <x:v>Unknown</x:v>
      </x:c>
      <x:c r="Z212" s="43"/>
    </x:row>
    <x:row r="213" ht="60" customHeight="1">
      <x:c r="A213" s="16" t="s">
        <x:v>1261</x:v>
      </x:c>
      <x:c r="B213" s="16" t="s">
        <x:v>1262</x:v>
      </x:c>
      <x:c r="C213" s="16" t="s">
        <x:v>1167</x:v>
      </x:c>
      <x:c r="D213" s="16" t="s">
        <x:v>1183</x:v>
      </x:c>
      <x:c r="E213" s="16" t="s">
        <x:v>24</x:v>
      </x:c>
      <x:c r="F213" s="16" t="s">
        <x:v>121</x:v>
      </x:c>
      <x:c r="G213" s="16" t="s">
        <x:v>26</x:v>
      </x:c>
      <x:c r="H213" s="17" t="s">
        <x:v>1263</x:v>
      </x:c>
      <x:c r="I213" s="17" t="s">
        <x:v>1264</x:v>
      </x:c>
      <x:c r="J213" s="17" t="s">
        <x:v>1265</x:v>
      </x:c>
      <x:c r="K213" s="17" t="s">
        <x:v>1172</x:v>
      </x:c>
      <x:c r="L213" s="17" t="s">
        <x:v>111</x:v>
      </x:c>
      <x:c r="M213" s="17" t="s">
        <x:v>1240</x:v>
      </x:c>
      <x:c r="N213" s="16"/>
      <x:c r="O213" s="18">
        <x:v>46249</x:v>
      </x:c>
      <x:c r="P213" s="19" t="s">
        <x:v>34</x:v>
      </x:c>
      <x:c r="Q213" s="17"/>
      <x:c r="R213" s="19" t="str">
        <x:f t="shared" si="3"/>
        <x:v>Discovery Link Only</x:v>
      </x:c>
      <x:c r="S213" s="43" t="str">
        <x:v>Unknown</x:v>
      </x:c>
      <x:c r="T213" s="43" t="str">
        <x:v>Unknown</x:v>
      </x:c>
      <x:c r="U213" s="43" t="str">
        <x:v>Unknown</x:v>
      </x:c>
      <x:c r="V213" s="43" t="str">
        <x:v>Unknown</x:v>
      </x:c>
      <x:c r="W213" s="43" t="str">
        <x:v>Unknown</x:v>
      </x:c>
      <x:c r="X213" s="43" t="str">
        <x:v>Unknown</x:v>
      </x:c>
      <x:c r="Y213" s="43" t="str">
        <x:v>Unknown</x:v>
      </x:c>
      <x:c r="Z213" s="43"/>
    </x:row>
    <x:row r="214" ht="60" customHeight="1">
      <x:c r="A214" s="16" t="s">
        <x:v>1266</x:v>
      </x:c>
      <x:c r="B214" s="16" t="s">
        <x:v>1267</x:v>
      </x:c>
      <x:c r="C214" s="16" t="s">
        <x:v>1167</x:v>
      </x:c>
      <x:c r="D214" s="16" t="s">
        <x:v>1268</x:v>
      </x:c>
      <x:c r="E214" s="16" t="s">
        <x:v>106</x:v>
      </x:c>
      <x:c r="F214" s="16" t="s">
        <x:v>107</x:v>
      </x:c>
      <x:c r="G214" s="16" t="s">
        <x:v>46</x:v>
      </x:c>
      <x:c r="H214" s="17" t="s">
        <x:v>1269</x:v>
      </x:c>
      <x:c r="I214" s="17" t="s">
        <x:v>1270</x:v>
      </x:c>
      <x:c r="J214" s="17" t="s">
        <x:v>1271</x:v>
      </x:c>
      <x:c r="K214" s="17" t="s">
        <x:v>1172</x:v>
      </x:c>
      <x:c r="L214" s="17" t="s">
        <x:v>111</x:v>
      </x:c>
      <x:c r="M214" s="17" t="s">
        <x:v>1240</x:v>
      </x:c>
      <x:c r="N214" s="16"/>
      <x:c r="O214" s="18">
        <x:v>46249</x:v>
      </x:c>
      <x:c r="P214" s="19" t="s">
        <x:v>34</x:v>
      </x:c>
      <x:c r="Q214" s="17"/>
      <x:c r="R214" s="19" t="str">
        <x:f t="shared" si="3"/>
        <x:v>Discovery Link Only</x:v>
      </x:c>
      <x:c r="S214" s="43" t="str">
        <x:v>Unknown</x:v>
      </x:c>
      <x:c r="T214" s="43" t="str">
        <x:v>Unknown</x:v>
      </x:c>
      <x:c r="U214" s="43" t="str">
        <x:v>Unknown</x:v>
      </x:c>
      <x:c r="V214" s="43" t="str">
        <x:v>Unknown</x:v>
      </x:c>
      <x:c r="W214" s="43" t="str">
        <x:v>Unknown</x:v>
      </x:c>
      <x:c r="X214" s="43" t="str">
        <x:v>Unknown</x:v>
      </x:c>
      <x:c r="Y214" s="43" t="str">
        <x:v>Unknown</x:v>
      </x:c>
      <x:c r="Z214" s="43"/>
    </x:row>
    <x:row r="215" ht="60" customHeight="1">
      <x:c r="A215" s="16" t="s">
        <x:v>1272</x:v>
      </x:c>
      <x:c r="B215" s="16" t="s">
        <x:v>1273</x:v>
      </x:c>
      <x:c r="C215" s="16" t="s">
        <x:v>1167</x:v>
      </x:c>
      <x:c r="D215" s="16" t="s">
        <x:v>1268</x:v>
      </x:c>
      <x:c r="E215" s="16" t="s">
        <x:v>133</x:v>
      </x:c>
      <x:c r="F215" s="16" t="s">
        <x:v>107</x:v>
      </x:c>
      <x:c r="G215" s="16" t="s">
        <x:v>134</x:v>
      </x:c>
      <x:c r="H215" s="17" t="s">
        <x:v>1274</x:v>
      </x:c>
      <x:c r="I215" s="17" t="s">
        <x:v>1275</x:v>
      </x:c>
      <x:c r="J215" s="17" t="s">
        <x:v>1276</x:v>
      </x:c>
      <x:c r="K215" s="17" t="s">
        <x:v>1172</x:v>
      </x:c>
      <x:c r="L215" s="17" t="s">
        <x:v>111</x:v>
      </x:c>
      <x:c r="M215" s="17" t="s">
        <x:v>1240</x:v>
      </x:c>
      <x:c r="N215" s="16"/>
      <x:c r="O215" s="18">
        <x:v>46249</x:v>
      </x:c>
      <x:c r="P215" s="19" t="s">
        <x:v>34</x:v>
      </x:c>
      <x:c r="Q215" s="17"/>
      <x:c r="R215" s="19" t="str">
        <x:f t="shared" si="3"/>
        <x:v>Discovery Link Only</x:v>
      </x:c>
      <x:c r="S215" s="43" t="str">
        <x:v>Unknown</x:v>
      </x:c>
      <x:c r="T215" s="43" t="str">
        <x:v>Unknown</x:v>
      </x:c>
      <x:c r="U215" s="43" t="str">
        <x:v>Unknown</x:v>
      </x:c>
      <x:c r="V215" s="43" t="str">
        <x:v>Unknown</x:v>
      </x:c>
      <x:c r="W215" s="43" t="str">
        <x:v>Unknown</x:v>
      </x:c>
      <x:c r="X215" s="43" t="str">
        <x:v>Unknown</x:v>
      </x:c>
      <x:c r="Y215" s="43" t="str">
        <x:v>Unknown</x:v>
      </x:c>
      <x:c r="Z215" s="43"/>
    </x:row>
    <x:row r="216" ht="60" customHeight="1">
      <x:c r="A216" s="16" t="s">
        <x:v>1277</x:v>
      </x:c>
      <x:c r="B216" s="16" t="s">
        <x:v>1278</x:v>
      </x:c>
      <x:c r="C216" s="16" t="s">
        <x:v>1167</x:v>
      </x:c>
      <x:c r="D216" s="16" t="s">
        <x:v>1268</x:v>
      </x:c>
      <x:c r="E216" s="16" t="s">
        <x:v>115</x:v>
      </x:c>
      <x:c r="F216" s="16" t="s">
        <x:v>127</x:v>
      </x:c>
      <x:c r="G216" s="16" t="s">
        <x:v>46</x:v>
      </x:c>
      <x:c r="H216" s="17" t="s">
        <x:v>1279</x:v>
      </x:c>
      <x:c r="I216" s="17" t="s">
        <x:v>1280</x:v>
      </x:c>
      <x:c r="J216" s="17" t="s">
        <x:v>1281</x:v>
      </x:c>
      <x:c r="K216" s="17" t="s">
        <x:v>1172</x:v>
      </x:c>
      <x:c r="L216" s="17" t="s">
        <x:v>111</x:v>
      </x:c>
      <x:c r="M216" s="17" t="s">
        <x:v>1240</x:v>
      </x:c>
      <x:c r="N216" s="16"/>
      <x:c r="O216" s="18">
        <x:v>46249</x:v>
      </x:c>
      <x:c r="P216" s="19" t="s">
        <x:v>34</x:v>
      </x:c>
      <x:c r="Q216" s="17"/>
      <x:c r="R216" s="19" t="str">
        <x:f t="shared" si="3"/>
        <x:v>Discovery Link Only</x:v>
      </x:c>
      <x:c r="S216" s="43" t="str">
        <x:v>Unknown</x:v>
      </x:c>
      <x:c r="T216" s="43" t="str">
        <x:v>Unknown</x:v>
      </x:c>
      <x:c r="U216" s="43" t="str">
        <x:v>Unknown</x:v>
      </x:c>
      <x:c r="V216" s="43" t="str">
        <x:v>Unknown</x:v>
      </x:c>
      <x:c r="W216" s="43" t="str">
        <x:v>Unknown</x:v>
      </x:c>
      <x:c r="X216" s="43" t="str">
        <x:v>Unknown</x:v>
      </x:c>
      <x:c r="Y216" s="43" t="str">
        <x:v>Unknown</x:v>
      </x:c>
      <x:c r="Z216" s="43"/>
    </x:row>
    <x:row r="217" ht="60" customHeight="1">
      <x:c r="A217" s="16" t="s">
        <x:v>1282</x:v>
      </x:c>
      <x:c r="B217" s="16" t="s">
        <x:v>1283</x:v>
      </x:c>
      <x:c r="C217" s="16" t="s">
        <x:v>1167</x:v>
      </x:c>
      <x:c r="D217" s="16" t="s">
        <x:v>1210</x:v>
      </x:c>
      <x:c r="E217" s="16" t="s">
        <x:v>133</x:v>
      </x:c>
      <x:c r="F217" s="16" t="s">
        <x:v>107</x:v>
      </x:c>
      <x:c r="G217" s="16" t="s">
        <x:v>134</x:v>
      </x:c>
      <x:c r="H217" s="17" t="s">
        <x:v>1284</x:v>
      </x:c>
      <x:c r="I217" s="17" t="s">
        <x:v>1285</x:v>
      </x:c>
      <x:c r="J217" s="17" t="s">
        <x:v>1286</x:v>
      </x:c>
      <x:c r="K217" s="17" t="s">
        <x:v>1172</x:v>
      </x:c>
      <x:c r="L217" s="17" t="s">
        <x:v>111</x:v>
      </x:c>
      <x:c r="M217" s="17" t="s">
        <x:v>1240</x:v>
      </x:c>
      <x:c r="N217" s="16"/>
      <x:c r="O217" s="18">
        <x:v>46249</x:v>
      </x:c>
      <x:c r="P217" s="19" t="s">
        <x:v>34</x:v>
      </x:c>
      <x:c r="Q217" s="17"/>
      <x:c r="R217" s="19" t="str">
        <x:f t="shared" si="3"/>
        <x:v>Discovery Link Only</x:v>
      </x:c>
      <x:c r="S217" s="43" t="str">
        <x:v>Unknown</x:v>
      </x:c>
      <x:c r="T217" s="43" t="str">
        <x:v>Unknown</x:v>
      </x:c>
      <x:c r="U217" s="43" t="str">
        <x:v>Unknown</x:v>
      </x:c>
      <x:c r="V217" s="43" t="str">
        <x:v>Unknown</x:v>
      </x:c>
      <x:c r="W217" s="43" t="str">
        <x:v>Unknown</x:v>
      </x:c>
      <x:c r="X217" s="43" t="str">
        <x:v>Unknown</x:v>
      </x:c>
      <x:c r="Y217" s="43" t="str">
        <x:v>Unknown</x:v>
      </x:c>
      <x:c r="Z217" s="43"/>
    </x:row>
    <x:row r="218" ht="60" customHeight="1">
      <x:c r="A218" s="16" t="s">
        <x:v>1287</x:v>
      </x:c>
      <x:c r="B218" s="16" t="s">
        <x:v>1288</x:v>
      </x:c>
      <x:c r="C218" s="16" t="s">
        <x:v>1167</x:v>
      </x:c>
      <x:c r="D218" s="16" t="s">
        <x:v>1210</x:v>
      </x:c>
      <x:c r="E218" s="16" t="s">
        <x:v>45</x:v>
      </x:c>
      <x:c r="F218" s="16" t="s">
        <x:v>107</x:v>
      </x:c>
      <x:c r="G218" s="16" t="s">
        <x:v>26</x:v>
      </x:c>
      <x:c r="H218" s="17" t="s">
        <x:v>1289</x:v>
      </x:c>
      <x:c r="I218" s="17" t="s">
        <x:v>1290</x:v>
      </x:c>
      <x:c r="J218" s="17" t="s">
        <x:v>1291</x:v>
      </x:c>
      <x:c r="K218" s="17" t="s">
        <x:v>1172</x:v>
      </x:c>
      <x:c r="L218" s="17" t="s">
        <x:v>111</x:v>
      </x:c>
      <x:c r="M218" s="17" t="s">
        <x:v>1240</x:v>
      </x:c>
      <x:c r="N218" s="16"/>
      <x:c r="O218" s="18">
        <x:v>46249</x:v>
      </x:c>
      <x:c r="P218" s="19" t="s">
        <x:v>34</x:v>
      </x:c>
      <x:c r="Q218" s="17"/>
      <x:c r="R218" s="19" t="str">
        <x:f t="shared" si="3"/>
        <x:v>Discovery Link Only</x:v>
      </x:c>
      <x:c r="S218" s="43" t="str">
        <x:v>Unknown</x:v>
      </x:c>
      <x:c r="T218" s="43" t="str">
        <x:v>Unknown</x:v>
      </x:c>
      <x:c r="U218" s="43" t="str">
        <x:v>Unknown</x:v>
      </x:c>
      <x:c r="V218" s="43" t="str">
        <x:v>Unknown</x:v>
      </x:c>
      <x:c r="W218" s="43" t="str">
        <x:v>Unknown</x:v>
      </x:c>
      <x:c r="X218" s="43" t="str">
        <x:v>Unknown</x:v>
      </x:c>
      <x:c r="Y218" s="43" t="str">
        <x:v>Unknown</x:v>
      </x:c>
      <x:c r="Z218" s="43"/>
    </x:row>
    <x:row r="219" ht="60" customHeight="1">
      <x:c r="A219" s="16" t="s">
        <x:v>1292</x:v>
      </x:c>
      <x:c r="B219" s="16" t="s">
        <x:v>1293</x:v>
      </x:c>
      <x:c r="C219" s="16" t="s">
        <x:v>1167</x:v>
      </x:c>
      <x:c r="D219" s="16" t="s">
        <x:v>1223</x:v>
      </x:c>
      <x:c r="E219" s="16" t="s">
        <x:v>99</x:v>
      </x:c>
      <x:c r="F219" s="16" t="s">
        <x:v>121</x:v>
      </x:c>
      <x:c r="G219" s="16" t="s">
        <x:v>46</x:v>
      </x:c>
      <x:c r="H219" s="17" t="s">
        <x:v>1294</x:v>
      </x:c>
      <x:c r="I219" s="17" t="s">
        <x:v>1295</x:v>
      </x:c>
      <x:c r="J219" s="17" t="s">
        <x:v>1296</x:v>
      </x:c>
      <x:c r="K219" s="17" t="s">
        <x:v>1172</x:v>
      </x:c>
      <x:c r="L219" s="17" t="s">
        <x:v>111</x:v>
      </x:c>
      <x:c r="M219" s="17" t="s">
        <x:v>1240</x:v>
      </x:c>
      <x:c r="N219" s="16"/>
      <x:c r="O219" s="18">
        <x:v>46249</x:v>
      </x:c>
      <x:c r="P219" s="19" t="s">
        <x:v>34</x:v>
      </x:c>
      <x:c r="Q219" s="17"/>
      <x:c r="R219" s="19" t="str">
        <x:f t="shared" si="3"/>
        <x:v>Discovery Link Only</x:v>
      </x:c>
      <x:c r="S219" s="43" t="str">
        <x:v>Unknown</x:v>
      </x:c>
      <x:c r="T219" s="43" t="str">
        <x:v>Unknown</x:v>
      </x:c>
      <x:c r="U219" s="43" t="str">
        <x:v>Unknown</x:v>
      </x:c>
      <x:c r="V219" s="43" t="str">
        <x:v>Unknown</x:v>
      </x:c>
      <x:c r="W219" s="43" t="str">
        <x:v>Unknown</x:v>
      </x:c>
      <x:c r="X219" s="43" t="str">
        <x:v>Unknown</x:v>
      </x:c>
      <x:c r="Y219" s="43" t="str">
        <x:v>Unknown</x:v>
      </x:c>
      <x:c r="Z219" s="43"/>
    </x:row>
    <x:row r="220" ht="60" customHeight="1">
      <x:c r="A220" s="16" t="s">
        <x:v>1297</x:v>
      </x:c>
      <x:c r="B220" s="16" t="s">
        <x:v>1298</x:v>
      </x:c>
      <x:c r="C220" s="16" t="s">
        <x:v>1167</x:v>
      </x:c>
      <x:c r="D220" s="16" t="s">
        <x:v>1299</x:v>
      </x:c>
      <x:c r="E220" s="16" t="s">
        <x:v>133</x:v>
      </x:c>
      <x:c r="F220" s="16" t="s">
        <x:v>121</x:v>
      </x:c>
      <x:c r="G220" s="16" t="s">
        <x:v>134</x:v>
      </x:c>
      <x:c r="H220" s="17" t="s">
        <x:v>1300</x:v>
      </x:c>
      <x:c r="I220" s="17" t="s">
        <x:v>1301</x:v>
      </x:c>
      <x:c r="J220" s="17" t="s">
        <x:v>1302</x:v>
      </x:c>
      <x:c r="K220" s="17" t="s">
        <x:v>1172</x:v>
      </x:c>
      <x:c r="L220" s="17" t="s">
        <x:v>111</x:v>
      </x:c>
      <x:c r="M220" s="17" t="s">
        <x:v>1240</x:v>
      </x:c>
      <x:c r="N220" s="16"/>
      <x:c r="O220" s="18">
        <x:v>46249</x:v>
      </x:c>
      <x:c r="P220" s="19" t="s">
        <x:v>34</x:v>
      </x:c>
      <x:c r="Q220" s="17"/>
      <x:c r="R220" s="19" t="str">
        <x:f t="shared" si="3"/>
        <x:v>Discovery Link Only</x:v>
      </x:c>
      <x:c r="S220" s="43" t="str">
        <x:v>Unknown</x:v>
      </x:c>
      <x:c r="T220" s="43" t="str">
        <x:v>Unknown</x:v>
      </x:c>
      <x:c r="U220" s="43" t="str">
        <x:v>Unknown</x:v>
      </x:c>
      <x:c r="V220" s="43" t="str">
        <x:v>Unknown</x:v>
      </x:c>
      <x:c r="W220" s="43" t="str">
        <x:v>Unknown</x:v>
      </x:c>
      <x:c r="X220" s="43" t="str">
        <x:v>Unknown</x:v>
      </x:c>
      <x:c r="Y220" s="43" t="str">
        <x:v>Unknown</x:v>
      </x:c>
      <x:c r="Z220" s="43"/>
    </x:row>
    <x:row r="221" ht="60" customHeight="1">
      <x:c r="A221" s="16" t="s">
        <x:v>1303</x:v>
      </x:c>
      <x:c r="B221" s="16" t="s">
        <x:v>1304</x:v>
      </x:c>
      <x:c r="C221" s="16" t="s">
        <x:v>1167</x:v>
      </x:c>
      <x:c r="D221" s="16" t="s">
        <x:v>1230</x:v>
      </x:c>
      <x:c r="E221" s="16" t="s">
        <x:v>45</x:v>
      </x:c>
      <x:c r="F221" s="16" t="s">
        <x:v>194</x:v>
      </x:c>
      <x:c r="G221" s="16" t="s">
        <x:v>26</x:v>
      </x:c>
      <x:c r="H221" s="17" t="s">
        <x:v>1305</x:v>
      </x:c>
      <x:c r="I221" s="17" t="s">
        <x:v>1306</x:v>
      </x:c>
      <x:c r="J221" s="17" t="s">
        <x:v>1307</x:v>
      </x:c>
      <x:c r="K221" s="17" t="s">
        <x:v>1172</x:v>
      </x:c>
      <x:c r="L221" s="17" t="s">
        <x:v>111</x:v>
      </x:c>
      <x:c r="M221" s="17" t="s">
        <x:v>1240</x:v>
      </x:c>
      <x:c r="N221" s="16"/>
      <x:c r="O221" s="18">
        <x:v>46249</x:v>
      </x:c>
      <x:c r="P221" s="19" t="s">
        <x:v>34</x:v>
      </x:c>
      <x:c r="Q221" s="17"/>
      <x:c r="R221" s="19" t="str">
        <x:f t="shared" si="3"/>
        <x:v>Discovery Link Only</x:v>
      </x:c>
      <x:c r="S221" s="43" t="str">
        <x:v>Unknown</x:v>
      </x:c>
      <x:c r="T221" s="43" t="str">
        <x:v>Unknown</x:v>
      </x:c>
      <x:c r="U221" s="43" t="str">
        <x:v>Unknown</x:v>
      </x:c>
      <x:c r="V221" s="43" t="str">
        <x:v>Unknown</x:v>
      </x:c>
      <x:c r="W221" s="43" t="str">
        <x:v>Unknown</x:v>
      </x:c>
      <x:c r="X221" s="43" t="str">
        <x:v>Unknown</x:v>
      </x:c>
      <x:c r="Y221" s="43" t="str">
        <x:v>Unknown</x:v>
      </x:c>
      <x:c r="Z221" s="43"/>
    </x:row>
    <x:row r="222" ht="60" customHeight="1">
      <x:c r="A222" s="16" t="s">
        <x:v>1308</x:v>
      </x:c>
      <x:c r="B222" s="16" t="s">
        <x:v>1309</x:v>
      </x:c>
      <x:c r="C222" s="16" t="s">
        <x:v>1167</x:v>
      </x:c>
      <x:c r="D222" s="16" t="s">
        <x:v>1310</x:v>
      </x:c>
      <x:c r="E222" s="16" t="s">
        <x:v>133</x:v>
      </x:c>
      <x:c r="F222" s="16" t="s">
        <x:v>107</x:v>
      </x:c>
      <x:c r="G222" s="16" t="s">
        <x:v>134</x:v>
      </x:c>
      <x:c r="H222" s="17" t="s">
        <x:v>1311</x:v>
      </x:c>
      <x:c r="I222" s="17" t="s">
        <x:v>1312</x:v>
      </x:c>
      <x:c r="J222" s="17" t="s">
        <x:v>1313</x:v>
      </x:c>
      <x:c r="K222" s="17" t="s">
        <x:v>1172</x:v>
      </x:c>
      <x:c r="L222" s="17" t="s">
        <x:v>111</x:v>
      </x:c>
      <x:c r="M222" s="17" t="s">
        <x:v>1240</x:v>
      </x:c>
      <x:c r="N222" s="16"/>
      <x:c r="O222" s="18">
        <x:v>46249</x:v>
      </x:c>
      <x:c r="P222" s="19" t="s">
        <x:v>34</x:v>
      </x:c>
      <x:c r="Q222" s="17"/>
      <x:c r="R222" s="19" t="str">
        <x:f t="shared" si="3"/>
        <x:v>Discovery Link Only</x:v>
      </x:c>
      <x:c r="S222" s="43" t="str">
        <x:v>Unknown</x:v>
      </x:c>
      <x:c r="T222" s="43" t="str">
        <x:v>Unknown</x:v>
      </x:c>
      <x:c r="U222" s="43" t="str">
        <x:v>Unknown</x:v>
      </x:c>
      <x:c r="V222" s="43" t="str">
        <x:v>Unknown</x:v>
      </x:c>
      <x:c r="W222" s="43" t="str">
        <x:v>Unknown</x:v>
      </x:c>
      <x:c r="X222" s="43" t="str">
        <x:v>Unknown</x:v>
      </x:c>
      <x:c r="Y222" s="43" t="str">
        <x:v>Unknown</x:v>
      </x:c>
      <x:c r="Z222" s="43"/>
    </x:row>
    <x:row r="223" ht="60" customHeight="1">
      <x:c r="A223" s="16" t="s">
        <x:v>1314</x:v>
      </x:c>
      <x:c r="B223" s="16" t="s">
        <x:v>1315</x:v>
      </x:c>
      <x:c r="C223" s="16" t="s">
        <x:v>1167</x:v>
      </x:c>
      <x:c r="D223" s="16" t="s">
        <x:v>1203</x:v>
      </x:c>
      <x:c r="E223" s="16" t="s">
        <x:v>45</x:v>
      </x:c>
      <x:c r="F223" s="16" t="s">
        <x:v>194</x:v>
      </x:c>
      <x:c r="G223" s="16" t="s">
        <x:v>26</x:v>
      </x:c>
      <x:c r="H223" s="17" t="s">
        <x:v>1316</x:v>
      </x:c>
      <x:c r="I223" s="17" t="s">
        <x:v>1317</x:v>
      </x:c>
      <x:c r="J223" s="17" t="s">
        <x:v>1318</x:v>
      </x:c>
      <x:c r="K223" s="17" t="s">
        <x:v>1172</x:v>
      </x:c>
      <x:c r="L223" s="17" t="s">
        <x:v>111</x:v>
      </x:c>
      <x:c r="M223" s="17" t="s">
        <x:v>1240</x:v>
      </x:c>
      <x:c r="N223" s="16"/>
      <x:c r="O223" s="18">
        <x:v>46249</x:v>
      </x:c>
      <x:c r="P223" s="19" t="s">
        <x:v>34</x:v>
      </x:c>
      <x:c r="Q223" s="17"/>
      <x:c r="R223" s="19" t="str">
        <x:f t="shared" si="3"/>
        <x:v>Discovery Link Only</x:v>
      </x:c>
      <x:c r="S223" s="43" t="str">
        <x:v>Unknown</x:v>
      </x:c>
      <x:c r="T223" s="43" t="str">
        <x:v>Unknown</x:v>
      </x:c>
      <x:c r="U223" s="43" t="str">
        <x:v>Unknown</x:v>
      </x:c>
      <x:c r="V223" s="43" t="str">
        <x:v>Unknown</x:v>
      </x:c>
      <x:c r="W223" s="43" t="str">
        <x:v>Unknown</x:v>
      </x:c>
      <x:c r="X223" s="43" t="str">
        <x:v>Unknown</x:v>
      </x:c>
      <x:c r="Y223" s="43" t="str">
        <x:v>Unknown</x:v>
      </x:c>
      <x:c r="Z223" s="43"/>
    </x:row>
    <x:row r="224" ht="60" customHeight="1">
      <x:c r="A224" s="16" t="s">
        <x:v>1319</x:v>
      </x:c>
      <x:c r="B224" s="16" t="s">
        <x:v>1320</x:v>
      </x:c>
      <x:c r="C224" s="16" t="s">
        <x:v>1167</x:v>
      </x:c>
      <x:c r="D224" s="16" t="s">
        <x:v>1321</x:v>
      </x:c>
      <x:c r="E224" s="16" t="s">
        <x:v>115</x:v>
      </x:c>
      <x:c r="F224" s="16" t="s">
        <x:v>107</x:v>
      </x:c>
      <x:c r="G224" s="16" t="s">
        <x:v>46</x:v>
      </x:c>
      <x:c r="H224" s="17" t="s">
        <x:v>1322</x:v>
      </x:c>
      <x:c r="I224" s="17" t="s">
        <x:v>1323</x:v>
      </x:c>
      <x:c r="J224" s="17" t="s">
        <x:v>1324</x:v>
      </x:c>
      <x:c r="K224" s="17" t="s">
        <x:v>1172</x:v>
      </x:c>
      <x:c r="L224" s="17" t="s">
        <x:v>111</x:v>
      </x:c>
      <x:c r="M224" s="17" t="s">
        <x:v>1240</x:v>
      </x:c>
      <x:c r="N224" s="16"/>
      <x:c r="O224" s="18">
        <x:v>46249</x:v>
      </x:c>
      <x:c r="P224" s="19" t="s">
        <x:v>34</x:v>
      </x:c>
      <x:c r="Q224" s="17"/>
      <x:c r="R224" s="19" t="str">
        <x:f t="shared" si="3"/>
        <x:v>Discovery Link Only</x:v>
      </x:c>
      <x:c r="S224" s="43" t="str">
        <x:v>Unknown</x:v>
      </x:c>
      <x:c r="T224" s="43" t="str">
        <x:v>Unknown</x:v>
      </x:c>
      <x:c r="U224" s="43" t="str">
        <x:v>Unknown</x:v>
      </x:c>
      <x:c r="V224" s="43" t="str">
        <x:v>Unknown</x:v>
      </x:c>
      <x:c r="W224" s="43" t="str">
        <x:v>Unknown</x:v>
      </x:c>
      <x:c r="X224" s="43" t="str">
        <x:v>Unknown</x:v>
      </x:c>
      <x:c r="Y224" s="43" t="str">
        <x:v>Unknown</x:v>
      </x:c>
      <x:c r="Z224" s="43"/>
    </x:row>
    <x:row r="225" ht="60" customHeight="1">
      <x:c r="A225" s="16" t="s">
        <x:v>1325</x:v>
      </x:c>
      <x:c r="B225" s="16" t="s">
        <x:v>1326</x:v>
      </x:c>
      <x:c r="C225" s="16" t="s">
        <x:v>1167</x:v>
      </x:c>
      <x:c r="D225" s="16" t="s">
        <x:v>1168</x:v>
      </x:c>
      <x:c r="E225" s="16" t="s">
        <x:v>115</x:v>
      </x:c>
      <x:c r="F225" s="16" t="s">
        <x:v>121</x:v>
      </x:c>
      <x:c r="G225" s="16" t="s">
        <x:v>46</x:v>
      </x:c>
      <x:c r="H225" s="17" t="s">
        <x:v>1327</x:v>
      </x:c>
      <x:c r="I225" s="17" t="s">
        <x:v>1328</x:v>
      </x:c>
      <x:c r="J225" s="17" t="s">
        <x:v>1329</x:v>
      </x:c>
      <x:c r="K225" s="17" t="s">
        <x:v>1172</x:v>
      </x:c>
      <x:c r="L225" s="17" t="s">
        <x:v>111</x:v>
      </x:c>
      <x:c r="M225" s="17" t="s">
        <x:v>1240</x:v>
      </x:c>
      <x:c r="N225" s="16"/>
      <x:c r="O225" s="18">
        <x:v>46249</x:v>
      </x:c>
      <x:c r="P225" s="19" t="s">
        <x:v>34</x:v>
      </x:c>
      <x:c r="Q225" s="17"/>
      <x:c r="R225" s="19" t="str">
        <x:f t="shared" si="3"/>
        <x:v>Discovery Link Only</x:v>
      </x:c>
      <x:c r="S225" s="43" t="str">
        <x:v>Unknown</x:v>
      </x:c>
      <x:c r="T225" s="43" t="str">
        <x:v>Unknown</x:v>
      </x:c>
      <x:c r="U225" s="43" t="str">
        <x:v>Unknown</x:v>
      </x:c>
      <x:c r="V225" s="43" t="str">
        <x:v>Unknown</x:v>
      </x:c>
      <x:c r="W225" s="43" t="str">
        <x:v>Unknown</x:v>
      </x:c>
      <x:c r="X225" s="43" t="str">
        <x:v>Unknown</x:v>
      </x:c>
      <x:c r="Y225" s="43" t="str">
        <x:v>Unknown</x:v>
      </x:c>
      <x:c r="Z225" s="43"/>
    </x:row>
    <x:row r="226" ht="60" customHeight="1">
      <x:c r="A226" s="16" t="s">
        <x:v>1330</x:v>
      </x:c>
      <x:c r="B226" s="16" t="s">
        <x:v>1331</x:v>
      </x:c>
      <x:c r="C226" s="16" t="s">
        <x:v>1167</x:v>
      </x:c>
      <x:c r="D226" s="16" t="s">
        <x:v>1332</x:v>
      </x:c>
      <x:c r="E226" s="16" t="s">
        <x:v>133</x:v>
      </x:c>
      <x:c r="F226" s="16" t="s">
        <x:v>107</x:v>
      </x:c>
      <x:c r="G226" s="16" t="s">
        <x:v>134</x:v>
      </x:c>
      <x:c r="H226" s="17" t="s">
        <x:v>1333</x:v>
      </x:c>
      <x:c r="I226" s="17" t="s">
        <x:v>1334</x:v>
      </x:c>
      <x:c r="J226" s="17" t="s">
        <x:v>1335</x:v>
      </x:c>
      <x:c r="K226" s="17" t="s">
        <x:v>1172</x:v>
      </x:c>
      <x:c r="L226" s="17" t="s">
        <x:v>111</x:v>
      </x:c>
      <x:c r="M226" s="17" t="s">
        <x:v>1240</x:v>
      </x:c>
      <x:c r="N226" s="16"/>
      <x:c r="O226" s="18">
        <x:v>46249</x:v>
      </x:c>
      <x:c r="P226" s="19" t="s">
        <x:v>34</x:v>
      </x:c>
      <x:c r="Q226" s="17"/>
      <x:c r="R226" s="19" t="str">
        <x:f t="shared" si="3"/>
        <x:v>Discovery Link Only</x:v>
      </x:c>
      <x:c r="S226" s="43" t="str">
        <x:v>Unknown</x:v>
      </x:c>
      <x:c r="T226" s="43" t="str">
        <x:v>Unknown</x:v>
      </x:c>
      <x:c r="U226" s="43" t="str">
        <x:v>Unknown</x:v>
      </x:c>
      <x:c r="V226" s="43" t="str">
        <x:v>Unknown</x:v>
      </x:c>
      <x:c r="W226" s="43" t="str">
        <x:v>Unknown</x:v>
      </x:c>
      <x:c r="X226" s="43" t="str">
        <x:v>Unknown</x:v>
      </x:c>
      <x:c r="Y226" s="43" t="str">
        <x:v>Unknown</x:v>
      </x:c>
      <x:c r="Z226" s="43"/>
    </x:row>
    <x:row r="227" ht="60" customHeight="1">
      <x:c r="A227" s="16" t="s">
        <x:v>1336</x:v>
      </x:c>
      <x:c r="B227" s="16" t="s">
        <x:v>1337</x:v>
      </x:c>
      <x:c r="C227" s="16" t="s">
        <x:v>1338</x:v>
      </x:c>
      <x:c r="D227" s="16" t="s">
        <x:v>1339</x:v>
      </x:c>
      <x:c r="E227" s="16" t="s">
        <x:v>45</x:v>
      </x:c>
      <x:c r="F227" s="16" t="s">
        <x:v>25</x:v>
      </x:c>
      <x:c r="G227" s="16" t="s">
        <x:v>46</x:v>
      </x:c>
      <x:c r="H227" s="17" t="s">
        <x:v>1340</x:v>
      </x:c>
      <x:c r="I227" s="17" t="s">
        <x:v>1341</x:v>
      </x:c>
      <x:c r="J227" s="17" t="s">
        <x:v>1342</x:v>
      </x:c>
      <x:c r="K227" s="17" t="s">
        <x:v>1343</x:v>
      </x:c>
      <x:c r="L227" s="17" t="s">
        <x:v>58</x:v>
      </x:c>
      <x:c r="M227" s="17" t="s">
        <x:v>256</x:v>
      </x:c>
      <x:c r="N227" s="16" t="s">
        <x:v>1344</x:v>
      </x:c>
      <x:c r="O227" s="18">
        <x:v>46249</x:v>
      </x:c>
      <x:c r="P227" s="19" t="s">
        <x:v>34</x:v>
      </x:c>
      <x:c r="Q227" s="17"/>
      <x:c r="R227" s="19" t="str">
        <x:f t="shared" si="3"/>
        <x:v>Source Link Present</x:v>
      </x:c>
      <x:c r="S227" s="43" t="str">
        <x:v>Unknown</x:v>
      </x:c>
      <x:c r="T227" s="43" t="str">
        <x:v>Unknown</x:v>
      </x:c>
      <x:c r="U227" s="43" t="str">
        <x:v>Unknown</x:v>
      </x:c>
      <x:c r="V227" s="43" t="str">
        <x:v>Unknown</x:v>
      </x:c>
      <x:c r="W227" s="43" t="str">
        <x:v>Unknown</x:v>
      </x:c>
      <x:c r="X227" s="43" t="str">
        <x:v>Unknown</x:v>
      </x:c>
      <x:c r="Y227" s="43" t="str">
        <x:v>Unknown</x:v>
      </x:c>
      <x:c r="Z227" s="43"/>
    </x:row>
    <x:row r="228" ht="60" customHeight="1">
      <x:c r="A228" s="16" t="s">
        <x:v>1345</x:v>
      </x:c>
      <x:c r="B228" s="16" t="s">
        <x:v>1346</x:v>
      </x:c>
      <x:c r="C228" s="16" t="s">
        <x:v>1338</x:v>
      </x:c>
      <x:c r="D228" s="16" t="s">
        <x:v>1347</x:v>
      </x:c>
      <x:c r="E228" s="16" t="s">
        <x:v>45</x:v>
      </x:c>
      <x:c r="F228" s="16" t="s">
        <x:v>25</x:v>
      </x:c>
      <x:c r="G228" s="16" t="s">
        <x:v>26</x:v>
      </x:c>
      <x:c r="H228" s="17" t="s">
        <x:v>1348</x:v>
      </x:c>
      <x:c r="I228" s="17" t="s">
        <x:v>1349</x:v>
      </x:c>
      <x:c r="J228" s="17" t="s">
        <x:v>1350</x:v>
      </x:c>
      <x:c r="K228" s="17" t="s">
        <x:v>1343</x:v>
      </x:c>
      <x:c r="L228" s="17" t="s">
        <x:v>58</x:v>
      </x:c>
      <x:c r="M228" s="17" t="s">
        <x:v>256</x:v>
      </x:c>
      <x:c r="N228" s="16" t="s">
        <x:v>1351</x:v>
      </x:c>
      <x:c r="O228" s="18">
        <x:v>46249</x:v>
      </x:c>
      <x:c r="P228" s="19" t="s">
        <x:v>34</x:v>
      </x:c>
      <x:c r="Q228" s="17"/>
      <x:c r="R228" s="19" t="str">
        <x:f t="shared" si="3"/>
        <x:v>Source Link Present</x:v>
      </x:c>
      <x:c r="S228" s="43" t="str">
        <x:v>Unknown</x:v>
      </x:c>
      <x:c r="T228" s="43" t="str">
        <x:v>Unknown</x:v>
      </x:c>
      <x:c r="U228" s="43" t="str">
        <x:v>Unknown</x:v>
      </x:c>
      <x:c r="V228" s="43" t="str">
        <x:v>Unknown</x:v>
      </x:c>
      <x:c r="W228" s="43" t="str">
        <x:v>Unknown</x:v>
      </x:c>
      <x:c r="X228" s="43" t="str">
        <x:v>Unknown</x:v>
      </x:c>
      <x:c r="Y228" s="43" t="str">
        <x:v>Unknown</x:v>
      </x:c>
      <x:c r="Z228" s="43"/>
    </x:row>
    <x:row r="229" ht="60" customHeight="1">
      <x:c r="A229" s="16" t="s">
        <x:v>1352</x:v>
      </x:c>
      <x:c r="B229" s="16" t="s">
        <x:v>1353</x:v>
      </x:c>
      <x:c r="C229" s="16" t="s">
        <x:v>1338</x:v>
      </x:c>
      <x:c r="D229" s="16" t="s">
        <x:v>1354</x:v>
      </x:c>
      <x:c r="E229" s="16" t="s">
        <x:v>45</x:v>
      </x:c>
      <x:c r="F229" s="16" t="s">
        <x:v>25</x:v>
      </x:c>
      <x:c r="G229" s="16" t="s">
        <x:v>26</x:v>
      </x:c>
      <x:c r="H229" s="17" t="s">
        <x:v>1355</x:v>
      </x:c>
      <x:c r="I229" s="17" t="s">
        <x:v>1356</x:v>
      </x:c>
      <x:c r="J229" s="17" t="s">
        <x:v>1357</x:v>
      </x:c>
      <x:c r="K229" s="17" t="s">
        <x:v>1343</x:v>
      </x:c>
      <x:c r="L229" s="17" t="s">
        <x:v>58</x:v>
      </x:c>
      <x:c r="M229" s="17" t="s">
        <x:v>256</x:v>
      </x:c>
      <x:c r="N229" s="16" t="s">
        <x:v>1358</x:v>
      </x:c>
      <x:c r="O229" s="18">
        <x:v>46249</x:v>
      </x:c>
      <x:c r="P229" s="19" t="s">
        <x:v>34</x:v>
      </x:c>
      <x:c r="Q229" s="17"/>
      <x:c r="R229" s="19" t="str">
        <x:f t="shared" si="3"/>
        <x:v>Discovery Link Only</x:v>
      </x:c>
      <x:c r="S229" s="43" t="str">
        <x:v>Unknown</x:v>
      </x:c>
      <x:c r="T229" s="43" t="str">
        <x:v>Unknown</x:v>
      </x:c>
      <x:c r="U229" s="43" t="str">
        <x:v>Unknown</x:v>
      </x:c>
      <x:c r="V229" s="43" t="str">
        <x:v>Unknown</x:v>
      </x:c>
      <x:c r="W229" s="43" t="str">
        <x:v>Unknown</x:v>
      </x:c>
      <x:c r="X229" s="43" t="str">
        <x:v>Unknown</x:v>
      </x:c>
      <x:c r="Y229" s="43" t="str">
        <x:v>Unknown</x:v>
      </x:c>
      <x:c r="Z229" s="43"/>
    </x:row>
    <x:row r="230" ht="60" customHeight="1">
      <x:c r="A230" s="16" t="s">
        <x:v>1359</x:v>
      </x:c>
      <x:c r="B230" s="16" t="s">
        <x:v>1360</x:v>
      </x:c>
      <x:c r="C230" s="16" t="s">
        <x:v>1338</x:v>
      </x:c>
      <x:c r="D230" s="16" t="s">
        <x:v>1354</x:v>
      </x:c>
      <x:c r="E230" s="16" t="s">
        <x:v>251</x:v>
      </x:c>
      <x:c r="F230" s="16" t="s">
        <x:v>25</x:v>
      </x:c>
      <x:c r="G230" s="16" t="s">
        <x:v>26</x:v>
      </x:c>
      <x:c r="H230" s="17" t="s">
        <x:v>1361</x:v>
      </x:c>
      <x:c r="I230" s="17" t="s">
        <x:v>1362</x:v>
      </x:c>
      <x:c r="J230" s="17" t="s">
        <x:v>1363</x:v>
      </x:c>
      <x:c r="K230" s="17" t="s">
        <x:v>1343</x:v>
      </x:c>
      <x:c r="L230" s="17" t="s">
        <x:v>58</x:v>
      </x:c>
      <x:c r="M230" s="17" t="s">
        <x:v>256</x:v>
      </x:c>
      <x:c r="N230" s="16" t="s">
        <x:v>1364</x:v>
      </x:c>
      <x:c r="O230" s="18">
        <x:v>46249</x:v>
      </x:c>
      <x:c r="P230" s="19" t="s">
        <x:v>34</x:v>
      </x:c>
      <x:c r="Q230" s="17"/>
      <x:c r="R230" s="19" t="str">
        <x:f t="shared" si="3"/>
        <x:v>Discovery Link Only</x:v>
      </x:c>
      <x:c r="S230" s="43" t="str">
        <x:v>Unknown</x:v>
      </x:c>
      <x:c r="T230" s="43" t="str">
        <x:v>Unknown</x:v>
      </x:c>
      <x:c r="U230" s="43" t="str">
        <x:v>Unknown</x:v>
      </x:c>
      <x:c r="V230" s="43" t="str">
        <x:v>Unknown</x:v>
      </x:c>
      <x:c r="W230" s="43" t="str">
        <x:v>Unknown</x:v>
      </x:c>
      <x:c r="X230" s="43" t="str">
        <x:v>Unknown</x:v>
      </x:c>
      <x:c r="Y230" s="43" t="str">
        <x:v>Unknown</x:v>
      </x:c>
      <x:c r="Z230" s="43"/>
    </x:row>
    <x:row r="231" ht="60" customHeight="1">
      <x:c r="A231" s="16" t="s">
        <x:v>1365</x:v>
      </x:c>
      <x:c r="B231" s="16" t="s">
        <x:v>1366</x:v>
      </x:c>
      <x:c r="C231" s="16" t="s">
        <x:v>1338</x:v>
      </x:c>
      <x:c r="D231" s="16" t="s">
        <x:v>1367</x:v>
      </x:c>
      <x:c r="E231" s="16" t="s">
        <x:v>151</x:v>
      </x:c>
      <x:c r="F231" s="16" t="s">
        <x:v>121</x:v>
      </x:c>
      <x:c r="G231" s="16" t="s">
        <x:v>46</x:v>
      </x:c>
      <x:c r="H231" s="17" t="s">
        <x:v>1368</x:v>
      </x:c>
      <x:c r="I231" s="17" t="s">
        <x:v>1369</x:v>
      </x:c>
      <x:c r="J231" s="17" t="s">
        <x:v>1370</x:v>
      </x:c>
      <x:c r="K231" s="17" t="s">
        <x:v>1343</x:v>
      </x:c>
      <x:c r="L231" s="17" t="s">
        <x:v>58</x:v>
      </x:c>
      <x:c r="M231" s="17" t="s">
        <x:v>256</x:v>
      </x:c>
      <x:c r="N231" s="16" t="s">
        <x:v>1371</x:v>
      </x:c>
      <x:c r="O231" s="18">
        <x:v>46249</x:v>
      </x:c>
      <x:c r="P231" s="19" t="s">
        <x:v>34</x:v>
      </x:c>
      <x:c r="Q231" s="17"/>
      <x:c r="R231" s="19" t="str">
        <x:f t="shared" si="3"/>
        <x:v>Discovery Link Only</x:v>
      </x:c>
      <x:c r="S231" s="43" t="str">
        <x:v>Unknown</x:v>
      </x:c>
      <x:c r="T231" s="43" t="str">
        <x:v>Unknown</x:v>
      </x:c>
      <x:c r="U231" s="43" t="str">
        <x:v>Unknown</x:v>
      </x:c>
      <x:c r="V231" s="43" t="str">
        <x:v>Unknown</x:v>
      </x:c>
      <x:c r="W231" s="43" t="str">
        <x:v>Unknown</x:v>
      </x:c>
      <x:c r="X231" s="43" t="str">
        <x:v>Unknown</x:v>
      </x:c>
      <x:c r="Y231" s="43" t="str">
        <x:v>Unknown</x:v>
      </x:c>
      <x:c r="Z231" s="43"/>
    </x:row>
    <x:row r="232" ht="60" customHeight="1">
      <x:c r="A232" s="16" t="s">
        <x:v>1372</x:v>
      </x:c>
      <x:c r="B232" s="16" t="s">
        <x:v>1373</x:v>
      </x:c>
      <x:c r="C232" s="16" t="s">
        <x:v>1338</x:v>
      </x:c>
      <x:c r="D232" s="16" t="s">
        <x:v>1374</x:v>
      </x:c>
      <x:c r="E232" s="16" t="s">
        <x:v>133</x:v>
      </x:c>
      <x:c r="F232" s="16" t="s">
        <x:v>25</x:v>
      </x:c>
      <x:c r="G232" s="16" t="s">
        <x:v>46</x:v>
      </x:c>
      <x:c r="H232" s="17" t="s">
        <x:v>1375</x:v>
      </x:c>
      <x:c r="I232" s="17" t="s">
        <x:v>1376</x:v>
      </x:c>
      <x:c r="J232" s="17" t="s">
        <x:v>1377</x:v>
      </x:c>
      <x:c r="K232" s="17" t="s">
        <x:v>1343</x:v>
      </x:c>
      <x:c r="L232" s="17" t="s">
        <x:v>58</x:v>
      </x:c>
      <x:c r="M232" s="17" t="s">
        <x:v>256</x:v>
      </x:c>
      <x:c r="N232" s="16" t="s">
        <x:v>1378</x:v>
      </x:c>
      <x:c r="O232" s="18">
        <x:v>46249</x:v>
      </x:c>
      <x:c r="P232" s="19" t="s">
        <x:v>34</x:v>
      </x:c>
      <x:c r="Q232" s="17"/>
      <x:c r="R232" s="19" t="str">
        <x:f t="shared" si="3"/>
        <x:v>Discovery Link Only</x:v>
      </x:c>
      <x:c r="S232" s="43" t="str">
        <x:v>Unknown</x:v>
      </x:c>
      <x:c r="T232" s="43" t="str">
        <x:v>Unknown</x:v>
      </x:c>
      <x:c r="U232" s="43" t="str">
        <x:v>Unknown</x:v>
      </x:c>
      <x:c r="V232" s="43" t="str">
        <x:v>Unknown</x:v>
      </x:c>
      <x:c r="W232" s="43" t="str">
        <x:v>Unknown</x:v>
      </x:c>
      <x:c r="X232" s="43" t="str">
        <x:v>Unknown</x:v>
      </x:c>
      <x:c r="Y232" s="43" t="str">
        <x:v>Unknown</x:v>
      </x:c>
      <x:c r="Z232" s="43"/>
    </x:row>
    <x:row r="233" ht="60" customHeight="1">
      <x:c r="A233" s="16" t="s">
        <x:v>1379</x:v>
      </x:c>
      <x:c r="B233" s="16" t="s">
        <x:v>1380</x:v>
      </x:c>
      <x:c r="C233" s="16" t="s">
        <x:v>1338</x:v>
      </x:c>
      <x:c r="D233" s="16" t="s">
        <x:v>1381</x:v>
      </x:c>
      <x:c r="E233" s="16" t="s">
        <x:v>24</x:v>
      </x:c>
      <x:c r="F233" s="16" t="s">
        <x:v>25</x:v>
      </x:c>
      <x:c r="G233" s="16" t="s">
        <x:v>26</x:v>
      </x:c>
      <x:c r="H233" s="17" t="s">
        <x:v>1382</x:v>
      </x:c>
      <x:c r="I233" s="17" t="s">
        <x:v>1383</x:v>
      </x:c>
      <x:c r="J233" s="17" t="s">
        <x:v>1384</x:v>
      </x:c>
      <x:c r="K233" s="17" t="s">
        <x:v>1343</x:v>
      </x:c>
      <x:c r="L233" s="17" t="s">
        <x:v>58</x:v>
      </x:c>
      <x:c r="M233" s="17" t="s">
        <x:v>256</x:v>
      </x:c>
      <x:c r="N233" s="16" t="s">
        <x:v>1385</x:v>
      </x:c>
      <x:c r="O233" s="18">
        <x:v>46249</x:v>
      </x:c>
      <x:c r="P233" s="19" t="s">
        <x:v>34</x:v>
      </x:c>
      <x:c r="Q233" s="17"/>
      <x:c r="R233" s="19" t="str">
        <x:f t="shared" si="3"/>
        <x:v>Discovery Link Only</x:v>
      </x:c>
      <x:c r="S233" s="43" t="str">
        <x:v>Unknown</x:v>
      </x:c>
      <x:c r="T233" s="43" t="str">
        <x:v>Unknown</x:v>
      </x:c>
      <x:c r="U233" s="43" t="str">
        <x:v>Unknown</x:v>
      </x:c>
      <x:c r="V233" s="43" t="str">
        <x:v>Unknown</x:v>
      </x:c>
      <x:c r="W233" s="43" t="str">
        <x:v>Unknown</x:v>
      </x:c>
      <x:c r="X233" s="43" t="str">
        <x:v>Unknown</x:v>
      </x:c>
      <x:c r="Y233" s="43" t="str">
        <x:v>Unknown</x:v>
      </x:c>
      <x:c r="Z233" s="43"/>
    </x:row>
    <x:row r="234" ht="60" customHeight="1">
      <x:c r="A234" s="16" t="s">
        <x:v>1386</x:v>
      </x:c>
      <x:c r="B234" s="16" t="s">
        <x:v>1387</x:v>
      </x:c>
      <x:c r="C234" s="16" t="s">
        <x:v>1338</x:v>
      </x:c>
      <x:c r="D234" s="16" t="s">
        <x:v>1388</x:v>
      </x:c>
      <x:c r="E234" s="16" t="s">
        <x:v>37</x:v>
      </x:c>
      <x:c r="F234" s="16" t="s">
        <x:v>25</x:v>
      </x:c>
      <x:c r="G234" s="16" t="s">
        <x:v>46</x:v>
      </x:c>
      <x:c r="H234" s="17" t="s">
        <x:v>1389</x:v>
      </x:c>
      <x:c r="I234" s="17" t="s">
        <x:v>1390</x:v>
      </x:c>
      <x:c r="J234" s="17" t="s">
        <x:v>1391</x:v>
      </x:c>
      <x:c r="K234" s="17" t="s">
        <x:v>1343</x:v>
      </x:c>
      <x:c r="L234" s="17" t="s">
        <x:v>58</x:v>
      </x:c>
      <x:c r="M234" s="17" t="s">
        <x:v>256</x:v>
      </x:c>
      <x:c r="N234" s="16" t="s">
        <x:v>1392</x:v>
      </x:c>
      <x:c r="O234" s="18">
        <x:v>46249</x:v>
      </x:c>
      <x:c r="P234" s="19" t="s">
        <x:v>34</x:v>
      </x:c>
      <x:c r="Q234" s="17"/>
      <x:c r="R234" s="19" t="str">
        <x:f t="shared" si="3"/>
        <x:v>Discovery Link Only</x:v>
      </x:c>
      <x:c r="S234" s="43" t="str">
        <x:v>Unknown</x:v>
      </x:c>
      <x:c r="T234" s="43" t="str">
        <x:v>Unknown</x:v>
      </x:c>
      <x:c r="U234" s="43" t="str">
        <x:v>Unknown</x:v>
      </x:c>
      <x:c r="V234" s="43" t="str">
        <x:v>Unknown</x:v>
      </x:c>
      <x:c r="W234" s="43" t="str">
        <x:v>Unknown</x:v>
      </x:c>
      <x:c r="X234" s="43" t="str">
        <x:v>Unknown</x:v>
      </x:c>
      <x:c r="Y234" s="43" t="str">
        <x:v>Unknown</x:v>
      </x:c>
      <x:c r="Z234" s="43"/>
    </x:row>
    <x:row r="235" ht="60" customHeight="1">
      <x:c r="A235" s="16" t="s">
        <x:v>1393</x:v>
      </x:c>
      <x:c r="B235" s="16" t="s">
        <x:v>1394</x:v>
      </x:c>
      <x:c r="C235" s="16" t="s">
        <x:v>1338</x:v>
      </x:c>
      <x:c r="D235" s="16" t="s">
        <x:v>1374</x:v>
      </x:c>
      <x:c r="E235" s="16" t="s">
        <x:v>106</x:v>
      </x:c>
      <x:c r="F235" s="16" t="s">
        <x:v>25</x:v>
      </x:c>
      <x:c r="G235" s="16" t="s">
        <x:v>46</x:v>
      </x:c>
      <x:c r="H235" s="17" t="s">
        <x:v>1395</x:v>
      </x:c>
      <x:c r="I235" s="17" t="s">
        <x:v>1396</x:v>
      </x:c>
      <x:c r="J235" s="17" t="s">
        <x:v>1397</x:v>
      </x:c>
      <x:c r="K235" s="17" t="s">
        <x:v>1343</x:v>
      </x:c>
      <x:c r="L235" s="17" t="s">
        <x:v>58</x:v>
      </x:c>
      <x:c r="M235" s="17" t="s">
        <x:v>256</x:v>
      </x:c>
      <x:c r="N235" s="16" t="s">
        <x:v>1398</x:v>
      </x:c>
      <x:c r="O235" s="18">
        <x:v>46249</x:v>
      </x:c>
      <x:c r="P235" s="19" t="s">
        <x:v>34</x:v>
      </x:c>
      <x:c r="Q235" s="17"/>
      <x:c r="R235" s="19" t="str">
        <x:f t="shared" si="3"/>
        <x:v>Discovery Link Only</x:v>
      </x:c>
      <x:c r="S235" s="43" t="str">
        <x:v>Unknown</x:v>
      </x:c>
      <x:c r="T235" s="43" t="str">
        <x:v>Unknown</x:v>
      </x:c>
      <x:c r="U235" s="43" t="str">
        <x:v>Unknown</x:v>
      </x:c>
      <x:c r="V235" s="43" t="str">
        <x:v>Unknown</x:v>
      </x:c>
      <x:c r="W235" s="43" t="str">
        <x:v>Unknown</x:v>
      </x:c>
      <x:c r="X235" s="43" t="str">
        <x:v>Unknown</x:v>
      </x:c>
      <x:c r="Y235" s="43" t="str">
        <x:v>Unknown</x:v>
      </x:c>
      <x:c r="Z235" s="43"/>
    </x:row>
    <x:row r="236" ht="60" customHeight="1">
      <x:c r="A236" s="16" t="s">
        <x:v>1399</x:v>
      </x:c>
      <x:c r="B236" s="16" t="s">
        <x:v>1400</x:v>
      </x:c>
      <x:c r="C236" s="16" t="s">
        <x:v>1338</x:v>
      </x:c>
      <x:c r="D236" s="16" t="s">
        <x:v>1388</x:v>
      </x:c>
      <x:c r="E236" s="16" t="s">
        <x:v>45</x:v>
      </x:c>
      <x:c r="F236" s="16" t="s">
        <x:v>25</x:v>
      </x:c>
      <x:c r="G236" s="16" t="s">
        <x:v>26</x:v>
      </x:c>
      <x:c r="H236" s="17" t="s">
        <x:v>1401</x:v>
      </x:c>
      <x:c r="I236" s="17" t="s">
        <x:v>1402</x:v>
      </x:c>
      <x:c r="J236" s="17" t="s">
        <x:v>1403</x:v>
      </x:c>
      <x:c r="K236" s="17" t="s">
        <x:v>1343</x:v>
      </x:c>
      <x:c r="L236" s="17" t="s">
        <x:v>58</x:v>
      </x:c>
      <x:c r="M236" s="17" t="s">
        <x:v>256</x:v>
      </x:c>
      <x:c r="N236" s="16" t="s">
        <x:v>1404</x:v>
      </x:c>
      <x:c r="O236" s="18">
        <x:v>46249</x:v>
      </x:c>
      <x:c r="P236" s="19" t="s">
        <x:v>34</x:v>
      </x:c>
      <x:c r="Q236" s="17"/>
      <x:c r="R236" s="19" t="str">
        <x:f t="shared" si="3"/>
        <x:v>Discovery Link Only</x:v>
      </x:c>
      <x:c r="S236" s="43" t="str">
        <x:v>Unknown</x:v>
      </x:c>
      <x:c r="T236" s="43" t="str">
        <x:v>Unknown</x:v>
      </x:c>
      <x:c r="U236" s="43" t="str">
        <x:v>Unknown</x:v>
      </x:c>
      <x:c r="V236" s="43" t="str">
        <x:v>Unknown</x:v>
      </x:c>
      <x:c r="W236" s="43" t="str">
        <x:v>Unknown</x:v>
      </x:c>
      <x:c r="X236" s="43" t="str">
        <x:v>Unknown</x:v>
      </x:c>
      <x:c r="Y236" s="43" t="str">
        <x:v>Unknown</x:v>
      </x:c>
      <x:c r="Z236" s="43"/>
    </x:row>
    <x:row r="237" ht="60" customHeight="1">
      <x:c r="A237" s="16" t="s">
        <x:v>1405</x:v>
      </x:c>
      <x:c r="B237" s="16" t="s">
        <x:v>1353</x:v>
      </x:c>
      <x:c r="C237" s="16" t="s">
        <x:v>1338</x:v>
      </x:c>
      <x:c r="D237" s="16" t="s">
        <x:v>1354</x:v>
      </x:c>
      <x:c r="E237" s="16" t="s">
        <x:v>45</x:v>
      </x:c>
      <x:c r="F237" s="16" t="s">
        <x:v>107</x:v>
      </x:c>
      <x:c r="G237" s="16" t="s">
        <x:v>26</x:v>
      </x:c>
      <x:c r="H237" s="17" t="s">
        <x:v>1406</x:v>
      </x:c>
      <x:c r="I237" s="17" t="s">
        <x:v>1407</x:v>
      </x:c>
      <x:c r="J237" s="17" t="s">
        <x:v>1408</x:v>
      </x:c>
      <x:c r="K237" s="17" t="s">
        <x:v>1343</x:v>
      </x:c>
      <x:c r="L237" s="17" t="s">
        <x:v>111</x:v>
      </x:c>
      <x:c r="M237" s="17" t="s">
        <x:v>1409</x:v>
      </x:c>
      <x:c r="N237" s="16"/>
      <x:c r="O237" s="18">
        <x:v>46249</x:v>
      </x:c>
      <x:c r="P237" s="19" t="s">
        <x:v>1410</x:v>
      </x:c>
      <x:c r="Q237" s="17" t="s">
        <x:v>1411</x:v>
      </x:c>
      <x:c r="R237" s="19" t="str">
        <x:f t="shared" si="3"/>
        <x:v>Discovery Link Only</x:v>
      </x:c>
      <x:c r="S237" s="43" t="str">
        <x:v>Unknown</x:v>
      </x:c>
      <x:c r="T237" s="43" t="str">
        <x:v>Unknown</x:v>
      </x:c>
      <x:c r="U237" s="43" t="str">
        <x:v>Unknown</x:v>
      </x:c>
      <x:c r="V237" s="43" t="str">
        <x:v>Unknown</x:v>
      </x:c>
      <x:c r="W237" s="43" t="str">
        <x:v>Unknown</x:v>
      </x:c>
      <x:c r="X237" s="43" t="str">
        <x:v>Unknown</x:v>
      </x:c>
      <x:c r="Y237" s="43" t="str">
        <x:v>Unknown</x:v>
      </x:c>
      <x:c r="Z237" s="43"/>
    </x:row>
    <x:row r="238" ht="60" customHeight="1">
      <x:c r="A238" s="16" t="s">
        <x:v>1412</x:v>
      </x:c>
      <x:c r="B238" s="16" t="s">
        <x:v>1413</x:v>
      </x:c>
      <x:c r="C238" s="16" t="s">
        <x:v>1338</x:v>
      </x:c>
      <x:c r="D238" s="16" t="s">
        <x:v>1347</x:v>
      </x:c>
      <x:c r="E238" s="16" t="s">
        <x:v>45</x:v>
      </x:c>
      <x:c r="F238" s="16" t="s">
        <x:v>121</x:v>
      </x:c>
      <x:c r="G238" s="16" t="s">
        <x:v>26</x:v>
      </x:c>
      <x:c r="H238" s="17" t="s">
        <x:v>1414</x:v>
      </x:c>
      <x:c r="I238" s="17" t="s">
        <x:v>1415</x:v>
      </x:c>
      <x:c r="J238" s="17" t="s">
        <x:v>1416</x:v>
      </x:c>
      <x:c r="K238" s="17" t="s">
        <x:v>1343</x:v>
      </x:c>
      <x:c r="L238" s="17" t="s">
        <x:v>111</x:v>
      </x:c>
      <x:c r="M238" s="17" t="s">
        <x:v>1409</x:v>
      </x:c>
      <x:c r="N238" s="16"/>
      <x:c r="O238" s="18">
        <x:v>46249</x:v>
      </x:c>
      <x:c r="P238" s="19" t="s">
        <x:v>34</x:v>
      </x:c>
      <x:c r="Q238" s="17"/>
      <x:c r="R238" s="19" t="str">
        <x:f t="shared" si="3"/>
        <x:v>Discovery Link Only</x:v>
      </x:c>
      <x:c r="S238" s="43" t="str">
        <x:v>Unknown</x:v>
      </x:c>
      <x:c r="T238" s="43" t="str">
        <x:v>Unknown</x:v>
      </x:c>
      <x:c r="U238" s="43" t="str">
        <x:v>Unknown</x:v>
      </x:c>
      <x:c r="V238" s="43" t="str">
        <x:v>Unknown</x:v>
      </x:c>
      <x:c r="W238" s="43" t="str">
        <x:v>Unknown</x:v>
      </x:c>
      <x:c r="X238" s="43" t="str">
        <x:v>Unknown</x:v>
      </x:c>
      <x:c r="Y238" s="43" t="str">
        <x:v>Unknown</x:v>
      </x:c>
      <x:c r="Z238" s="43"/>
    </x:row>
    <x:row r="239" ht="60" customHeight="1">
      <x:c r="A239" s="16" t="s">
        <x:v>1417</x:v>
      </x:c>
      <x:c r="B239" s="16" t="s">
        <x:v>1418</x:v>
      </x:c>
      <x:c r="C239" s="16" t="s">
        <x:v>1338</x:v>
      </x:c>
      <x:c r="D239" s="16" t="s">
        <x:v>1374</x:v>
      </x:c>
      <x:c r="E239" s="16" t="s">
        <x:v>140</x:v>
      </x:c>
      <x:c r="F239" s="16" t="s">
        <x:v>121</x:v>
      </x:c>
      <x:c r="G239" s="16" t="s">
        <x:v>46</x:v>
      </x:c>
      <x:c r="H239" s="17" t="s">
        <x:v>1419</x:v>
      </x:c>
      <x:c r="I239" s="17" t="s">
        <x:v>1420</x:v>
      </x:c>
      <x:c r="J239" s="17" t="s">
        <x:v>1421</x:v>
      </x:c>
      <x:c r="K239" s="17" t="s">
        <x:v>1343</x:v>
      </x:c>
      <x:c r="L239" s="17" t="s">
        <x:v>111</x:v>
      </x:c>
      <x:c r="M239" s="17" t="s">
        <x:v>1409</x:v>
      </x:c>
      <x:c r="N239" s="16"/>
      <x:c r="O239" s="18">
        <x:v>46249</x:v>
      </x:c>
      <x:c r="P239" s="19" t="s">
        <x:v>34</x:v>
      </x:c>
      <x:c r="Q239" s="17"/>
      <x:c r="R239" s="19" t="str">
        <x:f t="shared" si="3"/>
        <x:v>Discovery Link Only</x:v>
      </x:c>
      <x:c r="S239" s="43" t="str">
        <x:v>Unknown</x:v>
      </x:c>
      <x:c r="T239" s="43" t="str">
        <x:v>Unknown</x:v>
      </x:c>
      <x:c r="U239" s="43" t="str">
        <x:v>Unknown</x:v>
      </x:c>
      <x:c r="V239" s="43" t="str">
        <x:v>Unknown</x:v>
      </x:c>
      <x:c r="W239" s="43" t="str">
        <x:v>Unknown</x:v>
      </x:c>
      <x:c r="X239" s="43" t="str">
        <x:v>Unknown</x:v>
      </x:c>
      <x:c r="Y239" s="43" t="str">
        <x:v>Unknown</x:v>
      </x:c>
      <x:c r="Z239" s="43"/>
    </x:row>
    <x:row r="240" ht="60" customHeight="1">
      <x:c r="A240" s="16" t="s">
        <x:v>1422</x:v>
      </x:c>
      <x:c r="B240" s="16" t="s">
        <x:v>1423</x:v>
      </x:c>
      <x:c r="C240" s="16" t="s">
        <x:v>1338</x:v>
      </x:c>
      <x:c r="D240" s="16" t="s">
        <x:v>1424</x:v>
      </x:c>
      <x:c r="E240" s="16" t="s">
        <x:v>133</x:v>
      </x:c>
      <x:c r="F240" s="16" t="s">
        <x:v>121</x:v>
      </x:c>
      <x:c r="G240" s="16" t="s">
        <x:v>134</x:v>
      </x:c>
      <x:c r="H240" s="17" t="s">
        <x:v>787</x:v>
      </x:c>
      <x:c r="I240" s="17" t="s">
        <x:v>1425</x:v>
      </x:c>
      <x:c r="J240" s="17" t="s">
        <x:v>1426</x:v>
      </x:c>
      <x:c r="K240" s="17" t="s">
        <x:v>1343</x:v>
      </x:c>
      <x:c r="L240" s="17" t="s">
        <x:v>111</x:v>
      </x:c>
      <x:c r="M240" s="17" t="s">
        <x:v>1409</x:v>
      </x:c>
      <x:c r="N240" s="16"/>
      <x:c r="O240" s="18">
        <x:v>46249</x:v>
      </x:c>
      <x:c r="P240" s="19" t="s">
        <x:v>34</x:v>
      </x:c>
      <x:c r="Q240" s="17"/>
      <x:c r="R240" s="19" t="str">
        <x:f t="shared" si="3"/>
        <x:v>Discovery Link Only</x:v>
      </x:c>
      <x:c r="S240" s="43" t="str">
        <x:v>Unknown</x:v>
      </x:c>
      <x:c r="T240" s="43" t="str">
        <x:v>Unknown</x:v>
      </x:c>
      <x:c r="U240" s="43" t="str">
        <x:v>Unknown</x:v>
      </x:c>
      <x:c r="V240" s="43" t="str">
        <x:v>Unknown</x:v>
      </x:c>
      <x:c r="W240" s="43" t="str">
        <x:v>Unknown</x:v>
      </x:c>
      <x:c r="X240" s="43" t="str">
        <x:v>Unknown</x:v>
      </x:c>
      <x:c r="Y240" s="43" t="str">
        <x:v>Unknown</x:v>
      </x:c>
      <x:c r="Z240" s="43"/>
    </x:row>
    <x:row r="241" ht="60" customHeight="1">
      <x:c r="A241" s="16" t="s">
        <x:v>1427</x:v>
      </x:c>
      <x:c r="B241" s="16" t="s">
        <x:v>1428</x:v>
      </x:c>
      <x:c r="C241" s="16" t="s">
        <x:v>1338</x:v>
      </x:c>
      <x:c r="D241" s="16" t="s">
        <x:v>1424</x:v>
      </x:c>
      <x:c r="E241" s="16" t="s">
        <x:v>115</x:v>
      </x:c>
      <x:c r="F241" s="16" t="s">
        <x:v>127</x:v>
      </x:c>
      <x:c r="G241" s="16" t="s">
        <x:v>46</x:v>
      </x:c>
      <x:c r="H241" s="17" t="s">
        <x:v>1429</x:v>
      </x:c>
      <x:c r="I241" s="17" t="s">
        <x:v>1430</x:v>
      </x:c>
      <x:c r="J241" s="17" t="s">
        <x:v>1431</x:v>
      </x:c>
      <x:c r="K241" s="17" t="s">
        <x:v>1343</x:v>
      </x:c>
      <x:c r="L241" s="17" t="s">
        <x:v>111</x:v>
      </x:c>
      <x:c r="M241" s="17" t="s">
        <x:v>1409</x:v>
      </x:c>
      <x:c r="N241" s="16"/>
      <x:c r="O241" s="18">
        <x:v>46249</x:v>
      </x:c>
      <x:c r="P241" s="19" t="s">
        <x:v>34</x:v>
      </x:c>
      <x:c r="Q241" s="17"/>
      <x:c r="R241" s="19" t="str">
        <x:f t="shared" si="3"/>
        <x:v>Discovery Link Only</x:v>
      </x:c>
      <x:c r="S241" s="43" t="str">
        <x:v>Unknown</x:v>
      </x:c>
      <x:c r="T241" s="43" t="str">
        <x:v>Unknown</x:v>
      </x:c>
      <x:c r="U241" s="43" t="str">
        <x:v>Unknown</x:v>
      </x:c>
      <x:c r="V241" s="43" t="str">
        <x:v>Unknown</x:v>
      </x:c>
      <x:c r="W241" s="43" t="str">
        <x:v>Unknown</x:v>
      </x:c>
      <x:c r="X241" s="43" t="str">
        <x:v>Unknown</x:v>
      </x:c>
      <x:c r="Y241" s="43" t="str">
        <x:v>Unknown</x:v>
      </x:c>
      <x:c r="Z241" s="43"/>
    </x:row>
    <x:row r="242" ht="60" customHeight="1">
      <x:c r="A242" s="16" t="s">
        <x:v>1432</x:v>
      </x:c>
      <x:c r="B242" s="16" t="s">
        <x:v>1433</x:v>
      </x:c>
      <x:c r="C242" s="16" t="s">
        <x:v>1338</x:v>
      </x:c>
      <x:c r="D242" s="16" t="s">
        <x:v>1381</x:v>
      </x:c>
      <x:c r="E242" s="16" t="s">
        <x:v>106</x:v>
      </x:c>
      <x:c r="F242" s="16" t="s">
        <x:v>121</x:v>
      </x:c>
      <x:c r="G242" s="16" t="s">
        <x:v>46</x:v>
      </x:c>
      <x:c r="H242" s="17" t="s">
        <x:v>1434</x:v>
      </x:c>
      <x:c r="I242" s="17" t="s">
        <x:v>1435</x:v>
      </x:c>
      <x:c r="J242" s="17" t="s">
        <x:v>1436</x:v>
      </x:c>
      <x:c r="K242" s="17" t="s">
        <x:v>1343</x:v>
      </x:c>
      <x:c r="L242" s="17" t="s">
        <x:v>111</x:v>
      </x:c>
      <x:c r="M242" s="17" t="s">
        <x:v>1409</x:v>
      </x:c>
      <x:c r="N242" s="16"/>
      <x:c r="O242" s="18">
        <x:v>46249</x:v>
      </x:c>
      <x:c r="P242" s="19" t="s">
        <x:v>34</x:v>
      </x:c>
      <x:c r="Q242" s="17"/>
      <x:c r="R242" s="19" t="str">
        <x:f t="shared" si="3"/>
        <x:v>Discovery Link Only</x:v>
      </x:c>
      <x:c r="S242" s="43" t="str">
        <x:v>Unknown</x:v>
      </x:c>
      <x:c r="T242" s="43" t="str">
        <x:v>Unknown</x:v>
      </x:c>
      <x:c r="U242" s="43" t="str">
        <x:v>Unknown</x:v>
      </x:c>
      <x:c r="V242" s="43" t="str">
        <x:v>Unknown</x:v>
      </x:c>
      <x:c r="W242" s="43" t="str">
        <x:v>Unknown</x:v>
      </x:c>
      <x:c r="X242" s="43" t="str">
        <x:v>Unknown</x:v>
      </x:c>
      <x:c r="Y242" s="43" t="str">
        <x:v>Unknown</x:v>
      </x:c>
      <x:c r="Z242" s="43"/>
    </x:row>
    <x:row r="243" ht="60" customHeight="1">
      <x:c r="A243" s="16" t="s">
        <x:v>1437</x:v>
      </x:c>
      <x:c r="B243" s="16" t="s">
        <x:v>1438</x:v>
      </x:c>
      <x:c r="C243" s="16" t="s">
        <x:v>1338</x:v>
      </x:c>
      <x:c r="D243" s="16" t="s">
        <x:v>1381</x:v>
      </x:c>
      <x:c r="E243" s="16" t="s">
        <x:v>24</x:v>
      </x:c>
      <x:c r="F243" s="16" t="s">
        <x:v>121</x:v>
      </x:c>
      <x:c r="G243" s="16" t="s">
        <x:v>26</x:v>
      </x:c>
      <x:c r="H243" s="17" t="s">
        <x:v>1439</x:v>
      </x:c>
      <x:c r="I243" s="17" t="s">
        <x:v>1440</x:v>
      </x:c>
      <x:c r="J243" s="17" t="s">
        <x:v>1441</x:v>
      </x:c>
      <x:c r="K243" s="17" t="s">
        <x:v>1343</x:v>
      </x:c>
      <x:c r="L243" s="17" t="s">
        <x:v>111</x:v>
      </x:c>
      <x:c r="M243" s="17" t="s">
        <x:v>1409</x:v>
      </x:c>
      <x:c r="N243" s="16"/>
      <x:c r="O243" s="18">
        <x:v>46249</x:v>
      </x:c>
      <x:c r="P243" s="19" t="s">
        <x:v>34</x:v>
      </x:c>
      <x:c r="Q243" s="17"/>
      <x:c r="R243" s="19" t="str">
        <x:f t="shared" si="3"/>
        <x:v>Discovery Link Only</x:v>
      </x:c>
      <x:c r="S243" s="43" t="str">
        <x:v>Unknown</x:v>
      </x:c>
      <x:c r="T243" s="43" t="str">
        <x:v>Unknown</x:v>
      </x:c>
      <x:c r="U243" s="43" t="str">
        <x:v>Unknown</x:v>
      </x:c>
      <x:c r="V243" s="43" t="str">
        <x:v>Unknown</x:v>
      </x:c>
      <x:c r="W243" s="43" t="str">
        <x:v>Unknown</x:v>
      </x:c>
      <x:c r="X243" s="43" t="str">
        <x:v>Unknown</x:v>
      </x:c>
      <x:c r="Y243" s="43" t="str">
        <x:v>Unknown</x:v>
      </x:c>
      <x:c r="Z243" s="43"/>
    </x:row>
    <x:row r="244" ht="60" customHeight="1">
      <x:c r="A244" s="16" t="s">
        <x:v>1442</x:v>
      </x:c>
      <x:c r="B244" s="16" t="s">
        <x:v>1443</x:v>
      </x:c>
      <x:c r="C244" s="16" t="s">
        <x:v>1338</x:v>
      </x:c>
      <x:c r="D244" s="16" t="s">
        <x:v>1444</x:v>
      </x:c>
      <x:c r="E244" s="16" t="s">
        <x:v>251</x:v>
      </x:c>
      <x:c r="F244" s="16" t="s">
        <x:v>107</x:v>
      </x:c>
      <x:c r="G244" s="16" t="s">
        <x:v>26</x:v>
      </x:c>
      <x:c r="H244" s="17" t="s">
        <x:v>1445</x:v>
      </x:c>
      <x:c r="I244" s="17" t="s">
        <x:v>1446</x:v>
      </x:c>
      <x:c r="J244" s="17" t="s">
        <x:v>1447</x:v>
      </x:c>
      <x:c r="K244" s="17" t="s">
        <x:v>1343</x:v>
      </x:c>
      <x:c r="L244" s="17" t="s">
        <x:v>111</x:v>
      </x:c>
      <x:c r="M244" s="17" t="s">
        <x:v>1409</x:v>
      </x:c>
      <x:c r="N244" s="16"/>
      <x:c r="O244" s="18">
        <x:v>46249</x:v>
      </x:c>
      <x:c r="P244" s="19" t="s">
        <x:v>34</x:v>
      </x:c>
      <x:c r="Q244" s="17"/>
      <x:c r="R244" s="19" t="str">
        <x:f t="shared" si="3"/>
        <x:v>Discovery Link Only</x:v>
      </x:c>
      <x:c r="S244" s="43" t="str">
        <x:v>Unknown</x:v>
      </x:c>
      <x:c r="T244" s="43" t="str">
        <x:v>Unknown</x:v>
      </x:c>
      <x:c r="U244" s="43" t="str">
        <x:v>Unknown</x:v>
      </x:c>
      <x:c r="V244" s="43" t="str">
        <x:v>Unknown</x:v>
      </x:c>
      <x:c r="W244" s="43" t="str">
        <x:v>Unknown</x:v>
      </x:c>
      <x:c r="X244" s="43" t="str">
        <x:v>Unknown</x:v>
      </x:c>
      <x:c r="Y244" s="43" t="str">
        <x:v>Unknown</x:v>
      </x:c>
      <x:c r="Z244" s="43"/>
    </x:row>
    <x:row r="245" ht="60" customHeight="1">
      <x:c r="A245" s="16" t="s">
        <x:v>1448</x:v>
      </x:c>
      <x:c r="B245" s="16" t="s">
        <x:v>1449</x:v>
      </x:c>
      <x:c r="C245" s="16" t="s">
        <x:v>1338</x:v>
      </x:c>
      <x:c r="D245" s="16" t="s">
        <x:v>1444</x:v>
      </x:c>
      <x:c r="E245" s="16" t="s">
        <x:v>251</x:v>
      </x:c>
      <x:c r="F245" s="16" t="s">
        <x:v>127</x:v>
      </x:c>
      <x:c r="G245" s="16" t="s">
        <x:v>26</x:v>
      </x:c>
      <x:c r="H245" s="17" t="s">
        <x:v>1450</x:v>
      </x:c>
      <x:c r="I245" s="17" t="s">
        <x:v>1451</x:v>
      </x:c>
      <x:c r="J245" s="17" t="s">
        <x:v>1452</x:v>
      </x:c>
      <x:c r="K245" s="17" t="s">
        <x:v>1343</x:v>
      </x:c>
      <x:c r="L245" s="17" t="s">
        <x:v>111</x:v>
      </x:c>
      <x:c r="M245" s="17" t="s">
        <x:v>1409</x:v>
      </x:c>
      <x:c r="N245" s="16"/>
      <x:c r="O245" s="18">
        <x:v>46249</x:v>
      </x:c>
      <x:c r="P245" s="19" t="s">
        <x:v>34</x:v>
      </x:c>
      <x:c r="Q245" s="17"/>
      <x:c r="R245" s="19" t="str">
        <x:f t="shared" si="3"/>
        <x:v>Discovery Link Only</x:v>
      </x:c>
      <x:c r="S245" s="43" t="str">
        <x:v>Unknown</x:v>
      </x:c>
      <x:c r="T245" s="43" t="str">
        <x:v>Unknown</x:v>
      </x:c>
      <x:c r="U245" s="43" t="str">
        <x:v>Unknown</x:v>
      </x:c>
      <x:c r="V245" s="43" t="str">
        <x:v>Unknown</x:v>
      </x:c>
      <x:c r="W245" s="43" t="str">
        <x:v>Unknown</x:v>
      </x:c>
      <x:c r="X245" s="43" t="str">
        <x:v>Unknown</x:v>
      </x:c>
      <x:c r="Y245" s="43" t="str">
        <x:v>Unknown</x:v>
      </x:c>
      <x:c r="Z245" s="43"/>
    </x:row>
    <x:row r="246" ht="60" customHeight="1">
      <x:c r="A246" s="16" t="s">
        <x:v>1453</x:v>
      </x:c>
      <x:c r="B246" s="16" t="s">
        <x:v>1454</x:v>
      </x:c>
      <x:c r="C246" s="16" t="s">
        <x:v>1338</x:v>
      </x:c>
      <x:c r="D246" s="16" t="s">
        <x:v>1455</x:v>
      </x:c>
      <x:c r="E246" s="16" t="s">
        <x:v>162</x:v>
      </x:c>
      <x:c r="F246" s="16" t="s">
        <x:v>194</x:v>
      </x:c>
      <x:c r="G246" s="16" t="s">
        <x:v>46</x:v>
      </x:c>
      <x:c r="H246" s="17" t="s">
        <x:v>1456</x:v>
      </x:c>
      <x:c r="I246" s="17" t="s">
        <x:v>1457</x:v>
      </x:c>
      <x:c r="J246" s="17" t="s">
        <x:v>1458</x:v>
      </x:c>
      <x:c r="K246" s="17" t="s">
        <x:v>1343</x:v>
      </x:c>
      <x:c r="L246" s="17" t="s">
        <x:v>111</x:v>
      </x:c>
      <x:c r="M246" s="17" t="s">
        <x:v>1409</x:v>
      </x:c>
      <x:c r="N246" s="16"/>
      <x:c r="O246" s="18">
        <x:v>46249</x:v>
      </x:c>
      <x:c r="P246" s="19" t="s">
        <x:v>34</x:v>
      </x:c>
      <x:c r="Q246" s="17"/>
      <x:c r="R246" s="19" t="str">
        <x:f t="shared" si="3"/>
        <x:v>Discovery Link Only</x:v>
      </x:c>
      <x:c r="S246" s="43" t="str">
        <x:v>Unknown</x:v>
      </x:c>
      <x:c r="T246" s="43" t="str">
        <x:v>Unknown</x:v>
      </x:c>
      <x:c r="U246" s="43" t="str">
        <x:v>Unknown</x:v>
      </x:c>
      <x:c r="V246" s="43" t="str">
        <x:v>Unknown</x:v>
      </x:c>
      <x:c r="W246" s="43" t="str">
        <x:v>Unknown</x:v>
      </x:c>
      <x:c r="X246" s="43" t="str">
        <x:v>Unknown</x:v>
      </x:c>
      <x:c r="Y246" s="43" t="str">
        <x:v>Unknown</x:v>
      </x:c>
      <x:c r="Z246" s="43"/>
    </x:row>
    <x:row r="247" ht="60" customHeight="1">
      <x:c r="A247" s="16" t="s">
        <x:v>1459</x:v>
      </x:c>
      <x:c r="B247" s="16" t="s">
        <x:v>1460</x:v>
      </x:c>
      <x:c r="C247" s="16" t="s">
        <x:v>1338</x:v>
      </x:c>
      <x:c r="D247" s="16" t="s">
        <x:v>1461</x:v>
      </x:c>
      <x:c r="E247" s="16" t="s">
        <x:v>162</x:v>
      </x:c>
      <x:c r="F247" s="16" t="s">
        <x:v>1462</x:v>
      </x:c>
      <x:c r="G247" s="16" t="s">
        <x:v>46</x:v>
      </x:c>
      <x:c r="H247" s="17" t="s">
        <x:v>1463</x:v>
      </x:c>
      <x:c r="I247" s="17" t="s">
        <x:v>1464</x:v>
      </x:c>
      <x:c r="J247" s="17" t="s">
        <x:v>1465</x:v>
      </x:c>
      <x:c r="K247" s="17" t="s">
        <x:v>1343</x:v>
      </x:c>
      <x:c r="L247" s="17" t="s">
        <x:v>111</x:v>
      </x:c>
      <x:c r="M247" s="17" t="s">
        <x:v>1409</x:v>
      </x:c>
      <x:c r="N247" s="16"/>
      <x:c r="O247" s="18">
        <x:v>46249</x:v>
      </x:c>
      <x:c r="P247" s="19" t="s">
        <x:v>34</x:v>
      </x:c>
      <x:c r="Q247" s="17"/>
      <x:c r="R247" s="19" t="str">
        <x:f t="shared" si="3"/>
        <x:v>Discovery Link Only</x:v>
      </x:c>
      <x:c r="S247" s="43" t="str">
        <x:v>Unknown</x:v>
      </x:c>
      <x:c r="T247" s="43" t="str">
        <x:v>Unknown</x:v>
      </x:c>
      <x:c r="U247" s="43" t="str">
        <x:v>Unknown</x:v>
      </x:c>
      <x:c r="V247" s="43" t="str">
        <x:v>Unknown</x:v>
      </x:c>
      <x:c r="W247" s="43" t="str">
        <x:v>Unknown</x:v>
      </x:c>
      <x:c r="X247" s="43" t="str">
        <x:v>Unknown</x:v>
      </x:c>
      <x:c r="Y247" s="43" t="str">
        <x:v>Unknown</x:v>
      </x:c>
      <x:c r="Z247" s="43"/>
    </x:row>
    <x:row r="248" ht="60" customHeight="1">
      <x:c r="A248" s="16" t="s">
        <x:v>1466</x:v>
      </x:c>
      <x:c r="B248" s="16" t="s">
        <x:v>1467</x:v>
      </x:c>
      <x:c r="C248" s="16" t="s">
        <x:v>1468</x:v>
      </x:c>
      <x:c r="D248" s="16" t="s">
        <x:v>1469</x:v>
      </x:c>
      <x:c r="E248" s="16" t="s">
        <x:v>45</x:v>
      </x:c>
      <x:c r="F248" s="16" t="s">
        <x:v>25</x:v>
      </x:c>
      <x:c r="G248" s="16" t="s">
        <x:v>46</x:v>
      </x:c>
      <x:c r="H248" s="17" t="s">
        <x:v>1470</x:v>
      </x:c>
      <x:c r="I248" s="17" t="s">
        <x:v>1471</x:v>
      </x:c>
      <x:c r="J248" s="17" t="s">
        <x:v>1472</x:v>
      </x:c>
      <x:c r="K248" s="17" t="s">
        <x:v>1473</x:v>
      </x:c>
      <x:c r="L248" s="17" t="s">
        <x:v>58</x:v>
      </x:c>
      <x:c r="M248" s="17" t="s">
        <x:v>256</x:v>
      </x:c>
      <x:c r="N248" s="16" t="s">
        <x:v>1474</x:v>
      </x:c>
      <x:c r="O248" s="18">
        <x:v>46249</x:v>
      </x:c>
      <x:c r="P248" s="19" t="s">
        <x:v>34</x:v>
      </x:c>
      <x:c r="Q248" s="17"/>
      <x:c r="R248" s="19" t="str">
        <x:f t="shared" si="3"/>
        <x:v>Source Link Present</x:v>
      </x:c>
      <x:c r="S248" s="43" t="str">
        <x:v>Unknown</x:v>
      </x:c>
      <x:c r="T248" s="43" t="str">
        <x:v>Unknown</x:v>
      </x:c>
      <x:c r="U248" s="43" t="str">
        <x:v>Unknown</x:v>
      </x:c>
      <x:c r="V248" s="43" t="str">
        <x:v>Unknown</x:v>
      </x:c>
      <x:c r="W248" s="43" t="str">
        <x:v>Unknown</x:v>
      </x:c>
      <x:c r="X248" s="43" t="str">
        <x:v>Unknown</x:v>
      </x:c>
      <x:c r="Y248" s="43" t="str">
        <x:v>Unknown</x:v>
      </x:c>
      <x:c r="Z248" s="43"/>
    </x:row>
    <x:row r="249" ht="60" customHeight="1">
      <x:c r="A249" s="16" t="s">
        <x:v>1475</x:v>
      </x:c>
      <x:c r="B249" s="16" t="s">
        <x:v>1476</x:v>
      </x:c>
      <x:c r="C249" s="16" t="s">
        <x:v>1468</x:v>
      </x:c>
      <x:c r="D249" s="16" t="s">
        <x:v>1477</x:v>
      </x:c>
      <x:c r="E249" s="16" t="s">
        <x:v>72</x:v>
      </x:c>
      <x:c r="F249" s="16" t="s">
        <x:v>25</x:v>
      </x:c>
      <x:c r="G249" s="16" t="s">
        <x:v>26</x:v>
      </x:c>
      <x:c r="H249" s="17" t="s">
        <x:v>1478</x:v>
      </x:c>
      <x:c r="I249" s="17" t="s">
        <x:v>1479</x:v>
      </x:c>
      <x:c r="J249" s="17" t="s">
        <x:v>1480</x:v>
      </x:c>
      <x:c r="K249" s="17" t="s">
        <x:v>1473</x:v>
      </x:c>
      <x:c r="L249" s="17" t="s">
        <x:v>58</x:v>
      </x:c>
      <x:c r="M249" s="17" t="s">
        <x:v>256</x:v>
      </x:c>
      <x:c r="N249" s="16" t="s">
        <x:v>1481</x:v>
      </x:c>
      <x:c r="O249" s="18">
        <x:v>46249</x:v>
      </x:c>
      <x:c r="P249" s="19" t="s">
        <x:v>34</x:v>
      </x:c>
      <x:c r="Q249" s="17"/>
      <x:c r="R249" s="19" t="str">
        <x:f t="shared" si="3"/>
        <x:v>Source Link Present</x:v>
      </x:c>
      <x:c r="S249" s="43" t="str">
        <x:v>Unknown</x:v>
      </x:c>
      <x:c r="T249" s="43" t="str">
        <x:v>Unknown</x:v>
      </x:c>
      <x:c r="U249" s="43" t="str">
        <x:v>Unknown</x:v>
      </x:c>
      <x:c r="V249" s="43" t="str">
        <x:v>Unknown</x:v>
      </x:c>
      <x:c r="W249" s="43" t="str">
        <x:v>Unknown</x:v>
      </x:c>
      <x:c r="X249" s="43" t="str">
        <x:v>Unknown</x:v>
      </x:c>
      <x:c r="Y249" s="43" t="str">
        <x:v>Unknown</x:v>
      </x:c>
      <x:c r="Z249" s="43"/>
    </x:row>
    <x:row r="250" ht="60" customHeight="1">
      <x:c r="A250" s="16" t="s">
        <x:v>1482</x:v>
      </x:c>
      <x:c r="B250" s="16" t="s">
        <x:v>1483</x:v>
      </x:c>
      <x:c r="C250" s="16" t="s">
        <x:v>1468</x:v>
      </x:c>
      <x:c r="D250" s="16" t="s">
        <x:v>1484</x:v>
      </x:c>
      <x:c r="E250" s="16" t="s">
        <x:v>72</x:v>
      </x:c>
      <x:c r="F250" s="16" t="s">
        <x:v>25</x:v>
      </x:c>
      <x:c r="G250" s="16" t="s">
        <x:v>26</x:v>
      </x:c>
      <x:c r="H250" s="17" t="s">
        <x:v>1485</x:v>
      </x:c>
      <x:c r="I250" s="17" t="s">
        <x:v>1486</x:v>
      </x:c>
      <x:c r="J250" s="17" t="s">
        <x:v>1487</x:v>
      </x:c>
      <x:c r="K250" s="17" t="s">
        <x:v>1473</x:v>
      </x:c>
      <x:c r="L250" s="17" t="s">
        <x:v>58</x:v>
      </x:c>
      <x:c r="M250" s="17" t="s">
        <x:v>256</x:v>
      </x:c>
      <x:c r="N250" s="16" t="s">
        <x:v>1488</x:v>
      </x:c>
      <x:c r="O250" s="18">
        <x:v>46249</x:v>
      </x:c>
      <x:c r="P250" s="19" t="s">
        <x:v>34</x:v>
      </x:c>
      <x:c r="Q250" s="17"/>
      <x:c r="R250" s="19" t="str">
        <x:f t="shared" si="3"/>
        <x:v>Discovery Link Only</x:v>
      </x:c>
      <x:c r="S250" s="43" t="str">
        <x:v>Unknown</x:v>
      </x:c>
      <x:c r="T250" s="43" t="str">
        <x:v>Unknown</x:v>
      </x:c>
      <x:c r="U250" s="43" t="str">
        <x:v>Unknown</x:v>
      </x:c>
      <x:c r="V250" s="43" t="str">
        <x:v>Unknown</x:v>
      </x:c>
      <x:c r="W250" s="43" t="str">
        <x:v>Unknown</x:v>
      </x:c>
      <x:c r="X250" s="43" t="str">
        <x:v>Unknown</x:v>
      </x:c>
      <x:c r="Y250" s="43" t="str">
        <x:v>Unknown</x:v>
      </x:c>
      <x:c r="Z250" s="43"/>
    </x:row>
    <x:row r="251" ht="60" customHeight="1">
      <x:c r="A251" s="16" t="s">
        <x:v>1489</x:v>
      </x:c>
      <x:c r="B251" s="16" t="s">
        <x:v>1490</x:v>
      </x:c>
      <x:c r="C251" s="16" t="s">
        <x:v>1468</x:v>
      </x:c>
      <x:c r="D251" s="16" t="s">
        <x:v>1491</x:v>
      </x:c>
      <x:c r="E251" s="16" t="s">
        <x:v>37</x:v>
      </x:c>
      <x:c r="F251" s="16" t="s">
        <x:v>25</x:v>
      </x:c>
      <x:c r="G251" s="16" t="s">
        <x:v>46</x:v>
      </x:c>
      <x:c r="H251" s="17" t="s">
        <x:v>1492</x:v>
      </x:c>
      <x:c r="I251" s="17" t="s">
        <x:v>1493</x:v>
      </x:c>
      <x:c r="J251" s="17" t="s">
        <x:v>1494</x:v>
      </x:c>
      <x:c r="K251" s="17" t="s">
        <x:v>1473</x:v>
      </x:c>
      <x:c r="L251" s="17" t="s">
        <x:v>58</x:v>
      </x:c>
      <x:c r="M251" s="17" t="s">
        <x:v>256</x:v>
      </x:c>
      <x:c r="N251" s="16" t="s">
        <x:v>1495</x:v>
      </x:c>
      <x:c r="O251" s="18">
        <x:v>46249</x:v>
      </x:c>
      <x:c r="P251" s="19" t="s">
        <x:v>34</x:v>
      </x:c>
      <x:c r="Q251" s="17"/>
      <x:c r="R251" s="19" t="str">
        <x:f t="shared" si="3"/>
        <x:v>Discovery Link Only</x:v>
      </x:c>
      <x:c r="S251" s="43" t="str">
        <x:v>Unknown</x:v>
      </x:c>
      <x:c r="T251" s="43" t="str">
        <x:v>Unknown</x:v>
      </x:c>
      <x:c r="U251" s="43" t="str">
        <x:v>Unknown</x:v>
      </x:c>
      <x:c r="V251" s="43" t="str">
        <x:v>Unknown</x:v>
      </x:c>
      <x:c r="W251" s="43" t="str">
        <x:v>Unknown</x:v>
      </x:c>
      <x:c r="X251" s="43" t="str">
        <x:v>Unknown</x:v>
      </x:c>
      <x:c r="Y251" s="43" t="str">
        <x:v>Unknown</x:v>
      </x:c>
      <x:c r="Z251" s="43"/>
    </x:row>
    <x:row r="252" ht="60" customHeight="1">
      <x:c r="A252" s="16" t="s">
        <x:v>1496</x:v>
      </x:c>
      <x:c r="B252" s="16" t="s">
        <x:v>1497</x:v>
      </x:c>
      <x:c r="C252" s="16" t="s">
        <x:v>1468</x:v>
      </x:c>
      <x:c r="D252" s="16" t="s">
        <x:v>1484</x:v>
      </x:c>
      <x:c r="E252" s="16" t="s">
        <x:v>133</x:v>
      </x:c>
      <x:c r="F252" s="16" t="s">
        <x:v>25</x:v>
      </x:c>
      <x:c r="G252" s="16" t="s">
        <x:v>46</x:v>
      </x:c>
      <x:c r="H252" s="17" t="s">
        <x:v>1498</x:v>
      </x:c>
      <x:c r="I252" s="17" t="s">
        <x:v>1499</x:v>
      </x:c>
      <x:c r="J252" s="17" t="s">
        <x:v>1500</x:v>
      </x:c>
      <x:c r="K252" s="17" t="s">
        <x:v>1473</x:v>
      </x:c>
      <x:c r="L252" s="17" t="s">
        <x:v>58</x:v>
      </x:c>
      <x:c r="M252" s="17" t="s">
        <x:v>256</x:v>
      </x:c>
      <x:c r="N252" s="16" t="s">
        <x:v>1501</x:v>
      </x:c>
      <x:c r="O252" s="18">
        <x:v>46249</x:v>
      </x:c>
      <x:c r="P252" s="19" t="s">
        <x:v>34</x:v>
      </x:c>
      <x:c r="Q252" s="17"/>
      <x:c r="R252" s="19" t="str">
        <x:f t="shared" si="3"/>
        <x:v>Discovery Link Only</x:v>
      </x:c>
      <x:c r="S252" s="43" t="str">
        <x:v>Unknown</x:v>
      </x:c>
      <x:c r="T252" s="43" t="str">
        <x:v>Unknown</x:v>
      </x:c>
      <x:c r="U252" s="43" t="str">
        <x:v>Unknown</x:v>
      </x:c>
      <x:c r="V252" s="43" t="str">
        <x:v>Unknown</x:v>
      </x:c>
      <x:c r="W252" s="43" t="str">
        <x:v>Unknown</x:v>
      </x:c>
      <x:c r="X252" s="43" t="str">
        <x:v>Unknown</x:v>
      </x:c>
      <x:c r="Y252" s="43" t="str">
        <x:v>Unknown</x:v>
      </x:c>
      <x:c r="Z252" s="43"/>
    </x:row>
    <x:row r="253" ht="60" customHeight="1">
      <x:c r="A253" s="16" t="s">
        <x:v>1502</x:v>
      </x:c>
      <x:c r="B253" s="16" t="s">
        <x:v>1503</x:v>
      </x:c>
      <x:c r="C253" s="16" t="s">
        <x:v>1468</x:v>
      </x:c>
      <x:c r="D253" s="16" t="s">
        <x:v>1484</x:v>
      </x:c>
      <x:c r="E253" s="16" t="s">
        <x:v>99</x:v>
      </x:c>
      <x:c r="F253" s="16" t="s">
        <x:v>121</x:v>
      </x:c>
      <x:c r="G253" s="16" t="s">
        <x:v>46</x:v>
      </x:c>
      <x:c r="H253" s="17" t="s">
        <x:v>1504</x:v>
      </x:c>
      <x:c r="I253" s="17" t="s">
        <x:v>1505</x:v>
      </x:c>
      <x:c r="J253" s="17" t="s">
        <x:v>1506</x:v>
      </x:c>
      <x:c r="K253" s="17" t="s">
        <x:v>1473</x:v>
      </x:c>
      <x:c r="L253" s="17" t="s">
        <x:v>58</x:v>
      </x:c>
      <x:c r="M253" s="17" t="s">
        <x:v>256</x:v>
      </x:c>
      <x:c r="N253" s="16" t="s">
        <x:v>1507</x:v>
      </x:c>
      <x:c r="O253" s="18">
        <x:v>46249</x:v>
      </x:c>
      <x:c r="P253" s="19" t="s">
        <x:v>34</x:v>
      </x:c>
      <x:c r="Q253" s="17"/>
      <x:c r="R253" s="19" t="str">
        <x:f t="shared" si="3"/>
        <x:v>Discovery Link Only</x:v>
      </x:c>
      <x:c r="S253" s="43" t="str">
        <x:v>Unknown</x:v>
      </x:c>
      <x:c r="T253" s="43" t="str">
        <x:v>Unknown</x:v>
      </x:c>
      <x:c r="U253" s="43" t="str">
        <x:v>Unknown</x:v>
      </x:c>
      <x:c r="V253" s="43" t="str">
        <x:v>Unknown</x:v>
      </x:c>
      <x:c r="W253" s="43" t="str">
        <x:v>Unknown</x:v>
      </x:c>
      <x:c r="X253" s="43" t="str">
        <x:v>Unknown</x:v>
      </x:c>
      <x:c r="Y253" s="43" t="str">
        <x:v>Unknown</x:v>
      </x:c>
      <x:c r="Z253" s="43"/>
    </x:row>
    <x:row r="254" ht="60" customHeight="1">
      <x:c r="A254" s="16" t="s">
        <x:v>1508</x:v>
      </x:c>
      <x:c r="B254" s="16" t="s">
        <x:v>1509</x:v>
      </x:c>
      <x:c r="C254" s="16" t="s">
        <x:v>1468</x:v>
      </x:c>
      <x:c r="D254" s="16" t="s">
        <x:v>1510</x:v>
      </x:c>
      <x:c r="E254" s="16" t="s">
        <x:v>394</x:v>
      </x:c>
      <x:c r="F254" s="16" t="s">
        <x:v>25</x:v>
      </x:c>
      <x:c r="G254" s="16" t="s">
        <x:v>26</x:v>
      </x:c>
      <x:c r="H254" s="17" t="s">
        <x:v>1511</x:v>
      </x:c>
      <x:c r="I254" s="17" t="s">
        <x:v>1512</x:v>
      </x:c>
      <x:c r="J254" s="17" t="s">
        <x:v>1513</x:v>
      </x:c>
      <x:c r="K254" s="17" t="s">
        <x:v>1473</x:v>
      </x:c>
      <x:c r="L254" s="17" t="s">
        <x:v>58</x:v>
      </x:c>
      <x:c r="M254" s="17" t="s">
        <x:v>256</x:v>
      </x:c>
      <x:c r="N254" s="16" t="s">
        <x:v>1514</x:v>
      </x:c>
      <x:c r="O254" s="18">
        <x:v>46249</x:v>
      </x:c>
      <x:c r="P254" s="19" t="s">
        <x:v>34</x:v>
      </x:c>
      <x:c r="Q254" s="17"/>
      <x:c r="R254" s="19" t="str">
        <x:f t="shared" si="3"/>
        <x:v>Discovery Link Only</x:v>
      </x:c>
      <x:c r="S254" s="43" t="str">
        <x:v>Unknown</x:v>
      </x:c>
      <x:c r="T254" s="43" t="str">
        <x:v>Unknown</x:v>
      </x:c>
      <x:c r="U254" s="43" t="str">
        <x:v>Unknown</x:v>
      </x:c>
      <x:c r="V254" s="43" t="str">
        <x:v>Unknown</x:v>
      </x:c>
      <x:c r="W254" s="43" t="str">
        <x:v>Unknown</x:v>
      </x:c>
      <x:c r="X254" s="43" t="str">
        <x:v>Unknown</x:v>
      </x:c>
      <x:c r="Y254" s="43" t="str">
        <x:v>Unknown</x:v>
      </x:c>
      <x:c r="Z254" s="43"/>
    </x:row>
    <x:row r="255" ht="60" customHeight="1">
      <x:c r="A255" s="16" t="s">
        <x:v>1515</x:v>
      </x:c>
      <x:c r="B255" s="16" t="s">
        <x:v>1516</x:v>
      </x:c>
      <x:c r="C255" s="16" t="s">
        <x:v>1468</x:v>
      </x:c>
      <x:c r="D255" s="16" t="s">
        <x:v>1517</x:v>
      </x:c>
      <x:c r="E255" s="16" t="s">
        <x:v>45</x:v>
      </x:c>
      <x:c r="F255" s="16" t="s">
        <x:v>25</x:v>
      </x:c>
      <x:c r="G255" s="16" t="s">
        <x:v>26</x:v>
      </x:c>
      <x:c r="H255" s="17" t="s">
        <x:v>1518</x:v>
      </x:c>
      <x:c r="I255" s="17" t="s">
        <x:v>1519</x:v>
      </x:c>
      <x:c r="J255" s="17" t="s">
        <x:v>1520</x:v>
      </x:c>
      <x:c r="K255" s="17" t="s">
        <x:v>1473</x:v>
      </x:c>
      <x:c r="L255" s="17" t="s">
        <x:v>58</x:v>
      </x:c>
      <x:c r="M255" s="17" t="s">
        <x:v>256</x:v>
      </x:c>
      <x:c r="N255" s="16" t="s">
        <x:v>1521</x:v>
      </x:c>
      <x:c r="O255" s="18">
        <x:v>46249</x:v>
      </x:c>
      <x:c r="P255" s="19" t="s">
        <x:v>34</x:v>
      </x:c>
      <x:c r="Q255" s="17"/>
      <x:c r="R255" s="19" t="str">
        <x:f t="shared" si="3"/>
        <x:v>Discovery Link Only</x:v>
      </x:c>
      <x:c r="S255" s="43" t="str">
        <x:v>Unknown</x:v>
      </x:c>
      <x:c r="T255" s="43" t="str">
        <x:v>Unknown</x:v>
      </x:c>
      <x:c r="U255" s="43" t="str">
        <x:v>Unknown</x:v>
      </x:c>
      <x:c r="V255" s="43" t="str">
        <x:v>Unknown</x:v>
      </x:c>
      <x:c r="W255" s="43" t="str">
        <x:v>Unknown</x:v>
      </x:c>
      <x:c r="X255" s="43" t="str">
        <x:v>Unknown</x:v>
      </x:c>
      <x:c r="Y255" s="43" t="str">
        <x:v>Unknown</x:v>
      </x:c>
      <x:c r="Z255" s="43"/>
    </x:row>
    <x:row r="256" ht="60" customHeight="1">
      <x:c r="A256" s="16" t="s">
        <x:v>1522</x:v>
      </x:c>
      <x:c r="B256" s="16" t="s">
        <x:v>1523</x:v>
      </x:c>
      <x:c r="C256" s="16" t="s">
        <x:v>1468</x:v>
      </x:c>
      <x:c r="D256" s="16" t="s">
        <x:v>1524</x:v>
      </x:c>
      <x:c r="E256" s="16" t="s">
        <x:v>45</x:v>
      </x:c>
      <x:c r="F256" s="16" t="s">
        <x:v>25</x:v>
      </x:c>
      <x:c r="G256" s="16" t="s">
        <x:v>26</x:v>
      </x:c>
      <x:c r="H256" s="17" t="s">
        <x:v>1525</x:v>
      </x:c>
      <x:c r="I256" s="17" t="s">
        <x:v>1526</x:v>
      </x:c>
      <x:c r="J256" s="17" t="s">
        <x:v>1527</x:v>
      </x:c>
      <x:c r="K256" s="17" t="s">
        <x:v>1473</x:v>
      </x:c>
      <x:c r="L256" s="17" t="s">
        <x:v>58</x:v>
      </x:c>
      <x:c r="M256" s="17" t="s">
        <x:v>256</x:v>
      </x:c>
      <x:c r="N256" s="16" t="s">
        <x:v>1528</x:v>
      </x:c>
      <x:c r="O256" s="18">
        <x:v>46249</x:v>
      </x:c>
      <x:c r="P256" s="19" t="s">
        <x:v>34</x:v>
      </x:c>
      <x:c r="Q256" s="17"/>
      <x:c r="R256" s="19" t="str">
        <x:f t="shared" si="3"/>
        <x:v>Discovery Link Only</x:v>
      </x:c>
      <x:c r="S256" s="43" t="str">
        <x:v>Unknown</x:v>
      </x:c>
      <x:c r="T256" s="43" t="str">
        <x:v>Unknown</x:v>
      </x:c>
      <x:c r="U256" s="43" t="str">
        <x:v>Unknown</x:v>
      </x:c>
      <x:c r="V256" s="43" t="str">
        <x:v>Unknown</x:v>
      </x:c>
      <x:c r="W256" s="43" t="str">
        <x:v>Unknown</x:v>
      </x:c>
      <x:c r="X256" s="43" t="str">
        <x:v>Unknown</x:v>
      </x:c>
      <x:c r="Y256" s="43" t="str">
        <x:v>Unknown</x:v>
      </x:c>
      <x:c r="Z256" s="43"/>
    </x:row>
    <x:row r="257" ht="60" customHeight="1">
      <x:c r="A257" s="16" t="s">
        <x:v>1529</x:v>
      </x:c>
      <x:c r="B257" s="16" t="s">
        <x:v>1530</x:v>
      </x:c>
      <x:c r="C257" s="16" t="s">
        <x:v>1468</x:v>
      </x:c>
      <x:c r="D257" s="16" t="s">
        <x:v>1531</x:v>
      </x:c>
      <x:c r="E257" s="16" t="s">
        <x:v>37</x:v>
      </x:c>
      <x:c r="F257" s="16" t="s">
        <x:v>25</x:v>
      </x:c>
      <x:c r="G257" s="16" t="s">
        <x:v>26</x:v>
      </x:c>
      <x:c r="H257" s="17" t="s">
        <x:v>286</x:v>
      </x:c>
      <x:c r="I257" s="17" t="s">
        <x:v>1532</x:v>
      </x:c>
      <x:c r="J257" s="17" t="s">
        <x:v>1533</x:v>
      </x:c>
      <x:c r="K257" s="17" t="s">
        <x:v>1473</x:v>
      </x:c>
      <x:c r="L257" s="17" t="s">
        <x:v>58</x:v>
      </x:c>
      <x:c r="M257" s="17" t="s">
        <x:v>256</x:v>
      </x:c>
      <x:c r="N257" s="16" t="s">
        <x:v>1534</x:v>
      </x:c>
      <x:c r="O257" s="18">
        <x:v>46249</x:v>
      </x:c>
      <x:c r="P257" s="19" t="s">
        <x:v>34</x:v>
      </x:c>
      <x:c r="Q257" s="17"/>
      <x:c r="R257" s="19" t="str">
        <x:f t="shared" si="3"/>
        <x:v>Discovery Link Only</x:v>
      </x:c>
      <x:c r="S257" s="43" t="str">
        <x:v>Unknown</x:v>
      </x:c>
      <x:c r="T257" s="43" t="str">
        <x:v>Unknown</x:v>
      </x:c>
      <x:c r="U257" s="43" t="str">
        <x:v>Unknown</x:v>
      </x:c>
      <x:c r="V257" s="43" t="str">
        <x:v>Unknown</x:v>
      </x:c>
      <x:c r="W257" s="43" t="str">
        <x:v>Unknown</x:v>
      </x:c>
      <x:c r="X257" s="43" t="str">
        <x:v>Unknown</x:v>
      </x:c>
      <x:c r="Y257" s="43" t="str">
        <x:v>Unknown</x:v>
      </x:c>
      <x:c r="Z257" s="43"/>
    </x:row>
    <x:row r="258" ht="60" customHeight="1">
      <x:c r="A258" s="16" t="s">
        <x:v>1535</x:v>
      </x:c>
      <x:c r="B258" s="16" t="s">
        <x:v>1536</x:v>
      </x:c>
      <x:c r="C258" s="16" t="s">
        <x:v>1468</x:v>
      </x:c>
      <x:c r="D258" s="16" t="s">
        <x:v>1484</x:v>
      </x:c>
      <x:c r="E258" s="16" t="s">
        <x:v>140</x:v>
      </x:c>
      <x:c r="F258" s="16" t="s">
        <x:v>107</x:v>
      </x:c>
      <x:c r="G258" s="16" t="s">
        <x:v>46</x:v>
      </x:c>
      <x:c r="H258" s="17" t="s">
        <x:v>1537</x:v>
      </x:c>
      <x:c r="I258" s="17" t="s">
        <x:v>1538</x:v>
      </x:c>
      <x:c r="J258" s="17" t="s">
        <x:v>1539</x:v>
      </x:c>
      <x:c r="K258" s="17" t="s">
        <x:v>1473</x:v>
      </x:c>
      <x:c r="L258" s="17" t="s">
        <x:v>111</x:v>
      </x:c>
      <x:c r="M258" s="17" t="s">
        <x:v>1540</x:v>
      </x:c>
      <x:c r="N258" s="16"/>
      <x:c r="O258" s="18">
        <x:v>46249</x:v>
      </x:c>
      <x:c r="P258" s="19" t="s">
        <x:v>34</x:v>
      </x:c>
      <x:c r="Q258" s="17"/>
      <x:c r="R258" s="19" t="str">
        <x:f t="shared" si="3"/>
        <x:v>Discovery Link Only</x:v>
      </x:c>
      <x:c r="S258" s="43" t="str">
        <x:v>Unknown</x:v>
      </x:c>
      <x:c r="T258" s="43" t="str">
        <x:v>Unknown</x:v>
      </x:c>
      <x:c r="U258" s="43" t="str">
        <x:v>Unknown</x:v>
      </x:c>
      <x:c r="V258" s="43" t="str">
        <x:v>Unknown</x:v>
      </x:c>
      <x:c r="W258" s="43" t="str">
        <x:v>Unknown</x:v>
      </x:c>
      <x:c r="X258" s="43" t="str">
        <x:v>Unknown</x:v>
      </x:c>
      <x:c r="Y258" s="43" t="str">
        <x:v>Unknown</x:v>
      </x:c>
      <x:c r="Z258" s="43"/>
    </x:row>
    <x:row r="259" ht="60" customHeight="1">
      <x:c r="A259" s="16" t="s">
        <x:v>1541</x:v>
      </x:c>
      <x:c r="B259" s="16" t="s">
        <x:v>1542</x:v>
      </x:c>
      <x:c r="C259" s="16" t="s">
        <x:v>1468</x:v>
      </x:c>
      <x:c r="D259" s="16" t="s">
        <x:v>1484</x:v>
      </x:c>
      <x:c r="E259" s="16" t="s">
        <x:v>106</x:v>
      </x:c>
      <x:c r="F259" s="16" t="s">
        <x:v>107</x:v>
      </x:c>
      <x:c r="G259" s="16" t="s">
        <x:v>46</x:v>
      </x:c>
      <x:c r="H259" s="17" t="s">
        <x:v>1543</x:v>
      </x:c>
      <x:c r="I259" s="17" t="s">
        <x:v>1544</x:v>
      </x:c>
      <x:c r="J259" s="17" t="s">
        <x:v>1545</x:v>
      </x:c>
      <x:c r="K259" s="17" t="s">
        <x:v>1473</x:v>
      </x:c>
      <x:c r="L259" s="17" t="s">
        <x:v>111</x:v>
      </x:c>
      <x:c r="M259" s="17" t="s">
        <x:v>1540</x:v>
      </x:c>
      <x:c r="N259" s="16"/>
      <x:c r="O259" s="18">
        <x:v>46249</x:v>
      </x:c>
      <x:c r="P259" s="19" t="s">
        <x:v>34</x:v>
      </x:c>
      <x:c r="Q259" s="17"/>
      <x:c r="R259" s="19" t="str">
        <x:f t="shared" si="3"/>
        <x:v>Discovery Link Only</x:v>
      </x:c>
      <x:c r="S259" s="43" t="str">
        <x:v>Unknown</x:v>
      </x:c>
      <x:c r="T259" s="43" t="str">
        <x:v>Unknown</x:v>
      </x:c>
      <x:c r="U259" s="43" t="str">
        <x:v>Unknown</x:v>
      </x:c>
      <x:c r="V259" s="43" t="str">
        <x:v>Unknown</x:v>
      </x:c>
      <x:c r="W259" s="43" t="str">
        <x:v>Unknown</x:v>
      </x:c>
      <x:c r="X259" s="43" t="str">
        <x:v>Unknown</x:v>
      </x:c>
      <x:c r="Y259" s="43" t="str">
        <x:v>Unknown</x:v>
      </x:c>
      <x:c r="Z259" s="43"/>
    </x:row>
    <x:row r="260" ht="60" customHeight="1">
      <x:c r="A260" s="16" t="s">
        <x:v>1546</x:v>
      </x:c>
      <x:c r="B260" s="16" t="s">
        <x:v>1547</x:v>
      </x:c>
      <x:c r="C260" s="16" t="s">
        <x:v>1468</x:v>
      </x:c>
      <x:c r="D260" s="16" t="s">
        <x:v>1484</x:v>
      </x:c>
      <x:c r="E260" s="16" t="s">
        <x:v>151</x:v>
      </x:c>
      <x:c r="F260" s="16" t="s">
        <x:v>121</x:v>
      </x:c>
      <x:c r="G260" s="16" t="s">
        <x:v>134</x:v>
      </x:c>
      <x:c r="H260" s="17" t="s">
        <x:v>1548</x:v>
      </x:c>
      <x:c r="I260" s="17" t="s">
        <x:v>1549</x:v>
      </x:c>
      <x:c r="J260" s="17" t="s">
        <x:v>1550</x:v>
      </x:c>
      <x:c r="K260" s="17" t="s">
        <x:v>1473</x:v>
      </x:c>
      <x:c r="L260" s="17" t="s">
        <x:v>111</x:v>
      </x:c>
      <x:c r="M260" s="17" t="s">
        <x:v>1540</x:v>
      </x:c>
      <x:c r="N260" s="16"/>
      <x:c r="O260" s="18">
        <x:v>46249</x:v>
      </x:c>
      <x:c r="P260" s="19" t="s">
        <x:v>34</x:v>
      </x:c>
      <x:c r="Q260" s="17"/>
      <x:c r="R260" s="19" t="str">
        <x:f t="shared" ref="R260:R323" si="4">IF(J260="","Missing Link",IF(AND(ISNUMBER(SEARCH("google.com/maps",J260)),ISERROR(SEARCH(";",J260))),"Discovery Link Only","Source Link Present"))</x:f>
        <x:v>Discovery Link Only</x:v>
      </x:c>
      <x:c r="S260" s="43" t="str">
        <x:v>Unknown</x:v>
      </x:c>
      <x:c r="T260" s="43" t="str">
        <x:v>Unknown</x:v>
      </x:c>
      <x:c r="U260" s="43" t="str">
        <x:v>Unknown</x:v>
      </x:c>
      <x:c r="V260" s="43" t="str">
        <x:v>Unknown</x:v>
      </x:c>
      <x:c r="W260" s="43" t="str">
        <x:v>Unknown</x:v>
      </x:c>
      <x:c r="X260" s="43" t="str">
        <x:v>Unknown</x:v>
      </x:c>
      <x:c r="Y260" s="43" t="str">
        <x:v>Unknown</x:v>
      </x:c>
      <x:c r="Z260" s="43"/>
    </x:row>
    <x:row r="261" ht="60" customHeight="1">
      <x:c r="A261" s="16" t="s">
        <x:v>1551</x:v>
      </x:c>
      <x:c r="B261" s="16" t="s">
        <x:v>1552</x:v>
      </x:c>
      <x:c r="C261" s="16" t="s">
        <x:v>1468</x:v>
      </x:c>
      <x:c r="D261" s="16" t="s">
        <x:v>1484</x:v>
      </x:c>
      <x:c r="E261" s="16" t="s">
        <x:v>72</x:v>
      </x:c>
      <x:c r="F261" s="16" t="s">
        <x:v>107</x:v>
      </x:c>
      <x:c r="G261" s="16" t="s">
        <x:v>26</x:v>
      </x:c>
      <x:c r="H261" s="17" t="s">
        <x:v>1553</x:v>
      </x:c>
      <x:c r="I261" s="17" t="s">
        <x:v>1554</x:v>
      </x:c>
      <x:c r="J261" s="17" t="s">
        <x:v>1555</x:v>
      </x:c>
      <x:c r="K261" s="17" t="s">
        <x:v>1473</x:v>
      </x:c>
      <x:c r="L261" s="17" t="s">
        <x:v>111</x:v>
      </x:c>
      <x:c r="M261" s="17" t="s">
        <x:v>1540</x:v>
      </x:c>
      <x:c r="N261" s="16"/>
      <x:c r="O261" s="18">
        <x:v>46249</x:v>
      </x:c>
      <x:c r="P261" s="19" t="s">
        <x:v>34</x:v>
      </x:c>
      <x:c r="Q261" s="17"/>
      <x:c r="R261" s="19" t="str">
        <x:f t="shared" si="4"/>
        <x:v>Discovery Link Only</x:v>
      </x:c>
      <x:c r="S261" s="43" t="str">
        <x:v>Unknown</x:v>
      </x:c>
      <x:c r="T261" s="43" t="str">
        <x:v>Unknown</x:v>
      </x:c>
      <x:c r="U261" s="43" t="str">
        <x:v>Unknown</x:v>
      </x:c>
      <x:c r="V261" s="43" t="str">
        <x:v>Unknown</x:v>
      </x:c>
      <x:c r="W261" s="43" t="str">
        <x:v>Unknown</x:v>
      </x:c>
      <x:c r="X261" s="43" t="str">
        <x:v>Unknown</x:v>
      </x:c>
      <x:c r="Y261" s="43" t="str">
        <x:v>Unknown</x:v>
      </x:c>
      <x:c r="Z261" s="43"/>
    </x:row>
    <x:row r="262" ht="60" customHeight="1">
      <x:c r="A262" s="16" t="s">
        <x:v>1556</x:v>
      </x:c>
      <x:c r="B262" s="16" t="s">
        <x:v>1557</x:v>
      </x:c>
      <x:c r="C262" s="16" t="s">
        <x:v>1468</x:v>
      </x:c>
      <x:c r="D262" s="16" t="s">
        <x:v>1531</x:v>
      </x:c>
      <x:c r="E262" s="16" t="s">
        <x:v>99</x:v>
      </x:c>
      <x:c r="F262" s="16" t="s">
        <x:v>107</x:v>
      </x:c>
      <x:c r="G262" s="16" t="s">
        <x:v>46</x:v>
      </x:c>
      <x:c r="H262" s="17" t="s">
        <x:v>1558</x:v>
      </x:c>
      <x:c r="I262" s="17" t="s">
        <x:v>1559</x:v>
      </x:c>
      <x:c r="J262" s="17" t="s">
        <x:v>1560</x:v>
      </x:c>
      <x:c r="K262" s="17" t="s">
        <x:v>1473</x:v>
      </x:c>
      <x:c r="L262" s="17" t="s">
        <x:v>111</x:v>
      </x:c>
      <x:c r="M262" s="17" t="s">
        <x:v>1540</x:v>
      </x:c>
      <x:c r="N262" s="16"/>
      <x:c r="O262" s="18">
        <x:v>46249</x:v>
      </x:c>
      <x:c r="P262" s="19" t="s">
        <x:v>34</x:v>
      </x:c>
      <x:c r="Q262" s="17"/>
      <x:c r="R262" s="19" t="str">
        <x:f t="shared" si="4"/>
        <x:v>Discovery Link Only</x:v>
      </x:c>
      <x:c r="S262" s="43" t="str">
        <x:v>Unknown</x:v>
      </x:c>
      <x:c r="T262" s="43" t="str">
        <x:v>Unknown</x:v>
      </x:c>
      <x:c r="U262" s="43" t="str">
        <x:v>Unknown</x:v>
      </x:c>
      <x:c r="V262" s="43" t="str">
        <x:v>Unknown</x:v>
      </x:c>
      <x:c r="W262" s="43" t="str">
        <x:v>Unknown</x:v>
      </x:c>
      <x:c r="X262" s="43" t="str">
        <x:v>Unknown</x:v>
      </x:c>
      <x:c r="Y262" s="43" t="str">
        <x:v>Unknown</x:v>
      </x:c>
      <x:c r="Z262" s="43"/>
    </x:row>
    <x:row r="263" ht="60" customHeight="1">
      <x:c r="A263" s="16" t="s">
        <x:v>1561</x:v>
      </x:c>
      <x:c r="B263" s="16" t="s">
        <x:v>1562</x:v>
      </x:c>
      <x:c r="C263" s="16" t="s">
        <x:v>1468</x:v>
      </x:c>
      <x:c r="D263" s="16" t="s">
        <x:v>1563</x:v>
      </x:c>
      <x:c r="E263" s="16" t="s">
        <x:v>251</x:v>
      </x:c>
      <x:c r="F263" s="16" t="s">
        <x:v>107</x:v>
      </x:c>
      <x:c r="G263" s="16" t="s">
        <x:v>26</x:v>
      </x:c>
      <x:c r="H263" s="17" t="s">
        <x:v>1564</x:v>
      </x:c>
      <x:c r="I263" s="17" t="s">
        <x:v>1565</x:v>
      </x:c>
      <x:c r="J263" s="17" t="s">
        <x:v>1566</x:v>
      </x:c>
      <x:c r="K263" s="17" t="s">
        <x:v>1473</x:v>
      </x:c>
      <x:c r="L263" s="17" t="s">
        <x:v>111</x:v>
      </x:c>
      <x:c r="M263" s="17" t="s">
        <x:v>1540</x:v>
      </x:c>
      <x:c r="N263" s="16"/>
      <x:c r="O263" s="18">
        <x:v>46249</x:v>
      </x:c>
      <x:c r="P263" s="19" t="s">
        <x:v>34</x:v>
      </x:c>
      <x:c r="Q263" s="17"/>
      <x:c r="R263" s="19" t="str">
        <x:f t="shared" si="4"/>
        <x:v>Discovery Link Only</x:v>
      </x:c>
      <x:c r="S263" s="43" t="str">
        <x:v>Unknown</x:v>
      </x:c>
      <x:c r="T263" s="43" t="str">
        <x:v>Unknown</x:v>
      </x:c>
      <x:c r="U263" s="43" t="str">
        <x:v>Unknown</x:v>
      </x:c>
      <x:c r="V263" s="43" t="str">
        <x:v>Unknown</x:v>
      </x:c>
      <x:c r="W263" s="43" t="str">
        <x:v>Unknown</x:v>
      </x:c>
      <x:c r="X263" s="43" t="str">
        <x:v>Unknown</x:v>
      </x:c>
      <x:c r="Y263" s="43" t="str">
        <x:v>Unknown</x:v>
      </x:c>
      <x:c r="Z263" s="43"/>
    </x:row>
    <x:row r="264" ht="60" customHeight="1">
      <x:c r="A264" s="16" t="s">
        <x:v>1567</x:v>
      </x:c>
      <x:c r="B264" s="16" t="s">
        <x:v>1568</x:v>
      </x:c>
      <x:c r="C264" s="16" t="s">
        <x:v>1468</x:v>
      </x:c>
      <x:c r="D264" s="16" t="s">
        <x:v>1569</x:v>
      </x:c>
      <x:c r="E264" s="16" t="s">
        <x:v>54</x:v>
      </x:c>
      <x:c r="F264" s="16" t="s">
        <x:v>121</x:v>
      </x:c>
      <x:c r="G264" s="16" t="s">
        <x:v>46</x:v>
      </x:c>
      <x:c r="H264" s="17" t="s">
        <x:v>1570</x:v>
      </x:c>
      <x:c r="I264" s="17" t="s">
        <x:v>1571</x:v>
      </x:c>
      <x:c r="J264" s="17" t="s">
        <x:v>1572</x:v>
      </x:c>
      <x:c r="K264" s="17" t="s">
        <x:v>1473</x:v>
      </x:c>
      <x:c r="L264" s="17" t="s">
        <x:v>111</x:v>
      </x:c>
      <x:c r="M264" s="17" t="s">
        <x:v>1540</x:v>
      </x:c>
      <x:c r="N264" s="16"/>
      <x:c r="O264" s="18">
        <x:v>46249</x:v>
      </x:c>
      <x:c r="P264" s="19" t="s">
        <x:v>34</x:v>
      </x:c>
      <x:c r="Q264" s="17"/>
      <x:c r="R264" s="19" t="str">
        <x:f t="shared" si="4"/>
        <x:v>Discovery Link Only</x:v>
      </x:c>
      <x:c r="S264" s="43" t="str">
        <x:v>Unknown</x:v>
      </x:c>
      <x:c r="T264" s="43" t="str">
        <x:v>Unknown</x:v>
      </x:c>
      <x:c r="U264" s="43" t="str">
        <x:v>Unknown</x:v>
      </x:c>
      <x:c r="V264" s="43" t="str">
        <x:v>Unknown</x:v>
      </x:c>
      <x:c r="W264" s="43" t="str">
        <x:v>Unknown</x:v>
      </x:c>
      <x:c r="X264" s="43" t="str">
        <x:v>Unknown</x:v>
      </x:c>
      <x:c r="Y264" s="43" t="str">
        <x:v>Unknown</x:v>
      </x:c>
      <x:c r="Z264" s="43"/>
    </x:row>
    <x:row r="265" ht="60" customHeight="1">
      <x:c r="A265" s="16" t="s">
        <x:v>1573</x:v>
      </x:c>
      <x:c r="B265" s="16" t="s">
        <x:v>1574</x:v>
      </x:c>
      <x:c r="C265" s="16" t="s">
        <x:v>1468</x:v>
      </x:c>
      <x:c r="D265" s="16" t="s">
        <x:v>1575</x:v>
      </x:c>
      <x:c r="E265" s="16" t="s">
        <x:v>72</x:v>
      </x:c>
      <x:c r="F265" s="16" t="s">
        <x:v>107</x:v>
      </x:c>
      <x:c r="G265" s="16" t="s">
        <x:v>26</x:v>
      </x:c>
      <x:c r="H265" s="17" t="s">
        <x:v>1576</x:v>
      </x:c>
      <x:c r="I265" s="17" t="s">
        <x:v>1577</x:v>
      </x:c>
      <x:c r="J265" s="17" t="s">
        <x:v>1578</x:v>
      </x:c>
      <x:c r="K265" s="17" t="s">
        <x:v>1473</x:v>
      </x:c>
      <x:c r="L265" s="17" t="s">
        <x:v>111</x:v>
      </x:c>
      <x:c r="M265" s="17" t="s">
        <x:v>1540</x:v>
      </x:c>
      <x:c r="N265" s="16"/>
      <x:c r="O265" s="18">
        <x:v>46249</x:v>
      </x:c>
      <x:c r="P265" s="19" t="s">
        <x:v>34</x:v>
      </x:c>
      <x:c r="Q265" s="17"/>
      <x:c r="R265" s="19" t="str">
        <x:f t="shared" si="4"/>
        <x:v>Discovery Link Only</x:v>
      </x:c>
      <x:c r="S265" s="43" t="str">
        <x:v>Unknown</x:v>
      </x:c>
      <x:c r="T265" s="43" t="str">
        <x:v>Unknown</x:v>
      </x:c>
      <x:c r="U265" s="43" t="str">
        <x:v>Unknown</x:v>
      </x:c>
      <x:c r="V265" s="43" t="str">
        <x:v>Unknown</x:v>
      </x:c>
      <x:c r="W265" s="43" t="str">
        <x:v>Unknown</x:v>
      </x:c>
      <x:c r="X265" s="43" t="str">
        <x:v>Unknown</x:v>
      </x:c>
      <x:c r="Y265" s="43" t="str">
        <x:v>Unknown</x:v>
      </x:c>
      <x:c r="Z265" s="43"/>
    </x:row>
    <x:row r="266" ht="60" customHeight="1">
      <x:c r="A266" s="16" t="s">
        <x:v>1579</x:v>
      </x:c>
      <x:c r="B266" s="16" t="s">
        <x:v>1580</x:v>
      </x:c>
      <x:c r="C266" s="16" t="s">
        <x:v>1468</x:v>
      </x:c>
      <x:c r="D266" s="16" t="s">
        <x:v>1575</x:v>
      </x:c>
      <x:c r="E266" s="16" t="s">
        <x:v>151</x:v>
      </x:c>
      <x:c r="F266" s="16" t="s">
        <x:v>121</x:v>
      </x:c>
      <x:c r="G266" s="16" t="s">
        <x:v>134</x:v>
      </x:c>
      <x:c r="H266" s="17" t="s">
        <x:v>1581</x:v>
      </x:c>
      <x:c r="I266" s="17" t="s">
        <x:v>1582</x:v>
      </x:c>
      <x:c r="J266" s="17" t="s">
        <x:v>1583</x:v>
      </x:c>
      <x:c r="K266" s="17" t="s">
        <x:v>1473</x:v>
      </x:c>
      <x:c r="L266" s="17" t="s">
        <x:v>111</x:v>
      </x:c>
      <x:c r="M266" s="17" t="s">
        <x:v>1540</x:v>
      </x:c>
      <x:c r="N266" s="16"/>
      <x:c r="O266" s="18">
        <x:v>46249</x:v>
      </x:c>
      <x:c r="P266" s="19" t="s">
        <x:v>34</x:v>
      </x:c>
      <x:c r="Q266" s="17"/>
      <x:c r="R266" s="19" t="str">
        <x:f t="shared" si="4"/>
        <x:v>Discovery Link Only</x:v>
      </x:c>
      <x:c r="S266" s="43" t="str">
        <x:v>Unknown</x:v>
      </x:c>
      <x:c r="T266" s="43" t="str">
        <x:v>Unknown</x:v>
      </x:c>
      <x:c r="U266" s="43" t="str">
        <x:v>Unknown</x:v>
      </x:c>
      <x:c r="V266" s="43" t="str">
        <x:v>Unknown</x:v>
      </x:c>
      <x:c r="W266" s="43" t="str">
        <x:v>Unknown</x:v>
      </x:c>
      <x:c r="X266" s="43" t="str">
        <x:v>Unknown</x:v>
      </x:c>
      <x:c r="Y266" s="43" t="str">
        <x:v>Unknown</x:v>
      </x:c>
      <x:c r="Z266" s="43"/>
    </x:row>
    <x:row r="267" ht="60" customHeight="1">
      <x:c r="A267" s="16" t="s">
        <x:v>1584</x:v>
      </x:c>
      <x:c r="B267" s="16" t="s">
        <x:v>1585</x:v>
      </x:c>
      <x:c r="C267" s="16" t="s">
        <x:v>1468</x:v>
      </x:c>
      <x:c r="D267" s="16" t="s">
        <x:v>1586</x:v>
      </x:c>
      <x:c r="E267" s="16" t="s">
        <x:v>115</x:v>
      </x:c>
      <x:c r="F267" s="16" t="s">
        <x:v>107</x:v>
      </x:c>
      <x:c r="G267" s="16" t="s">
        <x:v>46</x:v>
      </x:c>
      <x:c r="H267" s="17" t="s">
        <x:v>1587</x:v>
      </x:c>
      <x:c r="I267" s="17" t="s">
        <x:v>1588</x:v>
      </x:c>
      <x:c r="J267" s="17" t="s">
        <x:v>1589</x:v>
      </x:c>
      <x:c r="K267" s="17" t="s">
        <x:v>1473</x:v>
      </x:c>
      <x:c r="L267" s="17" t="s">
        <x:v>111</x:v>
      </x:c>
      <x:c r="M267" s="17" t="s">
        <x:v>1540</x:v>
      </x:c>
      <x:c r="N267" s="16"/>
      <x:c r="O267" s="18">
        <x:v>46249</x:v>
      </x:c>
      <x:c r="P267" s="19" t="s">
        <x:v>34</x:v>
      </x:c>
      <x:c r="Q267" s="17"/>
      <x:c r="R267" s="19" t="str">
        <x:f t="shared" si="4"/>
        <x:v>Discovery Link Only</x:v>
      </x:c>
      <x:c r="S267" s="43" t="str">
        <x:v>Unknown</x:v>
      </x:c>
      <x:c r="T267" s="43" t="str">
        <x:v>Unknown</x:v>
      </x:c>
      <x:c r="U267" s="43" t="str">
        <x:v>Unknown</x:v>
      </x:c>
      <x:c r="V267" s="43" t="str">
        <x:v>Unknown</x:v>
      </x:c>
      <x:c r="W267" s="43" t="str">
        <x:v>Unknown</x:v>
      </x:c>
      <x:c r="X267" s="43" t="str">
        <x:v>Unknown</x:v>
      </x:c>
      <x:c r="Y267" s="43" t="str">
        <x:v>Unknown</x:v>
      </x:c>
      <x:c r="Z267" s="43"/>
    </x:row>
    <x:row r="268" ht="60" customHeight="1">
      <x:c r="A268" s="16" t="s">
        <x:v>1590</x:v>
      </x:c>
      <x:c r="B268" s="16" t="s">
        <x:v>1591</x:v>
      </x:c>
      <x:c r="C268" s="16" t="s">
        <x:v>1468</x:v>
      </x:c>
      <x:c r="D268" s="16" t="s">
        <x:v>1586</x:v>
      </x:c>
      <x:c r="E268" s="16" t="s">
        <x:v>162</x:v>
      </x:c>
      <x:c r="F268" s="16" t="s">
        <x:v>107</x:v>
      </x:c>
      <x:c r="G268" s="16" t="s">
        <x:v>46</x:v>
      </x:c>
      <x:c r="H268" s="17" t="s">
        <x:v>1592</x:v>
      </x:c>
      <x:c r="I268" s="17" t="s">
        <x:v>1593</x:v>
      </x:c>
      <x:c r="J268" s="17" t="s">
        <x:v>1594</x:v>
      </x:c>
      <x:c r="K268" s="17" t="s">
        <x:v>1473</x:v>
      </x:c>
      <x:c r="L268" s="17" t="s">
        <x:v>111</x:v>
      </x:c>
      <x:c r="M268" s="17" t="s">
        <x:v>1540</x:v>
      </x:c>
      <x:c r="N268" s="16"/>
      <x:c r="O268" s="18">
        <x:v>46249</x:v>
      </x:c>
      <x:c r="P268" s="19" t="s">
        <x:v>34</x:v>
      </x:c>
      <x:c r="Q268" s="17"/>
      <x:c r="R268" s="19" t="str">
        <x:f t="shared" si="4"/>
        <x:v>Discovery Link Only</x:v>
      </x:c>
      <x:c r="S268" s="43" t="str">
        <x:v>Unknown</x:v>
      </x:c>
      <x:c r="T268" s="43" t="str">
        <x:v>Unknown</x:v>
      </x:c>
      <x:c r="U268" s="43" t="str">
        <x:v>Unknown</x:v>
      </x:c>
      <x:c r="V268" s="43" t="str">
        <x:v>Unknown</x:v>
      </x:c>
      <x:c r="W268" s="43" t="str">
        <x:v>Unknown</x:v>
      </x:c>
      <x:c r="X268" s="43" t="str">
        <x:v>Unknown</x:v>
      </x:c>
      <x:c r="Y268" s="43" t="str">
        <x:v>Unknown</x:v>
      </x:c>
      <x:c r="Z268" s="43"/>
    </x:row>
    <x:row r="269" ht="60" customHeight="1">
      <x:c r="A269" s="16" t="s">
        <x:v>1595</x:v>
      </x:c>
      <x:c r="B269" s="16" t="s">
        <x:v>1596</x:v>
      </x:c>
      <x:c r="C269" s="16" t="s">
        <x:v>1468</x:v>
      </x:c>
      <x:c r="D269" s="16" t="s">
        <x:v>1510</x:v>
      </x:c>
      <x:c r="E269" s="16" t="s">
        <x:v>162</x:v>
      </x:c>
      <x:c r="F269" s="16" t="s">
        <x:v>121</x:v>
      </x:c>
      <x:c r="G269" s="16" t="s">
        <x:v>46</x:v>
      </x:c>
      <x:c r="H269" s="17" t="s">
        <x:v>1597</x:v>
      </x:c>
      <x:c r="I269" s="17" t="s">
        <x:v>1598</x:v>
      </x:c>
      <x:c r="J269" s="17" t="s">
        <x:v>1599</x:v>
      </x:c>
      <x:c r="K269" s="17" t="s">
        <x:v>1473</x:v>
      </x:c>
      <x:c r="L269" s="17" t="s">
        <x:v>111</x:v>
      </x:c>
      <x:c r="M269" s="17" t="s">
        <x:v>1540</x:v>
      </x:c>
      <x:c r="N269" s="16"/>
      <x:c r="O269" s="18">
        <x:v>46249</x:v>
      </x:c>
      <x:c r="P269" s="19" t="s">
        <x:v>34</x:v>
      </x:c>
      <x:c r="Q269" s="17"/>
      <x:c r="R269" s="19" t="str">
        <x:f t="shared" si="4"/>
        <x:v>Discovery Link Only</x:v>
      </x:c>
      <x:c r="S269" s="43" t="str">
        <x:v>Unknown</x:v>
      </x:c>
      <x:c r="T269" s="43" t="str">
        <x:v>Unknown</x:v>
      </x:c>
      <x:c r="U269" s="43" t="str">
        <x:v>Unknown</x:v>
      </x:c>
      <x:c r="V269" s="43" t="str">
        <x:v>Unknown</x:v>
      </x:c>
      <x:c r="W269" s="43" t="str">
        <x:v>Unknown</x:v>
      </x:c>
      <x:c r="X269" s="43" t="str">
        <x:v>Unknown</x:v>
      </x:c>
      <x:c r="Y269" s="43" t="str">
        <x:v>Unknown</x:v>
      </x:c>
      <x:c r="Z269" s="43"/>
    </x:row>
    <x:row r="270" ht="60" customHeight="1">
      <x:c r="A270" s="16" t="s">
        <x:v>1600</x:v>
      </x:c>
      <x:c r="B270" s="16" t="s">
        <x:v>1601</x:v>
      </x:c>
      <x:c r="C270" s="16" t="s">
        <x:v>1468</x:v>
      </x:c>
      <x:c r="D270" s="16" t="s">
        <x:v>1524</x:v>
      </x:c>
      <x:c r="E270" s="16" t="s">
        <x:v>162</x:v>
      </x:c>
      <x:c r="F270" s="16" t="s">
        <x:v>194</x:v>
      </x:c>
      <x:c r="G270" s="16" t="s">
        <x:v>46</x:v>
      </x:c>
      <x:c r="H270" s="17" t="s">
        <x:v>1602</x:v>
      </x:c>
      <x:c r="I270" s="17" t="s">
        <x:v>1603</x:v>
      </x:c>
      <x:c r="J270" s="17" t="s">
        <x:v>1604</x:v>
      </x:c>
      <x:c r="K270" s="17" t="s">
        <x:v>1473</x:v>
      </x:c>
      <x:c r="L270" s="17" t="s">
        <x:v>111</x:v>
      </x:c>
      <x:c r="M270" s="17" t="s">
        <x:v>1540</x:v>
      </x:c>
      <x:c r="N270" s="16"/>
      <x:c r="O270" s="18">
        <x:v>46249</x:v>
      </x:c>
      <x:c r="P270" s="19" t="s">
        <x:v>34</x:v>
      </x:c>
      <x:c r="Q270" s="17"/>
      <x:c r="R270" s="19" t="str">
        <x:f t="shared" si="4"/>
        <x:v>Discovery Link Only</x:v>
      </x:c>
      <x:c r="S270" s="43" t="str">
        <x:v>Unknown</x:v>
      </x:c>
      <x:c r="T270" s="43" t="str">
        <x:v>Unknown</x:v>
      </x:c>
      <x:c r="U270" s="43" t="str">
        <x:v>Unknown</x:v>
      </x:c>
      <x:c r="V270" s="43" t="str">
        <x:v>Unknown</x:v>
      </x:c>
      <x:c r="W270" s="43" t="str">
        <x:v>Unknown</x:v>
      </x:c>
      <x:c r="X270" s="43" t="str">
        <x:v>Unknown</x:v>
      </x:c>
      <x:c r="Y270" s="43" t="str">
        <x:v>Unknown</x:v>
      </x:c>
      <x:c r="Z270" s="43"/>
    </x:row>
    <x:row r="271" ht="60" customHeight="1">
      <x:c r="A271" s="16" t="s">
        <x:v>1605</x:v>
      </x:c>
      <x:c r="B271" s="16" t="s">
        <x:v>1606</x:v>
      </x:c>
      <x:c r="C271" s="16" t="s">
        <x:v>1468</x:v>
      </x:c>
      <x:c r="D271" s="16" t="s">
        <x:v>1524</x:v>
      </x:c>
      <x:c r="E271" s="16" t="s">
        <x:v>99</x:v>
      </x:c>
      <x:c r="F271" s="16" t="s">
        <x:v>194</x:v>
      </x:c>
      <x:c r="G271" s="16" t="s">
        <x:v>46</x:v>
      </x:c>
      <x:c r="H271" s="17" t="s">
        <x:v>1607</x:v>
      </x:c>
      <x:c r="I271" s="17" t="s">
        <x:v>1608</x:v>
      </x:c>
      <x:c r="J271" s="17" t="s">
        <x:v>1609</x:v>
      </x:c>
      <x:c r="K271" s="17" t="s">
        <x:v>1473</x:v>
      </x:c>
      <x:c r="L271" s="17" t="s">
        <x:v>111</x:v>
      </x:c>
      <x:c r="M271" s="17" t="s">
        <x:v>1540</x:v>
      </x:c>
      <x:c r="N271" s="16"/>
      <x:c r="O271" s="18">
        <x:v>46249</x:v>
      </x:c>
      <x:c r="P271" s="19" t="s">
        <x:v>34</x:v>
      </x:c>
      <x:c r="Q271" s="17"/>
      <x:c r="R271" s="19" t="str">
        <x:f t="shared" si="4"/>
        <x:v>Discovery Link Only</x:v>
      </x:c>
      <x:c r="S271" s="43" t="str">
        <x:v>Unknown</x:v>
      </x:c>
      <x:c r="T271" s="43" t="str">
        <x:v>Unknown</x:v>
      </x:c>
      <x:c r="U271" s="43" t="str">
        <x:v>Unknown</x:v>
      </x:c>
      <x:c r="V271" s="43" t="str">
        <x:v>Unknown</x:v>
      </x:c>
      <x:c r="W271" s="43" t="str">
        <x:v>Unknown</x:v>
      </x:c>
      <x:c r="X271" s="43" t="str">
        <x:v>Unknown</x:v>
      </x:c>
      <x:c r="Y271" s="43" t="str">
        <x:v>Unknown</x:v>
      </x:c>
      <x:c r="Z271" s="43"/>
    </x:row>
    <x:row r="272" ht="60" customHeight="1">
      <x:c r="A272" s="16" t="s">
        <x:v>1610</x:v>
      </x:c>
      <x:c r="B272" s="16" t="s">
        <x:v>1611</x:v>
      </x:c>
      <x:c r="C272" s="16" t="s">
        <x:v>1468</x:v>
      </x:c>
      <x:c r="D272" s="16" t="s">
        <x:v>1491</x:v>
      </x:c>
      <x:c r="E272" s="16" t="s">
        <x:v>37</x:v>
      </x:c>
      <x:c r="F272" s="16" t="s">
        <x:v>107</x:v>
      </x:c>
      <x:c r="G272" s="16" t="s">
        <x:v>26</x:v>
      </x:c>
      <x:c r="H272" s="17" t="s">
        <x:v>1612</x:v>
      </x:c>
      <x:c r="I272" s="17" t="s">
        <x:v>1613</x:v>
      </x:c>
      <x:c r="J272" s="17" t="s">
        <x:v>1614</x:v>
      </x:c>
      <x:c r="K272" s="17" t="s">
        <x:v>1473</x:v>
      </x:c>
      <x:c r="L272" s="17" t="s">
        <x:v>111</x:v>
      </x:c>
      <x:c r="M272" s="17" t="s">
        <x:v>1540</x:v>
      </x:c>
      <x:c r="N272" s="16"/>
      <x:c r="O272" s="18">
        <x:v>46249</x:v>
      </x:c>
      <x:c r="P272" s="19" t="s">
        <x:v>34</x:v>
      </x:c>
      <x:c r="Q272" s="17"/>
      <x:c r="R272" s="19" t="str">
        <x:f t="shared" si="4"/>
        <x:v>Discovery Link Only</x:v>
      </x:c>
      <x:c r="S272" s="43" t="str">
        <x:v>Unknown</x:v>
      </x:c>
      <x:c r="T272" s="43" t="str">
        <x:v>Unknown</x:v>
      </x:c>
      <x:c r="U272" s="43" t="str">
        <x:v>Unknown</x:v>
      </x:c>
      <x:c r="V272" s="43" t="str">
        <x:v>Unknown</x:v>
      </x:c>
      <x:c r="W272" s="43" t="str">
        <x:v>Unknown</x:v>
      </x:c>
      <x:c r="X272" s="43" t="str">
        <x:v>Unknown</x:v>
      </x:c>
      <x:c r="Y272" s="43" t="str">
        <x:v>Unknown</x:v>
      </x:c>
      <x:c r="Z272" s="43"/>
    </x:row>
    <x:row r="273" ht="60" customHeight="1">
      <x:c r="A273" s="16" t="s">
        <x:v>1615</x:v>
      </x:c>
      <x:c r="B273" s="16" t="s">
        <x:v>1616</x:v>
      </x:c>
      <x:c r="C273" s="16" t="s">
        <x:v>1468</x:v>
      </x:c>
      <x:c r="D273" s="16" t="s">
        <x:v>1491</x:v>
      </x:c>
      <x:c r="E273" s="16" t="s">
        <x:v>45</x:v>
      </x:c>
      <x:c r="F273" s="16" t="s">
        <x:v>107</x:v>
      </x:c>
      <x:c r="G273" s="16" t="s">
        <x:v>26</x:v>
      </x:c>
      <x:c r="H273" s="17" t="s">
        <x:v>1617</x:v>
      </x:c>
      <x:c r="I273" s="17" t="s">
        <x:v>1618</x:v>
      </x:c>
      <x:c r="J273" s="17" t="s">
        <x:v>1619</x:v>
      </x:c>
      <x:c r="K273" s="17" t="s">
        <x:v>1473</x:v>
      </x:c>
      <x:c r="L273" s="17" t="s">
        <x:v>111</x:v>
      </x:c>
      <x:c r="M273" s="17" t="s">
        <x:v>1540</x:v>
      </x:c>
      <x:c r="N273" s="16"/>
      <x:c r="O273" s="18">
        <x:v>46249</x:v>
      </x:c>
      <x:c r="P273" s="19" t="s">
        <x:v>34</x:v>
      </x:c>
      <x:c r="Q273" s="17"/>
      <x:c r="R273" s="19" t="str">
        <x:f t="shared" si="4"/>
        <x:v>Discovery Link Only</x:v>
      </x:c>
      <x:c r="S273" s="43" t="str">
        <x:v>Unknown</x:v>
      </x:c>
      <x:c r="T273" s="43" t="str">
        <x:v>Unknown</x:v>
      </x:c>
      <x:c r="U273" s="43" t="str">
        <x:v>Unknown</x:v>
      </x:c>
      <x:c r="V273" s="43" t="str">
        <x:v>Unknown</x:v>
      </x:c>
      <x:c r="W273" s="43" t="str">
        <x:v>Unknown</x:v>
      </x:c>
      <x:c r="X273" s="43" t="str">
        <x:v>Unknown</x:v>
      </x:c>
      <x:c r="Y273" s="43" t="str">
        <x:v>Unknown</x:v>
      </x:c>
      <x:c r="Z273" s="43"/>
    </x:row>
    <x:row r="274" ht="60" customHeight="1">
      <x:c r="A274" s="16" t="s">
        <x:v>1620</x:v>
      </x:c>
      <x:c r="B274" s="16" t="s">
        <x:v>1621</x:v>
      </x:c>
      <x:c r="C274" s="16" t="s">
        <x:v>1468</x:v>
      </x:c>
      <x:c r="D274" s="16" t="s">
        <x:v>1491</x:v>
      </x:c>
      <x:c r="E274" s="16" t="s">
        <x:v>115</x:v>
      </x:c>
      <x:c r="F274" s="16" t="s">
        <x:v>107</x:v>
      </x:c>
      <x:c r="G274" s="16" t="s">
        <x:v>46</x:v>
      </x:c>
      <x:c r="H274" s="17" t="s">
        <x:v>1622</x:v>
      </x:c>
      <x:c r="I274" s="17" t="s">
        <x:v>1623</x:v>
      </x:c>
      <x:c r="J274" s="17" t="s">
        <x:v>1624</x:v>
      </x:c>
      <x:c r="K274" s="17" t="s">
        <x:v>1473</x:v>
      </x:c>
      <x:c r="L274" s="17" t="s">
        <x:v>111</x:v>
      </x:c>
      <x:c r="M274" s="17" t="s">
        <x:v>1540</x:v>
      </x:c>
      <x:c r="N274" s="16"/>
      <x:c r="O274" s="18">
        <x:v>46249</x:v>
      </x:c>
      <x:c r="P274" s="19" t="s">
        <x:v>34</x:v>
      </x:c>
      <x:c r="Q274" s="17"/>
      <x:c r="R274" s="19" t="str">
        <x:f t="shared" si="4"/>
        <x:v>Discovery Link Only</x:v>
      </x:c>
      <x:c r="S274" s="43" t="str">
        <x:v>Unknown</x:v>
      </x:c>
      <x:c r="T274" s="43" t="str">
        <x:v>Unknown</x:v>
      </x:c>
      <x:c r="U274" s="43" t="str">
        <x:v>Unknown</x:v>
      </x:c>
      <x:c r="V274" s="43" t="str">
        <x:v>Unknown</x:v>
      </x:c>
      <x:c r="W274" s="43" t="str">
        <x:v>Unknown</x:v>
      </x:c>
      <x:c r="X274" s="43" t="str">
        <x:v>Unknown</x:v>
      </x:c>
      <x:c r="Y274" s="43" t="str">
        <x:v>Unknown</x:v>
      </x:c>
      <x:c r="Z274" s="43"/>
    </x:row>
    <x:row r="275" ht="60" customHeight="1">
      <x:c r="A275" s="16" t="s">
        <x:v>1625</x:v>
      </x:c>
      <x:c r="B275" s="16" t="s">
        <x:v>1626</x:v>
      </x:c>
      <x:c r="C275" s="16" t="s">
        <x:v>1468</x:v>
      </x:c>
      <x:c r="D275" s="16" t="s">
        <x:v>1627</x:v>
      </x:c>
      <x:c r="E275" s="16" t="s">
        <x:v>37</x:v>
      </x:c>
      <x:c r="F275" s="16" t="s">
        <x:v>107</x:v>
      </x:c>
      <x:c r="G275" s="16" t="s">
        <x:v>26</x:v>
      </x:c>
      <x:c r="H275" s="17" t="s">
        <x:v>1628</x:v>
      </x:c>
      <x:c r="I275" s="17" t="s">
        <x:v>1629</x:v>
      </x:c>
      <x:c r="J275" s="17" t="s">
        <x:v>1630</x:v>
      </x:c>
      <x:c r="K275" s="17" t="s">
        <x:v>1473</x:v>
      </x:c>
      <x:c r="L275" s="17" t="s">
        <x:v>111</x:v>
      </x:c>
      <x:c r="M275" s="17" t="s">
        <x:v>1540</x:v>
      </x:c>
      <x:c r="N275" s="16"/>
      <x:c r="O275" s="18">
        <x:v>46249</x:v>
      </x:c>
      <x:c r="P275" s="19" t="s">
        <x:v>34</x:v>
      </x:c>
      <x:c r="Q275" s="17"/>
      <x:c r="R275" s="19" t="str">
        <x:f t="shared" si="4"/>
        <x:v>Discovery Link Only</x:v>
      </x:c>
      <x:c r="S275" s="43" t="str">
        <x:v>Unknown</x:v>
      </x:c>
      <x:c r="T275" s="43" t="str">
        <x:v>Unknown</x:v>
      </x:c>
      <x:c r="U275" s="43" t="str">
        <x:v>Unknown</x:v>
      </x:c>
      <x:c r="V275" s="43" t="str">
        <x:v>Unknown</x:v>
      </x:c>
      <x:c r="W275" s="43" t="str">
        <x:v>Unknown</x:v>
      </x:c>
      <x:c r="X275" s="43" t="str">
        <x:v>Unknown</x:v>
      </x:c>
      <x:c r="Y275" s="43" t="str">
        <x:v>Unknown</x:v>
      </x:c>
      <x:c r="Z275" s="43"/>
    </x:row>
    <x:row r="276" ht="60" customHeight="1">
      <x:c r="A276" s="16" t="s">
        <x:v>1631</x:v>
      </x:c>
      <x:c r="B276" s="16" t="s">
        <x:v>1632</x:v>
      </x:c>
      <x:c r="C276" s="16" t="s">
        <x:v>1468</x:v>
      </x:c>
      <x:c r="D276" s="16" t="s">
        <x:v>1517</x:v>
      </x:c>
      <x:c r="E276" s="16" t="s">
        <x:v>37</x:v>
      </x:c>
      <x:c r="F276" s="16" t="s">
        <x:v>107</x:v>
      </x:c>
      <x:c r="G276" s="16" t="s">
        <x:v>26</x:v>
      </x:c>
      <x:c r="H276" s="17" t="s">
        <x:v>1633</x:v>
      </x:c>
      <x:c r="I276" s="17" t="s">
        <x:v>1634</x:v>
      </x:c>
      <x:c r="J276" s="17" t="s">
        <x:v>1635</x:v>
      </x:c>
      <x:c r="K276" s="17" t="s">
        <x:v>1473</x:v>
      </x:c>
      <x:c r="L276" s="17" t="s">
        <x:v>111</x:v>
      </x:c>
      <x:c r="M276" s="17" t="s">
        <x:v>1540</x:v>
      </x:c>
      <x:c r="N276" s="16"/>
      <x:c r="O276" s="18">
        <x:v>46249</x:v>
      </x:c>
      <x:c r="P276" s="19" t="s">
        <x:v>34</x:v>
      </x:c>
      <x:c r="Q276" s="17"/>
      <x:c r="R276" s="19" t="str">
        <x:f t="shared" si="4"/>
        <x:v>Discovery Link Only</x:v>
      </x:c>
      <x:c r="S276" s="43" t="str">
        <x:v>Unknown</x:v>
      </x:c>
      <x:c r="T276" s="43" t="str">
        <x:v>Unknown</x:v>
      </x:c>
      <x:c r="U276" s="43" t="str">
        <x:v>Unknown</x:v>
      </x:c>
      <x:c r="V276" s="43" t="str">
        <x:v>Unknown</x:v>
      </x:c>
      <x:c r="W276" s="43" t="str">
        <x:v>Unknown</x:v>
      </x:c>
      <x:c r="X276" s="43" t="str">
        <x:v>Unknown</x:v>
      </x:c>
      <x:c r="Y276" s="43" t="str">
        <x:v>Unknown</x:v>
      </x:c>
      <x:c r="Z276" s="43"/>
    </x:row>
    <x:row r="277" ht="60" customHeight="1">
      <x:c r="A277" s="16" t="s">
        <x:v>1636</x:v>
      </x:c>
      <x:c r="B277" s="16" t="s">
        <x:v>1637</x:v>
      </x:c>
      <x:c r="C277" s="16" t="s">
        <x:v>1468</x:v>
      </x:c>
      <x:c r="D277" s="16" t="s">
        <x:v>1477</x:v>
      </x:c>
      <x:c r="E277" s="16" t="s">
        <x:v>72</x:v>
      </x:c>
      <x:c r="F277" s="16" t="s">
        <x:v>107</x:v>
      </x:c>
      <x:c r="G277" s="16" t="s">
        <x:v>26</x:v>
      </x:c>
      <x:c r="H277" s="17" t="s">
        <x:v>1638</x:v>
      </x:c>
      <x:c r="I277" s="17" t="s">
        <x:v>1639</x:v>
      </x:c>
      <x:c r="J277" s="17" t="s">
        <x:v>1640</x:v>
      </x:c>
      <x:c r="K277" s="17" t="s">
        <x:v>1473</x:v>
      </x:c>
      <x:c r="L277" s="17" t="s">
        <x:v>111</x:v>
      </x:c>
      <x:c r="M277" s="17" t="s">
        <x:v>1540</x:v>
      </x:c>
      <x:c r="N277" s="16"/>
      <x:c r="O277" s="18">
        <x:v>46249</x:v>
      </x:c>
      <x:c r="P277" s="19" t="s">
        <x:v>34</x:v>
      </x:c>
      <x:c r="Q277" s="17"/>
      <x:c r="R277" s="19" t="str">
        <x:f t="shared" si="4"/>
        <x:v>Discovery Link Only</x:v>
      </x:c>
      <x:c r="S277" s="43" t="str">
        <x:v>Unknown</x:v>
      </x:c>
      <x:c r="T277" s="43" t="str">
        <x:v>Unknown</x:v>
      </x:c>
      <x:c r="U277" s="43" t="str">
        <x:v>Unknown</x:v>
      </x:c>
      <x:c r="V277" s="43" t="str">
        <x:v>Unknown</x:v>
      </x:c>
      <x:c r="W277" s="43" t="str">
        <x:v>Unknown</x:v>
      </x:c>
      <x:c r="X277" s="43" t="str">
        <x:v>Unknown</x:v>
      </x:c>
      <x:c r="Y277" s="43" t="str">
        <x:v>Unknown</x:v>
      </x:c>
      <x:c r="Z277" s="43"/>
    </x:row>
    <x:row r="278" ht="60" customHeight="1">
      <x:c r="A278" s="16" t="s">
        <x:v>1641</x:v>
      </x:c>
      <x:c r="B278" s="16" t="s">
        <x:v>1642</x:v>
      </x:c>
      <x:c r="C278" s="16" t="s">
        <x:v>1468</x:v>
      </x:c>
      <x:c r="D278" s="16" t="s">
        <x:v>1643</x:v>
      </x:c>
      <x:c r="E278" s="16" t="s">
        <x:v>45</x:v>
      </x:c>
      <x:c r="F278" s="16" t="s">
        <x:v>121</x:v>
      </x:c>
      <x:c r="G278" s="16" t="s">
        <x:v>26</x:v>
      </x:c>
      <x:c r="H278" s="17" t="s">
        <x:v>1644</x:v>
      </x:c>
      <x:c r="I278" s="17" t="s">
        <x:v>1645</x:v>
      </x:c>
      <x:c r="J278" s="17" t="s">
        <x:v>1646</x:v>
      </x:c>
      <x:c r="K278" s="17" t="s">
        <x:v>1473</x:v>
      </x:c>
      <x:c r="L278" s="17" t="s">
        <x:v>111</x:v>
      </x:c>
      <x:c r="M278" s="17" t="s">
        <x:v>1540</x:v>
      </x:c>
      <x:c r="N278" s="16"/>
      <x:c r="O278" s="18">
        <x:v>46249</x:v>
      </x:c>
      <x:c r="P278" s="19" t="s">
        <x:v>34</x:v>
      </x:c>
      <x:c r="Q278" s="17"/>
      <x:c r="R278" s="19" t="str">
        <x:f t="shared" si="4"/>
        <x:v>Discovery Link Only</x:v>
      </x:c>
      <x:c r="S278" s="43" t="str">
        <x:v>Unknown</x:v>
      </x:c>
      <x:c r="T278" s="43" t="str">
        <x:v>Unknown</x:v>
      </x:c>
      <x:c r="U278" s="43" t="str">
        <x:v>Unknown</x:v>
      </x:c>
      <x:c r="V278" s="43" t="str">
        <x:v>Unknown</x:v>
      </x:c>
      <x:c r="W278" s="43" t="str">
        <x:v>Unknown</x:v>
      </x:c>
      <x:c r="X278" s="43" t="str">
        <x:v>Unknown</x:v>
      </x:c>
      <x:c r="Y278" s="43" t="str">
        <x:v>Unknown</x:v>
      </x:c>
      <x:c r="Z278" s="43"/>
    </x:row>
    <x:row r="279" ht="60" customHeight="1">
      <x:c r="A279" s="16" t="s">
        <x:v>1647</x:v>
      </x:c>
      <x:c r="B279" s="16" t="s">
        <x:v>1648</x:v>
      </x:c>
      <x:c r="C279" s="16" t="s">
        <x:v>1468</x:v>
      </x:c>
      <x:c r="D279" s="16" t="s">
        <x:v>1649</x:v>
      </x:c>
      <x:c r="E279" s="16" t="s">
        <x:v>162</x:v>
      </x:c>
      <x:c r="F279" s="16" t="s">
        <x:v>121</x:v>
      </x:c>
      <x:c r="G279" s="16" t="s">
        <x:v>46</x:v>
      </x:c>
      <x:c r="H279" s="17" t="s">
        <x:v>1012</x:v>
      </x:c>
      <x:c r="I279" s="17" t="s">
        <x:v>1650</x:v>
      </x:c>
      <x:c r="J279" s="17" t="s">
        <x:v>1651</x:v>
      </x:c>
      <x:c r="K279" s="17" t="s">
        <x:v>1473</x:v>
      </x:c>
      <x:c r="L279" s="17" t="s">
        <x:v>111</x:v>
      </x:c>
      <x:c r="M279" s="17" t="s">
        <x:v>1540</x:v>
      </x:c>
      <x:c r="N279" s="16"/>
      <x:c r="O279" s="18">
        <x:v>46249</x:v>
      </x:c>
      <x:c r="P279" s="19" t="s">
        <x:v>34</x:v>
      </x:c>
      <x:c r="Q279" s="17"/>
      <x:c r="R279" s="19" t="str">
        <x:f t="shared" si="4"/>
        <x:v>Discovery Link Only</x:v>
      </x:c>
      <x:c r="S279" s="43" t="str">
        <x:v>Unknown</x:v>
      </x:c>
      <x:c r="T279" s="43" t="str">
        <x:v>Unknown</x:v>
      </x:c>
      <x:c r="U279" s="43" t="str">
        <x:v>Unknown</x:v>
      </x:c>
      <x:c r="V279" s="43" t="str">
        <x:v>Unknown</x:v>
      </x:c>
      <x:c r="W279" s="43" t="str">
        <x:v>Unknown</x:v>
      </x:c>
      <x:c r="X279" s="43" t="str">
        <x:v>Unknown</x:v>
      </x:c>
      <x:c r="Y279" s="43" t="str">
        <x:v>Unknown</x:v>
      </x:c>
      <x:c r="Z279" s="43"/>
    </x:row>
    <x:row r="280" ht="60" customHeight="1">
      <x:c r="A280" s="16" t="s">
        <x:v>1652</x:v>
      </x:c>
      <x:c r="B280" s="16" t="s">
        <x:v>1653</x:v>
      </x:c>
      <x:c r="C280" s="16" t="s">
        <x:v>1468</x:v>
      </x:c>
      <x:c r="D280" s="16" t="s">
        <x:v>1654</x:v>
      </x:c>
      <x:c r="E280" s="16" t="s">
        <x:v>115</x:v>
      </x:c>
      <x:c r="F280" s="16" t="s">
        <x:v>127</x:v>
      </x:c>
      <x:c r="G280" s="16" t="s">
        <x:v>46</x:v>
      </x:c>
      <x:c r="H280" s="17" t="s">
        <x:v>1655</x:v>
      </x:c>
      <x:c r="I280" s="17" t="s">
        <x:v>1656</x:v>
      </x:c>
      <x:c r="J280" s="17" t="s">
        <x:v>1657</x:v>
      </x:c>
      <x:c r="K280" s="17" t="s">
        <x:v>1473</x:v>
      </x:c>
      <x:c r="L280" s="17" t="s">
        <x:v>111</x:v>
      </x:c>
      <x:c r="M280" s="17" t="s">
        <x:v>1540</x:v>
      </x:c>
      <x:c r="N280" s="16"/>
      <x:c r="O280" s="18">
        <x:v>46249</x:v>
      </x:c>
      <x:c r="P280" s="19" t="s">
        <x:v>34</x:v>
      </x:c>
      <x:c r="Q280" s="17"/>
      <x:c r="R280" s="19" t="str">
        <x:f t="shared" si="4"/>
        <x:v>Discovery Link Only</x:v>
      </x:c>
      <x:c r="S280" s="43" t="str">
        <x:v>Unknown</x:v>
      </x:c>
      <x:c r="T280" s="43" t="str">
        <x:v>Unknown</x:v>
      </x:c>
      <x:c r="U280" s="43" t="str">
        <x:v>Unknown</x:v>
      </x:c>
      <x:c r="V280" s="43" t="str">
        <x:v>Unknown</x:v>
      </x:c>
      <x:c r="W280" s="43" t="str">
        <x:v>Unknown</x:v>
      </x:c>
      <x:c r="X280" s="43" t="str">
        <x:v>Unknown</x:v>
      </x:c>
      <x:c r="Y280" s="43" t="str">
        <x:v>Unknown</x:v>
      </x:c>
      <x:c r="Z280" s="43"/>
    </x:row>
    <x:row r="281" ht="60" customHeight="1">
      <x:c r="A281" s="16" t="s">
        <x:v>1658</x:v>
      </x:c>
      <x:c r="B281" s="16" t="s">
        <x:v>1659</x:v>
      </x:c>
      <x:c r="C281" s="16" t="s">
        <x:v>1660</x:v>
      </x:c>
      <x:c r="D281" s="16" t="s">
        <x:v>1661</x:v>
      </x:c>
      <x:c r="E281" s="16" t="s">
        <x:v>45</x:v>
      </x:c>
      <x:c r="F281" s="16" t="s">
        <x:v>25</x:v>
      </x:c>
      <x:c r="G281" s="16" t="s">
        <x:v>26</x:v>
      </x:c>
      <x:c r="H281" s="17" t="s">
        <x:v>1662</x:v>
      </x:c>
      <x:c r="I281" s="17" t="s">
        <x:v>1663</x:v>
      </x:c>
      <x:c r="J281" s="17" t="s">
        <x:v>1664</x:v>
      </x:c>
      <x:c r="K281" s="17" t="s">
        <x:v>1665</x:v>
      </x:c>
      <x:c r="L281" s="17" t="s">
        <x:v>58</x:v>
      </x:c>
      <x:c r="M281" s="17" t="s">
        <x:v>256</x:v>
      </x:c>
      <x:c r="N281" s="16" t="s">
        <x:v>1666</x:v>
      </x:c>
      <x:c r="O281" s="18">
        <x:v>46249</x:v>
      </x:c>
      <x:c r="P281" s="19" t="s">
        <x:v>34</x:v>
      </x:c>
      <x:c r="Q281" s="17"/>
      <x:c r="R281" s="19" t="str">
        <x:f t="shared" si="4"/>
        <x:v>Source Link Present</x:v>
      </x:c>
      <x:c r="S281" s="43" t="str">
        <x:v>Unknown</x:v>
      </x:c>
      <x:c r="T281" s="43" t="str">
        <x:v>Unknown</x:v>
      </x:c>
      <x:c r="U281" s="43" t="str">
        <x:v>Unknown</x:v>
      </x:c>
      <x:c r="V281" s="43" t="str">
        <x:v>Unknown</x:v>
      </x:c>
      <x:c r="W281" s="43" t="str">
        <x:v>Unknown</x:v>
      </x:c>
      <x:c r="X281" s="43" t="str">
        <x:v>Unknown</x:v>
      </x:c>
      <x:c r="Y281" s="43" t="str">
        <x:v>Unknown</x:v>
      </x:c>
      <x:c r="Z281" s="43"/>
    </x:row>
    <x:row r="282" ht="60" customHeight="1">
      <x:c r="A282" s="16" t="s">
        <x:v>1667</x:v>
      </x:c>
      <x:c r="B282" s="16" t="s">
        <x:v>1668</x:v>
      </x:c>
      <x:c r="C282" s="16" t="s">
        <x:v>1660</x:v>
      </x:c>
      <x:c r="D282" s="16" t="s">
        <x:v>1669</x:v>
      </x:c>
      <x:c r="E282" s="16" t="s">
        <x:v>45</x:v>
      </x:c>
      <x:c r="F282" s="16" t="s">
        <x:v>25</x:v>
      </x:c>
      <x:c r="G282" s="16" t="s">
        <x:v>46</x:v>
      </x:c>
      <x:c r="H282" s="17" t="s">
        <x:v>1670</x:v>
      </x:c>
      <x:c r="I282" s="17" t="s">
        <x:v>1671</x:v>
      </x:c>
      <x:c r="J282" s="17" t="s">
        <x:v>1672</x:v>
      </x:c>
      <x:c r="K282" s="17" t="s">
        <x:v>1665</x:v>
      </x:c>
      <x:c r="L282" s="17" t="s">
        <x:v>58</x:v>
      </x:c>
      <x:c r="M282" s="17" t="s">
        <x:v>256</x:v>
      </x:c>
      <x:c r="N282" s="16" t="s">
        <x:v>1673</x:v>
      </x:c>
      <x:c r="O282" s="18">
        <x:v>46249</x:v>
      </x:c>
      <x:c r="P282" s="19" t="s">
        <x:v>34</x:v>
      </x:c>
      <x:c r="Q282" s="17"/>
      <x:c r="R282" s="19" t="str">
        <x:f t="shared" si="4"/>
        <x:v>Source Link Present</x:v>
      </x:c>
      <x:c r="S282" s="43" t="str">
        <x:v>Unknown</x:v>
      </x:c>
      <x:c r="T282" s="43" t="str">
        <x:v>Unknown</x:v>
      </x:c>
      <x:c r="U282" s="43" t="str">
        <x:v>Unknown</x:v>
      </x:c>
      <x:c r="V282" s="43" t="str">
        <x:v>Unknown</x:v>
      </x:c>
      <x:c r="W282" s="43" t="str">
        <x:v>Unknown</x:v>
      </x:c>
      <x:c r="X282" s="43" t="str">
        <x:v>Unknown</x:v>
      </x:c>
      <x:c r="Y282" s="43" t="str">
        <x:v>Unknown</x:v>
      </x:c>
      <x:c r="Z282" s="43"/>
    </x:row>
    <x:row r="283" ht="60" customHeight="1">
      <x:c r="A283" s="16" t="s">
        <x:v>1674</x:v>
      </x:c>
      <x:c r="B283" s="16" t="s">
        <x:v>1675</x:v>
      </x:c>
      <x:c r="C283" s="16" t="s">
        <x:v>1660</x:v>
      </x:c>
      <x:c r="D283" s="16" t="s">
        <x:v>1661</x:v>
      </x:c>
      <x:c r="E283" s="16" t="s">
        <x:v>99</x:v>
      </x:c>
      <x:c r="F283" s="16" t="s">
        <x:v>121</x:v>
      </x:c>
      <x:c r="G283" s="16" t="s">
        <x:v>46</x:v>
      </x:c>
      <x:c r="H283" s="17" t="s">
        <x:v>1676</x:v>
      </x:c>
      <x:c r="I283" s="17" t="s">
        <x:v>1677</x:v>
      </x:c>
      <x:c r="J283" s="17" t="s">
        <x:v>1678</x:v>
      </x:c>
      <x:c r="K283" s="17" t="s">
        <x:v>1665</x:v>
      </x:c>
      <x:c r="L283" s="17" t="s">
        <x:v>58</x:v>
      </x:c>
      <x:c r="M283" s="17" t="s">
        <x:v>256</x:v>
      </x:c>
      <x:c r="N283" s="16" t="s">
        <x:v>1679</x:v>
      </x:c>
      <x:c r="O283" s="18">
        <x:v>46249</x:v>
      </x:c>
      <x:c r="P283" s="19" t="s">
        <x:v>34</x:v>
      </x:c>
      <x:c r="Q283" s="17"/>
      <x:c r="R283" s="19" t="str">
        <x:f t="shared" si="4"/>
        <x:v>Discovery Link Only</x:v>
      </x:c>
      <x:c r="S283" s="43" t="str">
        <x:v>Unknown</x:v>
      </x:c>
      <x:c r="T283" s="43" t="str">
        <x:v>Unknown</x:v>
      </x:c>
      <x:c r="U283" s="43" t="str">
        <x:v>Unknown</x:v>
      </x:c>
      <x:c r="V283" s="43" t="str">
        <x:v>Unknown</x:v>
      </x:c>
      <x:c r="W283" s="43" t="str">
        <x:v>Unknown</x:v>
      </x:c>
      <x:c r="X283" s="43" t="str">
        <x:v>Unknown</x:v>
      </x:c>
      <x:c r="Y283" s="43" t="str">
        <x:v>Unknown</x:v>
      </x:c>
      <x:c r="Z283" s="43"/>
    </x:row>
    <x:row r="284" ht="60" customHeight="1">
      <x:c r="A284" s="16" t="s">
        <x:v>1680</x:v>
      </x:c>
      <x:c r="B284" s="16" t="s">
        <x:v>1681</x:v>
      </x:c>
      <x:c r="C284" s="16" t="s">
        <x:v>1660</x:v>
      </x:c>
      <x:c r="D284" s="16" t="s">
        <x:v>1661</x:v>
      </x:c>
      <x:c r="E284" s="16" t="s">
        <x:v>37</x:v>
      </x:c>
      <x:c r="F284" s="16" t="s">
        <x:v>25</x:v>
      </x:c>
      <x:c r="G284" s="16" t="s">
        <x:v>26</x:v>
      </x:c>
      <x:c r="H284" s="17" t="s">
        <x:v>1682</x:v>
      </x:c>
      <x:c r="I284" s="17" t="s">
        <x:v>1683</x:v>
      </x:c>
      <x:c r="J284" s="17" t="s">
        <x:v>1684</x:v>
      </x:c>
      <x:c r="K284" s="17" t="s">
        <x:v>1665</x:v>
      </x:c>
      <x:c r="L284" s="17" t="s">
        <x:v>58</x:v>
      </x:c>
      <x:c r="M284" s="17" t="s">
        <x:v>256</x:v>
      </x:c>
      <x:c r="N284" s="16" t="s">
        <x:v>1685</x:v>
      </x:c>
      <x:c r="O284" s="18">
        <x:v>46249</x:v>
      </x:c>
      <x:c r="P284" s="19" t="s">
        <x:v>34</x:v>
      </x:c>
      <x:c r="Q284" s="17"/>
      <x:c r="R284" s="19" t="str">
        <x:f t="shared" si="4"/>
        <x:v>Discovery Link Only</x:v>
      </x:c>
      <x:c r="S284" s="43" t="str">
        <x:v>Unknown</x:v>
      </x:c>
      <x:c r="T284" s="43" t="str">
        <x:v>Unknown</x:v>
      </x:c>
      <x:c r="U284" s="43" t="str">
        <x:v>Unknown</x:v>
      </x:c>
      <x:c r="V284" s="43" t="str">
        <x:v>Unknown</x:v>
      </x:c>
      <x:c r="W284" s="43" t="str">
        <x:v>Unknown</x:v>
      </x:c>
      <x:c r="X284" s="43" t="str">
        <x:v>Unknown</x:v>
      </x:c>
      <x:c r="Y284" s="43" t="str">
        <x:v>Unknown</x:v>
      </x:c>
      <x:c r="Z284" s="43"/>
    </x:row>
    <x:row r="285" ht="60" customHeight="1">
      <x:c r="A285" s="16" t="s">
        <x:v>1686</x:v>
      </x:c>
      <x:c r="B285" s="16" t="s">
        <x:v>1687</x:v>
      </x:c>
      <x:c r="C285" s="16" t="s">
        <x:v>1660</x:v>
      </x:c>
      <x:c r="D285" s="16" t="s">
        <x:v>1661</x:v>
      </x:c>
      <x:c r="E285" s="16" t="s">
        <x:v>140</x:v>
      </x:c>
      <x:c r="F285" s="16" t="s">
        <x:v>25</x:v>
      </x:c>
      <x:c r="G285" s="16" t="s">
        <x:v>26</x:v>
      </x:c>
      <x:c r="H285" s="17" t="s">
        <x:v>1688</x:v>
      </x:c>
      <x:c r="I285" s="17" t="s">
        <x:v>1689</x:v>
      </x:c>
      <x:c r="J285" s="17" t="s">
        <x:v>1690</x:v>
      </x:c>
      <x:c r="K285" s="17" t="s">
        <x:v>1665</x:v>
      </x:c>
      <x:c r="L285" s="17" t="s">
        <x:v>58</x:v>
      </x:c>
      <x:c r="M285" s="17" t="s">
        <x:v>256</x:v>
      </x:c>
      <x:c r="N285" s="16" t="s">
        <x:v>1691</x:v>
      </x:c>
      <x:c r="O285" s="18">
        <x:v>46249</x:v>
      </x:c>
      <x:c r="P285" s="19" t="s">
        <x:v>34</x:v>
      </x:c>
      <x:c r="Q285" s="17"/>
      <x:c r="R285" s="19" t="str">
        <x:f t="shared" si="4"/>
        <x:v>Discovery Link Only</x:v>
      </x:c>
      <x:c r="S285" s="43" t="str">
        <x:v>Unknown</x:v>
      </x:c>
      <x:c r="T285" s="43" t="str">
        <x:v>Unknown</x:v>
      </x:c>
      <x:c r="U285" s="43" t="str">
        <x:v>Unknown</x:v>
      </x:c>
      <x:c r="V285" s="43" t="str">
        <x:v>Unknown</x:v>
      </x:c>
      <x:c r="W285" s="43" t="str">
        <x:v>Unknown</x:v>
      </x:c>
      <x:c r="X285" s="43" t="str">
        <x:v>Unknown</x:v>
      </x:c>
      <x:c r="Y285" s="43" t="str">
        <x:v>Unknown</x:v>
      </x:c>
      <x:c r="Z285" s="43"/>
    </x:row>
    <x:row r="286" ht="60" customHeight="1">
      <x:c r="A286" s="16" t="s">
        <x:v>1692</x:v>
      </x:c>
      <x:c r="B286" s="16" t="s">
        <x:v>1693</x:v>
      </x:c>
      <x:c r="C286" s="16" t="s">
        <x:v>1660</x:v>
      </x:c>
      <x:c r="D286" s="16" t="s">
        <x:v>1661</x:v>
      </x:c>
      <x:c r="E286" s="16" t="s">
        <x:v>115</x:v>
      </x:c>
      <x:c r="F286" s="16" t="s">
        <x:v>25</x:v>
      </x:c>
      <x:c r="G286" s="16" t="s">
        <x:v>46</x:v>
      </x:c>
      <x:c r="H286" s="17" t="s">
        <x:v>1694</x:v>
      </x:c>
      <x:c r="I286" s="17" t="s">
        <x:v>1695</x:v>
      </x:c>
      <x:c r="J286" s="17" t="s">
        <x:v>1696</x:v>
      </x:c>
      <x:c r="K286" s="17" t="s">
        <x:v>1665</x:v>
      </x:c>
      <x:c r="L286" s="17" t="s">
        <x:v>58</x:v>
      </x:c>
      <x:c r="M286" s="17" t="s">
        <x:v>256</x:v>
      </x:c>
      <x:c r="N286" s="16" t="s">
        <x:v>1697</x:v>
      </x:c>
      <x:c r="O286" s="18">
        <x:v>46249</x:v>
      </x:c>
      <x:c r="P286" s="19" t="s">
        <x:v>34</x:v>
      </x:c>
      <x:c r="Q286" s="17"/>
      <x:c r="R286" s="19" t="str">
        <x:f t="shared" si="4"/>
        <x:v>Discovery Link Only</x:v>
      </x:c>
      <x:c r="S286" s="43" t="str">
        <x:v>Unknown</x:v>
      </x:c>
      <x:c r="T286" s="43" t="str">
        <x:v>Unknown</x:v>
      </x:c>
      <x:c r="U286" s="43" t="str">
        <x:v>Unknown</x:v>
      </x:c>
      <x:c r="V286" s="43" t="str">
        <x:v>Unknown</x:v>
      </x:c>
      <x:c r="W286" s="43" t="str">
        <x:v>Unknown</x:v>
      </x:c>
      <x:c r="X286" s="43" t="str">
        <x:v>Unknown</x:v>
      </x:c>
      <x:c r="Y286" s="43" t="str">
        <x:v>Unknown</x:v>
      </x:c>
      <x:c r="Z286" s="43"/>
    </x:row>
    <x:row r="287" ht="60" customHeight="1">
      <x:c r="A287" s="16" t="s">
        <x:v>1698</x:v>
      </x:c>
      <x:c r="B287" s="16" t="s">
        <x:v>1699</x:v>
      </x:c>
      <x:c r="C287" s="16" t="s">
        <x:v>1660</x:v>
      </x:c>
      <x:c r="D287" s="16" t="s">
        <x:v>1700</x:v>
      </x:c>
      <x:c r="E287" s="16" t="s">
        <x:v>251</x:v>
      </x:c>
      <x:c r="F287" s="16" t="s">
        <x:v>25</x:v>
      </x:c>
      <x:c r="G287" s="16" t="s">
        <x:v>26</x:v>
      </x:c>
      <x:c r="H287" s="17" t="s">
        <x:v>1701</x:v>
      </x:c>
      <x:c r="I287" s="17" t="s">
        <x:v>1702</x:v>
      </x:c>
      <x:c r="J287" s="17" t="s">
        <x:v>1703</x:v>
      </x:c>
      <x:c r="K287" s="17" t="s">
        <x:v>1665</x:v>
      </x:c>
      <x:c r="L287" s="17" t="s">
        <x:v>58</x:v>
      </x:c>
      <x:c r="M287" s="17" t="s">
        <x:v>256</x:v>
      </x:c>
      <x:c r="N287" s="16" t="s">
        <x:v>1704</x:v>
      </x:c>
      <x:c r="O287" s="18">
        <x:v>46249</x:v>
      </x:c>
      <x:c r="P287" s="19" t="s">
        <x:v>34</x:v>
      </x:c>
      <x:c r="Q287" s="17"/>
      <x:c r="R287" s="19" t="str">
        <x:f t="shared" si="4"/>
        <x:v>Discovery Link Only</x:v>
      </x:c>
      <x:c r="S287" s="43" t="str">
        <x:v>Unknown</x:v>
      </x:c>
      <x:c r="T287" s="43" t="str">
        <x:v>Unknown</x:v>
      </x:c>
      <x:c r="U287" s="43" t="str">
        <x:v>Unknown</x:v>
      </x:c>
      <x:c r="V287" s="43" t="str">
        <x:v>Unknown</x:v>
      </x:c>
      <x:c r="W287" s="43" t="str">
        <x:v>Unknown</x:v>
      </x:c>
      <x:c r="X287" s="43" t="str">
        <x:v>Unknown</x:v>
      </x:c>
      <x:c r="Y287" s="43" t="str">
        <x:v>Unknown</x:v>
      </x:c>
      <x:c r="Z287" s="43"/>
    </x:row>
    <x:row r="288" ht="60" customHeight="1">
      <x:c r="A288" s="16" t="s">
        <x:v>1705</x:v>
      </x:c>
      <x:c r="B288" s="16" t="s">
        <x:v>1706</x:v>
      </x:c>
      <x:c r="C288" s="16" t="s">
        <x:v>1660</x:v>
      </x:c>
      <x:c r="D288" s="16" t="s">
        <x:v>1661</x:v>
      </x:c>
      <x:c r="E288" s="16" t="s">
        <x:v>45</x:v>
      </x:c>
      <x:c r="F288" s="16" t="s">
        <x:v>25</x:v>
      </x:c>
      <x:c r="G288" s="16" t="s">
        <x:v>26</x:v>
      </x:c>
      <x:c r="H288" s="17" t="s">
        <x:v>1707</x:v>
      </x:c>
      <x:c r="I288" s="17" t="s">
        <x:v>1708</x:v>
      </x:c>
      <x:c r="J288" s="17" t="s">
        <x:v>1709</x:v>
      </x:c>
      <x:c r="K288" s="17" t="s">
        <x:v>1665</x:v>
      </x:c>
      <x:c r="L288" s="17" t="s">
        <x:v>58</x:v>
      </x:c>
      <x:c r="M288" s="17" t="s">
        <x:v>256</x:v>
      </x:c>
      <x:c r="N288" s="16" t="s">
        <x:v>1710</x:v>
      </x:c>
      <x:c r="O288" s="18">
        <x:v>46249</x:v>
      </x:c>
      <x:c r="P288" s="19" t="s">
        <x:v>34</x:v>
      </x:c>
      <x:c r="Q288" s="17"/>
      <x:c r="R288" s="19" t="str">
        <x:f t="shared" si="4"/>
        <x:v>Discovery Link Only</x:v>
      </x:c>
      <x:c r="S288" s="43" t="str">
        <x:v>Unknown</x:v>
      </x:c>
      <x:c r="T288" s="43" t="str">
        <x:v>Unknown</x:v>
      </x:c>
      <x:c r="U288" s="43" t="str">
        <x:v>Unknown</x:v>
      </x:c>
      <x:c r="V288" s="43" t="str">
        <x:v>Unknown</x:v>
      </x:c>
      <x:c r="W288" s="43" t="str">
        <x:v>Unknown</x:v>
      </x:c>
      <x:c r="X288" s="43" t="str">
        <x:v>Unknown</x:v>
      </x:c>
      <x:c r="Y288" s="43" t="str">
        <x:v>Unknown</x:v>
      </x:c>
      <x:c r="Z288" s="43"/>
    </x:row>
    <x:row r="289" ht="60" customHeight="1">
      <x:c r="A289" s="16" t="s">
        <x:v>1711</x:v>
      </x:c>
      <x:c r="B289" s="16" t="s">
        <x:v>1712</x:v>
      </x:c>
      <x:c r="C289" s="16" t="s">
        <x:v>1660</x:v>
      </x:c>
      <x:c r="D289" s="16" t="s">
        <x:v>1713</x:v>
      </x:c>
      <x:c r="E289" s="16" t="s">
        <x:v>251</x:v>
      </x:c>
      <x:c r="F289" s="16" t="s">
        <x:v>25</x:v>
      </x:c>
      <x:c r="G289" s="16" t="s">
        <x:v>26</x:v>
      </x:c>
      <x:c r="H289" s="17" t="s">
        <x:v>1714</x:v>
      </x:c>
      <x:c r="I289" s="17" t="s">
        <x:v>1715</x:v>
      </x:c>
      <x:c r="J289" s="17" t="s">
        <x:v>1716</x:v>
      </x:c>
      <x:c r="K289" s="17" t="s">
        <x:v>1665</x:v>
      </x:c>
      <x:c r="L289" s="17" t="s">
        <x:v>58</x:v>
      </x:c>
      <x:c r="M289" s="17" t="s">
        <x:v>256</x:v>
      </x:c>
      <x:c r="N289" s="16" t="s">
        <x:v>1717</x:v>
      </x:c>
      <x:c r="O289" s="18">
        <x:v>46249</x:v>
      </x:c>
      <x:c r="P289" s="19" t="s">
        <x:v>34</x:v>
      </x:c>
      <x:c r="Q289" s="17"/>
      <x:c r="R289" s="19" t="str">
        <x:f t="shared" si="4"/>
        <x:v>Discovery Link Only</x:v>
      </x:c>
      <x:c r="S289" s="43" t="str">
        <x:v>Unknown</x:v>
      </x:c>
      <x:c r="T289" s="43" t="str">
        <x:v>Unknown</x:v>
      </x:c>
      <x:c r="U289" s="43" t="str">
        <x:v>Unknown</x:v>
      </x:c>
      <x:c r="V289" s="43" t="str">
        <x:v>Unknown</x:v>
      </x:c>
      <x:c r="W289" s="43" t="str">
        <x:v>Unknown</x:v>
      </x:c>
      <x:c r="X289" s="43" t="str">
        <x:v>Unknown</x:v>
      </x:c>
      <x:c r="Y289" s="43" t="str">
        <x:v>Unknown</x:v>
      </x:c>
      <x:c r="Z289" s="43"/>
    </x:row>
    <x:row r="290" ht="60" customHeight="1">
      <x:c r="A290" s="16" t="s">
        <x:v>1718</x:v>
      </x:c>
      <x:c r="B290" s="16" t="s">
        <x:v>1719</x:v>
      </x:c>
      <x:c r="C290" s="16" t="s">
        <x:v>1660</x:v>
      </x:c>
      <x:c r="D290" s="16" t="s">
        <x:v>1661</x:v>
      </x:c>
      <x:c r="E290" s="16" t="s">
        <x:v>133</x:v>
      </x:c>
      <x:c r="F290" s="16" t="s">
        <x:v>25</x:v>
      </x:c>
      <x:c r="G290" s="16" t="s">
        <x:v>134</x:v>
      </x:c>
      <x:c r="H290" s="17" t="s">
        <x:v>1720</x:v>
      </x:c>
      <x:c r="I290" s="17" t="s">
        <x:v>1721</x:v>
      </x:c>
      <x:c r="J290" s="17" t="s">
        <x:v>1722</x:v>
      </x:c>
      <x:c r="K290" s="17" t="s">
        <x:v>1665</x:v>
      </x:c>
      <x:c r="L290" s="17" t="s">
        <x:v>58</x:v>
      </x:c>
      <x:c r="M290" s="17" t="s">
        <x:v>256</x:v>
      </x:c>
      <x:c r="N290" s="16" t="s">
        <x:v>1723</x:v>
      </x:c>
      <x:c r="O290" s="18">
        <x:v>46249</x:v>
      </x:c>
      <x:c r="P290" s="19" t="s">
        <x:v>34</x:v>
      </x:c>
      <x:c r="Q290" s="17"/>
      <x:c r="R290" s="19" t="str">
        <x:f t="shared" si="4"/>
        <x:v>Discovery Link Only</x:v>
      </x:c>
      <x:c r="S290" s="43" t="str">
        <x:v>Unknown</x:v>
      </x:c>
      <x:c r="T290" s="43" t="str">
        <x:v>Unknown</x:v>
      </x:c>
      <x:c r="U290" s="43" t="str">
        <x:v>Unknown</x:v>
      </x:c>
      <x:c r="V290" s="43" t="str">
        <x:v>Unknown</x:v>
      </x:c>
      <x:c r="W290" s="43" t="str">
        <x:v>Unknown</x:v>
      </x:c>
      <x:c r="X290" s="43" t="str">
        <x:v>Unknown</x:v>
      </x:c>
      <x:c r="Y290" s="43" t="str">
        <x:v>Unknown</x:v>
      </x:c>
      <x:c r="Z290" s="43"/>
    </x:row>
    <x:row r="291" ht="60" customHeight="1">
      <x:c r="A291" s="16" t="s">
        <x:v>1724</x:v>
      </x:c>
      <x:c r="B291" s="16" t="s">
        <x:v>1725</x:v>
      </x:c>
      <x:c r="C291" s="16" t="s">
        <x:v>1660</x:v>
      </x:c>
      <x:c r="D291" s="16" t="s">
        <x:v>1661</x:v>
      </x:c>
      <x:c r="E291" s="16" t="s">
        <x:v>133</x:v>
      </x:c>
      <x:c r="F291" s="16" t="s">
        <x:v>107</x:v>
      </x:c>
      <x:c r="G291" s="16" t="s">
        <x:v>134</x:v>
      </x:c>
      <x:c r="H291" s="17" t="s">
        <x:v>1726</x:v>
      </x:c>
      <x:c r="I291" s="17" t="s">
        <x:v>1727</x:v>
      </x:c>
      <x:c r="J291" s="17" t="s">
        <x:v>1728</x:v>
      </x:c>
      <x:c r="K291" s="17" t="s">
        <x:v>1665</x:v>
      </x:c>
      <x:c r="L291" s="17" t="s">
        <x:v>111</x:v>
      </x:c>
      <x:c r="M291" s="17" t="s">
        <x:v>1729</x:v>
      </x:c>
      <x:c r="N291" s="16"/>
      <x:c r="O291" s="18">
        <x:v>46249</x:v>
      </x:c>
      <x:c r="P291" s="19" t="s">
        <x:v>34</x:v>
      </x:c>
      <x:c r="Q291" s="17"/>
      <x:c r="R291" s="19" t="str">
        <x:f t="shared" si="4"/>
        <x:v>Discovery Link Only</x:v>
      </x:c>
      <x:c r="S291" s="43" t="str">
        <x:v>Unknown</x:v>
      </x:c>
      <x:c r="T291" s="43" t="str">
        <x:v>Unknown</x:v>
      </x:c>
      <x:c r="U291" s="43" t="str">
        <x:v>Unknown</x:v>
      </x:c>
      <x:c r="V291" s="43" t="str">
        <x:v>Unknown</x:v>
      </x:c>
      <x:c r="W291" s="43" t="str">
        <x:v>Unknown</x:v>
      </x:c>
      <x:c r="X291" s="43" t="str">
        <x:v>Unknown</x:v>
      </x:c>
      <x:c r="Y291" s="43" t="str">
        <x:v>Unknown</x:v>
      </x:c>
      <x:c r="Z291" s="43"/>
    </x:row>
    <x:row r="292" ht="60" customHeight="1">
      <x:c r="A292" s="16" t="s">
        <x:v>1730</x:v>
      </x:c>
      <x:c r="B292" s="16" t="s">
        <x:v>1731</x:v>
      </x:c>
      <x:c r="C292" s="16" t="s">
        <x:v>1660</x:v>
      </x:c>
      <x:c r="D292" s="16" t="s">
        <x:v>1661</x:v>
      </x:c>
      <x:c r="E292" s="16" t="s">
        <x:v>140</x:v>
      </x:c>
      <x:c r="F292" s="16" t="s">
        <x:v>107</x:v>
      </x:c>
      <x:c r="G292" s="16" t="s">
        <x:v>46</x:v>
      </x:c>
      <x:c r="H292" s="17" t="s">
        <x:v>1732</x:v>
      </x:c>
      <x:c r="I292" s="17" t="s">
        <x:v>1733</x:v>
      </x:c>
      <x:c r="J292" s="17" t="s">
        <x:v>1734</x:v>
      </x:c>
      <x:c r="K292" s="17" t="s">
        <x:v>1665</x:v>
      </x:c>
      <x:c r="L292" s="17" t="s">
        <x:v>111</x:v>
      </x:c>
      <x:c r="M292" s="17" t="s">
        <x:v>1729</x:v>
      </x:c>
      <x:c r="N292" s="16"/>
      <x:c r="O292" s="18">
        <x:v>46249</x:v>
      </x:c>
      <x:c r="P292" s="19" t="s">
        <x:v>34</x:v>
      </x:c>
      <x:c r="Q292" s="17"/>
      <x:c r="R292" s="19" t="str">
        <x:f t="shared" si="4"/>
        <x:v>Discovery Link Only</x:v>
      </x:c>
      <x:c r="S292" s="43" t="str">
        <x:v>Unknown</x:v>
      </x:c>
      <x:c r="T292" s="43" t="str">
        <x:v>Unknown</x:v>
      </x:c>
      <x:c r="U292" s="43" t="str">
        <x:v>Unknown</x:v>
      </x:c>
      <x:c r="V292" s="43" t="str">
        <x:v>Unknown</x:v>
      </x:c>
      <x:c r="W292" s="43" t="str">
        <x:v>Unknown</x:v>
      </x:c>
      <x:c r="X292" s="43" t="str">
        <x:v>Unknown</x:v>
      </x:c>
      <x:c r="Y292" s="43" t="str">
        <x:v>Unknown</x:v>
      </x:c>
      <x:c r="Z292" s="43"/>
    </x:row>
    <x:row r="293" ht="60" customHeight="1">
      <x:c r="A293" s="16" t="s">
        <x:v>1735</x:v>
      </x:c>
      <x:c r="B293" s="16" t="s">
        <x:v>1736</x:v>
      </x:c>
      <x:c r="C293" s="16" t="s">
        <x:v>1660</x:v>
      </x:c>
      <x:c r="D293" s="16" t="s">
        <x:v>1661</x:v>
      </x:c>
      <x:c r="E293" s="16" t="s">
        <x:v>133</x:v>
      </x:c>
      <x:c r="F293" s="16" t="s">
        <x:v>107</x:v>
      </x:c>
      <x:c r="G293" s="16" t="s">
        <x:v>134</x:v>
      </x:c>
      <x:c r="H293" s="17" t="s">
        <x:v>1737</x:v>
      </x:c>
      <x:c r="I293" s="17" t="s">
        <x:v>1738</x:v>
      </x:c>
      <x:c r="J293" s="17" t="s">
        <x:v>1739</x:v>
      </x:c>
      <x:c r="K293" s="17" t="s">
        <x:v>1665</x:v>
      </x:c>
      <x:c r="L293" s="17" t="s">
        <x:v>111</x:v>
      </x:c>
      <x:c r="M293" s="17" t="s">
        <x:v>1729</x:v>
      </x:c>
      <x:c r="N293" s="16"/>
      <x:c r="O293" s="18">
        <x:v>46249</x:v>
      </x:c>
      <x:c r="P293" s="19" t="s">
        <x:v>34</x:v>
      </x:c>
      <x:c r="Q293" s="17"/>
      <x:c r="R293" s="19" t="str">
        <x:f t="shared" si="4"/>
        <x:v>Discovery Link Only</x:v>
      </x:c>
      <x:c r="S293" s="43" t="str">
        <x:v>Unknown</x:v>
      </x:c>
      <x:c r="T293" s="43" t="str">
        <x:v>Unknown</x:v>
      </x:c>
      <x:c r="U293" s="43" t="str">
        <x:v>Unknown</x:v>
      </x:c>
      <x:c r="V293" s="43" t="str">
        <x:v>Unknown</x:v>
      </x:c>
      <x:c r="W293" s="43" t="str">
        <x:v>Unknown</x:v>
      </x:c>
      <x:c r="X293" s="43" t="str">
        <x:v>Unknown</x:v>
      </x:c>
      <x:c r="Y293" s="43" t="str">
        <x:v>Unknown</x:v>
      </x:c>
      <x:c r="Z293" s="43"/>
    </x:row>
    <x:row r="294" ht="60" customHeight="1">
      <x:c r="A294" s="16" t="s">
        <x:v>1740</x:v>
      </x:c>
      <x:c r="B294" s="16" t="s">
        <x:v>1741</x:v>
      </x:c>
      <x:c r="C294" s="16" t="s">
        <x:v>1660</x:v>
      </x:c>
      <x:c r="D294" s="16" t="s">
        <x:v>1661</x:v>
      </x:c>
      <x:c r="E294" s="16" t="s">
        <x:v>151</x:v>
      </x:c>
      <x:c r="F294" s="16" t="s">
        <x:v>121</x:v>
      </x:c>
      <x:c r="G294" s="16" t="s">
        <x:v>134</x:v>
      </x:c>
      <x:c r="H294" s="17" t="s">
        <x:v>1742</x:v>
      </x:c>
      <x:c r="I294" s="17" t="s">
        <x:v>1743</x:v>
      </x:c>
      <x:c r="J294" s="17" t="s">
        <x:v>1744</x:v>
      </x:c>
      <x:c r="K294" s="17" t="s">
        <x:v>1665</x:v>
      </x:c>
      <x:c r="L294" s="17" t="s">
        <x:v>111</x:v>
      </x:c>
      <x:c r="M294" s="17" t="s">
        <x:v>1729</x:v>
      </x:c>
      <x:c r="N294" s="16"/>
      <x:c r="O294" s="18">
        <x:v>46249</x:v>
      </x:c>
      <x:c r="P294" s="19" t="s">
        <x:v>34</x:v>
      </x:c>
      <x:c r="Q294" s="17"/>
      <x:c r="R294" s="19" t="str">
        <x:f t="shared" si="4"/>
        <x:v>Discovery Link Only</x:v>
      </x:c>
      <x:c r="S294" s="43" t="str">
        <x:v>Unknown</x:v>
      </x:c>
      <x:c r="T294" s="43" t="str">
        <x:v>Unknown</x:v>
      </x:c>
      <x:c r="U294" s="43" t="str">
        <x:v>Unknown</x:v>
      </x:c>
      <x:c r="V294" s="43" t="str">
        <x:v>Unknown</x:v>
      </x:c>
      <x:c r="W294" s="43" t="str">
        <x:v>Unknown</x:v>
      </x:c>
      <x:c r="X294" s="43" t="str">
        <x:v>Unknown</x:v>
      </x:c>
      <x:c r="Y294" s="43" t="str">
        <x:v>Unknown</x:v>
      </x:c>
      <x:c r="Z294" s="43"/>
    </x:row>
    <x:row r="295" ht="60" customHeight="1">
      <x:c r="A295" s="16" t="s">
        <x:v>1745</x:v>
      </x:c>
      <x:c r="B295" s="16" t="s">
        <x:v>1746</x:v>
      </x:c>
      <x:c r="C295" s="16" t="s">
        <x:v>1660</x:v>
      </x:c>
      <x:c r="D295" s="16" t="s">
        <x:v>1747</x:v>
      </x:c>
      <x:c r="E295" s="16" t="s">
        <x:v>72</x:v>
      </x:c>
      <x:c r="F295" s="16" t="s">
        <x:v>107</x:v>
      </x:c>
      <x:c r="G295" s="16" t="s">
        <x:v>26</x:v>
      </x:c>
      <x:c r="H295" s="17" t="s">
        <x:v>1748</x:v>
      </x:c>
      <x:c r="I295" s="17" t="s">
        <x:v>1749</x:v>
      </x:c>
      <x:c r="J295" s="17" t="s">
        <x:v>1750</x:v>
      </x:c>
      <x:c r="K295" s="17" t="s">
        <x:v>1665</x:v>
      </x:c>
      <x:c r="L295" s="17" t="s">
        <x:v>111</x:v>
      </x:c>
      <x:c r="M295" s="17" t="s">
        <x:v>1729</x:v>
      </x:c>
      <x:c r="N295" s="16"/>
      <x:c r="O295" s="18">
        <x:v>46249</x:v>
      </x:c>
      <x:c r="P295" s="19" t="s">
        <x:v>34</x:v>
      </x:c>
      <x:c r="Q295" s="17"/>
      <x:c r="R295" s="19" t="str">
        <x:f t="shared" si="4"/>
        <x:v>Discovery Link Only</x:v>
      </x:c>
      <x:c r="S295" s="43" t="str">
        <x:v>Unknown</x:v>
      </x:c>
      <x:c r="T295" s="43" t="str">
        <x:v>Unknown</x:v>
      </x:c>
      <x:c r="U295" s="43" t="str">
        <x:v>Unknown</x:v>
      </x:c>
      <x:c r="V295" s="43" t="str">
        <x:v>Unknown</x:v>
      </x:c>
      <x:c r="W295" s="43" t="str">
        <x:v>Unknown</x:v>
      </x:c>
      <x:c r="X295" s="43" t="str">
        <x:v>Unknown</x:v>
      </x:c>
      <x:c r="Y295" s="43" t="str">
        <x:v>Unknown</x:v>
      </x:c>
      <x:c r="Z295" s="43"/>
    </x:row>
    <x:row r="296" ht="60" customHeight="1">
      <x:c r="A296" s="16" t="s">
        <x:v>1751</x:v>
      </x:c>
      <x:c r="B296" s="16" t="s">
        <x:v>1752</x:v>
      </x:c>
      <x:c r="C296" s="16" t="s">
        <x:v>1660</x:v>
      </x:c>
      <x:c r="D296" s="16" t="s">
        <x:v>1713</x:v>
      </x:c>
      <x:c r="E296" s="16" t="s">
        <x:v>45</x:v>
      </x:c>
      <x:c r="F296" s="16" t="s">
        <x:v>107</x:v>
      </x:c>
      <x:c r="G296" s="16" t="s">
        <x:v>26</x:v>
      </x:c>
      <x:c r="H296" s="17" t="s">
        <x:v>1753</x:v>
      </x:c>
      <x:c r="I296" s="17" t="s">
        <x:v>1754</x:v>
      </x:c>
      <x:c r="J296" s="17" t="s">
        <x:v>1755</x:v>
      </x:c>
      <x:c r="K296" s="17" t="s">
        <x:v>1665</x:v>
      </x:c>
      <x:c r="L296" s="17" t="s">
        <x:v>111</x:v>
      </x:c>
      <x:c r="M296" s="17" t="s">
        <x:v>1729</x:v>
      </x:c>
      <x:c r="N296" s="16"/>
      <x:c r="O296" s="18">
        <x:v>46249</x:v>
      </x:c>
      <x:c r="P296" s="19" t="s">
        <x:v>34</x:v>
      </x:c>
      <x:c r="Q296" s="17"/>
      <x:c r="R296" s="19" t="str">
        <x:f t="shared" si="4"/>
        <x:v>Discovery Link Only</x:v>
      </x:c>
      <x:c r="S296" s="43" t="str">
        <x:v>Unknown</x:v>
      </x:c>
      <x:c r="T296" s="43" t="str">
        <x:v>Unknown</x:v>
      </x:c>
      <x:c r="U296" s="43" t="str">
        <x:v>Unknown</x:v>
      </x:c>
      <x:c r="V296" s="43" t="str">
        <x:v>Unknown</x:v>
      </x:c>
      <x:c r="W296" s="43" t="str">
        <x:v>Unknown</x:v>
      </x:c>
      <x:c r="X296" s="43" t="str">
        <x:v>Unknown</x:v>
      </x:c>
      <x:c r="Y296" s="43" t="str">
        <x:v>Unknown</x:v>
      </x:c>
      <x:c r="Z296" s="43"/>
    </x:row>
    <x:row r="297" ht="60" customHeight="1">
      <x:c r="A297" s="16" t="s">
        <x:v>1756</x:v>
      </x:c>
      <x:c r="B297" s="16" t="s">
        <x:v>1757</x:v>
      </x:c>
      <x:c r="C297" s="16" t="s">
        <x:v>1660</x:v>
      </x:c>
      <x:c r="D297" s="16" t="s">
        <x:v>1713</x:v>
      </x:c>
      <x:c r="E297" s="16" t="s">
        <x:v>45</x:v>
      </x:c>
      <x:c r="F297" s="16" t="s">
        <x:v>107</x:v>
      </x:c>
      <x:c r="G297" s="16" t="s">
        <x:v>26</x:v>
      </x:c>
      <x:c r="H297" s="17" t="s">
        <x:v>1758</x:v>
      </x:c>
      <x:c r="I297" s="17" t="s">
        <x:v>1759</x:v>
      </x:c>
      <x:c r="J297" s="17" t="s">
        <x:v>1760</x:v>
      </x:c>
      <x:c r="K297" s="17" t="s">
        <x:v>1665</x:v>
      </x:c>
      <x:c r="L297" s="17" t="s">
        <x:v>111</x:v>
      </x:c>
      <x:c r="M297" s="17" t="s">
        <x:v>1729</x:v>
      </x:c>
      <x:c r="N297" s="16"/>
      <x:c r="O297" s="18">
        <x:v>46249</x:v>
      </x:c>
      <x:c r="P297" s="19" t="s">
        <x:v>34</x:v>
      </x:c>
      <x:c r="Q297" s="17"/>
      <x:c r="R297" s="19" t="str">
        <x:f t="shared" si="4"/>
        <x:v>Discovery Link Only</x:v>
      </x:c>
      <x:c r="S297" s="43" t="str">
        <x:v>Unknown</x:v>
      </x:c>
      <x:c r="T297" s="43" t="str">
        <x:v>Unknown</x:v>
      </x:c>
      <x:c r="U297" s="43" t="str">
        <x:v>Unknown</x:v>
      </x:c>
      <x:c r="V297" s="43" t="str">
        <x:v>Unknown</x:v>
      </x:c>
      <x:c r="W297" s="43" t="str">
        <x:v>Unknown</x:v>
      </x:c>
      <x:c r="X297" s="43" t="str">
        <x:v>Unknown</x:v>
      </x:c>
      <x:c r="Y297" s="43" t="str">
        <x:v>Unknown</x:v>
      </x:c>
      <x:c r="Z297" s="43"/>
    </x:row>
    <x:row r="298" ht="60" customHeight="1">
      <x:c r="A298" s="16" t="s">
        <x:v>1761</x:v>
      </x:c>
      <x:c r="B298" s="16" t="s">
        <x:v>1762</x:v>
      </x:c>
      <x:c r="C298" s="16" t="s">
        <x:v>1660</x:v>
      </x:c>
      <x:c r="D298" s="16" t="s">
        <x:v>1763</x:v>
      </x:c>
      <x:c r="E298" s="16" t="s">
        <x:v>99</x:v>
      </x:c>
      <x:c r="F298" s="16" t="s">
        <x:v>107</x:v>
      </x:c>
      <x:c r="G298" s="16" t="s">
        <x:v>46</x:v>
      </x:c>
      <x:c r="H298" s="17" t="s">
        <x:v>1764</x:v>
      </x:c>
      <x:c r="I298" s="17" t="s">
        <x:v>1765</x:v>
      </x:c>
      <x:c r="J298" s="17" t="s">
        <x:v>1766</x:v>
      </x:c>
      <x:c r="K298" s="17" t="s">
        <x:v>1665</x:v>
      </x:c>
      <x:c r="L298" s="17" t="s">
        <x:v>111</x:v>
      </x:c>
      <x:c r="M298" s="17" t="s">
        <x:v>1729</x:v>
      </x:c>
      <x:c r="N298" s="16"/>
      <x:c r="O298" s="18">
        <x:v>46249</x:v>
      </x:c>
      <x:c r="P298" s="19" t="s">
        <x:v>34</x:v>
      </x:c>
      <x:c r="Q298" s="17"/>
      <x:c r="R298" s="19" t="str">
        <x:f t="shared" si="4"/>
        <x:v>Discovery Link Only</x:v>
      </x:c>
      <x:c r="S298" s="43" t="str">
        <x:v>Unknown</x:v>
      </x:c>
      <x:c r="T298" s="43" t="str">
        <x:v>Unknown</x:v>
      </x:c>
      <x:c r="U298" s="43" t="str">
        <x:v>Unknown</x:v>
      </x:c>
      <x:c r="V298" s="43" t="str">
        <x:v>Unknown</x:v>
      </x:c>
      <x:c r="W298" s="43" t="str">
        <x:v>Unknown</x:v>
      </x:c>
      <x:c r="X298" s="43" t="str">
        <x:v>Unknown</x:v>
      </x:c>
      <x:c r="Y298" s="43" t="str">
        <x:v>Unknown</x:v>
      </x:c>
      <x:c r="Z298" s="43"/>
    </x:row>
    <x:row r="299" ht="60" customHeight="1">
      <x:c r="A299" s="16" t="s">
        <x:v>1767</x:v>
      </x:c>
      <x:c r="B299" s="16" t="s">
        <x:v>1768</x:v>
      </x:c>
      <x:c r="C299" s="16" t="s">
        <x:v>1660</x:v>
      </x:c>
      <x:c r="D299" s="16" t="s">
        <x:v>1769</x:v>
      </x:c>
      <x:c r="E299" s="16" t="s">
        <x:v>45</x:v>
      </x:c>
      <x:c r="F299" s="16" t="s">
        <x:v>107</x:v>
      </x:c>
      <x:c r="G299" s="16" t="s">
        <x:v>26</x:v>
      </x:c>
      <x:c r="H299" s="17" t="s">
        <x:v>1770</x:v>
      </x:c>
      <x:c r="I299" s="17" t="s">
        <x:v>1771</x:v>
      </x:c>
      <x:c r="J299" s="17" t="s">
        <x:v>1772</x:v>
      </x:c>
      <x:c r="K299" s="17" t="s">
        <x:v>1665</x:v>
      </x:c>
      <x:c r="L299" s="17" t="s">
        <x:v>111</x:v>
      </x:c>
      <x:c r="M299" s="17" t="s">
        <x:v>1729</x:v>
      </x:c>
      <x:c r="N299" s="16"/>
      <x:c r="O299" s="18">
        <x:v>46249</x:v>
      </x:c>
      <x:c r="P299" s="19" t="s">
        <x:v>34</x:v>
      </x:c>
      <x:c r="Q299" s="17"/>
      <x:c r="R299" s="19" t="str">
        <x:f t="shared" si="4"/>
        <x:v>Discovery Link Only</x:v>
      </x:c>
      <x:c r="S299" s="43" t="str">
        <x:v>Unknown</x:v>
      </x:c>
      <x:c r="T299" s="43" t="str">
        <x:v>Unknown</x:v>
      </x:c>
      <x:c r="U299" s="43" t="str">
        <x:v>Unknown</x:v>
      </x:c>
      <x:c r="V299" s="43" t="str">
        <x:v>Unknown</x:v>
      </x:c>
      <x:c r="W299" s="43" t="str">
        <x:v>Unknown</x:v>
      </x:c>
      <x:c r="X299" s="43" t="str">
        <x:v>Unknown</x:v>
      </x:c>
      <x:c r="Y299" s="43" t="str">
        <x:v>Unknown</x:v>
      </x:c>
      <x:c r="Z299" s="43"/>
    </x:row>
    <x:row r="300" ht="60" customHeight="1">
      <x:c r="A300" s="16" t="s">
        <x:v>1773</x:v>
      </x:c>
      <x:c r="B300" s="16" t="s">
        <x:v>1774</x:v>
      </x:c>
      <x:c r="C300" s="16" t="s">
        <x:v>1660</x:v>
      </x:c>
      <x:c r="D300" s="16" t="s">
        <x:v>1769</x:v>
      </x:c>
      <x:c r="E300" s="16" t="s">
        <x:v>45</x:v>
      </x:c>
      <x:c r="F300" s="16" t="s">
        <x:v>194</x:v>
      </x:c>
      <x:c r="G300" s="16" t="s">
        <x:v>26</x:v>
      </x:c>
      <x:c r="H300" s="17" t="s">
        <x:v>1775</x:v>
      </x:c>
      <x:c r="I300" s="17" t="s">
        <x:v>1776</x:v>
      </x:c>
      <x:c r="J300" s="17" t="s">
        <x:v>1777</x:v>
      </x:c>
      <x:c r="K300" s="17" t="s">
        <x:v>1665</x:v>
      </x:c>
      <x:c r="L300" s="17" t="s">
        <x:v>111</x:v>
      </x:c>
      <x:c r="M300" s="17" t="s">
        <x:v>1729</x:v>
      </x:c>
      <x:c r="N300" s="16"/>
      <x:c r="O300" s="18">
        <x:v>46249</x:v>
      </x:c>
      <x:c r="P300" s="19" t="s">
        <x:v>34</x:v>
      </x:c>
      <x:c r="Q300" s="17"/>
      <x:c r="R300" s="19" t="str">
        <x:f t="shared" si="4"/>
        <x:v>Discovery Link Only</x:v>
      </x:c>
      <x:c r="S300" s="43" t="str">
        <x:v>Unknown</x:v>
      </x:c>
      <x:c r="T300" s="43" t="str">
        <x:v>Unknown</x:v>
      </x:c>
      <x:c r="U300" s="43" t="str">
        <x:v>Unknown</x:v>
      </x:c>
      <x:c r="V300" s="43" t="str">
        <x:v>Unknown</x:v>
      </x:c>
      <x:c r="W300" s="43" t="str">
        <x:v>Unknown</x:v>
      </x:c>
      <x:c r="X300" s="43" t="str">
        <x:v>Unknown</x:v>
      </x:c>
      <x:c r="Y300" s="43" t="str">
        <x:v>Unknown</x:v>
      </x:c>
      <x:c r="Z300" s="43"/>
    </x:row>
    <x:row r="301" ht="60" customHeight="1">
      <x:c r="A301" s="16" t="s">
        <x:v>1778</x:v>
      </x:c>
      <x:c r="B301" s="16" t="s">
        <x:v>1779</x:v>
      </x:c>
      <x:c r="C301" s="16" t="s">
        <x:v>1660</x:v>
      </x:c>
      <x:c r="D301" s="16" t="s">
        <x:v>1780</x:v>
      </x:c>
      <x:c r="E301" s="16" t="s">
        <x:v>45</x:v>
      </x:c>
      <x:c r="F301" s="16" t="s">
        <x:v>194</x:v>
      </x:c>
      <x:c r="G301" s="16" t="s">
        <x:v>26</x:v>
      </x:c>
      <x:c r="H301" s="17" t="s">
        <x:v>1781</x:v>
      </x:c>
      <x:c r="I301" s="17" t="s">
        <x:v>1782</x:v>
      </x:c>
      <x:c r="J301" s="17" t="s">
        <x:v>1783</x:v>
      </x:c>
      <x:c r="K301" s="17" t="s">
        <x:v>1665</x:v>
      </x:c>
      <x:c r="L301" s="17" t="s">
        <x:v>111</x:v>
      </x:c>
      <x:c r="M301" s="17" t="s">
        <x:v>1729</x:v>
      </x:c>
      <x:c r="N301" s="16"/>
      <x:c r="O301" s="18">
        <x:v>46249</x:v>
      </x:c>
      <x:c r="P301" s="19" t="s">
        <x:v>34</x:v>
      </x:c>
      <x:c r="Q301" s="17"/>
      <x:c r="R301" s="19" t="str">
        <x:f t="shared" si="4"/>
        <x:v>Discovery Link Only</x:v>
      </x:c>
      <x:c r="S301" s="43" t="str">
        <x:v>Unknown</x:v>
      </x:c>
      <x:c r="T301" s="43" t="str">
        <x:v>Unknown</x:v>
      </x:c>
      <x:c r="U301" s="43" t="str">
        <x:v>Unknown</x:v>
      </x:c>
      <x:c r="V301" s="43" t="str">
        <x:v>Unknown</x:v>
      </x:c>
      <x:c r="W301" s="43" t="str">
        <x:v>Unknown</x:v>
      </x:c>
      <x:c r="X301" s="43" t="str">
        <x:v>Unknown</x:v>
      </x:c>
      <x:c r="Y301" s="43" t="str">
        <x:v>Unknown</x:v>
      </x:c>
      <x:c r="Z301" s="43"/>
    </x:row>
    <x:row r="302" ht="60" customHeight="1">
      <x:c r="A302" s="16" t="s">
        <x:v>1784</x:v>
      </x:c>
      <x:c r="B302" s="16" t="s">
        <x:v>1785</x:v>
      </x:c>
      <x:c r="C302" s="16" t="s">
        <x:v>1660</x:v>
      </x:c>
      <x:c r="D302" s="16" t="s">
        <x:v>1780</x:v>
      </x:c>
      <x:c r="E302" s="16" t="s">
        <x:v>133</x:v>
      </x:c>
      <x:c r="F302" s="16" t="s">
        <x:v>127</x:v>
      </x:c>
      <x:c r="G302" s="16" t="s">
        <x:v>134</x:v>
      </x:c>
      <x:c r="H302" s="17" t="s">
        <x:v>1786</x:v>
      </x:c>
      <x:c r="I302" s="17" t="s">
        <x:v>1787</x:v>
      </x:c>
      <x:c r="J302" s="17" t="s">
        <x:v>1788</x:v>
      </x:c>
      <x:c r="K302" s="17" t="s">
        <x:v>1665</x:v>
      </x:c>
      <x:c r="L302" s="17" t="s">
        <x:v>111</x:v>
      </x:c>
      <x:c r="M302" s="17" t="s">
        <x:v>1729</x:v>
      </x:c>
      <x:c r="N302" s="16"/>
      <x:c r="O302" s="18">
        <x:v>46249</x:v>
      </x:c>
      <x:c r="P302" s="19" t="s">
        <x:v>34</x:v>
      </x:c>
      <x:c r="Q302" s="17"/>
      <x:c r="R302" s="19" t="str">
        <x:f t="shared" si="4"/>
        <x:v>Discovery Link Only</x:v>
      </x:c>
      <x:c r="S302" s="43" t="str">
        <x:v>Unknown</x:v>
      </x:c>
      <x:c r="T302" s="43" t="str">
        <x:v>Unknown</x:v>
      </x:c>
      <x:c r="U302" s="43" t="str">
        <x:v>Unknown</x:v>
      </x:c>
      <x:c r="V302" s="43" t="str">
        <x:v>Unknown</x:v>
      </x:c>
      <x:c r="W302" s="43" t="str">
        <x:v>Unknown</x:v>
      </x:c>
      <x:c r="X302" s="43" t="str">
        <x:v>Unknown</x:v>
      </x:c>
      <x:c r="Y302" s="43" t="str">
        <x:v>Unknown</x:v>
      </x:c>
      <x:c r="Z302" s="43"/>
    </x:row>
    <x:row r="303" ht="60" customHeight="1">
      <x:c r="A303" s="16" t="s">
        <x:v>1789</x:v>
      </x:c>
      <x:c r="B303" s="16" t="s">
        <x:v>1790</x:v>
      </x:c>
      <x:c r="C303" s="16" t="s">
        <x:v>1660</x:v>
      </x:c>
      <x:c r="D303" s="16" t="s">
        <x:v>1791</x:v>
      </x:c>
      <x:c r="E303" s="16" t="s">
        <x:v>151</x:v>
      </x:c>
      <x:c r="F303" s="16" t="s">
        <x:v>121</x:v>
      </x:c>
      <x:c r="G303" s="16" t="s">
        <x:v>134</x:v>
      </x:c>
      <x:c r="H303" s="17" t="s">
        <x:v>1792</x:v>
      </x:c>
      <x:c r="I303" s="17" t="s">
        <x:v>1793</x:v>
      </x:c>
      <x:c r="J303" s="17" t="s">
        <x:v>1794</x:v>
      </x:c>
      <x:c r="K303" s="17" t="s">
        <x:v>1665</x:v>
      </x:c>
      <x:c r="L303" s="17" t="s">
        <x:v>111</x:v>
      </x:c>
      <x:c r="M303" s="17" t="s">
        <x:v>1729</x:v>
      </x:c>
      <x:c r="N303" s="16"/>
      <x:c r="O303" s="18">
        <x:v>46249</x:v>
      </x:c>
      <x:c r="P303" s="19" t="s">
        <x:v>34</x:v>
      </x:c>
      <x:c r="Q303" s="17"/>
      <x:c r="R303" s="19" t="str">
        <x:f t="shared" si="4"/>
        <x:v>Discovery Link Only</x:v>
      </x:c>
      <x:c r="S303" s="43" t="str">
        <x:v>Unknown</x:v>
      </x:c>
      <x:c r="T303" s="43" t="str">
        <x:v>Unknown</x:v>
      </x:c>
      <x:c r="U303" s="43" t="str">
        <x:v>Unknown</x:v>
      </x:c>
      <x:c r="V303" s="43" t="str">
        <x:v>Unknown</x:v>
      </x:c>
      <x:c r="W303" s="43" t="str">
        <x:v>Unknown</x:v>
      </x:c>
      <x:c r="X303" s="43" t="str">
        <x:v>Unknown</x:v>
      </x:c>
      <x:c r="Y303" s="43" t="str">
        <x:v>Unknown</x:v>
      </x:c>
      <x:c r="Z303" s="43"/>
    </x:row>
    <x:row r="304" ht="60" customHeight="1">
      <x:c r="A304" s="16" t="s">
        <x:v>1795</x:v>
      </x:c>
      <x:c r="B304" s="16" t="s">
        <x:v>1796</x:v>
      </x:c>
      <x:c r="C304" s="16" t="s">
        <x:v>1660</x:v>
      </x:c>
      <x:c r="D304" s="16" t="s">
        <x:v>1791</x:v>
      </x:c>
      <x:c r="E304" s="16" t="s">
        <x:v>133</x:v>
      </x:c>
      <x:c r="F304" s="16" t="s">
        <x:v>121</x:v>
      </x:c>
      <x:c r="G304" s="16" t="s">
        <x:v>134</x:v>
      </x:c>
      <x:c r="H304" s="17" t="s">
        <x:v>1797</x:v>
      </x:c>
      <x:c r="I304" s="17" t="s">
        <x:v>1798</x:v>
      </x:c>
      <x:c r="J304" s="17" t="s">
        <x:v>1799</x:v>
      </x:c>
      <x:c r="K304" s="17" t="s">
        <x:v>1665</x:v>
      </x:c>
      <x:c r="L304" s="17" t="s">
        <x:v>111</x:v>
      </x:c>
      <x:c r="M304" s="17" t="s">
        <x:v>1729</x:v>
      </x:c>
      <x:c r="N304" s="16"/>
      <x:c r="O304" s="18">
        <x:v>46249</x:v>
      </x:c>
      <x:c r="P304" s="19" t="s">
        <x:v>34</x:v>
      </x:c>
      <x:c r="Q304" s="17"/>
      <x:c r="R304" s="19" t="str">
        <x:f t="shared" si="4"/>
        <x:v>Discovery Link Only</x:v>
      </x:c>
      <x:c r="S304" s="43" t="str">
        <x:v>Unknown</x:v>
      </x:c>
      <x:c r="T304" s="43" t="str">
        <x:v>Unknown</x:v>
      </x:c>
      <x:c r="U304" s="43" t="str">
        <x:v>Unknown</x:v>
      </x:c>
      <x:c r="V304" s="43" t="str">
        <x:v>Unknown</x:v>
      </x:c>
      <x:c r="W304" s="43" t="str">
        <x:v>Unknown</x:v>
      </x:c>
      <x:c r="X304" s="43" t="str">
        <x:v>Unknown</x:v>
      </x:c>
      <x:c r="Y304" s="43" t="str">
        <x:v>Unknown</x:v>
      </x:c>
      <x:c r="Z304" s="43"/>
    </x:row>
    <x:row r="305" ht="60" customHeight="1">
      <x:c r="A305" s="16" t="s">
        <x:v>1800</x:v>
      </x:c>
      <x:c r="B305" s="16" t="s">
        <x:v>1801</x:v>
      </x:c>
      <x:c r="C305" s="16" t="s">
        <x:v>1660</x:v>
      </x:c>
      <x:c r="D305" s="16" t="s">
        <x:v>1802</x:v>
      </x:c>
      <x:c r="E305" s="16" t="s">
        <x:v>99</x:v>
      </x:c>
      <x:c r="F305" s="16" t="s">
        <x:v>194</x:v>
      </x:c>
      <x:c r="G305" s="16" t="s">
        <x:v>46</x:v>
      </x:c>
      <x:c r="H305" s="17" t="s">
        <x:v>1803</x:v>
      </x:c>
      <x:c r="I305" s="17" t="s">
        <x:v>1804</x:v>
      </x:c>
      <x:c r="J305" s="17" t="s">
        <x:v>1805</x:v>
      </x:c>
      <x:c r="K305" s="17" t="s">
        <x:v>1665</x:v>
      </x:c>
      <x:c r="L305" s="17" t="s">
        <x:v>111</x:v>
      </x:c>
      <x:c r="M305" s="17" t="s">
        <x:v>1729</x:v>
      </x:c>
      <x:c r="N305" s="16"/>
      <x:c r="O305" s="18">
        <x:v>46249</x:v>
      </x:c>
      <x:c r="P305" s="19" t="s">
        <x:v>34</x:v>
      </x:c>
      <x:c r="Q305" s="17"/>
      <x:c r="R305" s="19" t="str">
        <x:f t="shared" si="4"/>
        <x:v>Discovery Link Only</x:v>
      </x:c>
      <x:c r="S305" s="43" t="str">
        <x:v>Unknown</x:v>
      </x:c>
      <x:c r="T305" s="43" t="str">
        <x:v>Unknown</x:v>
      </x:c>
      <x:c r="U305" s="43" t="str">
        <x:v>Unknown</x:v>
      </x:c>
      <x:c r="V305" s="43" t="str">
        <x:v>Unknown</x:v>
      </x:c>
      <x:c r="W305" s="43" t="str">
        <x:v>Unknown</x:v>
      </x:c>
      <x:c r="X305" s="43" t="str">
        <x:v>Unknown</x:v>
      </x:c>
      <x:c r="Y305" s="43" t="str">
        <x:v>Unknown</x:v>
      </x:c>
      <x:c r="Z305" s="43"/>
    </x:row>
    <x:row r="306" ht="60" customHeight="1">
      <x:c r="A306" s="16" t="s">
        <x:v>1806</x:v>
      </x:c>
      <x:c r="B306" s="16" t="s">
        <x:v>1807</x:v>
      </x:c>
      <x:c r="C306" s="16" t="s">
        <x:v>1660</x:v>
      </x:c>
      <x:c r="D306" s="16" t="s">
        <x:v>1808</x:v>
      </x:c>
      <x:c r="E306" s="16" t="s">
        <x:v>45</x:v>
      </x:c>
      <x:c r="F306" s="16" t="s">
        <x:v>107</x:v>
      </x:c>
      <x:c r="G306" s="16" t="s">
        <x:v>26</x:v>
      </x:c>
      <x:c r="H306" s="17" t="s">
        <x:v>1809</x:v>
      </x:c>
      <x:c r="I306" s="17" t="s">
        <x:v>1810</x:v>
      </x:c>
      <x:c r="J306" s="17" t="s">
        <x:v>1811</x:v>
      </x:c>
      <x:c r="K306" s="17" t="s">
        <x:v>1665</x:v>
      </x:c>
      <x:c r="L306" s="17" t="s">
        <x:v>111</x:v>
      </x:c>
      <x:c r="M306" s="17" t="s">
        <x:v>1729</x:v>
      </x:c>
      <x:c r="N306" s="16"/>
      <x:c r="O306" s="18">
        <x:v>46249</x:v>
      </x:c>
      <x:c r="P306" s="19" t="s">
        <x:v>34</x:v>
      </x:c>
      <x:c r="Q306" s="17"/>
      <x:c r="R306" s="19" t="str">
        <x:f t="shared" si="4"/>
        <x:v>Discovery Link Only</x:v>
      </x:c>
      <x:c r="S306" s="43" t="str">
        <x:v>Unknown</x:v>
      </x:c>
      <x:c r="T306" s="43" t="str">
        <x:v>Unknown</x:v>
      </x:c>
      <x:c r="U306" s="43" t="str">
        <x:v>Unknown</x:v>
      </x:c>
      <x:c r="V306" s="43" t="str">
        <x:v>Unknown</x:v>
      </x:c>
      <x:c r="W306" s="43" t="str">
        <x:v>Unknown</x:v>
      </x:c>
      <x:c r="X306" s="43" t="str">
        <x:v>Unknown</x:v>
      </x:c>
      <x:c r="Y306" s="43" t="str">
        <x:v>Unknown</x:v>
      </x:c>
      <x:c r="Z306" s="43"/>
    </x:row>
    <x:row r="307" ht="60" customHeight="1">
      <x:c r="A307" s="16" t="s">
        <x:v>1812</x:v>
      </x:c>
      <x:c r="B307" s="16" t="s">
        <x:v>1813</x:v>
      </x:c>
      <x:c r="C307" s="16" t="s">
        <x:v>1660</x:v>
      </x:c>
      <x:c r="D307" s="16" t="s">
        <x:v>1808</x:v>
      </x:c>
      <x:c r="E307" s="16" t="s">
        <x:v>37</x:v>
      </x:c>
      <x:c r="F307" s="16" t="s">
        <x:v>121</x:v>
      </x:c>
      <x:c r="G307" s="16" t="s">
        <x:v>26</x:v>
      </x:c>
      <x:c r="H307" s="17" t="s">
        <x:v>1814</x:v>
      </x:c>
      <x:c r="I307" s="17" t="s">
        <x:v>1815</x:v>
      </x:c>
      <x:c r="J307" s="17" t="s">
        <x:v>1816</x:v>
      </x:c>
      <x:c r="K307" s="17" t="s">
        <x:v>1665</x:v>
      </x:c>
      <x:c r="L307" s="17" t="s">
        <x:v>111</x:v>
      </x:c>
      <x:c r="M307" s="17" t="s">
        <x:v>1729</x:v>
      </x:c>
      <x:c r="N307" s="16"/>
      <x:c r="O307" s="18">
        <x:v>46249</x:v>
      </x:c>
      <x:c r="P307" s="19" t="s">
        <x:v>34</x:v>
      </x:c>
      <x:c r="Q307" s="17"/>
      <x:c r="R307" s="19" t="str">
        <x:f t="shared" si="4"/>
        <x:v>Discovery Link Only</x:v>
      </x:c>
      <x:c r="S307" s="43" t="str">
        <x:v>Unknown</x:v>
      </x:c>
      <x:c r="T307" s="43" t="str">
        <x:v>Unknown</x:v>
      </x:c>
      <x:c r="U307" s="43" t="str">
        <x:v>Unknown</x:v>
      </x:c>
      <x:c r="V307" s="43" t="str">
        <x:v>Unknown</x:v>
      </x:c>
      <x:c r="W307" s="43" t="str">
        <x:v>Unknown</x:v>
      </x:c>
      <x:c r="X307" s="43" t="str">
        <x:v>Unknown</x:v>
      </x:c>
      <x:c r="Y307" s="43" t="str">
        <x:v>Unknown</x:v>
      </x:c>
      <x:c r="Z307" s="43"/>
    </x:row>
    <x:row r="308" ht="60" customHeight="1">
      <x:c r="A308" s="16" t="s">
        <x:v>1817</x:v>
      </x:c>
      <x:c r="B308" s="16" t="s">
        <x:v>1818</x:v>
      </x:c>
      <x:c r="C308" s="16" t="s">
        <x:v>1660</x:v>
      </x:c>
      <x:c r="D308" s="16" t="s">
        <x:v>1700</x:v>
      </x:c>
      <x:c r="E308" s="16" t="s">
        <x:v>72</x:v>
      </x:c>
      <x:c r="F308" s="16" t="s">
        <x:v>127</x:v>
      </x:c>
      <x:c r="G308" s="16" t="s">
        <x:v>26</x:v>
      </x:c>
      <x:c r="H308" s="17" t="s">
        <x:v>1819</x:v>
      </x:c>
      <x:c r="I308" s="17" t="s">
        <x:v>1820</x:v>
      </x:c>
      <x:c r="J308" s="17" t="s">
        <x:v>1821</x:v>
      </x:c>
      <x:c r="K308" s="17" t="s">
        <x:v>1665</x:v>
      </x:c>
      <x:c r="L308" s="17" t="s">
        <x:v>111</x:v>
      </x:c>
      <x:c r="M308" s="17" t="s">
        <x:v>1729</x:v>
      </x:c>
      <x:c r="N308" s="16"/>
      <x:c r="O308" s="18">
        <x:v>46249</x:v>
      </x:c>
      <x:c r="P308" s="19" t="s">
        <x:v>34</x:v>
      </x:c>
      <x:c r="Q308" s="17"/>
      <x:c r="R308" s="19" t="str">
        <x:f t="shared" si="4"/>
        <x:v>Discovery Link Only</x:v>
      </x:c>
      <x:c r="S308" s="43" t="str">
        <x:v>Unknown</x:v>
      </x:c>
      <x:c r="T308" s="43" t="str">
        <x:v>Unknown</x:v>
      </x:c>
      <x:c r="U308" s="43" t="str">
        <x:v>Unknown</x:v>
      </x:c>
      <x:c r="V308" s="43" t="str">
        <x:v>Unknown</x:v>
      </x:c>
      <x:c r="W308" s="43" t="str">
        <x:v>Unknown</x:v>
      </x:c>
      <x:c r="X308" s="43" t="str">
        <x:v>Unknown</x:v>
      </x:c>
      <x:c r="Y308" s="43" t="str">
        <x:v>Unknown</x:v>
      </x:c>
      <x:c r="Z308" s="43"/>
    </x:row>
    <x:row r="309" ht="60" customHeight="1">
      <x:c r="A309" s="16" t="s">
        <x:v>1822</x:v>
      </x:c>
      <x:c r="B309" s="16" t="s">
        <x:v>1823</x:v>
      </x:c>
      <x:c r="C309" s="16" t="s">
        <x:v>1660</x:v>
      </x:c>
      <x:c r="D309" s="16" t="s">
        <x:v>1700</x:v>
      </x:c>
      <x:c r="E309" s="16" t="s">
        <x:v>115</x:v>
      </x:c>
      <x:c r="F309" s="16" t="s">
        <x:v>107</x:v>
      </x:c>
      <x:c r="G309" s="16" t="s">
        <x:v>46</x:v>
      </x:c>
      <x:c r="H309" s="17" t="s">
        <x:v>1824</x:v>
      </x:c>
      <x:c r="I309" s="17" t="s">
        <x:v>1825</x:v>
      </x:c>
      <x:c r="J309" s="17" t="s">
        <x:v>1826</x:v>
      </x:c>
      <x:c r="K309" s="17" t="s">
        <x:v>1665</x:v>
      </x:c>
      <x:c r="L309" s="17" t="s">
        <x:v>111</x:v>
      </x:c>
      <x:c r="M309" s="17" t="s">
        <x:v>1729</x:v>
      </x:c>
      <x:c r="N309" s="16"/>
      <x:c r="O309" s="18">
        <x:v>46249</x:v>
      </x:c>
      <x:c r="P309" s="19" t="s">
        <x:v>34</x:v>
      </x:c>
      <x:c r="Q309" s="17"/>
      <x:c r="R309" s="19" t="str">
        <x:f t="shared" si="4"/>
        <x:v>Discovery Link Only</x:v>
      </x:c>
      <x:c r="S309" s="43" t="str">
        <x:v>Unknown</x:v>
      </x:c>
      <x:c r="T309" s="43" t="str">
        <x:v>Unknown</x:v>
      </x:c>
      <x:c r="U309" s="43" t="str">
        <x:v>Unknown</x:v>
      </x:c>
      <x:c r="V309" s="43" t="str">
        <x:v>Unknown</x:v>
      </x:c>
      <x:c r="W309" s="43" t="str">
        <x:v>Unknown</x:v>
      </x:c>
      <x:c r="X309" s="43" t="str">
        <x:v>Unknown</x:v>
      </x:c>
      <x:c r="Y309" s="43" t="str">
        <x:v>Unknown</x:v>
      </x:c>
      <x:c r="Z309" s="43"/>
    </x:row>
    <x:row r="310" ht="60" customHeight="1">
      <x:c r="A310" s="16" t="s">
        <x:v>1827</x:v>
      </x:c>
      <x:c r="B310" s="16" t="s">
        <x:v>1828</x:v>
      </x:c>
      <x:c r="C310" s="16" t="s">
        <x:v>1660</x:v>
      </x:c>
      <x:c r="D310" s="16" t="s">
        <x:v>1829</x:v>
      </x:c>
      <x:c r="E310" s="16" t="s">
        <x:v>45</x:v>
      </x:c>
      <x:c r="F310" s="16" t="s">
        <x:v>121</x:v>
      </x:c>
      <x:c r="G310" s="16" t="s">
        <x:v>26</x:v>
      </x:c>
      <x:c r="H310" s="17" t="s">
        <x:v>1830</x:v>
      </x:c>
      <x:c r="I310" s="17" t="s">
        <x:v>1831</x:v>
      </x:c>
      <x:c r="J310" s="17" t="s">
        <x:v>1832</x:v>
      </x:c>
      <x:c r="K310" s="17" t="s">
        <x:v>1665</x:v>
      </x:c>
      <x:c r="L310" s="17" t="s">
        <x:v>111</x:v>
      </x:c>
      <x:c r="M310" s="17" t="s">
        <x:v>1729</x:v>
      </x:c>
      <x:c r="N310" s="16"/>
      <x:c r="O310" s="18">
        <x:v>46249</x:v>
      </x:c>
      <x:c r="P310" s="19" t="s">
        <x:v>34</x:v>
      </x:c>
      <x:c r="Q310" s="17"/>
      <x:c r="R310" s="19" t="str">
        <x:f t="shared" si="4"/>
        <x:v>Discovery Link Only</x:v>
      </x:c>
      <x:c r="S310" s="43" t="str">
        <x:v>Unknown</x:v>
      </x:c>
      <x:c r="T310" s="43" t="str">
        <x:v>Unknown</x:v>
      </x:c>
      <x:c r="U310" s="43" t="str">
        <x:v>Unknown</x:v>
      </x:c>
      <x:c r="V310" s="43" t="str">
        <x:v>Unknown</x:v>
      </x:c>
      <x:c r="W310" s="43" t="str">
        <x:v>Unknown</x:v>
      </x:c>
      <x:c r="X310" s="43" t="str">
        <x:v>Unknown</x:v>
      </x:c>
      <x:c r="Y310" s="43" t="str">
        <x:v>Unknown</x:v>
      </x:c>
      <x:c r="Z310" s="43"/>
    </x:row>
    <x:row r="311" ht="60" customHeight="1">
      <x:c r="A311" s="16" t="s">
        <x:v>1833</x:v>
      </x:c>
      <x:c r="B311" s="16" t="s">
        <x:v>1834</x:v>
      </x:c>
      <x:c r="C311" s="16" t="s">
        <x:v>1660</x:v>
      </x:c>
      <x:c r="D311" s="16" t="s">
        <x:v>1835</x:v>
      </x:c>
      <x:c r="E311" s="16" t="s">
        <x:v>99</x:v>
      </x:c>
      <x:c r="F311" s="16" t="s">
        <x:v>194</x:v>
      </x:c>
      <x:c r="G311" s="16" t="s">
        <x:v>46</x:v>
      </x:c>
      <x:c r="H311" s="17" t="s">
        <x:v>1836</x:v>
      </x:c>
      <x:c r="I311" s="17" t="s">
        <x:v>1837</x:v>
      </x:c>
      <x:c r="J311" s="17" t="s">
        <x:v>1838</x:v>
      </x:c>
      <x:c r="K311" s="17" t="s">
        <x:v>1665</x:v>
      </x:c>
      <x:c r="L311" s="17" t="s">
        <x:v>111</x:v>
      </x:c>
      <x:c r="M311" s="17" t="s">
        <x:v>1729</x:v>
      </x:c>
      <x:c r="N311" s="16"/>
      <x:c r="O311" s="18">
        <x:v>46249</x:v>
      </x:c>
      <x:c r="P311" s="19" t="s">
        <x:v>34</x:v>
      </x:c>
      <x:c r="Q311" s="17"/>
      <x:c r="R311" s="19" t="str">
        <x:f t="shared" si="4"/>
        <x:v>Discovery Link Only</x:v>
      </x:c>
      <x:c r="S311" s="43" t="str">
        <x:v>Unknown</x:v>
      </x:c>
      <x:c r="T311" s="43" t="str">
        <x:v>Unknown</x:v>
      </x:c>
      <x:c r="U311" s="43" t="str">
        <x:v>Unknown</x:v>
      </x:c>
      <x:c r="V311" s="43" t="str">
        <x:v>Unknown</x:v>
      </x:c>
      <x:c r="W311" s="43" t="str">
        <x:v>Unknown</x:v>
      </x:c>
      <x:c r="X311" s="43" t="str">
        <x:v>Unknown</x:v>
      </x:c>
      <x:c r="Y311" s="43" t="str">
        <x:v>Unknown</x:v>
      </x:c>
      <x:c r="Z311" s="43"/>
    </x:row>
    <x:row r="312" ht="60" customHeight="1">
      <x:c r="A312" s="16" t="s">
        <x:v>1839</x:v>
      </x:c>
      <x:c r="B312" s="16" t="s">
        <x:v>1840</x:v>
      </x:c>
      <x:c r="C312" s="16" t="s">
        <x:v>1660</x:v>
      </x:c>
      <x:c r="D312" s="16" t="s">
        <x:v>1841</x:v>
      </x:c>
      <x:c r="E312" s="16" t="s">
        <x:v>99</x:v>
      </x:c>
      <x:c r="F312" s="16" t="s">
        <x:v>194</x:v>
      </x:c>
      <x:c r="G312" s="16" t="s">
        <x:v>46</x:v>
      </x:c>
      <x:c r="H312" s="17" t="s">
        <x:v>1842</x:v>
      </x:c>
      <x:c r="I312" s="17" t="s">
        <x:v>1843</x:v>
      </x:c>
      <x:c r="J312" s="17" t="s">
        <x:v>1844</x:v>
      </x:c>
      <x:c r="K312" s="17" t="s">
        <x:v>1665</x:v>
      </x:c>
      <x:c r="L312" s="17" t="s">
        <x:v>111</x:v>
      </x:c>
      <x:c r="M312" s="17" t="s">
        <x:v>1729</x:v>
      </x:c>
      <x:c r="N312" s="16"/>
      <x:c r="O312" s="18">
        <x:v>46249</x:v>
      </x:c>
      <x:c r="P312" s="19" t="s">
        <x:v>34</x:v>
      </x:c>
      <x:c r="Q312" s="17"/>
      <x:c r="R312" s="19" t="str">
        <x:f t="shared" si="4"/>
        <x:v>Discovery Link Only</x:v>
      </x:c>
      <x:c r="S312" s="43" t="str">
        <x:v>Unknown</x:v>
      </x:c>
      <x:c r="T312" s="43" t="str">
        <x:v>Unknown</x:v>
      </x:c>
      <x:c r="U312" s="43" t="str">
        <x:v>Unknown</x:v>
      </x:c>
      <x:c r="V312" s="43" t="str">
        <x:v>Unknown</x:v>
      </x:c>
      <x:c r="W312" s="43" t="str">
        <x:v>Unknown</x:v>
      </x:c>
      <x:c r="X312" s="43" t="str">
        <x:v>Unknown</x:v>
      </x:c>
      <x:c r="Y312" s="43" t="str">
        <x:v>Unknown</x:v>
      </x:c>
      <x:c r="Z312" s="43"/>
    </x:row>
    <x:row r="313" ht="60" customHeight="1">
      <x:c r="A313" s="16" t="s">
        <x:v>1845</x:v>
      </x:c>
      <x:c r="B313" s="16" t="s">
        <x:v>1846</x:v>
      </x:c>
      <x:c r="C313" s="16" t="s">
        <x:v>1660</x:v>
      </x:c>
      <x:c r="D313" s="16" t="s">
        <x:v>1847</x:v>
      </x:c>
      <x:c r="E313" s="16" t="s">
        <x:v>45</x:v>
      </x:c>
      <x:c r="F313" s="16" t="s">
        <x:v>194</x:v>
      </x:c>
      <x:c r="G313" s="16" t="s">
        <x:v>26</x:v>
      </x:c>
      <x:c r="H313" s="17" t="s">
        <x:v>1848</x:v>
      </x:c>
      <x:c r="I313" s="17" t="s">
        <x:v>1849</x:v>
      </x:c>
      <x:c r="J313" s="17" t="s">
        <x:v>1850</x:v>
      </x:c>
      <x:c r="K313" s="17" t="s">
        <x:v>1665</x:v>
      </x:c>
      <x:c r="L313" s="17" t="s">
        <x:v>111</x:v>
      </x:c>
      <x:c r="M313" s="17" t="s">
        <x:v>1729</x:v>
      </x:c>
      <x:c r="N313" s="16"/>
      <x:c r="O313" s="18">
        <x:v>46249</x:v>
      </x:c>
      <x:c r="P313" s="19" t="s">
        <x:v>34</x:v>
      </x:c>
      <x:c r="Q313" s="17"/>
      <x:c r="R313" s="19" t="str">
        <x:f t="shared" si="4"/>
        <x:v>Discovery Link Only</x:v>
      </x:c>
      <x:c r="S313" s="43" t="str">
        <x:v>Unknown</x:v>
      </x:c>
      <x:c r="T313" s="43" t="str">
        <x:v>Unknown</x:v>
      </x:c>
      <x:c r="U313" s="43" t="str">
        <x:v>Unknown</x:v>
      </x:c>
      <x:c r="V313" s="43" t="str">
        <x:v>Unknown</x:v>
      </x:c>
      <x:c r="W313" s="43" t="str">
        <x:v>Unknown</x:v>
      </x:c>
      <x:c r="X313" s="43" t="str">
        <x:v>Unknown</x:v>
      </x:c>
      <x:c r="Y313" s="43" t="str">
        <x:v>Unknown</x:v>
      </x:c>
      <x:c r="Z313" s="43"/>
    </x:row>
    <x:row r="314" ht="60" customHeight="1">
      <x:c r="A314" s="16" t="s">
        <x:v>1851</x:v>
      </x:c>
      <x:c r="B314" s="16" t="s">
        <x:v>1852</x:v>
      </x:c>
      <x:c r="C314" s="16" t="s">
        <x:v>1853</x:v>
      </x:c>
      <x:c r="D314" s="16" t="s">
        <x:v>1854</x:v>
      </x:c>
      <x:c r="E314" s="16" t="s">
        <x:v>72</x:v>
      </x:c>
      <x:c r="F314" s="16" t="s">
        <x:v>121</x:v>
      </x:c>
      <x:c r="G314" s="16" t="s">
        <x:v>46</x:v>
      </x:c>
      <x:c r="H314" s="17" t="s">
        <x:v>1855</x:v>
      </x:c>
      <x:c r="I314" s="17" t="s">
        <x:v>1856</x:v>
      </x:c>
      <x:c r="J314" s="17" t="s">
        <x:v>1857</x:v>
      </x:c>
      <x:c r="K314" s="17" t="s">
        <x:v>1858</x:v>
      </x:c>
      <x:c r="L314" s="17" t="s">
        <x:v>58</x:v>
      </x:c>
      <x:c r="M314" s="17" t="s">
        <x:v>256</x:v>
      </x:c>
      <x:c r="N314" s="16" t="s">
        <x:v>1859</x:v>
      </x:c>
      <x:c r="O314" s="18">
        <x:v>46249</x:v>
      </x:c>
      <x:c r="P314" s="19" t="s">
        <x:v>34</x:v>
      </x:c>
      <x:c r="Q314" s="17"/>
      <x:c r="R314" s="19" t="str">
        <x:f t="shared" si="4"/>
        <x:v>Source Link Present</x:v>
      </x:c>
      <x:c r="S314" s="43" t="str">
        <x:v>Unknown</x:v>
      </x:c>
      <x:c r="T314" s="43" t="str">
        <x:v>Unknown</x:v>
      </x:c>
      <x:c r="U314" s="43" t="str">
        <x:v>Unknown</x:v>
      </x:c>
      <x:c r="V314" s="43" t="str">
        <x:v>Unknown</x:v>
      </x:c>
      <x:c r="W314" s="43" t="str">
        <x:v>Unknown</x:v>
      </x:c>
      <x:c r="X314" s="43" t="str">
        <x:v>Unknown</x:v>
      </x:c>
      <x:c r="Y314" s="43" t="str">
        <x:v>Unknown</x:v>
      </x:c>
      <x:c r="Z314" s="43"/>
    </x:row>
    <x:row r="315" ht="60" customHeight="1">
      <x:c r="A315" s="16" t="s">
        <x:v>1860</x:v>
      </x:c>
      <x:c r="B315" s="16" t="s">
        <x:v>1861</x:v>
      </x:c>
      <x:c r="C315" s="16" t="s">
        <x:v>1853</x:v>
      </x:c>
      <x:c r="D315" s="16" t="s">
        <x:v>1862</x:v>
      </x:c>
      <x:c r="E315" s="16" t="s">
        <x:v>106</x:v>
      </x:c>
      <x:c r="F315" s="16" t="s">
        <x:v>25</x:v>
      </x:c>
      <x:c r="G315" s="16" t="s">
        <x:v>46</x:v>
      </x:c>
      <x:c r="H315" s="17" t="s">
        <x:v>1863</x:v>
      </x:c>
      <x:c r="I315" s="17" t="s">
        <x:v>1864</x:v>
      </x:c>
      <x:c r="J315" s="17" t="s">
        <x:v>1865</x:v>
      </x:c>
      <x:c r="K315" s="17" t="s">
        <x:v>1858</x:v>
      </x:c>
      <x:c r="L315" s="17" t="s">
        <x:v>58</x:v>
      </x:c>
      <x:c r="M315" s="17" t="s">
        <x:v>256</x:v>
      </x:c>
      <x:c r="N315" s="16" t="s">
        <x:v>1866</x:v>
      </x:c>
      <x:c r="O315" s="18">
        <x:v>46249</x:v>
      </x:c>
      <x:c r="P315" s="19" t="s">
        <x:v>34</x:v>
      </x:c>
      <x:c r="Q315" s="17"/>
      <x:c r="R315" s="19" t="str">
        <x:f t="shared" si="4"/>
        <x:v>Source Link Present</x:v>
      </x:c>
      <x:c r="S315" s="43" t="str">
        <x:v>Unknown</x:v>
      </x:c>
      <x:c r="T315" s="43" t="str">
        <x:v>Unknown</x:v>
      </x:c>
      <x:c r="U315" s="43" t="str">
        <x:v>Unknown</x:v>
      </x:c>
      <x:c r="V315" s="43" t="str">
        <x:v>Unknown</x:v>
      </x:c>
      <x:c r="W315" s="43" t="str">
        <x:v>Unknown</x:v>
      </x:c>
      <x:c r="X315" s="43" t="str">
        <x:v>Unknown</x:v>
      </x:c>
      <x:c r="Y315" s="43" t="str">
        <x:v>Unknown</x:v>
      </x:c>
      <x:c r="Z315" s="43"/>
    </x:row>
    <x:row r="316" ht="60" customHeight="1">
      <x:c r="A316" s="16" t="s">
        <x:v>1867</x:v>
      </x:c>
      <x:c r="B316" s="16" t="s">
        <x:v>1868</x:v>
      </x:c>
      <x:c r="C316" s="16" t="s">
        <x:v>1853</x:v>
      </x:c>
      <x:c r="D316" s="16" t="s">
        <x:v>1869</x:v>
      </x:c>
      <x:c r="E316" s="16" t="s">
        <x:v>64</x:v>
      </x:c>
      <x:c r="F316" s="16" t="s">
        <x:v>25</x:v>
      </x:c>
      <x:c r="G316" s="16" t="s">
        <x:v>46</x:v>
      </x:c>
      <x:c r="H316" s="17" t="s">
        <x:v>1870</x:v>
      </x:c>
      <x:c r="I316" s="17" t="s">
        <x:v>1871</x:v>
      </x:c>
      <x:c r="J316" s="17" t="s">
        <x:v>1872</x:v>
      </x:c>
      <x:c r="K316" s="17" t="s">
        <x:v>1858</x:v>
      </x:c>
      <x:c r="L316" s="17" t="s">
        <x:v>58</x:v>
      </x:c>
      <x:c r="M316" s="17" t="s">
        <x:v>256</x:v>
      </x:c>
      <x:c r="N316" s="16" t="s">
        <x:v>1873</x:v>
      </x:c>
      <x:c r="O316" s="18">
        <x:v>46249</x:v>
      </x:c>
      <x:c r="P316" s="19" t="s">
        <x:v>34</x:v>
      </x:c>
      <x:c r="Q316" s="17"/>
      <x:c r="R316" s="19" t="str">
        <x:f t="shared" si="4"/>
        <x:v>Source Link Present</x:v>
      </x:c>
      <x:c r="S316" s="43" t="str">
        <x:v>Unknown</x:v>
      </x:c>
      <x:c r="T316" s="43" t="str">
        <x:v>Unknown</x:v>
      </x:c>
      <x:c r="U316" s="43" t="str">
        <x:v>Unknown</x:v>
      </x:c>
      <x:c r="V316" s="43" t="str">
        <x:v>Unknown</x:v>
      </x:c>
      <x:c r="W316" s="43" t="str">
        <x:v>Unknown</x:v>
      </x:c>
      <x:c r="X316" s="43" t="str">
        <x:v>Unknown</x:v>
      </x:c>
      <x:c r="Y316" s="43" t="str">
        <x:v>Unknown</x:v>
      </x:c>
      <x:c r="Z316" s="43"/>
    </x:row>
    <x:row r="317" ht="60" customHeight="1">
      <x:c r="A317" s="16" t="s">
        <x:v>1874</x:v>
      </x:c>
      <x:c r="B317" s="16" t="s">
        <x:v>1875</x:v>
      </x:c>
      <x:c r="C317" s="16" t="s">
        <x:v>1853</x:v>
      </x:c>
      <x:c r="D317" s="16" t="s">
        <x:v>1876</x:v>
      </x:c>
      <x:c r="E317" s="16" t="s">
        <x:v>64</x:v>
      </x:c>
      <x:c r="F317" s="16" t="s">
        <x:v>25</x:v>
      </x:c>
      <x:c r="G317" s="16" t="s">
        <x:v>46</x:v>
      </x:c>
      <x:c r="H317" s="17" t="s">
        <x:v>1877</x:v>
      </x:c>
      <x:c r="I317" s="17" t="s">
        <x:v>1878</x:v>
      </x:c>
      <x:c r="J317" s="17" t="s">
        <x:v>1879</x:v>
      </x:c>
      <x:c r="K317" s="17" t="s">
        <x:v>1858</x:v>
      </x:c>
      <x:c r="L317" s="17" t="s">
        <x:v>58</x:v>
      </x:c>
      <x:c r="M317" s="17" t="s">
        <x:v>256</x:v>
      </x:c>
      <x:c r="N317" s="16" t="s">
        <x:v>1880</x:v>
      </x:c>
      <x:c r="O317" s="18">
        <x:v>46249</x:v>
      </x:c>
      <x:c r="P317" s="19" t="s">
        <x:v>34</x:v>
      </x:c>
      <x:c r="Q317" s="17"/>
      <x:c r="R317" s="19" t="str">
        <x:f t="shared" si="4"/>
        <x:v>Discovery Link Only</x:v>
      </x:c>
      <x:c r="S317" s="43" t="str">
        <x:v>Unknown</x:v>
      </x:c>
      <x:c r="T317" s="43" t="str">
        <x:v>Unknown</x:v>
      </x:c>
      <x:c r="U317" s="43" t="str">
        <x:v>Unknown</x:v>
      </x:c>
      <x:c r="V317" s="43" t="str">
        <x:v>Unknown</x:v>
      </x:c>
      <x:c r="W317" s="43" t="str">
        <x:v>Unknown</x:v>
      </x:c>
      <x:c r="X317" s="43" t="str">
        <x:v>Unknown</x:v>
      </x:c>
      <x:c r="Y317" s="43" t="str">
        <x:v>Unknown</x:v>
      </x:c>
      <x:c r="Z317" s="43"/>
    </x:row>
    <x:row r="318" ht="60" customHeight="1">
      <x:c r="A318" s="16" t="s">
        <x:v>1881</x:v>
      </x:c>
      <x:c r="B318" s="16" t="s">
        <x:v>1882</x:v>
      </x:c>
      <x:c r="C318" s="16" t="s">
        <x:v>1853</x:v>
      </x:c>
      <x:c r="D318" s="16" t="s">
        <x:v>1883</x:v>
      </x:c>
      <x:c r="E318" s="16" t="s">
        <x:v>45</x:v>
      </x:c>
      <x:c r="F318" s="16" t="s">
        <x:v>25</x:v>
      </x:c>
      <x:c r="G318" s="16" t="s">
        <x:v>26</x:v>
      </x:c>
      <x:c r="H318" s="17" t="s">
        <x:v>1884</x:v>
      </x:c>
      <x:c r="I318" s="17" t="s">
        <x:v>1885</x:v>
      </x:c>
      <x:c r="J318" s="17" t="s">
        <x:v>1886</x:v>
      </x:c>
      <x:c r="K318" s="17" t="s">
        <x:v>1858</x:v>
      </x:c>
      <x:c r="L318" s="17" t="s">
        <x:v>58</x:v>
      </x:c>
      <x:c r="M318" s="17" t="s">
        <x:v>256</x:v>
      </x:c>
      <x:c r="N318" s="16" t="s">
        <x:v>1887</x:v>
      </x:c>
      <x:c r="O318" s="18">
        <x:v>46249</x:v>
      </x:c>
      <x:c r="P318" s="19" t="s">
        <x:v>34</x:v>
      </x:c>
      <x:c r="Q318" s="17"/>
      <x:c r="R318" s="19" t="str">
        <x:f t="shared" si="4"/>
        <x:v>Discovery Link Only</x:v>
      </x:c>
      <x:c r="S318" s="43" t="str">
        <x:v>Unknown</x:v>
      </x:c>
      <x:c r="T318" s="43" t="str">
        <x:v>Unknown</x:v>
      </x:c>
      <x:c r="U318" s="43" t="str">
        <x:v>Unknown</x:v>
      </x:c>
      <x:c r="V318" s="43" t="str">
        <x:v>Unknown</x:v>
      </x:c>
      <x:c r="W318" s="43" t="str">
        <x:v>Unknown</x:v>
      </x:c>
      <x:c r="X318" s="43" t="str">
        <x:v>Unknown</x:v>
      </x:c>
      <x:c r="Y318" s="43" t="str">
        <x:v>Unknown</x:v>
      </x:c>
      <x:c r="Z318" s="43"/>
    </x:row>
    <x:row r="319" ht="60" customHeight="1">
      <x:c r="A319" s="16" t="s">
        <x:v>1888</x:v>
      </x:c>
      <x:c r="B319" s="16" t="s">
        <x:v>1889</x:v>
      </x:c>
      <x:c r="C319" s="16" t="s">
        <x:v>1853</x:v>
      </x:c>
      <x:c r="D319" s="16" t="s">
        <x:v>1883</x:v>
      </x:c>
      <x:c r="E319" s="16" t="s">
        <x:v>45</x:v>
      </x:c>
      <x:c r="F319" s="16" t="s">
        <x:v>25</x:v>
      </x:c>
      <x:c r="G319" s="16" t="s">
        <x:v>26</x:v>
      </x:c>
      <x:c r="H319" s="17" t="s">
        <x:v>1890</x:v>
      </x:c>
      <x:c r="I319" s="17" t="s">
        <x:v>1891</x:v>
      </x:c>
      <x:c r="J319" s="17" t="s">
        <x:v>1892</x:v>
      </x:c>
      <x:c r="K319" s="17" t="s">
        <x:v>1858</x:v>
      </x:c>
      <x:c r="L319" s="17" t="s">
        <x:v>58</x:v>
      </x:c>
      <x:c r="M319" s="17" t="s">
        <x:v>256</x:v>
      </x:c>
      <x:c r="N319" s="16" t="s">
        <x:v>1893</x:v>
      </x:c>
      <x:c r="O319" s="18">
        <x:v>46249</x:v>
      </x:c>
      <x:c r="P319" s="19" t="s">
        <x:v>34</x:v>
      </x:c>
      <x:c r="Q319" s="17"/>
      <x:c r="R319" s="19" t="str">
        <x:f t="shared" si="4"/>
        <x:v>Discovery Link Only</x:v>
      </x:c>
      <x:c r="S319" s="43" t="str">
        <x:v>Unknown</x:v>
      </x:c>
      <x:c r="T319" s="43" t="str">
        <x:v>Unknown</x:v>
      </x:c>
      <x:c r="U319" s="43" t="str">
        <x:v>Unknown</x:v>
      </x:c>
      <x:c r="V319" s="43" t="str">
        <x:v>Unknown</x:v>
      </x:c>
      <x:c r="W319" s="43" t="str">
        <x:v>Unknown</x:v>
      </x:c>
      <x:c r="X319" s="43" t="str">
        <x:v>Unknown</x:v>
      </x:c>
      <x:c r="Y319" s="43" t="str">
        <x:v>Unknown</x:v>
      </x:c>
      <x:c r="Z319" s="43"/>
    </x:row>
    <x:row r="320" ht="60" customHeight="1">
      <x:c r="A320" s="16" t="s">
        <x:v>1894</x:v>
      </x:c>
      <x:c r="B320" s="16" t="s">
        <x:v>1895</x:v>
      </x:c>
      <x:c r="C320" s="16" t="s">
        <x:v>1853</x:v>
      </x:c>
      <x:c r="D320" s="16" t="s">
        <x:v>1896</x:v>
      </x:c>
      <x:c r="E320" s="16" t="s">
        <x:v>45</x:v>
      </x:c>
      <x:c r="F320" s="16" t="s">
        <x:v>25</x:v>
      </x:c>
      <x:c r="G320" s="16" t="s">
        <x:v>26</x:v>
      </x:c>
      <x:c r="H320" s="17" t="s">
        <x:v>1897</x:v>
      </x:c>
      <x:c r="I320" s="17" t="s">
        <x:v>1898</x:v>
      </x:c>
      <x:c r="J320" s="17" t="s">
        <x:v>1899</x:v>
      </x:c>
      <x:c r="K320" s="17" t="s">
        <x:v>1858</x:v>
      </x:c>
      <x:c r="L320" s="17" t="s">
        <x:v>58</x:v>
      </x:c>
      <x:c r="M320" s="17" t="s">
        <x:v>256</x:v>
      </x:c>
      <x:c r="N320" s="16" t="s">
        <x:v>1900</x:v>
      </x:c>
      <x:c r="O320" s="18">
        <x:v>46249</x:v>
      </x:c>
      <x:c r="P320" s="19" t="s">
        <x:v>34</x:v>
      </x:c>
      <x:c r="Q320" s="17"/>
      <x:c r="R320" s="19" t="str">
        <x:f t="shared" si="4"/>
        <x:v>Discovery Link Only</x:v>
      </x:c>
      <x:c r="S320" s="43" t="str">
        <x:v>Unknown</x:v>
      </x:c>
      <x:c r="T320" s="43" t="str">
        <x:v>Unknown</x:v>
      </x:c>
      <x:c r="U320" s="43" t="str">
        <x:v>Unknown</x:v>
      </x:c>
      <x:c r="V320" s="43" t="str">
        <x:v>Unknown</x:v>
      </x:c>
      <x:c r="W320" s="43" t="str">
        <x:v>Unknown</x:v>
      </x:c>
      <x:c r="X320" s="43" t="str">
        <x:v>Unknown</x:v>
      </x:c>
      <x:c r="Y320" s="43" t="str">
        <x:v>Unknown</x:v>
      </x:c>
      <x:c r="Z320" s="43"/>
    </x:row>
    <x:row r="321" ht="60" customHeight="1">
      <x:c r="A321" s="16" t="s">
        <x:v>1901</x:v>
      </x:c>
      <x:c r="B321" s="16" t="s">
        <x:v>1902</x:v>
      </x:c>
      <x:c r="C321" s="16" t="s">
        <x:v>1853</x:v>
      </x:c>
      <x:c r="D321" s="16" t="s">
        <x:v>1876</x:v>
      </x:c>
      <x:c r="E321" s="16" t="s">
        <x:v>106</x:v>
      </x:c>
      <x:c r="F321" s="16" t="s">
        <x:v>25</x:v>
      </x:c>
      <x:c r="G321" s="16" t="s">
        <x:v>46</x:v>
      </x:c>
      <x:c r="H321" s="17" t="s">
        <x:v>1903</x:v>
      </x:c>
      <x:c r="I321" s="17" t="s">
        <x:v>1904</x:v>
      </x:c>
      <x:c r="J321" s="17" t="s">
        <x:v>1905</x:v>
      </x:c>
      <x:c r="K321" s="17" t="s">
        <x:v>1858</x:v>
      </x:c>
      <x:c r="L321" s="17" t="s">
        <x:v>58</x:v>
      </x:c>
      <x:c r="M321" s="17" t="s">
        <x:v>256</x:v>
      </x:c>
      <x:c r="N321" s="16" t="s">
        <x:v>1906</x:v>
      </x:c>
      <x:c r="O321" s="18">
        <x:v>46249</x:v>
      </x:c>
      <x:c r="P321" s="19" t="s">
        <x:v>34</x:v>
      </x:c>
      <x:c r="Q321" s="17"/>
      <x:c r="R321" s="19" t="str">
        <x:f t="shared" si="4"/>
        <x:v>Discovery Link Only</x:v>
      </x:c>
      <x:c r="S321" s="43" t="str">
        <x:v>Unknown</x:v>
      </x:c>
      <x:c r="T321" s="43" t="str">
        <x:v>Unknown</x:v>
      </x:c>
      <x:c r="U321" s="43" t="str">
        <x:v>Unknown</x:v>
      </x:c>
      <x:c r="V321" s="43" t="str">
        <x:v>Unknown</x:v>
      </x:c>
      <x:c r="W321" s="43" t="str">
        <x:v>Unknown</x:v>
      </x:c>
      <x:c r="X321" s="43" t="str">
        <x:v>Unknown</x:v>
      </x:c>
      <x:c r="Y321" s="43" t="str">
        <x:v>Unknown</x:v>
      </x:c>
      <x:c r="Z321" s="43"/>
    </x:row>
    <x:row r="322" ht="60" customHeight="1">
      <x:c r="A322" s="16" t="s">
        <x:v>1907</x:v>
      </x:c>
      <x:c r="B322" s="16" t="s">
        <x:v>1908</x:v>
      </x:c>
      <x:c r="C322" s="16" t="s">
        <x:v>1853</x:v>
      </x:c>
      <x:c r="D322" s="16" t="s">
        <x:v>1909</x:v>
      </x:c>
      <x:c r="E322" s="16" t="s">
        <x:v>54</x:v>
      </x:c>
      <x:c r="F322" s="16" t="s">
        <x:v>25</x:v>
      </x:c>
      <x:c r="G322" s="16" t="s">
        <x:v>46</x:v>
      </x:c>
      <x:c r="H322" s="17" t="s">
        <x:v>1910</x:v>
      </x:c>
      <x:c r="I322" s="17" t="s">
        <x:v>1911</x:v>
      </x:c>
      <x:c r="J322" s="17" t="s">
        <x:v>1912</x:v>
      </x:c>
      <x:c r="K322" s="17" t="s">
        <x:v>1858</x:v>
      </x:c>
      <x:c r="L322" s="17" t="s">
        <x:v>58</x:v>
      </x:c>
      <x:c r="M322" s="17" t="s">
        <x:v>256</x:v>
      </x:c>
      <x:c r="N322" s="16" t="s">
        <x:v>1913</x:v>
      </x:c>
      <x:c r="O322" s="18">
        <x:v>46249</x:v>
      </x:c>
      <x:c r="P322" s="19" t="s">
        <x:v>34</x:v>
      </x:c>
      <x:c r="Q322" s="17"/>
      <x:c r="R322" s="19" t="str">
        <x:f t="shared" si="4"/>
        <x:v>Discovery Link Only</x:v>
      </x:c>
      <x:c r="S322" s="43" t="str">
        <x:v>Unknown</x:v>
      </x:c>
      <x:c r="T322" s="43" t="str">
        <x:v>Unknown</x:v>
      </x:c>
      <x:c r="U322" s="43" t="str">
        <x:v>Unknown</x:v>
      </x:c>
      <x:c r="V322" s="43" t="str">
        <x:v>Unknown</x:v>
      </x:c>
      <x:c r="W322" s="43" t="str">
        <x:v>Unknown</x:v>
      </x:c>
      <x:c r="X322" s="43" t="str">
        <x:v>Unknown</x:v>
      </x:c>
      <x:c r="Y322" s="43" t="str">
        <x:v>Unknown</x:v>
      </x:c>
      <x:c r="Z322" s="43"/>
    </x:row>
    <x:row r="323" ht="60" customHeight="1">
      <x:c r="A323" s="16" t="s">
        <x:v>1914</x:v>
      </x:c>
      <x:c r="B323" s="16" t="s">
        <x:v>1915</x:v>
      </x:c>
      <x:c r="C323" s="16" t="s">
        <x:v>1853</x:v>
      </x:c>
      <x:c r="D323" s="16" t="s">
        <x:v>1876</x:v>
      </x:c>
      <x:c r="E323" s="16" t="s">
        <x:v>24</x:v>
      </x:c>
      <x:c r="F323" s="16" t="s">
        <x:v>25</x:v>
      </x:c>
      <x:c r="G323" s="16" t="s">
        <x:v>26</x:v>
      </x:c>
      <x:c r="H323" s="17" t="s">
        <x:v>1916</x:v>
      </x:c>
      <x:c r="I323" s="17" t="s">
        <x:v>1917</x:v>
      </x:c>
      <x:c r="J323" s="17" t="s">
        <x:v>1918</x:v>
      </x:c>
      <x:c r="K323" s="17" t="s">
        <x:v>1858</x:v>
      </x:c>
      <x:c r="L323" s="17" t="s">
        <x:v>58</x:v>
      </x:c>
      <x:c r="M323" s="17" t="s">
        <x:v>256</x:v>
      </x:c>
      <x:c r="N323" s="16" t="s">
        <x:v>1919</x:v>
      </x:c>
      <x:c r="O323" s="18">
        <x:v>46249</x:v>
      </x:c>
      <x:c r="P323" s="19" t="s">
        <x:v>34</x:v>
      </x:c>
      <x:c r="Q323" s="17"/>
      <x:c r="R323" s="19" t="str">
        <x:f t="shared" si="4"/>
        <x:v>Discovery Link Only</x:v>
      </x:c>
      <x:c r="S323" s="43" t="str">
        <x:v>Unknown</x:v>
      </x:c>
      <x:c r="T323" s="43" t="str">
        <x:v>Unknown</x:v>
      </x:c>
      <x:c r="U323" s="43" t="str">
        <x:v>Unknown</x:v>
      </x:c>
      <x:c r="V323" s="43" t="str">
        <x:v>Unknown</x:v>
      </x:c>
      <x:c r="W323" s="43" t="str">
        <x:v>Unknown</x:v>
      </x:c>
      <x:c r="X323" s="43" t="str">
        <x:v>Unknown</x:v>
      </x:c>
      <x:c r="Y323" s="43" t="str">
        <x:v>Unknown</x:v>
      </x:c>
      <x:c r="Z323" s="43"/>
    </x:row>
    <x:row r="324" ht="60" customHeight="1">
      <x:c r="A324" s="16" t="s">
        <x:v>1920</x:v>
      </x:c>
      <x:c r="B324" s="16" t="s">
        <x:v>1921</x:v>
      </x:c>
      <x:c r="C324" s="16" t="s">
        <x:v>1853</x:v>
      </x:c>
      <x:c r="D324" s="16" t="s">
        <x:v>1876</x:v>
      </x:c>
      <x:c r="E324" s="16" t="s">
        <x:v>106</x:v>
      </x:c>
      <x:c r="F324" s="16" t="s">
        <x:v>107</x:v>
      </x:c>
      <x:c r="G324" s="16" t="s">
        <x:v>46</x:v>
      </x:c>
      <x:c r="H324" s="17" t="s">
        <x:v>1922</x:v>
      </x:c>
      <x:c r="I324" s="17" t="s">
        <x:v>1923</x:v>
      </x:c>
      <x:c r="J324" s="17" t="s">
        <x:v>1924</x:v>
      </x:c>
      <x:c r="K324" s="17" t="s">
        <x:v>1858</x:v>
      </x:c>
      <x:c r="L324" s="17" t="s">
        <x:v>111</x:v>
      </x:c>
      <x:c r="M324" s="17" t="s">
        <x:v>1925</x:v>
      </x:c>
      <x:c r="N324" s="16"/>
      <x:c r="O324" s="18">
        <x:v>46249</x:v>
      </x:c>
      <x:c r="P324" s="19" t="s">
        <x:v>34</x:v>
      </x:c>
      <x:c r="Q324" s="17"/>
      <x:c r="R324" s="19" t="str">
        <x:f t="shared" ref="R324:R387" si="5">IF(J324="","Missing Link",IF(AND(ISNUMBER(SEARCH("google.com/maps",J324)),ISERROR(SEARCH(";",J324))),"Discovery Link Only","Source Link Present"))</x:f>
        <x:v>Discovery Link Only</x:v>
      </x:c>
      <x:c r="S324" s="43" t="str">
        <x:v>Unknown</x:v>
      </x:c>
      <x:c r="T324" s="43" t="str">
        <x:v>Unknown</x:v>
      </x:c>
      <x:c r="U324" s="43" t="str">
        <x:v>Unknown</x:v>
      </x:c>
      <x:c r="V324" s="43" t="str">
        <x:v>Unknown</x:v>
      </x:c>
      <x:c r="W324" s="43" t="str">
        <x:v>Unknown</x:v>
      </x:c>
      <x:c r="X324" s="43" t="str">
        <x:v>Unknown</x:v>
      </x:c>
      <x:c r="Y324" s="43" t="str">
        <x:v>Unknown</x:v>
      </x:c>
      <x:c r="Z324" s="43"/>
    </x:row>
    <x:row r="325" ht="60" customHeight="1">
      <x:c r="A325" s="16" t="s">
        <x:v>1926</x:v>
      </x:c>
      <x:c r="B325" s="16" t="s">
        <x:v>1927</x:v>
      </x:c>
      <x:c r="C325" s="16" t="s">
        <x:v>1853</x:v>
      </x:c>
      <x:c r="D325" s="16" t="s">
        <x:v>1876</x:v>
      </x:c>
      <x:c r="E325" s="16" t="s">
        <x:v>133</x:v>
      </x:c>
      <x:c r="F325" s="16" t="s">
        <x:v>121</x:v>
      </x:c>
      <x:c r="G325" s="16" t="s">
        <x:v>134</x:v>
      </x:c>
      <x:c r="H325" s="17" t="s">
        <x:v>1928</x:v>
      </x:c>
      <x:c r="I325" s="17" t="s">
        <x:v>1929</x:v>
      </x:c>
      <x:c r="J325" s="17" t="s">
        <x:v>1930</x:v>
      </x:c>
      <x:c r="K325" s="17" t="s">
        <x:v>1858</x:v>
      </x:c>
      <x:c r="L325" s="17" t="s">
        <x:v>111</x:v>
      </x:c>
      <x:c r="M325" s="17" t="s">
        <x:v>1925</x:v>
      </x:c>
      <x:c r="N325" s="16"/>
      <x:c r="O325" s="18">
        <x:v>46249</x:v>
      </x:c>
      <x:c r="P325" s="19" t="s">
        <x:v>34</x:v>
      </x:c>
      <x:c r="Q325" s="17"/>
      <x:c r="R325" s="19" t="str">
        <x:f t="shared" si="5"/>
        <x:v>Discovery Link Only</x:v>
      </x:c>
      <x:c r="S325" s="43" t="str">
        <x:v>Unknown</x:v>
      </x:c>
      <x:c r="T325" s="43" t="str">
        <x:v>Unknown</x:v>
      </x:c>
      <x:c r="U325" s="43" t="str">
        <x:v>Unknown</x:v>
      </x:c>
      <x:c r="V325" s="43" t="str">
        <x:v>Unknown</x:v>
      </x:c>
      <x:c r="W325" s="43" t="str">
        <x:v>Unknown</x:v>
      </x:c>
      <x:c r="X325" s="43" t="str">
        <x:v>Unknown</x:v>
      </x:c>
      <x:c r="Y325" s="43" t="str">
        <x:v>Unknown</x:v>
      </x:c>
      <x:c r="Z325" s="43"/>
    </x:row>
    <x:row r="326" ht="60" customHeight="1">
      <x:c r="A326" s="16" t="s">
        <x:v>1931</x:v>
      </x:c>
      <x:c r="B326" s="16" t="s">
        <x:v>1932</x:v>
      </x:c>
      <x:c r="C326" s="16" t="s">
        <x:v>1853</x:v>
      </x:c>
      <x:c r="D326" s="16" t="s">
        <x:v>1876</x:v>
      </x:c>
      <x:c r="E326" s="16" t="s">
        <x:v>45</x:v>
      </x:c>
      <x:c r="F326" s="16" t="s">
        <x:v>107</x:v>
      </x:c>
      <x:c r="G326" s="16" t="s">
        <x:v>26</x:v>
      </x:c>
      <x:c r="H326" s="17" t="s">
        <x:v>1933</x:v>
      </x:c>
      <x:c r="I326" s="17" t="s">
        <x:v>1934</x:v>
      </x:c>
      <x:c r="J326" s="17" t="s">
        <x:v>1935</x:v>
      </x:c>
      <x:c r="K326" s="17" t="s">
        <x:v>1858</x:v>
      </x:c>
      <x:c r="L326" s="17" t="s">
        <x:v>111</x:v>
      </x:c>
      <x:c r="M326" s="17" t="s">
        <x:v>1925</x:v>
      </x:c>
      <x:c r="N326" s="16"/>
      <x:c r="O326" s="18">
        <x:v>46249</x:v>
      </x:c>
      <x:c r="P326" s="19" t="s">
        <x:v>34</x:v>
      </x:c>
      <x:c r="Q326" s="17"/>
      <x:c r="R326" s="19" t="str">
        <x:f t="shared" si="5"/>
        <x:v>Discovery Link Only</x:v>
      </x:c>
      <x:c r="S326" s="43" t="str">
        <x:v>Unknown</x:v>
      </x:c>
      <x:c r="T326" s="43" t="str">
        <x:v>Unknown</x:v>
      </x:c>
      <x:c r="U326" s="43" t="str">
        <x:v>Unknown</x:v>
      </x:c>
      <x:c r="V326" s="43" t="str">
        <x:v>Unknown</x:v>
      </x:c>
      <x:c r="W326" s="43" t="str">
        <x:v>Unknown</x:v>
      </x:c>
      <x:c r="X326" s="43" t="str">
        <x:v>Unknown</x:v>
      </x:c>
      <x:c r="Y326" s="43" t="str">
        <x:v>Unknown</x:v>
      </x:c>
      <x:c r="Z326" s="43"/>
    </x:row>
    <x:row r="327" ht="60" customHeight="1">
      <x:c r="A327" s="16" t="s">
        <x:v>1936</x:v>
      </x:c>
      <x:c r="B327" s="16" t="s">
        <x:v>1937</x:v>
      </x:c>
      <x:c r="C327" s="16" t="s">
        <x:v>1853</x:v>
      </x:c>
      <x:c r="D327" s="16" t="s">
        <x:v>1876</x:v>
      </x:c>
      <x:c r="E327" s="16" t="s">
        <x:v>140</x:v>
      </x:c>
      <x:c r="F327" s="16" t="s">
        <x:v>121</x:v>
      </x:c>
      <x:c r="G327" s="16" t="s">
        <x:v>46</x:v>
      </x:c>
      <x:c r="H327" s="17" t="s">
        <x:v>1938</x:v>
      </x:c>
      <x:c r="I327" s="17" t="s">
        <x:v>1939</x:v>
      </x:c>
      <x:c r="J327" s="17" t="s">
        <x:v>1940</x:v>
      </x:c>
      <x:c r="K327" s="17" t="s">
        <x:v>1858</x:v>
      </x:c>
      <x:c r="L327" s="17" t="s">
        <x:v>111</x:v>
      </x:c>
      <x:c r="M327" s="17" t="s">
        <x:v>1925</x:v>
      </x:c>
      <x:c r="N327" s="16"/>
      <x:c r="O327" s="18">
        <x:v>46249</x:v>
      </x:c>
      <x:c r="P327" s="19" t="s">
        <x:v>34</x:v>
      </x:c>
      <x:c r="Q327" s="17"/>
      <x:c r="R327" s="19" t="str">
        <x:f t="shared" si="5"/>
        <x:v>Discovery Link Only</x:v>
      </x:c>
      <x:c r="S327" s="43" t="str">
        <x:v>Unknown</x:v>
      </x:c>
      <x:c r="T327" s="43" t="str">
        <x:v>Unknown</x:v>
      </x:c>
      <x:c r="U327" s="43" t="str">
        <x:v>Unknown</x:v>
      </x:c>
      <x:c r="V327" s="43" t="str">
        <x:v>Unknown</x:v>
      </x:c>
      <x:c r="W327" s="43" t="str">
        <x:v>Unknown</x:v>
      </x:c>
      <x:c r="X327" s="43" t="str">
        <x:v>Unknown</x:v>
      </x:c>
      <x:c r="Y327" s="43" t="str">
        <x:v>Unknown</x:v>
      </x:c>
      <x:c r="Z327" s="43"/>
    </x:row>
    <x:row r="328" ht="60" customHeight="1">
      <x:c r="A328" s="16" t="s">
        <x:v>1941</x:v>
      </x:c>
      <x:c r="B328" s="16" t="s">
        <x:v>1942</x:v>
      </x:c>
      <x:c r="C328" s="16" t="s">
        <x:v>1853</x:v>
      </x:c>
      <x:c r="D328" s="16" t="s">
        <x:v>1943</x:v>
      </x:c>
      <x:c r="E328" s="16" t="s">
        <x:v>133</x:v>
      </x:c>
      <x:c r="F328" s="16" t="s">
        <x:v>107</x:v>
      </x:c>
      <x:c r="G328" s="16" t="s">
        <x:v>134</x:v>
      </x:c>
      <x:c r="H328" s="17" t="s">
        <x:v>787</x:v>
      </x:c>
      <x:c r="I328" s="17" t="s">
        <x:v>1944</x:v>
      </x:c>
      <x:c r="J328" s="17" t="s">
        <x:v>1945</x:v>
      </x:c>
      <x:c r="K328" s="17" t="s">
        <x:v>1858</x:v>
      </x:c>
      <x:c r="L328" s="17" t="s">
        <x:v>111</x:v>
      </x:c>
      <x:c r="M328" s="17" t="s">
        <x:v>1925</x:v>
      </x:c>
      <x:c r="N328" s="16"/>
      <x:c r="O328" s="18">
        <x:v>46249</x:v>
      </x:c>
      <x:c r="P328" s="19" t="s">
        <x:v>34</x:v>
      </x:c>
      <x:c r="Q328" s="17"/>
      <x:c r="R328" s="19" t="str">
        <x:f t="shared" si="5"/>
        <x:v>Discovery Link Only</x:v>
      </x:c>
      <x:c r="S328" s="43" t="str">
        <x:v>Unknown</x:v>
      </x:c>
      <x:c r="T328" s="43" t="str">
        <x:v>Unknown</x:v>
      </x:c>
      <x:c r="U328" s="43" t="str">
        <x:v>Unknown</x:v>
      </x:c>
      <x:c r="V328" s="43" t="str">
        <x:v>Unknown</x:v>
      </x:c>
      <x:c r="W328" s="43" t="str">
        <x:v>Unknown</x:v>
      </x:c>
      <x:c r="X328" s="43" t="str">
        <x:v>Unknown</x:v>
      </x:c>
      <x:c r="Y328" s="43" t="str">
        <x:v>Unknown</x:v>
      </x:c>
      <x:c r="Z328" s="43"/>
    </x:row>
    <x:row r="329" ht="60" customHeight="1">
      <x:c r="A329" s="16" t="s">
        <x:v>1946</x:v>
      </x:c>
      <x:c r="B329" s="16" t="s">
        <x:v>1947</x:v>
      </x:c>
      <x:c r="C329" s="16" t="s">
        <x:v>1853</x:v>
      </x:c>
      <x:c r="D329" s="16" t="s">
        <x:v>1943</x:v>
      </x:c>
      <x:c r="E329" s="16" t="s">
        <x:v>115</x:v>
      </x:c>
      <x:c r="F329" s="16" t="s">
        <x:v>121</x:v>
      </x:c>
      <x:c r="G329" s="16" t="s">
        <x:v>46</x:v>
      </x:c>
      <x:c r="H329" s="17" t="s">
        <x:v>1948</x:v>
      </x:c>
      <x:c r="I329" s="17" t="s">
        <x:v>1949</x:v>
      </x:c>
      <x:c r="J329" s="17" t="s">
        <x:v>1950</x:v>
      </x:c>
      <x:c r="K329" s="17" t="s">
        <x:v>1858</x:v>
      </x:c>
      <x:c r="L329" s="17" t="s">
        <x:v>111</x:v>
      </x:c>
      <x:c r="M329" s="17" t="s">
        <x:v>1925</x:v>
      </x:c>
      <x:c r="N329" s="16"/>
      <x:c r="O329" s="18">
        <x:v>46249</x:v>
      </x:c>
      <x:c r="P329" s="19" t="s">
        <x:v>34</x:v>
      </x:c>
      <x:c r="Q329" s="17"/>
      <x:c r="R329" s="19" t="str">
        <x:f t="shared" si="5"/>
        <x:v>Discovery Link Only</x:v>
      </x:c>
      <x:c r="S329" s="43" t="str">
        <x:v>Unknown</x:v>
      </x:c>
      <x:c r="T329" s="43" t="str">
        <x:v>Unknown</x:v>
      </x:c>
      <x:c r="U329" s="43" t="str">
        <x:v>Unknown</x:v>
      </x:c>
      <x:c r="V329" s="43" t="str">
        <x:v>Unknown</x:v>
      </x:c>
      <x:c r="W329" s="43" t="str">
        <x:v>Unknown</x:v>
      </x:c>
      <x:c r="X329" s="43" t="str">
        <x:v>Unknown</x:v>
      </x:c>
      <x:c r="Y329" s="43" t="str">
        <x:v>Unknown</x:v>
      </x:c>
      <x:c r="Z329" s="43"/>
    </x:row>
    <x:row r="330" ht="60" customHeight="1">
      <x:c r="A330" s="16" t="s">
        <x:v>1951</x:v>
      </x:c>
      <x:c r="B330" s="16" t="s">
        <x:v>1952</x:v>
      </x:c>
      <x:c r="C330" s="16" t="s">
        <x:v>1853</x:v>
      </x:c>
      <x:c r="D330" s="16" t="s">
        <x:v>1883</x:v>
      </x:c>
      <x:c r="E330" s="16" t="s">
        <x:v>115</x:v>
      </x:c>
      <x:c r="F330" s="16" t="s">
        <x:v>107</x:v>
      </x:c>
      <x:c r="G330" s="16" t="s">
        <x:v>46</x:v>
      </x:c>
      <x:c r="H330" s="17" t="s">
        <x:v>1953</x:v>
      </x:c>
      <x:c r="I330" s="17" t="s">
        <x:v>1954</x:v>
      </x:c>
      <x:c r="J330" s="17" t="s">
        <x:v>1955</x:v>
      </x:c>
      <x:c r="K330" s="17" t="s">
        <x:v>1858</x:v>
      </x:c>
      <x:c r="L330" s="17" t="s">
        <x:v>111</x:v>
      </x:c>
      <x:c r="M330" s="17" t="s">
        <x:v>1925</x:v>
      </x:c>
      <x:c r="N330" s="16"/>
      <x:c r="O330" s="18">
        <x:v>46249</x:v>
      </x:c>
      <x:c r="P330" s="19" t="s">
        <x:v>34</x:v>
      </x:c>
      <x:c r="Q330" s="17"/>
      <x:c r="R330" s="19" t="str">
        <x:f t="shared" si="5"/>
        <x:v>Discovery Link Only</x:v>
      </x:c>
      <x:c r="S330" s="43" t="str">
        <x:v>Unknown</x:v>
      </x:c>
      <x:c r="T330" s="43" t="str">
        <x:v>Unknown</x:v>
      </x:c>
      <x:c r="U330" s="43" t="str">
        <x:v>Unknown</x:v>
      </x:c>
      <x:c r="V330" s="43" t="str">
        <x:v>Unknown</x:v>
      </x:c>
      <x:c r="W330" s="43" t="str">
        <x:v>Unknown</x:v>
      </x:c>
      <x:c r="X330" s="43" t="str">
        <x:v>Unknown</x:v>
      </x:c>
      <x:c r="Y330" s="43" t="str">
        <x:v>Unknown</x:v>
      </x:c>
      <x:c r="Z330" s="43"/>
    </x:row>
    <x:row r="331" ht="60" customHeight="1">
      <x:c r="A331" s="16" t="s">
        <x:v>1956</x:v>
      </x:c>
      <x:c r="B331" s="16" t="s">
        <x:v>1957</x:v>
      </x:c>
      <x:c r="C331" s="16" t="s">
        <x:v>1853</x:v>
      </x:c>
      <x:c r="D331" s="16" t="s">
        <x:v>1883</x:v>
      </x:c>
      <x:c r="E331" s="16" t="s">
        <x:v>37</x:v>
      </x:c>
      <x:c r="F331" s="16" t="s">
        <x:v>107</x:v>
      </x:c>
      <x:c r="G331" s="16" t="s">
        <x:v>26</x:v>
      </x:c>
      <x:c r="H331" s="17" t="s">
        <x:v>1958</x:v>
      </x:c>
      <x:c r="I331" s="17" t="s">
        <x:v>1959</x:v>
      </x:c>
      <x:c r="J331" s="17" t="s">
        <x:v>1960</x:v>
      </x:c>
      <x:c r="K331" s="17" t="s">
        <x:v>1858</x:v>
      </x:c>
      <x:c r="L331" s="17" t="s">
        <x:v>111</x:v>
      </x:c>
      <x:c r="M331" s="17" t="s">
        <x:v>1925</x:v>
      </x:c>
      <x:c r="N331" s="16"/>
      <x:c r="O331" s="18">
        <x:v>46249</x:v>
      </x:c>
      <x:c r="P331" s="19" t="s">
        <x:v>34</x:v>
      </x:c>
      <x:c r="Q331" s="17"/>
      <x:c r="R331" s="19" t="str">
        <x:f t="shared" si="5"/>
        <x:v>Discovery Link Only</x:v>
      </x:c>
      <x:c r="S331" s="43" t="str">
        <x:v>Unknown</x:v>
      </x:c>
      <x:c r="T331" s="43" t="str">
        <x:v>Unknown</x:v>
      </x:c>
      <x:c r="U331" s="43" t="str">
        <x:v>Unknown</x:v>
      </x:c>
      <x:c r="V331" s="43" t="str">
        <x:v>Unknown</x:v>
      </x:c>
      <x:c r="W331" s="43" t="str">
        <x:v>Unknown</x:v>
      </x:c>
      <x:c r="X331" s="43" t="str">
        <x:v>Unknown</x:v>
      </x:c>
      <x:c r="Y331" s="43" t="str">
        <x:v>Unknown</x:v>
      </x:c>
      <x:c r="Z331" s="43"/>
    </x:row>
    <x:row r="332" ht="60" customHeight="1">
      <x:c r="A332" s="16" t="s">
        <x:v>1961</x:v>
      </x:c>
      <x:c r="B332" s="16" t="s">
        <x:v>1962</x:v>
      </x:c>
      <x:c r="C332" s="16" t="s">
        <x:v>1853</x:v>
      </x:c>
      <x:c r="D332" s="16" t="s">
        <x:v>1896</x:v>
      </x:c>
      <x:c r="E332" s="16" t="s">
        <x:v>72</x:v>
      </x:c>
      <x:c r="F332" s="16" t="s">
        <x:v>121</x:v>
      </x:c>
      <x:c r="G332" s="16" t="s">
        <x:v>26</x:v>
      </x:c>
      <x:c r="H332" s="17" t="s">
        <x:v>1963</x:v>
      </x:c>
      <x:c r="I332" s="17" t="s">
        <x:v>1964</x:v>
      </x:c>
      <x:c r="J332" s="17" t="s">
        <x:v>1965</x:v>
      </x:c>
      <x:c r="K332" s="17" t="s">
        <x:v>1858</x:v>
      </x:c>
      <x:c r="L332" s="17" t="s">
        <x:v>111</x:v>
      </x:c>
      <x:c r="M332" s="17" t="s">
        <x:v>1925</x:v>
      </x:c>
      <x:c r="N332" s="16"/>
      <x:c r="O332" s="18">
        <x:v>46249</x:v>
      </x:c>
      <x:c r="P332" s="19" t="s">
        <x:v>34</x:v>
      </x:c>
      <x:c r="Q332" s="17"/>
      <x:c r="R332" s="19" t="str">
        <x:f t="shared" si="5"/>
        <x:v>Discovery Link Only</x:v>
      </x:c>
      <x:c r="S332" s="43" t="str">
        <x:v>Unknown</x:v>
      </x:c>
      <x:c r="T332" s="43" t="str">
        <x:v>Unknown</x:v>
      </x:c>
      <x:c r="U332" s="43" t="str">
        <x:v>Unknown</x:v>
      </x:c>
      <x:c r="V332" s="43" t="str">
        <x:v>Unknown</x:v>
      </x:c>
      <x:c r="W332" s="43" t="str">
        <x:v>Unknown</x:v>
      </x:c>
      <x:c r="X332" s="43" t="str">
        <x:v>Unknown</x:v>
      </x:c>
      <x:c r="Y332" s="43" t="str">
        <x:v>Unknown</x:v>
      </x:c>
      <x:c r="Z332" s="43"/>
    </x:row>
    <x:row r="333" ht="60" customHeight="1">
      <x:c r="A333" s="16" t="s">
        <x:v>1966</x:v>
      </x:c>
      <x:c r="B333" s="16" t="s">
        <x:v>1967</x:v>
      </x:c>
      <x:c r="C333" s="16" t="s">
        <x:v>1853</x:v>
      </x:c>
      <x:c r="D333" s="16" t="s">
        <x:v>1968</x:v>
      </x:c>
      <x:c r="E333" s="16" t="s">
        <x:v>133</x:v>
      </x:c>
      <x:c r="F333" s="16" t="s">
        <x:v>127</x:v>
      </x:c>
      <x:c r="G333" s="16" t="s">
        <x:v>134</x:v>
      </x:c>
      <x:c r="H333" s="17" t="s">
        <x:v>1969</x:v>
      </x:c>
      <x:c r="I333" s="17" t="s">
        <x:v>1970</x:v>
      </x:c>
      <x:c r="J333" s="17" t="s">
        <x:v>1971</x:v>
      </x:c>
      <x:c r="K333" s="17" t="s">
        <x:v>1858</x:v>
      </x:c>
      <x:c r="L333" s="17" t="s">
        <x:v>111</x:v>
      </x:c>
      <x:c r="M333" s="17" t="s">
        <x:v>1925</x:v>
      </x:c>
      <x:c r="N333" s="16"/>
      <x:c r="O333" s="18">
        <x:v>46249</x:v>
      </x:c>
      <x:c r="P333" s="19" t="s">
        <x:v>34</x:v>
      </x:c>
      <x:c r="Q333" s="17"/>
      <x:c r="R333" s="19" t="str">
        <x:f t="shared" si="5"/>
        <x:v>Discovery Link Only</x:v>
      </x:c>
      <x:c r="S333" s="43" t="str">
        <x:v>Unknown</x:v>
      </x:c>
      <x:c r="T333" s="43" t="str">
        <x:v>Unknown</x:v>
      </x:c>
      <x:c r="U333" s="43" t="str">
        <x:v>Unknown</x:v>
      </x:c>
      <x:c r="V333" s="43" t="str">
        <x:v>Unknown</x:v>
      </x:c>
      <x:c r="W333" s="43" t="str">
        <x:v>Unknown</x:v>
      </x:c>
      <x:c r="X333" s="43" t="str">
        <x:v>Unknown</x:v>
      </x:c>
      <x:c r="Y333" s="43" t="str">
        <x:v>Unknown</x:v>
      </x:c>
      <x:c r="Z333" s="43"/>
    </x:row>
    <x:row r="334" ht="60" customHeight="1">
      <x:c r="A334" s="16" t="s">
        <x:v>1972</x:v>
      </x:c>
      <x:c r="B334" s="16" t="s">
        <x:v>1973</x:v>
      </x:c>
      <x:c r="C334" s="16" t="s">
        <x:v>1853</x:v>
      </x:c>
      <x:c r="D334" s="16" t="s">
        <x:v>1974</x:v>
      </x:c>
      <x:c r="E334" s="16" t="s">
        <x:v>115</x:v>
      </x:c>
      <x:c r="F334" s="16" t="s">
        <x:v>121</x:v>
      </x:c>
      <x:c r="G334" s="16" t="s">
        <x:v>46</x:v>
      </x:c>
      <x:c r="H334" s="17" t="s">
        <x:v>1975</x:v>
      </x:c>
      <x:c r="I334" s="17" t="s">
        <x:v>1976</x:v>
      </x:c>
      <x:c r="J334" s="17" t="s">
        <x:v>1977</x:v>
      </x:c>
      <x:c r="K334" s="17" t="s">
        <x:v>1858</x:v>
      </x:c>
      <x:c r="L334" s="17" t="s">
        <x:v>111</x:v>
      </x:c>
      <x:c r="M334" s="17" t="s">
        <x:v>1925</x:v>
      </x:c>
      <x:c r="N334" s="16"/>
      <x:c r="O334" s="18">
        <x:v>46249</x:v>
      </x:c>
      <x:c r="P334" s="19" t="s">
        <x:v>34</x:v>
      </x:c>
      <x:c r="Q334" s="17"/>
      <x:c r="R334" s="19" t="str">
        <x:f t="shared" si="5"/>
        <x:v>Discovery Link Only</x:v>
      </x:c>
      <x:c r="S334" s="43" t="str">
        <x:v>Unknown</x:v>
      </x:c>
      <x:c r="T334" s="43" t="str">
        <x:v>Unknown</x:v>
      </x:c>
      <x:c r="U334" s="43" t="str">
        <x:v>Unknown</x:v>
      </x:c>
      <x:c r="V334" s="43" t="str">
        <x:v>Unknown</x:v>
      </x:c>
      <x:c r="W334" s="43" t="str">
        <x:v>Unknown</x:v>
      </x:c>
      <x:c r="X334" s="43" t="str">
        <x:v>Unknown</x:v>
      </x:c>
      <x:c r="Y334" s="43" t="str">
        <x:v>Unknown</x:v>
      </x:c>
      <x:c r="Z334" s="43"/>
    </x:row>
    <x:row r="335" ht="60" customHeight="1">
      <x:c r="A335" s="16" t="s">
        <x:v>1978</x:v>
      </x:c>
      <x:c r="B335" s="16" t="s">
        <x:v>1979</x:v>
      </x:c>
      <x:c r="C335" s="16" t="s">
        <x:v>1853</x:v>
      </x:c>
      <x:c r="D335" s="16" t="s">
        <x:v>1974</x:v>
      </x:c>
      <x:c r="E335" s="16" t="s">
        <x:v>45</x:v>
      </x:c>
      <x:c r="F335" s="16" t="s">
        <x:v>107</x:v>
      </x:c>
      <x:c r="G335" s="16" t="s">
        <x:v>26</x:v>
      </x:c>
      <x:c r="H335" s="17" t="s">
        <x:v>1980</x:v>
      </x:c>
      <x:c r="I335" s="17" t="s">
        <x:v>1981</x:v>
      </x:c>
      <x:c r="J335" s="17" t="s">
        <x:v>1982</x:v>
      </x:c>
      <x:c r="K335" s="17" t="s">
        <x:v>1858</x:v>
      </x:c>
      <x:c r="L335" s="17" t="s">
        <x:v>111</x:v>
      </x:c>
      <x:c r="M335" s="17" t="s">
        <x:v>1925</x:v>
      </x:c>
      <x:c r="N335" s="16"/>
      <x:c r="O335" s="18">
        <x:v>46249</x:v>
      </x:c>
      <x:c r="P335" s="19" t="s">
        <x:v>34</x:v>
      </x:c>
      <x:c r="Q335" s="17"/>
      <x:c r="R335" s="19" t="str">
        <x:f t="shared" si="5"/>
        <x:v>Discovery Link Only</x:v>
      </x:c>
      <x:c r="S335" s="43" t="str">
        <x:v>Unknown</x:v>
      </x:c>
      <x:c r="T335" s="43" t="str">
        <x:v>Unknown</x:v>
      </x:c>
      <x:c r="U335" s="43" t="str">
        <x:v>Unknown</x:v>
      </x:c>
      <x:c r="V335" s="43" t="str">
        <x:v>Unknown</x:v>
      </x:c>
      <x:c r="W335" s="43" t="str">
        <x:v>Unknown</x:v>
      </x:c>
      <x:c r="X335" s="43" t="str">
        <x:v>Unknown</x:v>
      </x:c>
      <x:c r="Y335" s="43" t="str">
        <x:v>Unknown</x:v>
      </x:c>
      <x:c r="Z335" s="43"/>
    </x:row>
    <x:row r="336" ht="60" customHeight="1">
      <x:c r="A336" s="16" t="s">
        <x:v>1983</x:v>
      </x:c>
      <x:c r="B336" s="16" t="s">
        <x:v>1984</x:v>
      </x:c>
      <x:c r="C336" s="16" t="s">
        <x:v>1853</x:v>
      </x:c>
      <x:c r="D336" s="16" t="s">
        <x:v>1985</x:v>
      </x:c>
      <x:c r="E336" s="16" t="s">
        <x:v>45</x:v>
      </x:c>
      <x:c r="F336" s="16" t="s">
        <x:v>107</x:v>
      </x:c>
      <x:c r="G336" s="16" t="s">
        <x:v>26</x:v>
      </x:c>
      <x:c r="H336" s="17" t="s">
        <x:v>1986</x:v>
      </x:c>
      <x:c r="I336" s="17" t="s">
        <x:v>1987</x:v>
      </x:c>
      <x:c r="J336" s="17" t="s">
        <x:v>1988</x:v>
      </x:c>
      <x:c r="K336" s="17" t="s">
        <x:v>1858</x:v>
      </x:c>
      <x:c r="L336" s="17" t="s">
        <x:v>111</x:v>
      </x:c>
      <x:c r="M336" s="17" t="s">
        <x:v>1925</x:v>
      </x:c>
      <x:c r="N336" s="16"/>
      <x:c r="O336" s="18">
        <x:v>46249</x:v>
      </x:c>
      <x:c r="P336" s="19" t="s">
        <x:v>34</x:v>
      </x:c>
      <x:c r="Q336" s="17"/>
      <x:c r="R336" s="19" t="str">
        <x:f t="shared" si="5"/>
        <x:v>Discovery Link Only</x:v>
      </x:c>
      <x:c r="S336" s="43" t="str">
        <x:v>Unknown</x:v>
      </x:c>
      <x:c r="T336" s="43" t="str">
        <x:v>Unknown</x:v>
      </x:c>
      <x:c r="U336" s="43" t="str">
        <x:v>Unknown</x:v>
      </x:c>
      <x:c r="V336" s="43" t="str">
        <x:v>Unknown</x:v>
      </x:c>
      <x:c r="W336" s="43" t="str">
        <x:v>Unknown</x:v>
      </x:c>
      <x:c r="X336" s="43" t="str">
        <x:v>Unknown</x:v>
      </x:c>
      <x:c r="Y336" s="43" t="str">
        <x:v>Unknown</x:v>
      </x:c>
      <x:c r="Z336" s="43"/>
    </x:row>
    <x:row r="337" ht="60" customHeight="1">
      <x:c r="A337" s="16" t="s">
        <x:v>1989</x:v>
      </x:c>
      <x:c r="B337" s="16" t="s">
        <x:v>1990</x:v>
      </x:c>
      <x:c r="C337" s="16" t="s">
        <x:v>1853</x:v>
      </x:c>
      <x:c r="D337" s="16" t="s">
        <x:v>1991</x:v>
      </x:c>
      <x:c r="E337" s="16" t="s">
        <x:v>45</x:v>
      </x:c>
      <x:c r="F337" s="16" t="s">
        <x:v>107</x:v>
      </x:c>
      <x:c r="G337" s="16" t="s">
        <x:v>26</x:v>
      </x:c>
      <x:c r="H337" s="17" t="s">
        <x:v>1992</x:v>
      </x:c>
      <x:c r="I337" s="17" t="s">
        <x:v>1993</x:v>
      </x:c>
      <x:c r="J337" s="17" t="s">
        <x:v>1994</x:v>
      </x:c>
      <x:c r="K337" s="17" t="s">
        <x:v>1858</x:v>
      </x:c>
      <x:c r="L337" s="17" t="s">
        <x:v>111</x:v>
      </x:c>
      <x:c r="M337" s="17" t="s">
        <x:v>1925</x:v>
      </x:c>
      <x:c r="N337" s="16"/>
      <x:c r="O337" s="18">
        <x:v>46249</x:v>
      </x:c>
      <x:c r="P337" s="19" t="s">
        <x:v>34</x:v>
      </x:c>
      <x:c r="Q337" s="17"/>
      <x:c r="R337" s="19" t="str">
        <x:f t="shared" si="5"/>
        <x:v>Discovery Link Only</x:v>
      </x:c>
      <x:c r="S337" s="43" t="str">
        <x:v>Unknown</x:v>
      </x:c>
      <x:c r="T337" s="43" t="str">
        <x:v>Unknown</x:v>
      </x:c>
      <x:c r="U337" s="43" t="str">
        <x:v>Unknown</x:v>
      </x:c>
      <x:c r="V337" s="43" t="str">
        <x:v>Unknown</x:v>
      </x:c>
      <x:c r="W337" s="43" t="str">
        <x:v>Unknown</x:v>
      </x:c>
      <x:c r="X337" s="43" t="str">
        <x:v>Unknown</x:v>
      </x:c>
      <x:c r="Y337" s="43" t="str">
        <x:v>Unknown</x:v>
      </x:c>
      <x:c r="Z337" s="43"/>
    </x:row>
    <x:row r="338" ht="60" customHeight="1">
      <x:c r="A338" s="16" t="s">
        <x:v>1995</x:v>
      </x:c>
      <x:c r="B338" s="16" t="s">
        <x:v>1996</x:v>
      </x:c>
      <x:c r="C338" s="16" t="s">
        <x:v>1853</x:v>
      </x:c>
      <x:c r="D338" s="16" t="s">
        <x:v>1997</x:v>
      </x:c>
      <x:c r="E338" s="16" t="s">
        <x:v>24</x:v>
      </x:c>
      <x:c r="F338" s="16" t="s">
        <x:v>121</x:v>
      </x:c>
      <x:c r="G338" s="16" t="s">
        <x:v>26</x:v>
      </x:c>
      <x:c r="H338" s="17" t="s">
        <x:v>1998</x:v>
      </x:c>
      <x:c r="I338" s="17" t="s">
        <x:v>1999</x:v>
      </x:c>
      <x:c r="J338" s="17" t="s">
        <x:v>2000</x:v>
      </x:c>
      <x:c r="K338" s="17" t="s">
        <x:v>1858</x:v>
      </x:c>
      <x:c r="L338" s="17" t="s">
        <x:v>111</x:v>
      </x:c>
      <x:c r="M338" s="17" t="s">
        <x:v>1925</x:v>
      </x:c>
      <x:c r="N338" s="16"/>
      <x:c r="O338" s="18">
        <x:v>46249</x:v>
      </x:c>
      <x:c r="P338" s="19" t="s">
        <x:v>34</x:v>
      </x:c>
      <x:c r="Q338" s="17"/>
      <x:c r="R338" s="19" t="str">
        <x:f t="shared" si="5"/>
        <x:v>Discovery Link Only</x:v>
      </x:c>
      <x:c r="S338" s="43" t="str">
        <x:v>Unknown</x:v>
      </x:c>
      <x:c r="T338" s="43" t="str">
        <x:v>Unknown</x:v>
      </x:c>
      <x:c r="U338" s="43" t="str">
        <x:v>Unknown</x:v>
      </x:c>
      <x:c r="V338" s="43" t="str">
        <x:v>Unknown</x:v>
      </x:c>
      <x:c r="W338" s="43" t="str">
        <x:v>Unknown</x:v>
      </x:c>
      <x:c r="X338" s="43" t="str">
        <x:v>Unknown</x:v>
      </x:c>
      <x:c r="Y338" s="43" t="str">
        <x:v>Unknown</x:v>
      </x:c>
      <x:c r="Z338" s="43"/>
    </x:row>
    <x:row r="339" ht="60" customHeight="1">
      <x:c r="A339" s="16" t="s">
        <x:v>2001</x:v>
      </x:c>
      <x:c r="B339" s="16" t="s">
        <x:v>2002</x:v>
      </x:c>
      <x:c r="C339" s="16" t="s">
        <x:v>1853</x:v>
      </x:c>
      <x:c r="D339" s="16" t="s">
        <x:v>2003</x:v>
      </x:c>
      <x:c r="E339" s="16" t="s">
        <x:v>24</x:v>
      </x:c>
      <x:c r="F339" s="16" t="s">
        <x:v>121</x:v>
      </x:c>
      <x:c r="G339" s="16" t="s">
        <x:v>26</x:v>
      </x:c>
      <x:c r="H339" s="17" t="s">
        <x:v>2004</x:v>
      </x:c>
      <x:c r="I339" s="17" t="s">
        <x:v>2005</x:v>
      </x:c>
      <x:c r="J339" s="17" t="s">
        <x:v>2006</x:v>
      </x:c>
      <x:c r="K339" s="17" t="s">
        <x:v>1858</x:v>
      </x:c>
      <x:c r="L339" s="17" t="s">
        <x:v>111</x:v>
      </x:c>
      <x:c r="M339" s="17" t="s">
        <x:v>1925</x:v>
      </x:c>
      <x:c r="N339" s="16"/>
      <x:c r="O339" s="18">
        <x:v>46249</x:v>
      </x:c>
      <x:c r="P339" s="19" t="s">
        <x:v>34</x:v>
      </x:c>
      <x:c r="Q339" s="17"/>
      <x:c r="R339" s="19" t="str">
        <x:f t="shared" si="5"/>
        <x:v>Discovery Link Only</x:v>
      </x:c>
      <x:c r="S339" s="43" t="str">
        <x:v>Unknown</x:v>
      </x:c>
      <x:c r="T339" s="43" t="str">
        <x:v>Unknown</x:v>
      </x:c>
      <x:c r="U339" s="43" t="str">
        <x:v>Unknown</x:v>
      </x:c>
      <x:c r="V339" s="43" t="str">
        <x:v>Unknown</x:v>
      </x:c>
      <x:c r="W339" s="43" t="str">
        <x:v>Unknown</x:v>
      </x:c>
      <x:c r="X339" s="43" t="str">
        <x:v>Unknown</x:v>
      </x:c>
      <x:c r="Y339" s="43" t="str">
        <x:v>Unknown</x:v>
      </x:c>
      <x:c r="Z339" s="43"/>
    </x:row>
    <x:row r="340" ht="60" customHeight="1">
      <x:c r="A340" s="16" t="s">
        <x:v>2007</x:v>
      </x:c>
      <x:c r="B340" s="16" t="s">
        <x:v>2008</x:v>
      </x:c>
      <x:c r="C340" s="16" t="s">
        <x:v>1853</x:v>
      </x:c>
      <x:c r="D340" s="16" t="s">
        <x:v>2009</x:v>
      </x:c>
      <x:c r="E340" s="16" t="s">
        <x:v>140</x:v>
      </x:c>
      <x:c r="F340" s="16" t="s">
        <x:v>107</x:v>
      </x:c>
      <x:c r="G340" s="16" t="s">
        <x:v>46</x:v>
      </x:c>
      <x:c r="H340" s="17" t="s">
        <x:v>2010</x:v>
      </x:c>
      <x:c r="I340" s="17" t="s">
        <x:v>2011</x:v>
      </x:c>
      <x:c r="J340" s="17" t="s">
        <x:v>2012</x:v>
      </x:c>
      <x:c r="K340" s="17" t="s">
        <x:v>1858</x:v>
      </x:c>
      <x:c r="L340" s="17" t="s">
        <x:v>111</x:v>
      </x:c>
      <x:c r="M340" s="17" t="s">
        <x:v>1925</x:v>
      </x:c>
      <x:c r="N340" s="16"/>
      <x:c r="O340" s="18">
        <x:v>46249</x:v>
      </x:c>
      <x:c r="P340" s="19" t="s">
        <x:v>34</x:v>
      </x:c>
      <x:c r="Q340" s="17"/>
      <x:c r="R340" s="19" t="str">
        <x:f t="shared" si="5"/>
        <x:v>Discovery Link Only</x:v>
      </x:c>
      <x:c r="S340" s="43" t="str">
        <x:v>Unknown</x:v>
      </x:c>
      <x:c r="T340" s="43" t="str">
        <x:v>Unknown</x:v>
      </x:c>
      <x:c r="U340" s="43" t="str">
        <x:v>Unknown</x:v>
      </x:c>
      <x:c r="V340" s="43" t="str">
        <x:v>Unknown</x:v>
      </x:c>
      <x:c r="W340" s="43" t="str">
        <x:v>Unknown</x:v>
      </x:c>
      <x:c r="X340" s="43" t="str">
        <x:v>Unknown</x:v>
      </x:c>
      <x:c r="Y340" s="43" t="str">
        <x:v>Unknown</x:v>
      </x:c>
      <x:c r="Z340" s="43"/>
    </x:row>
    <x:row r="341" ht="60" customHeight="1">
      <x:c r="A341" s="16" t="s">
        <x:v>2013</x:v>
      </x:c>
      <x:c r="B341" s="16" t="s">
        <x:v>2014</x:v>
      </x:c>
      <x:c r="C341" s="16" t="s">
        <x:v>1853</x:v>
      </x:c>
      <x:c r="D341" s="16" t="s">
        <x:v>2009</x:v>
      </x:c>
      <x:c r="E341" s="16" t="s">
        <x:v>72</x:v>
      </x:c>
      <x:c r="F341" s="16" t="s">
        <x:v>121</x:v>
      </x:c>
      <x:c r="G341" s="16" t="s">
        <x:v>26</x:v>
      </x:c>
      <x:c r="H341" s="17" t="s">
        <x:v>2015</x:v>
      </x:c>
      <x:c r="I341" s="17" t="s">
        <x:v>2016</x:v>
      </x:c>
      <x:c r="J341" s="17" t="s">
        <x:v>2017</x:v>
      </x:c>
      <x:c r="K341" s="17" t="s">
        <x:v>1858</x:v>
      </x:c>
      <x:c r="L341" s="17" t="s">
        <x:v>111</x:v>
      </x:c>
      <x:c r="M341" s="17" t="s">
        <x:v>1925</x:v>
      </x:c>
      <x:c r="N341" s="16"/>
      <x:c r="O341" s="18">
        <x:v>46249</x:v>
      </x:c>
      <x:c r="P341" s="19" t="s">
        <x:v>34</x:v>
      </x:c>
      <x:c r="Q341" s="17"/>
      <x:c r="R341" s="19" t="str">
        <x:f t="shared" si="5"/>
        <x:v>Discovery Link Only</x:v>
      </x:c>
      <x:c r="S341" s="43" t="str">
        <x:v>Unknown</x:v>
      </x:c>
      <x:c r="T341" s="43" t="str">
        <x:v>Unknown</x:v>
      </x:c>
      <x:c r="U341" s="43" t="str">
        <x:v>Unknown</x:v>
      </x:c>
      <x:c r="V341" s="43" t="str">
        <x:v>Unknown</x:v>
      </x:c>
      <x:c r="W341" s="43" t="str">
        <x:v>Unknown</x:v>
      </x:c>
      <x:c r="X341" s="43" t="str">
        <x:v>Unknown</x:v>
      </x:c>
      <x:c r="Y341" s="43" t="str">
        <x:v>Unknown</x:v>
      </x:c>
      <x:c r="Z341" s="43"/>
    </x:row>
    <x:row r="342" ht="60" customHeight="1">
      <x:c r="A342" s="16" t="s">
        <x:v>2018</x:v>
      </x:c>
      <x:c r="B342" s="16" t="s">
        <x:v>2019</x:v>
      </x:c>
      <x:c r="C342" s="16" t="s">
        <x:v>1853</x:v>
      </x:c>
      <x:c r="D342" s="16" t="s">
        <x:v>2020</x:v>
      </x:c>
      <x:c r="E342" s="16" t="s">
        <x:v>99</x:v>
      </x:c>
      <x:c r="F342" s="16" t="s">
        <x:v>107</x:v>
      </x:c>
      <x:c r="G342" s="16" t="s">
        <x:v>46</x:v>
      </x:c>
      <x:c r="H342" s="17" t="s">
        <x:v>2021</x:v>
      </x:c>
      <x:c r="I342" s="17" t="s">
        <x:v>2022</x:v>
      </x:c>
      <x:c r="J342" s="17" t="s">
        <x:v>2023</x:v>
      </x:c>
      <x:c r="K342" s="17" t="s">
        <x:v>1858</x:v>
      </x:c>
      <x:c r="L342" s="17" t="s">
        <x:v>111</x:v>
      </x:c>
      <x:c r="M342" s="17" t="s">
        <x:v>1925</x:v>
      </x:c>
      <x:c r="N342" s="16"/>
      <x:c r="O342" s="18">
        <x:v>46249</x:v>
      </x:c>
      <x:c r="P342" s="19" t="s">
        <x:v>34</x:v>
      </x:c>
      <x:c r="Q342" s="17"/>
      <x:c r="R342" s="19" t="str">
        <x:f t="shared" si="5"/>
        <x:v>Discovery Link Only</x:v>
      </x:c>
      <x:c r="S342" s="43" t="str">
        <x:v>Unknown</x:v>
      </x:c>
      <x:c r="T342" s="43" t="str">
        <x:v>Unknown</x:v>
      </x:c>
      <x:c r="U342" s="43" t="str">
        <x:v>Unknown</x:v>
      </x:c>
      <x:c r="V342" s="43" t="str">
        <x:v>Unknown</x:v>
      </x:c>
      <x:c r="W342" s="43" t="str">
        <x:v>Unknown</x:v>
      </x:c>
      <x:c r="X342" s="43" t="str">
        <x:v>Unknown</x:v>
      </x:c>
      <x:c r="Y342" s="43" t="str">
        <x:v>Unknown</x:v>
      </x:c>
      <x:c r="Z342" s="43"/>
    </x:row>
    <x:row r="343" ht="60" customHeight="1">
      <x:c r="A343" s="16" t="s">
        <x:v>2024</x:v>
      </x:c>
      <x:c r="B343" s="16" t="s">
        <x:v>2025</x:v>
      </x:c>
      <x:c r="C343" s="16" t="s">
        <x:v>2026</x:v>
      </x:c>
      <x:c r="D343" s="16" t="s">
        <x:v>2027</x:v>
      </x:c>
      <x:c r="E343" s="16" t="s">
        <x:v>72</x:v>
      </x:c>
      <x:c r="F343" s="16" t="s">
        <x:v>25</x:v>
      </x:c>
      <x:c r="G343" s="16" t="s">
        <x:v>26</x:v>
      </x:c>
      <x:c r="H343" s="17" t="s">
        <x:v>2028</x:v>
      </x:c>
      <x:c r="I343" s="17" t="s">
        <x:v>2029</x:v>
      </x:c>
      <x:c r="J343" s="17" t="s">
        <x:v>2030</x:v>
      </x:c>
      <x:c r="K343" s="17" t="s">
        <x:v>2031</x:v>
      </x:c>
      <x:c r="L343" s="17" t="s">
        <x:v>58</x:v>
      </x:c>
      <x:c r="M343" s="17" t="s">
        <x:v>256</x:v>
      </x:c>
      <x:c r="N343" s="16" t="s">
        <x:v>2032</x:v>
      </x:c>
      <x:c r="O343" s="18">
        <x:v>46249</x:v>
      </x:c>
      <x:c r="P343" s="19" t="s">
        <x:v>34</x:v>
      </x:c>
      <x:c r="Q343" s="17"/>
      <x:c r="R343" s="19" t="str">
        <x:f t="shared" si="5"/>
        <x:v>Source Link Present</x:v>
      </x:c>
      <x:c r="S343" s="43" t="str">
        <x:v>Unknown</x:v>
      </x:c>
      <x:c r="T343" s="43" t="str">
        <x:v>Unknown</x:v>
      </x:c>
      <x:c r="U343" s="43" t="str">
        <x:v>Unknown</x:v>
      </x:c>
      <x:c r="V343" s="43" t="str">
        <x:v>Unknown</x:v>
      </x:c>
      <x:c r="W343" s="43" t="str">
        <x:v>Unknown</x:v>
      </x:c>
      <x:c r="X343" s="43" t="str">
        <x:v>Unknown</x:v>
      </x:c>
      <x:c r="Y343" s="43" t="str">
        <x:v>Unknown</x:v>
      </x:c>
      <x:c r="Z343" s="43"/>
    </x:row>
    <x:row r="344" ht="60" customHeight="1">
      <x:c r="A344" s="16" t="s">
        <x:v>2033</x:v>
      </x:c>
      <x:c r="B344" s="16" t="s">
        <x:v>2034</x:v>
      </x:c>
      <x:c r="C344" s="16" t="s">
        <x:v>2026</x:v>
      </x:c>
      <x:c r="D344" s="16" t="s">
        <x:v>2035</x:v>
      </x:c>
      <x:c r="E344" s="16" t="s">
        <x:v>45</x:v>
      </x:c>
      <x:c r="F344" s="16" t="s">
        <x:v>25</x:v>
      </x:c>
      <x:c r="G344" s="16" t="s">
        <x:v>26</x:v>
      </x:c>
      <x:c r="H344" s="17" t="s">
        <x:v>2036</x:v>
      </x:c>
      <x:c r="I344" s="17" t="s">
        <x:v>2037</x:v>
      </x:c>
      <x:c r="J344" s="17" t="s">
        <x:v>2038</x:v>
      </x:c>
      <x:c r="K344" s="17" t="s">
        <x:v>2031</x:v>
      </x:c>
      <x:c r="L344" s="17" t="s">
        <x:v>58</x:v>
      </x:c>
      <x:c r="M344" s="17" t="s">
        <x:v>256</x:v>
      </x:c>
      <x:c r="N344" s="16" t="s">
        <x:v>2039</x:v>
      </x:c>
      <x:c r="O344" s="18">
        <x:v>46249</x:v>
      </x:c>
      <x:c r="P344" s="19" t="s">
        <x:v>34</x:v>
      </x:c>
      <x:c r="Q344" s="17"/>
      <x:c r="R344" s="19" t="str">
        <x:f t="shared" si="5"/>
        <x:v>Source Link Present</x:v>
      </x:c>
      <x:c r="S344" s="43" t="str">
        <x:v>Unknown</x:v>
      </x:c>
      <x:c r="T344" s="43" t="str">
        <x:v>Unknown</x:v>
      </x:c>
      <x:c r="U344" s="43" t="str">
        <x:v>Unknown</x:v>
      </x:c>
      <x:c r="V344" s="43" t="str">
        <x:v>Unknown</x:v>
      </x:c>
      <x:c r="W344" s="43" t="str">
        <x:v>Unknown</x:v>
      </x:c>
      <x:c r="X344" s="43" t="str">
        <x:v>Unknown</x:v>
      </x:c>
      <x:c r="Y344" s="43" t="str">
        <x:v>Unknown</x:v>
      </x:c>
      <x:c r="Z344" s="43"/>
    </x:row>
    <x:row r="345" ht="60" customHeight="1">
      <x:c r="A345" s="16" t="s">
        <x:v>2040</x:v>
      </x:c>
      <x:c r="B345" s="16" t="s">
        <x:v>2041</x:v>
      </x:c>
      <x:c r="C345" s="16" t="s">
        <x:v>2026</x:v>
      </x:c>
      <x:c r="D345" s="16" t="s">
        <x:v>2042</x:v>
      </x:c>
      <x:c r="E345" s="16" t="s">
        <x:v>72</x:v>
      </x:c>
      <x:c r="F345" s="16" t="s">
        <x:v>25</x:v>
      </x:c>
      <x:c r="G345" s="16" t="s">
        <x:v>26</x:v>
      </x:c>
      <x:c r="H345" s="17" t="s">
        <x:v>2043</x:v>
      </x:c>
      <x:c r="I345" s="17" t="s">
        <x:v>2044</x:v>
      </x:c>
      <x:c r="J345" s="17" t="s">
        <x:v>2045</x:v>
      </x:c>
      <x:c r="K345" s="17" t="s">
        <x:v>2031</x:v>
      </x:c>
      <x:c r="L345" s="17" t="s">
        <x:v>58</x:v>
      </x:c>
      <x:c r="M345" s="17" t="s">
        <x:v>256</x:v>
      </x:c>
      <x:c r="N345" s="16" t="s">
        <x:v>2046</x:v>
      </x:c>
      <x:c r="O345" s="18">
        <x:v>46249</x:v>
      </x:c>
      <x:c r="P345" s="19" t="s">
        <x:v>34</x:v>
      </x:c>
      <x:c r="Q345" s="17"/>
      <x:c r="R345" s="19" t="str">
        <x:f t="shared" si="5"/>
        <x:v>Discovery Link Only</x:v>
      </x:c>
      <x:c r="S345" s="43" t="str">
        <x:v>Unknown</x:v>
      </x:c>
      <x:c r="T345" s="43" t="str">
        <x:v>Unknown</x:v>
      </x:c>
      <x:c r="U345" s="43" t="str">
        <x:v>Unknown</x:v>
      </x:c>
      <x:c r="V345" s="43" t="str">
        <x:v>Unknown</x:v>
      </x:c>
      <x:c r="W345" s="43" t="str">
        <x:v>Unknown</x:v>
      </x:c>
      <x:c r="X345" s="43" t="str">
        <x:v>Unknown</x:v>
      </x:c>
      <x:c r="Y345" s="43" t="str">
        <x:v>Unknown</x:v>
      </x:c>
      <x:c r="Z345" s="43"/>
    </x:row>
    <x:row r="346" ht="60" customHeight="1">
      <x:c r="A346" s="16" t="s">
        <x:v>2047</x:v>
      </x:c>
      <x:c r="B346" s="16" t="s">
        <x:v>2048</x:v>
      </x:c>
      <x:c r="C346" s="16" t="s">
        <x:v>2026</x:v>
      </x:c>
      <x:c r="D346" s="16" t="s">
        <x:v>2049</x:v>
      </x:c>
      <x:c r="E346" s="16" t="s">
        <x:v>72</x:v>
      </x:c>
      <x:c r="F346" s="16" t="s">
        <x:v>25</x:v>
      </x:c>
      <x:c r="G346" s="16" t="s">
        <x:v>26</x:v>
      </x:c>
      <x:c r="H346" s="17" t="s">
        <x:v>2043</x:v>
      </x:c>
      <x:c r="I346" s="17" t="s">
        <x:v>2050</x:v>
      </x:c>
      <x:c r="J346" s="17" t="s">
        <x:v>2051</x:v>
      </x:c>
      <x:c r="K346" s="17" t="s">
        <x:v>2031</x:v>
      </x:c>
      <x:c r="L346" s="17" t="s">
        <x:v>58</x:v>
      </x:c>
      <x:c r="M346" s="17" t="s">
        <x:v>256</x:v>
      </x:c>
      <x:c r="N346" s="16" t="s">
        <x:v>2052</x:v>
      </x:c>
      <x:c r="O346" s="18">
        <x:v>46249</x:v>
      </x:c>
      <x:c r="P346" s="19" t="s">
        <x:v>34</x:v>
      </x:c>
      <x:c r="Q346" s="17"/>
      <x:c r="R346" s="19" t="str">
        <x:f t="shared" si="5"/>
        <x:v>Discovery Link Only</x:v>
      </x:c>
      <x:c r="S346" s="43" t="str">
        <x:v>Unknown</x:v>
      </x:c>
      <x:c r="T346" s="43" t="str">
        <x:v>Unknown</x:v>
      </x:c>
      <x:c r="U346" s="43" t="str">
        <x:v>Unknown</x:v>
      </x:c>
      <x:c r="V346" s="43" t="str">
        <x:v>Unknown</x:v>
      </x:c>
      <x:c r="W346" s="43" t="str">
        <x:v>Unknown</x:v>
      </x:c>
      <x:c r="X346" s="43" t="str">
        <x:v>Unknown</x:v>
      </x:c>
      <x:c r="Y346" s="43" t="str">
        <x:v>Unknown</x:v>
      </x:c>
      <x:c r="Z346" s="43"/>
    </x:row>
    <x:row r="347" ht="60" customHeight="1">
      <x:c r="A347" s="16" t="s">
        <x:v>2053</x:v>
      </x:c>
      <x:c r="B347" s="16" t="s">
        <x:v>2054</x:v>
      </x:c>
      <x:c r="C347" s="16" t="s">
        <x:v>2026</x:v>
      </x:c>
      <x:c r="D347" s="16" t="s">
        <x:v>2055</x:v>
      </x:c>
      <x:c r="E347" s="16" t="s">
        <x:v>54</x:v>
      </x:c>
      <x:c r="F347" s="16" t="s">
        <x:v>25</x:v>
      </x:c>
      <x:c r="G347" s="16" t="s">
        <x:v>46</x:v>
      </x:c>
      <x:c r="H347" s="17" t="s">
        <x:v>2056</x:v>
      </x:c>
      <x:c r="I347" s="17" t="s">
        <x:v>2057</x:v>
      </x:c>
      <x:c r="J347" s="17" t="s">
        <x:v>2058</x:v>
      </x:c>
      <x:c r="K347" s="17" t="s">
        <x:v>2031</x:v>
      </x:c>
      <x:c r="L347" s="17" t="s">
        <x:v>58</x:v>
      </x:c>
      <x:c r="M347" s="17" t="s">
        <x:v>256</x:v>
      </x:c>
      <x:c r="N347" s="16" t="s">
        <x:v>2059</x:v>
      </x:c>
      <x:c r="O347" s="18">
        <x:v>46249</x:v>
      </x:c>
      <x:c r="P347" s="19" t="s">
        <x:v>34</x:v>
      </x:c>
      <x:c r="Q347" s="17"/>
      <x:c r="R347" s="19" t="str">
        <x:f t="shared" si="5"/>
        <x:v>Discovery Link Only</x:v>
      </x:c>
      <x:c r="S347" s="43" t="str">
        <x:v>Unknown</x:v>
      </x:c>
      <x:c r="T347" s="43" t="str">
        <x:v>Unknown</x:v>
      </x:c>
      <x:c r="U347" s="43" t="str">
        <x:v>Unknown</x:v>
      </x:c>
      <x:c r="V347" s="43" t="str">
        <x:v>Unknown</x:v>
      </x:c>
      <x:c r="W347" s="43" t="str">
        <x:v>Unknown</x:v>
      </x:c>
      <x:c r="X347" s="43" t="str">
        <x:v>Unknown</x:v>
      </x:c>
      <x:c r="Y347" s="43" t="str">
        <x:v>Unknown</x:v>
      </x:c>
      <x:c r="Z347" s="43"/>
    </x:row>
    <x:row r="348" ht="60" customHeight="1">
      <x:c r="A348" s="16" t="s">
        <x:v>2060</x:v>
      </x:c>
      <x:c r="B348" s="16" t="s">
        <x:v>2061</x:v>
      </x:c>
      <x:c r="C348" s="16" t="s">
        <x:v>2026</x:v>
      </x:c>
      <x:c r="D348" s="16" t="s">
        <x:v>2055</x:v>
      </x:c>
      <x:c r="E348" s="16" t="s">
        <x:v>133</x:v>
      </x:c>
      <x:c r="F348" s="16" t="s">
        <x:v>25</x:v>
      </x:c>
      <x:c r="G348" s="16" t="s">
        <x:v>46</x:v>
      </x:c>
      <x:c r="H348" s="17" t="s">
        <x:v>2062</x:v>
      </x:c>
      <x:c r="I348" s="17" t="s">
        <x:v>2063</x:v>
      </x:c>
      <x:c r="J348" s="17" t="s">
        <x:v>2064</x:v>
      </x:c>
      <x:c r="K348" s="17" t="s">
        <x:v>2031</x:v>
      </x:c>
      <x:c r="L348" s="17" t="s">
        <x:v>58</x:v>
      </x:c>
      <x:c r="M348" s="17" t="s">
        <x:v>256</x:v>
      </x:c>
      <x:c r="N348" s="16" t="s">
        <x:v>2065</x:v>
      </x:c>
      <x:c r="O348" s="18">
        <x:v>46249</x:v>
      </x:c>
      <x:c r="P348" s="19" t="s">
        <x:v>34</x:v>
      </x:c>
      <x:c r="Q348" s="17"/>
      <x:c r="R348" s="19" t="str">
        <x:f t="shared" si="5"/>
        <x:v>Discovery Link Only</x:v>
      </x:c>
      <x:c r="S348" s="43" t="str">
        <x:v>Unknown</x:v>
      </x:c>
      <x:c r="T348" s="43" t="str">
        <x:v>Unknown</x:v>
      </x:c>
      <x:c r="U348" s="43" t="str">
        <x:v>Unknown</x:v>
      </x:c>
      <x:c r="V348" s="43" t="str">
        <x:v>Unknown</x:v>
      </x:c>
      <x:c r="W348" s="43" t="str">
        <x:v>Unknown</x:v>
      </x:c>
      <x:c r="X348" s="43" t="str">
        <x:v>Unknown</x:v>
      </x:c>
      <x:c r="Y348" s="43" t="str">
        <x:v>Unknown</x:v>
      </x:c>
      <x:c r="Z348" s="43"/>
    </x:row>
    <x:row r="349" ht="60" customHeight="1">
      <x:c r="A349" s="16" t="s">
        <x:v>2066</x:v>
      </x:c>
      <x:c r="B349" s="16" t="s">
        <x:v>2067</x:v>
      </x:c>
      <x:c r="C349" s="16" t="s">
        <x:v>2026</x:v>
      </x:c>
      <x:c r="D349" s="16" t="s">
        <x:v>2055</x:v>
      </x:c>
      <x:c r="E349" s="16" t="s">
        <x:v>106</x:v>
      </x:c>
      <x:c r="F349" s="16" t="s">
        <x:v>25</x:v>
      </x:c>
      <x:c r="G349" s="16" t="s">
        <x:v>46</x:v>
      </x:c>
      <x:c r="H349" s="17" t="s">
        <x:v>2068</x:v>
      </x:c>
      <x:c r="I349" s="17" t="s">
        <x:v>2069</x:v>
      </x:c>
      <x:c r="J349" s="17" t="s">
        <x:v>2070</x:v>
      </x:c>
      <x:c r="K349" s="17" t="s">
        <x:v>2031</x:v>
      </x:c>
      <x:c r="L349" s="17" t="s">
        <x:v>58</x:v>
      </x:c>
      <x:c r="M349" s="17" t="s">
        <x:v>256</x:v>
      </x:c>
      <x:c r="N349" s="16" t="s">
        <x:v>2071</x:v>
      </x:c>
      <x:c r="O349" s="18">
        <x:v>46249</x:v>
      </x:c>
      <x:c r="P349" s="19" t="s">
        <x:v>34</x:v>
      </x:c>
      <x:c r="Q349" s="17"/>
      <x:c r="R349" s="19" t="str">
        <x:f t="shared" si="5"/>
        <x:v>Discovery Link Only</x:v>
      </x:c>
      <x:c r="S349" s="43" t="str">
        <x:v>Unknown</x:v>
      </x:c>
      <x:c r="T349" s="43" t="str">
        <x:v>Unknown</x:v>
      </x:c>
      <x:c r="U349" s="43" t="str">
        <x:v>Unknown</x:v>
      </x:c>
      <x:c r="V349" s="43" t="str">
        <x:v>Unknown</x:v>
      </x:c>
      <x:c r="W349" s="43" t="str">
        <x:v>Unknown</x:v>
      </x:c>
      <x:c r="X349" s="43" t="str">
        <x:v>Unknown</x:v>
      </x:c>
      <x:c r="Y349" s="43" t="str">
        <x:v>Unknown</x:v>
      </x:c>
      <x:c r="Z349" s="43"/>
    </x:row>
    <x:row r="350" ht="60" customHeight="1">
      <x:c r="A350" s="16" t="s">
        <x:v>2072</x:v>
      </x:c>
      <x:c r="B350" s="16" t="s">
        <x:v>2073</x:v>
      </x:c>
      <x:c r="C350" s="16" t="s">
        <x:v>2026</x:v>
      </x:c>
      <x:c r="D350" s="16" t="s">
        <x:v>2074</x:v>
      </x:c>
      <x:c r="E350" s="16" t="s">
        <x:v>45</x:v>
      </x:c>
      <x:c r="F350" s="16" t="s">
        <x:v>25</x:v>
      </x:c>
      <x:c r="G350" s="16" t="s">
        <x:v>26</x:v>
      </x:c>
      <x:c r="H350" s="17" t="s">
        <x:v>2075</x:v>
      </x:c>
      <x:c r="I350" s="17" t="s">
        <x:v>2076</x:v>
      </x:c>
      <x:c r="J350" s="17" t="s">
        <x:v>2077</x:v>
      </x:c>
      <x:c r="K350" s="17" t="s">
        <x:v>2031</x:v>
      </x:c>
      <x:c r="L350" s="17" t="s">
        <x:v>58</x:v>
      </x:c>
      <x:c r="M350" s="17" t="s">
        <x:v>256</x:v>
      </x:c>
      <x:c r="N350" s="16" t="s">
        <x:v>2078</x:v>
      </x:c>
      <x:c r="O350" s="18">
        <x:v>46249</x:v>
      </x:c>
      <x:c r="P350" s="19" t="s">
        <x:v>34</x:v>
      </x:c>
      <x:c r="Q350" s="17"/>
      <x:c r="R350" s="19" t="str">
        <x:f t="shared" si="5"/>
        <x:v>Discovery Link Only</x:v>
      </x:c>
      <x:c r="S350" s="43" t="str">
        <x:v>Unknown</x:v>
      </x:c>
      <x:c r="T350" s="43" t="str">
        <x:v>Unknown</x:v>
      </x:c>
      <x:c r="U350" s="43" t="str">
        <x:v>Unknown</x:v>
      </x:c>
      <x:c r="V350" s="43" t="str">
        <x:v>Unknown</x:v>
      </x:c>
      <x:c r="W350" s="43" t="str">
        <x:v>Unknown</x:v>
      </x:c>
      <x:c r="X350" s="43" t="str">
        <x:v>Unknown</x:v>
      </x:c>
      <x:c r="Y350" s="43" t="str">
        <x:v>Unknown</x:v>
      </x:c>
      <x:c r="Z350" s="43"/>
    </x:row>
    <x:row r="351" ht="60" customHeight="1">
      <x:c r="A351" s="16" t="s">
        <x:v>2079</x:v>
      </x:c>
      <x:c r="B351" s="16" t="s">
        <x:v>2080</x:v>
      </x:c>
      <x:c r="C351" s="16" t="s">
        <x:v>2026</x:v>
      </x:c>
      <x:c r="D351" s="16" t="s">
        <x:v>2081</x:v>
      </x:c>
      <x:c r="E351" s="16" t="s">
        <x:v>37</x:v>
      </x:c>
      <x:c r="F351" s="16" t="s">
        <x:v>25</x:v>
      </x:c>
      <x:c r="G351" s="16" t="s">
        <x:v>46</x:v>
      </x:c>
      <x:c r="H351" s="17" t="s">
        <x:v>2082</x:v>
      </x:c>
      <x:c r="I351" s="17" t="s">
        <x:v>2083</x:v>
      </x:c>
      <x:c r="J351" s="17" t="s">
        <x:v>2084</x:v>
      </x:c>
      <x:c r="K351" s="17" t="s">
        <x:v>2031</x:v>
      </x:c>
      <x:c r="L351" s="17" t="s">
        <x:v>58</x:v>
      </x:c>
      <x:c r="M351" s="17" t="s">
        <x:v>256</x:v>
      </x:c>
      <x:c r="N351" s="16" t="s">
        <x:v>2085</x:v>
      </x:c>
      <x:c r="O351" s="18">
        <x:v>46249</x:v>
      </x:c>
      <x:c r="P351" s="19" t="s">
        <x:v>34</x:v>
      </x:c>
      <x:c r="Q351" s="17"/>
      <x:c r="R351" s="19" t="str">
        <x:f t="shared" si="5"/>
        <x:v>Discovery Link Only</x:v>
      </x:c>
      <x:c r="S351" s="43" t="str">
        <x:v>Unknown</x:v>
      </x:c>
      <x:c r="T351" s="43" t="str">
        <x:v>Unknown</x:v>
      </x:c>
      <x:c r="U351" s="43" t="str">
        <x:v>Unknown</x:v>
      </x:c>
      <x:c r="V351" s="43" t="str">
        <x:v>Unknown</x:v>
      </x:c>
      <x:c r="W351" s="43" t="str">
        <x:v>Unknown</x:v>
      </x:c>
      <x:c r="X351" s="43" t="str">
        <x:v>Unknown</x:v>
      </x:c>
      <x:c r="Y351" s="43" t="str">
        <x:v>Unknown</x:v>
      </x:c>
      <x:c r="Z351" s="43"/>
    </x:row>
    <x:row r="352" ht="60" customHeight="1">
      <x:c r="A352" s="16" t="s">
        <x:v>2086</x:v>
      </x:c>
      <x:c r="B352" s="16" t="s">
        <x:v>2087</x:v>
      </x:c>
      <x:c r="C352" s="16" t="s">
        <x:v>2026</x:v>
      </x:c>
      <x:c r="D352" s="16" t="s">
        <x:v>2055</x:v>
      </x:c>
      <x:c r="E352" s="16" t="s">
        <x:v>115</x:v>
      </x:c>
      <x:c r="F352" s="16" t="s">
        <x:v>121</x:v>
      </x:c>
      <x:c r="G352" s="16" t="s">
        <x:v>26</x:v>
      </x:c>
      <x:c r="H352" s="17" t="s">
        <x:v>2088</x:v>
      </x:c>
      <x:c r="I352" s="17" t="s">
        <x:v>2089</x:v>
      </x:c>
      <x:c r="J352" s="17" t="s">
        <x:v>2090</x:v>
      </x:c>
      <x:c r="K352" s="17" t="s">
        <x:v>2031</x:v>
      </x:c>
      <x:c r="L352" s="17" t="s">
        <x:v>58</x:v>
      </x:c>
      <x:c r="M352" s="17" t="s">
        <x:v>256</x:v>
      </x:c>
      <x:c r="N352" s="16" t="s">
        <x:v>2091</x:v>
      </x:c>
      <x:c r="O352" s="18">
        <x:v>46249</x:v>
      </x:c>
      <x:c r="P352" s="19" t="s">
        <x:v>34</x:v>
      </x:c>
      <x:c r="Q352" s="17"/>
      <x:c r="R352" s="19" t="str">
        <x:f t="shared" si="5"/>
        <x:v>Discovery Link Only</x:v>
      </x:c>
      <x:c r="S352" s="43" t="str">
        <x:v>Unknown</x:v>
      </x:c>
      <x:c r="T352" s="43" t="str">
        <x:v>Unknown</x:v>
      </x:c>
      <x:c r="U352" s="43" t="str">
        <x:v>Unknown</x:v>
      </x:c>
      <x:c r="V352" s="43" t="str">
        <x:v>Unknown</x:v>
      </x:c>
      <x:c r="W352" s="43" t="str">
        <x:v>Unknown</x:v>
      </x:c>
      <x:c r="X352" s="43" t="str">
        <x:v>Unknown</x:v>
      </x:c>
      <x:c r="Y352" s="43" t="str">
        <x:v>Unknown</x:v>
      </x:c>
      <x:c r="Z352" s="43"/>
    </x:row>
    <x:row r="353" ht="60" customHeight="1">
      <x:c r="A353" s="16" t="s">
        <x:v>2092</x:v>
      </x:c>
      <x:c r="B353" s="16" t="s">
        <x:v>2093</x:v>
      </x:c>
      <x:c r="C353" s="16" t="s">
        <x:v>2026</x:v>
      </x:c>
      <x:c r="D353" s="16" t="s">
        <x:v>2055</x:v>
      </x:c>
      <x:c r="E353" s="16" t="s">
        <x:v>151</x:v>
      </x:c>
      <x:c r="F353" s="16" t="s">
        <x:v>107</x:v>
      </x:c>
      <x:c r="G353" s="16" t="s">
        <x:v>134</x:v>
      </x:c>
      <x:c r="H353" s="17" t="s">
        <x:v>2094</x:v>
      </x:c>
      <x:c r="I353" s="17" t="s">
        <x:v>2095</x:v>
      </x:c>
      <x:c r="J353" s="17" t="s">
        <x:v>2096</x:v>
      </x:c>
      <x:c r="K353" s="17" t="s">
        <x:v>2031</x:v>
      </x:c>
      <x:c r="L353" s="17" t="s">
        <x:v>111</x:v>
      </x:c>
      <x:c r="M353" s="17" t="s">
        <x:v>2097</x:v>
      </x:c>
      <x:c r="N353" s="16"/>
      <x:c r="O353" s="18">
        <x:v>46249</x:v>
      </x:c>
      <x:c r="P353" s="19" t="s">
        <x:v>34</x:v>
      </x:c>
      <x:c r="Q353" s="17"/>
      <x:c r="R353" s="19" t="str">
        <x:f t="shared" si="5"/>
        <x:v>Discovery Link Only</x:v>
      </x:c>
      <x:c r="S353" s="43" t="str">
        <x:v>Unknown</x:v>
      </x:c>
      <x:c r="T353" s="43" t="str">
        <x:v>Unknown</x:v>
      </x:c>
      <x:c r="U353" s="43" t="str">
        <x:v>Unknown</x:v>
      </x:c>
      <x:c r="V353" s="43" t="str">
        <x:v>Unknown</x:v>
      </x:c>
      <x:c r="W353" s="43" t="str">
        <x:v>Unknown</x:v>
      </x:c>
      <x:c r="X353" s="43" t="str">
        <x:v>Unknown</x:v>
      </x:c>
      <x:c r="Y353" s="43" t="str">
        <x:v>Unknown</x:v>
      </x:c>
      <x:c r="Z353" s="43"/>
    </x:row>
    <x:row r="354" ht="60" customHeight="1">
      <x:c r="A354" s="16" t="s">
        <x:v>2098</x:v>
      </x:c>
      <x:c r="B354" s="16" t="s">
        <x:v>2099</x:v>
      </x:c>
      <x:c r="C354" s="16" t="s">
        <x:v>2026</x:v>
      </x:c>
      <x:c r="D354" s="16" t="s">
        <x:v>2055</x:v>
      </x:c>
      <x:c r="E354" s="16" t="s">
        <x:v>115</x:v>
      </x:c>
      <x:c r="F354" s="16" t="s">
        <x:v>121</x:v>
      </x:c>
      <x:c r="G354" s="16" t="s">
        <x:v>46</x:v>
      </x:c>
      <x:c r="H354" s="17" t="s">
        <x:v>2100</x:v>
      </x:c>
      <x:c r="I354" s="17" t="s">
        <x:v>2101</x:v>
      </x:c>
      <x:c r="J354" s="17" t="s">
        <x:v>2102</x:v>
      </x:c>
      <x:c r="K354" s="17" t="s">
        <x:v>2031</x:v>
      </x:c>
      <x:c r="L354" s="17" t="s">
        <x:v>111</x:v>
      </x:c>
      <x:c r="M354" s="17" t="s">
        <x:v>2097</x:v>
      </x:c>
      <x:c r="N354" s="16"/>
      <x:c r="O354" s="18">
        <x:v>46249</x:v>
      </x:c>
      <x:c r="P354" s="19" t="s">
        <x:v>34</x:v>
      </x:c>
      <x:c r="Q354" s="17"/>
      <x:c r="R354" s="19" t="str">
        <x:f t="shared" si="5"/>
        <x:v>Discovery Link Only</x:v>
      </x:c>
      <x:c r="S354" s="43" t="str">
        <x:v>Unknown</x:v>
      </x:c>
      <x:c r="T354" s="43" t="str">
        <x:v>Unknown</x:v>
      </x:c>
      <x:c r="U354" s="43" t="str">
        <x:v>Unknown</x:v>
      </x:c>
      <x:c r="V354" s="43" t="str">
        <x:v>Unknown</x:v>
      </x:c>
      <x:c r="W354" s="43" t="str">
        <x:v>Unknown</x:v>
      </x:c>
      <x:c r="X354" s="43" t="str">
        <x:v>Unknown</x:v>
      </x:c>
      <x:c r="Y354" s="43" t="str">
        <x:v>Unknown</x:v>
      </x:c>
      <x:c r="Z354" s="43"/>
    </x:row>
    <x:row r="355" ht="60" customHeight="1">
      <x:c r="A355" s="16" t="s">
        <x:v>2103</x:v>
      </x:c>
      <x:c r="B355" s="16" t="s">
        <x:v>2104</x:v>
      </x:c>
      <x:c r="C355" s="16" t="s">
        <x:v>2026</x:v>
      </x:c>
      <x:c r="D355" s="16" t="s">
        <x:v>2055</x:v>
      </x:c>
      <x:c r="E355" s="16" t="s">
        <x:v>99</x:v>
      </x:c>
      <x:c r="F355" s="16" t="s">
        <x:v>121</x:v>
      </x:c>
      <x:c r="G355" s="16" t="s">
        <x:v>46</x:v>
      </x:c>
      <x:c r="H355" s="17" t="s">
        <x:v>2105</x:v>
      </x:c>
      <x:c r="I355" s="17" t="s">
        <x:v>2106</x:v>
      </x:c>
      <x:c r="J355" s="17" t="s">
        <x:v>2107</x:v>
      </x:c>
      <x:c r="K355" s="17" t="s">
        <x:v>2031</x:v>
      </x:c>
      <x:c r="L355" s="17" t="s">
        <x:v>111</x:v>
      </x:c>
      <x:c r="M355" s="17" t="s">
        <x:v>2097</x:v>
      </x:c>
      <x:c r="N355" s="16"/>
      <x:c r="O355" s="18">
        <x:v>46249</x:v>
      </x:c>
      <x:c r="P355" s="19" t="s">
        <x:v>34</x:v>
      </x:c>
      <x:c r="Q355" s="17"/>
      <x:c r="R355" s="19" t="str">
        <x:f t="shared" si="5"/>
        <x:v>Discovery Link Only</x:v>
      </x:c>
      <x:c r="S355" s="43" t="str">
        <x:v>Unknown</x:v>
      </x:c>
      <x:c r="T355" s="43" t="str">
        <x:v>Unknown</x:v>
      </x:c>
      <x:c r="U355" s="43" t="str">
        <x:v>Unknown</x:v>
      </x:c>
      <x:c r="V355" s="43" t="str">
        <x:v>Unknown</x:v>
      </x:c>
      <x:c r="W355" s="43" t="str">
        <x:v>Unknown</x:v>
      </x:c>
      <x:c r="X355" s="43" t="str">
        <x:v>Unknown</x:v>
      </x:c>
      <x:c r="Y355" s="43" t="str">
        <x:v>Unknown</x:v>
      </x:c>
      <x:c r="Z355" s="43"/>
    </x:row>
    <x:row r="356" ht="60" customHeight="1">
      <x:c r="A356" s="16" t="s">
        <x:v>2108</x:v>
      </x:c>
      <x:c r="B356" s="16" t="s">
        <x:v>2109</x:v>
      </x:c>
      <x:c r="C356" s="16" t="s">
        <x:v>2026</x:v>
      </x:c>
      <x:c r="D356" s="16" t="s">
        <x:v>2042</x:v>
      </x:c>
      <x:c r="E356" s="16" t="s">
        <x:v>106</x:v>
      </x:c>
      <x:c r="F356" s="16" t="s">
        <x:v>107</x:v>
      </x:c>
      <x:c r="G356" s="16" t="s">
        <x:v>46</x:v>
      </x:c>
      <x:c r="H356" s="17" t="s">
        <x:v>2110</x:v>
      </x:c>
      <x:c r="I356" s="17" t="s">
        <x:v>2111</x:v>
      </x:c>
      <x:c r="J356" s="17" t="s">
        <x:v>2112</x:v>
      </x:c>
      <x:c r="K356" s="17" t="s">
        <x:v>2031</x:v>
      </x:c>
      <x:c r="L356" s="17" t="s">
        <x:v>111</x:v>
      </x:c>
      <x:c r="M356" s="17" t="s">
        <x:v>2097</x:v>
      </x:c>
      <x:c r="N356" s="16"/>
      <x:c r="O356" s="18">
        <x:v>46249</x:v>
      </x:c>
      <x:c r="P356" s="19" t="s">
        <x:v>34</x:v>
      </x:c>
      <x:c r="Q356" s="17"/>
      <x:c r="R356" s="19" t="str">
        <x:f t="shared" si="5"/>
        <x:v>Discovery Link Only</x:v>
      </x:c>
      <x:c r="S356" s="43" t="str">
        <x:v>Unknown</x:v>
      </x:c>
      <x:c r="T356" s="43" t="str">
        <x:v>Unknown</x:v>
      </x:c>
      <x:c r="U356" s="43" t="str">
        <x:v>Unknown</x:v>
      </x:c>
      <x:c r="V356" s="43" t="str">
        <x:v>Unknown</x:v>
      </x:c>
      <x:c r="W356" s="43" t="str">
        <x:v>Unknown</x:v>
      </x:c>
      <x:c r="X356" s="43" t="str">
        <x:v>Unknown</x:v>
      </x:c>
      <x:c r="Y356" s="43" t="str">
        <x:v>Unknown</x:v>
      </x:c>
      <x:c r="Z356" s="43"/>
    </x:row>
    <x:row r="357" ht="60" customHeight="1">
      <x:c r="A357" s="16" t="s">
        <x:v>2113</x:v>
      </x:c>
      <x:c r="B357" s="16" t="s">
        <x:v>2114</x:v>
      </x:c>
      <x:c r="C357" s="16" t="s">
        <x:v>2026</x:v>
      </x:c>
      <x:c r="D357" s="16" t="s">
        <x:v>2115</x:v>
      </x:c>
      <x:c r="E357" s="16" t="s">
        <x:v>45</x:v>
      </x:c>
      <x:c r="F357" s="16" t="s">
        <x:v>127</x:v>
      </x:c>
      <x:c r="G357" s="16" t="s">
        <x:v>26</x:v>
      </x:c>
      <x:c r="H357" s="17" t="s">
        <x:v>2116</x:v>
      </x:c>
      <x:c r="I357" s="17" t="s">
        <x:v>2117</x:v>
      </x:c>
      <x:c r="J357" s="17" t="s">
        <x:v>2118</x:v>
      </x:c>
      <x:c r="K357" s="17" t="s">
        <x:v>2031</x:v>
      </x:c>
      <x:c r="L357" s="17" t="s">
        <x:v>111</x:v>
      </x:c>
      <x:c r="M357" s="17" t="s">
        <x:v>2097</x:v>
      </x:c>
      <x:c r="N357" s="16"/>
      <x:c r="O357" s="18">
        <x:v>46249</x:v>
      </x:c>
      <x:c r="P357" s="19" t="s">
        <x:v>34</x:v>
      </x:c>
      <x:c r="Q357" s="17"/>
      <x:c r="R357" s="19" t="str">
        <x:f t="shared" si="5"/>
        <x:v>Discovery Link Only</x:v>
      </x:c>
      <x:c r="S357" s="43" t="str">
        <x:v>Unknown</x:v>
      </x:c>
      <x:c r="T357" s="43" t="str">
        <x:v>Unknown</x:v>
      </x:c>
      <x:c r="U357" s="43" t="str">
        <x:v>Unknown</x:v>
      </x:c>
      <x:c r="V357" s="43" t="str">
        <x:v>Unknown</x:v>
      </x:c>
      <x:c r="W357" s="43" t="str">
        <x:v>Unknown</x:v>
      </x:c>
      <x:c r="X357" s="43" t="str">
        <x:v>Unknown</x:v>
      </x:c>
      <x:c r="Y357" s="43" t="str">
        <x:v>Unknown</x:v>
      </x:c>
      <x:c r="Z357" s="43"/>
    </x:row>
    <x:row r="358" ht="60" customHeight="1">
      <x:c r="A358" s="16" t="s">
        <x:v>2119</x:v>
      </x:c>
      <x:c r="B358" s="16" t="s">
        <x:v>2120</x:v>
      </x:c>
      <x:c r="C358" s="16" t="s">
        <x:v>2026</x:v>
      </x:c>
      <x:c r="D358" s="16" t="s">
        <x:v>2115</x:v>
      </x:c>
      <x:c r="E358" s="16" t="s">
        <x:v>72</x:v>
      </x:c>
      <x:c r="F358" s="16" t="s">
        <x:v>121</x:v>
      </x:c>
      <x:c r="G358" s="16" t="s">
        <x:v>26</x:v>
      </x:c>
      <x:c r="H358" s="17" t="s">
        <x:v>2121</x:v>
      </x:c>
      <x:c r="I358" s="17" t="s">
        <x:v>2122</x:v>
      </x:c>
      <x:c r="J358" s="17" t="s">
        <x:v>2123</x:v>
      </x:c>
      <x:c r="K358" s="17" t="s">
        <x:v>2031</x:v>
      </x:c>
      <x:c r="L358" s="17" t="s">
        <x:v>111</x:v>
      </x:c>
      <x:c r="M358" s="17" t="s">
        <x:v>2097</x:v>
      </x:c>
      <x:c r="N358" s="16"/>
      <x:c r="O358" s="18">
        <x:v>46249</x:v>
      </x:c>
      <x:c r="P358" s="19" t="s">
        <x:v>34</x:v>
      </x:c>
      <x:c r="Q358" s="17"/>
      <x:c r="R358" s="19" t="str">
        <x:f t="shared" si="5"/>
        <x:v>Discovery Link Only</x:v>
      </x:c>
      <x:c r="S358" s="43" t="str">
        <x:v>Unknown</x:v>
      </x:c>
      <x:c r="T358" s="43" t="str">
        <x:v>Unknown</x:v>
      </x:c>
      <x:c r="U358" s="43" t="str">
        <x:v>Unknown</x:v>
      </x:c>
      <x:c r="V358" s="43" t="str">
        <x:v>Unknown</x:v>
      </x:c>
      <x:c r="W358" s="43" t="str">
        <x:v>Unknown</x:v>
      </x:c>
      <x:c r="X358" s="43" t="str">
        <x:v>Unknown</x:v>
      </x:c>
      <x:c r="Y358" s="43" t="str">
        <x:v>Unknown</x:v>
      </x:c>
      <x:c r="Z358" s="43"/>
    </x:row>
    <x:row r="359" ht="60" customHeight="1">
      <x:c r="A359" s="16" t="s">
        <x:v>2124</x:v>
      </x:c>
      <x:c r="B359" s="16" t="s">
        <x:v>2125</x:v>
      </x:c>
      <x:c r="C359" s="16" t="s">
        <x:v>2026</x:v>
      </x:c>
      <x:c r="D359" s="16" t="s">
        <x:v>2115</x:v>
      </x:c>
      <x:c r="E359" s="16" t="s">
        <x:v>72</x:v>
      </x:c>
      <x:c r="F359" s="16" t="s">
        <x:v>107</x:v>
      </x:c>
      <x:c r="G359" s="16" t="s">
        <x:v>26</x:v>
      </x:c>
      <x:c r="H359" s="17" t="s">
        <x:v>1576</x:v>
      </x:c>
      <x:c r="I359" s="17" t="s">
        <x:v>2126</x:v>
      </x:c>
      <x:c r="J359" s="17" t="s">
        <x:v>2127</x:v>
      </x:c>
      <x:c r="K359" s="17" t="s">
        <x:v>2031</x:v>
      </x:c>
      <x:c r="L359" s="17" t="s">
        <x:v>111</x:v>
      </x:c>
      <x:c r="M359" s="17" t="s">
        <x:v>2097</x:v>
      </x:c>
      <x:c r="N359" s="16"/>
      <x:c r="O359" s="18">
        <x:v>46249</x:v>
      </x:c>
      <x:c r="P359" s="19" t="s">
        <x:v>34</x:v>
      </x:c>
      <x:c r="Q359" s="17"/>
      <x:c r="R359" s="19" t="str">
        <x:f t="shared" si="5"/>
        <x:v>Discovery Link Only</x:v>
      </x:c>
      <x:c r="S359" s="43" t="str">
        <x:v>Unknown</x:v>
      </x:c>
      <x:c r="T359" s="43" t="str">
        <x:v>Unknown</x:v>
      </x:c>
      <x:c r="U359" s="43" t="str">
        <x:v>Unknown</x:v>
      </x:c>
      <x:c r="V359" s="43" t="str">
        <x:v>Unknown</x:v>
      </x:c>
      <x:c r="W359" s="43" t="str">
        <x:v>Unknown</x:v>
      </x:c>
      <x:c r="X359" s="43" t="str">
        <x:v>Unknown</x:v>
      </x:c>
      <x:c r="Y359" s="43" t="str">
        <x:v>Unknown</x:v>
      </x:c>
      <x:c r="Z359" s="43"/>
    </x:row>
    <x:row r="360" ht="60" customHeight="1">
      <x:c r="A360" s="16" t="s">
        <x:v>2128</x:v>
      </x:c>
      <x:c r="B360" s="16" t="s">
        <x:v>2129</x:v>
      </x:c>
      <x:c r="C360" s="16" t="s">
        <x:v>2026</x:v>
      </x:c>
      <x:c r="D360" s="16" t="s">
        <x:v>2049</x:v>
      </x:c>
      <x:c r="E360" s="16" t="s">
        <x:v>72</x:v>
      </x:c>
      <x:c r="F360" s="16" t="s">
        <x:v>107</x:v>
      </x:c>
      <x:c r="G360" s="16" t="s">
        <x:v>26</x:v>
      </x:c>
      <x:c r="H360" s="17" t="s">
        <x:v>2130</x:v>
      </x:c>
      <x:c r="I360" s="17" t="s">
        <x:v>2131</x:v>
      </x:c>
      <x:c r="J360" s="17" t="s">
        <x:v>2132</x:v>
      </x:c>
      <x:c r="K360" s="17" t="s">
        <x:v>2031</x:v>
      </x:c>
      <x:c r="L360" s="17" t="s">
        <x:v>111</x:v>
      </x:c>
      <x:c r="M360" s="17" t="s">
        <x:v>2097</x:v>
      </x:c>
      <x:c r="N360" s="16"/>
      <x:c r="O360" s="18">
        <x:v>46249</x:v>
      </x:c>
      <x:c r="P360" s="19" t="s">
        <x:v>34</x:v>
      </x:c>
      <x:c r="Q360" s="17"/>
      <x:c r="R360" s="19" t="str">
        <x:f t="shared" si="5"/>
        <x:v>Discovery Link Only</x:v>
      </x:c>
      <x:c r="S360" s="43" t="str">
        <x:v>Unknown</x:v>
      </x:c>
      <x:c r="T360" s="43" t="str">
        <x:v>Unknown</x:v>
      </x:c>
      <x:c r="U360" s="43" t="str">
        <x:v>Unknown</x:v>
      </x:c>
      <x:c r="V360" s="43" t="str">
        <x:v>Unknown</x:v>
      </x:c>
      <x:c r="W360" s="43" t="str">
        <x:v>Unknown</x:v>
      </x:c>
      <x:c r="X360" s="43" t="str">
        <x:v>Unknown</x:v>
      </x:c>
      <x:c r="Y360" s="43" t="str">
        <x:v>Unknown</x:v>
      </x:c>
      <x:c r="Z360" s="43"/>
    </x:row>
    <x:row r="361" ht="60" customHeight="1">
      <x:c r="A361" s="16" t="s">
        <x:v>2133</x:v>
      </x:c>
      <x:c r="B361" s="16" t="s">
        <x:v>2134</x:v>
      </x:c>
      <x:c r="C361" s="16" t="s">
        <x:v>2026</x:v>
      </x:c>
      <x:c r="D361" s="16" t="s">
        <x:v>2049</x:v>
      </x:c>
      <x:c r="E361" s="16" t="s">
        <x:v>72</x:v>
      </x:c>
      <x:c r="F361" s="16" t="s">
        <x:v>107</x:v>
      </x:c>
      <x:c r="G361" s="16" t="s">
        <x:v>26</x:v>
      </x:c>
      <x:c r="H361" s="17" t="s">
        <x:v>2135</x:v>
      </x:c>
      <x:c r="I361" s="17" t="s">
        <x:v>2136</x:v>
      </x:c>
      <x:c r="J361" s="17" t="s">
        <x:v>2137</x:v>
      </x:c>
      <x:c r="K361" s="17" t="s">
        <x:v>2031</x:v>
      </x:c>
      <x:c r="L361" s="17" t="s">
        <x:v>111</x:v>
      </x:c>
      <x:c r="M361" s="17" t="s">
        <x:v>2097</x:v>
      </x:c>
      <x:c r="N361" s="16"/>
      <x:c r="O361" s="18">
        <x:v>46249</x:v>
      </x:c>
      <x:c r="P361" s="19" t="s">
        <x:v>34</x:v>
      </x:c>
      <x:c r="Q361" s="17"/>
      <x:c r="R361" s="19" t="str">
        <x:f t="shared" si="5"/>
        <x:v>Discovery Link Only</x:v>
      </x:c>
      <x:c r="S361" s="43" t="str">
        <x:v>Unknown</x:v>
      </x:c>
      <x:c r="T361" s="43" t="str">
        <x:v>Unknown</x:v>
      </x:c>
      <x:c r="U361" s="43" t="str">
        <x:v>Unknown</x:v>
      </x:c>
      <x:c r="V361" s="43" t="str">
        <x:v>Unknown</x:v>
      </x:c>
      <x:c r="W361" s="43" t="str">
        <x:v>Unknown</x:v>
      </x:c>
      <x:c r="X361" s="43" t="str">
        <x:v>Unknown</x:v>
      </x:c>
      <x:c r="Y361" s="43" t="str">
        <x:v>Unknown</x:v>
      </x:c>
      <x:c r="Z361" s="43"/>
    </x:row>
    <x:row r="362" ht="60" customHeight="1">
      <x:c r="A362" s="16" t="s">
        <x:v>2138</x:v>
      </x:c>
      <x:c r="B362" s="16" t="s">
        <x:v>2139</x:v>
      </x:c>
      <x:c r="C362" s="16" t="s">
        <x:v>2026</x:v>
      </x:c>
      <x:c r="D362" s="16" t="s">
        <x:v>2049</x:v>
      </x:c>
      <x:c r="E362" s="16" t="s">
        <x:v>45</x:v>
      </x:c>
      <x:c r="F362" s="16" t="s">
        <x:v>121</x:v>
      </x:c>
      <x:c r="G362" s="16" t="s">
        <x:v>26</x:v>
      </x:c>
      <x:c r="H362" s="17" t="s">
        <x:v>244</x:v>
      </x:c>
      <x:c r="I362" s="17" t="s">
        <x:v>2140</x:v>
      </x:c>
      <x:c r="J362" s="17" t="s">
        <x:v>2141</x:v>
      </x:c>
      <x:c r="K362" s="17" t="s">
        <x:v>2031</x:v>
      </x:c>
      <x:c r="L362" s="17" t="s">
        <x:v>111</x:v>
      </x:c>
      <x:c r="M362" s="17" t="s">
        <x:v>2097</x:v>
      </x:c>
      <x:c r="N362" s="16"/>
      <x:c r="O362" s="18">
        <x:v>46249</x:v>
      </x:c>
      <x:c r="P362" s="19" t="s">
        <x:v>34</x:v>
      </x:c>
      <x:c r="Q362" s="17"/>
      <x:c r="R362" s="19" t="str">
        <x:f t="shared" si="5"/>
        <x:v>Discovery Link Only</x:v>
      </x:c>
      <x:c r="S362" s="43" t="str">
        <x:v>Unknown</x:v>
      </x:c>
      <x:c r="T362" s="43" t="str">
        <x:v>Unknown</x:v>
      </x:c>
      <x:c r="U362" s="43" t="str">
        <x:v>Unknown</x:v>
      </x:c>
      <x:c r="V362" s="43" t="str">
        <x:v>Unknown</x:v>
      </x:c>
      <x:c r="W362" s="43" t="str">
        <x:v>Unknown</x:v>
      </x:c>
      <x:c r="X362" s="43" t="str">
        <x:v>Unknown</x:v>
      </x:c>
      <x:c r="Y362" s="43" t="str">
        <x:v>Unknown</x:v>
      </x:c>
      <x:c r="Z362" s="43"/>
    </x:row>
    <x:row r="363" ht="60" customHeight="1">
      <x:c r="A363" s="16" t="s">
        <x:v>2142</x:v>
      </x:c>
      <x:c r="B363" s="16" t="s">
        <x:v>2143</x:v>
      </x:c>
      <x:c r="C363" s="16" t="s">
        <x:v>2026</x:v>
      </x:c>
      <x:c r="D363" s="16" t="s">
        <x:v>2144</x:v>
      </x:c>
      <x:c r="E363" s="16" t="s">
        <x:v>72</x:v>
      </x:c>
      <x:c r="F363" s="16" t="s">
        <x:v>107</x:v>
      </x:c>
      <x:c r="G363" s="16" t="s">
        <x:v>26</x:v>
      </x:c>
      <x:c r="H363" s="17" t="s">
        <x:v>2130</x:v>
      </x:c>
      <x:c r="I363" s="17" t="s">
        <x:v>2145</x:v>
      </x:c>
      <x:c r="J363" s="17" t="s">
        <x:v>2146</x:v>
      </x:c>
      <x:c r="K363" s="17" t="s">
        <x:v>2031</x:v>
      </x:c>
      <x:c r="L363" s="17" t="s">
        <x:v>111</x:v>
      </x:c>
      <x:c r="M363" s="17" t="s">
        <x:v>2097</x:v>
      </x:c>
      <x:c r="N363" s="16"/>
      <x:c r="O363" s="18">
        <x:v>46249</x:v>
      </x:c>
      <x:c r="P363" s="19" t="s">
        <x:v>34</x:v>
      </x:c>
      <x:c r="Q363" s="17"/>
      <x:c r="R363" s="19" t="str">
        <x:f t="shared" si="5"/>
        <x:v>Discovery Link Only</x:v>
      </x:c>
      <x:c r="S363" s="43" t="str">
        <x:v>Unknown</x:v>
      </x:c>
      <x:c r="T363" s="43" t="str">
        <x:v>Unknown</x:v>
      </x:c>
      <x:c r="U363" s="43" t="str">
        <x:v>Unknown</x:v>
      </x:c>
      <x:c r="V363" s="43" t="str">
        <x:v>Unknown</x:v>
      </x:c>
      <x:c r="W363" s="43" t="str">
        <x:v>Unknown</x:v>
      </x:c>
      <x:c r="X363" s="43" t="str">
        <x:v>Unknown</x:v>
      </x:c>
      <x:c r="Y363" s="43" t="str">
        <x:v>Unknown</x:v>
      </x:c>
      <x:c r="Z363" s="43"/>
    </x:row>
    <x:row r="364" ht="60" customHeight="1">
      <x:c r="A364" s="16" t="s">
        <x:v>2147</x:v>
      </x:c>
      <x:c r="B364" s="16" t="s">
        <x:v>2148</x:v>
      </x:c>
      <x:c r="C364" s="16" t="s">
        <x:v>2026</x:v>
      </x:c>
      <x:c r="D364" s="16" t="s">
        <x:v>2144</x:v>
      </x:c>
      <x:c r="E364" s="16" t="s">
        <x:v>72</x:v>
      </x:c>
      <x:c r="F364" s="16" t="s">
        <x:v>121</x:v>
      </x:c>
      <x:c r="G364" s="16" t="s">
        <x:v>26</x:v>
      </x:c>
      <x:c r="H364" s="17" t="s">
        <x:v>2149</x:v>
      </x:c>
      <x:c r="I364" s="17" t="s">
        <x:v>2150</x:v>
      </x:c>
      <x:c r="J364" s="17" t="s">
        <x:v>2151</x:v>
      </x:c>
      <x:c r="K364" s="17" t="s">
        <x:v>2031</x:v>
      </x:c>
      <x:c r="L364" s="17" t="s">
        <x:v>111</x:v>
      </x:c>
      <x:c r="M364" s="17" t="s">
        <x:v>2097</x:v>
      </x:c>
      <x:c r="N364" s="16"/>
      <x:c r="O364" s="18">
        <x:v>46249</x:v>
      </x:c>
      <x:c r="P364" s="19" t="s">
        <x:v>34</x:v>
      </x:c>
      <x:c r="Q364" s="17"/>
      <x:c r="R364" s="19" t="str">
        <x:f t="shared" si="5"/>
        <x:v>Discovery Link Only</x:v>
      </x:c>
      <x:c r="S364" s="43" t="str">
        <x:v>Unknown</x:v>
      </x:c>
      <x:c r="T364" s="43" t="str">
        <x:v>Unknown</x:v>
      </x:c>
      <x:c r="U364" s="43" t="str">
        <x:v>Unknown</x:v>
      </x:c>
      <x:c r="V364" s="43" t="str">
        <x:v>Unknown</x:v>
      </x:c>
      <x:c r="W364" s="43" t="str">
        <x:v>Unknown</x:v>
      </x:c>
      <x:c r="X364" s="43" t="str">
        <x:v>Unknown</x:v>
      </x:c>
      <x:c r="Y364" s="43" t="str">
        <x:v>Unknown</x:v>
      </x:c>
      <x:c r="Z364" s="43"/>
    </x:row>
    <x:row r="365" ht="60" customHeight="1">
      <x:c r="A365" s="16" t="s">
        <x:v>2152</x:v>
      </x:c>
      <x:c r="B365" s="16" t="s">
        <x:v>2153</x:v>
      </x:c>
      <x:c r="C365" s="16" t="s">
        <x:v>2026</x:v>
      </x:c>
      <x:c r="D365" s="16" t="s">
        <x:v>2081</x:v>
      </x:c>
      <x:c r="E365" s="16" t="s">
        <x:v>72</x:v>
      </x:c>
      <x:c r="F365" s="16" t="s">
        <x:v>107</x:v>
      </x:c>
      <x:c r="G365" s="16" t="s">
        <x:v>26</x:v>
      </x:c>
      <x:c r="H365" s="17" t="s">
        <x:v>2154</x:v>
      </x:c>
      <x:c r="I365" s="17" t="s">
        <x:v>2155</x:v>
      </x:c>
      <x:c r="J365" s="17" t="s">
        <x:v>2156</x:v>
      </x:c>
      <x:c r="K365" s="17" t="s">
        <x:v>2031</x:v>
      </x:c>
      <x:c r="L365" s="17" t="s">
        <x:v>111</x:v>
      </x:c>
      <x:c r="M365" s="17" t="s">
        <x:v>2097</x:v>
      </x:c>
      <x:c r="N365" s="16"/>
      <x:c r="O365" s="18">
        <x:v>46249</x:v>
      </x:c>
      <x:c r="P365" s="19" t="s">
        <x:v>34</x:v>
      </x:c>
      <x:c r="Q365" s="17"/>
      <x:c r="R365" s="19" t="str">
        <x:f t="shared" si="5"/>
        <x:v>Discovery Link Only</x:v>
      </x:c>
      <x:c r="S365" s="43" t="str">
        <x:v>Unknown</x:v>
      </x:c>
      <x:c r="T365" s="43" t="str">
        <x:v>Unknown</x:v>
      </x:c>
      <x:c r="U365" s="43" t="str">
        <x:v>Unknown</x:v>
      </x:c>
      <x:c r="V365" s="43" t="str">
        <x:v>Unknown</x:v>
      </x:c>
      <x:c r="W365" s="43" t="str">
        <x:v>Unknown</x:v>
      </x:c>
      <x:c r="X365" s="43" t="str">
        <x:v>Unknown</x:v>
      </x:c>
      <x:c r="Y365" s="43" t="str">
        <x:v>Unknown</x:v>
      </x:c>
      <x:c r="Z365" s="43"/>
    </x:row>
    <x:row r="366" ht="60" customHeight="1">
      <x:c r="A366" s="16" t="s">
        <x:v>2157</x:v>
      </x:c>
      <x:c r="B366" s="16" t="s">
        <x:v>2158</x:v>
      </x:c>
      <x:c r="C366" s="16" t="s">
        <x:v>2026</x:v>
      </x:c>
      <x:c r="D366" s="16" t="s">
        <x:v>2081</x:v>
      </x:c>
      <x:c r="E366" s="16" t="s">
        <x:v>251</x:v>
      </x:c>
      <x:c r="F366" s="16" t="s">
        <x:v>107</x:v>
      </x:c>
      <x:c r="G366" s="16" t="s">
        <x:v>26</x:v>
      </x:c>
      <x:c r="H366" s="17" t="s">
        <x:v>2159</x:v>
      </x:c>
      <x:c r="I366" s="17" t="s">
        <x:v>2160</x:v>
      </x:c>
      <x:c r="J366" s="17" t="s">
        <x:v>2161</x:v>
      </x:c>
      <x:c r="K366" s="17" t="s">
        <x:v>2031</x:v>
      </x:c>
      <x:c r="L366" s="17" t="s">
        <x:v>111</x:v>
      </x:c>
      <x:c r="M366" s="17" t="s">
        <x:v>2097</x:v>
      </x:c>
      <x:c r="N366" s="16"/>
      <x:c r="O366" s="18">
        <x:v>46249</x:v>
      </x:c>
      <x:c r="P366" s="19" t="s">
        <x:v>34</x:v>
      </x:c>
      <x:c r="Q366" s="17"/>
      <x:c r="R366" s="19" t="str">
        <x:f t="shared" si="5"/>
        <x:v>Discovery Link Only</x:v>
      </x:c>
      <x:c r="S366" s="43" t="str">
        <x:v>Unknown</x:v>
      </x:c>
      <x:c r="T366" s="43" t="str">
        <x:v>Unknown</x:v>
      </x:c>
      <x:c r="U366" s="43" t="str">
        <x:v>Unknown</x:v>
      </x:c>
      <x:c r="V366" s="43" t="str">
        <x:v>Unknown</x:v>
      </x:c>
      <x:c r="W366" s="43" t="str">
        <x:v>Unknown</x:v>
      </x:c>
      <x:c r="X366" s="43" t="str">
        <x:v>Unknown</x:v>
      </x:c>
      <x:c r="Y366" s="43" t="str">
        <x:v>Unknown</x:v>
      </x:c>
      <x:c r="Z366" s="43"/>
    </x:row>
    <x:row r="367" ht="60" customHeight="1">
      <x:c r="A367" s="16" t="s">
        <x:v>2162</x:v>
      </x:c>
      <x:c r="B367" s="16" t="s">
        <x:v>2163</x:v>
      </x:c>
      <x:c r="C367" s="16" t="s">
        <x:v>2026</x:v>
      </x:c>
      <x:c r="D367" s="16" t="s">
        <x:v>2081</x:v>
      </x:c>
      <x:c r="E367" s="16" t="s">
        <x:v>133</x:v>
      </x:c>
      <x:c r="F367" s="16" t="s">
        <x:v>127</x:v>
      </x:c>
      <x:c r="G367" s="16" t="s">
        <x:v>134</x:v>
      </x:c>
      <x:c r="H367" s="17" t="s">
        <x:v>2164</x:v>
      </x:c>
      <x:c r="I367" s="17" t="s">
        <x:v>2165</x:v>
      </x:c>
      <x:c r="J367" s="17" t="s">
        <x:v>2166</x:v>
      </x:c>
      <x:c r="K367" s="17" t="s">
        <x:v>2031</x:v>
      </x:c>
      <x:c r="L367" s="17" t="s">
        <x:v>111</x:v>
      </x:c>
      <x:c r="M367" s="17" t="s">
        <x:v>2097</x:v>
      </x:c>
      <x:c r="N367" s="16"/>
      <x:c r="O367" s="18">
        <x:v>46249</x:v>
      </x:c>
      <x:c r="P367" s="19" t="s">
        <x:v>34</x:v>
      </x:c>
      <x:c r="Q367" s="17"/>
      <x:c r="R367" s="19" t="str">
        <x:f t="shared" si="5"/>
        <x:v>Discovery Link Only</x:v>
      </x:c>
      <x:c r="S367" s="43" t="str">
        <x:v>Unknown</x:v>
      </x:c>
      <x:c r="T367" s="43" t="str">
        <x:v>Unknown</x:v>
      </x:c>
      <x:c r="U367" s="43" t="str">
        <x:v>Unknown</x:v>
      </x:c>
      <x:c r="V367" s="43" t="str">
        <x:v>Unknown</x:v>
      </x:c>
      <x:c r="W367" s="43" t="str">
        <x:v>Unknown</x:v>
      </x:c>
      <x:c r="X367" s="43" t="str">
        <x:v>Unknown</x:v>
      </x:c>
      <x:c r="Y367" s="43" t="str">
        <x:v>Unknown</x:v>
      </x:c>
      <x:c r="Z367" s="43"/>
    </x:row>
    <x:row r="368" ht="60" customHeight="1">
      <x:c r="A368" s="16" t="s">
        <x:v>2167</x:v>
      </x:c>
      <x:c r="B368" s="16" t="s">
        <x:v>2168</x:v>
      </x:c>
      <x:c r="C368" s="16" t="s">
        <x:v>2026</x:v>
      </x:c>
      <x:c r="D368" s="16" t="s">
        <x:v>2169</x:v>
      </x:c>
      <x:c r="E368" s="16" t="s">
        <x:v>72</x:v>
      </x:c>
      <x:c r="F368" s="16" t="s">
        <x:v>121</x:v>
      </x:c>
      <x:c r="G368" s="16" t="s">
        <x:v>26</x:v>
      </x:c>
      <x:c r="H368" s="17" t="s">
        <x:v>2170</x:v>
      </x:c>
      <x:c r="I368" s="17" t="s">
        <x:v>2171</x:v>
      </x:c>
      <x:c r="J368" s="17" t="s">
        <x:v>2172</x:v>
      </x:c>
      <x:c r="K368" s="17" t="s">
        <x:v>2031</x:v>
      </x:c>
      <x:c r="L368" s="17" t="s">
        <x:v>111</x:v>
      </x:c>
      <x:c r="M368" s="17" t="s">
        <x:v>2097</x:v>
      </x:c>
      <x:c r="N368" s="16"/>
      <x:c r="O368" s="18">
        <x:v>46249</x:v>
      </x:c>
      <x:c r="P368" s="19" t="s">
        <x:v>34</x:v>
      </x:c>
      <x:c r="Q368" s="17"/>
      <x:c r="R368" s="19" t="str">
        <x:f t="shared" si="5"/>
        <x:v>Discovery Link Only</x:v>
      </x:c>
      <x:c r="S368" s="43" t="str">
        <x:v>Unknown</x:v>
      </x:c>
      <x:c r="T368" s="43" t="str">
        <x:v>Unknown</x:v>
      </x:c>
      <x:c r="U368" s="43" t="str">
        <x:v>Unknown</x:v>
      </x:c>
      <x:c r="V368" s="43" t="str">
        <x:v>Unknown</x:v>
      </x:c>
      <x:c r="W368" s="43" t="str">
        <x:v>Unknown</x:v>
      </x:c>
      <x:c r="X368" s="43" t="str">
        <x:v>Unknown</x:v>
      </x:c>
      <x:c r="Y368" s="43" t="str">
        <x:v>Unknown</x:v>
      </x:c>
      <x:c r="Z368" s="43"/>
    </x:row>
    <x:row r="369" ht="60" customHeight="1">
      <x:c r="A369" s="16" t="s">
        <x:v>2173</x:v>
      </x:c>
      <x:c r="B369" s="16" t="s">
        <x:v>2174</x:v>
      </x:c>
      <x:c r="C369" s="16" t="s">
        <x:v>2026</x:v>
      </x:c>
      <x:c r="D369" s="16" t="s">
        <x:v>2169</x:v>
      </x:c>
      <x:c r="E369" s="16" t="s">
        <x:v>37</x:v>
      </x:c>
      <x:c r="F369" s="16" t="s">
        <x:v>127</x:v>
      </x:c>
      <x:c r="G369" s="16" t="s">
        <x:v>26</x:v>
      </x:c>
      <x:c r="H369" s="17" t="s">
        <x:v>1958</x:v>
      </x:c>
      <x:c r="I369" s="17" t="s">
        <x:v>2175</x:v>
      </x:c>
      <x:c r="J369" s="17" t="s">
        <x:v>2176</x:v>
      </x:c>
      <x:c r="K369" s="17" t="s">
        <x:v>2031</x:v>
      </x:c>
      <x:c r="L369" s="17" t="s">
        <x:v>111</x:v>
      </x:c>
      <x:c r="M369" s="17" t="s">
        <x:v>2097</x:v>
      </x:c>
      <x:c r="N369" s="16"/>
      <x:c r="O369" s="18">
        <x:v>46249</x:v>
      </x:c>
      <x:c r="P369" s="19" t="s">
        <x:v>34</x:v>
      </x:c>
      <x:c r="Q369" s="17"/>
      <x:c r="R369" s="19" t="str">
        <x:f t="shared" si="5"/>
        <x:v>Discovery Link Only</x:v>
      </x:c>
      <x:c r="S369" s="43" t="str">
        <x:v>Unknown</x:v>
      </x:c>
      <x:c r="T369" s="43" t="str">
        <x:v>Unknown</x:v>
      </x:c>
      <x:c r="U369" s="43" t="str">
        <x:v>Unknown</x:v>
      </x:c>
      <x:c r="V369" s="43" t="str">
        <x:v>Unknown</x:v>
      </x:c>
      <x:c r="W369" s="43" t="str">
        <x:v>Unknown</x:v>
      </x:c>
      <x:c r="X369" s="43" t="str">
        <x:v>Unknown</x:v>
      </x:c>
      <x:c r="Y369" s="43" t="str">
        <x:v>Unknown</x:v>
      </x:c>
      <x:c r="Z369" s="43"/>
    </x:row>
    <x:row r="370" ht="60" customHeight="1">
      <x:c r="A370" s="16" t="s">
        <x:v>2177</x:v>
      </x:c>
      <x:c r="B370" s="16" t="s">
        <x:v>2178</x:v>
      </x:c>
      <x:c r="C370" s="16" t="s">
        <x:v>2026</x:v>
      </x:c>
      <x:c r="D370" s="16" t="s">
        <x:v>2074</x:v>
      </x:c>
      <x:c r="E370" s="16" t="s">
        <x:v>45</x:v>
      </x:c>
      <x:c r="F370" s="16" t="s">
        <x:v>107</x:v>
      </x:c>
      <x:c r="G370" s="16" t="s">
        <x:v>26</x:v>
      </x:c>
      <x:c r="H370" s="17" t="s">
        <x:v>2179</x:v>
      </x:c>
      <x:c r="I370" s="17" t="s">
        <x:v>2180</x:v>
      </x:c>
      <x:c r="J370" s="17" t="s">
        <x:v>2181</x:v>
      </x:c>
      <x:c r="K370" s="17" t="s">
        <x:v>2031</x:v>
      </x:c>
      <x:c r="L370" s="17" t="s">
        <x:v>111</x:v>
      </x:c>
      <x:c r="M370" s="17" t="s">
        <x:v>2097</x:v>
      </x:c>
      <x:c r="N370" s="16"/>
      <x:c r="O370" s="18">
        <x:v>46249</x:v>
      </x:c>
      <x:c r="P370" s="19" t="s">
        <x:v>34</x:v>
      </x:c>
      <x:c r="Q370" s="17"/>
      <x:c r="R370" s="19" t="str">
        <x:f t="shared" si="5"/>
        <x:v>Discovery Link Only</x:v>
      </x:c>
      <x:c r="S370" s="43" t="str">
        <x:v>Unknown</x:v>
      </x:c>
      <x:c r="T370" s="43" t="str">
        <x:v>Unknown</x:v>
      </x:c>
      <x:c r="U370" s="43" t="str">
        <x:v>Unknown</x:v>
      </x:c>
      <x:c r="V370" s="43" t="str">
        <x:v>Unknown</x:v>
      </x:c>
      <x:c r="W370" s="43" t="str">
        <x:v>Unknown</x:v>
      </x:c>
      <x:c r="X370" s="43" t="str">
        <x:v>Unknown</x:v>
      </x:c>
      <x:c r="Y370" s="43" t="str">
        <x:v>Unknown</x:v>
      </x:c>
      <x:c r="Z370" s="43"/>
    </x:row>
    <x:row r="371" ht="60" customHeight="1">
      <x:c r="A371" s="16" t="s">
        <x:v>2182</x:v>
      </x:c>
      <x:c r="B371" s="16" t="s">
        <x:v>2183</x:v>
      </x:c>
      <x:c r="C371" s="16" t="s">
        <x:v>2026</x:v>
      </x:c>
      <x:c r="D371" s="16" t="s">
        <x:v>2074</x:v>
      </x:c>
      <x:c r="E371" s="16" t="s">
        <x:v>37</x:v>
      </x:c>
      <x:c r="F371" s="16" t="s">
        <x:v>107</x:v>
      </x:c>
      <x:c r="G371" s="16" t="s">
        <x:v>26</x:v>
      </x:c>
      <x:c r="H371" s="17" t="s">
        <x:v>2184</x:v>
      </x:c>
      <x:c r="I371" s="17" t="s">
        <x:v>2185</x:v>
      </x:c>
      <x:c r="J371" s="17" t="s">
        <x:v>2186</x:v>
      </x:c>
      <x:c r="K371" s="17" t="s">
        <x:v>2031</x:v>
      </x:c>
      <x:c r="L371" s="17" t="s">
        <x:v>111</x:v>
      </x:c>
      <x:c r="M371" s="17" t="s">
        <x:v>2097</x:v>
      </x:c>
      <x:c r="N371" s="16"/>
      <x:c r="O371" s="18">
        <x:v>46249</x:v>
      </x:c>
      <x:c r="P371" s="19" t="s">
        <x:v>34</x:v>
      </x:c>
      <x:c r="Q371" s="17"/>
      <x:c r="R371" s="19" t="str">
        <x:f t="shared" si="5"/>
        <x:v>Discovery Link Only</x:v>
      </x:c>
      <x:c r="S371" s="43" t="str">
        <x:v>Unknown</x:v>
      </x:c>
      <x:c r="T371" s="43" t="str">
        <x:v>Unknown</x:v>
      </x:c>
      <x:c r="U371" s="43" t="str">
        <x:v>Unknown</x:v>
      </x:c>
      <x:c r="V371" s="43" t="str">
        <x:v>Unknown</x:v>
      </x:c>
      <x:c r="W371" s="43" t="str">
        <x:v>Unknown</x:v>
      </x:c>
      <x:c r="X371" s="43" t="str">
        <x:v>Unknown</x:v>
      </x:c>
      <x:c r="Y371" s="43" t="str">
        <x:v>Unknown</x:v>
      </x:c>
      <x:c r="Z371" s="43"/>
    </x:row>
    <x:row r="372" ht="60" customHeight="1">
      <x:c r="A372" s="16" t="s">
        <x:v>2187</x:v>
      </x:c>
      <x:c r="B372" s="16" t="s">
        <x:v>2188</x:v>
      </x:c>
      <x:c r="C372" s="16" t="s">
        <x:v>2026</x:v>
      </x:c>
      <x:c r="D372" s="16" t="s">
        <x:v>2074</x:v>
      </x:c>
      <x:c r="E372" s="16" t="s">
        <x:v>45</x:v>
      </x:c>
      <x:c r="F372" s="16" t="s">
        <x:v>121</x:v>
      </x:c>
      <x:c r="G372" s="16" t="s">
        <x:v>26</x:v>
      </x:c>
      <x:c r="H372" s="17" t="s">
        <x:v>244</x:v>
      </x:c>
      <x:c r="I372" s="17" t="s">
        <x:v>2189</x:v>
      </x:c>
      <x:c r="J372" s="17" t="s">
        <x:v>2190</x:v>
      </x:c>
      <x:c r="K372" s="17" t="s">
        <x:v>2031</x:v>
      </x:c>
      <x:c r="L372" s="17" t="s">
        <x:v>111</x:v>
      </x:c>
      <x:c r="M372" s="17" t="s">
        <x:v>2097</x:v>
      </x:c>
      <x:c r="N372" s="16"/>
      <x:c r="O372" s="18">
        <x:v>46249</x:v>
      </x:c>
      <x:c r="P372" s="19" t="s">
        <x:v>34</x:v>
      </x:c>
      <x:c r="Q372" s="17"/>
      <x:c r="R372" s="19" t="str">
        <x:f t="shared" si="5"/>
        <x:v>Discovery Link Only</x:v>
      </x:c>
      <x:c r="S372" s="43" t="str">
        <x:v>Unknown</x:v>
      </x:c>
      <x:c r="T372" s="43" t="str">
        <x:v>Unknown</x:v>
      </x:c>
      <x:c r="U372" s="43" t="str">
        <x:v>Unknown</x:v>
      </x:c>
      <x:c r="V372" s="43" t="str">
        <x:v>Unknown</x:v>
      </x:c>
      <x:c r="W372" s="43" t="str">
        <x:v>Unknown</x:v>
      </x:c>
      <x:c r="X372" s="43" t="str">
        <x:v>Unknown</x:v>
      </x:c>
      <x:c r="Y372" s="43" t="str">
        <x:v>Unknown</x:v>
      </x:c>
      <x:c r="Z372" s="43"/>
    </x:row>
    <x:row r="373" ht="60" customHeight="1">
      <x:c r="A373" s="16" t="s">
        <x:v>2191</x:v>
      </x:c>
      <x:c r="B373" s="16" t="s">
        <x:v>2192</x:v>
      </x:c>
      <x:c r="C373" s="16" t="s">
        <x:v>2026</x:v>
      </x:c>
      <x:c r="D373" s="16" t="s">
        <x:v>2074</x:v>
      </x:c>
      <x:c r="E373" s="16" t="s">
        <x:v>37</x:v>
      </x:c>
      <x:c r="F373" s="16" t="s">
        <x:v>194</x:v>
      </x:c>
      <x:c r="G373" s="16" t="s">
        <x:v>26</x:v>
      </x:c>
      <x:c r="H373" s="17" t="s">
        <x:v>2193</x:v>
      </x:c>
      <x:c r="I373" s="17" t="s">
        <x:v>2194</x:v>
      </x:c>
      <x:c r="J373" s="17" t="s">
        <x:v>2195</x:v>
      </x:c>
      <x:c r="K373" s="17" t="s">
        <x:v>2031</x:v>
      </x:c>
      <x:c r="L373" s="17" t="s">
        <x:v>111</x:v>
      </x:c>
      <x:c r="M373" s="17" t="s">
        <x:v>2097</x:v>
      </x:c>
      <x:c r="N373" s="16"/>
      <x:c r="O373" s="18">
        <x:v>46249</x:v>
      </x:c>
      <x:c r="P373" s="19" t="s">
        <x:v>34</x:v>
      </x:c>
      <x:c r="Q373" s="17"/>
      <x:c r="R373" s="19" t="str">
        <x:f t="shared" si="5"/>
        <x:v>Discovery Link Only</x:v>
      </x:c>
      <x:c r="S373" s="43" t="str">
        <x:v>Unknown</x:v>
      </x:c>
      <x:c r="T373" s="43" t="str">
        <x:v>Unknown</x:v>
      </x:c>
      <x:c r="U373" s="43" t="str">
        <x:v>Unknown</x:v>
      </x:c>
      <x:c r="V373" s="43" t="str">
        <x:v>Unknown</x:v>
      </x:c>
      <x:c r="W373" s="43" t="str">
        <x:v>Unknown</x:v>
      </x:c>
      <x:c r="X373" s="43" t="str">
        <x:v>Unknown</x:v>
      </x:c>
      <x:c r="Y373" s="43" t="str">
        <x:v>Unknown</x:v>
      </x:c>
      <x:c r="Z373" s="43"/>
    </x:row>
    <x:row r="374" ht="60" customHeight="1">
      <x:c r="A374" s="16" t="s">
        <x:v>2196</x:v>
      </x:c>
      <x:c r="B374" s="16" t="s">
        <x:v>2197</x:v>
      </x:c>
      <x:c r="C374" s="16" t="s">
        <x:v>2026</x:v>
      </x:c>
      <x:c r="D374" s="16" t="s">
        <x:v>2198</x:v>
      </x:c>
      <x:c r="E374" s="16" t="s">
        <x:v>37</x:v>
      </x:c>
      <x:c r="F374" s="16" t="s">
        <x:v>107</x:v>
      </x:c>
      <x:c r="G374" s="16" t="s">
        <x:v>26</x:v>
      </x:c>
      <x:c r="H374" s="17" t="s">
        <x:v>2199</x:v>
      </x:c>
      <x:c r="I374" s="17" t="s">
        <x:v>2200</x:v>
      </x:c>
      <x:c r="J374" s="17" t="s">
        <x:v>2201</x:v>
      </x:c>
      <x:c r="K374" s="17" t="s">
        <x:v>2031</x:v>
      </x:c>
      <x:c r="L374" s="17" t="s">
        <x:v>111</x:v>
      </x:c>
      <x:c r="M374" s="17" t="s">
        <x:v>2097</x:v>
      </x:c>
      <x:c r="N374" s="16"/>
      <x:c r="O374" s="18">
        <x:v>46249</x:v>
      </x:c>
      <x:c r="P374" s="19" t="s">
        <x:v>34</x:v>
      </x:c>
      <x:c r="Q374" s="17"/>
      <x:c r="R374" s="19" t="str">
        <x:f t="shared" si="5"/>
        <x:v>Discovery Link Only</x:v>
      </x:c>
      <x:c r="S374" s="43" t="str">
        <x:v>Unknown</x:v>
      </x:c>
      <x:c r="T374" s="43" t="str">
        <x:v>Unknown</x:v>
      </x:c>
      <x:c r="U374" s="43" t="str">
        <x:v>Unknown</x:v>
      </x:c>
      <x:c r="V374" s="43" t="str">
        <x:v>Unknown</x:v>
      </x:c>
      <x:c r="W374" s="43" t="str">
        <x:v>Unknown</x:v>
      </x:c>
      <x:c r="X374" s="43" t="str">
        <x:v>Unknown</x:v>
      </x:c>
      <x:c r="Y374" s="43" t="str">
        <x:v>Unknown</x:v>
      </x:c>
      <x:c r="Z374" s="43"/>
    </x:row>
    <x:row r="375" ht="60" customHeight="1">
      <x:c r="A375" s="16" t="s">
        <x:v>2202</x:v>
      </x:c>
      <x:c r="B375" s="16" t="s">
        <x:v>2203</x:v>
      </x:c>
      <x:c r="C375" s="16" t="s">
        <x:v>2204</x:v>
      </x:c>
      <x:c r="D375" s="16" t="s">
        <x:v>2205</x:v>
      </x:c>
      <x:c r="E375" s="16" t="s">
        <x:v>37</x:v>
      </x:c>
      <x:c r="F375" s="16" t="s">
        <x:v>25</x:v>
      </x:c>
      <x:c r="G375" s="16" t="s">
        <x:v>46</x:v>
      </x:c>
      <x:c r="H375" s="17" t="s">
        <x:v>2206</x:v>
      </x:c>
      <x:c r="I375" s="17" t="s">
        <x:v>2207</x:v>
      </x:c>
      <x:c r="J375" s="17" t="s">
        <x:v>2208</x:v>
      </x:c>
      <x:c r="K375" s="17" t="s">
        <x:v>2209</x:v>
      </x:c>
      <x:c r="L375" s="17" t="s">
        <x:v>58</x:v>
      </x:c>
      <x:c r="M375" s="17" t="s">
        <x:v>256</x:v>
      </x:c>
      <x:c r="N375" s="16" t="s">
        <x:v>2210</x:v>
      </x:c>
      <x:c r="O375" s="18">
        <x:v>46249</x:v>
      </x:c>
      <x:c r="P375" s="19" t="s">
        <x:v>34</x:v>
      </x:c>
      <x:c r="Q375" s="17"/>
      <x:c r="R375" s="19" t="str">
        <x:f t="shared" si="5"/>
        <x:v>Source Link Present</x:v>
      </x:c>
      <x:c r="S375" s="43" t="str">
        <x:v>Unknown</x:v>
      </x:c>
      <x:c r="T375" s="43" t="str">
        <x:v>Unknown</x:v>
      </x:c>
      <x:c r="U375" s="43" t="str">
        <x:v>Unknown</x:v>
      </x:c>
      <x:c r="V375" s="43" t="str">
        <x:v>Unknown</x:v>
      </x:c>
      <x:c r="W375" s="43" t="str">
        <x:v>Unknown</x:v>
      </x:c>
      <x:c r="X375" s="43" t="str">
        <x:v>Unknown</x:v>
      </x:c>
      <x:c r="Y375" s="43" t="str">
        <x:v>Unknown</x:v>
      </x:c>
      <x:c r="Z375" s="43"/>
    </x:row>
    <x:row r="376" ht="60" customHeight="1">
      <x:c r="A376" s="16" t="s">
        <x:v>2211</x:v>
      </x:c>
      <x:c r="B376" s="16" t="s">
        <x:v>2212</x:v>
      </x:c>
      <x:c r="C376" s="16" t="s">
        <x:v>2204</x:v>
      </x:c>
      <x:c r="D376" s="16" t="s">
        <x:v>2213</x:v>
      </x:c>
      <x:c r="E376" s="16" t="s">
        <x:v>140</x:v>
      </x:c>
      <x:c r="F376" s="16" t="s">
        <x:v>25</x:v>
      </x:c>
      <x:c r="G376" s="16" t="s">
        <x:v>46</x:v>
      </x:c>
      <x:c r="H376" s="17" t="s">
        <x:v>2214</x:v>
      </x:c>
      <x:c r="I376" s="17" t="s">
        <x:v>2215</x:v>
      </x:c>
      <x:c r="J376" s="17" t="s">
        <x:v>2216</x:v>
      </x:c>
      <x:c r="K376" s="17" t="s">
        <x:v>2209</x:v>
      </x:c>
      <x:c r="L376" s="17" t="s">
        <x:v>58</x:v>
      </x:c>
      <x:c r="M376" s="17" t="s">
        <x:v>256</x:v>
      </x:c>
      <x:c r="N376" s="16" t="s">
        <x:v>2217</x:v>
      </x:c>
      <x:c r="O376" s="18">
        <x:v>46249</x:v>
      </x:c>
      <x:c r="P376" s="19" t="s">
        <x:v>34</x:v>
      </x:c>
      <x:c r="Q376" s="17"/>
      <x:c r="R376" s="19" t="str">
        <x:f t="shared" si="5"/>
        <x:v>Discovery Link Only</x:v>
      </x:c>
      <x:c r="S376" s="43" t="str">
        <x:v>Unknown</x:v>
      </x:c>
      <x:c r="T376" s="43" t="str">
        <x:v>Unknown</x:v>
      </x:c>
      <x:c r="U376" s="43" t="str">
        <x:v>Unknown</x:v>
      </x:c>
      <x:c r="V376" s="43" t="str">
        <x:v>Unknown</x:v>
      </x:c>
      <x:c r="W376" s="43" t="str">
        <x:v>Unknown</x:v>
      </x:c>
      <x:c r="X376" s="43" t="str">
        <x:v>Unknown</x:v>
      </x:c>
      <x:c r="Y376" s="43" t="str">
        <x:v>Unknown</x:v>
      </x:c>
      <x:c r="Z376" s="43"/>
    </x:row>
    <x:row r="377" ht="60" customHeight="1">
      <x:c r="A377" s="16" t="s">
        <x:v>2218</x:v>
      </x:c>
      <x:c r="B377" s="16" t="s">
        <x:v>2219</x:v>
      </x:c>
      <x:c r="C377" s="16" t="s">
        <x:v>2204</x:v>
      </x:c>
      <x:c r="D377" s="16" t="s">
        <x:v>2213</x:v>
      </x:c>
      <x:c r="E377" s="16" t="s">
        <x:v>24</x:v>
      </x:c>
      <x:c r="F377" s="16" t="s">
        <x:v>25</x:v>
      </x:c>
      <x:c r="G377" s="16" t="s">
        <x:v>26</x:v>
      </x:c>
      <x:c r="H377" s="17" t="s">
        <x:v>2220</x:v>
      </x:c>
      <x:c r="I377" s="17" t="s">
        <x:v>2221</x:v>
      </x:c>
      <x:c r="J377" s="17" t="s">
        <x:v>2222</x:v>
      </x:c>
      <x:c r="K377" s="17" t="s">
        <x:v>2209</x:v>
      </x:c>
      <x:c r="L377" s="17" t="s">
        <x:v>58</x:v>
      </x:c>
      <x:c r="M377" s="17" t="s">
        <x:v>256</x:v>
      </x:c>
      <x:c r="N377" s="16" t="s">
        <x:v>2223</x:v>
      </x:c>
      <x:c r="O377" s="18">
        <x:v>46249</x:v>
      </x:c>
      <x:c r="P377" s="19" t="s">
        <x:v>34</x:v>
      </x:c>
      <x:c r="Q377" s="17"/>
      <x:c r="R377" s="19" t="str">
        <x:f t="shared" si="5"/>
        <x:v>Discovery Link Only</x:v>
      </x:c>
      <x:c r="S377" s="43" t="str">
        <x:v>Unknown</x:v>
      </x:c>
      <x:c r="T377" s="43" t="str">
        <x:v>Unknown</x:v>
      </x:c>
      <x:c r="U377" s="43" t="str">
        <x:v>Unknown</x:v>
      </x:c>
      <x:c r="V377" s="43" t="str">
        <x:v>Unknown</x:v>
      </x:c>
      <x:c r="W377" s="43" t="str">
        <x:v>Unknown</x:v>
      </x:c>
      <x:c r="X377" s="43" t="str">
        <x:v>Unknown</x:v>
      </x:c>
      <x:c r="Y377" s="43" t="str">
        <x:v>Unknown</x:v>
      </x:c>
      <x:c r="Z377" s="43"/>
    </x:row>
    <x:row r="378" ht="60" customHeight="1">
      <x:c r="A378" s="16" t="s">
        <x:v>2224</x:v>
      </x:c>
      <x:c r="B378" s="16" t="s">
        <x:v>2225</x:v>
      </x:c>
      <x:c r="C378" s="16" t="s">
        <x:v>2204</x:v>
      </x:c>
      <x:c r="D378" s="16" t="s">
        <x:v>2213</x:v>
      </x:c>
      <x:c r="E378" s="16" t="s">
        <x:v>54</x:v>
      </x:c>
      <x:c r="F378" s="16" t="s">
        <x:v>25</x:v>
      </x:c>
      <x:c r="G378" s="16" t="s">
        <x:v>134</x:v>
      </x:c>
      <x:c r="H378" s="17" t="s">
        <x:v>292</x:v>
      </x:c>
      <x:c r="I378" s="17" t="s">
        <x:v>2226</x:v>
      </x:c>
      <x:c r="J378" s="17" t="s">
        <x:v>2227</x:v>
      </x:c>
      <x:c r="K378" s="17" t="s">
        <x:v>2209</x:v>
      </x:c>
      <x:c r="L378" s="17" t="s">
        <x:v>58</x:v>
      </x:c>
      <x:c r="M378" s="17" t="s">
        <x:v>256</x:v>
      </x:c>
      <x:c r="N378" s="16" t="s">
        <x:v>2228</x:v>
      </x:c>
      <x:c r="O378" s="18">
        <x:v>46249</x:v>
      </x:c>
      <x:c r="P378" s="19" t="s">
        <x:v>34</x:v>
      </x:c>
      <x:c r="Q378" s="17"/>
      <x:c r="R378" s="19" t="str">
        <x:f t="shared" si="5"/>
        <x:v>Discovery Link Only</x:v>
      </x:c>
      <x:c r="S378" s="43" t="str">
        <x:v>Unknown</x:v>
      </x:c>
      <x:c r="T378" s="43" t="str">
        <x:v>Unknown</x:v>
      </x:c>
      <x:c r="U378" s="43" t="str">
        <x:v>Unknown</x:v>
      </x:c>
      <x:c r="V378" s="43" t="str">
        <x:v>Unknown</x:v>
      </x:c>
      <x:c r="W378" s="43" t="str">
        <x:v>Unknown</x:v>
      </x:c>
      <x:c r="X378" s="43" t="str">
        <x:v>Unknown</x:v>
      </x:c>
      <x:c r="Y378" s="43" t="str">
        <x:v>Unknown</x:v>
      </x:c>
      <x:c r="Z378" s="43"/>
    </x:row>
    <x:row r="379" ht="60" customHeight="1">
      <x:c r="A379" s="16" t="s">
        <x:v>2229</x:v>
      </x:c>
      <x:c r="B379" s="16" t="s">
        <x:v>2230</x:v>
      </x:c>
      <x:c r="C379" s="16" t="s">
        <x:v>2204</x:v>
      </x:c>
      <x:c r="D379" s="16" t="s">
        <x:v>2231</x:v>
      </x:c>
      <x:c r="E379" s="16" t="s">
        <x:v>151</x:v>
      </x:c>
      <x:c r="F379" s="16" t="s">
        <x:v>121</x:v>
      </x:c>
      <x:c r="G379" s="16" t="s">
        <x:v>134</x:v>
      </x:c>
      <x:c r="H379" s="17" t="s">
        <x:v>2232</x:v>
      </x:c>
      <x:c r="I379" s="17" t="s">
        <x:v>2233</x:v>
      </x:c>
      <x:c r="J379" s="17" t="s">
        <x:v>2234</x:v>
      </x:c>
      <x:c r="K379" s="17" t="s">
        <x:v>2209</x:v>
      </x:c>
      <x:c r="L379" s="17" t="s">
        <x:v>58</x:v>
      </x:c>
      <x:c r="M379" s="17" t="s">
        <x:v>256</x:v>
      </x:c>
      <x:c r="N379" s="16" t="s">
        <x:v>2235</x:v>
      </x:c>
      <x:c r="O379" s="18">
        <x:v>46249</x:v>
      </x:c>
      <x:c r="P379" s="19" t="s">
        <x:v>34</x:v>
      </x:c>
      <x:c r="Q379" s="17"/>
      <x:c r="R379" s="19" t="str">
        <x:f t="shared" si="5"/>
        <x:v>Discovery Link Only</x:v>
      </x:c>
      <x:c r="S379" s="43" t="str">
        <x:v>Unknown</x:v>
      </x:c>
      <x:c r="T379" s="43" t="str">
        <x:v>Unknown</x:v>
      </x:c>
      <x:c r="U379" s="43" t="str">
        <x:v>Unknown</x:v>
      </x:c>
      <x:c r="V379" s="43" t="str">
        <x:v>Unknown</x:v>
      </x:c>
      <x:c r="W379" s="43" t="str">
        <x:v>Unknown</x:v>
      </x:c>
      <x:c r="X379" s="43" t="str">
        <x:v>Unknown</x:v>
      </x:c>
      <x:c r="Y379" s="43" t="str">
        <x:v>Unknown</x:v>
      </x:c>
      <x:c r="Z379" s="43"/>
    </x:row>
    <x:row r="380" ht="60" customHeight="1">
      <x:c r="A380" s="16" t="s">
        <x:v>2236</x:v>
      </x:c>
      <x:c r="B380" s="16" t="s">
        <x:v>2237</x:v>
      </x:c>
      <x:c r="C380" s="16" t="s">
        <x:v>2204</x:v>
      </x:c>
      <x:c r="D380" s="16" t="s">
        <x:v>2238</x:v>
      </x:c>
      <x:c r="E380" s="16" t="s">
        <x:v>394</x:v>
      </x:c>
      <x:c r="F380" s="16" t="s">
        <x:v>25</x:v>
      </x:c>
      <x:c r="G380" s="16" t="s">
        <x:v>26</x:v>
      </x:c>
      <x:c r="H380" s="17" t="s">
        <x:v>2239</x:v>
      </x:c>
      <x:c r="I380" s="17" t="s">
        <x:v>2240</x:v>
      </x:c>
      <x:c r="J380" s="17" t="s">
        <x:v>2241</x:v>
      </x:c>
      <x:c r="K380" s="17" t="s">
        <x:v>2209</x:v>
      </x:c>
      <x:c r="L380" s="17" t="s">
        <x:v>58</x:v>
      </x:c>
      <x:c r="M380" s="17" t="s">
        <x:v>256</x:v>
      </x:c>
      <x:c r="N380" s="16" t="s">
        <x:v>2242</x:v>
      </x:c>
      <x:c r="O380" s="18">
        <x:v>46249</x:v>
      </x:c>
      <x:c r="P380" s="19" t="s">
        <x:v>34</x:v>
      </x:c>
      <x:c r="Q380" s="17"/>
      <x:c r="R380" s="19" t="str">
        <x:f t="shared" si="5"/>
        <x:v>Discovery Link Only</x:v>
      </x:c>
      <x:c r="S380" s="43" t="str">
        <x:v>Unknown</x:v>
      </x:c>
      <x:c r="T380" s="43" t="str">
        <x:v>Unknown</x:v>
      </x:c>
      <x:c r="U380" s="43" t="str">
        <x:v>Unknown</x:v>
      </x:c>
      <x:c r="V380" s="43" t="str">
        <x:v>Unknown</x:v>
      </x:c>
      <x:c r="W380" s="43" t="str">
        <x:v>Unknown</x:v>
      </x:c>
      <x:c r="X380" s="43" t="str">
        <x:v>Unknown</x:v>
      </x:c>
      <x:c r="Y380" s="43" t="str">
        <x:v>Unknown</x:v>
      </x:c>
      <x:c r="Z380" s="43"/>
    </x:row>
    <x:row r="381" ht="60" customHeight="1">
      <x:c r="A381" s="16" t="s">
        <x:v>2243</x:v>
      </x:c>
      <x:c r="B381" s="16" t="s">
        <x:v>2244</x:v>
      </x:c>
      <x:c r="C381" s="16" t="s">
        <x:v>2204</x:v>
      </x:c>
      <x:c r="D381" s="16" t="s">
        <x:v>2238</x:v>
      </x:c>
      <x:c r="E381" s="16" t="s">
        <x:v>133</x:v>
      </x:c>
      <x:c r="F381" s="16" t="s">
        <x:v>25</x:v>
      </x:c>
      <x:c r="G381" s="16" t="s">
        <x:v>134</x:v>
      </x:c>
      <x:c r="H381" s="17" t="s">
        <x:v>2245</x:v>
      </x:c>
      <x:c r="I381" s="17" t="s">
        <x:v>2246</x:v>
      </x:c>
      <x:c r="J381" s="17" t="s">
        <x:v>2247</x:v>
      </x:c>
      <x:c r="K381" s="17" t="s">
        <x:v>2209</x:v>
      </x:c>
      <x:c r="L381" s="17" t="s">
        <x:v>58</x:v>
      </x:c>
      <x:c r="M381" s="17" t="s">
        <x:v>256</x:v>
      </x:c>
      <x:c r="N381" s="16" t="s">
        <x:v>2248</x:v>
      </x:c>
      <x:c r="O381" s="18">
        <x:v>46249</x:v>
      </x:c>
      <x:c r="P381" s="19" t="s">
        <x:v>34</x:v>
      </x:c>
      <x:c r="Q381" s="17"/>
      <x:c r="R381" s="19" t="str">
        <x:f t="shared" si="5"/>
        <x:v>Discovery Link Only</x:v>
      </x:c>
      <x:c r="S381" s="43" t="str">
        <x:v>Unknown</x:v>
      </x:c>
      <x:c r="T381" s="43" t="str">
        <x:v>Unknown</x:v>
      </x:c>
      <x:c r="U381" s="43" t="str">
        <x:v>Unknown</x:v>
      </x:c>
      <x:c r="V381" s="43" t="str">
        <x:v>Unknown</x:v>
      </x:c>
      <x:c r="W381" s="43" t="str">
        <x:v>Unknown</x:v>
      </x:c>
      <x:c r="X381" s="43" t="str">
        <x:v>Unknown</x:v>
      </x:c>
      <x:c r="Y381" s="43" t="str">
        <x:v>Unknown</x:v>
      </x:c>
      <x:c r="Z381" s="43"/>
    </x:row>
    <x:row r="382" ht="60" customHeight="1">
      <x:c r="A382" s="16" t="s">
        <x:v>2249</x:v>
      </x:c>
      <x:c r="B382" s="16" t="s">
        <x:v>2250</x:v>
      </x:c>
      <x:c r="C382" s="16" t="s">
        <x:v>2204</x:v>
      </x:c>
      <x:c r="D382" s="16" t="s">
        <x:v>2251</x:v>
      </x:c>
      <x:c r="E382" s="16" t="s">
        <x:v>133</x:v>
      </x:c>
      <x:c r="F382" s="16" t="s">
        <x:v>25</x:v>
      </x:c>
      <x:c r="G382" s="16" t="s">
        <x:v>134</x:v>
      </x:c>
      <x:c r="H382" s="17" t="s">
        <x:v>2252</x:v>
      </x:c>
      <x:c r="I382" s="17" t="s">
        <x:v>2253</x:v>
      </x:c>
      <x:c r="J382" s="17" t="s">
        <x:v>2254</x:v>
      </x:c>
      <x:c r="K382" s="17" t="s">
        <x:v>2209</x:v>
      </x:c>
      <x:c r="L382" s="17" t="s">
        <x:v>58</x:v>
      </x:c>
      <x:c r="M382" s="17" t="s">
        <x:v>256</x:v>
      </x:c>
      <x:c r="N382" s="16" t="s">
        <x:v>2255</x:v>
      </x:c>
      <x:c r="O382" s="18">
        <x:v>46249</x:v>
      </x:c>
      <x:c r="P382" s="19" t="s">
        <x:v>34</x:v>
      </x:c>
      <x:c r="Q382" s="17"/>
      <x:c r="R382" s="19" t="str">
        <x:f t="shared" si="5"/>
        <x:v>Discovery Link Only</x:v>
      </x:c>
      <x:c r="S382" s="43" t="str">
        <x:v>Unknown</x:v>
      </x:c>
      <x:c r="T382" s="43" t="str">
        <x:v>Unknown</x:v>
      </x:c>
      <x:c r="U382" s="43" t="str">
        <x:v>Unknown</x:v>
      </x:c>
      <x:c r="V382" s="43" t="str">
        <x:v>Unknown</x:v>
      </x:c>
      <x:c r="W382" s="43" t="str">
        <x:v>Unknown</x:v>
      </x:c>
      <x:c r="X382" s="43" t="str">
        <x:v>Unknown</x:v>
      </x:c>
      <x:c r="Y382" s="43" t="str">
        <x:v>Unknown</x:v>
      </x:c>
      <x:c r="Z382" s="43"/>
    </x:row>
    <x:row r="383" ht="60" customHeight="1">
      <x:c r="A383" s="16" t="s">
        <x:v>2256</x:v>
      </x:c>
      <x:c r="B383" s="16" t="s">
        <x:v>2257</x:v>
      </x:c>
      <x:c r="C383" s="16" t="s">
        <x:v>2204</x:v>
      </x:c>
      <x:c r="D383" s="16" t="s">
        <x:v>2258</x:v>
      </x:c>
      <x:c r="E383" s="16" t="s">
        <x:v>106</x:v>
      </x:c>
      <x:c r="F383" s="16" t="s">
        <x:v>25</x:v>
      </x:c>
      <x:c r="G383" s="16" t="s">
        <x:v>46</x:v>
      </x:c>
      <x:c r="H383" s="17" t="s">
        <x:v>2259</x:v>
      </x:c>
      <x:c r="I383" s="17" t="s">
        <x:v>2260</x:v>
      </x:c>
      <x:c r="J383" s="17" t="s">
        <x:v>2261</x:v>
      </x:c>
      <x:c r="K383" s="17" t="s">
        <x:v>2209</x:v>
      </x:c>
      <x:c r="L383" s="17" t="s">
        <x:v>58</x:v>
      </x:c>
      <x:c r="M383" s="17" t="s">
        <x:v>256</x:v>
      </x:c>
      <x:c r="N383" s="16" t="s">
        <x:v>2262</x:v>
      </x:c>
      <x:c r="O383" s="18">
        <x:v>46249</x:v>
      </x:c>
      <x:c r="P383" s="19" t="s">
        <x:v>34</x:v>
      </x:c>
      <x:c r="Q383" s="17"/>
      <x:c r="R383" s="19" t="str">
        <x:f t="shared" si="5"/>
        <x:v>Discovery Link Only</x:v>
      </x:c>
      <x:c r="S383" s="43" t="str">
        <x:v>Unknown</x:v>
      </x:c>
      <x:c r="T383" s="43" t="str">
        <x:v>Unknown</x:v>
      </x:c>
      <x:c r="U383" s="43" t="str">
        <x:v>Unknown</x:v>
      </x:c>
      <x:c r="V383" s="43" t="str">
        <x:v>Unknown</x:v>
      </x:c>
      <x:c r="W383" s="43" t="str">
        <x:v>Unknown</x:v>
      </x:c>
      <x:c r="X383" s="43" t="str">
        <x:v>Unknown</x:v>
      </x:c>
      <x:c r="Y383" s="43" t="str">
        <x:v>Unknown</x:v>
      </x:c>
      <x:c r="Z383" s="43"/>
    </x:row>
    <x:row r="384" ht="60" customHeight="1">
      <x:c r="A384" s="16" t="s">
        <x:v>2263</x:v>
      </x:c>
      <x:c r="B384" s="16" t="s">
        <x:v>2264</x:v>
      </x:c>
      <x:c r="C384" s="16" t="s">
        <x:v>2204</x:v>
      </x:c>
      <x:c r="D384" s="16" t="s">
        <x:v>2265</x:v>
      </x:c>
      <x:c r="E384" s="16" t="s">
        <x:v>162</x:v>
      </x:c>
      <x:c r="F384" s="16" t="s">
        <x:v>121</x:v>
      </x:c>
      <x:c r="G384" s="16" t="s">
        <x:v>26</x:v>
      </x:c>
      <x:c r="H384" s="17" t="s">
        <x:v>2266</x:v>
      </x:c>
      <x:c r="I384" s="17" t="s">
        <x:v>2267</x:v>
      </x:c>
      <x:c r="J384" s="17" t="s">
        <x:v>2268</x:v>
      </x:c>
      <x:c r="K384" s="17" t="s">
        <x:v>2209</x:v>
      </x:c>
      <x:c r="L384" s="17" t="s">
        <x:v>58</x:v>
      </x:c>
      <x:c r="M384" s="17" t="s">
        <x:v>256</x:v>
      </x:c>
      <x:c r="N384" s="16" t="s">
        <x:v>2269</x:v>
      </x:c>
      <x:c r="O384" s="18">
        <x:v>46249</x:v>
      </x:c>
      <x:c r="P384" s="19" t="s">
        <x:v>34</x:v>
      </x:c>
      <x:c r="Q384" s="17"/>
      <x:c r="R384" s="19" t="str">
        <x:f t="shared" si="5"/>
        <x:v>Discovery Link Only</x:v>
      </x:c>
      <x:c r="S384" s="43" t="str">
        <x:v>Unknown</x:v>
      </x:c>
      <x:c r="T384" s="43" t="str">
        <x:v>Unknown</x:v>
      </x:c>
      <x:c r="U384" s="43" t="str">
        <x:v>Unknown</x:v>
      </x:c>
      <x:c r="V384" s="43" t="str">
        <x:v>Unknown</x:v>
      </x:c>
      <x:c r="W384" s="43" t="str">
        <x:v>Unknown</x:v>
      </x:c>
      <x:c r="X384" s="43" t="str">
        <x:v>Unknown</x:v>
      </x:c>
      <x:c r="Y384" s="43" t="str">
        <x:v>Unknown</x:v>
      </x:c>
      <x:c r="Z384" s="43"/>
    </x:row>
    <x:row r="385" ht="60" customHeight="1">
      <x:c r="A385" s="16" t="s">
        <x:v>2270</x:v>
      </x:c>
      <x:c r="B385" s="16" t="s">
        <x:v>2271</x:v>
      </x:c>
      <x:c r="C385" s="16" t="s">
        <x:v>2204</x:v>
      </x:c>
      <x:c r="D385" s="16" t="s">
        <x:v>2265</x:v>
      </x:c>
      <x:c r="E385" s="16" t="s">
        <x:v>151</x:v>
      </x:c>
      <x:c r="F385" s="16" t="s">
        <x:v>107</x:v>
      </x:c>
      <x:c r="G385" s="16" t="s">
        <x:v>134</x:v>
      </x:c>
      <x:c r="H385" s="17" t="s">
        <x:v>2272</x:v>
      </x:c>
      <x:c r="I385" s="17" t="s">
        <x:v>2273</x:v>
      </x:c>
      <x:c r="J385" s="17" t="s">
        <x:v>2274</x:v>
      </x:c>
      <x:c r="K385" s="17" t="s">
        <x:v>2209</x:v>
      </x:c>
      <x:c r="L385" s="17" t="s">
        <x:v>111</x:v>
      </x:c>
      <x:c r="M385" s="17" t="s">
        <x:v>2275</x:v>
      </x:c>
      <x:c r="N385" s="16"/>
      <x:c r="O385" s="18">
        <x:v>46249</x:v>
      </x:c>
      <x:c r="P385" s="19" t="s">
        <x:v>34</x:v>
      </x:c>
      <x:c r="Q385" s="17"/>
      <x:c r="R385" s="19" t="str">
        <x:f t="shared" si="5"/>
        <x:v>Discovery Link Only</x:v>
      </x:c>
      <x:c r="S385" s="43" t="str">
        <x:v>Unknown</x:v>
      </x:c>
      <x:c r="T385" s="43" t="str">
        <x:v>Unknown</x:v>
      </x:c>
      <x:c r="U385" s="43" t="str">
        <x:v>Unknown</x:v>
      </x:c>
      <x:c r="V385" s="43" t="str">
        <x:v>Unknown</x:v>
      </x:c>
      <x:c r="W385" s="43" t="str">
        <x:v>Unknown</x:v>
      </x:c>
      <x:c r="X385" s="43" t="str">
        <x:v>Unknown</x:v>
      </x:c>
      <x:c r="Y385" s="43" t="str">
        <x:v>Unknown</x:v>
      </x:c>
      <x:c r="Z385" s="43"/>
    </x:row>
    <x:row r="386" ht="60" customHeight="1">
      <x:c r="A386" s="16" t="s">
        <x:v>2276</x:v>
      </x:c>
      <x:c r="B386" s="16" t="s">
        <x:v>2277</x:v>
      </x:c>
      <x:c r="C386" s="16" t="s">
        <x:v>2204</x:v>
      </x:c>
      <x:c r="D386" s="16" t="s">
        <x:v>2278</x:v>
      </x:c>
      <x:c r="E386" s="16" t="s">
        <x:v>151</x:v>
      </x:c>
      <x:c r="F386" s="16" t="s">
        <x:v>107</x:v>
      </x:c>
      <x:c r="G386" s="16" t="s">
        <x:v>134</x:v>
      </x:c>
      <x:c r="H386" s="17" t="s">
        <x:v>2279</x:v>
      </x:c>
      <x:c r="I386" s="17" t="s">
        <x:v>2280</x:v>
      </x:c>
      <x:c r="J386" s="17" t="s">
        <x:v>2281</x:v>
      </x:c>
      <x:c r="K386" s="17" t="s">
        <x:v>2209</x:v>
      </x:c>
      <x:c r="L386" s="17" t="s">
        <x:v>111</x:v>
      </x:c>
      <x:c r="M386" s="17" t="s">
        <x:v>2275</x:v>
      </x:c>
      <x:c r="N386" s="16"/>
      <x:c r="O386" s="18">
        <x:v>46249</x:v>
      </x:c>
      <x:c r="P386" s="19" t="s">
        <x:v>34</x:v>
      </x:c>
      <x:c r="Q386" s="17"/>
      <x:c r="R386" s="19" t="str">
        <x:f t="shared" si="5"/>
        <x:v>Discovery Link Only</x:v>
      </x:c>
      <x:c r="S386" s="43" t="str">
        <x:v>Unknown</x:v>
      </x:c>
      <x:c r="T386" s="43" t="str">
        <x:v>Unknown</x:v>
      </x:c>
      <x:c r="U386" s="43" t="str">
        <x:v>Unknown</x:v>
      </x:c>
      <x:c r="V386" s="43" t="str">
        <x:v>Unknown</x:v>
      </x:c>
      <x:c r="W386" s="43" t="str">
        <x:v>Unknown</x:v>
      </x:c>
      <x:c r="X386" s="43" t="str">
        <x:v>Unknown</x:v>
      </x:c>
      <x:c r="Y386" s="43" t="str">
        <x:v>Unknown</x:v>
      </x:c>
      <x:c r="Z386" s="43"/>
    </x:row>
    <x:row r="387" ht="60" customHeight="1">
      <x:c r="A387" s="16" t="s">
        <x:v>2282</x:v>
      </x:c>
      <x:c r="B387" s="16" t="s">
        <x:v>2283</x:v>
      </x:c>
      <x:c r="C387" s="16" t="s">
        <x:v>2204</x:v>
      </x:c>
      <x:c r="D387" s="16" t="s">
        <x:v>2278</x:v>
      </x:c>
      <x:c r="E387" s="16" t="s">
        <x:v>151</x:v>
      </x:c>
      <x:c r="F387" s="16" t="s">
        <x:v>107</x:v>
      </x:c>
      <x:c r="G387" s="16" t="s">
        <x:v>134</x:v>
      </x:c>
      <x:c r="H387" s="17" t="s">
        <x:v>2284</x:v>
      </x:c>
      <x:c r="I387" s="17" t="s">
        <x:v>2285</x:v>
      </x:c>
      <x:c r="J387" s="17" t="s">
        <x:v>2286</x:v>
      </x:c>
      <x:c r="K387" s="17" t="s">
        <x:v>2209</x:v>
      </x:c>
      <x:c r="L387" s="17" t="s">
        <x:v>111</x:v>
      </x:c>
      <x:c r="M387" s="17" t="s">
        <x:v>2275</x:v>
      </x:c>
      <x:c r="N387" s="16"/>
      <x:c r="O387" s="18">
        <x:v>46249</x:v>
      </x:c>
      <x:c r="P387" s="19" t="s">
        <x:v>34</x:v>
      </x:c>
      <x:c r="Q387" s="17"/>
      <x:c r="R387" s="19" t="str">
        <x:f t="shared" si="5"/>
        <x:v>Discovery Link Only</x:v>
      </x:c>
      <x:c r="S387" s="43" t="str">
        <x:v>Unknown</x:v>
      </x:c>
      <x:c r="T387" s="43" t="str">
        <x:v>Unknown</x:v>
      </x:c>
      <x:c r="U387" s="43" t="str">
        <x:v>Unknown</x:v>
      </x:c>
      <x:c r="V387" s="43" t="str">
        <x:v>Unknown</x:v>
      </x:c>
      <x:c r="W387" s="43" t="str">
        <x:v>Unknown</x:v>
      </x:c>
      <x:c r="X387" s="43" t="str">
        <x:v>Unknown</x:v>
      </x:c>
      <x:c r="Y387" s="43" t="str">
        <x:v>Unknown</x:v>
      </x:c>
      <x:c r="Z387" s="43"/>
    </x:row>
    <x:row r="388" ht="60" customHeight="1">
      <x:c r="A388" s="16" t="s">
        <x:v>2287</x:v>
      </x:c>
      <x:c r="B388" s="16" t="s">
        <x:v>2288</x:v>
      </x:c>
      <x:c r="C388" s="16" t="s">
        <x:v>2204</x:v>
      </x:c>
      <x:c r="D388" s="16" t="s">
        <x:v>2278</x:v>
      </x:c>
      <x:c r="E388" s="16" t="s">
        <x:v>115</x:v>
      </x:c>
      <x:c r="F388" s="16" t="s">
        <x:v>121</x:v>
      </x:c>
      <x:c r="G388" s="16" t="s">
        <x:v>46</x:v>
      </x:c>
      <x:c r="H388" s="17" t="s">
        <x:v>2289</x:v>
      </x:c>
      <x:c r="I388" s="17" t="s">
        <x:v>2290</x:v>
      </x:c>
      <x:c r="J388" s="17" t="s">
        <x:v>2291</x:v>
      </x:c>
      <x:c r="K388" s="17" t="s">
        <x:v>2209</x:v>
      </x:c>
      <x:c r="L388" s="17" t="s">
        <x:v>111</x:v>
      </x:c>
      <x:c r="M388" s="17" t="s">
        <x:v>2275</x:v>
      </x:c>
      <x:c r="N388" s="16"/>
      <x:c r="O388" s="18">
        <x:v>46249</x:v>
      </x:c>
      <x:c r="P388" s="19" t="s">
        <x:v>34</x:v>
      </x:c>
      <x:c r="Q388" s="17"/>
      <x:c r="R388" s="19" t="str">
        <x:f t="shared" ref="R388:R434" si="6">IF(J388="","Missing Link",IF(AND(ISNUMBER(SEARCH("google.com/maps",J388)),ISERROR(SEARCH(";",J388))),"Discovery Link Only","Source Link Present"))</x:f>
        <x:v>Discovery Link Only</x:v>
      </x:c>
      <x:c r="S388" s="43" t="str">
        <x:v>Unknown</x:v>
      </x:c>
      <x:c r="T388" s="43" t="str">
        <x:v>Unknown</x:v>
      </x:c>
      <x:c r="U388" s="43" t="str">
        <x:v>Unknown</x:v>
      </x:c>
      <x:c r="V388" s="43" t="str">
        <x:v>Unknown</x:v>
      </x:c>
      <x:c r="W388" s="43" t="str">
        <x:v>Unknown</x:v>
      </x:c>
      <x:c r="X388" s="43" t="str">
        <x:v>Unknown</x:v>
      </x:c>
      <x:c r="Y388" s="43" t="str">
        <x:v>Unknown</x:v>
      </x:c>
      <x:c r="Z388" s="43"/>
    </x:row>
    <x:row r="389" ht="60" customHeight="1">
      <x:c r="A389" s="16" t="s">
        <x:v>2292</x:v>
      </x:c>
      <x:c r="B389" s="16" t="s">
        <x:v>2293</x:v>
      </x:c>
      <x:c r="C389" s="16" t="s">
        <x:v>2204</x:v>
      </x:c>
      <x:c r="D389" s="16" t="s">
        <x:v>2294</x:v>
      </x:c>
      <x:c r="E389" s="16" t="s">
        <x:v>115</x:v>
      </x:c>
      <x:c r="F389" s="16" t="s">
        <x:v>107</x:v>
      </x:c>
      <x:c r="G389" s="16" t="s">
        <x:v>46</x:v>
      </x:c>
      <x:c r="H389" s="17" t="s">
        <x:v>2295</x:v>
      </x:c>
      <x:c r="I389" s="17" t="s">
        <x:v>2296</x:v>
      </x:c>
      <x:c r="J389" s="17" t="s">
        <x:v>2297</x:v>
      </x:c>
      <x:c r="K389" s="17" t="s">
        <x:v>2209</x:v>
      </x:c>
      <x:c r="L389" s="17" t="s">
        <x:v>111</x:v>
      </x:c>
      <x:c r="M389" s="17" t="s">
        <x:v>2275</x:v>
      </x:c>
      <x:c r="N389" s="16"/>
      <x:c r="O389" s="18">
        <x:v>46249</x:v>
      </x:c>
      <x:c r="P389" s="19" t="s">
        <x:v>34</x:v>
      </x:c>
      <x:c r="Q389" s="17"/>
      <x:c r="R389" s="19" t="str">
        <x:f t="shared" si="6"/>
        <x:v>Discovery Link Only</x:v>
      </x:c>
      <x:c r="S389" s="43" t="str">
        <x:v>Unknown</x:v>
      </x:c>
      <x:c r="T389" s="43" t="str">
        <x:v>Unknown</x:v>
      </x:c>
      <x:c r="U389" s="43" t="str">
        <x:v>Unknown</x:v>
      </x:c>
      <x:c r="V389" s="43" t="str">
        <x:v>Unknown</x:v>
      </x:c>
      <x:c r="W389" s="43" t="str">
        <x:v>Unknown</x:v>
      </x:c>
      <x:c r="X389" s="43" t="str">
        <x:v>Unknown</x:v>
      </x:c>
      <x:c r="Y389" s="43" t="str">
        <x:v>Unknown</x:v>
      </x:c>
      <x:c r="Z389" s="43"/>
    </x:row>
    <x:row r="390" ht="60" customHeight="1">
      <x:c r="A390" s="16" t="s">
        <x:v>2298</x:v>
      </x:c>
      <x:c r="B390" s="16" t="s">
        <x:v>2299</x:v>
      </x:c>
      <x:c r="C390" s="16" t="s">
        <x:v>2204</x:v>
      </x:c>
      <x:c r="D390" s="16" t="s">
        <x:v>2294</x:v>
      </x:c>
      <x:c r="E390" s="16" t="s">
        <x:v>133</x:v>
      </x:c>
      <x:c r="F390" s="16" t="s">
        <x:v>121</x:v>
      </x:c>
      <x:c r="G390" s="16" t="s">
        <x:v>134</x:v>
      </x:c>
      <x:c r="H390" s="17" t="s">
        <x:v>2300</x:v>
      </x:c>
      <x:c r="I390" s="17" t="s">
        <x:v>2301</x:v>
      </x:c>
      <x:c r="J390" s="17" t="s">
        <x:v>2302</x:v>
      </x:c>
      <x:c r="K390" s="17" t="s">
        <x:v>2209</x:v>
      </x:c>
      <x:c r="L390" s="17" t="s">
        <x:v>111</x:v>
      </x:c>
      <x:c r="M390" s="17" t="s">
        <x:v>2275</x:v>
      </x:c>
      <x:c r="N390" s="16"/>
      <x:c r="O390" s="18">
        <x:v>46249</x:v>
      </x:c>
      <x:c r="P390" s="19" t="s">
        <x:v>34</x:v>
      </x:c>
      <x:c r="Q390" s="17"/>
      <x:c r="R390" s="19" t="str">
        <x:f t="shared" si="6"/>
        <x:v>Discovery Link Only</x:v>
      </x:c>
      <x:c r="S390" s="43" t="str">
        <x:v>Unknown</x:v>
      </x:c>
      <x:c r="T390" s="43" t="str">
        <x:v>Unknown</x:v>
      </x:c>
      <x:c r="U390" s="43" t="str">
        <x:v>Unknown</x:v>
      </x:c>
      <x:c r="V390" s="43" t="str">
        <x:v>Unknown</x:v>
      </x:c>
      <x:c r="W390" s="43" t="str">
        <x:v>Unknown</x:v>
      </x:c>
      <x:c r="X390" s="43" t="str">
        <x:v>Unknown</x:v>
      </x:c>
      <x:c r="Y390" s="43" t="str">
        <x:v>Unknown</x:v>
      </x:c>
      <x:c r="Z390" s="43"/>
    </x:row>
    <x:row r="391" ht="60" customHeight="1">
      <x:c r="A391" s="16" t="s">
        <x:v>2303</x:v>
      </x:c>
      <x:c r="B391" s="16" t="s">
        <x:v>2304</x:v>
      </x:c>
      <x:c r="C391" s="16" t="s">
        <x:v>2204</x:v>
      </x:c>
      <x:c r="D391" s="16" t="s">
        <x:v>2238</x:v>
      </x:c>
      <x:c r="E391" s="16" t="s">
        <x:v>37</x:v>
      </x:c>
      <x:c r="F391" s="16" t="s">
        <x:v>107</x:v>
      </x:c>
      <x:c r="G391" s="16" t="s">
        <x:v>26</x:v>
      </x:c>
      <x:c r="H391" s="17" t="s">
        <x:v>2305</x:v>
      </x:c>
      <x:c r="I391" s="17" t="s">
        <x:v>2306</x:v>
      </x:c>
      <x:c r="J391" s="17" t="s">
        <x:v>2307</x:v>
      </x:c>
      <x:c r="K391" s="17" t="s">
        <x:v>2209</x:v>
      </x:c>
      <x:c r="L391" s="17" t="s">
        <x:v>111</x:v>
      </x:c>
      <x:c r="M391" s="17" t="s">
        <x:v>2275</x:v>
      </x:c>
      <x:c r="N391" s="16"/>
      <x:c r="O391" s="18">
        <x:v>46249</x:v>
      </x:c>
      <x:c r="P391" s="19" t="s">
        <x:v>34</x:v>
      </x:c>
      <x:c r="Q391" s="17"/>
      <x:c r="R391" s="19" t="str">
        <x:f t="shared" si="6"/>
        <x:v>Discovery Link Only</x:v>
      </x:c>
      <x:c r="S391" s="43" t="str">
        <x:v>Unknown</x:v>
      </x:c>
      <x:c r="T391" s="43" t="str">
        <x:v>Unknown</x:v>
      </x:c>
      <x:c r="U391" s="43" t="str">
        <x:v>Unknown</x:v>
      </x:c>
      <x:c r="V391" s="43" t="str">
        <x:v>Unknown</x:v>
      </x:c>
      <x:c r="W391" s="43" t="str">
        <x:v>Unknown</x:v>
      </x:c>
      <x:c r="X391" s="43" t="str">
        <x:v>Unknown</x:v>
      </x:c>
      <x:c r="Y391" s="43" t="str">
        <x:v>Unknown</x:v>
      </x:c>
      <x:c r="Z391" s="43"/>
    </x:row>
    <x:row r="392" ht="60" customHeight="1">
      <x:c r="A392" s="16" t="s">
        <x:v>2308</x:v>
      </x:c>
      <x:c r="B392" s="16" t="s">
        <x:v>2309</x:v>
      </x:c>
      <x:c r="C392" s="16" t="s">
        <x:v>2204</x:v>
      </x:c>
      <x:c r="D392" s="16" t="s">
        <x:v>2251</x:v>
      </x:c>
      <x:c r="E392" s="16" t="s">
        <x:v>99</x:v>
      </x:c>
      <x:c r="F392" s="16" t="s">
        <x:v>121</x:v>
      </x:c>
      <x:c r="G392" s="16" t="s">
        <x:v>46</x:v>
      </x:c>
      <x:c r="H392" s="17" t="s">
        <x:v>2310</x:v>
      </x:c>
      <x:c r="I392" s="17" t="s">
        <x:v>2311</x:v>
      </x:c>
      <x:c r="J392" s="17" t="s">
        <x:v>2312</x:v>
      </x:c>
      <x:c r="K392" s="17" t="s">
        <x:v>2209</x:v>
      </x:c>
      <x:c r="L392" s="17" t="s">
        <x:v>111</x:v>
      </x:c>
      <x:c r="M392" s="17" t="s">
        <x:v>2275</x:v>
      </x:c>
      <x:c r="N392" s="16"/>
      <x:c r="O392" s="18">
        <x:v>46249</x:v>
      </x:c>
      <x:c r="P392" s="19" t="s">
        <x:v>34</x:v>
      </x:c>
      <x:c r="Q392" s="17"/>
      <x:c r="R392" s="19" t="str">
        <x:f t="shared" si="6"/>
        <x:v>Discovery Link Only</x:v>
      </x:c>
      <x:c r="S392" s="43" t="str">
        <x:v>Unknown</x:v>
      </x:c>
      <x:c r="T392" s="43" t="str">
        <x:v>Unknown</x:v>
      </x:c>
      <x:c r="U392" s="43" t="str">
        <x:v>Unknown</x:v>
      </x:c>
      <x:c r="V392" s="43" t="str">
        <x:v>Unknown</x:v>
      </x:c>
      <x:c r="W392" s="43" t="str">
        <x:v>Unknown</x:v>
      </x:c>
      <x:c r="X392" s="43" t="str">
        <x:v>Unknown</x:v>
      </x:c>
      <x:c r="Y392" s="43" t="str">
        <x:v>Unknown</x:v>
      </x:c>
      <x:c r="Z392" s="43"/>
    </x:row>
    <x:row r="393" ht="60" customHeight="1">
      <x:c r="A393" s="16" t="s">
        <x:v>2313</x:v>
      </x:c>
      <x:c r="B393" s="16" t="s">
        <x:v>2314</x:v>
      </x:c>
      <x:c r="C393" s="16" t="s">
        <x:v>2204</x:v>
      </x:c>
      <x:c r="D393" s="16" t="s">
        <x:v>2315</x:v>
      </x:c>
      <x:c r="E393" s="16" t="s">
        <x:v>162</x:v>
      </x:c>
      <x:c r="F393" s="16" t="s">
        <x:v>121</x:v>
      </x:c>
      <x:c r="G393" s="16" t="s">
        <x:v>46</x:v>
      </x:c>
      <x:c r="H393" s="17" t="s">
        <x:v>2316</x:v>
      </x:c>
      <x:c r="I393" s="17" t="s">
        <x:v>2317</x:v>
      </x:c>
      <x:c r="J393" s="17" t="s">
        <x:v>2318</x:v>
      </x:c>
      <x:c r="K393" s="17" t="s">
        <x:v>2209</x:v>
      </x:c>
      <x:c r="L393" s="17" t="s">
        <x:v>111</x:v>
      </x:c>
      <x:c r="M393" s="17" t="s">
        <x:v>2275</x:v>
      </x:c>
      <x:c r="N393" s="16"/>
      <x:c r="O393" s="18">
        <x:v>46249</x:v>
      </x:c>
      <x:c r="P393" s="19" t="s">
        <x:v>34</x:v>
      </x:c>
      <x:c r="Q393" s="17"/>
      <x:c r="R393" s="19" t="str">
        <x:f t="shared" si="6"/>
        <x:v>Discovery Link Only</x:v>
      </x:c>
      <x:c r="S393" s="43" t="str">
        <x:v>Unknown</x:v>
      </x:c>
      <x:c r="T393" s="43" t="str">
        <x:v>Unknown</x:v>
      </x:c>
      <x:c r="U393" s="43" t="str">
        <x:v>Unknown</x:v>
      </x:c>
      <x:c r="V393" s="43" t="str">
        <x:v>Unknown</x:v>
      </x:c>
      <x:c r="W393" s="43" t="str">
        <x:v>Unknown</x:v>
      </x:c>
      <x:c r="X393" s="43" t="str">
        <x:v>Unknown</x:v>
      </x:c>
      <x:c r="Y393" s="43" t="str">
        <x:v>Unknown</x:v>
      </x:c>
      <x:c r="Z393" s="43"/>
    </x:row>
    <x:row r="394" ht="60" customHeight="1">
      <x:c r="A394" s="16" t="s">
        <x:v>2319</x:v>
      </x:c>
      <x:c r="B394" s="16" t="s">
        <x:v>2320</x:v>
      </x:c>
      <x:c r="C394" s="16" t="s">
        <x:v>2204</x:v>
      </x:c>
      <x:c r="D394" s="16" t="s">
        <x:v>2321</x:v>
      </x:c>
      <x:c r="E394" s="16" t="s">
        <x:v>99</x:v>
      </x:c>
      <x:c r="F394" s="16" t="s">
        <x:v>127</x:v>
      </x:c>
      <x:c r="G394" s="16" t="s">
        <x:v>46</x:v>
      </x:c>
      <x:c r="H394" s="17" t="s">
        <x:v>2322</x:v>
      </x:c>
      <x:c r="I394" s="17" t="s">
        <x:v>2323</x:v>
      </x:c>
      <x:c r="J394" s="17" t="s">
        <x:v>2324</x:v>
      </x:c>
      <x:c r="K394" s="17" t="s">
        <x:v>2209</x:v>
      </x:c>
      <x:c r="L394" s="17" t="s">
        <x:v>111</x:v>
      </x:c>
      <x:c r="M394" s="17" t="s">
        <x:v>2275</x:v>
      </x:c>
      <x:c r="N394" s="16"/>
      <x:c r="O394" s="18">
        <x:v>46249</x:v>
      </x:c>
      <x:c r="P394" s="19" t="s">
        <x:v>34</x:v>
      </x:c>
      <x:c r="Q394" s="17"/>
      <x:c r="R394" s="19" t="str">
        <x:f t="shared" si="6"/>
        <x:v>Discovery Link Only</x:v>
      </x:c>
      <x:c r="S394" s="43" t="str">
        <x:v>Unknown</x:v>
      </x:c>
      <x:c r="T394" s="43" t="str">
        <x:v>Unknown</x:v>
      </x:c>
      <x:c r="U394" s="43" t="str">
        <x:v>Unknown</x:v>
      </x:c>
      <x:c r="V394" s="43" t="str">
        <x:v>Unknown</x:v>
      </x:c>
      <x:c r="W394" s="43" t="str">
        <x:v>Unknown</x:v>
      </x:c>
      <x:c r="X394" s="43" t="str">
        <x:v>Unknown</x:v>
      </x:c>
      <x:c r="Y394" s="43" t="str">
        <x:v>Unknown</x:v>
      </x:c>
      <x:c r="Z394" s="43"/>
    </x:row>
    <x:row r="395" ht="60" customHeight="1">
      <x:c r="A395" s="16" t="s">
        <x:v>2325</x:v>
      </x:c>
      <x:c r="B395" s="16" t="s">
        <x:v>2326</x:v>
      </x:c>
      <x:c r="C395" s="16" t="s">
        <x:v>2204</x:v>
      </x:c>
      <x:c r="D395" s="16" t="s">
        <x:v>2327</x:v>
      </x:c>
      <x:c r="E395" s="16" t="s">
        <x:v>24</x:v>
      </x:c>
      <x:c r="F395" s="16" t="s">
        <x:v>121</x:v>
      </x:c>
      <x:c r="G395" s="16" t="s">
        <x:v>26</x:v>
      </x:c>
      <x:c r="H395" s="17" t="s">
        <x:v>2328</x:v>
      </x:c>
      <x:c r="I395" s="17" t="s">
        <x:v>2329</x:v>
      </x:c>
      <x:c r="J395" s="17" t="s">
        <x:v>2330</x:v>
      </x:c>
      <x:c r="K395" s="17" t="s">
        <x:v>2209</x:v>
      </x:c>
      <x:c r="L395" s="17" t="s">
        <x:v>111</x:v>
      </x:c>
      <x:c r="M395" s="17" t="s">
        <x:v>2275</x:v>
      </x:c>
      <x:c r="N395" s="16"/>
      <x:c r="O395" s="18">
        <x:v>46249</x:v>
      </x:c>
      <x:c r="P395" s="19" t="s">
        <x:v>34</x:v>
      </x:c>
      <x:c r="Q395" s="17"/>
      <x:c r="R395" s="19" t="str">
        <x:f t="shared" si="6"/>
        <x:v>Discovery Link Only</x:v>
      </x:c>
      <x:c r="S395" s="43" t="str">
        <x:v>Unknown</x:v>
      </x:c>
      <x:c r="T395" s="43" t="str">
        <x:v>Unknown</x:v>
      </x:c>
      <x:c r="U395" s="43" t="str">
        <x:v>Unknown</x:v>
      </x:c>
      <x:c r="V395" s="43" t="str">
        <x:v>Unknown</x:v>
      </x:c>
      <x:c r="W395" s="43" t="str">
        <x:v>Unknown</x:v>
      </x:c>
      <x:c r="X395" s="43" t="str">
        <x:v>Unknown</x:v>
      </x:c>
      <x:c r="Y395" s="43" t="str">
        <x:v>Unknown</x:v>
      </x:c>
      <x:c r="Z395" s="43"/>
    </x:row>
    <x:row r="396" ht="60" customHeight="1">
      <x:c r="A396" s="16" t="s">
        <x:v>2331</x:v>
      </x:c>
      <x:c r="B396" s="16" t="s">
        <x:v>2332</x:v>
      </x:c>
      <x:c r="C396" s="16" t="s">
        <x:v>2204</x:v>
      </x:c>
      <x:c r="D396" s="16" t="s">
        <x:v>2333</x:v>
      </x:c>
      <x:c r="E396" s="16" t="s">
        <x:v>133</x:v>
      </x:c>
      <x:c r="F396" s="16" t="s">
        <x:v>107</x:v>
      </x:c>
      <x:c r="G396" s="16" t="s">
        <x:v>134</x:v>
      </x:c>
      <x:c r="H396" s="17" t="s">
        <x:v>2334</x:v>
      </x:c>
      <x:c r="I396" s="17" t="s">
        <x:v>2335</x:v>
      </x:c>
      <x:c r="J396" s="17" t="s">
        <x:v>2336</x:v>
      </x:c>
      <x:c r="K396" s="17" t="s">
        <x:v>2209</x:v>
      </x:c>
      <x:c r="L396" s="17" t="s">
        <x:v>111</x:v>
      </x:c>
      <x:c r="M396" s="17" t="s">
        <x:v>2275</x:v>
      </x:c>
      <x:c r="N396" s="16"/>
      <x:c r="O396" s="18">
        <x:v>46249</x:v>
      </x:c>
      <x:c r="P396" s="19" t="s">
        <x:v>34</x:v>
      </x:c>
      <x:c r="Q396" s="17"/>
      <x:c r="R396" s="19" t="str">
        <x:f t="shared" si="6"/>
        <x:v>Discovery Link Only</x:v>
      </x:c>
      <x:c r="S396" s="43" t="str">
        <x:v>Unknown</x:v>
      </x:c>
      <x:c r="T396" s="43" t="str">
        <x:v>Unknown</x:v>
      </x:c>
      <x:c r="U396" s="43" t="str">
        <x:v>Unknown</x:v>
      </x:c>
      <x:c r="V396" s="43" t="str">
        <x:v>Unknown</x:v>
      </x:c>
      <x:c r="W396" s="43" t="str">
        <x:v>Unknown</x:v>
      </x:c>
      <x:c r="X396" s="43" t="str">
        <x:v>Unknown</x:v>
      </x:c>
      <x:c r="Y396" s="43" t="str">
        <x:v>Unknown</x:v>
      </x:c>
      <x:c r="Z396" s="43"/>
    </x:row>
    <x:row r="397" ht="60" customHeight="1">
      <x:c r="A397" s="16" t="s">
        <x:v>2337</x:v>
      </x:c>
      <x:c r="B397" s="16" t="s">
        <x:v>2338</x:v>
      </x:c>
      <x:c r="C397" s="16" t="s">
        <x:v>2204</x:v>
      </x:c>
      <x:c r="D397" s="16" t="s">
        <x:v>2339</x:v>
      </x:c>
      <x:c r="E397" s="16" t="s">
        <x:v>24</x:v>
      </x:c>
      <x:c r="F397" s="16" t="s">
        <x:v>121</x:v>
      </x:c>
      <x:c r="G397" s="16" t="s">
        <x:v>26</x:v>
      </x:c>
      <x:c r="H397" s="17" t="s">
        <x:v>2340</x:v>
      </x:c>
      <x:c r="I397" s="17" t="s">
        <x:v>2341</x:v>
      </x:c>
      <x:c r="J397" s="17" t="s">
        <x:v>2342</x:v>
      </x:c>
      <x:c r="K397" s="17" t="s">
        <x:v>2209</x:v>
      </x:c>
      <x:c r="L397" s="17" t="s">
        <x:v>111</x:v>
      </x:c>
      <x:c r="M397" s="17" t="s">
        <x:v>2275</x:v>
      </x:c>
      <x:c r="N397" s="16"/>
      <x:c r="O397" s="18">
        <x:v>46249</x:v>
      </x:c>
      <x:c r="P397" s="19" t="s">
        <x:v>34</x:v>
      </x:c>
      <x:c r="Q397" s="17"/>
      <x:c r="R397" s="19" t="str">
        <x:f t="shared" si="6"/>
        <x:v>Discovery Link Only</x:v>
      </x:c>
      <x:c r="S397" s="43" t="str">
        <x:v>Unknown</x:v>
      </x:c>
      <x:c r="T397" s="43" t="str">
        <x:v>Unknown</x:v>
      </x:c>
      <x:c r="U397" s="43" t="str">
        <x:v>Unknown</x:v>
      </x:c>
      <x:c r="V397" s="43" t="str">
        <x:v>Unknown</x:v>
      </x:c>
      <x:c r="W397" s="43" t="str">
        <x:v>Unknown</x:v>
      </x:c>
      <x:c r="X397" s="43" t="str">
        <x:v>Unknown</x:v>
      </x:c>
      <x:c r="Y397" s="43" t="str">
        <x:v>Unknown</x:v>
      </x:c>
      <x:c r="Z397" s="43"/>
    </x:row>
    <x:row r="398" ht="60" customHeight="1">
      <x:c r="A398" s="16" t="s">
        <x:v>2343</x:v>
      </x:c>
      <x:c r="B398" s="16" t="s">
        <x:v>2344</x:v>
      </x:c>
      <x:c r="C398" s="16" t="s">
        <x:v>2204</x:v>
      </x:c>
      <x:c r="D398" s="16" t="s">
        <x:v>2345</x:v>
      </x:c>
      <x:c r="E398" s="16" t="s">
        <x:v>251</x:v>
      </x:c>
      <x:c r="F398" s="16" t="s">
        <x:v>121</x:v>
      </x:c>
      <x:c r="G398" s="16" t="s">
        <x:v>26</x:v>
      </x:c>
      <x:c r="H398" s="17" t="s">
        <x:v>2346</x:v>
      </x:c>
      <x:c r="I398" s="17" t="s">
        <x:v>2347</x:v>
      </x:c>
      <x:c r="J398" s="17" t="s">
        <x:v>2348</x:v>
      </x:c>
      <x:c r="K398" s="17" t="s">
        <x:v>2209</x:v>
      </x:c>
      <x:c r="L398" s="17" t="s">
        <x:v>111</x:v>
      </x:c>
      <x:c r="M398" s="17" t="s">
        <x:v>2275</x:v>
      </x:c>
      <x:c r="N398" s="16"/>
      <x:c r="O398" s="18">
        <x:v>46249</x:v>
      </x:c>
      <x:c r="P398" s="19" t="s">
        <x:v>34</x:v>
      </x:c>
      <x:c r="Q398" s="17"/>
      <x:c r="R398" s="19" t="str">
        <x:f t="shared" si="6"/>
        <x:v>Discovery Link Only</x:v>
      </x:c>
      <x:c r="S398" s="43" t="str">
        <x:v>Unknown</x:v>
      </x:c>
      <x:c r="T398" s="43" t="str">
        <x:v>Unknown</x:v>
      </x:c>
      <x:c r="U398" s="43" t="str">
        <x:v>Unknown</x:v>
      </x:c>
      <x:c r="V398" s="43" t="str">
        <x:v>Unknown</x:v>
      </x:c>
      <x:c r="W398" s="43" t="str">
        <x:v>Unknown</x:v>
      </x:c>
      <x:c r="X398" s="43" t="str">
        <x:v>Unknown</x:v>
      </x:c>
      <x:c r="Y398" s="43" t="str">
        <x:v>Unknown</x:v>
      </x:c>
      <x:c r="Z398" s="43"/>
    </x:row>
    <x:row r="399" ht="60" customHeight="1">
      <x:c r="A399" s="16" t="s">
        <x:v>2349</x:v>
      </x:c>
      <x:c r="B399" s="16" t="s">
        <x:v>2350</x:v>
      </x:c>
      <x:c r="C399" s="16" t="s">
        <x:v>2351</x:v>
      </x:c>
      <x:c r="D399" s="16" t="s">
        <x:v>2352</x:v>
      </x:c>
      <x:c r="E399" s="16" t="s">
        <x:v>45</x:v>
      </x:c>
      <x:c r="F399" s="16" t="s">
        <x:v>25</x:v>
      </x:c>
      <x:c r="G399" s="16" t="s">
        <x:v>26</x:v>
      </x:c>
      <x:c r="H399" s="17" t="s">
        <x:v>2353</x:v>
      </x:c>
      <x:c r="I399" s="17" t="s">
        <x:v>2354</x:v>
      </x:c>
      <x:c r="J399" s="17" t="s">
        <x:v>2355</x:v>
      </x:c>
      <x:c r="K399" s="17" t="s">
        <x:v>2356</x:v>
      </x:c>
      <x:c r="L399" s="17" t="s">
        <x:v>58</x:v>
      </x:c>
      <x:c r="M399" s="17" t="s">
        <x:v>256</x:v>
      </x:c>
      <x:c r="N399" s="16" t="s">
        <x:v>2357</x:v>
      </x:c>
      <x:c r="O399" s="18">
        <x:v>46249</x:v>
      </x:c>
      <x:c r="P399" s="19" t="s">
        <x:v>34</x:v>
      </x:c>
      <x:c r="Q399" s="17"/>
      <x:c r="R399" s="19" t="str">
        <x:f t="shared" si="6"/>
        <x:v>Source Link Present</x:v>
      </x:c>
      <x:c r="S399" s="43" t="str">
        <x:v>Unknown</x:v>
      </x:c>
      <x:c r="T399" s="43" t="str">
        <x:v>Unknown</x:v>
      </x:c>
      <x:c r="U399" s="43" t="str">
        <x:v>Unknown</x:v>
      </x:c>
      <x:c r="V399" s="43" t="str">
        <x:v>Unknown</x:v>
      </x:c>
      <x:c r="W399" s="43" t="str">
        <x:v>Unknown</x:v>
      </x:c>
      <x:c r="X399" s="43" t="str">
        <x:v>Unknown</x:v>
      </x:c>
      <x:c r="Y399" s="43" t="str">
        <x:v>Unknown</x:v>
      </x:c>
      <x:c r="Z399" s="43"/>
    </x:row>
    <x:row r="400" ht="60" customHeight="1">
      <x:c r="A400" s="16" t="s">
        <x:v>2358</x:v>
      </x:c>
      <x:c r="B400" s="16" t="s">
        <x:v>2359</x:v>
      </x:c>
      <x:c r="C400" s="16" t="s">
        <x:v>2351</x:v>
      </x:c>
      <x:c r="D400" s="16" t="s">
        <x:v>2360</x:v>
      </x:c>
      <x:c r="E400" s="16" t="s">
        <x:v>45</x:v>
      </x:c>
      <x:c r="F400" s="16" t="s">
        <x:v>121</x:v>
      </x:c>
      <x:c r="G400" s="16" t="s">
        <x:v>26</x:v>
      </x:c>
      <x:c r="H400" s="17" t="s">
        <x:v>2361</x:v>
      </x:c>
      <x:c r="I400" s="17" t="s">
        <x:v>2362</x:v>
      </x:c>
      <x:c r="J400" s="17" t="s">
        <x:v>2363</x:v>
      </x:c>
      <x:c r="K400" s="17" t="s">
        <x:v>2356</x:v>
      </x:c>
      <x:c r="L400" s="17" t="s">
        <x:v>58</x:v>
      </x:c>
      <x:c r="M400" s="17" t="s">
        <x:v>256</x:v>
      </x:c>
      <x:c r="N400" s="16" t="s">
        <x:v>2364</x:v>
      </x:c>
      <x:c r="O400" s="18">
        <x:v>46249</x:v>
      </x:c>
      <x:c r="P400" s="19" t="s">
        <x:v>34</x:v>
      </x:c>
      <x:c r="Q400" s="17"/>
      <x:c r="R400" s="19" t="str">
        <x:f t="shared" si="6"/>
        <x:v>Source Link Present</x:v>
      </x:c>
      <x:c r="S400" s="43" t="str">
        <x:v>Unknown</x:v>
      </x:c>
      <x:c r="T400" s="43" t="str">
        <x:v>Unknown</x:v>
      </x:c>
      <x:c r="U400" s="43" t="str">
        <x:v>Unknown</x:v>
      </x:c>
      <x:c r="V400" s="43" t="str">
        <x:v>Unknown</x:v>
      </x:c>
      <x:c r="W400" s="43" t="str">
        <x:v>Unknown</x:v>
      </x:c>
      <x:c r="X400" s="43" t="str">
        <x:v>Unknown</x:v>
      </x:c>
      <x:c r="Y400" s="43" t="str">
        <x:v>Unknown</x:v>
      </x:c>
      <x:c r="Z400" s="43"/>
    </x:row>
    <x:row r="401" ht="60" customHeight="1">
      <x:c r="A401" s="16" t="s">
        <x:v>2365</x:v>
      </x:c>
      <x:c r="B401" s="16" t="s">
        <x:v>2366</x:v>
      </x:c>
      <x:c r="C401" s="16" t="s">
        <x:v>2351</x:v>
      </x:c>
      <x:c r="D401" s="16" t="s">
        <x:v>2367</x:v>
      </x:c>
      <x:c r="E401" s="16" t="s">
        <x:v>106</x:v>
      </x:c>
      <x:c r="F401" s="16" t="s">
        <x:v>25</x:v>
      </x:c>
      <x:c r="G401" s="16" t="s">
        <x:v>46</x:v>
      </x:c>
      <x:c r="H401" s="17" t="s">
        <x:v>2368</x:v>
      </x:c>
      <x:c r="I401" s="17" t="s">
        <x:v>2369</x:v>
      </x:c>
      <x:c r="J401" s="17" t="s">
        <x:v>2370</x:v>
      </x:c>
      <x:c r="K401" s="17" t="s">
        <x:v>2356</x:v>
      </x:c>
      <x:c r="L401" s="17" t="s">
        <x:v>58</x:v>
      </x:c>
      <x:c r="M401" s="17" t="s">
        <x:v>256</x:v>
      </x:c>
      <x:c r="N401" s="16" t="s">
        <x:v>2371</x:v>
      </x:c>
      <x:c r="O401" s="18">
        <x:v>46249</x:v>
      </x:c>
      <x:c r="P401" s="19" t="s">
        <x:v>34</x:v>
      </x:c>
      <x:c r="Q401" s="17"/>
      <x:c r="R401" s="19" t="str">
        <x:f t="shared" si="6"/>
        <x:v>Discovery Link Only</x:v>
      </x:c>
      <x:c r="S401" s="43" t="str">
        <x:v>Unknown</x:v>
      </x:c>
      <x:c r="T401" s="43" t="str">
        <x:v>Unknown</x:v>
      </x:c>
      <x:c r="U401" s="43" t="str">
        <x:v>Unknown</x:v>
      </x:c>
      <x:c r="V401" s="43" t="str">
        <x:v>Unknown</x:v>
      </x:c>
      <x:c r="W401" s="43" t="str">
        <x:v>Unknown</x:v>
      </x:c>
      <x:c r="X401" s="43" t="str">
        <x:v>Unknown</x:v>
      </x:c>
      <x:c r="Y401" s="43" t="str">
        <x:v>Unknown</x:v>
      </x:c>
      <x:c r="Z401" s="43"/>
    </x:row>
    <x:row r="402" ht="60" customHeight="1">
      <x:c r="A402" s="16" t="s">
        <x:v>2372</x:v>
      </x:c>
      <x:c r="B402" s="16" t="s">
        <x:v>2373</x:v>
      </x:c>
      <x:c r="C402" s="16" t="s">
        <x:v>2351</x:v>
      </x:c>
      <x:c r="D402" s="16" t="s">
        <x:v>2367</x:v>
      </x:c>
      <x:c r="E402" s="16" t="s">
        <x:v>394</x:v>
      </x:c>
      <x:c r="F402" s="16" t="s">
        <x:v>25</x:v>
      </x:c>
      <x:c r="G402" s="16" t="s">
        <x:v>26</x:v>
      </x:c>
      <x:c r="H402" s="17" t="s">
        <x:v>2374</x:v>
      </x:c>
      <x:c r="I402" s="17" t="s">
        <x:v>2375</x:v>
      </x:c>
      <x:c r="J402" s="17" t="s">
        <x:v>2376</x:v>
      </x:c>
      <x:c r="K402" s="17" t="s">
        <x:v>2356</x:v>
      </x:c>
      <x:c r="L402" s="17" t="s">
        <x:v>58</x:v>
      </x:c>
      <x:c r="M402" s="17" t="s">
        <x:v>256</x:v>
      </x:c>
      <x:c r="N402" s="16" t="s">
        <x:v>2377</x:v>
      </x:c>
      <x:c r="O402" s="18">
        <x:v>46249</x:v>
      </x:c>
      <x:c r="P402" s="19" t="s">
        <x:v>34</x:v>
      </x:c>
      <x:c r="Q402" s="17"/>
      <x:c r="R402" s="19" t="str">
        <x:f t="shared" si="6"/>
        <x:v>Discovery Link Only</x:v>
      </x:c>
      <x:c r="S402" s="43" t="str">
        <x:v>Unknown</x:v>
      </x:c>
      <x:c r="T402" s="43" t="str">
        <x:v>Unknown</x:v>
      </x:c>
      <x:c r="U402" s="43" t="str">
        <x:v>Unknown</x:v>
      </x:c>
      <x:c r="V402" s="43" t="str">
        <x:v>Unknown</x:v>
      </x:c>
      <x:c r="W402" s="43" t="str">
        <x:v>Unknown</x:v>
      </x:c>
      <x:c r="X402" s="43" t="str">
        <x:v>Unknown</x:v>
      </x:c>
      <x:c r="Y402" s="43" t="str">
        <x:v>Unknown</x:v>
      </x:c>
      <x:c r="Z402" s="43"/>
    </x:row>
    <x:row r="403" ht="60" customHeight="1">
      <x:c r="A403" s="16" t="s">
        <x:v>2378</x:v>
      </x:c>
      <x:c r="B403" s="16" t="s">
        <x:v>2379</x:v>
      </x:c>
      <x:c r="C403" s="16" t="s">
        <x:v>2351</x:v>
      </x:c>
      <x:c r="D403" s="16" t="s">
        <x:v>2367</x:v>
      </x:c>
      <x:c r="E403" s="16" t="s">
        <x:v>24</x:v>
      </x:c>
      <x:c r="F403" s="16" t="s">
        <x:v>25</x:v>
      </x:c>
      <x:c r="G403" s="16" t="s">
        <x:v>26</x:v>
      </x:c>
      <x:c r="H403" s="17" t="s">
        <x:v>2380</x:v>
      </x:c>
      <x:c r="I403" s="17" t="s">
        <x:v>2381</x:v>
      </x:c>
      <x:c r="J403" s="17" t="s">
        <x:v>2382</x:v>
      </x:c>
      <x:c r="K403" s="17" t="s">
        <x:v>2356</x:v>
      </x:c>
      <x:c r="L403" s="17" t="s">
        <x:v>58</x:v>
      </x:c>
      <x:c r="M403" s="17" t="s">
        <x:v>256</x:v>
      </x:c>
      <x:c r="N403" s="16" t="s">
        <x:v>2383</x:v>
      </x:c>
      <x:c r="O403" s="18">
        <x:v>46249</x:v>
      </x:c>
      <x:c r="P403" s="19" t="s">
        <x:v>34</x:v>
      </x:c>
      <x:c r="Q403" s="17"/>
      <x:c r="R403" s="19" t="str">
        <x:f t="shared" si="6"/>
        <x:v>Discovery Link Only</x:v>
      </x:c>
      <x:c r="S403" s="43" t="str">
        <x:v>Unknown</x:v>
      </x:c>
      <x:c r="T403" s="43" t="str">
        <x:v>Unknown</x:v>
      </x:c>
      <x:c r="U403" s="43" t="str">
        <x:v>Unknown</x:v>
      </x:c>
      <x:c r="V403" s="43" t="str">
        <x:v>Unknown</x:v>
      </x:c>
      <x:c r="W403" s="43" t="str">
        <x:v>Unknown</x:v>
      </x:c>
      <x:c r="X403" s="43" t="str">
        <x:v>Unknown</x:v>
      </x:c>
      <x:c r="Y403" s="43" t="str">
        <x:v>Unknown</x:v>
      </x:c>
      <x:c r="Z403" s="43"/>
    </x:row>
    <x:row r="404" ht="60" customHeight="1">
      <x:c r="A404" s="16" t="s">
        <x:v>2384</x:v>
      </x:c>
      <x:c r="B404" s="16" t="s">
        <x:v>2385</x:v>
      </x:c>
      <x:c r="C404" s="16" t="s">
        <x:v>2351</x:v>
      </x:c>
      <x:c r="D404" s="16" t="s">
        <x:v>2367</x:v>
      </x:c>
      <x:c r="E404" s="16" t="s">
        <x:v>140</x:v>
      </x:c>
      <x:c r="F404" s="16" t="s">
        <x:v>25</x:v>
      </x:c>
      <x:c r="G404" s="16" t="s">
        <x:v>26</x:v>
      </x:c>
      <x:c r="H404" s="17" t="s">
        <x:v>2386</x:v>
      </x:c>
      <x:c r="I404" s="17" t="s">
        <x:v>2387</x:v>
      </x:c>
      <x:c r="J404" s="17" t="s">
        <x:v>2388</x:v>
      </x:c>
      <x:c r="K404" s="17" t="s">
        <x:v>2356</x:v>
      </x:c>
      <x:c r="L404" s="17" t="s">
        <x:v>58</x:v>
      </x:c>
      <x:c r="M404" s="17" t="s">
        <x:v>256</x:v>
      </x:c>
      <x:c r="N404" s="16" t="s">
        <x:v>2389</x:v>
      </x:c>
      <x:c r="O404" s="18">
        <x:v>46249</x:v>
      </x:c>
      <x:c r="P404" s="19" t="s">
        <x:v>34</x:v>
      </x:c>
      <x:c r="Q404" s="17"/>
      <x:c r="R404" s="19" t="str">
        <x:f t="shared" si="6"/>
        <x:v>Discovery Link Only</x:v>
      </x:c>
      <x:c r="S404" s="43" t="str">
        <x:v>Unknown</x:v>
      </x:c>
      <x:c r="T404" s="43" t="str">
        <x:v>Unknown</x:v>
      </x:c>
      <x:c r="U404" s="43" t="str">
        <x:v>Unknown</x:v>
      </x:c>
      <x:c r="V404" s="43" t="str">
        <x:v>Unknown</x:v>
      </x:c>
      <x:c r="W404" s="43" t="str">
        <x:v>Unknown</x:v>
      </x:c>
      <x:c r="X404" s="43" t="str">
        <x:v>Unknown</x:v>
      </x:c>
      <x:c r="Y404" s="43" t="str">
        <x:v>Unknown</x:v>
      </x:c>
      <x:c r="Z404" s="43"/>
    </x:row>
    <x:row r="405" ht="60" customHeight="1">
      <x:c r="A405" s="16" t="s">
        <x:v>2390</x:v>
      </x:c>
      <x:c r="B405" s="16" t="s">
        <x:v>2391</x:v>
      </x:c>
      <x:c r="C405" s="16" t="s">
        <x:v>2351</x:v>
      </x:c>
      <x:c r="D405" s="16" t="s">
        <x:v>2367</x:v>
      </x:c>
      <x:c r="E405" s="16" t="s">
        <x:v>99</x:v>
      </x:c>
      <x:c r="F405" s="16" t="s">
        <x:v>25</x:v>
      </x:c>
      <x:c r="G405" s="16" t="s">
        <x:v>46</x:v>
      </x:c>
      <x:c r="H405" s="17" t="s">
        <x:v>2392</x:v>
      </x:c>
      <x:c r="I405" s="17" t="s">
        <x:v>2393</x:v>
      </x:c>
      <x:c r="J405" s="17" t="s">
        <x:v>2394</x:v>
      </x:c>
      <x:c r="K405" s="17" t="s">
        <x:v>2356</x:v>
      </x:c>
      <x:c r="L405" s="17" t="s">
        <x:v>58</x:v>
      </x:c>
      <x:c r="M405" s="17" t="s">
        <x:v>256</x:v>
      </x:c>
      <x:c r="N405" s="16" t="s">
        <x:v>2395</x:v>
      </x:c>
      <x:c r="O405" s="18">
        <x:v>46249</x:v>
      </x:c>
      <x:c r="P405" s="19" t="s">
        <x:v>34</x:v>
      </x:c>
      <x:c r="Q405" s="17"/>
      <x:c r="R405" s="19" t="str">
        <x:f t="shared" si="6"/>
        <x:v>Discovery Link Only</x:v>
      </x:c>
      <x:c r="S405" s="43" t="str">
        <x:v>Unknown</x:v>
      </x:c>
      <x:c r="T405" s="43" t="str">
        <x:v>Unknown</x:v>
      </x:c>
      <x:c r="U405" s="43" t="str">
        <x:v>Unknown</x:v>
      </x:c>
      <x:c r="V405" s="43" t="str">
        <x:v>Unknown</x:v>
      </x:c>
      <x:c r="W405" s="43" t="str">
        <x:v>Unknown</x:v>
      </x:c>
      <x:c r="X405" s="43" t="str">
        <x:v>Unknown</x:v>
      </x:c>
      <x:c r="Y405" s="43" t="str">
        <x:v>Unknown</x:v>
      </x:c>
      <x:c r="Z405" s="43"/>
    </x:row>
    <x:row r="406" ht="60" customHeight="1">
      <x:c r="A406" s="16" t="s">
        <x:v>2396</x:v>
      </x:c>
      <x:c r="B406" s="16" t="s">
        <x:v>2397</x:v>
      </x:c>
      <x:c r="C406" s="16" t="s">
        <x:v>2351</x:v>
      </x:c>
      <x:c r="D406" s="16" t="s">
        <x:v>2367</x:v>
      </x:c>
      <x:c r="E406" s="16" t="s">
        <x:v>115</x:v>
      </x:c>
      <x:c r="F406" s="16" t="s">
        <x:v>25</x:v>
      </x:c>
      <x:c r="G406" s="16" t="s">
        <x:v>26</x:v>
      </x:c>
      <x:c r="H406" s="17" t="s">
        <x:v>2398</x:v>
      </x:c>
      <x:c r="I406" s="17" t="s">
        <x:v>2399</x:v>
      </x:c>
      <x:c r="J406" s="17" t="s">
        <x:v>2400</x:v>
      </x:c>
      <x:c r="K406" s="17" t="s">
        <x:v>2356</x:v>
      </x:c>
      <x:c r="L406" s="17" t="s">
        <x:v>58</x:v>
      </x:c>
      <x:c r="M406" s="17" t="s">
        <x:v>256</x:v>
      </x:c>
      <x:c r="N406" s="16" t="s">
        <x:v>2401</x:v>
      </x:c>
      <x:c r="O406" s="18">
        <x:v>46249</x:v>
      </x:c>
      <x:c r="P406" s="19" t="s">
        <x:v>34</x:v>
      </x:c>
      <x:c r="Q406" s="17"/>
      <x:c r="R406" s="19" t="str">
        <x:f t="shared" si="6"/>
        <x:v>Discovery Link Only</x:v>
      </x:c>
      <x:c r="S406" s="43" t="str">
        <x:v>Unknown</x:v>
      </x:c>
      <x:c r="T406" s="43" t="str">
        <x:v>Unknown</x:v>
      </x:c>
      <x:c r="U406" s="43" t="str">
        <x:v>Unknown</x:v>
      </x:c>
      <x:c r="V406" s="43" t="str">
        <x:v>Unknown</x:v>
      </x:c>
      <x:c r="W406" s="43" t="str">
        <x:v>Unknown</x:v>
      </x:c>
      <x:c r="X406" s="43" t="str">
        <x:v>Unknown</x:v>
      </x:c>
      <x:c r="Y406" s="43" t="str">
        <x:v>Unknown</x:v>
      </x:c>
      <x:c r="Z406" s="43"/>
    </x:row>
    <x:row r="407" ht="60" customHeight="1">
      <x:c r="A407" s="16" t="s">
        <x:v>2402</x:v>
      </x:c>
      <x:c r="B407" s="16" t="s">
        <x:v>2403</x:v>
      </x:c>
      <x:c r="C407" s="16" t="s">
        <x:v>2351</x:v>
      </x:c>
      <x:c r="D407" s="16" t="s">
        <x:v>2367</x:v>
      </x:c>
      <x:c r="E407" s="16" t="s">
        <x:v>140</x:v>
      </x:c>
      <x:c r="F407" s="16" t="s">
        <x:v>25</x:v>
      </x:c>
      <x:c r="G407" s="16" t="s">
        <x:v>26</x:v>
      </x:c>
      <x:c r="H407" s="17" t="s">
        <x:v>2404</x:v>
      </x:c>
      <x:c r="I407" s="17" t="s">
        <x:v>2405</x:v>
      </x:c>
      <x:c r="J407" s="17" t="s">
        <x:v>2406</x:v>
      </x:c>
      <x:c r="K407" s="17" t="s">
        <x:v>2356</x:v>
      </x:c>
      <x:c r="L407" s="17" t="s">
        <x:v>58</x:v>
      </x:c>
      <x:c r="M407" s="17" t="s">
        <x:v>256</x:v>
      </x:c>
      <x:c r="N407" s="16" t="s">
        <x:v>2407</x:v>
      </x:c>
      <x:c r="O407" s="18">
        <x:v>46249</x:v>
      </x:c>
      <x:c r="P407" s="19" t="s">
        <x:v>34</x:v>
      </x:c>
      <x:c r="Q407" s="17"/>
      <x:c r="R407" s="19" t="str">
        <x:f t="shared" si="6"/>
        <x:v>Discovery Link Only</x:v>
      </x:c>
      <x:c r="S407" s="43" t="str">
        <x:v>Unknown</x:v>
      </x:c>
      <x:c r="T407" s="43" t="str">
        <x:v>Unknown</x:v>
      </x:c>
      <x:c r="U407" s="43" t="str">
        <x:v>Unknown</x:v>
      </x:c>
      <x:c r="V407" s="43" t="str">
        <x:v>Unknown</x:v>
      </x:c>
      <x:c r="W407" s="43" t="str">
        <x:v>Unknown</x:v>
      </x:c>
      <x:c r="X407" s="43" t="str">
        <x:v>Unknown</x:v>
      </x:c>
      <x:c r="Y407" s="43" t="str">
        <x:v>Unknown</x:v>
      </x:c>
      <x:c r="Z407" s="43"/>
    </x:row>
    <x:row r="408" ht="60" customHeight="1">
      <x:c r="A408" s="16" t="s">
        <x:v>2408</x:v>
      </x:c>
      <x:c r="B408" s="16" t="s">
        <x:v>2409</x:v>
      </x:c>
      <x:c r="C408" s="16" t="s">
        <x:v>2351</x:v>
      </x:c>
      <x:c r="D408" s="16" t="s">
        <x:v>2367</x:v>
      </x:c>
      <x:c r="E408" s="16" t="s">
        <x:v>24</x:v>
      </x:c>
      <x:c r="F408" s="16" t="s">
        <x:v>25</x:v>
      </x:c>
      <x:c r="G408" s="16" t="s">
        <x:v>26</x:v>
      </x:c>
      <x:c r="H408" s="17" t="s">
        <x:v>2410</x:v>
      </x:c>
      <x:c r="I408" s="17" t="s">
        <x:v>2411</x:v>
      </x:c>
      <x:c r="J408" s="17" t="s">
        <x:v>2412</x:v>
      </x:c>
      <x:c r="K408" s="17" t="s">
        <x:v>2356</x:v>
      </x:c>
      <x:c r="L408" s="17" t="s">
        <x:v>58</x:v>
      </x:c>
      <x:c r="M408" s="17" t="s">
        <x:v>256</x:v>
      </x:c>
      <x:c r="N408" s="16" t="s">
        <x:v>2413</x:v>
      </x:c>
      <x:c r="O408" s="18">
        <x:v>46249</x:v>
      </x:c>
      <x:c r="P408" s="19" t="s">
        <x:v>34</x:v>
      </x:c>
      <x:c r="Q408" s="17"/>
      <x:c r="R408" s="19" t="str">
        <x:f t="shared" si="6"/>
        <x:v>Discovery Link Only</x:v>
      </x:c>
      <x:c r="S408" s="43" t="str">
        <x:v>Unknown</x:v>
      </x:c>
      <x:c r="T408" s="43" t="str">
        <x:v>Unknown</x:v>
      </x:c>
      <x:c r="U408" s="43" t="str">
        <x:v>Unknown</x:v>
      </x:c>
      <x:c r="V408" s="43" t="str">
        <x:v>Unknown</x:v>
      </x:c>
      <x:c r="W408" s="43" t="str">
        <x:v>Unknown</x:v>
      </x:c>
      <x:c r="X408" s="43" t="str">
        <x:v>Unknown</x:v>
      </x:c>
      <x:c r="Y408" s="43" t="str">
        <x:v>Unknown</x:v>
      </x:c>
      <x:c r="Z408" s="43"/>
    </x:row>
    <x:row r="409" ht="60" customHeight="1">
      <x:c r="A409" s="16" t="s">
        <x:v>2414</x:v>
      </x:c>
      <x:c r="B409" s="16" t="s">
        <x:v>2415</x:v>
      </x:c>
      <x:c r="C409" s="16" t="s">
        <x:v>2351</x:v>
      </x:c>
      <x:c r="D409" s="16" t="s">
        <x:v>2416</x:v>
      </x:c>
      <x:c r="E409" s="16" t="s">
        <x:v>140</x:v>
      </x:c>
      <x:c r="F409" s="16" t="s">
        <x:v>107</x:v>
      </x:c>
      <x:c r="G409" s="16" t="s">
        <x:v>46</x:v>
      </x:c>
      <x:c r="H409" s="17" t="s">
        <x:v>2417</x:v>
      </x:c>
      <x:c r="I409" s="17" t="s">
        <x:v>2418</x:v>
      </x:c>
      <x:c r="J409" s="17" t="s">
        <x:v>2419</x:v>
      </x:c>
      <x:c r="K409" s="17" t="s">
        <x:v>2356</x:v>
      </x:c>
      <x:c r="L409" s="17" t="s">
        <x:v>111</x:v>
      </x:c>
      <x:c r="M409" s="17" t="s">
        <x:v>2420</x:v>
      </x:c>
      <x:c r="N409" s="16"/>
      <x:c r="O409" s="18">
        <x:v>46249</x:v>
      </x:c>
      <x:c r="P409" s="19" t="s">
        <x:v>34</x:v>
      </x:c>
      <x:c r="Q409" s="17"/>
      <x:c r="R409" s="19" t="str">
        <x:f t="shared" si="6"/>
        <x:v>Discovery Link Only</x:v>
      </x:c>
      <x:c r="S409" s="43" t="str">
        <x:v>Unknown</x:v>
      </x:c>
      <x:c r="T409" s="43" t="str">
        <x:v>Unknown</x:v>
      </x:c>
      <x:c r="U409" s="43" t="str">
        <x:v>Unknown</x:v>
      </x:c>
      <x:c r="V409" s="43" t="str">
        <x:v>Unknown</x:v>
      </x:c>
      <x:c r="W409" s="43" t="str">
        <x:v>Unknown</x:v>
      </x:c>
      <x:c r="X409" s="43" t="str">
        <x:v>Unknown</x:v>
      </x:c>
      <x:c r="Y409" s="43" t="str">
        <x:v>Unknown</x:v>
      </x:c>
      <x:c r="Z409" s="43"/>
    </x:row>
    <x:row r="410" ht="60" customHeight="1">
      <x:c r="A410" s="16" t="s">
        <x:v>2421</x:v>
      </x:c>
      <x:c r="B410" s="16" t="s">
        <x:v>2422</x:v>
      </x:c>
      <x:c r="C410" s="16" t="s">
        <x:v>2351</x:v>
      </x:c>
      <x:c r="D410" s="16" t="s">
        <x:v>2423</x:v>
      </x:c>
      <x:c r="E410" s="16" t="s">
        <x:v>106</x:v>
      </x:c>
      <x:c r="F410" s="16" t="s">
        <x:v>107</x:v>
      </x:c>
      <x:c r="G410" s="16" t="s">
        <x:v>46</x:v>
      </x:c>
      <x:c r="H410" s="17" t="s">
        <x:v>2424</x:v>
      </x:c>
      <x:c r="I410" s="17" t="s">
        <x:v>2425</x:v>
      </x:c>
      <x:c r="J410" s="17" t="s">
        <x:v>2426</x:v>
      </x:c>
      <x:c r="K410" s="17" t="s">
        <x:v>2356</x:v>
      </x:c>
      <x:c r="L410" s="17" t="s">
        <x:v>111</x:v>
      </x:c>
      <x:c r="M410" s="17" t="s">
        <x:v>2420</x:v>
      </x:c>
      <x:c r="N410" s="16"/>
      <x:c r="O410" s="18">
        <x:v>46249</x:v>
      </x:c>
      <x:c r="P410" s="19" t="s">
        <x:v>34</x:v>
      </x:c>
      <x:c r="Q410" s="17"/>
      <x:c r="R410" s="19" t="str">
        <x:f t="shared" si="6"/>
        <x:v>Discovery Link Only</x:v>
      </x:c>
      <x:c r="S410" s="43" t="str">
        <x:v>Unknown</x:v>
      </x:c>
      <x:c r="T410" s="43" t="str">
        <x:v>Unknown</x:v>
      </x:c>
      <x:c r="U410" s="43" t="str">
        <x:v>Unknown</x:v>
      </x:c>
      <x:c r="V410" s="43" t="str">
        <x:v>Unknown</x:v>
      </x:c>
      <x:c r="W410" s="43" t="str">
        <x:v>Unknown</x:v>
      </x:c>
      <x:c r="X410" s="43" t="str">
        <x:v>Unknown</x:v>
      </x:c>
      <x:c r="Y410" s="43" t="str">
        <x:v>Unknown</x:v>
      </x:c>
      <x:c r="Z410" s="43"/>
    </x:row>
    <x:row r="411" ht="60" customHeight="1">
      <x:c r="A411" s="16" t="s">
        <x:v>2427</x:v>
      </x:c>
      <x:c r="B411" s="16" t="s">
        <x:v>2428</x:v>
      </x:c>
      <x:c r="C411" s="16" t="s">
        <x:v>2351</x:v>
      </x:c>
      <x:c r="D411" s="16" t="s">
        <x:v>2429</x:v>
      </x:c>
      <x:c r="E411" s="16" t="s">
        <x:v>140</x:v>
      </x:c>
      <x:c r="F411" s="16" t="s">
        <x:v>121</x:v>
      </x:c>
      <x:c r="G411" s="16" t="s">
        <x:v>46</x:v>
      </x:c>
      <x:c r="H411" s="17" t="s">
        <x:v>2430</x:v>
      </x:c>
      <x:c r="I411" s="17" t="s">
        <x:v>2431</x:v>
      </x:c>
      <x:c r="J411" s="17" t="s">
        <x:v>2432</x:v>
      </x:c>
      <x:c r="K411" s="17" t="s">
        <x:v>2356</x:v>
      </x:c>
      <x:c r="L411" s="17" t="s">
        <x:v>111</x:v>
      </x:c>
      <x:c r="M411" s="17" t="s">
        <x:v>2420</x:v>
      </x:c>
      <x:c r="N411" s="16"/>
      <x:c r="O411" s="18">
        <x:v>46249</x:v>
      </x:c>
      <x:c r="P411" s="19" t="s">
        <x:v>34</x:v>
      </x:c>
      <x:c r="Q411" s="17"/>
      <x:c r="R411" s="19" t="str">
        <x:f t="shared" si="6"/>
        <x:v>Discovery Link Only</x:v>
      </x:c>
      <x:c r="S411" s="43" t="str">
        <x:v>Unknown</x:v>
      </x:c>
      <x:c r="T411" s="43" t="str">
        <x:v>Unknown</x:v>
      </x:c>
      <x:c r="U411" s="43" t="str">
        <x:v>Unknown</x:v>
      </x:c>
      <x:c r="V411" s="43" t="str">
        <x:v>Unknown</x:v>
      </x:c>
      <x:c r="W411" s="43" t="str">
        <x:v>Unknown</x:v>
      </x:c>
      <x:c r="X411" s="43" t="str">
        <x:v>Unknown</x:v>
      </x:c>
      <x:c r="Y411" s="43" t="str">
        <x:v>Unknown</x:v>
      </x:c>
      <x:c r="Z411" s="43"/>
    </x:row>
    <x:row r="412" ht="60" customHeight="1">
      <x:c r="A412" s="16" t="s">
        <x:v>2433</x:v>
      </x:c>
      <x:c r="B412" s="16" t="s">
        <x:v>2434</x:v>
      </x:c>
      <x:c r="C412" s="16" t="s">
        <x:v>2351</x:v>
      </x:c>
      <x:c r="D412" s="16" t="s">
        <x:v>2435</x:v>
      </x:c>
      <x:c r="E412" s="16" t="s">
        <x:v>24</x:v>
      </x:c>
      <x:c r="F412" s="16" t="s">
        <x:v>127</x:v>
      </x:c>
      <x:c r="G412" s="16" t="s">
        <x:v>26</x:v>
      </x:c>
      <x:c r="H412" s="17" t="s">
        <x:v>2436</x:v>
      </x:c>
      <x:c r="I412" s="17" t="s">
        <x:v>2437</x:v>
      </x:c>
      <x:c r="J412" s="17" t="s">
        <x:v>2438</x:v>
      </x:c>
      <x:c r="K412" s="17" t="s">
        <x:v>2356</x:v>
      </x:c>
      <x:c r="L412" s="17" t="s">
        <x:v>111</x:v>
      </x:c>
      <x:c r="M412" s="17" t="s">
        <x:v>2420</x:v>
      </x:c>
      <x:c r="N412" s="16"/>
      <x:c r="O412" s="18">
        <x:v>46249</x:v>
      </x:c>
      <x:c r="P412" s="19" t="s">
        <x:v>34</x:v>
      </x:c>
      <x:c r="Q412" s="17"/>
      <x:c r="R412" s="19" t="str">
        <x:f t="shared" si="6"/>
        <x:v>Discovery Link Only</x:v>
      </x:c>
      <x:c r="S412" s="43" t="str">
        <x:v>Unknown</x:v>
      </x:c>
      <x:c r="T412" s="43" t="str">
        <x:v>Unknown</x:v>
      </x:c>
      <x:c r="U412" s="43" t="str">
        <x:v>Unknown</x:v>
      </x:c>
      <x:c r="V412" s="43" t="str">
        <x:v>Unknown</x:v>
      </x:c>
      <x:c r="W412" s="43" t="str">
        <x:v>Unknown</x:v>
      </x:c>
      <x:c r="X412" s="43" t="str">
        <x:v>Unknown</x:v>
      </x:c>
      <x:c r="Y412" s="43" t="str">
        <x:v>Unknown</x:v>
      </x:c>
      <x:c r="Z412" s="43"/>
    </x:row>
    <x:row r="413" ht="60" customHeight="1">
      <x:c r="A413" s="16" t="s">
        <x:v>2439</x:v>
      </x:c>
      <x:c r="B413" s="16" t="s">
        <x:v>2440</x:v>
      </x:c>
      <x:c r="C413" s="16" t="s">
        <x:v>2351</x:v>
      </x:c>
      <x:c r="D413" s="16" t="s">
        <x:v>2441</x:v>
      </x:c>
      <x:c r="E413" s="16" t="s">
        <x:v>24</x:v>
      </x:c>
      <x:c r="F413" s="16" t="s">
        <x:v>107</x:v>
      </x:c>
      <x:c r="G413" s="16" t="s">
        <x:v>26</x:v>
      </x:c>
      <x:c r="H413" s="17" t="s">
        <x:v>2442</x:v>
      </x:c>
      <x:c r="I413" s="17" t="s">
        <x:v>2443</x:v>
      </x:c>
      <x:c r="J413" s="17" t="s">
        <x:v>2444</x:v>
      </x:c>
      <x:c r="K413" s="17" t="s">
        <x:v>2356</x:v>
      </x:c>
      <x:c r="L413" s="17" t="s">
        <x:v>111</x:v>
      </x:c>
      <x:c r="M413" s="17" t="s">
        <x:v>2420</x:v>
      </x:c>
      <x:c r="N413" s="16"/>
      <x:c r="O413" s="18">
        <x:v>46249</x:v>
      </x:c>
      <x:c r="P413" s="19" t="s">
        <x:v>34</x:v>
      </x:c>
      <x:c r="Q413" s="17"/>
      <x:c r="R413" s="19" t="str">
        <x:f t="shared" si="6"/>
        <x:v>Discovery Link Only</x:v>
      </x:c>
      <x:c r="S413" s="43" t="str">
        <x:v>Unknown</x:v>
      </x:c>
      <x:c r="T413" s="43" t="str">
        <x:v>Unknown</x:v>
      </x:c>
      <x:c r="U413" s="43" t="str">
        <x:v>Unknown</x:v>
      </x:c>
      <x:c r="V413" s="43" t="str">
        <x:v>Unknown</x:v>
      </x:c>
      <x:c r="W413" s="43" t="str">
        <x:v>Unknown</x:v>
      </x:c>
      <x:c r="X413" s="43" t="str">
        <x:v>Unknown</x:v>
      </x:c>
      <x:c r="Y413" s="43" t="str">
        <x:v>Unknown</x:v>
      </x:c>
      <x:c r="Z413" s="43"/>
    </x:row>
    <x:row r="414" ht="60" customHeight="1">
      <x:c r="A414" s="16" t="s">
        <x:v>2445</x:v>
      </x:c>
      <x:c r="B414" s="16" t="s">
        <x:v>2446</x:v>
      </x:c>
      <x:c r="C414" s="16" t="s">
        <x:v>2351</x:v>
      </x:c>
      <x:c r="D414" s="16" t="s">
        <x:v>2416</x:v>
      </x:c>
      <x:c r="E414" s="16" t="s">
        <x:v>140</x:v>
      </x:c>
      <x:c r="F414" s="16" t="s">
        <x:v>121</x:v>
      </x:c>
      <x:c r="G414" s="16" t="s">
        <x:v>46</x:v>
      </x:c>
      <x:c r="H414" s="17" t="s">
        <x:v>2447</x:v>
      </x:c>
      <x:c r="I414" s="17" t="s">
        <x:v>2448</x:v>
      </x:c>
      <x:c r="J414" s="17" t="s">
        <x:v>2449</x:v>
      </x:c>
      <x:c r="K414" s="17" t="s">
        <x:v>2356</x:v>
      </x:c>
      <x:c r="L414" s="17" t="s">
        <x:v>111</x:v>
      </x:c>
      <x:c r="M414" s="17" t="s">
        <x:v>2420</x:v>
      </x:c>
      <x:c r="N414" s="16"/>
      <x:c r="O414" s="18">
        <x:v>46249</x:v>
      </x:c>
      <x:c r="P414" s="19" t="s">
        <x:v>34</x:v>
      </x:c>
      <x:c r="Q414" s="17"/>
      <x:c r="R414" s="19" t="str">
        <x:f t="shared" si="6"/>
        <x:v>Discovery Link Only</x:v>
      </x:c>
      <x:c r="S414" s="43" t="str">
        <x:v>Unknown</x:v>
      </x:c>
      <x:c r="T414" s="43" t="str">
        <x:v>Unknown</x:v>
      </x:c>
      <x:c r="U414" s="43" t="str">
        <x:v>Unknown</x:v>
      </x:c>
      <x:c r="V414" s="43" t="str">
        <x:v>Unknown</x:v>
      </x:c>
      <x:c r="W414" s="43" t="str">
        <x:v>Unknown</x:v>
      </x:c>
      <x:c r="X414" s="43" t="str">
        <x:v>Unknown</x:v>
      </x:c>
      <x:c r="Y414" s="43" t="str">
        <x:v>Unknown</x:v>
      </x:c>
      <x:c r="Z414" s="43"/>
    </x:row>
    <x:row r="415" ht="60" customHeight="1">
      <x:c r="A415" s="16" t="s">
        <x:v>2450</x:v>
      </x:c>
      <x:c r="B415" s="16" t="s">
        <x:v>2451</x:v>
      </x:c>
      <x:c r="C415" s="16" t="s">
        <x:v>2351</x:v>
      </x:c>
      <x:c r="D415" s="16" t="s">
        <x:v>2452</x:v>
      </x:c>
      <x:c r="E415" s="16" t="s">
        <x:v>24</x:v>
      </x:c>
      <x:c r="F415" s="16" t="s">
        <x:v>121</x:v>
      </x:c>
      <x:c r="G415" s="16" t="s">
        <x:v>26</x:v>
      </x:c>
      <x:c r="H415" s="17" t="s">
        <x:v>2453</x:v>
      </x:c>
      <x:c r="I415" s="17" t="s">
        <x:v>2454</x:v>
      </x:c>
      <x:c r="J415" s="17" t="s">
        <x:v>2455</x:v>
      </x:c>
      <x:c r="K415" s="17" t="s">
        <x:v>2356</x:v>
      </x:c>
      <x:c r="L415" s="17" t="s">
        <x:v>111</x:v>
      </x:c>
      <x:c r="M415" s="17" t="s">
        <x:v>2420</x:v>
      </x:c>
      <x:c r="N415" s="16"/>
      <x:c r="O415" s="18">
        <x:v>46249</x:v>
      </x:c>
      <x:c r="P415" s="19" t="s">
        <x:v>34</x:v>
      </x:c>
      <x:c r="Q415" s="17"/>
      <x:c r="R415" s="19" t="str">
        <x:f t="shared" si="6"/>
        <x:v>Discovery Link Only</x:v>
      </x:c>
      <x:c r="S415" s="43" t="str">
        <x:v>Unknown</x:v>
      </x:c>
      <x:c r="T415" s="43" t="str">
        <x:v>Unknown</x:v>
      </x:c>
      <x:c r="U415" s="43" t="str">
        <x:v>Unknown</x:v>
      </x:c>
      <x:c r="V415" s="43" t="str">
        <x:v>Unknown</x:v>
      </x:c>
      <x:c r="W415" s="43" t="str">
        <x:v>Unknown</x:v>
      </x:c>
      <x:c r="X415" s="43" t="str">
        <x:v>Unknown</x:v>
      </x:c>
      <x:c r="Y415" s="43" t="str">
        <x:v>Unknown</x:v>
      </x:c>
      <x:c r="Z415" s="43"/>
    </x:row>
    <x:row r="416" ht="60" customHeight="1">
      <x:c r="A416" s="16" t="s">
        <x:v>2456</x:v>
      </x:c>
      <x:c r="B416" s="16" t="s">
        <x:v>2457</x:v>
      </x:c>
      <x:c r="C416" s="16" t="s">
        <x:v>2458</x:v>
      </x:c>
      <x:c r="D416" s="16" t="s">
        <x:v>2459</x:v>
      </x:c>
      <x:c r="E416" s="16" t="s">
        <x:v>115</x:v>
      </x:c>
      <x:c r="F416" s="16" t="s">
        <x:v>25</x:v>
      </x:c>
      <x:c r="G416" s="16" t="s">
        <x:v>26</x:v>
      </x:c>
      <x:c r="H416" s="17" t="s">
        <x:v>2460</x:v>
      </x:c>
      <x:c r="I416" s="17" t="s">
        <x:v>2461</x:v>
      </x:c>
      <x:c r="J416" s="17" t="s">
        <x:v>2462</x:v>
      </x:c>
      <x:c r="K416" s="17" t="s">
        <x:v>2463</x:v>
      </x:c>
      <x:c r="L416" s="17" t="s">
        <x:v>58</x:v>
      </x:c>
      <x:c r="M416" s="17" t="s">
        <x:v>256</x:v>
      </x:c>
      <x:c r="N416" s="16" t="s">
        <x:v>2464</x:v>
      </x:c>
      <x:c r="O416" s="18">
        <x:v>46249</x:v>
      </x:c>
      <x:c r="P416" s="19" t="s">
        <x:v>34</x:v>
      </x:c>
      <x:c r="Q416" s="17"/>
      <x:c r="R416" s="19" t="str">
        <x:f t="shared" si="6"/>
        <x:v>Source Link Present</x:v>
      </x:c>
      <x:c r="S416" s="43" t="str">
        <x:v>Unknown</x:v>
      </x:c>
      <x:c r="T416" s="43" t="str">
        <x:v>Unknown</x:v>
      </x:c>
      <x:c r="U416" s="43" t="str">
        <x:v>Unknown</x:v>
      </x:c>
      <x:c r="V416" s="43" t="str">
        <x:v>Unknown</x:v>
      </x:c>
      <x:c r="W416" s="43" t="str">
        <x:v>Unknown</x:v>
      </x:c>
      <x:c r="X416" s="43" t="str">
        <x:v>Unknown</x:v>
      </x:c>
      <x:c r="Y416" s="43" t="str">
        <x:v>Unknown</x:v>
      </x:c>
      <x:c r="Z416" s="43"/>
    </x:row>
    <x:row r="417" ht="60" customHeight="1">
      <x:c r="A417" s="16" t="s">
        <x:v>2465</x:v>
      </x:c>
      <x:c r="B417" s="16" t="s">
        <x:v>2466</x:v>
      </x:c>
      <x:c r="C417" s="16" t="s">
        <x:v>2458</x:v>
      </x:c>
      <x:c r="D417" s="16" t="s">
        <x:v>2467</x:v>
      </x:c>
      <x:c r="E417" s="16" t="s">
        <x:v>72</x:v>
      </x:c>
      <x:c r="F417" s="16" t="s">
        <x:v>25</x:v>
      </x:c>
      <x:c r="G417" s="16" t="s">
        <x:v>26</x:v>
      </x:c>
      <x:c r="H417" s="17" t="s">
        <x:v>2468</x:v>
      </x:c>
      <x:c r="I417" s="17" t="s">
        <x:v>2469</x:v>
      </x:c>
      <x:c r="J417" s="17" t="s">
        <x:v>2470</x:v>
      </x:c>
      <x:c r="K417" s="17" t="s">
        <x:v>2463</x:v>
      </x:c>
      <x:c r="L417" s="17" t="s">
        <x:v>58</x:v>
      </x:c>
      <x:c r="M417" s="17" t="s">
        <x:v>256</x:v>
      </x:c>
      <x:c r="N417" s="16" t="s">
        <x:v>2471</x:v>
      </x:c>
      <x:c r="O417" s="18">
        <x:v>46249</x:v>
      </x:c>
      <x:c r="P417" s="19" t="s">
        <x:v>34</x:v>
      </x:c>
      <x:c r="Q417" s="17"/>
      <x:c r="R417" s="19" t="str">
        <x:f t="shared" si="6"/>
        <x:v>Source Link Present</x:v>
      </x:c>
      <x:c r="S417" s="43" t="str">
        <x:v>Unknown</x:v>
      </x:c>
      <x:c r="T417" s="43" t="str">
        <x:v>Unknown</x:v>
      </x:c>
      <x:c r="U417" s="43" t="str">
        <x:v>Unknown</x:v>
      </x:c>
      <x:c r="V417" s="43" t="str">
        <x:v>Unknown</x:v>
      </x:c>
      <x:c r="W417" s="43" t="str">
        <x:v>Unknown</x:v>
      </x:c>
      <x:c r="X417" s="43" t="str">
        <x:v>Unknown</x:v>
      </x:c>
      <x:c r="Y417" s="43" t="str">
        <x:v>Unknown</x:v>
      </x:c>
      <x:c r="Z417" s="43"/>
    </x:row>
    <x:row r="418" ht="60" customHeight="1">
      <x:c r="A418" s="16" t="s">
        <x:v>2472</x:v>
      </x:c>
      <x:c r="B418" s="16" t="s">
        <x:v>2473</x:v>
      </x:c>
      <x:c r="C418" s="16" t="s">
        <x:v>2458</x:v>
      </x:c>
      <x:c r="D418" s="16" t="s">
        <x:v>2474</x:v>
      </x:c>
      <x:c r="E418" s="16" t="s">
        <x:v>133</x:v>
      </x:c>
      <x:c r="F418" s="16" t="s">
        <x:v>25</x:v>
      </x:c>
      <x:c r="G418" s="16" t="s">
        <x:v>134</x:v>
      </x:c>
      <x:c r="H418" s="17" t="s">
        <x:v>2475</x:v>
      </x:c>
      <x:c r="I418" s="17" t="s">
        <x:v>2476</x:v>
      </x:c>
      <x:c r="J418" s="17" t="s">
        <x:v>2477</x:v>
      </x:c>
      <x:c r="K418" s="17" t="s">
        <x:v>2463</x:v>
      </x:c>
      <x:c r="L418" s="17" t="s">
        <x:v>58</x:v>
      </x:c>
      <x:c r="M418" s="17" t="s">
        <x:v>256</x:v>
      </x:c>
      <x:c r="N418" s="16" t="s">
        <x:v>2478</x:v>
      </x:c>
      <x:c r="O418" s="18">
        <x:v>46249</x:v>
      </x:c>
      <x:c r="P418" s="19" t="s">
        <x:v>34</x:v>
      </x:c>
      <x:c r="Q418" s="17"/>
      <x:c r="R418" s="19" t="str">
        <x:f t="shared" si="6"/>
        <x:v>Discovery Link Only</x:v>
      </x:c>
      <x:c r="S418" s="43" t="str">
        <x:v>Unknown</x:v>
      </x:c>
      <x:c r="T418" s="43" t="str">
        <x:v>Unknown</x:v>
      </x:c>
      <x:c r="U418" s="43" t="str">
        <x:v>Unknown</x:v>
      </x:c>
      <x:c r="V418" s="43" t="str">
        <x:v>Unknown</x:v>
      </x:c>
      <x:c r="W418" s="43" t="str">
        <x:v>Unknown</x:v>
      </x:c>
      <x:c r="X418" s="43" t="str">
        <x:v>Unknown</x:v>
      </x:c>
      <x:c r="Y418" s="43" t="str">
        <x:v>Unknown</x:v>
      </x:c>
      <x:c r="Z418" s="43"/>
    </x:row>
    <x:row r="419" ht="60" customHeight="1">
      <x:c r="A419" s="16" t="s">
        <x:v>2479</x:v>
      </x:c>
      <x:c r="B419" s="16" t="s">
        <x:v>2480</x:v>
      </x:c>
      <x:c r="C419" s="16" t="s">
        <x:v>2458</x:v>
      </x:c>
      <x:c r="D419" s="16" t="s">
        <x:v>2481</x:v>
      </x:c>
      <x:c r="E419" s="16" t="s">
        <x:v>133</x:v>
      </x:c>
      <x:c r="F419" s="16" t="s">
        <x:v>25</x:v>
      </x:c>
      <x:c r="G419" s="16" t="s">
        <x:v>46</x:v>
      </x:c>
      <x:c r="H419" s="17" t="s">
        <x:v>2482</x:v>
      </x:c>
      <x:c r="I419" s="17" t="s">
        <x:v>2483</x:v>
      </x:c>
      <x:c r="J419" s="17" t="s">
        <x:v>2484</x:v>
      </x:c>
      <x:c r="K419" s="17" t="s">
        <x:v>2463</x:v>
      </x:c>
      <x:c r="L419" s="17" t="s">
        <x:v>58</x:v>
      </x:c>
      <x:c r="M419" s="17" t="s">
        <x:v>256</x:v>
      </x:c>
      <x:c r="N419" s="16" t="s">
        <x:v>2485</x:v>
      </x:c>
      <x:c r="O419" s="18">
        <x:v>46249</x:v>
      </x:c>
      <x:c r="P419" s="19" t="s">
        <x:v>34</x:v>
      </x:c>
      <x:c r="Q419" s="17"/>
      <x:c r="R419" s="19" t="str">
        <x:f t="shared" si="6"/>
        <x:v>Discovery Link Only</x:v>
      </x:c>
      <x:c r="S419" s="43" t="str">
        <x:v>Unknown</x:v>
      </x:c>
      <x:c r="T419" s="43" t="str">
        <x:v>Unknown</x:v>
      </x:c>
      <x:c r="U419" s="43" t="str">
        <x:v>Unknown</x:v>
      </x:c>
      <x:c r="V419" s="43" t="str">
        <x:v>Unknown</x:v>
      </x:c>
      <x:c r="W419" s="43" t="str">
        <x:v>Unknown</x:v>
      </x:c>
      <x:c r="X419" s="43" t="str">
        <x:v>Unknown</x:v>
      </x:c>
      <x:c r="Y419" s="43" t="str">
        <x:v>Unknown</x:v>
      </x:c>
      <x:c r="Z419" s="43"/>
    </x:row>
    <x:row r="420" ht="60" customHeight="1">
      <x:c r="A420" s="16" t="s">
        <x:v>2486</x:v>
      </x:c>
      <x:c r="B420" s="16" t="s">
        <x:v>2487</x:v>
      </x:c>
      <x:c r="C420" s="16" t="s">
        <x:v>2458</x:v>
      </x:c>
      <x:c r="D420" s="16" t="s">
        <x:v>2481</x:v>
      </x:c>
      <x:c r="E420" s="16" t="s">
        <x:v>37</x:v>
      </x:c>
      <x:c r="F420" s="16" t="s">
        <x:v>25</x:v>
      </x:c>
      <x:c r="G420" s="16" t="s">
        <x:v>46</x:v>
      </x:c>
      <x:c r="H420" s="17" t="s">
        <x:v>2488</x:v>
      </x:c>
      <x:c r="I420" s="17" t="s">
        <x:v>2489</x:v>
      </x:c>
      <x:c r="J420" s="17" t="s">
        <x:v>2490</x:v>
      </x:c>
      <x:c r="K420" s="17" t="s">
        <x:v>2463</x:v>
      </x:c>
      <x:c r="L420" s="17" t="s">
        <x:v>58</x:v>
      </x:c>
      <x:c r="M420" s="17" t="s">
        <x:v>256</x:v>
      </x:c>
      <x:c r="N420" s="16" t="s">
        <x:v>2491</x:v>
      </x:c>
      <x:c r="O420" s="18">
        <x:v>46249</x:v>
      </x:c>
      <x:c r="P420" s="19" t="s">
        <x:v>34</x:v>
      </x:c>
      <x:c r="Q420" s="17"/>
      <x:c r="R420" s="19" t="str">
        <x:f t="shared" si="6"/>
        <x:v>Discovery Link Only</x:v>
      </x:c>
      <x:c r="S420" s="43" t="str">
        <x:v>Unknown</x:v>
      </x:c>
      <x:c r="T420" s="43" t="str">
        <x:v>Unknown</x:v>
      </x:c>
      <x:c r="U420" s="43" t="str">
        <x:v>Unknown</x:v>
      </x:c>
      <x:c r="V420" s="43" t="str">
        <x:v>Unknown</x:v>
      </x:c>
      <x:c r="W420" s="43" t="str">
        <x:v>Unknown</x:v>
      </x:c>
      <x:c r="X420" s="43" t="str">
        <x:v>Unknown</x:v>
      </x:c>
      <x:c r="Y420" s="43" t="str">
        <x:v>Unknown</x:v>
      </x:c>
      <x:c r="Z420" s="43"/>
    </x:row>
    <x:row r="421" ht="60" customHeight="1">
      <x:c r="A421" s="16" t="s">
        <x:v>2492</x:v>
      </x:c>
      <x:c r="B421" s="16" t="s">
        <x:v>2493</x:v>
      </x:c>
      <x:c r="C421" s="16" t="s">
        <x:v>2458</x:v>
      </x:c>
      <x:c r="D421" s="16" t="s">
        <x:v>2494</x:v>
      </x:c>
      <x:c r="E421" s="16" t="s">
        <x:v>24</x:v>
      </x:c>
      <x:c r="F421" s="16" t="s">
        <x:v>25</x:v>
      </x:c>
      <x:c r="G421" s="16" t="s">
        <x:v>26</x:v>
      </x:c>
      <x:c r="H421" s="17" t="s">
        <x:v>2495</x:v>
      </x:c>
      <x:c r="I421" s="17" t="s">
        <x:v>2496</x:v>
      </x:c>
      <x:c r="J421" s="17" t="s">
        <x:v>2497</x:v>
      </x:c>
      <x:c r="K421" s="17" t="s">
        <x:v>2463</x:v>
      </x:c>
      <x:c r="L421" s="17" t="s">
        <x:v>58</x:v>
      </x:c>
      <x:c r="M421" s="17" t="s">
        <x:v>256</x:v>
      </x:c>
      <x:c r="N421" s="16" t="s">
        <x:v>2498</x:v>
      </x:c>
      <x:c r="O421" s="18">
        <x:v>46249</x:v>
      </x:c>
      <x:c r="P421" s="19" t="s">
        <x:v>34</x:v>
      </x:c>
      <x:c r="Q421" s="17"/>
      <x:c r="R421" s="19" t="str">
        <x:f t="shared" si="6"/>
        <x:v>Discovery Link Only</x:v>
      </x:c>
      <x:c r="S421" s="43" t="str">
        <x:v>Unknown</x:v>
      </x:c>
      <x:c r="T421" s="43" t="str">
        <x:v>Unknown</x:v>
      </x:c>
      <x:c r="U421" s="43" t="str">
        <x:v>Unknown</x:v>
      </x:c>
      <x:c r="V421" s="43" t="str">
        <x:v>Unknown</x:v>
      </x:c>
      <x:c r="W421" s="43" t="str">
        <x:v>Unknown</x:v>
      </x:c>
      <x:c r="X421" s="43" t="str">
        <x:v>Unknown</x:v>
      </x:c>
      <x:c r="Y421" s="43" t="str">
        <x:v>Unknown</x:v>
      </x:c>
      <x:c r="Z421" s="43"/>
    </x:row>
    <x:row r="422" ht="60" customHeight="1">
      <x:c r="A422" s="16" t="s">
        <x:v>2499</x:v>
      </x:c>
      <x:c r="B422" s="16" t="s">
        <x:v>2500</x:v>
      </x:c>
      <x:c r="C422" s="16" t="s">
        <x:v>2458</x:v>
      </x:c>
      <x:c r="D422" s="16" t="s">
        <x:v>2494</x:v>
      </x:c>
      <x:c r="E422" s="16" t="s">
        <x:v>115</x:v>
      </x:c>
      <x:c r="F422" s="16" t="s">
        <x:v>25</x:v>
      </x:c>
      <x:c r="G422" s="16" t="s">
        <x:v>26</x:v>
      </x:c>
      <x:c r="H422" s="17" t="s">
        <x:v>2501</x:v>
      </x:c>
      <x:c r="I422" s="17" t="s">
        <x:v>2502</x:v>
      </x:c>
      <x:c r="J422" s="17" t="s">
        <x:v>2503</x:v>
      </x:c>
      <x:c r="K422" s="17" t="s">
        <x:v>2463</x:v>
      </x:c>
      <x:c r="L422" s="17" t="s">
        <x:v>58</x:v>
      </x:c>
      <x:c r="M422" s="17" t="s">
        <x:v>256</x:v>
      </x:c>
      <x:c r="N422" s="16" t="s">
        <x:v>2504</x:v>
      </x:c>
      <x:c r="O422" s="18">
        <x:v>46249</x:v>
      </x:c>
      <x:c r="P422" s="19" t="s">
        <x:v>34</x:v>
      </x:c>
      <x:c r="Q422" s="17"/>
      <x:c r="R422" s="19" t="str">
        <x:f t="shared" si="6"/>
        <x:v>Discovery Link Only</x:v>
      </x:c>
      <x:c r="S422" s="43" t="str">
        <x:v>Unknown</x:v>
      </x:c>
      <x:c r="T422" s="43" t="str">
        <x:v>Unknown</x:v>
      </x:c>
      <x:c r="U422" s="43" t="str">
        <x:v>Unknown</x:v>
      </x:c>
      <x:c r="V422" s="43" t="str">
        <x:v>Unknown</x:v>
      </x:c>
      <x:c r="W422" s="43" t="str">
        <x:v>Unknown</x:v>
      </x:c>
      <x:c r="X422" s="43" t="str">
        <x:v>Unknown</x:v>
      </x:c>
      <x:c r="Y422" s="43" t="str">
        <x:v>Unknown</x:v>
      </x:c>
      <x:c r="Z422" s="43"/>
    </x:row>
    <x:row r="423" ht="60" customHeight="1">
      <x:c r="A423" s="16" t="s">
        <x:v>2505</x:v>
      </x:c>
      <x:c r="B423" s="16" t="s">
        <x:v>2506</x:v>
      </x:c>
      <x:c r="C423" s="16" t="s">
        <x:v>2458</x:v>
      </x:c>
      <x:c r="D423" s="16" t="s">
        <x:v>2474</x:v>
      </x:c>
      <x:c r="E423" s="16" t="s">
        <x:v>54</x:v>
      </x:c>
      <x:c r="F423" s="16" t="s">
        <x:v>25</x:v>
      </x:c>
      <x:c r="G423" s="16" t="s">
        <x:v>46</x:v>
      </x:c>
      <x:c r="H423" s="17" t="s">
        <x:v>2507</x:v>
      </x:c>
      <x:c r="I423" s="17" t="s">
        <x:v>2508</x:v>
      </x:c>
      <x:c r="J423" s="17" t="s">
        <x:v>2509</x:v>
      </x:c>
      <x:c r="K423" s="17" t="s">
        <x:v>2463</x:v>
      </x:c>
      <x:c r="L423" s="17" t="s">
        <x:v>58</x:v>
      </x:c>
      <x:c r="M423" s="17" t="s">
        <x:v>256</x:v>
      </x:c>
      <x:c r="N423" s="16" t="s">
        <x:v>2510</x:v>
      </x:c>
      <x:c r="O423" s="18">
        <x:v>46249</x:v>
      </x:c>
      <x:c r="P423" s="19" t="s">
        <x:v>34</x:v>
      </x:c>
      <x:c r="Q423" s="17"/>
      <x:c r="R423" s="19" t="str">
        <x:f t="shared" si="6"/>
        <x:v>Discovery Link Only</x:v>
      </x:c>
      <x:c r="S423" s="43" t="str">
        <x:v>Unknown</x:v>
      </x:c>
      <x:c r="T423" s="43" t="str">
        <x:v>Unknown</x:v>
      </x:c>
      <x:c r="U423" s="43" t="str">
        <x:v>Unknown</x:v>
      </x:c>
      <x:c r="V423" s="43" t="str">
        <x:v>Unknown</x:v>
      </x:c>
      <x:c r="W423" s="43" t="str">
        <x:v>Unknown</x:v>
      </x:c>
      <x:c r="X423" s="43" t="str">
        <x:v>Unknown</x:v>
      </x:c>
      <x:c r="Y423" s="43" t="str">
        <x:v>Unknown</x:v>
      </x:c>
      <x:c r="Z423" s="43"/>
    </x:row>
    <x:row r="424" ht="60" customHeight="1">
      <x:c r="A424" s="16" t="s">
        <x:v>2511</x:v>
      </x:c>
      <x:c r="B424" s="16" t="s">
        <x:v>2512</x:v>
      </x:c>
      <x:c r="C424" s="16" t="s">
        <x:v>2458</x:v>
      </x:c>
      <x:c r="D424" s="16" t="s">
        <x:v>2474</x:v>
      </x:c>
      <x:c r="E424" s="16" t="s">
        <x:v>99</x:v>
      </x:c>
      <x:c r="F424" s="16" t="s">
        <x:v>121</x:v>
      </x:c>
      <x:c r="G424" s="16" t="s">
        <x:v>26</x:v>
      </x:c>
      <x:c r="H424" s="17" t="s">
        <x:v>2513</x:v>
      </x:c>
      <x:c r="I424" s="17" t="s">
        <x:v>2514</x:v>
      </x:c>
      <x:c r="J424" s="17" t="s">
        <x:v>2515</x:v>
      </x:c>
      <x:c r="K424" s="17" t="s">
        <x:v>2463</x:v>
      </x:c>
      <x:c r="L424" s="17" t="s">
        <x:v>58</x:v>
      </x:c>
      <x:c r="M424" s="17" t="s">
        <x:v>256</x:v>
      </x:c>
      <x:c r="N424" s="16" t="s">
        <x:v>2516</x:v>
      </x:c>
      <x:c r="O424" s="18">
        <x:v>46249</x:v>
      </x:c>
      <x:c r="P424" s="19" t="s">
        <x:v>34</x:v>
      </x:c>
      <x:c r="Q424" s="17"/>
      <x:c r="R424" s="19" t="str">
        <x:f t="shared" si="6"/>
        <x:v>Discovery Link Only</x:v>
      </x:c>
      <x:c r="S424" s="43" t="str">
        <x:v>Unknown</x:v>
      </x:c>
      <x:c r="T424" s="43" t="str">
        <x:v>Unknown</x:v>
      </x:c>
      <x:c r="U424" s="43" t="str">
        <x:v>Unknown</x:v>
      </x:c>
      <x:c r="V424" s="43" t="str">
        <x:v>Unknown</x:v>
      </x:c>
      <x:c r="W424" s="43" t="str">
        <x:v>Unknown</x:v>
      </x:c>
      <x:c r="X424" s="43" t="str">
        <x:v>Unknown</x:v>
      </x:c>
      <x:c r="Y424" s="43" t="str">
        <x:v>Unknown</x:v>
      </x:c>
      <x:c r="Z424" s="43"/>
    </x:row>
    <x:row r="425" ht="60" customHeight="1">
      <x:c r="A425" s="16" t="s">
        <x:v>2517</x:v>
      </x:c>
      <x:c r="B425" s="16" t="s">
        <x:v>2518</x:v>
      </x:c>
      <x:c r="C425" s="16" t="s">
        <x:v>2458</x:v>
      </x:c>
      <x:c r="D425" s="16" t="s">
        <x:v>2474</x:v>
      </x:c>
      <x:c r="E425" s="16" t="s">
        <x:v>72</x:v>
      </x:c>
      <x:c r="F425" s="16" t="s">
        <x:v>25</x:v>
      </x:c>
      <x:c r="G425" s="16" t="s">
        <x:v>26</x:v>
      </x:c>
      <x:c r="H425" s="17" t="s">
        <x:v>2519</x:v>
      </x:c>
      <x:c r="I425" s="17" t="s">
        <x:v>2520</x:v>
      </x:c>
      <x:c r="J425" s="17" t="s">
        <x:v>2521</x:v>
      </x:c>
      <x:c r="K425" s="17" t="s">
        <x:v>2463</x:v>
      </x:c>
      <x:c r="L425" s="17" t="s">
        <x:v>58</x:v>
      </x:c>
      <x:c r="M425" s="17" t="s">
        <x:v>256</x:v>
      </x:c>
      <x:c r="N425" s="16" t="s">
        <x:v>2522</x:v>
      </x:c>
      <x:c r="O425" s="18">
        <x:v>46249</x:v>
      </x:c>
      <x:c r="P425" s="19" t="s">
        <x:v>34</x:v>
      </x:c>
      <x:c r="Q425" s="17"/>
      <x:c r="R425" s="19" t="str">
        <x:f t="shared" si="6"/>
        <x:v>Discovery Link Only</x:v>
      </x:c>
      <x:c r="S425" s="43" t="str">
        <x:v>Unknown</x:v>
      </x:c>
      <x:c r="T425" s="43" t="str">
        <x:v>Unknown</x:v>
      </x:c>
      <x:c r="U425" s="43" t="str">
        <x:v>Unknown</x:v>
      </x:c>
      <x:c r="V425" s="43" t="str">
        <x:v>Unknown</x:v>
      </x:c>
      <x:c r="W425" s="43" t="str">
        <x:v>Unknown</x:v>
      </x:c>
      <x:c r="X425" s="43" t="str">
        <x:v>Unknown</x:v>
      </x:c>
      <x:c r="Y425" s="43" t="str">
        <x:v>Unknown</x:v>
      </x:c>
      <x:c r="Z425" s="43"/>
    </x:row>
    <x:row r="426" ht="60" customHeight="1">
      <x:c r="A426" s="16" t="s">
        <x:v>2523</x:v>
      </x:c>
      <x:c r="B426" s="16" t="s">
        <x:v>2524</x:v>
      </x:c>
      <x:c r="C426" s="16" t="s">
        <x:v>2458</x:v>
      </x:c>
      <x:c r="D426" s="16" t="s">
        <x:v>2525</x:v>
      </x:c>
      <x:c r="E426" s="16" t="s">
        <x:v>133</x:v>
      </x:c>
      <x:c r="F426" s="16" t="s">
        <x:v>107</x:v>
      </x:c>
      <x:c r="G426" s="16" t="s">
        <x:v>134</x:v>
      </x:c>
      <x:c r="H426" s="17" t="s">
        <x:v>2526</x:v>
      </x:c>
      <x:c r="I426" s="17" t="s">
        <x:v>2527</x:v>
      </x:c>
      <x:c r="J426" s="17" t="s">
        <x:v>2528</x:v>
      </x:c>
      <x:c r="K426" s="17" t="s">
        <x:v>2463</x:v>
      </x:c>
      <x:c r="L426" s="17" t="s">
        <x:v>111</x:v>
      </x:c>
      <x:c r="M426" s="17" t="s">
        <x:v>2529</x:v>
      </x:c>
      <x:c r="N426" s="16"/>
      <x:c r="O426" s="18">
        <x:v>46249</x:v>
      </x:c>
      <x:c r="P426" s="19" t="s">
        <x:v>34</x:v>
      </x:c>
      <x:c r="Q426" s="17"/>
      <x:c r="R426" s="19" t="str">
        <x:f t="shared" si="6"/>
        <x:v>Discovery Link Only</x:v>
      </x:c>
      <x:c r="S426" s="43" t="str">
        <x:v>Unknown</x:v>
      </x:c>
      <x:c r="T426" s="43" t="str">
        <x:v>Unknown</x:v>
      </x:c>
      <x:c r="U426" s="43" t="str">
        <x:v>Unknown</x:v>
      </x:c>
      <x:c r="V426" s="43" t="str">
        <x:v>Unknown</x:v>
      </x:c>
      <x:c r="W426" s="43" t="str">
        <x:v>Unknown</x:v>
      </x:c>
      <x:c r="X426" s="43" t="str">
        <x:v>Unknown</x:v>
      </x:c>
      <x:c r="Y426" s="43" t="str">
        <x:v>Unknown</x:v>
      </x:c>
      <x:c r="Z426" s="43"/>
    </x:row>
    <x:row r="427" ht="60" customHeight="1">
      <x:c r="A427" s="16" t="s">
        <x:v>2530</x:v>
      </x:c>
      <x:c r="B427" s="16" t="s">
        <x:v>2531</x:v>
      </x:c>
      <x:c r="C427" s="16" t="s">
        <x:v>2458</x:v>
      </x:c>
      <x:c r="D427" s="16" t="s">
        <x:v>2525</x:v>
      </x:c>
      <x:c r="E427" s="16" t="s">
        <x:v>45</x:v>
      </x:c>
      <x:c r="F427" s="16" t="s">
        <x:v>121</x:v>
      </x:c>
      <x:c r="G427" s="16" t="s">
        <x:v>26</x:v>
      </x:c>
      <x:c r="H427" s="17" t="s">
        <x:v>2532</x:v>
      </x:c>
      <x:c r="I427" s="17" t="s">
        <x:v>2533</x:v>
      </x:c>
      <x:c r="J427" s="17" t="s">
        <x:v>2534</x:v>
      </x:c>
      <x:c r="K427" s="17" t="s">
        <x:v>2463</x:v>
      </x:c>
      <x:c r="L427" s="17" t="s">
        <x:v>111</x:v>
      </x:c>
      <x:c r="M427" s="17" t="s">
        <x:v>2529</x:v>
      </x:c>
      <x:c r="N427" s="16"/>
      <x:c r="O427" s="18">
        <x:v>46249</x:v>
      </x:c>
      <x:c r="P427" s="19" t="s">
        <x:v>34</x:v>
      </x:c>
      <x:c r="Q427" s="17"/>
      <x:c r="R427" s="19" t="str">
        <x:f t="shared" si="6"/>
        <x:v>Discovery Link Only</x:v>
      </x:c>
      <x:c r="S427" s="43" t="str">
        <x:v>Unknown</x:v>
      </x:c>
      <x:c r="T427" s="43" t="str">
        <x:v>Unknown</x:v>
      </x:c>
      <x:c r="U427" s="43" t="str">
        <x:v>Unknown</x:v>
      </x:c>
      <x:c r="V427" s="43" t="str">
        <x:v>Unknown</x:v>
      </x:c>
      <x:c r="W427" s="43" t="str">
        <x:v>Unknown</x:v>
      </x:c>
      <x:c r="X427" s="43" t="str">
        <x:v>Unknown</x:v>
      </x:c>
      <x:c r="Y427" s="43" t="str">
        <x:v>Unknown</x:v>
      </x:c>
      <x:c r="Z427" s="43"/>
    </x:row>
    <x:row r="428" ht="60" customHeight="1">
      <x:c r="A428" s="16" t="s">
        <x:v>2535</x:v>
      </x:c>
      <x:c r="B428" s="16" t="s">
        <x:v>2536</x:v>
      </x:c>
      <x:c r="C428" s="16" t="s">
        <x:v>2458</x:v>
      </x:c>
      <x:c r="D428" s="16" t="s">
        <x:v>2525</x:v>
      </x:c>
      <x:c r="E428" s="16" t="s">
        <x:v>151</x:v>
      </x:c>
      <x:c r="F428" s="16" t="s">
        <x:v>121</x:v>
      </x:c>
      <x:c r="G428" s="16" t="s">
        <x:v>134</x:v>
      </x:c>
      <x:c r="H428" s="17" t="s">
        <x:v>2537</x:v>
      </x:c>
      <x:c r="I428" s="17" t="s">
        <x:v>2538</x:v>
      </x:c>
      <x:c r="J428" s="17" t="s">
        <x:v>2539</x:v>
      </x:c>
      <x:c r="K428" s="17" t="s">
        <x:v>2463</x:v>
      </x:c>
      <x:c r="L428" s="17" t="s">
        <x:v>111</x:v>
      </x:c>
      <x:c r="M428" s="17" t="s">
        <x:v>2529</x:v>
      </x:c>
      <x:c r="N428" s="16"/>
      <x:c r="O428" s="18">
        <x:v>46249</x:v>
      </x:c>
      <x:c r="P428" s="19" t="s">
        <x:v>34</x:v>
      </x:c>
      <x:c r="Q428" s="17"/>
      <x:c r="R428" s="19" t="str">
        <x:f t="shared" si="6"/>
        <x:v>Discovery Link Only</x:v>
      </x:c>
      <x:c r="S428" s="43" t="str">
        <x:v>Unknown</x:v>
      </x:c>
      <x:c r="T428" s="43" t="str">
        <x:v>Unknown</x:v>
      </x:c>
      <x:c r="U428" s="43" t="str">
        <x:v>Unknown</x:v>
      </x:c>
      <x:c r="V428" s="43" t="str">
        <x:v>Unknown</x:v>
      </x:c>
      <x:c r="W428" s="43" t="str">
        <x:v>Unknown</x:v>
      </x:c>
      <x:c r="X428" s="43" t="str">
        <x:v>Unknown</x:v>
      </x:c>
      <x:c r="Y428" s="43" t="str">
        <x:v>Unknown</x:v>
      </x:c>
      <x:c r="Z428" s="43"/>
    </x:row>
    <x:row r="429" ht="60" customHeight="1">
      <x:c r="A429" s="16" t="s">
        <x:v>2540</x:v>
      </x:c>
      <x:c r="B429" s="16" t="s">
        <x:v>2541</x:v>
      </x:c>
      <x:c r="C429" s="16" t="s">
        <x:v>2458</x:v>
      </x:c>
      <x:c r="D429" s="16" t="s">
        <x:v>2542</x:v>
      </x:c>
      <x:c r="E429" s="16" t="s">
        <x:v>115</x:v>
      </x:c>
      <x:c r="F429" s="16" t="s">
        <x:v>127</x:v>
      </x:c>
      <x:c r="G429" s="16" t="s">
        <x:v>46</x:v>
      </x:c>
      <x:c r="H429" s="17" t="s">
        <x:v>2543</x:v>
      </x:c>
      <x:c r="I429" s="17" t="s">
        <x:v>2544</x:v>
      </x:c>
      <x:c r="J429" s="17" t="s">
        <x:v>2545</x:v>
      </x:c>
      <x:c r="K429" s="17" t="s">
        <x:v>2463</x:v>
      </x:c>
      <x:c r="L429" s="17" t="s">
        <x:v>111</x:v>
      </x:c>
      <x:c r="M429" s="17" t="s">
        <x:v>2529</x:v>
      </x:c>
      <x:c r="N429" s="16"/>
      <x:c r="O429" s="18">
        <x:v>46249</x:v>
      </x:c>
      <x:c r="P429" s="19" t="s">
        <x:v>34</x:v>
      </x:c>
      <x:c r="Q429" s="17"/>
      <x:c r="R429" s="19" t="str">
        <x:f t="shared" si="6"/>
        <x:v>Discovery Link Only</x:v>
      </x:c>
      <x:c r="S429" s="43" t="str">
        <x:v>Unknown</x:v>
      </x:c>
      <x:c r="T429" s="43" t="str">
        <x:v>Unknown</x:v>
      </x:c>
      <x:c r="U429" s="43" t="str">
        <x:v>Unknown</x:v>
      </x:c>
      <x:c r="V429" s="43" t="str">
        <x:v>Unknown</x:v>
      </x:c>
      <x:c r="W429" s="43" t="str">
        <x:v>Unknown</x:v>
      </x:c>
      <x:c r="X429" s="43" t="str">
        <x:v>Unknown</x:v>
      </x:c>
      <x:c r="Y429" s="43" t="str">
        <x:v>Unknown</x:v>
      </x:c>
      <x:c r="Z429" s="43"/>
    </x:row>
    <x:row r="430" ht="60" customHeight="1">
      <x:c r="A430" s="16" t="s">
        <x:v>2546</x:v>
      </x:c>
      <x:c r="B430" s="16" t="s">
        <x:v>2547</x:v>
      </x:c>
      <x:c r="C430" s="16" t="s">
        <x:v>2458</x:v>
      </x:c>
      <x:c r="D430" s="16" t="s">
        <x:v>2548</x:v>
      </x:c>
      <x:c r="E430" s="16" t="s">
        <x:v>99</x:v>
      </x:c>
      <x:c r="F430" s="16" t="s">
        <x:v>127</x:v>
      </x:c>
      <x:c r="G430" s="16" t="s">
        <x:v>46</x:v>
      </x:c>
      <x:c r="H430" s="17" t="s">
        <x:v>2549</x:v>
      </x:c>
      <x:c r="I430" s="17" t="s">
        <x:v>2550</x:v>
      </x:c>
      <x:c r="J430" s="17" t="s">
        <x:v>2551</x:v>
      </x:c>
      <x:c r="K430" s="17" t="s">
        <x:v>2463</x:v>
      </x:c>
      <x:c r="L430" s="17" t="s">
        <x:v>111</x:v>
      </x:c>
      <x:c r="M430" s="17" t="s">
        <x:v>2529</x:v>
      </x:c>
      <x:c r="N430" s="16"/>
      <x:c r="O430" s="18">
        <x:v>46249</x:v>
      </x:c>
      <x:c r="P430" s="19" t="s">
        <x:v>34</x:v>
      </x:c>
      <x:c r="Q430" s="17"/>
      <x:c r="R430" s="19" t="str">
        <x:f t="shared" si="6"/>
        <x:v>Discovery Link Only</x:v>
      </x:c>
      <x:c r="S430" s="43" t="str">
        <x:v>Unknown</x:v>
      </x:c>
      <x:c r="T430" s="43" t="str">
        <x:v>Unknown</x:v>
      </x:c>
      <x:c r="U430" s="43" t="str">
        <x:v>Unknown</x:v>
      </x:c>
      <x:c r="V430" s="43" t="str">
        <x:v>Unknown</x:v>
      </x:c>
      <x:c r="W430" s="43" t="str">
        <x:v>Unknown</x:v>
      </x:c>
      <x:c r="X430" s="43" t="str">
        <x:v>Unknown</x:v>
      </x:c>
      <x:c r="Y430" s="43" t="str">
        <x:v>Unknown</x:v>
      </x:c>
      <x:c r="Z430" s="43"/>
    </x:row>
    <x:row r="431" ht="60" customHeight="1">
      <x:c r="A431" s="16" t="s">
        <x:v>2552</x:v>
      </x:c>
      <x:c r="B431" s="16" t="s">
        <x:v>2553</x:v>
      </x:c>
      <x:c r="C431" s="16" t="s">
        <x:v>2458</x:v>
      </x:c>
      <x:c r="D431" s="16" t="s">
        <x:v>2554</x:v>
      </x:c>
      <x:c r="E431" s="16" t="s">
        <x:v>72</x:v>
      </x:c>
      <x:c r="F431" s="16" t="s">
        <x:v>121</x:v>
      </x:c>
      <x:c r="G431" s="16" t="s">
        <x:v>26</x:v>
      </x:c>
      <x:c r="H431" s="17" t="s">
        <x:v>2555</x:v>
      </x:c>
      <x:c r="I431" s="17" t="s">
        <x:v>2556</x:v>
      </x:c>
      <x:c r="J431" s="17" t="s">
        <x:v>2557</x:v>
      </x:c>
      <x:c r="K431" s="17" t="s">
        <x:v>2463</x:v>
      </x:c>
      <x:c r="L431" s="17" t="s">
        <x:v>111</x:v>
      </x:c>
      <x:c r="M431" s="17" t="s">
        <x:v>2529</x:v>
      </x:c>
      <x:c r="N431" s="16"/>
      <x:c r="O431" s="18">
        <x:v>46249</x:v>
      </x:c>
      <x:c r="P431" s="19" t="s">
        <x:v>34</x:v>
      </x:c>
      <x:c r="Q431" s="17"/>
      <x:c r="R431" s="19" t="str">
        <x:f t="shared" si="6"/>
        <x:v>Discovery Link Only</x:v>
      </x:c>
      <x:c r="S431" s="43" t="str">
        <x:v>Unknown</x:v>
      </x:c>
      <x:c r="T431" s="43" t="str">
        <x:v>Unknown</x:v>
      </x:c>
      <x:c r="U431" s="43" t="str">
        <x:v>Unknown</x:v>
      </x:c>
      <x:c r="V431" s="43" t="str">
        <x:v>Unknown</x:v>
      </x:c>
      <x:c r="W431" s="43" t="str">
        <x:v>Unknown</x:v>
      </x:c>
      <x:c r="X431" s="43" t="str">
        <x:v>Unknown</x:v>
      </x:c>
      <x:c r="Y431" s="43" t="str">
        <x:v>Unknown</x:v>
      </x:c>
      <x:c r="Z431" s="43"/>
    </x:row>
    <x:row r="432" ht="60" customHeight="1">
      <x:c r="A432" s="16" t="s">
        <x:v>2558</x:v>
      </x:c>
      <x:c r="B432" s="16" t="s">
        <x:v>2559</x:v>
      </x:c>
      <x:c r="C432" s="16" t="s">
        <x:v>2458</x:v>
      </x:c>
      <x:c r="D432" s="16" t="s">
        <x:v>2560</x:v>
      </x:c>
      <x:c r="E432" s="16" t="s">
        <x:v>72</x:v>
      </x:c>
      <x:c r="F432" s="16" t="s">
        <x:v>121</x:v>
      </x:c>
      <x:c r="G432" s="16" t="s">
        <x:v>26</x:v>
      </x:c>
      <x:c r="H432" s="17" t="s">
        <x:v>2561</x:v>
      </x:c>
      <x:c r="I432" s="17" t="s">
        <x:v>2562</x:v>
      </x:c>
      <x:c r="J432" s="17" t="s">
        <x:v>2563</x:v>
      </x:c>
      <x:c r="K432" s="17" t="s">
        <x:v>2463</x:v>
      </x:c>
      <x:c r="L432" s="17" t="s">
        <x:v>111</x:v>
      </x:c>
      <x:c r="M432" s="17" t="s">
        <x:v>2529</x:v>
      </x:c>
      <x:c r="N432" s="16"/>
      <x:c r="O432" s="18">
        <x:v>46249</x:v>
      </x:c>
      <x:c r="P432" s="19" t="s">
        <x:v>34</x:v>
      </x:c>
      <x:c r="Q432" s="17"/>
      <x:c r="R432" s="19" t="str">
        <x:f t="shared" si="6"/>
        <x:v>Discovery Link Only</x:v>
      </x:c>
      <x:c r="S432" s="43" t="str">
        <x:v>Unknown</x:v>
      </x:c>
      <x:c r="T432" s="43" t="str">
        <x:v>Unknown</x:v>
      </x:c>
      <x:c r="U432" s="43" t="str">
        <x:v>Unknown</x:v>
      </x:c>
      <x:c r="V432" s="43" t="str">
        <x:v>Unknown</x:v>
      </x:c>
      <x:c r="W432" s="43" t="str">
        <x:v>Unknown</x:v>
      </x:c>
      <x:c r="X432" s="43" t="str">
        <x:v>Unknown</x:v>
      </x:c>
      <x:c r="Y432" s="43" t="str">
        <x:v>Unknown</x:v>
      </x:c>
      <x:c r="Z432" s="43"/>
    </x:row>
    <x:row r="433" ht="60" customHeight="1">
      <x:c r="A433" s="16" t="s">
        <x:v>2564</x:v>
      </x:c>
      <x:c r="B433" s="16" t="s">
        <x:v>2565</x:v>
      </x:c>
      <x:c r="C433" s="16" t="s">
        <x:v>2458</x:v>
      </x:c>
      <x:c r="D433" s="16" t="s">
        <x:v>2566</x:v>
      </x:c>
      <x:c r="E433" s="16" t="s">
        <x:v>45</x:v>
      </x:c>
      <x:c r="F433" s="16" t="s">
        <x:v>127</x:v>
      </x:c>
      <x:c r="G433" s="16" t="s">
        <x:v>26</x:v>
      </x:c>
      <x:c r="H433" s="17" t="s">
        <x:v>2567</x:v>
      </x:c>
      <x:c r="I433" s="17" t="s">
        <x:v>2568</x:v>
      </x:c>
      <x:c r="J433" s="17" t="s">
        <x:v>2569</x:v>
      </x:c>
      <x:c r="K433" s="17" t="s">
        <x:v>2463</x:v>
      </x:c>
      <x:c r="L433" s="17" t="s">
        <x:v>111</x:v>
      </x:c>
      <x:c r="M433" s="17" t="s">
        <x:v>2529</x:v>
      </x:c>
      <x:c r="N433" s="16"/>
      <x:c r="O433" s="18">
        <x:v>46249</x:v>
      </x:c>
      <x:c r="P433" s="19" t="s">
        <x:v>34</x:v>
      </x:c>
      <x:c r="Q433" s="17"/>
      <x:c r="R433" s="19" t="str">
        <x:f t="shared" si="6"/>
        <x:v>Discovery Link Only</x:v>
      </x:c>
      <x:c r="S433" s="43" t="str">
        <x:v>Unknown</x:v>
      </x:c>
      <x:c r="T433" s="43" t="str">
        <x:v>Unknown</x:v>
      </x:c>
      <x:c r="U433" s="43" t="str">
        <x:v>Unknown</x:v>
      </x:c>
      <x:c r="V433" s="43" t="str">
        <x:v>Unknown</x:v>
      </x:c>
      <x:c r="W433" s="43" t="str">
        <x:v>Unknown</x:v>
      </x:c>
      <x:c r="X433" s="43" t="str">
        <x:v>Unknown</x:v>
      </x:c>
      <x:c r="Y433" s="43" t="str">
        <x:v>Unknown</x:v>
      </x:c>
      <x:c r="Z433" s="43"/>
    </x:row>
    <x:row r="434" ht="60" customHeight="1">
      <x:c r="A434" s="20" t="s">
        <x:v>2570</x:v>
      </x:c>
      <x:c r="B434" s="20" t="s">
        <x:v>2571</x:v>
      </x:c>
      <x:c r="C434" s="20" t="s">
        <x:v>2458</x:v>
      </x:c>
      <x:c r="D434" s="20" t="s">
        <x:v>2572</x:v>
      </x:c>
      <x:c r="E434" s="20" t="s">
        <x:v>72</x:v>
      </x:c>
      <x:c r="F434" s="20" t="s">
        <x:v>127</x:v>
      </x:c>
      <x:c r="G434" s="20" t="s">
        <x:v>26</x:v>
      </x:c>
      <x:c r="H434" s="21" t="s">
        <x:v>2573</x:v>
      </x:c>
      <x:c r="I434" s="21" t="s">
        <x:v>2574</x:v>
      </x:c>
      <x:c r="J434" s="21" t="s">
        <x:v>2575</x:v>
      </x:c>
      <x:c r="K434" s="21" t="s">
        <x:v>2463</x:v>
      </x:c>
      <x:c r="L434" s="21" t="s">
        <x:v>111</x:v>
      </x:c>
      <x:c r="M434" s="21" t="s">
        <x:v>2529</x:v>
      </x:c>
      <x:c r="N434" s="20"/>
      <x:c r="O434" s="22">
        <x:v>46249</x:v>
      </x:c>
      <x:c r="P434" s="23" t="s">
        <x:v>34</x:v>
      </x:c>
      <x:c r="Q434" s="21"/>
      <x:c r="R434" s="23" t="str">
        <x:f t="shared" si="6"/>
        <x:v>Discovery Link Only</x:v>
      </x:c>
      <x:c r="S434" s="43" t="str">
        <x:v>Unknown</x:v>
      </x:c>
      <x:c r="T434" s="43" t="str">
        <x:v>Unknown</x:v>
      </x:c>
      <x:c r="U434" s="43" t="str">
        <x:v>Unknown</x:v>
      </x:c>
      <x:c r="V434" s="43" t="str">
        <x:v>Unknown</x:v>
      </x:c>
      <x:c r="W434" s="43" t="str">
        <x:v>Unknown</x:v>
      </x:c>
      <x:c r="X434" s="43" t="str">
        <x:v>Unknown</x:v>
      </x:c>
      <x:c r="Y434" s="43" t="str">
        <x:v>Unknown</x:v>
      </x:c>
      <x:c r="Z434" s="43"/>
    </x:row>
  </x:sheetData>
  <x:mergeCells>
    <x:mergeCell ref="A1:R1"/>
    <x:mergeCell ref="A2:R2"/>
  </x:mergeCells>
  <x:conditionalFormatting sqref="P4:P434">
    <x:cfRule type="containsText" dxfId="3" priority="2" operator="containsText" text="Pending Review">
      <x:formula>NOT(ISERROR(SEARCH("Pending Review",P4)))</x:formula>
    </x:cfRule>
    <x:cfRule type="containsText" dxfId="2" priority="3" operator="containsText" text="Approved">
      <x:formula>NOT(ISERROR(SEARCH("Approved",P4)))</x:formula>
    </x:cfRule>
    <x:cfRule type="containsText" dxfId="1" priority="4" operator="containsText" text="Rejected">
      <x:formula>NOT(ISERROR(SEARCH("Rejected",P4)))</x:formula>
    </x:cfRule>
  </x:conditionalFormatting>
  <x:conditionalFormatting sqref="R4:R434">
    <x:cfRule type="containsText" dxfId="0" priority="5" operator="containsText" text="Missing Link">
      <x:formula>NOT(ISERROR(SEARCH("Missing Link",R4)))</x:formula>
    </x:cfRule>
  </x:conditionalFormatting>
  <x:conditionalFormatting sqref="S4:Z434">
    <x:cfRule type="expression" dxfId="6" priority="6">
      <x:formula>MOD(ROW(),2)=0</x:formula>
    </x:cfRule>
  </x:conditionalFormatting>
  <x:dataValidations count="9">
    <x:dataValidation type="list" sqref="P4:P434">
      <x:formula1>"Pending Review,Approved,Rejected,Needs More Research"</x:formula1>
      <x:formula2>0</x:formula2>
    </x:dataValidation>
    <x:dataValidation type="list" sqref="F4:F434">
      <x:formula1>"Popular,Local,Rural,Underrated,Seasonal,Unclassified"</x:formula1>
      <x:formula2>0</x:formula2>
    </x:dataValidation>
    <x:dataValidation type="list" sqref="S4:S434">
      <x:formula1>"Low,Moderate,High,Unknown"</x:formula1>
    </x:dataValidation>
    <x:dataValidation type="list" sqref="T4:T434">
      <x:formula1>"Yes,Partial,No,Unknown"</x:formula1>
    </x:dataValidation>
    <x:dataValidation type="list" sqref="U4:U434">
      <x:formula1>"Yes,Partial,No,Unknown"</x:formula1>
    </x:dataValidation>
    <x:dataValidation type="list" sqref="V4:V434">
      <x:formula1>"Yes,Partial,No,Unknown"</x:formula1>
    </x:dataValidation>
    <x:dataValidation type="list" sqref="X4:X434">
      <x:formula1>"Yes,Partial,No,Unknown"</x:formula1>
    </x:dataValidation>
    <x:dataValidation type="list" sqref="W4:W434">
      <x:formula1>"Near,Moderate,Far,Unknown"</x:formula1>
    </x:dataValidation>
    <x:dataValidation type="list" sqref="Y4:Y434">
      <x:formula1>"Suitable,Suitable with assistance,Not recommended,Unknown"</x:formula1>
    </x:dataValidation>
  </x:dataValidations>
  <x:pageMargins left="0.7" right="0.7" top="0.75" bottom="0.75" header="0.3" footer="0.3"/>
  <x:tableParts count="1">
    <x:tablePart xmlns:r="http://schemas.openxmlformats.org/officeDocument/2006/relationships" r:id="R3915d93a679b4dd8"/>
  </x:tableParts>
</x:worksheet>
</file>

<file path=xl/worksheets/sheet2.xml><?xml version="1.0" encoding="utf-8"?>
<x:worksheet xmlns:x="http://schemas.openxmlformats.org/spreadsheetml/2006/main">
  <x:sheetViews>
    <x:sheetView showGridLines="0" workbookViewId="0"/>
  </x:sheetViews>
  <x:sheetFormatPr defaultColWidth="8.7109375" defaultRowHeight="12.75"/>
  <x:cols>
    <x:col min="1" max="1" width="22" style="9" customWidth="1"/>
    <x:col min="2" max="11" width="15" style="9" customWidth="1"/>
  </x:cols>
  <x:sheetData>
    <x:row r="1" ht="30" customHeight="1">
      <x:c r="A1" s="6" t="s">
        <x:v>2576</x:v>
      </x:c>
      <x:c r="B1" s="6"/>
      <x:c r="C1" s="6"/>
      <x:c r="D1" s="6"/>
      <x:c r="E1" s="6"/>
      <x:c r="F1" s="6"/>
      <x:c r="G1" s="6"/>
      <x:c r="H1" s="6"/>
      <x:c r="I1" s="6"/>
      <x:c r="J1" s="6"/>
      <x:c r="K1" s="6"/>
    </x:row>
    <x:row r="2" ht="24" customHeight="1">
      <x:c r="A2" s="5" t="s">
        <x:v>2577</x:v>
      </x:c>
      <x:c r="B2" s="5"/>
      <x:c r="C2" s="5"/>
      <x:c r="D2" s="5"/>
      <x:c r="E2" s="5"/>
      <x:c r="F2" s="5"/>
      <x:c r="G2" s="5"/>
      <x:c r="H2" s="5"/>
      <x:c r="I2" s="5"/>
      <x:c r="J2" s="5"/>
      <x:c r="K2" s="5"/>
    </x:row>
    <x:row r="3" ht="15" customHeight="1">
      <x:c r="A3" s="24"/>
      <x:c r="B3" s="24"/>
      <x:c r="C3" s="24"/>
      <x:c r="D3" s="24"/>
      <x:c r="E3" s="24"/>
      <x:c r="F3" s="24"/>
      <x:c r="G3" s="24"/>
      <x:c r="H3" s="24"/>
      <x:c r="I3" s="24"/>
      <x:c r="J3" s="24"/>
      <x:c r="K3" s="24"/>
    </x:row>
    <x:row r="4" ht="33.75" customHeight="1">
      <x:c r="A4" s="25" t="s">
        <x:v>4</x:v>
      </x:c>
      <x:c r="B4" s="25" t="s">
        <x:v>2578</x:v>
      </x:c>
      <x:c r="C4" s="25" t="s">
        <x:v>107</x:v>
      </x:c>
      <x:c r="D4" s="25" t="s">
        <x:v>121</x:v>
      </x:c>
      <x:c r="E4" s="25" t="s">
        <x:v>194</x:v>
      </x:c>
      <x:c r="F4" s="25" t="s">
        <x:v>127</x:v>
      </x:c>
      <x:c r="G4" s="25" t="s">
        <x:v>2579</x:v>
      </x:c>
      <x:c r="H4" s="25" t="s">
        <x:v>2580</x:v>
      </x:c>
      <x:c r="I4" s="25" t="s">
        <x:v>2581</x:v>
      </x:c>
      <x:c r="J4" s="25" t="s">
        <x:v>2582</x:v>
      </x:c>
      <x:c r="K4" s="25" t="s">
        <x:v>2583</x:v>
      </x:c>
    </x:row>
    <x:row r="5" ht="15" customHeight="1">
      <x:c r="A5" s="26" t="s">
        <x:v>22</x:v>
      </x:c>
      <x:c r="B5" s="26" t="n">
        <x:f>COUNTIF(Catalogue!$C$4:$C$434,A5)</x:f>
        <x:v>35</x:v>
      </x:c>
      <x:c r="C5" s="26" t="n">
        <x:f>COUNTIFS(Catalogue!$C$4:$C$434,A5,Catalogue!$F$4:$F$434,"Popular")</x:f>
        <x:v>8</x:v>
      </x:c>
      <x:c r="D5" s="26" t="n">
        <x:f>COUNTIFS(Catalogue!$C$4:$C$434,A5,Catalogue!$F$4:$F$434,"Local")</x:f>
        <x:v>10</x:v>
      </x:c>
      <x:c r="E5" s="26" t="n">
        <x:f>COUNTIFS(Catalogue!$C$4:$C$434,A5,Catalogue!$F$4:$F$434,"Rural")</x:f>
        <x:v>2</x:v>
      </x:c>
      <x:c r="F5" s="26" t="n">
        <x:f>COUNTIFS(Catalogue!$C$4:$C$434,A5,Catalogue!$F$4:$F$434,"Underrated")</x:f>
        <x:v>5</x:v>
      </x:c>
      <x:c r="G5" s="26" t="n">
        <x:f t="shared" ref="G5:G20" si="0">B5-SUM(C5:F5)</x:f>
        <x:v>10</x:v>
      </x:c>
      <x:c r="H5" s="26" t="n">
        <x:f>COUNTIFS(Catalogue!$C$4:$C$434,A5,Catalogue!$P$4:$P$434,"Pending Review")</x:f>
        <x:v>0</x:v>
      </x:c>
      <x:c r="I5" s="26" t="n">
        <x:f>COUNTIFS(Catalogue!$C$4:$C$434,A5,Catalogue!$R$4:$R$434,"Source Link Present")</x:f>
        <x:v>3</x:v>
      </x:c>
      <x:c r="J5" s="26" t="n">
        <x:f t="shared" ref="J5:J20" si="1">B5-H5</x:f>
        <x:v>35</x:v>
      </x:c>
      <x:c r="K5" s="27" t="n">
        <x:f t="shared" ref="K5:K20" si="2">IF(B5=0,0,J5/B5)</x:f>
        <x:v>1</x:v>
      </x:c>
    </x:row>
    <x:row r="6" ht="15" customHeight="1">
      <x:c r="A6" s="28" t="s">
        <x:v>249</x:v>
      </x:c>
      <x:c r="B6" s="28" t="n">
        <x:f>COUNTIF(Catalogue!$C$4:$C$434,A6)</x:f>
        <x:v>29</x:v>
      </x:c>
      <x:c r="C6" s="28" t="n">
        <x:f>COUNTIFS(Catalogue!$C$4:$C$434,A6,Catalogue!$F$4:$F$434,"Popular")</x:f>
        <x:v>7</x:v>
      </x:c>
      <x:c r="D6" s="28" t="n">
        <x:f>COUNTIFS(Catalogue!$C$4:$C$434,A6,Catalogue!$F$4:$F$434,"Local")</x:f>
        <x:v>8</x:v>
      </x:c>
      <x:c r="E6" s="28" t="n">
        <x:f>COUNTIFS(Catalogue!$C$4:$C$434,A6,Catalogue!$F$4:$F$434,"Rural")</x:f>
        <x:v>3</x:v>
      </x:c>
      <x:c r="F6" s="28" t="n">
        <x:f>COUNTIFS(Catalogue!$C$4:$C$434,A6,Catalogue!$F$4:$F$434,"Underrated")</x:f>
        <x:v>2</x:v>
      </x:c>
      <x:c r="G6" s="28">
        <x:f t="shared" si="0"/>
        <x:v>9</x:v>
      </x:c>
      <x:c r="H6" s="28" t="n">
        <x:f>COUNTIFS(Catalogue!$C$4:$C$434,A6,Catalogue!$P$4:$P$434,"Pending Review")</x:f>
        <x:v>0</x:v>
      </x:c>
      <x:c r="I6" s="28" t="n">
        <x:f>COUNTIFS(Catalogue!$C$4:$C$434,A6,Catalogue!$R$4:$R$434,"Source Link Present")</x:f>
        <x:v>2</x:v>
      </x:c>
      <x:c r="J6" s="28">
        <x:f t="shared" si="1"/>
        <x:v>29</x:v>
      </x:c>
      <x:c r="K6" s="29">
        <x:f t="shared" si="2"/>
        <x:v>1</x:v>
      </x:c>
    </x:row>
    <x:row r="7" ht="15" customHeight="1">
      <x:c r="A7" s="28" t="s">
        <x:v>417</x:v>
      </x:c>
      <x:c r="B7" s="28" t="n">
        <x:f>COUNTIF(Catalogue!$C$4:$C$434,A7)</x:f>
        <x:v>24</x:v>
      </x:c>
      <x:c r="C7" s="28" t="n">
        <x:f>COUNTIFS(Catalogue!$C$4:$C$434,A7,Catalogue!$F$4:$F$434,"Popular")</x:f>
        <x:v>1</x:v>
      </x:c>
      <x:c r="D7" s="28" t="n">
        <x:f>COUNTIFS(Catalogue!$C$4:$C$434,A7,Catalogue!$F$4:$F$434,"Local")</x:f>
        <x:v>10</x:v>
      </x:c>
      <x:c r="E7" s="28" t="n">
        <x:f>COUNTIFS(Catalogue!$C$4:$C$434,A7,Catalogue!$F$4:$F$434,"Rural")</x:f>
        <x:v>3</x:v>
      </x:c>
      <x:c r="F7" s="28" t="n">
        <x:f>COUNTIFS(Catalogue!$C$4:$C$434,A7,Catalogue!$F$4:$F$434,"Underrated")</x:f>
        <x:v>3</x:v>
      </x:c>
      <x:c r="G7" s="28">
        <x:f t="shared" si="0"/>
        <x:v>7</x:v>
      </x:c>
      <x:c r="H7" s="28" t="n">
        <x:f>COUNTIFS(Catalogue!$C$4:$C$434,A7,Catalogue!$P$4:$P$434,"Pending Review")</x:f>
        <x:v>0</x:v>
      </x:c>
      <x:c r="I7" s="28" t="n">
        <x:f>COUNTIFS(Catalogue!$C$4:$C$434,A7,Catalogue!$R$4:$R$434,"Source Link Present")</x:f>
        <x:v>1</x:v>
      </x:c>
      <x:c r="J7" s="28">
        <x:f t="shared" si="1"/>
        <x:v>24</x:v>
      </x:c>
      <x:c r="K7" s="29">
        <x:f t="shared" si="2"/>
        <x:v>1</x:v>
      </x:c>
    </x:row>
    <x:row r="8" ht="15" customHeight="1">
      <x:c r="A8" s="28" t="s">
        <x:v>557</x:v>
      </x:c>
      <x:c r="B8" s="28" t="n">
        <x:f>COUNTIF(Catalogue!$C$4:$C$434,A8)</x:f>
        <x:v>26</x:v>
      </x:c>
      <x:c r="C8" s="28" t="n">
        <x:f>COUNTIFS(Catalogue!$C$4:$C$434,A8,Catalogue!$F$4:$F$434,"Popular")</x:f>
        <x:v>7</x:v>
      </x:c>
      <x:c r="D8" s="28" t="n">
        <x:f>COUNTIFS(Catalogue!$C$4:$C$434,A8,Catalogue!$F$4:$F$434,"Local")</x:f>
        <x:v>8</x:v>
      </x:c>
      <x:c r="E8" s="28" t="n">
        <x:f>COUNTIFS(Catalogue!$C$4:$C$434,A8,Catalogue!$F$4:$F$434,"Rural")</x:f>
        <x:v>1</x:v>
      </x:c>
      <x:c r="F8" s="28" t="n">
        <x:f>COUNTIFS(Catalogue!$C$4:$C$434,A8,Catalogue!$F$4:$F$434,"Underrated")</x:f>
        <x:v>3</x:v>
      </x:c>
      <x:c r="G8" s="28">
        <x:f t="shared" si="0"/>
        <x:v>7</x:v>
      </x:c>
      <x:c r="H8" s="28" t="n">
        <x:f>COUNTIFS(Catalogue!$C$4:$C$434,A8,Catalogue!$P$4:$P$434,"Pending Review")</x:f>
        <x:v>0</x:v>
      </x:c>
      <x:c r="I8" s="28" t="n">
        <x:f>COUNTIFS(Catalogue!$C$4:$C$434,A8,Catalogue!$R$4:$R$434,"Source Link Present")</x:f>
        <x:v>2</x:v>
      </x:c>
      <x:c r="J8" s="28">
        <x:f t="shared" si="1"/>
        <x:v>26</x:v>
      </x:c>
      <x:c r="K8" s="29">
        <x:f t="shared" si="2"/>
        <x:v>1</x:v>
      </x:c>
    </x:row>
    <x:row r="9" ht="15" customHeight="1">
      <x:c r="A9" s="28" t="s">
        <x:v>705</x:v>
      </x:c>
      <x:c r="B9" s="28" t="n">
        <x:f>COUNTIF(Catalogue!$C$4:$C$434,A9)</x:f>
        <x:v>25</x:v>
      </x:c>
      <x:c r="C9" s="28" t="n">
        <x:f>COUNTIFS(Catalogue!$C$4:$C$434,A9,Catalogue!$F$4:$F$434,"Popular")</x:f>
        <x:v>4</x:v>
      </x:c>
      <x:c r="D9" s="28" t="n">
        <x:f>COUNTIFS(Catalogue!$C$4:$C$434,A9,Catalogue!$F$4:$F$434,"Local")</x:f>
        <x:v>4</x:v>
      </x:c>
      <x:c r="E9" s="28" t="n">
        <x:f>COUNTIFS(Catalogue!$C$4:$C$434,A9,Catalogue!$F$4:$F$434,"Rural")</x:f>
        <x:v>2</x:v>
      </x:c>
      <x:c r="F9" s="28" t="n">
        <x:f>COUNTIFS(Catalogue!$C$4:$C$434,A9,Catalogue!$F$4:$F$434,"Underrated")</x:f>
        <x:v>5</x:v>
      </x:c>
      <x:c r="G9" s="28">
        <x:f t="shared" si="0"/>
        <x:v>10</x:v>
      </x:c>
      <x:c r="H9" s="28" t="n">
        <x:f>COUNTIFS(Catalogue!$C$4:$C$434,A9,Catalogue!$P$4:$P$434,"Pending Review")</x:f>
        <x:v>0</x:v>
      </x:c>
      <x:c r="I9" s="28" t="n">
        <x:f>COUNTIFS(Catalogue!$C$4:$C$434,A9,Catalogue!$R$4:$R$434,"Source Link Present")</x:f>
        <x:v>2</x:v>
      </x:c>
      <x:c r="J9" s="28">
        <x:f t="shared" si="1"/>
        <x:v>25</x:v>
      </x:c>
      <x:c r="K9" s="29">
        <x:f t="shared" si="2"/>
        <x:v>1</x:v>
      </x:c>
    </x:row>
    <x:row r="10" ht="15" customHeight="1">
      <x:c r="A10" s="28" t="s">
        <x:v>851</x:v>
      </x:c>
      <x:c r="B10" s="28" t="n">
        <x:f>COUNTIF(Catalogue!$C$4:$C$434,A10)</x:f>
        <x:v>30</x:v>
      </x:c>
      <x:c r="C10" s="28" t="n">
        <x:f>COUNTIFS(Catalogue!$C$4:$C$434,A10,Catalogue!$F$4:$F$434,"Popular")</x:f>
        <x:v>9</x:v>
      </x:c>
      <x:c r="D10" s="28" t="n">
        <x:f>COUNTIFS(Catalogue!$C$4:$C$434,A10,Catalogue!$F$4:$F$434,"Local")</x:f>
        <x:v>6</x:v>
      </x:c>
      <x:c r="E10" s="28" t="n">
        <x:f>COUNTIFS(Catalogue!$C$4:$C$434,A10,Catalogue!$F$4:$F$434,"Rural")</x:f>
        <x:v>2</x:v>
      </x:c>
      <x:c r="F10" s="28" t="n">
        <x:f>COUNTIFS(Catalogue!$C$4:$C$434,A10,Catalogue!$F$4:$F$434,"Underrated")</x:f>
        <x:v>4</x:v>
      </x:c>
      <x:c r="G10" s="28">
        <x:f t="shared" si="0"/>
        <x:v>9</x:v>
      </x:c>
      <x:c r="H10" s="28" t="n">
        <x:f>COUNTIFS(Catalogue!$C$4:$C$434,A10,Catalogue!$P$4:$P$434,"Pending Review")</x:f>
        <x:v>0</x:v>
      </x:c>
      <x:c r="I10" s="28" t="n">
        <x:f>COUNTIFS(Catalogue!$C$4:$C$434,A10,Catalogue!$R$4:$R$434,"Source Link Present")</x:f>
        <x:v>2</x:v>
      </x:c>
      <x:c r="J10" s="28">
        <x:f t="shared" si="1"/>
        <x:v>30</x:v>
      </x:c>
      <x:c r="K10" s="29">
        <x:f t="shared" si="2"/>
        <x:v>1</x:v>
      </x:c>
    </x:row>
    <x:row r="11" ht="15" customHeight="1">
      <x:c r="A11" s="28" t="s">
        <x:v>1023</x:v>
      </x:c>
      <x:c r="B11" s="28" t="n">
        <x:f>COUNTIF(Catalogue!$C$4:$C$434,A11)</x:f>
        <x:v>25</x:v>
      </x:c>
      <x:c r="C11" s="28" t="n">
        <x:f>COUNTIFS(Catalogue!$C$4:$C$434,A11,Catalogue!$F$4:$F$434,"Popular")</x:f>
        <x:v>8</x:v>
      </x:c>
      <x:c r="D11" s="28" t="n">
        <x:f>COUNTIFS(Catalogue!$C$4:$C$434,A11,Catalogue!$F$4:$F$434,"Local")</x:f>
        <x:v>7</x:v>
      </x:c>
      <x:c r="E11" s="28" t="n">
        <x:f>COUNTIFS(Catalogue!$C$4:$C$434,A11,Catalogue!$F$4:$F$434,"Rural")</x:f>
        <x:v>0</x:v>
      </x:c>
      <x:c r="F11" s="28" t="n">
        <x:f>COUNTIFS(Catalogue!$C$4:$C$434,A11,Catalogue!$F$4:$F$434,"Underrated")</x:f>
        <x:v>0</x:v>
      </x:c>
      <x:c r="G11" s="28">
        <x:f t="shared" si="0"/>
        <x:v>10</x:v>
      </x:c>
      <x:c r="H11" s="28" t="n">
        <x:f>COUNTIFS(Catalogue!$C$4:$C$434,A11,Catalogue!$P$4:$P$434,"Pending Review")</x:f>
        <x:v>0</x:v>
      </x:c>
      <x:c r="I11" s="28" t="n">
        <x:f>COUNTIFS(Catalogue!$C$4:$C$434,A11,Catalogue!$R$4:$R$434,"Source Link Present")</x:f>
        <x:v>2</x:v>
      </x:c>
      <x:c r="J11" s="28">
        <x:f t="shared" si="1"/>
        <x:v>25</x:v>
      </x:c>
      <x:c r="K11" s="29">
        <x:f t="shared" si="2"/>
        <x:v>1</x:v>
      </x:c>
    </x:row>
    <x:row r="12" ht="15" customHeight="1">
      <x:c r="A12" s="28" t="s">
        <x:v>1167</x:v>
      </x:c>
      <x:c r="B12" s="28" t="n">
        <x:f>COUNTIF(Catalogue!$C$4:$C$434,A12)</x:f>
        <x:v>29</x:v>
      </x:c>
      <x:c r="C12" s="28" t="n">
        <x:f>COUNTIFS(Catalogue!$C$4:$C$434,A12,Catalogue!$F$4:$F$434,"Popular")</x:f>
        <x:v>11</x:v>
      </x:c>
      <x:c r="D12" s="28" t="n">
        <x:f>COUNTIFS(Catalogue!$C$4:$C$434,A12,Catalogue!$F$4:$F$434,"Local")</x:f>
        <x:v>7</x:v>
      </x:c>
      <x:c r="E12" s="28" t="n">
        <x:f>COUNTIFS(Catalogue!$C$4:$C$434,A12,Catalogue!$F$4:$F$434,"Rural")</x:f>
        <x:v>2</x:v>
      </x:c>
      <x:c r="F12" s="28" t="n">
        <x:f>COUNTIFS(Catalogue!$C$4:$C$434,A12,Catalogue!$F$4:$F$434,"Underrated")</x:f>
        <x:v>1</x:v>
      </x:c>
      <x:c r="G12" s="28">
        <x:f t="shared" si="0"/>
        <x:v>8</x:v>
      </x:c>
      <x:c r="H12" s="28" t="n">
        <x:f>COUNTIFS(Catalogue!$C$4:$C$434,A12,Catalogue!$P$4:$P$434,"Pending Review")</x:f>
        <x:v>0</x:v>
      </x:c>
      <x:c r="I12" s="28" t="n">
        <x:f>COUNTIFS(Catalogue!$C$4:$C$434,A12,Catalogue!$R$4:$R$434,"Source Link Present")</x:f>
        <x:v>2</x:v>
      </x:c>
      <x:c r="J12" s="28">
        <x:f t="shared" si="1"/>
        <x:v>29</x:v>
      </x:c>
      <x:c r="K12" s="29">
        <x:f t="shared" si="2"/>
        <x:v>1</x:v>
      </x:c>
    </x:row>
    <x:row r="13" ht="15" customHeight="1">
      <x:c r="A13" s="28" t="s">
        <x:v>1338</x:v>
      </x:c>
      <x:c r="B13" s="28" t="n">
        <x:f>COUNTIF(Catalogue!$C$4:$C$434,A13)</x:f>
        <x:v>21</x:v>
      </x:c>
      <x:c r="C13" s="28" t="n">
        <x:f>COUNTIFS(Catalogue!$C$4:$C$434,A13,Catalogue!$F$4:$F$434,"Popular")</x:f>
        <x:v>2</x:v>
      </x:c>
      <x:c r="D13" s="28" t="n">
        <x:f>COUNTIFS(Catalogue!$C$4:$C$434,A13,Catalogue!$F$4:$F$434,"Local")</x:f>
        <x:v>6</x:v>
      </x:c>
      <x:c r="E13" s="28" t="n">
        <x:f>COUNTIFS(Catalogue!$C$4:$C$434,A13,Catalogue!$F$4:$F$434,"Rural")</x:f>
        <x:v>1</x:v>
      </x:c>
      <x:c r="F13" s="28" t="n">
        <x:f>COUNTIFS(Catalogue!$C$4:$C$434,A13,Catalogue!$F$4:$F$434,"Underrated")</x:f>
        <x:v>2</x:v>
      </x:c>
      <x:c r="G13" s="28">
        <x:f t="shared" si="0"/>
        <x:v>10</x:v>
      </x:c>
      <x:c r="H13" s="28" t="n">
        <x:f>COUNTIFS(Catalogue!$C$4:$C$434,A13,Catalogue!$P$4:$P$434,"Pending Review")</x:f>
        <x:v>0</x:v>
      </x:c>
      <x:c r="I13" s="28" t="n">
        <x:f>COUNTIFS(Catalogue!$C$4:$C$434,A13,Catalogue!$R$4:$R$434,"Source Link Present")</x:f>
        <x:v>2</x:v>
      </x:c>
      <x:c r="J13" s="28">
        <x:f t="shared" si="1"/>
        <x:v>21</x:v>
      </x:c>
      <x:c r="K13" s="29">
        <x:f t="shared" si="2"/>
        <x:v>1</x:v>
      </x:c>
    </x:row>
    <x:row r="14" ht="15" customHeight="1">
      <x:c r="A14" s="28" t="s">
        <x:v>1468</x:v>
      </x:c>
      <x:c r="B14" s="28" t="n">
        <x:f>COUNTIF(Catalogue!$C$4:$C$434,A14)</x:f>
        <x:v>33</x:v>
      </x:c>
      <x:c r="C14" s="28" t="n">
        <x:f>COUNTIFS(Catalogue!$C$4:$C$434,A14,Catalogue!$F$4:$F$434,"Popular")</x:f>
        <x:v>14</x:v>
      </x:c>
      <x:c r="D14" s="28" t="n">
        <x:f>COUNTIFS(Catalogue!$C$4:$C$434,A14,Catalogue!$F$4:$F$434,"Local")</x:f>
        <x:v>7</x:v>
      </x:c>
      <x:c r="E14" s="28" t="n">
        <x:f>COUNTIFS(Catalogue!$C$4:$C$434,A14,Catalogue!$F$4:$F$434,"Rural")</x:f>
        <x:v>2</x:v>
      </x:c>
      <x:c r="F14" s="28" t="n">
        <x:f>COUNTIFS(Catalogue!$C$4:$C$434,A14,Catalogue!$F$4:$F$434,"Underrated")</x:f>
        <x:v>1</x:v>
      </x:c>
      <x:c r="G14" s="28">
        <x:f t="shared" si="0"/>
        <x:v>9</x:v>
      </x:c>
      <x:c r="H14" s="28" t="n">
        <x:f>COUNTIFS(Catalogue!$C$4:$C$434,A14,Catalogue!$P$4:$P$434,"Pending Review")</x:f>
        <x:v>0</x:v>
      </x:c>
      <x:c r="I14" s="28" t="n">
        <x:f>COUNTIFS(Catalogue!$C$4:$C$434,A14,Catalogue!$R$4:$R$434,"Source Link Present")</x:f>
        <x:v>2</x:v>
      </x:c>
      <x:c r="J14" s="28">
        <x:f t="shared" si="1"/>
        <x:v>33</x:v>
      </x:c>
      <x:c r="K14" s="29">
        <x:f t="shared" si="2"/>
        <x:v>1</x:v>
      </x:c>
    </x:row>
    <x:row r="15" ht="15" customHeight="1">
      <x:c r="A15" s="28" t="s">
        <x:v>1660</x:v>
      </x:c>
      <x:c r="B15" s="28" t="n">
        <x:f>COUNTIF(Catalogue!$C$4:$C$434,A15)</x:f>
        <x:v>33</x:v>
      </x:c>
      <x:c r="C15" s="28" t="n">
        <x:f>COUNTIFS(Catalogue!$C$4:$C$434,A15,Catalogue!$F$4:$F$434,"Popular")</x:f>
        <x:v>10</x:v>
      </x:c>
      <x:c r="D15" s="28" t="n">
        <x:f>COUNTIFS(Catalogue!$C$4:$C$434,A15,Catalogue!$F$4:$F$434,"Local")</x:f>
        <x:v>6</x:v>
      </x:c>
      <x:c r="E15" s="28" t="n">
        <x:f>COUNTIFS(Catalogue!$C$4:$C$434,A15,Catalogue!$F$4:$F$434,"Rural")</x:f>
        <x:v>6</x:v>
      </x:c>
      <x:c r="F15" s="28" t="n">
        <x:f>COUNTIFS(Catalogue!$C$4:$C$434,A15,Catalogue!$F$4:$F$434,"Underrated")</x:f>
        <x:v>2</x:v>
      </x:c>
      <x:c r="G15" s="28">
        <x:f t="shared" si="0"/>
        <x:v>9</x:v>
      </x:c>
      <x:c r="H15" s="28" t="n">
        <x:f>COUNTIFS(Catalogue!$C$4:$C$434,A15,Catalogue!$P$4:$P$434,"Pending Review")</x:f>
        <x:v>0</x:v>
      </x:c>
      <x:c r="I15" s="28" t="n">
        <x:f>COUNTIFS(Catalogue!$C$4:$C$434,A15,Catalogue!$R$4:$R$434,"Source Link Present")</x:f>
        <x:v>2</x:v>
      </x:c>
      <x:c r="J15" s="28">
        <x:f t="shared" si="1"/>
        <x:v>33</x:v>
      </x:c>
      <x:c r="K15" s="29">
        <x:f t="shared" si="2"/>
        <x:v>1</x:v>
      </x:c>
    </x:row>
    <x:row r="16" ht="15" customHeight="1">
      <x:c r="A16" s="28" t="s">
        <x:v>1853</x:v>
      </x:c>
      <x:c r="B16" s="28" t="n">
        <x:f>COUNTIF(Catalogue!$C$4:$C$434,A16)</x:f>
        <x:v>29</x:v>
      </x:c>
      <x:c r="C16" s="28" t="n">
        <x:f>COUNTIFS(Catalogue!$C$4:$C$434,A16,Catalogue!$F$4:$F$434,"Popular")</x:f>
        <x:v>10</x:v>
      </x:c>
      <x:c r="D16" s="28" t="n">
        <x:f>COUNTIFS(Catalogue!$C$4:$C$434,A16,Catalogue!$F$4:$F$434,"Local")</x:f>
        <x:v>9</x:v>
      </x:c>
      <x:c r="E16" s="28" t="n">
        <x:f>COUNTIFS(Catalogue!$C$4:$C$434,A16,Catalogue!$F$4:$F$434,"Rural")</x:f>
        <x:v>0</x:v>
      </x:c>
      <x:c r="F16" s="28" t="n">
        <x:f>COUNTIFS(Catalogue!$C$4:$C$434,A16,Catalogue!$F$4:$F$434,"Underrated")</x:f>
        <x:v>1</x:v>
      </x:c>
      <x:c r="G16" s="28">
        <x:f t="shared" si="0"/>
        <x:v>9</x:v>
      </x:c>
      <x:c r="H16" s="28" t="n">
        <x:f>COUNTIFS(Catalogue!$C$4:$C$434,A16,Catalogue!$P$4:$P$434,"Pending Review")</x:f>
        <x:v>0</x:v>
      </x:c>
      <x:c r="I16" s="28" t="n">
        <x:f>COUNTIFS(Catalogue!$C$4:$C$434,A16,Catalogue!$R$4:$R$434,"Source Link Present")</x:f>
        <x:v>3</x:v>
      </x:c>
      <x:c r="J16" s="28">
        <x:f t="shared" si="1"/>
        <x:v>29</x:v>
      </x:c>
      <x:c r="K16" s="29">
        <x:f t="shared" si="2"/>
        <x:v>1</x:v>
      </x:c>
    </x:row>
    <x:row r="17" ht="15" customHeight="1">
      <x:c r="A17" s="28" t="s">
        <x:v>2026</x:v>
      </x:c>
      <x:c r="B17" s="28" t="n">
        <x:f>COUNTIF(Catalogue!$C$4:$C$434,A17)</x:f>
        <x:v>32</x:v>
      </x:c>
      <x:c r="C17" s="28" t="n">
        <x:f>COUNTIFS(Catalogue!$C$4:$C$434,A17,Catalogue!$F$4:$F$434,"Popular")</x:f>
        <x:v>11</x:v>
      </x:c>
      <x:c r="D17" s="28" t="n">
        <x:f>COUNTIFS(Catalogue!$C$4:$C$434,A17,Catalogue!$F$4:$F$434,"Local")</x:f>
        <x:v>8</x:v>
      </x:c>
      <x:c r="E17" s="28" t="n">
        <x:f>COUNTIFS(Catalogue!$C$4:$C$434,A17,Catalogue!$F$4:$F$434,"Rural")</x:f>
        <x:v>1</x:v>
      </x:c>
      <x:c r="F17" s="28" t="n">
        <x:f>COUNTIFS(Catalogue!$C$4:$C$434,A17,Catalogue!$F$4:$F$434,"Underrated")</x:f>
        <x:v>3</x:v>
      </x:c>
      <x:c r="G17" s="28">
        <x:f t="shared" si="0"/>
        <x:v>9</x:v>
      </x:c>
      <x:c r="H17" s="28" t="n">
        <x:f>COUNTIFS(Catalogue!$C$4:$C$434,A17,Catalogue!$P$4:$P$434,"Pending Review")</x:f>
        <x:v>0</x:v>
      </x:c>
      <x:c r="I17" s="28" t="n">
        <x:f>COUNTIFS(Catalogue!$C$4:$C$434,A17,Catalogue!$R$4:$R$434,"Source Link Present")</x:f>
        <x:v>2</x:v>
      </x:c>
      <x:c r="J17" s="28">
        <x:f t="shared" si="1"/>
        <x:v>32</x:v>
      </x:c>
      <x:c r="K17" s="29">
        <x:f t="shared" si="2"/>
        <x:v>1</x:v>
      </x:c>
    </x:row>
    <x:row r="18" ht="15" customHeight="1">
      <x:c r="A18" s="28" t="s">
        <x:v>2204</x:v>
      </x:c>
      <x:c r="B18" s="28" t="n">
        <x:f>COUNTIF(Catalogue!$C$4:$C$434,A18)</x:f>
        <x:v>24</x:v>
      </x:c>
      <x:c r="C18" s="28" t="n">
        <x:f>COUNTIFS(Catalogue!$C$4:$C$434,A18,Catalogue!$F$4:$F$434,"Popular")</x:f>
        <x:v>6</x:v>
      </x:c>
      <x:c r="D18" s="28" t="n">
        <x:f>COUNTIFS(Catalogue!$C$4:$C$434,A18,Catalogue!$F$4:$F$434,"Local")</x:f>
        <x:v>9</x:v>
      </x:c>
      <x:c r="E18" s="28" t="n">
        <x:f>COUNTIFS(Catalogue!$C$4:$C$434,A18,Catalogue!$F$4:$F$434,"Rural")</x:f>
        <x:v>0</x:v>
      </x:c>
      <x:c r="F18" s="28" t="n">
        <x:f>COUNTIFS(Catalogue!$C$4:$C$434,A18,Catalogue!$F$4:$F$434,"Underrated")</x:f>
        <x:v>1</x:v>
      </x:c>
      <x:c r="G18" s="28">
        <x:f t="shared" si="0"/>
        <x:v>8</x:v>
      </x:c>
      <x:c r="H18" s="28" t="n">
        <x:f>COUNTIFS(Catalogue!$C$4:$C$434,A18,Catalogue!$P$4:$P$434,"Pending Review")</x:f>
        <x:v>0</x:v>
      </x:c>
      <x:c r="I18" s="28" t="n">
        <x:f>COUNTIFS(Catalogue!$C$4:$C$434,A18,Catalogue!$R$4:$R$434,"Source Link Present")</x:f>
        <x:v>1</x:v>
      </x:c>
      <x:c r="J18" s="28">
        <x:f t="shared" si="1"/>
        <x:v>24</x:v>
      </x:c>
      <x:c r="K18" s="29">
        <x:f t="shared" si="2"/>
        <x:v>1</x:v>
      </x:c>
    </x:row>
    <x:row r="19" ht="15" customHeight="1">
      <x:c r="A19" s="28" t="s">
        <x:v>2351</x:v>
      </x:c>
      <x:c r="B19" s="28" t="n">
        <x:f>COUNTIF(Catalogue!$C$4:$C$434,A19)</x:f>
        <x:v>17</x:v>
      </x:c>
      <x:c r="C19" s="28" t="n">
        <x:f>COUNTIFS(Catalogue!$C$4:$C$434,A19,Catalogue!$F$4:$F$434,"Popular")</x:f>
        <x:v>3</x:v>
      </x:c>
      <x:c r="D19" s="28" t="n">
        <x:f>COUNTIFS(Catalogue!$C$4:$C$434,A19,Catalogue!$F$4:$F$434,"Local")</x:f>
        <x:v>4</x:v>
      </x:c>
      <x:c r="E19" s="28" t="n">
        <x:f>COUNTIFS(Catalogue!$C$4:$C$434,A19,Catalogue!$F$4:$F$434,"Rural")</x:f>
        <x:v>0</x:v>
      </x:c>
      <x:c r="F19" s="28" t="n">
        <x:f>COUNTIFS(Catalogue!$C$4:$C$434,A19,Catalogue!$F$4:$F$434,"Underrated")</x:f>
        <x:v>1</x:v>
      </x:c>
      <x:c r="G19" s="28">
        <x:f t="shared" si="0"/>
        <x:v>9</x:v>
      </x:c>
      <x:c r="H19" s="28" t="n">
        <x:f>COUNTIFS(Catalogue!$C$4:$C$434,A19,Catalogue!$P$4:$P$434,"Pending Review")</x:f>
        <x:v>0</x:v>
      </x:c>
      <x:c r="I19" s="28" t="n">
        <x:f>COUNTIFS(Catalogue!$C$4:$C$434,A19,Catalogue!$R$4:$R$434,"Source Link Present")</x:f>
        <x:v>2</x:v>
      </x:c>
      <x:c r="J19" s="28">
        <x:f t="shared" si="1"/>
        <x:v>17</x:v>
      </x:c>
      <x:c r="K19" s="29">
        <x:f t="shared" si="2"/>
        <x:v>1</x:v>
      </x:c>
    </x:row>
    <x:row r="20" ht="15" customHeight="1">
      <x:c r="A20" s="30" t="s">
        <x:v>2458</x:v>
      </x:c>
      <x:c r="B20" s="30" t="n">
        <x:f>COUNTIF(Catalogue!$C$4:$C$434,A20)</x:f>
        <x:v>19</x:v>
      </x:c>
      <x:c r="C20" s="30" t="n">
        <x:f>COUNTIFS(Catalogue!$C$4:$C$434,A20,Catalogue!$F$4:$F$434,"Popular")</x:f>
        <x:v>1</x:v>
      </x:c>
      <x:c r="D20" s="30" t="n">
        <x:f>COUNTIFS(Catalogue!$C$4:$C$434,A20,Catalogue!$F$4:$F$434,"Local")</x:f>
        <x:v>5</x:v>
      </x:c>
      <x:c r="E20" s="30" t="n">
        <x:f>COUNTIFS(Catalogue!$C$4:$C$434,A20,Catalogue!$F$4:$F$434,"Rural")</x:f>
        <x:v>0</x:v>
      </x:c>
      <x:c r="F20" s="30" t="n">
        <x:f>COUNTIFS(Catalogue!$C$4:$C$434,A20,Catalogue!$F$4:$F$434,"Underrated")</x:f>
        <x:v>4</x:v>
      </x:c>
      <x:c r="G20" s="30">
        <x:f t="shared" si="0"/>
        <x:v>9</x:v>
      </x:c>
      <x:c r="H20" s="30" t="n">
        <x:f>COUNTIFS(Catalogue!$C$4:$C$434,A20,Catalogue!$P$4:$P$434,"Pending Review")</x:f>
        <x:v>0</x:v>
      </x:c>
      <x:c r="I20" s="30" t="n">
        <x:f>COUNTIFS(Catalogue!$C$4:$C$434,A20,Catalogue!$R$4:$R$434,"Source Link Present")</x:f>
        <x:v>2</x:v>
      </x:c>
      <x:c r="J20" s="30">
        <x:f t="shared" si="1"/>
        <x:v>19</x:v>
      </x:c>
      <x:c r="K20" s="31">
        <x:f t="shared" si="2"/>
        <x:v>1</x:v>
      </x:c>
    </x:row>
    <x:row r="21" ht="15" customHeight="1">
      <x:c r="A21" s="24"/>
      <x:c r="B21" s="24"/>
      <x:c r="C21" s="24"/>
      <x:c r="D21" s="24"/>
      <x:c r="E21" s="24"/>
      <x:c r="F21" s="24"/>
      <x:c r="G21" s="24"/>
      <x:c r="H21" s="24"/>
      <x:c r="I21" s="24"/>
      <x:c r="J21" s="24"/>
      <x:c r="K21" s="32"/>
    </x:row>
    <x:row r="22" ht="15" customHeight="1">
      <x:c r="A22" s="33" t="s">
        <x:v>2584</x:v>
      </x:c>
      <x:c r="B22" s="33" t="n">
        <x:f t="shared" ref="B22:J22" si="3">SUM(B5:B20)</x:f>
        <x:v>431</x:v>
      </x:c>
      <x:c r="C22" s="33">
        <x:f t="shared" si="3"/>
        <x:v>112</x:v>
      </x:c>
      <x:c r="D22" s="33">
        <x:f t="shared" si="3"/>
        <x:v>114</x:v>
      </x:c>
      <x:c r="E22" s="33">
        <x:f t="shared" si="3"/>
        <x:v>25</x:v>
      </x:c>
      <x:c r="F22" s="33">
        <x:f t="shared" si="3"/>
        <x:v>38</x:v>
      </x:c>
      <x:c r="G22" s="33">
        <x:f t="shared" si="3"/>
        <x:v>142</x:v>
      </x:c>
      <x:c r="H22" s="33">
        <x:f t="shared" si="3"/>
        <x:v>0</x:v>
      </x:c>
      <x:c r="I22" s="33">
        <x:f t="shared" si="3"/>
        <x:v>32</x:v>
      </x:c>
      <x:c r="J22" s="33">
        <x:f t="shared" si="3"/>
        <x:v>431</x:v>
      </x:c>
      <x:c r="K22" s="34" t="n">
        <x:f>IF(B22=0,0,J22/B22)</x:f>
        <x:v>1</x:v>
      </x:c>
    </x:row>
  </x:sheetData>
  <x:mergeCells>
    <x:mergeCell ref="A1:K1"/>
    <x:mergeCell ref="A2:K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8.7109375" defaultRowHeight="12.75"/>
  <x:cols>
    <x:col min="1" max="1" width="22" style="9" customWidth="1"/>
    <x:col min="2" max="2" width="48" style="9" customWidth="1"/>
    <x:col min="3" max="3" width="30" style="9" customWidth="1"/>
    <x:col min="4" max="4" width="34" style="9" customWidth="1"/>
    <x:col min="5" max="5" width="52" style="9" customWidth="1"/>
  </x:cols>
  <x:sheetData>
    <x:row r="1" ht="30" customHeight="1">
      <x:c r="A1" s="6" t="s">
        <x:v>2585</x:v>
      </x:c>
      <x:c r="B1" s="6"/>
      <x:c r="C1" s="6"/>
      <x:c r="D1" s="6"/>
      <x:c r="E1" s="6"/>
    </x:row>
    <x:row r="2" ht="31.5" customHeight="1">
      <x:c r="A2" s="4" t="s">
        <x:v>2586</x:v>
      </x:c>
      <x:c r="B2" s="4"/>
      <x:c r="C2" s="4"/>
      <x:c r="D2" s="4"/>
      <x:c r="E2" s="4"/>
    </x:row>
    <x:row r="4" ht="30" customHeight="1">
      <x:c r="A4" s="35" t="s">
        <x:v>4</x:v>
      </x:c>
      <x:c r="B4" s="35" t="s">
        <x:v>2587</x:v>
      </x:c>
      <x:c r="C4" s="35" t="s">
        <x:v>2588</x:v>
      </x:c>
      <x:c r="D4" s="35" t="s">
        <x:v>2589</x:v>
      </x:c>
      <x:c r="E4" s="35" t="s">
        <x:v>2590</x:v>
      </x:c>
    </x:row>
    <x:row r="5" ht="36" customHeight="1">
      <x:c r="A5" s="13" t="s">
        <x:v>22</x:v>
      </x:c>
      <x:c r="B5" s="13" t="s">
        <x:v>30</x:v>
      </x:c>
      <x:c r="C5" s="13" t="s">
        <x:v>2591</x:v>
      </x:c>
      <x:c r="D5" s="13" t="s">
        <x:v>2592</x:v>
      </x:c>
      <x:c r="E5" s="13" t="s">
        <x:v>2593</x:v>
      </x:c>
    </x:row>
    <x:row r="6" ht="36" customHeight="1">
      <x:c r="A6" s="17" t="s">
        <x:v>249</x:v>
      </x:c>
      <x:c r="B6" s="17" t="s">
        <x:v>255</x:v>
      </x:c>
      <x:c r="C6" s="17" t="s">
        <x:v>2591</x:v>
      </x:c>
      <x:c r="D6" s="17" t="s">
        <x:v>2592</x:v>
      </x:c>
      <x:c r="E6" s="17" t="s">
        <x:v>2593</x:v>
      </x:c>
    </x:row>
    <x:row r="7" ht="36" customHeight="1">
      <x:c r="A7" s="17" t="s">
        <x:v>417</x:v>
      </x:c>
      <x:c r="B7" s="17" t="s">
        <x:v>422</x:v>
      </x:c>
      <x:c r="C7" s="17" t="s">
        <x:v>2591</x:v>
      </x:c>
      <x:c r="D7" s="17" t="s">
        <x:v>2592</x:v>
      </x:c>
      <x:c r="E7" s="17" t="s">
        <x:v>2593</x:v>
      </x:c>
    </x:row>
    <x:row r="8" ht="36" customHeight="1">
      <x:c r="A8" s="17" t="s">
        <x:v>557</x:v>
      </x:c>
      <x:c r="B8" s="17" t="s">
        <x:v>562</x:v>
      </x:c>
      <x:c r="C8" s="17" t="s">
        <x:v>2591</x:v>
      </x:c>
      <x:c r="D8" s="17" t="s">
        <x:v>2592</x:v>
      </x:c>
      <x:c r="E8" s="17" t="s">
        <x:v>2593</x:v>
      </x:c>
    </x:row>
    <x:row r="9" ht="36" customHeight="1">
      <x:c r="A9" s="17" t="s">
        <x:v>705</x:v>
      </x:c>
      <x:c r="B9" s="17" t="s">
        <x:v>709</x:v>
      </x:c>
      <x:c r="C9" s="17" t="s">
        <x:v>2591</x:v>
      </x:c>
      <x:c r="D9" s="17" t="s">
        <x:v>2592</x:v>
      </x:c>
      <x:c r="E9" s="17" t="s">
        <x:v>2593</x:v>
      </x:c>
    </x:row>
    <x:row r="10" ht="36" customHeight="1">
      <x:c r="A10" s="17" t="s">
        <x:v>851</x:v>
      </x:c>
      <x:c r="B10" s="17" t="s">
        <x:v>855</x:v>
      </x:c>
      <x:c r="C10" s="17" t="s">
        <x:v>2591</x:v>
      </x:c>
      <x:c r="D10" s="17" t="s">
        <x:v>2592</x:v>
      </x:c>
      <x:c r="E10" s="17" t="s">
        <x:v>2593</x:v>
      </x:c>
    </x:row>
    <x:row r="11" ht="36" customHeight="1">
      <x:c r="A11" s="17" t="s">
        <x:v>1023</x:v>
      </x:c>
      <x:c r="B11" s="17" t="s">
        <x:v>1028</x:v>
      </x:c>
      <x:c r="C11" s="17" t="s">
        <x:v>2591</x:v>
      </x:c>
      <x:c r="D11" s="17" t="s">
        <x:v>2592</x:v>
      </x:c>
      <x:c r="E11" s="17" t="s">
        <x:v>2593</x:v>
      </x:c>
    </x:row>
    <x:row r="12" ht="36" customHeight="1">
      <x:c r="A12" s="17" t="s">
        <x:v>1167</x:v>
      </x:c>
      <x:c r="B12" s="17" t="s">
        <x:v>1172</x:v>
      </x:c>
      <x:c r="C12" s="17" t="s">
        <x:v>2591</x:v>
      </x:c>
      <x:c r="D12" s="17" t="s">
        <x:v>2592</x:v>
      </x:c>
      <x:c r="E12" s="17" t="s">
        <x:v>2593</x:v>
      </x:c>
    </x:row>
    <x:row r="13" ht="36" customHeight="1">
      <x:c r="A13" s="17" t="s">
        <x:v>1338</x:v>
      </x:c>
      <x:c r="B13" s="17" t="s">
        <x:v>1343</x:v>
      </x:c>
      <x:c r="C13" s="17" t="s">
        <x:v>2591</x:v>
      </x:c>
      <x:c r="D13" s="17" t="s">
        <x:v>2592</x:v>
      </x:c>
      <x:c r="E13" s="17" t="s">
        <x:v>2593</x:v>
      </x:c>
    </x:row>
    <x:row r="14" ht="36" customHeight="1">
      <x:c r="A14" s="17" t="s">
        <x:v>1468</x:v>
      </x:c>
      <x:c r="B14" s="17" t="s">
        <x:v>1473</x:v>
      </x:c>
      <x:c r="C14" s="17" t="s">
        <x:v>2591</x:v>
      </x:c>
      <x:c r="D14" s="17" t="s">
        <x:v>2592</x:v>
      </x:c>
      <x:c r="E14" s="17" t="s">
        <x:v>2593</x:v>
      </x:c>
    </x:row>
    <x:row r="15" ht="36" customHeight="1">
      <x:c r="A15" s="17" t="s">
        <x:v>1660</x:v>
      </x:c>
      <x:c r="B15" s="17" t="s">
        <x:v>1665</x:v>
      </x:c>
      <x:c r="C15" s="17" t="s">
        <x:v>2591</x:v>
      </x:c>
      <x:c r="D15" s="17" t="s">
        <x:v>2592</x:v>
      </x:c>
      <x:c r="E15" s="17" t="s">
        <x:v>2593</x:v>
      </x:c>
    </x:row>
    <x:row r="16" ht="36" customHeight="1">
      <x:c r="A16" s="17" t="s">
        <x:v>1853</x:v>
      </x:c>
      <x:c r="B16" s="17" t="s">
        <x:v>1858</x:v>
      </x:c>
      <x:c r="C16" s="17" t="s">
        <x:v>2591</x:v>
      </x:c>
      <x:c r="D16" s="17" t="s">
        <x:v>2592</x:v>
      </x:c>
      <x:c r="E16" s="17" t="s">
        <x:v>2593</x:v>
      </x:c>
    </x:row>
    <x:row r="17" ht="36" customHeight="1">
      <x:c r="A17" s="17" t="s">
        <x:v>2026</x:v>
      </x:c>
      <x:c r="B17" s="17" t="s">
        <x:v>2031</x:v>
      </x:c>
      <x:c r="C17" s="17" t="s">
        <x:v>2591</x:v>
      </x:c>
      <x:c r="D17" s="17" t="s">
        <x:v>2592</x:v>
      </x:c>
      <x:c r="E17" s="17" t="s">
        <x:v>2593</x:v>
      </x:c>
    </x:row>
    <x:row r="18" ht="36" customHeight="1">
      <x:c r="A18" s="17" t="s">
        <x:v>2204</x:v>
      </x:c>
      <x:c r="B18" s="17" t="s">
        <x:v>2209</x:v>
      </x:c>
      <x:c r="C18" s="17" t="s">
        <x:v>2591</x:v>
      </x:c>
      <x:c r="D18" s="17" t="s">
        <x:v>2592</x:v>
      </x:c>
      <x:c r="E18" s="17" t="s">
        <x:v>2593</x:v>
      </x:c>
    </x:row>
    <x:row r="19" ht="36" customHeight="1">
      <x:c r="A19" s="17" t="s">
        <x:v>2351</x:v>
      </x:c>
      <x:c r="B19" s="17" t="s">
        <x:v>2356</x:v>
      </x:c>
      <x:c r="C19" s="17" t="s">
        <x:v>2591</x:v>
      </x:c>
      <x:c r="D19" s="17" t="s">
        <x:v>2592</x:v>
      </x:c>
      <x:c r="E19" s="17" t="s">
        <x:v>2593</x:v>
      </x:c>
    </x:row>
    <x:row r="20" ht="36" customHeight="1">
      <x:c r="A20" s="21" t="s">
        <x:v>2458</x:v>
      </x:c>
      <x:c r="B20" s="21" t="s">
        <x:v>2463</x:v>
      </x:c>
      <x:c r="C20" s="21" t="s">
        <x:v>2591</x:v>
      </x:c>
      <x:c r="D20" s="21" t="s">
        <x:v>2592</x:v>
      </x:c>
      <x:c r="E20" s="21" t="s">
        <x:v>2593</x:v>
      </x:c>
    </x:row>
  </x:sheetData>
  <x:mergeCells>
    <x:mergeCell ref="A1:E1"/>
    <x:mergeCell ref="A2:E2"/>
  </x:mergeCells>
  <x:pageMargins left="0.7" right="0.7" top="0.75" bottom="0.75" header="0.3" footer="0.3"/>
  <x:tableParts count="1">
    <x:tablePart xmlns:r="http://schemas.openxmlformats.org/officeDocument/2006/relationships" r:id="R38f8dd3e78054ec4"/>
  </x:tableParts>
</x:worksheet>
</file>

<file path=xl/worksheets/sheet4.xml><?xml version="1.0" encoding="utf-8"?>
<x:worksheet xmlns:x="http://schemas.openxmlformats.org/spreadsheetml/2006/main">
  <x:sheetViews>
    <x:sheetView showGridLines="0" workbookViewId="0"/>
  </x:sheetViews>
  <x:sheetFormatPr defaultColWidth="8.7109375" defaultRowHeight="12.75"/>
  <x:cols>
    <x:col min="1" max="1" width="27" style="9" hidden="0" customWidth="1"/>
    <x:col min="2" max="2" width="36" style="9" hidden="0" customWidth="1"/>
    <x:col min="3" max="3" width="75" style="9" hidden="0" customWidth="1"/>
    <x:col min="4" max="6" width="12" style="9" customWidth="1"/>
  </x:cols>
  <x:sheetData>
    <x:row r="1" ht="30" customHeight="1">
      <x:c r="A1" s="6" t="s">
        <x:v>2594</x:v>
      </x:c>
      <x:c r="B1" s="6"/>
      <x:c r="C1" s="6"/>
      <x:c r="D1" s="6"/>
      <x:c r="E1" s="6"/>
      <x:c r="F1" s="6"/>
    </x:row>
    <x:row r="3" ht="24" customHeight="1">
      <x:c r="A3" s="3" t="s">
        <x:v>2595</x:v>
      </x:c>
      <x:c r="B3" s="3"/>
      <x:c r="C3" s="3"/>
      <x:c r="D3" s="3"/>
      <x:c r="E3" s="3"/>
      <x:c r="F3" s="3"/>
    </x:row>
    <x:row r="4" ht="34.5" customHeight="1">
      <x:c r="A4" s="36" t="s">
        <x:v>2596</x:v>
      </x:c>
      <x:c r="B4" s="36" t="s">
        <x:v>2597</x:v>
      </x:c>
      <x:c r="C4" s="36" t="s">
        <x:v>2598</x:v>
      </x:c>
      <x:c r="D4" s="36"/>
      <x:c r="E4" s="36"/>
      <x:c r="F4" s="36"/>
    </x:row>
    <x:row r="5" ht="34.5" customHeight="1">
      <x:c r="A5" s="37" t="s">
        <x:v>2599</x:v>
      </x:c>
      <x:c r="B5" s="37" t="s">
        <x:v>2600</x:v>
      </x:c>
      <x:c r="C5" s="37" t="s">
        <x:v>2601</x:v>
      </x:c>
      <x:c r="D5" s="37"/>
      <x:c r="E5" s="37"/>
      <x:c r="F5" s="37"/>
    </x:row>
    <x:row r="6" ht="34.5" customHeight="1">
      <x:c r="A6" s="37" t="s">
        <x:v>2602</x:v>
      </x:c>
      <x:c r="B6" s="37" t="s">
        <x:v>2603</x:v>
      </x:c>
      <x:c r="C6" s="37" t="s">
        <x:v>2604</x:v>
      </x:c>
      <x:c r="D6" s="37"/>
      <x:c r="E6" s="37"/>
      <x:c r="F6" s="37"/>
    </x:row>
    <x:row r="7" ht="34.5" customHeight="1">
      <x:c r="A7" s="37" t="s">
        <x:v>2605</x:v>
      </x:c>
      <x:c r="B7" s="37" t="s">
        <x:v>2606</x:v>
      </x:c>
      <x:c r="C7" s="37" t="s">
        <x:v>2607</x:v>
      </x:c>
      <x:c r="D7" s="37"/>
      <x:c r="E7" s="37"/>
      <x:c r="F7" s="37"/>
    </x:row>
    <x:row r="8" ht="34.5" customHeight="1">
      <x:c r="A8" s="38" t="s">
        <x:v>2608</x:v>
      </x:c>
      <x:c r="B8" s="38" t="s">
        <x:v>2609</x:v>
      </x:c>
      <x:c r="C8" s="38" t="s">
        <x:v>2610</x:v>
      </x:c>
      <x:c r="D8" s="38"/>
      <x:c r="E8" s="38"/>
      <x:c r="F8" s="38"/>
    </x:row>
    <x:row r="10" ht="24" customHeight="1">
      <x:c r="A10" s="3" t="s">
        <x:v>2611</x:v>
      </x:c>
      <x:c r="B10" s="3"/>
      <x:c r="C10" s="3"/>
      <x:c r="D10" s="3"/>
      <x:c r="E10" s="3"/>
      <x:c r="F10" s="3"/>
    </x:row>
    <x:row r="11" ht="15" customHeight="1">
      <x:c r="A11" s="39" t="s">
        <x:v>2612</x:v>
      </x:c>
      <x:c r="B11" s="39" t="s">
        <x:v>2613</x:v>
      </x:c>
      <x:c r="C11" s="39" t="s">
        <x:v>2614</x:v>
      </x:c>
    </x:row>
    <x:row r="12" ht="30" customHeight="1">
      <x:c r="A12" s="40" t="s">
        <x:v>2580</x:v>
      </x:c>
      <x:c r="B12" s="40" t="s">
        <x:v>2615</x:v>
      </x:c>
      <x:c r="C12" s="40" t="s">
        <x:v>2616</x:v>
      </x:c>
    </x:row>
    <x:row r="13" ht="30" customHeight="1">
      <x:c r="A13" s="41" t="s">
        <x:v>2617</x:v>
      </x:c>
      <x:c r="B13" s="41" t="s">
        <x:v>2618</x:v>
      </x:c>
      <x:c r="C13" s="41" t="s">
        <x:v>2619</x:v>
      </x:c>
    </x:row>
    <x:row r="14" ht="30" customHeight="1">
      <x:c r="A14" s="41" t="s">
        <x:v>2620</x:v>
      </x:c>
      <x:c r="B14" s="41" t="s">
        <x:v>2621</x:v>
      </x:c>
      <x:c r="C14" s="41" t="s">
        <x:v>2622</x:v>
      </x:c>
    </x:row>
    <x:row r="15" ht="30" customHeight="1">
      <x:c r="A15" s="42" t="s">
        <x:v>1410</x:v>
      </x:c>
      <x:c r="B15" s="42" t="s">
        <x:v>2623</x:v>
      </x:c>
      <x:c r="C15" s="42" t="s">
        <x:v>2624</x:v>
      </x:c>
    </x:row>
    <x:row r="17" ht="24" customHeight="1">
      <x:c r="A17" s="3" t="s">
        <x:v>2625</x:v>
      </x:c>
      <x:c r="B17" s="3"/>
      <x:c r="C17" s="3"/>
      <x:c r="D17" s="3"/>
      <x:c r="E17" s="3"/>
      <x:c r="F17" s="3"/>
    </x:row>
    <x:row r="18" ht="27.75" customHeight="1">
      <x:c r="A18" s="2" t="s">
        <x:v>2626</x:v>
      </x:c>
      <x:c r="B18" s="2"/>
      <x:c r="C18" s="2"/>
      <x:c r="D18" s="2"/>
      <x:c r="E18" s="2"/>
      <x:c r="F18" s="2"/>
    </x:row>
    <x:row r="19" ht="27.75" customHeight="1">
      <x:c r="A19" s="2"/>
      <x:c r="B19" s="2"/>
      <x:c r="C19" s="2"/>
      <x:c r="D19" s="2"/>
      <x:c r="E19" s="2"/>
      <x:c r="F19" s="2"/>
    </x:row>
    <x:row r="20" ht="27.75" customHeight="1">
      <x:c r="A20" s="2"/>
      <x:c r="B20" s="2"/>
      <x:c r="C20" s="2"/>
      <x:c r="D20" s="2"/>
      <x:c r="E20" s="2"/>
      <x:c r="F20" s="2"/>
    </x:row>
    <x:row r="21" ht="30" customHeight="1">
      <x:c r="A21" s="1" t="s">
        <x:v>2627</x:v>
      </x:c>
      <x:c r="B21" s="1"/>
      <x:c r="C21" s="1"/>
      <x:c r="D21" s="1"/>
      <x:c r="E21" s="1"/>
      <x:c r="F21" s="1"/>
    </x:row>
    <x:row r="22" ht="30" customHeight="1">
      <x:c r="A22" s="1"/>
      <x:c r="B22" s="1"/>
      <x:c r="C22" s="1"/>
      <x:c r="D22" s="1"/>
      <x:c r="E22" s="1"/>
      <x:c r="F22" s="1"/>
    </x:row>
    <x:row r="23" ht="16.799999237060547" hidden="0" customHeight="1">
      <x:c r="A23" s="77" t="str">
        <x:v>Elderly accessibility review</x:v>
      </x:c>
      <x:c r="B23" s="77"/>
      <x:c r="C23" s="77"/>
    </x:row>
    <x:row r="24" ht="12.75" hidden="0" customHeight="1">
      <x:c r="A24" s="78" t="str">
        <x:v>Field</x:v>
      </x:c>
      <x:c r="B24" s="78" t="str">
        <x:v>Allowed values</x:v>
      </x:c>
      <x:c r="C24" s="78" t="str">
        <x:v>How to review</x:v>
      </x:c>
    </x:row>
    <x:row r="25" ht="12.75" hidden="0" customHeight="1">
      <x:c r="A25" s="57" t="str">
        <x:v>Walking Difficulty</x:v>
      </x:c>
      <x:c r="B25" s="58" t="str">
        <x:v>Low / Moderate / High / Unknown</x:v>
      </x:c>
      <x:c r="C25" s="58" t="str">
        <x:v>Consider walking distance, slopes and physical effort using a reliable source.</x:v>
      </x:c>
    </x:row>
    <x:row r="26" ht="12.75" hidden="0" customHeight="1">
      <x:c r="A26" s="60" t="str">
        <x:v>Step-Free Access</x:v>
      </x:c>
      <x:c r="B26" s="61" t="str">
        <x:v>Yes / Partial / No / Unknown</x:v>
      </x:c>
      <x:c r="C26" s="61" t="str">
        <x:v>Record ramps, lifts and whether important visitor areas require stairs.</x:v>
      </x:c>
    </x:row>
    <x:row r="27" ht="12.75" hidden="0" customHeight="1">
      <x:c r="A27" s="60" t="str">
        <x:v>Resting Seats Available</x:v>
      </x:c>
      <x:c r="B27" s="61" t="str">
        <x:v>Yes / Partial / No / Unknown</x:v>
      </x:c>
      <x:c r="C27" s="61" t="str">
        <x:v>Confirm benches or designated resting areas along the visitor route.</x:v>
      </x:c>
    </x:row>
    <x:row r="28" ht="12.75" hidden="0" customHeight="1">
      <x:c r="A28" s="60" t="str">
        <x:v>Accessible Toilet</x:v>
      </x:c>
      <x:c r="B28" s="61" t="str">
        <x:v>Yes / Partial / No / Unknown</x:v>
      </x:c>
      <x:c r="C28" s="61" t="str">
        <x:v>Use Yes only when an accessible toilet is specifically documented.</x:v>
      </x:c>
    </x:row>
    <x:row r="29" ht="12.75" hidden="0" customHeight="1">
      <x:c r="A29" s="60" t="str">
        <x:v>Parking Proximity</x:v>
      </x:c>
      <x:c r="B29" s="61" t="str">
        <x:v>Near / Moderate / Far / Unknown</x:v>
      </x:c>
      <x:c r="C29" s="61" t="str">
        <x:v>Assess the distance from parking or drop-off to the main entrance.</x:v>
      </x:c>
    </x:row>
    <x:row r="30" ht="12.75" hidden="0" customHeight="1">
      <x:c r="A30" s="60" t="str">
        <x:v>Shelter Available</x:v>
      </x:c>
      <x:c r="B30" s="61" t="str">
        <x:v>Yes / Partial / No / Unknown</x:v>
      </x:c>
      <x:c r="C30" s="61" t="str">
        <x:v>Record shade, covered walkways or sheltered resting areas.</x:v>
      </x:c>
    </x:row>
    <x:row r="31" ht="24" hidden="0" customHeight="1">
      <x:c r="A31" s="60" t="str">
        <x:v>Elderly Suitability</x:v>
      </x:c>
      <x:c r="B31" s="61" t="str">
        <x:v>Suitable / Suitable with assistance / Not recommended / Unknown</x:v>
      </x:c>
      <x:c r="C31" s="61" t="str">
        <x:v>Summarise supported mobility evidence; do not infer from category alone.</x:v>
      </x:c>
    </x:row>
    <x:row r="32" ht="12.75" hidden="0" customHeight="1">
      <x:c r="A32" s="60" t="str">
        <x:v>Elderly Accessibility Notes</x:v>
      </x:c>
      <x:c r="B32" s="61" t="str">
        <x:v>Source-supported free text</x:v>
      </x:c>
      <x:c r="C32" s="61" t="str">
        <x:v>State useful facilities and remaining barriers concisely.</x:v>
      </x:c>
    </x:row>
    <x:row r="33" ht="12.75" hidden="0" customHeight="1">
      <x:c r="A33" s="60" t="str">
        <x:v>Evidence rule</x:v>
      </x:c>
      <x:c r="B33" s="61" t="str">
        <x:v>Do not guess</x:v>
      </x:c>
      <x:c r="C33" s="61" t="str">
        <x:v>Keep Unknown when the attraction source does not document the feature.</x:v>
      </x:c>
    </x:row>
    <x:row r="34" ht="12.75" hidden="0" customHeight="1">
      <x:c r="A34" s="60" t="str">
        <x:v>Safety rule</x:v>
      </x:c>
      <x:c r="B34" s="61" t="str">
        <x:v>No medical or safety guarantee</x:v>
      </x:c>
      <x:c r="C34" s="61" t="str">
        <x:v>Describe recorded facilities and barriers without guaranteeing suitability for every visitor.</x:v>
      </x:c>
    </x:row>
  </x:sheetData>
  <x:mergeCells>
    <x:mergeCell ref="A21:F22"/>
    <x:mergeCell ref="A1:F1"/>
    <x:mergeCell ref="A3:F3"/>
    <x:mergeCell ref="A10:F10"/>
    <x:mergeCell ref="A17:F17"/>
    <x:mergeCell ref="A18:F20"/>
    <x:mergeCell ref="A23:C23"/>
  </x:mergeCells>
  <x:pageMargins left="0.7" right="0.7" top="0.75" bottom="0.75" header="0.3" footer="0.3"/>
</x:worksheet>
</file>