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2bcd4c0e2a4517" /></Relationships>
</file>

<file path=xl/workbook.xml><?xml version="1.0" encoding="utf-8"?>
<x:workbook xmlns:x="http://schemas.openxmlformats.org/spreadsheetml/2006/main">
  <x:sheets>
    <x:sheet xmlns:r="http://schemas.openxmlformats.org/officeDocument/2006/relationships" name="Catalogue" sheetId="1" r:id="R5744736b219e4063"/>
    <x:sheet xmlns:r="http://schemas.openxmlformats.org/officeDocument/2006/relationships" name="State Progress" sheetId="2" r:id="Rc5e27bc716294cba"/>
    <x:sheet xmlns:r="http://schemas.openxmlformats.org/officeDocument/2006/relationships" name="Source Index" sheetId="3" r:id="Re8b608b5a5214132"/>
    <x:sheet xmlns:r="http://schemas.openxmlformats.org/officeDocument/2006/relationships" name="Review Guide" sheetId="4" r:id="R5dca72c8e0164166"/>
    <x:sheet xmlns:r="http://schemas.openxmlformats.org/officeDocument/2006/relationships" name="Elderly Screening" sheetId="5" r:id="Rfc6c507dc4264060"/>
    <x:sheet xmlns:r="http://schemas.openxmlformats.org/officeDocument/2006/relationships" name="Image Library" sheetId="6" r:id="Re36fbf8a2d69493a"/>
    <x:sheet xmlns:r="http://schemas.openxmlformats.org/officeDocument/2006/relationships" name="Research Notes" sheetId="7" r:id="R70ab9b65e819443d"/>
    <x:sheet xmlns:r="http://schemas.openxmlformats.org/officeDocument/2006/relationships" name="Identity Review" sheetId="8" r:id="R182da2817b7f490a"/>
  </x:sheets>
</x:workbook>
</file>

<file path=xl/sharedStrings.xml><?xml version="1.0" encoding="utf-8"?>
<x:sst xmlns:x="http://schemas.openxmlformats.org/spreadsheetml/2006/main">
  <x:si>
    <x:t xml:space="preserve">State-by-State Review Queue</x:t>
  </x:si>
  <x:si>
    <x:t xml:space="preserve">Counts update automatically when Review Status or Coverage Lens is changed in the Catalogue sheet.</x:t>
  </x:si>
  <x:si>
    <x:t xml:space="preserve">State / Territory</x:t>
  </x:si>
  <x:si>
    <x:t xml:space="preserve">Candidates</x:t>
  </x:si>
  <x:si>
    <x:t xml:space="preserve">Popular</x:t>
  </x:si>
  <x:si>
    <x:t xml:space="preserve">Local</x:t>
  </x:si>
  <x:si>
    <x:t xml:space="preserve">Rural</x:t>
  </x:si>
  <x:si>
    <x:t xml:space="preserve">Underrated</x:t>
  </x:si>
  <x:si>
    <x:t xml:space="preserve">Unclassified / Other</x:t>
  </x:si>
  <x:si>
    <x:t xml:space="preserve">Pending Review</x:t>
  </x:si>
  <x:si>
    <x:t xml:space="preserve">Non-map Source Links</x:t>
  </x:si>
  <x:si>
    <x:t xml:space="preserve">Reviewed</x:t>
  </x:si>
  <x:si>
    <x:t xml:space="preserve">Review %</x:t>
  </x:si>
  <x:si>
    <x:t xml:space="preserve">Johor</x:t>
  </x:si>
  <x:si>
    <x:t xml:space="preserve">Kedah</x:t>
  </x:si>
  <x:si>
    <x:t xml:space="preserve">Kelantan</x:t>
  </x:si>
  <x:si>
    <x:t xml:space="preserve">Melaka</x:t>
  </x:si>
  <x:si>
    <x:t xml:space="preserve">Negeri Sembilan</x:t>
  </x:si>
  <x:si>
    <x:t xml:space="preserve">Pahang</x:t>
  </x:si>
  <x:si>
    <x:t xml:space="preserve">Penang</x:t>
  </x:si>
  <x:si>
    <x:t xml:space="preserve">Perak</x:t>
  </x:si>
  <x:si>
    <x:t xml:space="preserve">Perlis</x:t>
  </x:si>
  <x:si>
    <x:t xml:space="preserve">Sabah</x:t>
  </x:si>
  <x:si>
    <x:t xml:space="preserve">Sarawak</x:t>
  </x:si>
  <x:si>
    <x:t xml:space="preserve">Selangor</x:t>
  </x:si>
  <x:si>
    <x:t xml:space="preserve">Terengganu</x:t>
  </x:si>
  <x:si>
    <x:t xml:space="preserve">W.P. Kuala Lumpur</x:t>
  </x:si>
  <x:si>
    <x:t xml:space="preserve">W.P. Putrajaya</x:t>
  </x:si>
  <x:si>
    <x:t xml:space="preserve">W.P. Labuan</x:t>
  </x:si>
  <x:si>
    <x:t xml:space="preserve">TOTAL</x:t>
  </x:si>
  <x:si>
    <x:t xml:space="preserve">Source Index and Research Basis</x:t>
  </x:si>
  <x:si>
    <x:t xml:space="preserve">These links support candidate discovery. They do not make a row verified; review the exact attraction page and current visitor information before approval.</x:t>
  </x:si>
  <x:si>
    <x:t xml:space="preserve">Tourism Malaysia Guide</x:t>
  </x:si>
  <x:si>
    <x:t xml:space="preserve">Coverage Role</x:t>
  </x:si>
  <x:si>
    <x:t xml:space="preserve">Per-row Discovery Link</x:t>
  </x:si>
  <x:si>
    <x:t xml:space="preserve">Required Reviewer Action</x:t>
  </x:si>
  <x:si>
    <x:t xml:space="preserve">https://ebrochures.malaysia.travel/en/malaysia-travel-guide/johor/</x:t>
  </x:si>
  <x:si>
    <x:t xml:space="preserve">Official state-level discovery guide</x:t>
  </x:si>
  <x:si>
    <x:t xml:space="preserve">See Candidate Source URL in Catalogue</x:t>
  </x:si>
  <x:si>
    <x:t xml:space="preserve">Confirm exact place, authoritative source, current access and suitable metadata</x:t>
  </x:si>
  <x:si>
    <x:t xml:space="preserve">https://ebrochures.malaysia.travel/en/malaysia-travel-guide/kedah/</x:t>
  </x:si>
  <x:si>
    <x:t xml:space="preserve">https://ebrochures.malaysia.travel/en/malaysia-travel-guide/kelantan/</x:t>
  </x:si>
  <x:si>
    <x:t xml:space="preserve">https://ebrochures.malaysia.travel/en/malaysia-travel-guide/melaka/</x:t>
  </x:si>
  <x:si>
    <x:t xml:space="preserve">https://ebrochures.malaysia.travel/en/malaysia-travel-guide/negeri-sembilan/</x:t>
  </x:si>
  <x:si>
    <x:t xml:space="preserve">https://ebrochures.malaysia.travel/en/malaysia-travel-guide/pahang/</x:t>
  </x:si>
  <x:si>
    <x:t xml:space="preserve">https://ebrochures.malaysia.travel/en/malaysia-travel-guide/penang/</x:t>
  </x:si>
  <x:si>
    <x:t xml:space="preserve">https://ebrochures.malaysia.travel/en/malaysia-travel-guide/perak/</x:t>
  </x:si>
  <x:si>
    <x:t xml:space="preserve">https://ebrochures.malaysia.travel/en/malaysia-travel-guide/perlis/</x:t>
  </x:si>
  <x:si>
    <x:t xml:space="preserve">https://ebrochures.malaysia.travel/en/malaysia-travel-guide/sabah/</x:t>
  </x:si>
  <x:si>
    <x:t xml:space="preserve">https://ebrochures.malaysia.travel/en/malaysia-travel-guide/sarawak/</x:t>
  </x:si>
  <x:si>
    <x:t xml:space="preserve">https://ebrochures.malaysia.travel/en/malaysia-travel-guide/selangor/</x:t>
  </x:si>
  <x:si>
    <x:t xml:space="preserve">https://ebrochures.malaysia.travel/en/malaysia-travel-guide/terengganu/</x:t>
  </x:si>
  <x:si>
    <x:t xml:space="preserve">https://ebrochures.malaysia.travel/en/malaysia-travel-guide/kuala-lumpur/</x:t>
  </x:si>
  <x:si>
    <x:t xml:space="preserve">https://ebrochures.malaysia.travel/en/malaysia-travel-guide/putrajaya/</x:t>
  </x:si>
  <x:si>
    <x:t xml:space="preserve">https://ebrochures.malaysia.travel/en/malaysia-travel-guide/labuan/</x:t>
  </x:si>
  <x:si>
    <x:t xml:space="preserve">How to Review Master Candidates</x:t>
  </x:si>
  <x:si>
    <x:t xml:space="preserve">Recommended review sequence</x:t>
  </x:si>
  <x:si>
    <x:t xml:space="preserve">1</x:t>
  </x:si>
  <x:si>
    <x:t xml:space="preserve">Open the Candidate Source URL</x:t>
  </x:si>
  <x:si>
    <x:t xml:space="preserve">Confirm the place exists and the name/locality are correct.</x:t>
  </x:si>
  <x:si>
    <x:t xml:space="preserve">2</x:t>
  </x:si>
  <x:si>
    <x:t xml:space="preserve">Find an authoritative page</x:t>
  </x:si>
  <x:si>
    <x:t xml:space="preserve">Prefer attraction operator, government, park authority, museum, UNESCO or established tourism body.</x:t>
  </x:si>
  <x:si>
    <x:t xml:space="preserve">3</x:t>
  </x:si>
  <x:si>
    <x:t xml:space="preserve">Check current visitor relevance</x:t>
  </x:si>
  <x:si>
    <x:t xml:space="preserve">Confirm public access, seasonality, closures, booking requirements and whether it is suitable for recommendation.</x:t>
  </x:si>
  <x:si>
    <x:t xml:space="preserve">4</x:t>
  </x:si>
  <x:si>
    <x:t xml:space="preserve">Improve classification</x:t>
  </x:si>
  <x:si>
    <x:t xml:space="preserve">Update category, coverage lens, setting, tags and description using supported facts only.</x:t>
  </x:si>
  <x:si>
    <x:t xml:space="preserve">5</x:t>
  </x:si>
  <x:si>
    <x:t xml:space="preserve">Set Review Status</x:t>
  </x:si>
  <x:si>
    <x:t xml:space="preserve">Choose Approved only when the attraction and sources are sufficient; otherwise use Needs More Research or Rejected.</x:t>
  </x:si>
  <x:si>
    <x:t xml:space="preserve">Status meanings</x:t>
  </x:si>
  <x:si>
    <x:t xml:space="preserve">Status</x:t>
  </x:si>
  <x:si>
    <x:t xml:space="preserve">Use when</x:t>
  </x:si>
  <x:si>
    <x:t xml:space="preserve">Colour</x:t>
  </x:si>
  <x:si>
    <x:t xml:space="preserve">Default for every generated or imported candidate</x:t>
  </x:si>
  <x:si>
    <x:t xml:space="preserve">Amber</x:t>
  </x:si>
  <x:si>
    <x:t xml:space="preserve">Approved</x:t>
  </x:si>
  <x:si>
    <x:t xml:space="preserve">Place and key source evidence have been checked</x:t>
  </x:si>
  <x:si>
    <x:t xml:space="preserve">Green</x:t>
  </x:si>
  <x:si>
    <x:t xml:space="preserve">Needs More Research</x:t>
  </x:si>
  <x:si>
    <x:t xml:space="preserve">Promising candidate but evidence or current details are incomplete</x:t>
  </x:si>
  <x:si>
    <x:t xml:space="preserve">Blue</x:t>
  </x:si>
  <x:si>
    <x:t xml:space="preserve">Rejected</x:t>
  </x:si>
  <x:si>
    <x:t xml:space="preserve">Duplicate, closed, unsuitable, mislocated or unsupported</x:t>
  </x:si>
  <x:si>
    <x:t xml:space="preserve">Red</x:t>
  </x:si>
  <x:si>
    <x:t xml:space="preserve">Important scope note</x:t>
  </x:si>
  <x:si>
    <x:t xml:space="preserve">This workbook is a best-effort research queue, not a verified tourism database. Descriptions on expansion rows are deliberately cautious and should not be used as chatbot facts until the corresponding row is approved and migrated into the production dataset.</x:t>
  </x:si>
  <x:si>
    <x:t xml:space="preserve">Source rule: Google Maps search links are discovery aids only. Before approving a place, add at least one direct official, government, tourism-board, or attraction-operator source and record the review date.</x:t>
  </x:si>
</x:sst>
</file>

<file path=xl/styles.xml><?xml version="1.0" encoding="utf-8"?>
<x:styleSheet xmlns:x="http://schemas.openxmlformats.org/spreadsheetml/2006/main">
  <x:numFmts count="3">
    <x:numFmt numFmtId="168" formatCode="yyyy\-mm\-dd"/>
    <x:numFmt numFmtId="169" formatCode="0.0%"/>
    <x:numFmt numFmtId="200" formatCode="#,##0"/>
  </x:numFmts>
  <x:fonts count="22">
    <x:font>
      <x:sz val="10"/>
      <x:name val="Arial"/>
    </x:font>
    <x:font>
      <x:sz val="10"/>
      <x:name val="Arial"/>
    </x:font>
    <x:font>
      <x:b/>
      <x:sz val="18"/>
      <x:color rgb="FFFFFFFF"/>
      <x:name val="Aptos Display"/>
    </x:font>
    <x:font>
      <x:i/>
      <x:sz val="10"/>
      <x:color rgb="FF1F1F1F"/>
      <x:name val="Aptos"/>
    </x:font>
    <x:font>
      <x:b/>
      <x:sz val="10"/>
      <x:color rgb="FFFFFFFF"/>
      <x:name val="Aptos"/>
    </x:font>
    <x:font>
      <x:sz val="10"/>
      <x:name val="Aptos"/>
    </x:font>
    <x:font>
      <x:b/>
      <x:sz val="17"/>
      <x:color rgb="FFFFFFFF"/>
      <x:name val="Aptos Display"/>
    </x:font>
    <x:font>
      <x:i/>
      <x:sz val="10"/>
      <x:name val="Aptos"/>
    </x:font>
    <x:font>
      <x:i/>
      <x:sz val="11"/>
      <x:name val="Calibri"/>
    </x:font>
    <x:font>
      <x:b/>
      <x:sz val="11"/>
      <x:color rgb="FFFFFFFF"/>
      <x:name val="Calibri"/>
    </x:font>
    <x:font>
      <x:b/>
      <x:sz val="11"/>
      <x:name val="Calibri"/>
    </x:font>
    <x:font>
      <x:sz val="11"/>
      <x:name val="Calibri"/>
    </x:font>
    <x:font>
      <x:sz val="11"/>
      <x:color rgb="FF7F6000"/>
      <x:name val="Calibri"/>
    </x:font>
    <x:font>
      <x:b/>
      <x:sz val="10"/>
      <x:color rgb="FF7F6000"/>
      <x:name val="Arial"/>
    </x:font>
    <x:font>
      <x:b/>
      <x:sz val="14"/>
      <x:color rgb="FFFFFFFF"/>
      <x:name val="Arial"/>
    </x:font>
    <x:font>
      <x:b/>
      <x:sz val="10"/>
      <x:color rgb="FFFFFFFF"/>
      <x:name val="Arial"/>
    </x:font>
    <x:font>
      <x:b/>
      <x:sz val="16"/>
      <x:color rgb="FFFFFFFF"/>
      <x:name val="Arial"/>
    </x:font>
    <x:font>
      <x:b/>
      <x:sz val="14"/>
      <x:color rgb="FF1F4E78"/>
      <x:name val="Arial"/>
    </x:font>
    <x:font>
      <x:i/>
      <x:sz val="10"/>
      <x:color rgb="FF44546A"/>
      <x:name val="Arial"/>
    </x:font>
    <x:font>
      <x:sz val="9"/>
      <x:color rgb="FF1F1F1F"/>
      <x:name val="Arial"/>
    </x:font>
    <x:font>
      <x:b/>
      <x:sz val="10"/>
      <x:color rgb="FF1F1F1F"/>
      <x:name val="Arial"/>
    </x:font>
    <x:font>
      <x:sz val="10"/>
      <x:color rgb="FF1F1F1F"/>
      <x:name val="Arial"/>
    </x:font>
  </x:fonts>
  <x:fills count="2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1F4E78"/>
      </x:patternFill>
    </x:fill>
    <x:fill>
      <x:patternFill patternType="solid">
        <x:fgColor rgb="FFFFF2CC"/>
      </x:patternFill>
    </x:fill>
    <x:fill>
      <x:patternFill patternType="solid">
        <x:fgColor rgb="FF1E3A5F"/>
      </x:patternFill>
    </x:fill>
    <x:fill>
      <x:patternFill patternType="solid">
        <x:fgColor rgb="FF2F75B5"/>
      </x:patternFill>
    </x:fill>
    <x:fill>
      <x:patternFill patternType="solid">
        <x:fgColor rgb="FF2F75B5"/>
      </x:patternFill>
    </x:fill>
    <x:fill>
      <x:patternFill patternType="solid">
        <x:fgColor rgb="FF1E3A5F"/>
      </x:patternFill>
    </x:fill>
    <x:fill>
      <x:patternFill patternType="solid">
        <x:fgColor rgb="FF2F75B5"/>
      </x:patternFill>
    </x:fill>
    <x:fill>
      <x:patternFill patternType="solid">
        <x:fgColor rgb="FF1E3A5F"/>
      </x:patternFill>
    </x:fill>
    <x:fill>
      <x:patternFill patternType="solid">
        <x:fgColor rgb="FF2F75B5"/>
      </x:patternFill>
    </x:fill>
    <x:fill>
      <x:patternFill patternType="solid">
        <x:fgColor rgb="FF1E3A5F"/>
      </x:patternFill>
    </x:fill>
    <x:fill>
      <x:patternFill patternType="solid">
        <x:fgColor rgb="FF2F75B5"/>
      </x:patternFill>
    </x:fill>
    <x:fill>
      <x:patternFill patternType="solid">
        <x:fgColor rgb="FF1E3A5F"/>
      </x:patternFill>
    </x:fill>
    <x:fill>
      <x:patternFill patternType="solid">
        <x:fgColor rgb="FF2F75B5"/>
      </x:patternFill>
    </x:fill>
    <x:fill>
      <x:patternFill patternType="solid">
        <x:fgColor rgb="FF1E3A5F"/>
      </x:patternFill>
    </x:fill>
    <x:fill>
      <x:patternFill patternType="solid">
        <x:fgColor rgb="FF2F75B5"/>
      </x:patternFill>
    </x:fill>
    <x:fill>
      <x:patternFill patternType="solid">
        <x:fgColor rgb="FF1E3A5F"/>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FCE4D6"/>
      </x:patternFill>
    </x:fill>
    <x:fill>
      <x:patternFill patternType="solid">
        <x:fgColor rgb="FF1F4E78"/>
      </x:patternFill>
    </x:fill>
  </x:fills>
  <x:borders count="14">
    <x:border/>
    <x:border>
      <x:bottom style="thin">
        <x:color rgb="FFD9E2F3"/>
      </x:bottom>
    </x:border>
    <x:border>
      <x:top style="thin">
        <x:color rgb="FFD9E2F3"/>
      </x:top>
      <x:bottom style="thin">
        <x:color rgb="FFD9E2F3"/>
      </x:bottom>
    </x:border>
    <x:border>
      <x:top style="thin">
        <x:color rgb="FFD9E2F3"/>
      </x:top>
    </x:border>
    <x:border>
      <x:bottom style="double">
        <x:color rgb="FF17365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2">
    <x:xf numFmtId="0" fontId="0" fillId="0" borderId="0"/>
    <x:xf numFmtId="0" fontId="1" fillId="0" borderId="0"/>
  </x:cellStyleXfs>
  <x:cellXfs count="138">
    <x:xf numFmtId="0" fontId="0" fillId="0" borderId="0" xfId="0"/>
    <x:xf numFmtId="0" fontId="13" fillId="6" borderId="0" xfId="1" applyFont="1" applyFill="1" applyAlignment="1">
      <x:alignment wrapText="1"/>
    </x:xf>
    <x:xf numFmtId="0" fontId="12" fillId="6" borderId="0" xfId="1" applyFont="1" applyFill="1" applyAlignment="1">
      <x:alignment vertical="center" wrapText="1"/>
    </x:xf>
    <x:xf numFmtId="0" fontId="9" fillId="4" borderId="0" xfId="1" applyFont="1" applyFill="1"/>
    <x:xf numFmtId="0" fontId="8" fillId="3" borderId="0" xfId="1" applyFont="1" applyFill="1" applyAlignment="1">
      <x:alignment wrapText="1"/>
    </x:xf>
    <x:xf numFmtId="0" fontId="7" fillId="3" borderId="0" xfId="1" applyFont="1" applyFill="1"/>
    <x:xf numFmtId="0" fontId="6" fillId="2" borderId="0" xfId="1" applyFont="1" applyFill="1"/>
    <x:xf numFmtId="0" fontId="3" fillId="3" borderId="0" xfId="1" applyFont="1" applyFill="1" applyAlignment="1">
      <x:alignment vertical="center" wrapText="1"/>
    </x:xf>
    <x:xf numFmtId="0" fontId="2" fillId="2" borderId="0" xfId="1" applyFont="1" applyFill="1" applyAlignment="1">
      <x:alignment vertical="center"/>
    </x:xf>
    <x:xf numFmtId="0" fontId="1" fillId="0" borderId="0" xfId="1"/>
    <x:xf numFmtId="0" fontId="4" fillId="4" borderId="0" xfId="1" applyFont="1" applyFill="1" applyAlignment="1">
      <x:alignment vertical="center" wrapText="1"/>
    </x:xf>
    <x:xf numFmtId="0" fontId="4" fillId="5" borderId="0" xfId="1" applyFont="1" applyFill="1" applyAlignment="1">
      <x:alignment vertical="center" wrapText="1"/>
    </x:xf>
    <x:xf numFmtId="0" fontId="5" fillId="0" borderId="1" xfId="1" applyFont="1" applyBorder="1" applyAlignment="1">
      <x:alignment vertical="top"/>
    </x:xf>
    <x:xf numFmtId="0" fontId="5" fillId="0" borderId="1" xfId="1" applyFont="1" applyBorder="1" applyAlignment="1">
      <x:alignment vertical="top" wrapText="1"/>
    </x:xf>
    <x:xf numFmtId="168" fontId="5" fillId="0" borderId="1" xfId="1" applyNumberFormat="1" applyFont="1" applyBorder="1" applyAlignment="1">
      <x:alignment vertical="top"/>
    </x:xf>
    <x:xf numFmtId="0" fontId="5" fillId="0" borderId="1" xfId="1" applyFont="1" applyBorder="1" applyAlignment="1">
      <x:alignment horizontal="center" vertical="top"/>
    </x:xf>
    <x:xf numFmtId="0" fontId="5" fillId="0" borderId="2" xfId="1" applyFont="1" applyBorder="1" applyAlignment="1">
      <x:alignment vertical="top"/>
    </x:xf>
    <x:xf numFmtId="0" fontId="5" fillId="0" borderId="2" xfId="1" applyFont="1" applyBorder="1" applyAlignment="1">
      <x:alignment vertical="top" wrapText="1"/>
    </x:xf>
    <x:xf numFmtId="168" fontId="5" fillId="0" borderId="2" xfId="1" applyNumberFormat="1" applyFont="1" applyBorder="1" applyAlignment="1">
      <x:alignment vertical="top"/>
    </x:xf>
    <x:xf numFmtId="0" fontId="5" fillId="0" borderId="2" xfId="1" applyFont="1" applyBorder="1" applyAlignment="1">
      <x:alignment horizontal="center" vertical="top"/>
    </x:xf>
    <x:xf numFmtId="0" fontId="5" fillId="0" borderId="3" xfId="1" applyFont="1" applyBorder="1" applyAlignment="1">
      <x:alignment vertical="top"/>
    </x:xf>
    <x:xf numFmtId="0" fontId="5" fillId="0" borderId="3" xfId="1" applyFont="1" applyBorder="1" applyAlignment="1">
      <x:alignment vertical="top" wrapText="1"/>
    </x:xf>
    <x:xf numFmtId="168" fontId="5" fillId="0" borderId="3" xfId="1" applyNumberFormat="1" applyFont="1" applyBorder="1" applyAlignment="1">
      <x:alignment vertical="top"/>
    </x:xf>
    <x:xf numFmtId="0" fontId="5" fillId="0" borderId="3" xfId="1" applyFont="1" applyBorder="1" applyAlignment="1">
      <x:alignment horizontal="center" vertical="top"/>
    </x:xf>
    <x:xf numFmtId="0" fontId="5" fillId="0" borderId="0" xfId="1" applyFont="1"/>
    <x:xf numFmtId="0" fontId="4" fillId="4" borderId="0" xfId="1" applyFont="1" applyFill="1" applyAlignment="1">
      <x:alignment wrapText="1"/>
    </x:xf>
    <x:xf numFmtId="0" fontId="5" fillId="0" borderId="1" xfId="1" applyFont="1" applyBorder="1"/>
    <x:xf numFmtId="169" fontId="5" fillId="0" borderId="1" xfId="1" applyNumberFormat="1" applyFont="1" applyBorder="1"/>
    <x:xf numFmtId="0" fontId="5" fillId="0" borderId="2" xfId="1" applyFont="1" applyBorder="1"/>
    <x:xf numFmtId="169" fontId="5" fillId="0" borderId="2" xfId="1" applyNumberFormat="1" applyFont="1" applyBorder="1"/>
    <x:xf numFmtId="0" fontId="5" fillId="0" borderId="3" xfId="1" applyFont="1" applyBorder="1"/>
    <x:xf numFmtId="169" fontId="5" fillId="0" borderId="3" xfId="1" applyNumberFormat="1" applyFont="1" applyBorder="1"/>
    <x:xf numFmtId="169" fontId="5" fillId="0" borderId="0" xfId="1" applyNumberFormat="1" applyFont="1"/>
    <x:xf numFmtId="0" fontId="4" fillId="2" borderId="4" xfId="1" applyFont="1" applyFill="1" applyBorder="1"/>
    <x:xf numFmtId="169" fontId="4" fillId="2" borderId="4" xfId="1" applyNumberFormat="1" applyFont="1" applyFill="1" applyBorder="1"/>
    <x:xf numFmtId="0" fontId="9" fillId="4" borderId="0" xfId="1" applyFont="1" applyFill="1" applyAlignment="1">
      <x:alignment wrapText="1"/>
    </x:xf>
    <x:xf numFmtId="0" fontId="5" fillId="0" borderId="1" xfId="1" applyFont="1" applyBorder="1" applyAlignment="1">
      <x:alignment wrapText="1"/>
    </x:xf>
    <x:xf numFmtId="0" fontId="5" fillId="0" borderId="2" xfId="1" applyFont="1" applyBorder="1" applyAlignment="1">
      <x:alignment wrapText="1"/>
    </x:xf>
    <x:xf numFmtId="0" fontId="5" fillId="0" borderId="3" xfId="1" applyFont="1" applyBorder="1" applyAlignment="1">
      <x:alignment wrapText="1"/>
    </x:xf>
    <x:xf numFmtId="0" fontId="10" fillId="3" borderId="0" xfId="1" applyFont="1" applyFill="1"/>
    <x:xf numFmtId="0" fontId="11" fillId="0" borderId="1" xfId="1" applyFont="1" applyBorder="1" applyAlignment="1">
      <x:alignment wrapText="1"/>
    </x:xf>
    <x:xf numFmtId="0" fontId="11" fillId="0" borderId="2" xfId="1" applyFont="1" applyBorder="1" applyAlignment="1">
      <x:alignment wrapText="1"/>
    </x:xf>
    <x:xf numFmtId="0" fontId="11" fillId="0" borderId="3" xfId="1" applyFont="1" applyBorder="1" applyAlignment="1">
      <x:alignment wrapText="1"/>
    </x:xf>
    <x:xf numFmtId="0" fontId="0" fillId="0" borderId="0" xfId="0" applyNumberFormat="1" applyFont="1" applyFill="1" applyBorder="1" applyAlignment="1">
      <x:alignment wrapText="1"/>
    </x:xf>
    <x:xf numFmtId="0" fontId="0" fillId="7" borderId="0" xfId="0" applyNumberFormat="1" applyFont="1" applyFill="1" applyBorder="1"/>
    <x:xf numFmtId="0" fontId="14" fillId="7" borderId="0" xfId="0" applyNumberFormat="1" applyFont="1" applyFill="1" applyBorder="1"/>
    <x:xf numFmtId="0" fontId="0" fillId="8" borderId="0" xfId="0" applyNumberFormat="1" applyFont="1" applyFill="1" applyBorder="1"/>
    <x:xf numFmtId="0" fontId="15" fillId="8"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9" borderId="0" xfId="0" applyNumberFormat="1" applyFont="1" applyFill="1" applyBorder="1" applyAlignment="1">
      <x:alignment wrapText="1"/>
    </x:xf>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14" fillId="10" borderId="0" xfId="0" applyNumberFormat="1" applyFont="1" applyFill="1" applyBorder="1"/>
    <x:xf numFmtId="0" fontId="15" fillId="9" borderId="0" xfId="0" applyNumberFormat="1" applyFont="1" applyFill="1" applyBorder="1"/>
    <x:xf numFmtId="0" fontId="15" fillId="4" borderId="0" xfId="0" applyNumberFormat="1" applyFont="1" applyFill="1" applyBorder="1" applyAlignment="1">
      <x:alignment horizontal="center" vertical="center" wrapText="1"/>
    </x:xf>
    <x:xf numFmtId="0" fontId="15" fillId="11" borderId="0" xfId="0" applyNumberFormat="1" applyFont="1" applyFill="1" applyBorder="1" applyAlignment="1">
      <x:alignment horizontal="center" vertical="center" wrapText="1"/>
    </x:xf>
    <x:xf numFmtId="0" fontId="14" fillId="12" borderId="0" xfId="0" applyNumberFormat="1" applyFont="1" applyFill="1" applyBorder="1"/>
    <x:xf numFmtId="0" fontId="15" fillId="11" borderId="0" xfId="0" applyNumberFormat="1" applyFont="1" applyFill="1" applyBorder="1"/>
    <x:xf numFmtId="0" fontId="15" fillId="13" borderId="0" xfId="0" applyNumberFormat="1" applyFont="1" applyFill="1" applyBorder="1" applyAlignment="1">
      <x:alignment horizontal="center" vertical="center" wrapText="1"/>
    </x:xf>
    <x:xf numFmtId="0" fontId="14" fillId="14" borderId="0" xfId="0" applyNumberFormat="1" applyFont="1" applyFill="1" applyBorder="1"/>
    <x:xf numFmtId="0" fontId="15" fillId="13" borderId="0" xfId="0" applyNumberFormat="1" applyFont="1" applyFill="1" applyBorder="1"/>
    <x:xf numFmtId="0" fontId="15" fillId="15" borderId="0" xfId="0" applyNumberFormat="1" applyFont="1" applyFill="1" applyBorder="1" applyAlignment="1">
      <x:alignment horizontal="center" vertical="center" wrapText="1"/>
    </x:xf>
    <x:xf numFmtId="0" fontId="14" fillId="16" borderId="0" xfId="0" applyNumberFormat="1" applyFont="1" applyFill="1" applyBorder="1"/>
    <x:xf numFmtId="0" fontId="15" fillId="15" borderId="0" xfId="0" applyNumberFormat="1" applyFont="1" applyFill="1" applyBorder="1"/>
    <x:xf numFmtId="0" fontId="0" fillId="17" borderId="0" xfId="0" applyNumberFormat="1" applyFont="1" applyFill="1" applyBorder="1" applyAlignment="1">
      <x:alignment wrapText="1"/>
    </x:xf>
    <x:xf numFmtId="0" fontId="15" fillId="17" borderId="0" xfId="0" applyNumberFormat="1" applyFont="1" applyFill="1" applyBorder="1" applyAlignment="1">
      <x:alignment wrapText="1"/>
    </x:xf>
    <x:xf numFmtId="0" fontId="15" fillId="17" borderId="0" xfId="0" applyNumberFormat="1" applyFont="1" applyFill="1" applyBorder="1" applyAlignment="1">
      <x:alignment horizontal="center" wrapText="1"/>
    </x:xf>
    <x:xf numFmtId="0" fontId="15" fillId="17" borderId="0" xfId="0" applyNumberFormat="1" applyFont="1" applyFill="1" applyBorder="1" applyAlignment="1">
      <x:alignment horizontal="center" vertical="center" wrapText="1"/>
    </x:xf>
    <x:xf numFmtId="0" fontId="0" fillId="18" borderId="0" xfId="0" applyNumberFormat="1" applyFont="1" applyFill="1" applyBorder="1"/>
    <x:xf numFmtId="0" fontId="14" fillId="18" borderId="0" xfId="0" applyNumberFormat="1" applyFont="1" applyFill="1" applyBorder="1"/>
    <x:xf numFmtId="0" fontId="0" fillId="17" borderId="0" xfId="0" applyNumberFormat="1" applyFont="1" applyFill="1" applyBorder="1"/>
    <x:xf numFmtId="0" fontId="15" fillId="17" borderId="0" xfId="0" applyNumberFormat="1" applyFont="1" applyFill="1" applyBorder="1"/>
    <x:xf numFmtId="0" fontId="16" fillId="18" borderId="0" xfId="0" applyNumberFormat="1" applyFont="1" applyFill="1" applyBorder="1"/>
    <x:xf numFmtId="0" fontId="16" fillId="18" borderId="0" xfId="0" applyNumberFormat="1" applyFont="1" applyFill="1" applyBorder="1" applyAlignment="1">
      <x:alignment horizontal="center"/>
    </x:xf>
    <x:xf numFmtId="0" fontId="16" fillId="18" borderId="0" xfId="0" applyNumberFormat="1" applyFont="1" applyFill="1" applyBorder="1" applyAlignment="1">
      <x:alignment horizontal="center" vertical="center"/>
    </x:xf>
    <x:xf numFmtId="0" fontId="16" fillId="18" borderId="0" xfId="0" applyNumberFormat="1" applyFont="1" applyFill="1" applyBorder="1" applyAlignment="1">
      <x:alignment horizontal="center" vertical="center" wrapText="1"/>
    </x:xf>
    <x:xf numFmtId="0" fontId="15" fillId="19" borderId="0" xfId="0" applyNumberFormat="1" applyFont="1" applyFill="1" applyBorder="1" applyAlignment="1">
      <x:alignment horizontal="center" vertical="center" wrapText="1"/>
    </x:xf>
    <x:xf numFmtId="0" fontId="14" fillId="20" borderId="0" xfId="0" applyNumberFormat="1" applyFont="1" applyFill="1" applyBorder="1"/>
    <x:xf numFmtId="0" fontId="15" fillId="19" borderId="0" xfId="0" applyNumberFormat="1" applyFont="1" applyFill="1" applyBorder="1"/>
    <x:xf numFmtId="0" fontId="0" fillId="20" borderId="0" xfId="0" applyNumberFormat="1" applyFont="1" applyFill="1" applyBorder="1"/>
    <x:xf numFmtId="0" fontId="16" fillId="20" borderId="0" xfId="0" applyNumberFormat="1" applyFont="1" applyFill="1" applyBorder="1"/>
    <x:xf numFmtId="0" fontId="16" fillId="20" borderId="0" xfId="0" applyNumberFormat="1" applyFont="1" applyFill="1" applyBorder="1" applyAlignment="1">
      <x:alignment horizontal="center"/>
    </x:xf>
    <x:xf numFmtId="0" fontId="16" fillId="20" borderId="0" xfId="0" applyNumberFormat="1" applyFont="1" applyFill="1" applyBorder="1" applyAlignment="1">
      <x:alignment horizontal="center" vertical="center"/>
    </x:xf>
    <x:xf numFmtId="0" fontId="0" fillId="19" borderId="0" xfId="0" applyNumberFormat="1" applyFont="1" applyFill="1" applyBorder="1"/>
    <x:xf numFmtId="0" fontId="16" fillId="20" borderId="0" xfId="0" applyNumberFormat="1" applyFont="1" applyFill="1" applyBorder="1" applyAlignment="1">
      <x:alignment horizontal="center" vertical="center" wrapText="1"/>
    </x:xf>
    <x:xf numFmtId="0" fontId="15" fillId="19" borderId="0" xfId="0" applyNumberFormat="1" applyFont="1" applyFill="1" applyBorder="1" applyAlignment="1">
      <x:alignment wrapText="1"/>
    </x:xf>
    <x:xf numFmtId="0" fontId="17" fillId="0" borderId="0" xfId="0" applyNumberFormat="1" applyFont="1" applyFill="1" applyBorder="1"/>
    <x:xf numFmtId="0" fontId="17" fillId="0" borderId="0" xfId="0" applyNumberFormat="1" applyFont="1" applyFill="1" applyBorder="1" applyAlignment="1">
      <x:alignment vertical="center"/>
    </x:xf>
    <x:xf numFmtId="0" fontId="18" fillId="0" borderId="0" xfId="0" applyNumberFormat="1" applyFont="1" applyFill="1" applyBorder="1"/>
    <x:xf numFmtId="0" fontId="18" fillId="0" borderId="0" xfId="0" applyNumberFormat="1" applyFont="1" applyFill="1" applyBorder="1" applyAlignment="1">
      <x:alignment wrapText="1"/>
    </x:xf>
    <x:xf numFmtId="0" fontId="18" fillId="0" borderId="0" xfId="0" applyNumberFormat="1" applyFont="1" applyFill="1" applyBorder="1" applyAlignment="1">
      <x:alignment vertical="center" wrapText="1"/>
    </x:xf>
    <x:xf numFmtId="0" fontId="0" fillId="21" borderId="0" xfId="0" applyNumberFormat="1" applyFont="1" applyFill="1" applyBorder="1"/>
    <x:xf numFmtId="0" fontId="15" fillId="21" borderId="0" xfId="0" applyNumberFormat="1" applyFont="1" applyFill="1" applyBorder="1"/>
    <x:xf numFmtId="0" fontId="15" fillId="21" borderId="9" xfId="0" applyNumberFormat="1" applyFont="1" applyFill="1" applyBorder="1"/>
    <x:xf numFmtId="0" fontId="15" fillId="21" borderId="9" xfId="0" applyNumberFormat="1" applyFont="1" applyFill="1" applyBorder="1" applyAlignment="1">
      <x:alignment wrapText="1"/>
    </x:xf>
    <x:xf numFmtId="0" fontId="15" fillId="21" borderId="9" xfId="0" applyNumberFormat="1" applyFont="1" applyFill="1" applyBorder="1" applyAlignment="1">
      <x:alignment horizontal="center" wrapText="1"/>
    </x:xf>
    <x:xf numFmtId="0" fontId="15" fillId="21" borderId="9" xfId="0" applyNumberFormat="1" applyFont="1" applyFill="1" applyBorder="1" applyAlignment="1">
      <x:alignment horizontal="center" vertical="center" wrapText="1"/>
    </x:xf>
    <x:xf numFmtId="0" fontId="19" fillId="0" borderId="0" xfId="0" applyNumberFormat="1" applyFont="1" applyFill="1" applyBorder="1"/>
    <x:xf numFmtId="0" fontId="19" fillId="0" borderId="0" xfId="0" applyNumberFormat="1" applyFont="1" applyFill="1" applyBorder="1" applyAlignment="1">
      <x:alignment vertical="top"/>
    </x:xf>
    <x:xf numFmtId="0" fontId="19" fillId="0" borderId="0" xfId="0" applyNumberFormat="1" applyFont="1" applyFill="1" applyBorder="1" applyAlignment="1">
      <x:alignment vertical="top" wrapText="1"/>
    </x:xf>
    <x:xf numFmtId="200" fontId="19" fillId="0" borderId="0" xfId="0" applyNumberFormat="1" applyFont="1" applyFill="1" applyBorder="1" applyAlignment="1">
      <x:alignment vertical="top" wrapText="1"/>
    </x:xf>
    <x:xf numFmtId="0" fontId="0" fillId="22" borderId="0" xfId="0" applyNumberFormat="1" applyFont="1" applyFill="1" applyBorder="1"/>
    <x:xf numFmtId="0" fontId="20" fillId="22" borderId="0" xfId="0" applyNumberFormat="1" applyFont="1" applyFill="1" applyBorder="1"/>
    <x:xf numFmtId="0" fontId="20" fillId="22" borderId="0" xfId="0" applyNumberFormat="1" applyFont="1" applyFill="1" applyBorder="1" applyAlignment="1">
      <x:alignment vertical="top"/>
    </x:xf>
    <x:xf numFmtId="0" fontId="0" fillId="23" borderId="0" xfId="0" applyNumberFormat="1" applyFont="1" applyFill="1" applyBorder="1"/>
    <x:xf numFmtId="0" fontId="15" fillId="23" borderId="0" xfId="0" applyNumberFormat="1" applyFont="1" applyFill="1" applyBorder="1"/>
    <x:xf numFmtId="0" fontId="15" fillId="23" borderId="0" xfId="0" applyNumberFormat="1" applyFont="1" applyFill="1" applyBorder="1" applyAlignment="1">
      <x:alignment wrapText="1"/>
    </x:xf>
    <x:xf numFmtId="0" fontId="15" fillId="23" borderId="0" xfId="0" applyNumberFormat="1" applyFont="1" applyFill="1" applyBorder="1" applyAlignment="1">
      <x:alignment horizontal="center" wrapText="1"/>
    </x:xf>
    <x:xf numFmtId="0" fontId="15" fillId="23" borderId="0" xfId="0" applyNumberFormat="1" applyFont="1" applyFill="1" applyBorder="1" applyAlignment="1">
      <x:alignment horizontal="center" vertical="center" wrapText="1"/>
    </x:xf>
    <x:xf numFmtId="0" fontId="21" fillId="0" borderId="0" xfId="0" applyNumberFormat="1" applyFont="1" applyFill="1" applyBorder="1"/>
    <x:xf numFmtId="0" fontId="21" fillId="0" borderId="0" xfId="0" applyNumberFormat="1" applyFont="1" applyFill="1" applyBorder="1" applyAlignment="1">
      <x:alignment vertical="top"/>
    </x:xf>
    <x:xf numFmtId="200" fontId="21" fillId="0" borderId="0" xfId="0" applyNumberFormat="1" applyFont="1" applyFill="1" applyBorder="1" applyAlignment="1">
      <x:alignment vertical="top"/>
    </x:xf>
    <x:xf numFmtId="0" fontId="19" fillId="0" borderId="0" xfId="0" applyNumberFormat="1" applyFont="1" applyFill="1" applyBorder="1" applyAlignment="1">
      <x:alignment wrapText="1"/>
    </x:xf>
    <x:xf numFmtId="0" fontId="19" fillId="24" borderId="0" xfId="0" applyNumberFormat="1" applyFont="1" applyFill="1" applyBorder="1" applyAlignment="1">
      <x:alignment vertical="top" wrapText="1"/>
    </x:xf>
    <x:xf numFmtId="0" fontId="0" fillId="25" borderId="0" xfId="0" applyNumberFormat="1" applyFont="1" applyFill="1" applyBorder="1"/>
    <x:xf numFmtId="0" fontId="15" fillId="25" borderId="0" xfId="0" applyNumberFormat="1" applyFont="1" applyFill="1" applyBorder="1"/>
    <x:xf numFmtId="0" fontId="15" fillId="25" borderId="9" xfId="0" applyNumberFormat="1" applyFont="1" applyFill="1" applyBorder="1"/>
    <x:xf numFmtId="0" fontId="15" fillId="25" borderId="9" xfId="0" applyNumberFormat="1" applyFont="1" applyFill="1" applyBorder="1" applyAlignment="1">
      <x:alignment wrapText="1"/>
    </x:xf>
    <x:xf numFmtId="0" fontId="15" fillId="25" borderId="9" xfId="0" applyNumberFormat="1" applyFont="1" applyFill="1" applyBorder="1" applyAlignment="1">
      <x:alignment horizontal="center" wrapText="1"/>
    </x:xf>
    <x:xf numFmtId="0" fontId="15" fillId="25" borderId="9" xfId="0" applyNumberFormat="1" applyFont="1" applyFill="1" applyBorder="1" applyAlignment="1">
      <x:alignment horizontal="center" vertical="center" wrapText="1"/>
    </x:xf>
  </x:cellXfs>
  <x:cellStyles count="2">
    <x:cellStyle name="Normal" xfId="0"/>
    <x:cellStyle name="Normal 2" xfId="1"/>
  </x:cellStyles>
  <x:dxfs count="12">
    <x:dxf>
      <x:font>
        <x:b/>
        <x:color rgb="FF9C0006"/>
      </x:font>
      <x:fill>
        <x:patternFill>
          <x:bgColor rgb="FFFCE4D6"/>
        </x:patternFill>
      </x:fill>
    </x:dxf>
    <x:dxf>
      <x:font>
        <x:color rgb="FF9C0006"/>
      </x:font>
      <x:fill>
        <x:patternFill>
          <x:bgColor rgb="FFFCE4D6"/>
        </x:patternFill>
      </x:fill>
    </x:dxf>
    <x:dxf>
      <x:font>
        <x:color rgb="FF375623"/>
      </x:font>
      <x:fill>
        <x:patternFill>
          <x:bgColor rgb="FFE2F0D9"/>
        </x:patternFill>
      </x:fill>
    </x:dxf>
    <x:dxf>
      <x:font>
        <x:color rgb="FF7F6000"/>
      </x:font>
      <x:fill>
        <x:patternFill>
          <x:bgColor rgb="FFFFF2CC"/>
        </x:patternFill>
      </x:fill>
    </x:dxf>
    <x:dxf>
      <x:fill>
        <x:patternFill>
          <x:bgColor rgb="FFC6EAF5"/>
        </x:patternFill>
      </x:fill>
    </x:dxf>
    <x:dxf>
      <x:fill>
        <x:patternFill>
          <x:bgColor rgb="FFC6EAF5"/>
        </x:patternFill>
      </x:fill>
    </x:dxf>
    <x:dxf>
      <x:fill>
        <x:patternFill>
          <x:bgColor rgb="FFC6EAF5"/>
        </x:patternFill>
      </x:fill>
    </x:dxf>
    <x:dxf>
      <x:fill>
        <x:patternFill>
          <x:bgColor rgb="FFC6EAF5"/>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s>
  <x:colors>
    <x:indexedColors>
      <x:rgbColor rgb="FF000000"/>
      <x:rgbColor rgb="FFFFFFFF"/>
      <x:rgbColor rgb="FFFF0000"/>
      <x:rgbColor rgb="FF00FF00"/>
      <x:rgbColor rgb="FF0000FF"/>
      <x:rgbColor rgb="FFFFFF00"/>
      <x:rgbColor rgb="FFFF00FF"/>
      <x:rgbColor rgb="FF00FFFF"/>
      <x:rgbColor rgb="FF9C0006"/>
      <x:rgbColor rgb="FF008000"/>
      <x:rgbColor rgb="FF000080"/>
      <x:rgbColor rgb="FF7F6000"/>
      <x:rgbColor rgb="FF800080"/>
      <x:rgbColor rgb="FF008080"/>
      <x:rgbColor rgb="FFC0C0C0"/>
      <x:rgbColor rgb="FF808080"/>
      <x:rgbColor rgb="FF9999FF"/>
      <x:rgbColor rgb="FF993366"/>
      <x:rgbColor rgb="FFFFF2CC"/>
      <x:rgbColor rgb="FFD9EAF7"/>
      <x:rgbColor rgb="FF660066"/>
      <x:rgbColor rgb="FFFF8080"/>
      <x:rgbColor rgb="FF0066CC"/>
      <x:rgbColor rgb="FFD9E2F3"/>
      <x:rgbColor rgb="FF000080"/>
      <x:rgbColor rgb="FFFF00FF"/>
      <x:rgbColor rgb="FFFFFF00"/>
      <x:rgbColor rgb="FF00FFFF"/>
      <x:rgbColor rgb="FF800080"/>
      <x:rgbColor rgb="FF800000"/>
      <x:rgbColor rgb="FF008080"/>
      <x:rgbColor rgb="FF0000FF"/>
      <x:rgbColor rgb="FF00CCFF"/>
      <x:rgbColor rgb="FFCCFFFF"/>
      <x:rgbColor rgb="FFE2F0D9"/>
      <x:rgbColor rgb="FFFFFF99"/>
      <x:rgbColor rgb="FF99CCFF"/>
      <x:rgbColor rgb="FFFF99CC"/>
      <x:rgbColor rgb="FFCC99FF"/>
      <x:rgbColor rgb="FFFCE4D6"/>
      <x:rgbColor rgb="FF2F75B5"/>
      <x:rgbColor rgb="FF33CCCC"/>
      <x:rgbColor rgb="FF99CC00"/>
      <x:rgbColor rgb="FFFFCC00"/>
      <x:rgbColor rgb="FFFF9900"/>
      <x:rgbColor rgb="FFFF6600"/>
      <x:rgbColor rgb="FF666699"/>
      <x:rgbColor rgb="FF969696"/>
      <x:rgbColor rgb="FF17365D"/>
      <x:rgbColor rgb="FF339966"/>
      <x:rgbColor rgb="FF003300"/>
      <x:rgbColor rgb="FF375623"/>
      <x:rgbColor rgb="FF993300"/>
      <x:rgbColor rgb="FF993366"/>
      <x:rgbColor rgb="FF1F4E78"/>
      <x:rgbColor rgb="FF1F1F1F"/>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ece347b9a2246b2" /><Relationship Type="http://schemas.openxmlformats.org/officeDocument/2006/relationships/theme" Target="/xl/theme/theme1.xml" Id="Ra0c4366ce9ba4881" /><Relationship Type="http://schemas.openxmlformats.org/officeDocument/2006/relationships/sharedStrings" Target="/xl/sharedStrings.xml" Id="Rf6a8d8d753ee49bb" /><Relationship Type="http://schemas.openxmlformats.org/officeDocument/2006/relationships/worksheet" Target="/xl/worksheets/sheet1.xml" Id="R5744736b219e4063" /><Relationship Type="http://schemas.openxmlformats.org/officeDocument/2006/relationships/worksheet" Target="/xl/worksheets/sheet2.xml" Id="Rc5e27bc716294cba" /><Relationship Type="http://schemas.openxmlformats.org/officeDocument/2006/relationships/worksheet" Target="/xl/worksheets/sheet3.xml" Id="Re8b608b5a5214132" /><Relationship Type="http://schemas.openxmlformats.org/officeDocument/2006/relationships/worksheet" Target="/xl/worksheets/sheet4.xml" Id="R5dca72c8e0164166" /><Relationship Type="http://schemas.openxmlformats.org/officeDocument/2006/relationships/worksheet" Target="/xl/worksheets/sheet5.xml" Id="Rfc6c507dc4264060" /><Relationship Type="http://schemas.openxmlformats.org/officeDocument/2006/relationships/worksheet" Target="/xl/worksheets/sheet6.xml" Id="Re36fbf8a2d69493a" /><Relationship Type="http://schemas.openxmlformats.org/officeDocument/2006/relationships/worksheet" Target="/xl/worksheets/sheet7.xml" Id="R70ab9b65e819443d" /><Relationship Type="http://schemas.openxmlformats.org/officeDocument/2006/relationships/worksheet" Target="/xl/worksheets/sheet8.xml" Id="R182da2817b7f490a" /></Relationships>
</file>

<file path=xl/tables/table1.xml><?xml version="1.0" encoding="utf-8"?>
<x:table xmlns:x="http://schemas.openxmlformats.org/spreadsheetml/2006/main" id="3" name="MasterCandidatesExpanded" displayName="MasterCandidatesExpanded" ref="A3:AQ796" headerRowCount="1" totalsRowCount="0" totalsRowShown="0">
  <x:autoFilter ref="A3:AQ796"/>
  <x:tableColumns count="43">
    <x:tableColumn id="1" name="Candidate ID"/>
    <x:tableColumn id="2" name="Attraction Name"/>
    <x:tableColumn id="3" name="State / Territory"/>
    <x:tableColumn id="4" name="City / District"/>
    <x:tableColumn id="5" name="Primary Category"/>
    <x:tableColumn id="6" name="Coverage Lens"/>
    <x:tableColumn id="7" name="Setting"/>
    <x:tableColumn id="8" name="Interests / Tags"/>
    <x:tableColumn id="9" name="Candidate Description"/>
    <x:tableColumn id="10" name="Discovery / Source Link(s)"/>
    <x:tableColumn id="11" name="State Tourism Guide URL"/>
    <x:tableColumn id="12" name="Source Basis"/>
    <x:tableColumn id="13" name="Origin Batch"/>
    <x:tableColumn id="14" name="Existing Record ID"/>
    <x:tableColumn id="15" name="Date Added"/>
    <x:tableColumn id="16" name="Review Status"/>
    <x:tableColumn id="17" name="Reviewer Notes"/>
    <x:tableColumn id="18" name="Source Status"/>
    <x:tableColumn id="19" name="Walking Difficulty"/>
    <x:tableColumn id="20" name="Step-Free Access"/>
    <x:tableColumn id="21" name="Resting Seats Available"/>
    <x:tableColumn id="22" name="Accessible Toilet"/>
    <x:tableColumn id="23" name="Parking Proximity"/>
    <x:tableColumn id="24" name="Shelter Available"/>
    <x:tableColumn id="25" name="Elderly Suitability"/>
    <x:tableColumn id="26" name="Elderly Accessibility Notes"/>
    <x:tableColumn id="27" name="Elderly Recommendation Eligibility"/>
    <x:tableColumn id="28" name="Accessibility Evidence Source"/>
    <x:tableColumn id="29" name="Accessibility Screening Notes"/>
    <x:tableColumn id="30" name="Accessibility Screening Date"/>
    <x:tableColumn id="31" name="Canonical ID"/>
    <x:tableColumn id="32" name="Record Relationship"/>
    <x:tableColumn id="33" name="Related Site ID"/>
    <x:tableColumn id="34" name="Identity Check Result"/>
    <x:tableColumn id="35" name="Identity Evidence URL"/>
    <x:tableColumn id="36" name="Identity Check Notes"/>
    <x:tableColumn id="37" name="Operation Status"/>
    <x:tableColumn id="38" name="Latest Accessibility Review"/>
    <x:tableColumn id="39" name="Last Checked"/>
    <x:tableColumn id="40" name="Image 1 URL"/>
    <x:tableColumn id="41" name="Image 2 URL"/>
    <x:tableColumn id="42" name="Image Review Status"/>
    <x:tableColumn id="43" name="Location Correction Source"/>
  </x:tableColumns>
  <x:tableStyleInfo name="TableStyleMedium2" showFirstColumn="0" showLastColumn="0" showRowStripes="1" showColumnStripes="0"/>
</x:table>
</file>

<file path=xl/tables/table2.xml><?xml version="1.0" encoding="utf-8"?>
<x:table xmlns:x="http://schemas.openxmlformats.org/spreadsheetml/2006/main" id="2" name="SourceIndexTable" displayName="SourceIndexTable" ref="A4:E20" totalsRowShown="0">
  <x:tableColumns count="5">
    <x:tableColumn id="1" name="State / Territory"/>
    <x:tableColumn id="2" name="Tourism Malaysia Guide"/>
    <x:tableColumn id="3" name="Coverage Role"/>
    <x:tableColumn id="4" name="Per-row Discovery Link"/>
    <x:tableColumn id="5" name="Required Reviewer Action"/>
  </x:tableColumns>
  <x:tableStyleInfo showFirstColumn="0" showLastColumn="0" showRowStripes="1" showColumnStripes="0"/>
</x:table>
</file>

<file path=xl/tables/table3.xml><?xml version="1.0" encoding="utf-8"?>
<x:table xmlns:x="http://schemas.openxmlformats.org/spreadsheetml/2006/main" id="4" name="MasterImageLibrary" displayName="MasterImageLibrary" ref="A4:N702" headerRowCount="1" totalsRowCount="0" totalsRowShown="0">
  <x:autoFilter ref="A4:N702"/>
  <x:tableColumns count="14">
    <x:tableColumn id="1" name="Candidate ID"/>
    <x:tableColumn id="2" name="Attraction Name"/>
    <x:tableColumn id="3" name="Image Number"/>
    <x:tableColumn id="4" name="Display URL"/>
    <x:tableColumn id="5" name="Commons File Page"/>
    <x:tableColumn id="6" name="File Title"/>
    <x:tableColumn id="7" name="Creator"/>
    <x:tableColumn id="8" name="License"/>
    <x:tableColumn id="9" name="License URL"/>
    <x:tableColumn id="10" name="Attribution Required"/>
    <x:tableColumn id="11" name="Credit"/>
    <x:tableColumn id="12" name="Match Basis"/>
    <x:tableColumn id="13" name="Visual Review"/>
    <x:tableColumn id="14" name="Checked Date"/>
  </x:tableColumns>
  <x:tableStyleInfo name="TableStyleMedium2" showFirstColumn="0" showLastColumn="0" showRowStripes="1" showColumnStripes="0"/>
</x:table>
</file>

<file path=xl/tables/table4.xml><?xml version="1.0" encoding="utf-8"?>
<x:table xmlns:x="http://schemas.openxmlformats.org/spreadsheetml/2006/main" id="5" name="IdentityReviewResults" displayName="IdentityReviewResults" ref="A4:F155" headerRowCount="1" totalsRowCount="0" totalsRowShown="0">
  <x:autoFilter ref="A4:F155"/>
  <x:tableColumns count="6">
    <x:tableColumn id="1" name="Candidate ID"/>
    <x:tableColumn id="2" name="Attraction Name"/>
    <x:tableColumn id="3" name="State / Territory"/>
    <x:tableColumn id="4" name="Review Outcome"/>
    <x:tableColumn id="5" name="Evidence URL"/>
    <x:tableColumn id="6" name="Review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41b8f3c0e1430b" /></Relationships>
</file>

<file path=xl/worksheets/_rels/sheet3.xml.rels>&#65279;<?xml version="1.0" encoding="utf-8"?><Relationships xmlns="http://schemas.openxmlformats.org/package/2006/relationships"><Relationship Type="http://schemas.openxmlformats.org/officeDocument/2006/relationships/table" Target="/xl/tables/table2.xml" Id="R0cb72f240f7a4042" /></Relationships>
</file>

<file path=xl/worksheets/_rels/sheet6.xml.rels>&#65279;<?xml version="1.0" encoding="utf-8"?><Relationships xmlns="http://schemas.openxmlformats.org/package/2006/relationships"><Relationship Type="http://schemas.openxmlformats.org/officeDocument/2006/relationships/table" Target="/xl/tables/table3.xml" Id="R09438ca67acf4922" /></Relationships>
</file>

<file path=xl/worksheets/_rels/sheet8.xml.rels>&#65279;<?xml version="1.0" encoding="utf-8"?><Relationships xmlns="http://schemas.openxmlformats.org/package/2006/relationships"><Relationship Type="http://schemas.openxmlformats.org/officeDocument/2006/relationships/table" Target="/xl/tables/table4.xml" Id="R206a596490454e2e" /></Relationships>
</file>

<file path=xl/worksheets/sheet1.xml><?xml version="1.0" encoding="utf-8"?>
<x:worksheet xmlns:x="http://schemas.openxmlformats.org/spreadsheetml/2006/main">
  <x:sheetViews>
    <x:sheetView showGridLines="0" workbookViewId="0">
      <x:pane xSplit="2" ySplit="3" topLeftCell="C4" activePane="bottomRight" state="frozen"/>
    </x:sheetView>
  </x:sheetViews>
  <x:sheetFormatPr defaultColWidth="8.7109375" defaultRowHeight="12.75"/>
  <x:cols>
    <x:col min="1" max="1" width="11" style="9" hidden="0" customWidth="1"/>
    <x:col min="2" max="2" width="34" style="9" hidden="0" customWidth="1"/>
    <x:col min="3" max="3" width="19" style="9" hidden="0" customWidth="1"/>
    <x:col min="4" max="5" width="22" style="9" customWidth="1"/>
    <x:col min="6" max="6" width="20" style="9" hidden="0" customWidth="1"/>
    <x:col min="7" max="7" width="20" style="9" hidden="0" customWidth="1"/>
    <x:col min="8" max="8" width="34" style="9" hidden="0" customWidth="1"/>
    <x:col min="9" max="9" width="48" style="9" hidden="0" customWidth="1"/>
    <x:col min="10" max="10" width="55" style="9" hidden="0" customWidth="1"/>
    <x:col min="11" max="11" width="55" style="9" hidden="0" customWidth="1"/>
    <x:col min="12" max="12" width="22" style="9" hidden="0" customWidth="1"/>
    <x:col min="13" max="13" width="22" style="9" hidden="0" customWidth="1"/>
    <x:col min="14" max="14" width="22" style="9" hidden="0" customWidth="1"/>
    <x:col min="15" max="15" width="22" style="9" hidden="0" customWidth="1"/>
    <x:col min="16" max="16" width="22" style="9" hidden="0" customWidth="1"/>
    <x:col min="17" max="17" width="22" style="9" hidden="0" customWidth="1"/>
    <x:col min="18" max="18" width="22" style="9"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42" hidden="0" customWidth="1"/>
    <x:col min="27" max="27" width="42" hidden="0" customWidth="1"/>
    <x:col min="28" max="28" width="42" hidden="0" customWidth="1"/>
    <x:col min="29" max="29" width="42" hidden="0" customWidth="1"/>
    <x:col min="30" max="30" width="42" hidden="0" customWidth="1"/>
    <x:col min="4" max="4" width="19" hidden="0" customWidth="1"/>
    <x:col min="5" max="5" width="20" hidden="0" customWidth="1"/>
    <x:col min="31" max="31" width="18" hidden="0" customWidth="1"/>
    <x:col min="32" max="32" width="18" hidden="0" customWidth="1"/>
    <x:col min="33" max="33" width="18" hidden="0" customWidth="1"/>
    <x:col min="34" max="34" width="26" hidden="0" customWidth="1"/>
    <x:col min="35" max="35" width="26" hidden="0" customWidth="1"/>
    <x:col min="36" max="36" width="48" hidden="0" customWidth="1"/>
    <x:col min="37" max="37" width="48" hidden="0" customWidth="1"/>
    <x:col min="38" max="38" width="48" hidden="0" customWidth="1"/>
    <x:col min="39" max="39" width="17" hidden="0" customWidth="1"/>
    <x:col min="40" max="40" width="17" hidden="0" customWidth="1"/>
    <x:col min="41" max="41" width="52" hidden="0" customWidth="1"/>
    <x:col min="42" max="42" width="52" hidden="0" customWidth="1"/>
    <x:col min="43" max="43" width="48" hidden="0" customWidth="1"/>
  </x:cols>
  <x:sheetData>
    <x:row r="1" ht="26" customHeight="1">
      <x:c r="A1" s="105" t="str">
        <x:v>JomVoyage Malaysia Tourism Master Candidates — Expanded Research Catalogue</x:v>
      </x:c>
      <x:c r="B1" s="105"/>
      <x:c r="C1" s="105"/>
      <x:c r="D1" s="105"/>
      <x:c r="E1" s="105"/>
      <x:c r="F1" s="105"/>
      <x:c r="G1" s="105"/>
      <x:c r="H1" s="105"/>
      <x:c r="I1" s="105"/>
      <x:c r="J1" s="105"/>
      <x:c r="K1" s="105"/>
      <x:c r="L1" s="105"/>
      <x:c r="M1" s="105"/>
      <x:c r="N1" s="105"/>
      <x:c r="O1" s="105"/>
      <x:c r="P1" s="105"/>
      <x:c r="Q1" s="105"/>
      <x:c r="R1" s="105"/>
      <x:c r="S1" s="105"/>
      <x:c r="T1" s="105"/>
      <x:c r="U1" s="105"/>
      <x:c r="V1" s="105"/>
      <x:c r="W1" s="105"/>
      <x:c r="X1" s="105"/>
      <x:c r="Y1" s="105"/>
      <x:c r="Z1" s="105"/>
      <x:c r="AA1" s="105"/>
      <x:c r="AB1" s="105"/>
      <x:c r="AC1" s="105"/>
      <x:c r="AD1" s="105"/>
      <x:c r="AE1" s="105"/>
      <x:c r="AF1" s="105"/>
      <x:c r="AG1" s="105"/>
      <x:c r="AH1" s="105"/>
      <x:c r="AI1" s="105"/>
      <x:c r="AJ1" s="105"/>
      <x:c r="AK1" s="105"/>
      <x:c r="AL1" s="105"/>
      <x:c r="AM1" s="105"/>
      <x:c r="AN1" s="105"/>
      <x:c r="AO1" s="105"/>
      <x:c r="AP1" s="105"/>
      <x:c r="AQ1" s="105"/>
    </x:row>
    <x:row r="2" ht="32" customHeight="1">
      <x:c r="A2" s="108" t="str">
        <x:v>Candidate catalogue as of 8 September 2026. A candidate row is not proof that a venue is currently open or fully accessible; use the identity, operation, accessibility and image-status fields together.</x:v>
      </x:c>
      <x:c r="B2" s="108"/>
      <x:c r="C2" s="108"/>
      <x:c r="D2" s="108"/>
      <x:c r="E2" s="108"/>
      <x:c r="F2" s="108"/>
      <x:c r="G2" s="108"/>
      <x:c r="H2" s="108"/>
      <x:c r="I2" s="108"/>
      <x:c r="J2" s="108"/>
      <x:c r="K2" s="108"/>
      <x:c r="L2" s="108"/>
      <x:c r="M2" s="108"/>
      <x:c r="N2" s="108"/>
      <x:c r="O2" s="108"/>
      <x:c r="P2" s="108"/>
      <x:c r="Q2" s="108"/>
      <x:c r="R2" s="108"/>
      <x:c r="S2" s="108"/>
      <x:c r="T2" s="108"/>
      <x:c r="U2" s="108"/>
      <x:c r="V2" s="108"/>
      <x:c r="W2" s="108"/>
      <x:c r="X2" s="108"/>
      <x:c r="Y2" s="108"/>
      <x:c r="Z2" s="108"/>
      <x:c r="AA2" s="108"/>
      <x:c r="AB2" s="108"/>
      <x:c r="AC2" s="108"/>
      <x:c r="AD2" s="108"/>
      <x:c r="AE2" s="108"/>
      <x:c r="AF2" s="108"/>
      <x:c r="AG2" s="108"/>
      <x:c r="AH2" s="108"/>
      <x:c r="AI2" s="108"/>
      <x:c r="AJ2" s="108"/>
      <x:c r="AK2" s="108"/>
      <x:c r="AL2" s="108"/>
      <x:c r="AM2" s="108"/>
      <x:c r="AN2" s="108"/>
      <x:c r="AO2" s="108"/>
      <x:c r="AP2" s="108"/>
      <x:c r="AQ2" s="108"/>
    </x:row>
    <x:row r="3" ht="34" customHeight="1">
      <x:c r="A3" s="114" t="str">
        <x:v>Candidate ID</x:v>
      </x:c>
      <x:c r="B3" s="114" t="str">
        <x:v>Attraction Name</x:v>
      </x:c>
      <x:c r="C3" s="114" t="str">
        <x:v>State / Territory</x:v>
      </x:c>
      <x:c r="D3" s="114" t="str">
        <x:v>City / District</x:v>
      </x:c>
      <x:c r="E3" s="114" t="str">
        <x:v>Primary Category</x:v>
      </x:c>
      <x:c r="F3" s="114" t="str">
        <x:v>Coverage Lens</x:v>
      </x:c>
      <x:c r="G3" s="114" t="str">
        <x:v>Setting</x:v>
      </x:c>
      <x:c r="H3" s="114" t="str">
        <x:v>Interests / Tags</x:v>
      </x:c>
      <x:c r="I3" s="114" t="str">
        <x:v>Candidate Description</x:v>
      </x:c>
      <x:c r="J3" s="114" t="str">
        <x:v>Discovery / Source Link(s)</x:v>
      </x:c>
      <x:c r="K3" s="114" t="str">
        <x:v>State Tourism Guide URL</x:v>
      </x:c>
      <x:c r="L3" s="114" t="str">
        <x:v>Source Basis</x:v>
      </x:c>
      <x:c r="M3" s="114" t="str">
        <x:v>Origin Batch</x:v>
      </x:c>
      <x:c r="N3" s="114" t="str">
        <x:v>Existing Record ID</x:v>
      </x:c>
      <x:c r="O3" s="114" t="str">
        <x:v>Date Added</x:v>
      </x:c>
      <x:c r="P3" s="114" t="str">
        <x:v>Review Status</x:v>
      </x:c>
      <x:c r="Q3" s="114" t="str">
        <x:v>Reviewer Notes</x:v>
      </x:c>
      <x:c r="R3" s="114" t="str">
        <x:v>Source Status</x:v>
      </x:c>
      <x:c r="S3" s="114" t="str">
        <x:v>Walking Difficulty</x:v>
      </x:c>
      <x:c r="T3" s="114" t="str">
        <x:v>Step-Free Access</x:v>
      </x:c>
      <x:c r="U3" s="114" t="str">
        <x:v>Resting Seats Available</x:v>
      </x:c>
      <x:c r="V3" s="114" t="str">
        <x:v>Accessible Toilet</x:v>
      </x:c>
      <x:c r="W3" s="114" t="str">
        <x:v>Parking Proximity</x:v>
      </x:c>
      <x:c r="X3" s="114" t="str">
        <x:v>Shelter Available</x:v>
      </x:c>
      <x:c r="Y3" s="114" t="str">
        <x:v>Elderly Suitability</x:v>
      </x:c>
      <x:c r="Z3" s="114" t="str">
        <x:v>Elderly Accessibility Notes</x:v>
      </x:c>
      <x:c r="AA3" s="114" t="str">
        <x:v>Elderly Recommendation Eligibility</x:v>
      </x:c>
      <x:c r="AB3" s="114" t="str">
        <x:v>Accessibility Evidence Source</x:v>
      </x:c>
      <x:c r="AC3" s="114" t="str">
        <x:v>Accessibility Screening Notes</x:v>
      </x:c>
      <x:c r="AD3" s="114" t="str">
        <x:v>Accessibility Screening Date</x:v>
      </x:c>
      <x:c r="AE3" s="114" t="str">
        <x:v>Canonical ID</x:v>
      </x:c>
      <x:c r="AF3" s="114" t="str">
        <x:v>Record Relationship</x:v>
      </x:c>
      <x:c r="AG3" s="114" t="str">
        <x:v>Related Site ID</x:v>
      </x:c>
      <x:c r="AH3" s="114" t="str">
        <x:v>Identity Check Result</x:v>
      </x:c>
      <x:c r="AI3" s="114" t="str">
        <x:v>Identity Evidence URL</x:v>
      </x:c>
      <x:c r="AJ3" s="114" t="str">
        <x:v>Identity Check Notes</x:v>
      </x:c>
      <x:c r="AK3" s="114" t="str">
        <x:v>Operation Status</x:v>
      </x:c>
      <x:c r="AL3" s="114" t="str">
        <x:v>Latest Accessibility Review</x:v>
      </x:c>
      <x:c r="AM3" s="114" t="str">
        <x:v>Last Checked</x:v>
      </x:c>
      <x:c r="AN3" s="114" t="str">
        <x:v>Image 1 URL</x:v>
      </x:c>
      <x:c r="AO3" s="114" t="str">
        <x:v>Image 2 URL</x:v>
      </x:c>
      <x:c r="AP3" s="114" t="str">
        <x:v>Image Review Status</x:v>
      </x:c>
      <x:c r="AQ3" s="114" t="str">
        <x:v>Location Correction Source</x:v>
      </x:c>
    </x:row>
    <x:row r="4" ht="66" customHeight="1">
      <x:c r="A4" s="117" t="str">
        <x:v>MC0001</x:v>
      </x:c>
      <x:c r="B4" s="117" t="str">
        <x:v>Hutan Bandar MBJB</x:v>
      </x:c>
      <x:c r="C4" s="117" t="str">
        <x:v>Johor</x:v>
      </x:c>
      <x:c r="D4" s="117" t="str">
        <x:v>Johor Bahru</x:v>
      </x:c>
      <x:c r="E4" s="117" t="str">
        <x:v>Park and Recreation</x:v>
      </x:c>
      <x:c r="F4" s="117" t="str">
        <x:v>Unclassified</x:v>
      </x:c>
      <x:c r="G4" s="117" t="str">
        <x:v>Outdoor</x:v>
      </x:c>
      <x:c r="H4" s="117" t="str">
        <x:v>Nature; walking; hiking; birdwatching; relaxation; family recreation; swimming; playground; zipline; rope challenge; environmental awareness</x:v>
      </x:c>
      <x:c r="I4" s="117" t="str">
        <x:v>A 35-acre MBJB-managed urban green space about 2 km from central Johor Bahru. It offers natural vegetation, walking trails, playground and water-recreation facilities, camping facilities, hiking and birdwatching opportunities, plus newer flying-fox and rope-course attractions.</x:v>
      </x:c>
      <x:c r="J4" s="117" t="str">
        <x:v>https://www.mbjb.gov.my/index.php/ms/hutanbandarlamanhijau ; https://visitjohor2026.my/ms/listing/hutan-bandar-mbjb/ ; https://www.mbjb.gov.my/ms/destinasi-menarik/kolam-rekreasi-air-hutan-bandar</x:v>
      </x:c>
      <x:c r="K4" s="117" t="str">
        <x:v>https://ebrochures.malaysia.travel/en/malaysia-travel-guide/johor/</x:v>
      </x:c>
      <x:c r="L4" s="117" t="str">
        <x:v>Previously researched sources; reconfirm before approval</x:v>
      </x:c>
      <x:c r="M4" s="117" t="str">
        <x:v>Johor researched batch</x:v>
      </x:c>
      <x:c r="N4" s="117" t="str">
        <x:v>A001</x:v>
      </x:c>
      <x:c r="O4" s="117" t="str">
        <x:v>2026-08-15 00:00:00</x:v>
      </x:c>
      <x:c r="P4" s="117" t="str">
        <x:v>Complete</x:v>
      </x:c>
      <x:c r="Q4" s="117"/>
      <x:c r="R4" s="117" t="str">
        <x:f t="shared" ref="R4:R67" si="0">IF(J4="","Missing Link",IF(AND(ISNUMBER(SEARCH("google.com/maps",J4)),ISERROR(SEARCH(";",J4))),"Discovery Link Only","Source Link Present"))</x:f>
        <x:v>Source Link Present</x:v>
      </x:c>
      <x:c r="S4" s="117" t="str">
        <x:v>Unknown</x:v>
      </x:c>
      <x:c r="T4" s="117" t="str">
        <x:v>Unknown</x:v>
      </x:c>
      <x:c r="U4" s="117" t="str">
        <x:v>Unknown</x:v>
      </x:c>
      <x:c r="V4" s="117" t="str">
        <x:v>Unknown</x:v>
      </x:c>
      <x:c r="W4" s="117" t="str">
        <x:v>Unknown</x:v>
      </x:c>
      <x:c r="X4" s="117" t="str">
        <x:v>Unknown</x:v>
      </x:c>
      <x:c r="Y4" s="117" t="str">
        <x:v>Unknown</x:v>
      </x:c>
      <x:c r="Z4" s="117"/>
      <x:c r="AA4" s="117" t="str">
        <x:v>Pending evidence</x:v>
      </x:c>
      <x:c r="AB4" s="117"/>
      <x:c r="AC4" s="117" t="str">
        <x:v>No qualifying accessibility conclusion established from the screened sources. This is unknown, not evidence that the attraction is inaccessible.</x:v>
      </x:c>
      <x:c r="AD4" s="117" t="str">
        <x:v>2026-09-08</x:v>
      </x:c>
      <x:c r="AE4" s="117" t="str">
        <x:v>MC0001</x:v>
      </x:c>
      <x:c r="AF4" s="117" t="str">
        <x:v>Distinct candidate</x:v>
      </x:c>
      <x:c r="AG4" s="117" t="str"/>
      <x:c r="AH4" s="117" t="str">
        <x:v>Name corroborated in source</x:v>
      </x:c>
      <x:c r="AI4" s="117" t="str">
        <x:v>https://www.mbjb.gov.my/index.php/ms/hutanbandarlamanhijau</x:v>
      </x:c>
      <x:c r="AJ4" s="117" t="str">
        <x:v>Place name or established alias matched in the cited source. This is not confirmation of current opening, all visitor facilities or the full description.</x:v>
      </x:c>
      <x:c r="AK4" s="117" t="str">
        <x:v>Not independently confirmed</x:v>
      </x:c>
      <x:c r="AL4" s="117" t="str">
        <x:v>Screened sources; accessibility unresolved</x:v>
      </x:c>
      <x:c r="AM4" s="117" t="str">
        <x:v>2026-09-08</x:v>
      </x:c>
      <x:c r="AN4" s="117" t="str">
        <x:v>https://thumb.wikimedia.org/wikipedia/commons/thumb/1/1e/Forest_trees_in_Johor.jpg/1280px-Forest_trees_in_Johor.jpg?utm_source=commons.wikimedia.org&amp;utm_campaign=imageinfo&amp;utm_content=thumbnail</x:v>
      </x:c>
      <x:c r="AO4" s="117"/>
      <x:c r="AP4" s="117" t="str">
        <x:v>1 metadata-matched images; visual review pending</x:v>
      </x:c>
      <x:c r="AQ4" s="117"/>
    </x:row>
    <x:row r="5" ht="66" customHeight="1">
      <x:c r="A5" s="117" t="str">
        <x:v>MC0002</x:v>
      </x:c>
      <x:c r="B5" s="117" t="str">
        <x:v>Zoo Johor</x:v>
      </x:c>
      <x:c r="C5" s="117" t="str">
        <x:v>Johor</x:v>
      </x:c>
      <x:c r="D5" s="117" t="str">
        <x:v>Johor Bahru</x:v>
      </x:c>
      <x:c r="E5" s="117" t="str">
        <x:v>Wildlife</x:v>
      </x:c>
      <x:c r="F5" s="117" t="str">
        <x:v>Unclassified</x:v>
      </x:c>
      <x:c r="G5" s="117" t="str">
        <x:v>Outdoor</x:v>
      </x:c>
      <x:c r="H5" s="117" t="str">
        <x:v>Wildlife; animals; family recreation; children; education; photography; zoo</x:v>
      </x:c>
      <x:c r="I5" s="117" t="str">
        <x:v>One of Malaysia's oldest zoos, located in central Johor Bahru and home to more than 275 animals, including tigers, elephants and camels. It offers wildlife viewing, family recreation, educational opportunities and photography.</x:v>
      </x:c>
      <x:c r="J5" s="117" t="str">
        <x:v>https://zoo.johor.gov.my/ ; https://visitjohor2026.my/listing/zoo-johor/ ; user-provided Zoo Johor ticket poster</x:v>
      </x:c>
      <x:c r="K5" s="117" t="str">
        <x:v>https://ebrochures.malaysia.travel/en/malaysia-travel-guide/johor/</x:v>
      </x:c>
      <x:c r="L5" s="117" t="str">
        <x:v>Previously researched sources; reconfirm before approval</x:v>
      </x:c>
      <x:c r="M5" s="117" t="str">
        <x:v>Johor researched batch</x:v>
      </x:c>
      <x:c r="N5" s="117" t="str">
        <x:v>A002</x:v>
      </x:c>
      <x:c r="O5" s="117" t="str">
        <x:v>2026-08-15 00:00:00</x:v>
      </x:c>
      <x:c r="P5" s="117" t="str">
        <x:v>Complete</x:v>
      </x:c>
      <x:c r="Q5" s="117"/>
      <x:c r="R5" s="117" t="str">
        <x:f t="shared" si="0">IF(J5="","Missing Link",IF(AND(ISNUMBER(SEARCH("google.com/maps",J5)),ISERROR(SEARCH(";",J5))),"Discovery Link Only","Source Link Present"))</x:f>
        <x:v>Source Link Present</x:v>
      </x:c>
      <x:c r="S5" s="117" t="str">
        <x:v>Unknown</x:v>
      </x:c>
      <x:c r="T5" s="117" t="str">
        <x:v>Unknown</x:v>
      </x:c>
      <x:c r="U5" s="117" t="str">
        <x:v>Unknown</x:v>
      </x:c>
      <x:c r="V5" s="117" t="str">
        <x:v>Unknown</x:v>
      </x:c>
      <x:c r="W5" s="117" t="str">
        <x:v>Unknown</x:v>
      </x:c>
      <x:c r="X5" s="117" t="str">
        <x:v>Unknown</x:v>
      </x:c>
      <x:c r="Y5" s="117" t="str">
        <x:v>Unknown</x:v>
      </x:c>
      <x:c r="Z5" s="117"/>
      <x:c r="AA5" s="117" t="str">
        <x:v>Pending evidence</x:v>
      </x:c>
      <x:c r="AB5" s="117"/>
      <x:c r="AC5" s="117" t="str">
        <x:v>No qualifying accessibility conclusion established from the screened sources. This is unknown, not evidence that the attraction is inaccessible.</x:v>
      </x:c>
      <x:c r="AD5" s="117" t="str">
        <x:v>2026-09-08</x:v>
      </x:c>
      <x:c r="AE5" s="117" t="str">
        <x:v>MC0002</x:v>
      </x:c>
      <x:c r="AF5" s="117" t="str">
        <x:v>Distinct candidate</x:v>
      </x:c>
      <x:c r="AG5" s="117" t="str"/>
      <x:c r="AH5" s="117" t="str">
        <x:v>Name corroborated in source</x:v>
      </x:c>
      <x:c r="AI5" s="117" t="str">
        <x:v>https://zoo.johor.gov.my/</x:v>
      </x:c>
      <x:c r="AJ5" s="117" t="str">
        <x:v>Place name or established alias matched in the cited source. This is not confirmation of current opening, all visitor facilities or the full description.</x:v>
      </x:c>
      <x:c r="AK5" s="117" t="str">
        <x:v>Not independently confirmed</x:v>
      </x:c>
      <x:c r="AL5" s="117" t="str">
        <x:v>Screened sources; accessibility unresolved</x:v>
      </x:c>
      <x:c r="AM5" s="117" t="str">
        <x:v>2026-09-08</x:v>
      </x:c>
      <x:c r="AN5" s="117" t="str">
        <x:v>https://thumb.wikimedia.org/wikipedia/commons/thumb/2/2a/Zoo_Johor_entrance.jpg/1280px-Zoo_Johor_entrance.jpg?utm_source=commons.wikimedia.org&amp;utm_campaign=imageinfo&amp;utm_content=thumbnail</x:v>
      </x:c>
      <x:c r="AO5" s="117" t="str">
        <x:v>https://thumb.wikimedia.org/wikipedia/commons/thumb/9/98/Johor_Zoo.JPG/1280px-Johor_Zoo.JPG?utm_source=commons.wikimedia.org&amp;utm_campaign=imageinfo&amp;utm_content=thumbnail</x:v>
      </x:c>
      <x:c r="AP5" s="117" t="str">
        <x:v>2 metadata-matched images; visual review pending</x:v>
      </x:c>
      <x:c r="AQ5" s="117"/>
    </x:row>
    <x:row r="6" ht="66" customHeight="1">
      <x:c r="A6" s="117" t="str">
        <x:v>MC0003</x:v>
      </x:c>
      <x:c r="B6" s="117" t="str">
        <x:v>Endau-Rompin National Park</x:v>
      </x:c>
      <x:c r="C6" s="117" t="str">
        <x:v>Johor</x:v>
      </x:c>
      <x:c r="D6" s="117" t="str">
        <x:v>Mersing / Segamat</x:v>
      </x:c>
      <x:c r="E6" s="117" t="str">
        <x:v>Nature</x:v>
      </x:c>
      <x:c r="F6" s="117" t="str">
        <x:v>Unclassified</x:v>
      </x:c>
      <x:c r="G6" s="117" t="str">
        <x:v>Both</x:v>
      </x:c>
      <x:c r="H6" s="117" t="str">
        <x:v>Ancient rainforest; national park; biodiversity; waterfalls; rivers; hiking; jungle trekking; swimming; tubing; camping; wildlife watching; birdwatching; night walks; Orang Asli culture; nature education; photography</x:v>
      </x:c>
      <x:c r="I6" s="117" t="str">
        <x:v>Johor's largest protected area is an ancient rainforest national park with official entrances at Peta in Mersing and Selai in Segamat. Its rivers, waterfalls and forest trails support hiking, swimming, tubing, camping, wildlife and birdwatching experiences, alongside Jakun cultural and nature-education activities.</x:v>
      </x:c>
      <x:c r="J6" s="117" t="str">
        <x:v>https://www.malaysia.travel/explore/endau-rompin-national-park ; https://johornationalparks.gov.my/endau-rompin-peta/ ; https://johornationalparks.gov.my/endau-rompin-peta-activities/ ; https://johornationalparks.gov.my/endau-rompin-selai-activities/ ; https://www.malaysia.travel/explore/thrilling-outdoor-adventures-in-johor-bahru ; https://rompinpark.my/</x:v>
      </x:c>
      <x:c r="K6" s="117" t="str">
        <x:v>https://ebrochures.malaysia.travel/en/malaysia-travel-guide/johor/</x:v>
      </x:c>
      <x:c r="L6" s="117" t="str">
        <x:v>Previously researched sources; reconfirm before approval</x:v>
      </x:c>
      <x:c r="M6" s="117" t="str">
        <x:v>Johor researched batch</x:v>
      </x:c>
      <x:c r="N6" s="117" t="str">
        <x:v>A010</x:v>
      </x:c>
      <x:c r="O6" s="117" t="str">
        <x:v>2026-08-15 00:00:00</x:v>
      </x:c>
      <x:c r="P6" s="117" t="str">
        <x:v>Complete</x:v>
      </x:c>
      <x:c r="Q6" s="117"/>
      <x:c r="R6" s="117" t="str">
        <x:f t="shared" si="0">IF(J6="","Missing Link",IF(AND(ISNUMBER(SEARCH("google.com/maps",J6)),ISERROR(SEARCH(";",J6))),"Discovery Link Only","Source Link Present"))</x:f>
        <x:v>Source Link Present</x:v>
      </x:c>
      <x:c r="S6" s="117" t="str">
        <x:v>Unknown</x:v>
      </x:c>
      <x:c r="T6" s="117" t="str">
        <x:v>Unknown</x:v>
      </x:c>
      <x:c r="U6" s="117" t="str">
        <x:v>Unknown</x:v>
      </x:c>
      <x:c r="V6" s="117" t="str">
        <x:v>Unknown</x:v>
      </x:c>
      <x:c r="W6" s="117" t="str">
        <x:v>Unknown</x:v>
      </x:c>
      <x:c r="X6" s="117" t="str">
        <x:v>Unknown</x:v>
      </x:c>
      <x:c r="Y6" s="117" t="str">
        <x:v>Unknown</x:v>
      </x:c>
      <x:c r="Z6" s="117"/>
      <x:c r="AA6" s="117" t="str">
        <x:v>Pending evidence</x:v>
      </x:c>
      <x:c r="AB6" s="117"/>
      <x:c r="AC6" s="117" t="str">
        <x:v>No qualifying accessibility conclusion established from the screened sources. This is unknown, not evidence that the attraction is inaccessible.</x:v>
      </x:c>
      <x:c r="AD6" s="117" t="str">
        <x:v>2026-09-08</x:v>
      </x:c>
      <x:c r="AE6" s="117" t="str">
        <x:v>MC0003</x:v>
      </x:c>
      <x:c r="AF6" s="117" t="str">
        <x:v>Distinct candidate</x:v>
      </x:c>
      <x:c r="AG6" s="117" t="str"/>
      <x:c r="AH6" s="117" t="str">
        <x:v>Name corroborated in source</x:v>
      </x:c>
      <x:c r="AI6" s="117" t="str">
        <x:v>https://www.malaysia.travel/explore/endau-rompin-national-park</x:v>
      </x:c>
      <x:c r="AJ6" s="117" t="str">
        <x:v>Place name or established alias matched in the cited source. This is not confirmation of current opening, all visitor facilities or the full description.</x:v>
      </x:c>
      <x:c r="AK6" s="117" t="str">
        <x:v>Not independently confirmed</x:v>
      </x:c>
      <x:c r="AL6" s="117" t="str">
        <x:v>Screened sources; accessibility unresolved</x:v>
      </x:c>
      <x:c r="AM6" s="117" t="str">
        <x:v>2026-09-08</x:v>
      </x:c>
      <x:c r="AN6" s="117" t="str">
        <x:v>https://thumb.wikimedia.org/wikipedia/commons/thumb/f/f6/Kincin.jpg/1280px-Kincin.jpg?utm_source=commons.wikimedia.org&amp;utm_campaign=imageinfo&amp;utm_content=thumbnail</x:v>
      </x:c>
      <x:c r="AO6" s="117" t="str">
        <x:v>https://thumb.wikimedia.org/wikipedia/commons/thumb/1/15/20170415T065925_Lat_2_26_7.40569196_N_Long_103_14_35.66140777_E.jpg/1280px-20170415T065925_Lat_2_26_7.40569196_N_Long_103_14_35.66140777_E.jpg?utm_source=commons.wikimedia.org&amp;utm_campaign=imageinfo&amp;utm_content=thumbnail</x:v>
      </x:c>
      <x:c r="AP6" s="117" t="str">
        <x:v>2 metadata-matched images; visual review pending</x:v>
      </x:c>
      <x:c r="AQ6" s="117"/>
    </x:row>
    <x:row r="7" ht="66" customHeight="1">
      <x:c r="A7" s="117" t="str">
        <x:v>MC0004</x:v>
      </x:c>
      <x:c r="B7" s="117" t="str">
        <x:v>LEGOLAND Malaysia Resort</x:v>
      </x:c>
      <x:c r="C7" s="117" t="str">
        <x:v>Johor</x:v>
      </x:c>
      <x:c r="D7" s="117" t="str">
        <x:v>Iskandar Puteri</x:v>
      </x:c>
      <x:c r="E7" s="117" t="str">
        <x:v>Family Attraction</x:v>
      </x:c>
      <x:c r="F7" s="117" t="str">
        <x:v>Unclassified</x:v>
      </x:c>
      <x:c r="G7" s="117" t="str">
        <x:v>Both</x:v>
      </x:c>
      <x:c r="H7" s="117" t="str">
        <x:v>theme park; family; children; rides; indoor; outdoor</x:v>
      </x:c>
      <x:c r="I7" s="117" t="str">
        <x:v>Southeast Asia's first LEGOLAND theme park, opened in 2012 in Iskandar Puteri, with LEGO-themed rides, a Miniland of LEGO-brick landmark replicas, an adjoining water park and the Legoland Hotel.</x:v>
      </x:c>
      <x:c r="J7" s="117" t="str">
        <x:v>https://www.google.com/maps/search/?api=1&amp;query=LEGOLAND%20Malaysia%20Resort%2C%20Johor%2C%20Malaysia</x:v>
      </x:c>
      <x:c r="K7" s="117" t="str">
        <x:v>https://ebrochures.malaysia.travel/en/malaysia-travel-guide/johor/</x:v>
      </x:c>
      <x:c r="L7" s="117" t="str">
        <x:v>Previous workbook candidate/source lead</x:v>
      </x:c>
      <x:c r="M7" s="117" t="str">
        <x:v>Johor seed candidates</x:v>
      </x:c>
      <x:c r="N7" s="117" t="str">
        <x:v>A033</x:v>
      </x:c>
      <x:c r="O7" s="117" t="str">
        <x:v>2026-08-15 00:00:00</x:v>
      </x:c>
      <x:c r="P7" s="117" t="str">
        <x:v>Complete</x:v>
      </x:c>
      <x:c r="Q7" s="117"/>
      <x:c r="R7" s="117" t="str">
        <x:f t="shared" si="0">IF(J7="","Missing Link",IF(AND(ISNUMBER(SEARCH("google.com/maps",J7)),ISERROR(SEARCH(";",J7))),"Discovery Link Only","Source Link Present"))</x:f>
        <x:v>Discovery Link Only</x:v>
      </x:c>
      <x:c r="S7" s="117" t="str">
        <x:v>Not measured</x:v>
      </x:c>
      <x:c r="T7" s="117" t="str">
        <x:v>Partial</x:v>
      </x:c>
      <x:c r="U7" s="117" t="str">
        <x:v>Unknown</x:v>
      </x:c>
      <x:c r="V7" s="117" t="str">
        <x:v>Unknown</x:v>
      </x:c>
      <x:c r="W7" s="117" t="str">
        <x:v>Near entrance</x:v>
      </x:c>
      <x:c r="X7" s="117" t="str">
        <x:v>Unknown</x:v>
      </x:c>
      <x:c r="Y7" s="117" t="str">
        <x:v>Conditional on mobility and route</x:v>
      </x:c>
      <x:c r="Z7" s="117" t="str">
        <x:v>Individual rides have boarding and safety restrictions. Arrange required assistance; a wheelchair rental does not make every ride accessible.</x:v>
      </x:c>
      <x:c r="AA7" s="117" t="str">
        <x:v>Documented support - conditional</x:v>
      </x:c>
      <x:c r="AB7" s="117" t="str">
        <x:v>https://www.legoland.com.my/plan-your-day/before-you-visit/accessibility/
https://www.legoland.com.my/plan-your-day/help-center/faq/theme-park-general-information/</x:v>
      </x:c>
      <x:c r="AC7" s="117" t="str">
        <x:v>Selected attractions and public visitor areas</x:v>
      </x:c>
      <x:c r="AD7" s="117" t="str">
        <x:v>2026-09-08</x:v>
      </x:c>
      <x:c r="AE7" s="117" t="str">
        <x:v>MC0004</x:v>
      </x:c>
      <x:c r="AF7" s="117" t="str">
        <x:v>Distinct candidate</x:v>
      </x:c>
      <x:c r="AG7" s="117" t="str"/>
      <x:c r="AH7" s="117" t="str">
        <x:v>Venue-specific source reviewed</x:v>
      </x:c>
      <x:c r="AI7" s="117" t="str">
        <x:v>https://www.legoland.com.my/plan-your-day/before-you-visit/accessibility/</x:v>
      </x:c>
      <x:c r="AJ7" s="117" t="str">
        <x:v>Place name or established alias matched in the cited source. This is not confirmation of current opening, all visitor facilities or the full description.</x:v>
      </x:c>
      <x:c r="AK7" s="117" t="str">
        <x:v>Not independently confirmed</x:v>
      </x:c>
      <x:c r="AL7" s="117" t="str">
        <x:v>Primary accessibility evidence reviewed</x:v>
      </x:c>
      <x:c r="AM7" s="117" t="str">
        <x:v>2026-09-08</x:v>
      </x:c>
      <x:c r="AN7" s="117" t="str">
        <x:v>https://thumb.wikimedia.org/wikipedia/commons/thumb/e/ed/Legoland_Malaysia_Resort.jpg/1280px-Legoland_Malaysia_Resort.jpg?utm_source=commons.wikimedia.org&amp;utm_campaign=imageinfo&amp;utm_content=thumbnail</x:v>
      </x:c>
      <x:c r="AO7" s="117"/>
      <x:c r="AP7" s="117" t="str">
        <x:v>1 metadata-matched images; visual review pending</x:v>
      </x:c>
      <x:c r="AQ7" s="117"/>
    </x:row>
    <x:row r="8" ht="66" customHeight="1">
      <x:c r="A8" s="117" t="str">
        <x:v>MC0005</x:v>
      </x:c>
      <x:c r="B8" s="117" t="str">
        <x:v>Adventure Waterpark Desaru Coast</x:v>
      </x:c>
      <x:c r="C8" s="117" t="str">
        <x:v>Johor</x:v>
      </x:c>
      <x:c r="D8" s="117" t="str">
        <x:v>Bandar Penawar</x:v>
      </x:c>
      <x:c r="E8" s="117" t="str">
        <x:v>Theme Park</x:v>
      </x:c>
      <x:c r="F8" s="117" t="str">
        <x:v>Unclassified</x:v>
      </x:c>
      <x:c r="G8" s="117" t="str">
        <x:v>Outdoor</x:v>
      </x:c>
      <x:c r="H8" s="117" t="str">
        <x:v>water park; family; children; adventure; recreation</x:v>
      </x:c>
      <x:c r="I8" s="117" t="str">
        <x:v>A large waterpark within the Desaru Coast resort development on Johor's east coast, featuring wave pools, slides and river rides aimed at families.</x:v>
      </x:c>
      <x:c r="J8" s="117" t="str">
        <x:v>https://www.google.com/maps/search/?api=1&amp;query=Adventure%20Waterpark%20Desaru%20Coast%2C%20Johor%2C%20Malaysia</x:v>
      </x:c>
      <x:c r="K8" s="117" t="str">
        <x:v>https://ebrochures.malaysia.travel/en/malaysia-travel-guide/johor/</x:v>
      </x:c>
      <x:c r="L8" s="117" t="str">
        <x:v>Previous workbook candidate/source lead</x:v>
      </x:c>
      <x:c r="M8" s="117" t="str">
        <x:v>Johor seed candidates</x:v>
      </x:c>
      <x:c r="N8" s="117" t="str">
        <x:v>A034</x:v>
      </x:c>
      <x:c r="O8" s="117" t="str">
        <x:v>2026-08-15 00:00:00</x:v>
      </x:c>
      <x:c r="P8" s="117" t="str">
        <x:v>Complete</x:v>
      </x:c>
      <x:c r="Q8" s="117"/>
      <x:c r="R8" s="117" t="str">
        <x:f t="shared" si="0">IF(J8="","Missing Link",IF(AND(ISNUMBER(SEARCH("google.com/maps",J8)),ISERROR(SEARCH(";",J8))),"Discovery Link Only","Source Link Present"))</x:f>
        <x:v>Discovery Link Only</x:v>
      </x:c>
      <x:c r="S8" s="117" t="str">
        <x:v>Unknown</x:v>
      </x:c>
      <x:c r="T8" s="117" t="str">
        <x:v>Unknown</x:v>
      </x:c>
      <x:c r="U8" s="117" t="str">
        <x:v>Unknown</x:v>
      </x:c>
      <x:c r="V8" s="117" t="str">
        <x:v>Unknown</x:v>
      </x:c>
      <x:c r="W8" s="117" t="str">
        <x:v>Unknown</x:v>
      </x:c>
      <x:c r="X8" s="117" t="str">
        <x:v>Unknown</x:v>
      </x:c>
      <x:c r="Y8" s="117" t="str">
        <x:v>Unknown</x:v>
      </x:c>
      <x:c r="Z8" s="117"/>
      <x:c r="AA8" s="117" t="str">
        <x:v>Pending evidence</x:v>
      </x:c>
      <x:c r="AB8" s="117"/>
      <x:c r="AC8" s="117" t="str">
        <x:v>No qualifying accessibility conclusion established from the screened sources. This is unknown, not evidence that the attraction is inaccessible.</x:v>
      </x:c>
      <x:c r="AD8" s="117" t="str">
        <x:v>2026-09-08</x:v>
      </x:c>
      <x:c r="AE8" s="117" t="str">
        <x:v>MC0005</x:v>
      </x:c>
      <x:c r="AF8" s="117" t="str">
        <x:v>Distinct candidate</x:v>
      </x:c>
      <x:c r="AG8" s="117" t="str"/>
      <x:c r="AH8" s="117" t="str">
        <x:v>Name corroborated in source</x:v>
      </x:c>
      <x:c r="AI8" s="117" t="str">
        <x:v>https://ebrochures.malaysia.travel/en/malaysia-travel-guide/johor/</x:v>
      </x:c>
      <x:c r="AJ8" s="117" t="str">
        <x:v>Place name or established alias matched in the cited source. This is not confirmation of current opening, all visitor facilities or the full description.</x:v>
      </x:c>
      <x:c r="AK8" s="117" t="str">
        <x:v>Not independently confirmed</x:v>
      </x:c>
      <x:c r="AL8" s="117" t="str">
        <x:v>Screened sources; accessibility unresolved</x:v>
      </x:c>
      <x:c r="AM8" s="117" t="str">
        <x:v>2026-09-08</x:v>
      </x:c>
      <x:c r="AN8" s="117" t="str">
        <x:v>https://thumb.wikimedia.org/wikipedia/commons/thumb/d/d6/Desaru_Coast_Adventure_Waterpark.jpg/1280px-Desaru_Coast_Adventure_Waterpark.jpg?utm_source=commons.wikimedia.org&amp;utm_campaign=imageinfo&amp;utm_content=thumbnail</x:v>
      </x:c>
      <x:c r="AO8" s="117"/>
      <x:c r="AP8" s="117" t="str">
        <x:v>1 metadata-matched images; visual review pending</x:v>
      </x:c>
      <x:c r="AQ8" s="117"/>
    </x:row>
    <x:row r="9" ht="66" customHeight="1">
      <x:c r="A9" s="117" t="str">
        <x:v>MC0006</x:v>
      </x:c>
      <x:c r="B9" s="117" t="str">
        <x:v>Desaru Beach</x:v>
      </x:c>
      <x:c r="C9" s="117" t="str">
        <x:v>Johor</x:v>
      </x:c>
      <x:c r="D9" s="117" t="str">
        <x:v>Kota Tinggi</x:v>
      </x:c>
      <x:c r="E9" s="117" t="str">
        <x:v>Beach and Island</x:v>
      </x:c>
      <x:c r="F9" s="117" t="str">
        <x:v>Unclassified</x:v>
      </x:c>
      <x:c r="G9" s="117" t="str">
        <x:v>Outdoor</x:v>
      </x:c>
      <x:c r="H9" s="117" t="str">
        <x:v>beach; relaxation; scenery; family; seaside</x:v>
      </x:c>
      <x:c r="I9" s="117" t="str">
        <x:v>A long stretch of sandy coastline on Johor's east coast known for surfing, water sports and beachfront resorts.</x:v>
      </x:c>
      <x:c r="J9" s="117" t="str">
        <x:v>https://www.google.com/maps/search/?api=1&amp;query=Desaru%20Beach%2C%20Johor%2C%20Malaysia</x:v>
      </x:c>
      <x:c r="K9" s="117" t="str">
        <x:v>https://ebrochures.malaysia.travel/en/malaysia-travel-guide/johor/</x:v>
      </x:c>
      <x:c r="L9" s="117" t="str">
        <x:v>Previous workbook candidate/source lead</x:v>
      </x:c>
      <x:c r="M9" s="117" t="str">
        <x:v>Johor seed candidates</x:v>
      </x:c>
      <x:c r="N9" s="117" t="str">
        <x:v>A035</x:v>
      </x:c>
      <x:c r="O9" s="117" t="str">
        <x:v>2026-08-15 00:00:00</x:v>
      </x:c>
      <x:c r="P9" s="117" t="str">
        <x:v>Complete</x:v>
      </x:c>
      <x:c r="Q9" s="117" t="str">
        <x:v>Identity and Malaysian location verified in second-pass review on 2026-09-08.</x:v>
      </x:c>
      <x:c r="R9" s="117" t="str">
        <x:f t="shared" si="0">IF(J9="","Missing Link",IF(AND(ISNUMBER(SEARCH("google.com/maps",J9)),ISERROR(SEARCH(";",J9))),"Discovery Link Only","Source Link Present"))</x:f>
        <x:v>Discovery Link Only</x:v>
      </x:c>
      <x:c r="S9" s="117" t="str">
        <x:v>Unknown</x:v>
      </x:c>
      <x:c r="T9" s="117" t="str">
        <x:v>Unknown</x:v>
      </x:c>
      <x:c r="U9" s="117" t="str">
        <x:v>Unknown</x:v>
      </x:c>
      <x:c r="V9" s="117" t="str">
        <x:v>Unknown</x:v>
      </x:c>
      <x:c r="W9" s="117" t="str">
        <x:v>Unknown</x:v>
      </x:c>
      <x:c r="X9" s="117" t="str">
        <x:v>Unknown</x:v>
      </x:c>
      <x:c r="Y9" s="117" t="str">
        <x:v>Unknown</x:v>
      </x:c>
      <x:c r="Z9" s="117"/>
      <x:c r="AA9" s="117" t="str">
        <x:v>Pending evidence</x:v>
      </x:c>
      <x:c r="AB9" s="117"/>
      <x:c r="AC9" s="117" t="str">
        <x:v>No qualifying accessibility conclusion established from the screened sources. This is unknown, not evidence that the attraction is inaccessible.</x:v>
      </x:c>
      <x:c r="AD9" s="117" t="str">
        <x:v>2026-09-08</x:v>
      </x:c>
      <x:c r="AE9" s="117" t="str">
        <x:v>MC0006</x:v>
      </x:c>
      <x:c r="AF9" s="117" t="str">
        <x:v>Distinct candidate</x:v>
      </x:c>
      <x:c r="AG9" s="117" t="str"/>
      <x:c r="AH9" s="117" t="str">
        <x:v>Identity and location corroborated</x:v>
      </x:c>
      <x:c r="AI9" s="117" t="str">
        <x:v>https://en.wikipedia.org/wiki/Desaru</x:v>
      </x:c>
      <x:c r="AJ9" s="117" t="str">
        <x:v>Encyclopedic source matches the attraction name or established alias and the stated Malaysian location. This verifies identity/location only; confirm current opening and accessibility separately.</x:v>
      </x:c>
      <x:c r="AK9" s="117" t="str">
        <x:v>Not independently confirmed</x:v>
      </x:c>
      <x:c r="AL9" s="117" t="str">
        <x:v>Screened sources; accessibility unresolved</x:v>
      </x:c>
      <x:c r="AM9" s="117" t="str">
        <x:v>2026-09-08</x:v>
      </x:c>
      <x:c r="AN9" s="117" t="str">
        <x:v>https://thumb.wikimedia.org/wikipedia/commons/thumb/d/d5/Desaru_Beach.jpg/1280px-Desaru_Beach.jpg?utm_source=commons.wikimedia.org&amp;utm_campaign=imageinfo&amp;utm_content=thumbnail</x:v>
      </x:c>
      <x:c r="AO9" s="117" t="str">
        <x:v>https://thumb.wikimedia.org/wikipedia/commons/thumb/6/63/Pantai_Desaru_-_panoramio.jpg/1280px-Pantai_Desaru_-_panoramio.jpg?utm_source=commons.wikimedia.org&amp;utm_campaign=imageinfo&amp;utm_content=thumbnail</x:v>
      </x:c>
      <x:c r="AP9" s="117" t="str">
        <x:v>2 metadata-matched images; visual review pending</x:v>
      </x:c>
      <x:c r="AQ9" s="117"/>
    </x:row>
    <x:row r="10" ht="66" customHeight="1">
      <x:c r="A10" s="117" t="str">
        <x:v>MC0007</x:v>
      </x:c>
      <x:c r="B10" s="117" t="str">
        <x:v>Tanjung Piai National Park</x:v>
      </x:c>
      <x:c r="C10" s="117" t="str">
        <x:v>Johor</x:v>
      </x:c>
      <x:c r="D10" s="117" t="str">
        <x:v>Pontian</x:v>
      </x:c>
      <x:c r="E10" s="117" t="str">
        <x:v>Nature</x:v>
      </x:c>
      <x:c r="F10" s="117" t="str">
        <x:v>Unclassified</x:v>
      </x:c>
      <x:c r="G10" s="117" t="str">
        <x:v>Outdoor</x:v>
      </x:c>
      <x:c r="H10" s="117" t="str">
        <x:v>nature; mangrove; boardwalk; birdwatching; scenery; relaxation</x:v>
      </x:c>
      <x:c r="I10" s="117" t="str">
        <x:v>Mainland Asia's southernmost point, a coastal mangrove forest reserve near Pontian with boardwalks for viewing mudflat wildlife and the Tanjung Piai lighthouse.</x:v>
      </x:c>
      <x:c r="J10" s="117" t="str">
        <x:v>https://www.google.com/maps/search/?api=1&amp;query=Tanjung%20Piai%20National%20Park%2C%20Johor%2C%20Malaysia</x:v>
      </x:c>
      <x:c r="K10" s="117" t="str">
        <x:v>https://ebrochures.malaysia.travel/en/malaysia-travel-guide/johor/</x:v>
      </x:c>
      <x:c r="L10" s="117" t="str">
        <x:v>Previous workbook candidate/source lead</x:v>
      </x:c>
      <x:c r="M10" s="117" t="str">
        <x:v>Johor seed candidates</x:v>
      </x:c>
      <x:c r="N10" s="117" t="str">
        <x:v>A036</x:v>
      </x:c>
      <x:c r="O10" s="117" t="str">
        <x:v>2026-08-15 00:00:00</x:v>
      </x:c>
      <x:c r="P10" s="117" t="str">
        <x:v>Complete</x:v>
      </x:c>
      <x:c r="Q10" s="117"/>
      <x:c r="R10" s="117" t="str">
        <x:f t="shared" si="0">IF(J10="","Missing Link",IF(AND(ISNUMBER(SEARCH("google.com/maps",J10)),ISERROR(SEARCH(";",J10))),"Discovery Link Only","Source Link Present"))</x:f>
        <x:v>Discovery Link Only</x:v>
      </x:c>
      <x:c r="S10" s="117" t="str">
        <x:v>Not measured</x:v>
      </x:c>
      <x:c r="T10" s="117" t="str">
        <x:v>Unknown</x:v>
      </x:c>
      <x:c r="U10" s="117" t="str">
        <x:v>Unknown</x:v>
      </x:c>
      <x:c r="V10" s="117" t="str">
        <x:v>Unknown</x:v>
      </x:c>
      <x:c r="W10" s="117" t="str">
        <x:v>Available; distance unknown</x:v>
      </x:c>
      <x:c r="X10" s="117" t="str">
        <x:v>Unknown</x:v>
      </x:c>
      <x:c r="Y10" s="117" t="str">
        <x:v>Conditional on mobility and route</x:v>
      </x:c>
      <x:c r="Z10" s="117" t="str">
        <x:v>The park documents visitor access and parking. Do not retain the old claim that the entire 1.2 km route is step-free; confirm boardwalk condition and entrance transitions.</x:v>
      </x:c>
      <x:c r="AA10" s="117" t="str">
        <x:v>Documented support - conditional</x:v>
      </x:c>
      <x:c r="AB10" s="117" t="str">
        <x:v>https://johornationalparks.gov.my/tanjung-piai/</x:v>
      </x:c>
      <x:c r="AC10" s="117" t="str">
        <x:v>Boardwalk visit; continuous wheelchair route unconfirmed</x:v>
      </x:c>
      <x:c r="AD10" s="117" t="str">
        <x:v>2026-09-08</x:v>
      </x:c>
      <x:c r="AE10" s="117" t="str">
        <x:v>MC0007</x:v>
      </x:c>
      <x:c r="AF10" s="117" t="str">
        <x:v>Distinct candidate</x:v>
      </x:c>
      <x:c r="AG10" s="117" t="str"/>
      <x:c r="AH10" s="117" t="str">
        <x:v>Venue-specific source reviewed</x:v>
      </x:c>
      <x:c r="AI10" s="117" t="str">
        <x:v>https://johornationalparks.gov.my/tanjung-piai/</x:v>
      </x:c>
      <x:c r="AJ10" s="117" t="str">
        <x:v>Place name or established alias matched in the cited source. This is not confirmation of current opening, all visitor facilities or the full description.</x:v>
      </x:c>
      <x:c r="AK10" s="117" t="str">
        <x:v>Not independently confirmed</x:v>
      </x:c>
      <x:c r="AL10" s="117" t="str">
        <x:v>Primary accessibility evidence reviewed</x:v>
      </x:c>
      <x:c r="AM10" s="117" t="str">
        <x:v>2026-09-08</x:v>
      </x:c>
      <x:c r="AN10" s="117" t="str">
        <x:v>https://thumb.wikimedia.org/wikipedia/commons/thumb/9/97/Mangrove_Tree_Roots.jpg/1280px-Mangrove_Tree_Roots.jpg?utm_source=commons.wikimedia.org&amp;utm_campaign=imageinfo&amp;utm_content=thumbnail</x:v>
      </x:c>
      <x:c r="AO10" s="117" t="str">
        <x:v>https://thumb.wikimedia.org/wikipedia/commons/thumb/9/90/Mangrove_Trees_Tanjung_Piai_Johor_National_Park.jpg/1280px-Mangrove_Trees_Tanjung_Piai_Johor_National_Park.jpg?utm_source=commons.wikimedia.org&amp;utm_campaign=imageinfo&amp;utm_content=thumbnail</x:v>
      </x:c>
      <x:c r="AP10" s="117" t="str">
        <x:v>2 metadata-matched images; visual review pending</x:v>
      </x:c>
      <x:c r="AQ10" s="117"/>
    </x:row>
    <x:row r="11" ht="66" customHeight="1">
      <x:c r="A11" s="117" t="str">
        <x:v>MC0008</x:v>
      </x:c>
      <x:c r="B11" s="117" t="str">
        <x:v>Gunung Pulai Recreational Forest</x:v>
      </x:c>
      <x:c r="C11" s="117" t="str">
        <x:v>Johor</x:v>
      </x:c>
      <x:c r="D11" s="117" t="str">
        <x:v>Kulai</x:v>
      </x:c>
      <x:c r="E11" s="117" t="str">
        <x:v>Nature</x:v>
      </x:c>
      <x:c r="F11" s="117" t="str">
        <x:v>Unclassified</x:v>
      </x:c>
      <x:c r="G11" s="117" t="str">
        <x:v>Outdoor</x:v>
      </x:c>
      <x:c r="H11" s="117" t="str">
        <x:v>nature; forest; hiking; waterfall; adventure</x:v>
      </x:c>
      <x:c r="I11" s="117" t="str">
        <x:v>A forested hill recreation area near Kulai popular for hiking, waterfalls and camping around a reservoir.</x:v>
      </x:c>
      <x:c r="J11" s="117" t="str">
        <x:v>https://www.google.com/maps/search/?api=1&amp;query=Gunung%20Pulai%20Recreational%20Forest%2C%20Johor%2C%20Malaysia</x:v>
      </x:c>
      <x:c r="K11" s="117" t="str">
        <x:v>https://ebrochures.malaysia.travel/en/malaysia-travel-guide/johor/</x:v>
      </x:c>
      <x:c r="L11" s="117" t="str">
        <x:v>Previous workbook candidate/source lead</x:v>
      </x:c>
      <x:c r="M11" s="117" t="str">
        <x:v>Johor seed candidates</x:v>
      </x:c>
      <x:c r="N11" s="117" t="str">
        <x:v>A037</x:v>
      </x:c>
      <x:c r="O11" s="117" t="str">
        <x:v>2026-08-15 00:00:00</x:v>
      </x:c>
      <x:c r="P11" s="117" t="str">
        <x:v>Complete</x:v>
      </x:c>
      <x:c r="Q11" s="117" t="str">
        <x:v>Identity and Malaysian location verified in second-pass review on 2026-09-08.</x:v>
      </x:c>
      <x:c r="R11" s="117" t="str">
        <x:f t="shared" si="0">IF(J11="","Missing Link",IF(AND(ISNUMBER(SEARCH("google.com/maps",J11)),ISERROR(SEARCH(";",J11))),"Discovery Link Only","Source Link Present"))</x:f>
        <x:v>Discovery Link Only</x:v>
      </x:c>
      <x:c r="S11" s="117" t="str">
        <x:v>Unknown</x:v>
      </x:c>
      <x:c r="T11" s="117" t="str">
        <x:v>Unknown</x:v>
      </x:c>
      <x:c r="U11" s="117" t="str">
        <x:v>Unknown</x:v>
      </x:c>
      <x:c r="V11" s="117" t="str">
        <x:v>Unknown</x:v>
      </x:c>
      <x:c r="W11" s="117" t="str">
        <x:v>Unknown</x:v>
      </x:c>
      <x:c r="X11" s="117" t="str">
        <x:v>Unknown</x:v>
      </x:c>
      <x:c r="Y11" s="117" t="str">
        <x:v>Unknown</x:v>
      </x:c>
      <x:c r="Z11" s="117"/>
      <x:c r="AA11" s="117" t="str">
        <x:v>Pending evidence</x:v>
      </x:c>
      <x:c r="AB11" s="117"/>
      <x:c r="AC11" s="117" t="str">
        <x:v>No qualifying accessibility conclusion established from the screened sources. This is unknown, not evidence that the attraction is inaccessible.</x:v>
      </x:c>
      <x:c r="AD11" s="117" t="str">
        <x:v>2026-09-08</x:v>
      </x:c>
      <x:c r="AE11" s="117" t="str">
        <x:v>MC0008</x:v>
      </x:c>
      <x:c r="AF11" s="117" t="str">
        <x:v>Distinct candidate</x:v>
      </x:c>
      <x:c r="AG11" s="117" t="str"/>
      <x:c r="AH11" s="117" t="str">
        <x:v>Identity and location corroborated</x:v>
      </x:c>
      <x:c r="AI11" s="117" t="str">
        <x:v>https://www.openstreetmap.org/relation/11002653</x:v>
      </x:c>
      <x:c r="AJ11" s="117" t="str">
        <x:v>Mapped source matches the attraction name or established alias and the stated Malaysian location. This verifies identity/location only; confirm current opening and accessibility separately.</x:v>
      </x:c>
      <x:c r="AK11" s="117" t="str">
        <x:v>Not independently confirmed</x:v>
      </x:c>
      <x:c r="AL11" s="117" t="str">
        <x:v>Screened sources; accessibility unresolved</x:v>
      </x:c>
      <x:c r="AM11" s="117" t="str">
        <x:v>2026-09-08</x:v>
      </x:c>
      <x:c r="AN11" s="117"/>
      <x:c r="AO11" s="117"/>
      <x:c r="AP11" s="117" t="str">
        <x:v>No usable pair located; image research pending</x:v>
      </x:c>
      <x:c r="AQ11" s="117"/>
    </x:row>
    <x:row r="12" ht="66" customHeight="1">
      <x:c r="A12" s="117" t="str">
        <x:v>MC0009</x:v>
      </x:c>
      <x:c r="B12" s="117" t="str">
        <x:v>Kota Tinggi Firefly Park</x:v>
      </x:c>
      <x:c r="C12" s="117" t="str">
        <x:v>Johor</x:v>
      </x:c>
      <x:c r="D12" s="117" t="str">
        <x:v>Kota Tinggi</x:v>
      </x:c>
      <x:c r="E12" s="117" t="str">
        <x:v>Wildlife</x:v>
      </x:c>
      <x:c r="F12" s="117" t="str">
        <x:v>Unclassified</x:v>
      </x:c>
      <x:c r="G12" s="117" t="str">
        <x:v>Outdoor</x:v>
      </x:c>
      <x:c r="H12" s="117" t="str">
        <x:v>wildlife; fireflies; river cruise; nature; family</x:v>
      </x:c>
      <x:c r="I12" s="117" t="str">
        <x:v>A riverside park along the Sungai Lebam near Kota Tinggi known for nighttime firefly-watching boat rides.</x:v>
      </x:c>
      <x:c r="J12" s="117" t="str">
        <x:v>https://www.google.com/maps/search/?api=1&amp;query=Kota%20Tinggi%20Firefly%20Park%2C%20Johor%2C%20Malaysia</x:v>
      </x:c>
      <x:c r="K12" s="117" t="str">
        <x:v>https://ebrochures.malaysia.travel/en/malaysia-travel-guide/johor/</x:v>
      </x:c>
      <x:c r="L12" s="117" t="str">
        <x:v>Previous workbook candidate/source lead</x:v>
      </x:c>
      <x:c r="M12" s="117" t="str">
        <x:v>Johor seed candidates</x:v>
      </x:c>
      <x:c r="N12" s="117" t="str">
        <x:v>A038</x:v>
      </x:c>
      <x:c r="O12" s="117" t="str">
        <x:v>2026-08-15 00:00:00</x:v>
      </x:c>
      <x:c r="P12" s="117" t="str">
        <x:v>Complete</x:v>
      </x:c>
      <x:c r="Q12" s="117" t="str">
        <x:v>Identity and Malaysian location verified in second-pass review on 2026-09-08.</x:v>
      </x:c>
      <x:c r="R12" s="117" t="str">
        <x:f t="shared" si="0">IF(J12="","Missing Link",IF(AND(ISNUMBER(SEARCH("google.com/maps",J12)),ISERROR(SEARCH(";",J12))),"Discovery Link Only","Source Link Present"))</x:f>
        <x:v>Discovery Link Only</x:v>
      </x:c>
      <x:c r="S12" s="117" t="str">
        <x:v>Not measured</x:v>
      </x:c>
      <x:c r="T12" s="117" t="str">
        <x:v>Reported; confirm</x:v>
      </x:c>
      <x:c r="U12" s="117" t="str">
        <x:v>Boat seating likely; confirm</x:v>
      </x:c>
      <x:c r="V12" s="117" t="str">
        <x:v>Unknown</x:v>
      </x:c>
      <x:c r="W12" s="117" t="str">
        <x:v>Unknown</x:v>
      </x:c>
      <x:c r="X12" s="117" t="str">
        <x:v>Unknown</x:v>
      </x:c>
      <x:c r="Y12" s="117" t="str">
        <x:v>Conditional on mobility and boat transfer</x:v>
      </x:c>
      <x:c r="Z12" s="117" t="str">
        <x:v>Mapped data reports wheelchair access. Confirm the jetty transition, boat boarding, seating and toilet before travel.</x:v>
      </x:c>
      <x:c r="AA12" s="117" t="str">
        <x:v>Reported support - confirm</x:v>
      </x:c>
      <x:c r="AB12" s="117" t="str">
        <x:v>https://www.openstreetmap.org/node/7388192771</x:v>
      </x:c>
      <x:c r="AC12" s="117" t="str">
        <x:v>Entrance/visitor area; boat boarding unconfirmed</x:v>
      </x:c>
      <x:c r="AD12" s="117" t="str">
        <x:v>2026-09-08</x:v>
      </x:c>
      <x:c r="AE12" s="117" t="str">
        <x:v>MC0009</x:v>
      </x:c>
      <x:c r="AF12" s="117" t="str">
        <x:v>Distinct candidate</x:v>
      </x:c>
      <x:c r="AG12" s="117" t="str"/>
      <x:c r="AH12" s="117" t="str">
        <x:v>Identity and location corroborated</x:v>
      </x:c>
      <x:c r="AI12" s="117" t="str">
        <x:v>https://www.openstreetmap.org/node/7388192771</x:v>
      </x:c>
      <x:c r="AJ12" s="117" t="str">
        <x:v>Mapped source matches the attraction name or established alias and the stated Malaysian location. This verifies identity/location only; confirm current opening and accessibility separately.</x:v>
      </x:c>
      <x:c r="AK12" s="117" t="str">
        <x:v>Not independently confirmed</x:v>
      </x:c>
      <x:c r="AL12" s="117" t="str">
        <x:v>Secondary source - mapped accessibility tag</x:v>
      </x:c>
      <x:c r="AM12" s="117" t="str">
        <x:v>2026-09-08</x:v>
      </x:c>
      <x:c r="AN12" s="117" t="str">
        <x:v>https://thumb.wikimedia.org/wikipedia/commons/thumb/0/0e/Kota_Tinggi_Firefly_Park_02.jpg/1280px-Kota_Tinggi_Firefly_Park_02.jpg?utm_source=commons.wikimedia.org&amp;utm_campaign=imageinfo&amp;utm_content=thumbnail</x:v>
      </x:c>
      <x:c r="AO12" s="117" t="str">
        <x:v>https://thumb.wikimedia.org/wikipedia/commons/thumb/2/2f/Kota_Tinggi_Firefly_Park_05.jpg/1280px-Kota_Tinggi_Firefly_Park_05.jpg?utm_source=commons.wikimedia.org&amp;utm_campaign=imageinfo&amp;utm_content=thumbnail</x:v>
      </x:c>
      <x:c r="AP12" s="117" t="str">
        <x:v>2 metadata-matched images; visual review pending</x:v>
      </x:c>
      <x:c r="AQ12" s="117"/>
    </x:row>
    <x:row r="13" ht="66" customHeight="1">
      <x:c r="A13" s="117" t="str">
        <x:v>MC0010</x:v>
      </x:c>
      <x:c r="B13" s="117" t="str">
        <x:v>Johor Bahru Old Chinese Temple</x:v>
      </x:c>
      <x:c r="C13" s="117" t="str">
        <x:v>Johor</x:v>
      </x:c>
      <x:c r="D13" s="117" t="str">
        <x:v>Johor Bahru</x:v>
      </x:c>
      <x:c r="E13" s="117" t="str">
        <x:v>Culture</x:v>
      </x:c>
      <x:c r="F13" s="117" t="str">
        <x:v>Unclassified</x:v>
      </x:c>
      <x:c r="G13" s="117" t="str">
        <x:v>Both</x:v>
      </x:c>
      <x:c r="H13" s="117" t="str">
        <x:v>culture; temple; heritage; history; architecture</x:v>
      </x:c>
      <x:c r="I13" s="117" t="str">
        <x:v>A 19th-century multi-deity Chinese temple in downtown Johor Bahru, notable for hosting the city's annual Chingay procession.</x:v>
      </x:c>
      <x:c r="J13" s="117" t="str">
        <x:v>https://www.google.com/maps/search/?api=1&amp;query=Johor%20Bahru%20Old%20Chinese%20Temple%2C%20Johor%2C%20Malaysia</x:v>
      </x:c>
      <x:c r="K13" s="117" t="str">
        <x:v>https://ebrochures.malaysia.travel/en/malaysia-travel-guide/johor/</x:v>
      </x:c>
      <x:c r="L13" s="117" t="str">
        <x:v>Previous workbook candidate/source lead</x:v>
      </x:c>
      <x:c r="M13" s="117" t="str">
        <x:v>Johor seed candidates</x:v>
      </x:c>
      <x:c r="N13" s="117" t="str">
        <x:v>A039</x:v>
      </x:c>
      <x:c r="O13" s="117" t="str">
        <x:v>2026-08-15 00:00:00</x:v>
      </x:c>
      <x:c r="P13" s="117" t="str">
        <x:v>Complete</x:v>
      </x:c>
      <x:c r="Q13" s="117"/>
      <x:c r="R13" s="117" t="str">
        <x:f t="shared" si="0">IF(J13="","Missing Link",IF(AND(ISNUMBER(SEARCH("google.com/maps",J13)),ISERROR(SEARCH(";",J13))),"Discovery Link Only","Source Link Present"))</x:f>
        <x:v>Discovery Link Only</x:v>
      </x:c>
      <x:c r="S13" s="117" t="str">
        <x:v>Unknown</x:v>
      </x:c>
      <x:c r="T13" s="117" t="str">
        <x:v>Unknown</x:v>
      </x:c>
      <x:c r="U13" s="117" t="str">
        <x:v>Unknown</x:v>
      </x:c>
      <x:c r="V13" s="117" t="str">
        <x:v>Unknown</x:v>
      </x:c>
      <x:c r="W13" s="117" t="str">
        <x:v>Unknown</x:v>
      </x:c>
      <x:c r="X13" s="117" t="str">
        <x:v>Unknown</x:v>
      </x:c>
      <x:c r="Y13" s="117" t="str">
        <x:v>Unknown</x:v>
      </x:c>
      <x:c r="Z13" s="117"/>
      <x:c r="AA13" s="117" t="str">
        <x:v>Pending evidence</x:v>
      </x:c>
      <x:c r="AB13" s="117"/>
      <x:c r="AC13" s="117" t="str">
        <x:v>No qualifying accessibility conclusion established from the screened sources. This is unknown, not evidence that the attraction is inaccessible.</x:v>
      </x:c>
      <x:c r="AD13" s="117" t="str">
        <x:v>2026-09-08</x:v>
      </x:c>
      <x:c r="AE13" s="117" t="str">
        <x:v>MC0010</x:v>
      </x:c>
      <x:c r="AF13" s="117" t="str">
        <x:v>Distinct candidate</x:v>
      </x:c>
      <x:c r="AG13" s="117" t="str"/>
      <x:c r="AH13" s="117" t="str">
        <x:v>Name corroborated in source</x:v>
      </x:c>
      <x:c r="AI13" s="117" t="str">
        <x:v>https://ebrochures.malaysia.travel/en/malaysia-travel-guide/johor/</x:v>
      </x:c>
      <x:c r="AJ13" s="117" t="str">
        <x:v>Place name or established alias matched in the cited source. This is not confirmation of current opening, all visitor facilities or the full description.</x:v>
      </x:c>
      <x:c r="AK13" s="117" t="str">
        <x:v>Not independently confirmed</x:v>
      </x:c>
      <x:c r="AL13" s="117" t="str">
        <x:v>Screened sources; accessibility unresolved</x:v>
      </x:c>
      <x:c r="AM13" s="117" t="str">
        <x:v>2026-09-08</x:v>
      </x:c>
      <x:c r="AN13" s="117" t="str">
        <x:v>https://thumb.wikimedia.org/wikipedia/commons/thumb/9/93/%E6%9F%94%E4%BD%9B%E5%8F%A4%E5%BB%9F.jpg/1280px-%E6%9F%94%E4%BD%9B%E5%8F%A4%E5%BB%9F.jpg?utm_source=commons.wikimedia.org&amp;utm_campaign=imageinfo&amp;utm_content=thumbnail</x:v>
      </x:c>
      <x:c r="AO13" s="117" t="str">
        <x:v>https://thumb.wikimedia.org/wikipedia/commons/thumb/7/7d/Wikimania_2023_-_Johor_Bahru_Photo_Walk_-_Old_Chinese_Temple_14.jpg/1280px-Wikimania_2023_-_Johor_Bahru_Photo_Walk_-_Old_Chinese_Temple_14.jpg?utm_source=commons.wikimedia.org&amp;utm_campaign=imageinfo&amp;utm_content=thumbnail</x:v>
      </x:c>
      <x:c r="AP13" s="117" t="str">
        <x:v>2 metadata-matched images; visual review pending</x:v>
      </x:c>
      <x:c r="AQ13" s="117"/>
    </x:row>
    <x:row r="14" ht="66" customHeight="1">
      <x:c r="A14" s="117" t="str">
        <x:v>MC0011</x:v>
      </x:c>
      <x:c r="B14" s="117" t="str">
        <x:v>Sultan Abu Bakar State Mosque</x:v>
      </x:c>
      <x:c r="C14" s="117" t="str">
        <x:v>Johor</x:v>
      </x:c>
      <x:c r="D14" s="117" t="str">
        <x:v>Johor Bahru</x:v>
      </x:c>
      <x:c r="E14" s="117" t="str">
        <x:v>Religious Site</x:v>
      </x:c>
      <x:c r="F14" s="117" t="str">
        <x:v>Popular</x:v>
      </x:c>
      <x:c r="G14" s="117" t="str">
        <x:v>Both</x:v>
      </x:c>
      <x:c r="H14" s="117" t="str">
        <x:v>mosque; architecture; heritage</x:v>
      </x:c>
      <x:c r="I14" s="117" t="str">
        <x:v>Johor Bahru's state mosque, built in Victorian-Moorish style on a hill overlooking the Straits of Johor and completed in 1900.</x:v>
      </x:c>
      <x:c r="J14" s="117" t="str">
        <x:v>https://www.google.com/maps/search/?api=1&amp;query=Sultan%20Abu%20Bakar%20State%20Mosque%2C%20Johor%2C%20Malaysia</x:v>
      </x:c>
      <x:c r="K14" s="117" t="str">
        <x:v>https://ebrochures.malaysia.travel/en/malaysia-travel-guide/johor/</x:v>
      </x:c>
      <x:c r="L14" s="117" t="str">
        <x:v>Tourism Malaysia state guide plus map discovery link</x:v>
      </x:c>
      <x:c r="M14" s="117" t="str">
        <x:v>Johor expansion batch</x:v>
      </x:c>
      <x:c r="N14" s="117"/>
      <x:c r="O14" s="117" t="str">
        <x:v>2026-08-15 00:00:00</x:v>
      </x:c>
      <x:c r="P14" s="117" t="str">
        <x:v>Complete</x:v>
      </x:c>
      <x:c r="Q14" s="117" t="str">
        <x:v>Identity and Malaysian location verified in second-pass review on 2026-09-08.</x:v>
      </x:c>
      <x:c r="R14" s="117" t="str">
        <x:f t="shared" si="0">IF(J14="","Missing Link",IF(AND(ISNUMBER(SEARCH("google.com/maps",J14)),ISERROR(SEARCH(";",J14))),"Discovery Link Only","Source Link Present"))</x:f>
        <x:v>Discovery Link Only</x:v>
      </x:c>
      <x:c r="S14" s="117" t="str">
        <x:v>Not measured</x:v>
      </x:c>
      <x:c r="T14" s="117" t="str">
        <x:v>Yes - reported with portable ramp</x:v>
      </x:c>
      <x:c r="U14" s="117" t="str">
        <x:v>Unknown</x:v>
      </x:c>
      <x:c r="V14" s="117" t="str">
        <x:v>No - reported too narrow</x:v>
      </x:c>
      <x:c r="W14" s="117" t="str">
        <x:v>Drop-off under 20 m reported</x:v>
      </x:c>
      <x:c r="X14" s="117" t="str">
        <x:v>Indoor shelter</x:v>
      </x:c>
      <x:c r="Y14" s="117" t="str">
        <x:v>Conditional on mobility and route</x:v>
      </x:c>
      <x:c r="Z14" s="117" t="str">
        <x:v>A specialist accessibility directory reports a step-free route using a portable ramp, but also reports a bathroom too narrow for a wheelchair and no accessible lift. Contact the mosque before visiting.</x:v>
      </x:c>
      <x:c r="AA14" s="117" t="str">
        <x:v>Reported support - confirm</x:v>
      </x:c>
      <x:c r="AB14" s="117" t="str">
        <x:v>https://accesstravel.com/index/ViatorAttraction/Index/34206/15860</x:v>
      </x:c>
      <x:c r="AC14" s="117" t="str">
        <x:v>Entrance and principal visitor route; internal levels/toilet limited</x:v>
      </x:c>
      <x:c r="AD14" s="117" t="str">
        <x:v>2026-09-08</x:v>
      </x:c>
      <x:c r="AE14" s="117" t="str">
        <x:v>MC0011</x:v>
      </x:c>
      <x:c r="AF14" s="117" t="str">
        <x:v>Distinct candidate</x:v>
      </x:c>
      <x:c r="AG14" s="117" t="str"/>
      <x:c r="AH14" s="117" t="str">
        <x:v>Identity and location corroborated</x:v>
      </x:c>
      <x:c r="AI14" s="117" t="str">
        <x:v>https://en.wikipedia.org/wiki/Sultan_Abu_Bakar_State_Mosque</x:v>
      </x:c>
      <x:c r="AJ14" s="117" t="str">
        <x:v>Encyclopedic source matches the attraction name or established alias and the stated Malaysian location. This verifies identity/location only; confirm current opening and accessibility separately.</x:v>
      </x:c>
      <x:c r="AK14" s="117" t="str">
        <x:v>Not independently confirmed</x:v>
      </x:c>
      <x:c r="AL14" s="117" t="str">
        <x:v>Secondary source - specific features only</x:v>
      </x:c>
      <x:c r="AM14" s="117" t="str">
        <x:v>2026-09-08</x:v>
      </x:c>
      <x:c r="AN14" s="117"/>
      <x:c r="AO14" s="117"/>
      <x:c r="AP14" s="117" t="str">
        <x:v>No usable pair located; image research pending</x:v>
      </x:c>
      <x:c r="AQ14" s="117"/>
    </x:row>
    <x:row r="15" ht="66" customHeight="1">
      <x:c r="A15" s="117" t="str">
        <x:v>MC0012</x:v>
      </x:c>
      <x:c r="B15" s="117" t="str">
        <x:v>Sultan Ibrahim Building</x:v>
      </x:c>
      <x:c r="C15" s="117" t="str">
        <x:v>Johor</x:v>
      </x:c>
      <x:c r="D15" s="117" t="str">
        <x:v>Johor Bahru</x:v>
      </x:c>
      <x:c r="E15" s="117" t="str">
        <x:v>Heritage and History</x:v>
      </x:c>
      <x:c r="F15" s="117" t="str">
        <x:v>Popular</x:v>
      </x:c>
      <x:c r="G15" s="117" t="str">
        <x:v>Both</x:v>
      </x:c>
      <x:c r="H15" s="117" t="str">
        <x:v>landmark; architecture; history</x:v>
      </x:c>
      <x:c r="I15" s="117" t="str">
        <x:v>A heritage administrative building in Johor Bahru with a distinctive clock tower, completed in 1940 and formerly serving as the state secretariat.</x:v>
      </x:c>
      <x:c r="J15" s="117" t="str">
        <x:v>https://www.google.com/maps/search/?api=1&amp;query=Sultan%20Ibrahim%20Building%2C%20Johor%2C%20Malaysia</x:v>
      </x:c>
      <x:c r="K15" s="117" t="str">
        <x:v>https://ebrochures.malaysia.travel/en/malaysia-travel-guide/johor/</x:v>
      </x:c>
      <x:c r="L15" s="117" t="str">
        <x:v>Tourism Malaysia state guide plus map discovery link</x:v>
      </x:c>
      <x:c r="M15" s="117" t="str">
        <x:v>Johor expansion batch</x:v>
      </x:c>
      <x:c r="N15" s="117"/>
      <x:c r="O15" s="117" t="str">
        <x:v>2026-08-15 00:00:00</x:v>
      </x:c>
      <x:c r="P15" s="117" t="str">
        <x:v>Complete</x:v>
      </x:c>
      <x:c r="Q15" s="117"/>
      <x:c r="R15" s="117" t="str">
        <x:f t="shared" si="0">IF(J15="","Missing Link",IF(AND(ISNUMBER(SEARCH("google.com/maps",J15)),ISERROR(SEARCH(";",J15))),"Discovery Link Only","Source Link Present"))</x:f>
        <x:v>Discovery Link Only</x:v>
      </x:c>
      <x:c r="S15" s="117" t="str">
        <x:v>Unknown</x:v>
      </x:c>
      <x:c r="T15" s="117" t="str">
        <x:v>Unknown</x:v>
      </x:c>
      <x:c r="U15" s="117" t="str">
        <x:v>Unknown</x:v>
      </x:c>
      <x:c r="V15" s="117" t="str">
        <x:v>Unknown</x:v>
      </x:c>
      <x:c r="W15" s="117" t="str">
        <x:v>Unknown</x:v>
      </x:c>
      <x:c r="X15" s="117" t="str">
        <x:v>Unknown</x:v>
      </x:c>
      <x:c r="Y15" s="117" t="str">
        <x:v>Unknown</x:v>
      </x:c>
      <x:c r="Z15" s="117"/>
      <x:c r="AA15" s="117" t="str">
        <x:v>Pending evidence</x:v>
      </x:c>
      <x:c r="AB15" s="117"/>
      <x:c r="AC15" s="117" t="str">
        <x:v>No qualifying accessibility conclusion established from the screened sources. This is unknown, not evidence that the attraction is inaccessible.</x:v>
      </x:c>
      <x:c r="AD15" s="117" t="str">
        <x:v>2026-09-08</x:v>
      </x:c>
      <x:c r="AE15" s="117" t="str">
        <x:v>MC0012</x:v>
      </x:c>
      <x:c r="AF15" s="117" t="str">
        <x:v>Distinct candidate</x:v>
      </x:c>
      <x:c r="AG15" s="117" t="str"/>
      <x:c r="AH15" s="117" t="str">
        <x:v>Name corroborated in source</x:v>
      </x:c>
      <x:c r="AI15" s="117" t="str">
        <x:v>https://ebrochures.malaysia.travel/en/malaysia-travel-guide/johor/</x:v>
      </x:c>
      <x:c r="AJ15" s="117" t="str">
        <x:v>Place name or established alias matched in the cited source. This is not confirmation of current opening, all visitor facilities or the full description.</x:v>
      </x:c>
      <x:c r="AK15" s="117" t="str">
        <x:v>Not independently confirmed</x:v>
      </x:c>
      <x:c r="AL15" s="117" t="str">
        <x:v>Screened sources; accessibility unresolved</x:v>
      </x:c>
      <x:c r="AM15" s="117" t="str">
        <x:v>2026-09-08</x:v>
      </x:c>
      <x:c r="AN15" s="117" t="str">
        <x:v>https://thumb.wikimedia.org/wikipedia/commons/thumb/2/2d/Sultan_Ibrahim_Building_-_JB.jpg/1280px-Sultan_Ibrahim_Building_-_JB.jpg?utm_source=commons.wikimedia.org&amp;utm_campaign=imageinfo&amp;utm_content=thumbnail</x:v>
      </x:c>
      <x:c r="AO15" s="117"/>
      <x:c r="AP15" s="117" t="str">
        <x:v>1 metadata-matched images; visual review pending</x:v>
      </x:c>
      <x:c r="AQ15" s="117"/>
    </x:row>
    <x:row r="16" ht="66" customHeight="1">
      <x:c r="A16" s="117" t="str">
        <x:v>MC0013</x:v>
      </x:c>
      <x:c r="B16" s="117" t="str">
        <x:v>Tan Hiok Nee Heritage Street</x:v>
      </x:c>
      <x:c r="C16" s="117" t="str">
        <x:v>Johor</x:v>
      </x:c>
      <x:c r="D16" s="117" t="str">
        <x:v>Johor Bahru</x:v>
      </x:c>
      <x:c r="E16" s="117" t="str">
        <x:v>Heritage and History</x:v>
      </x:c>
      <x:c r="F16" s="117" t="str">
        <x:v>Local</x:v>
      </x:c>
      <x:c r="G16" s="117" t="str">
        <x:v>Both</x:v>
      </x:c>
      <x:c r="H16" s="117" t="str">
        <x:v>heritage street; food; walking</x:v>
      </x:c>
      <x:c r="I16" s="117" t="str">
        <x:v>A historic street of early Chinese shophouses in Johor Bahru, named after 19th-century Teochew community leader Tan Hiok Nee.</x:v>
      </x:c>
      <x:c r="J16" s="117" t="str">
        <x:v>https://www.google.com/maps/search/?api=1&amp;query=Tan%20Hiok%20Nee%20Heritage%20Street%2C%20Johor%2C%20Malaysia</x:v>
      </x:c>
      <x:c r="K16" s="117" t="str">
        <x:v>https://ebrochures.malaysia.travel/en/malaysia-travel-guide/johor/</x:v>
      </x:c>
      <x:c r="L16" s="117" t="str">
        <x:v>Tourism Malaysia state guide plus map discovery link</x:v>
      </x:c>
      <x:c r="M16" s="117" t="str">
        <x:v>Johor expansion batch</x:v>
      </x:c>
      <x:c r="N16" s="117"/>
      <x:c r="O16" s="117" t="str">
        <x:v>2026-08-15 00:00:00</x:v>
      </x:c>
      <x:c r="P16" s="117" t="str">
        <x:v>Complete</x:v>
      </x:c>
      <x:c r="Q16" s="117" t="str">
        <x:v>Identity and Malaysian location verified in second-pass review on 2026-09-08.</x:v>
      </x:c>
      <x:c r="R16" s="117" t="str">
        <x:f t="shared" si="0">IF(J16="","Missing Link",IF(AND(ISNUMBER(SEARCH("google.com/maps",J16)),ISERROR(SEARCH(";",J16))),"Discovery Link Only","Source Link Present"))</x:f>
        <x:v>Discovery Link Only</x:v>
      </x:c>
      <x:c r="S16" s="117" t="str">
        <x:v>Unknown</x:v>
      </x:c>
      <x:c r="T16" s="117" t="str">
        <x:v>Unknown</x:v>
      </x:c>
      <x:c r="U16" s="117" t="str">
        <x:v>Unknown</x:v>
      </x:c>
      <x:c r="V16" s="117" t="str">
        <x:v>Unknown</x:v>
      </x:c>
      <x:c r="W16" s="117" t="str">
        <x:v>Unknown</x:v>
      </x:c>
      <x:c r="X16" s="117" t="str">
        <x:v>Unknown</x:v>
      </x:c>
      <x:c r="Y16" s="117" t="str">
        <x:v>Unknown</x:v>
      </x:c>
      <x:c r="Z16" s="117"/>
      <x:c r="AA16" s="117" t="str">
        <x:v>Pending evidence</x:v>
      </x:c>
      <x:c r="AB16" s="117"/>
      <x:c r="AC16" s="117" t="str">
        <x:v>No qualifying accessibility conclusion established from the screened sources. This is unknown, not evidence that the attraction is inaccessible.</x:v>
      </x:c>
      <x:c r="AD16" s="117" t="str">
        <x:v>2026-09-08</x:v>
      </x:c>
      <x:c r="AE16" s="117" t="str">
        <x:v>MC0013</x:v>
      </x:c>
      <x:c r="AF16" s="117" t="str">
        <x:v>Distinct candidate</x:v>
      </x:c>
      <x:c r="AG16" s="117" t="str"/>
      <x:c r="AH16" s="117" t="str">
        <x:v>Identity and location corroborated</x:v>
      </x:c>
      <x:c r="AI16" s="117" t="str">
        <x:v>https://thinkcity.com.my/clients/asset_E66FF6CF-D980-4973-ADE3-A92F33641095/contentms/img/doc/TC-Magazine-Volume-3.pdf</x:v>
      </x:c>
      <x:c r="AJ16" s="117" t="str">
        <x:v>Independent institutional source matches the attraction name or established alias and the stated Malaysian location. This verifies identity/location only; confirm current opening and accessibility separately.</x:v>
      </x:c>
      <x:c r="AK16" s="117" t="str">
        <x:v>Not independently confirmed</x:v>
      </x:c>
      <x:c r="AL16" s="117" t="str">
        <x:v>Screened sources; accessibility unresolved</x:v>
      </x:c>
      <x:c r="AM16" s="117" t="str">
        <x:v>2026-09-08</x:v>
      </x:c>
      <x:c r="AN16" s="117"/>
      <x:c r="AO16" s="117"/>
      <x:c r="AP16" s="117" t="str">
        <x:v>No usable pair located; image research pending</x:v>
      </x:c>
      <x:c r="AQ16" s="117"/>
    </x:row>
    <x:row r="17" ht="66" customHeight="1">
      <x:c r="A17" s="117" t="str">
        <x:v>MC0014</x:v>
      </x:c>
      <x:c r="B17" s="117" t="str">
        <x:v>Arulmigu Sri Rajakaliamman Glass Temple</x:v>
      </x:c>
      <x:c r="C17" s="117" t="str">
        <x:v>Johor</x:v>
      </x:c>
      <x:c r="D17" s="117" t="str">
        <x:v>Johor Bahru</x:v>
      </x:c>
      <x:c r="E17" s="117" t="str">
        <x:v>Religious Site</x:v>
      </x:c>
      <x:c r="F17" s="117" t="str">
        <x:v>Underrated</x:v>
      </x:c>
      <x:c r="G17" s="117" t="str">
        <x:v>Both</x:v>
      </x:c>
      <x:c r="H17" s="117" t="str">
        <x:v>temple; glass art; culture</x:v>
      </x:c>
      <x:c r="I17" s="117" t="str">
        <x:v>A Hindu temple in Johor Bahru decorated almost entirely with glass mosaics, mirrors and coloured glass materials.</x:v>
      </x:c>
      <x:c r="J17" s="117" t="str">
        <x:v>https://www.google.com/maps/search/?api=1&amp;query=Arulmigu%20Sri%20Rajakaliamman%20Glass%20Temple%2C%20Johor%2C%20Malaysia</x:v>
      </x:c>
      <x:c r="K17" s="117" t="str">
        <x:v>https://ebrochures.malaysia.travel/en/malaysia-travel-guide/johor/</x:v>
      </x:c>
      <x:c r="L17" s="117" t="str">
        <x:v>Tourism Malaysia state guide plus map discovery link</x:v>
      </x:c>
      <x:c r="M17" s="117" t="str">
        <x:v>Johor expansion batch</x:v>
      </x:c>
      <x:c r="N17" s="117"/>
      <x:c r="O17" s="117" t="str">
        <x:v>2026-08-15 00:00:00</x:v>
      </x:c>
      <x:c r="P17" s="117" t="str">
        <x:v>Complete</x:v>
      </x:c>
      <x:c r="Q17" s="117"/>
      <x:c r="R17" s="117" t="str">
        <x:f t="shared" si="0">IF(J17="","Missing Link",IF(AND(ISNUMBER(SEARCH("google.com/maps",J17)),ISERROR(SEARCH(";",J17))),"Discovery Link Only","Source Link Present"))</x:f>
        <x:v>Discovery Link Only</x:v>
      </x:c>
      <x:c r="S17" s="117" t="str">
        <x:v>Unknown</x:v>
      </x:c>
      <x:c r="T17" s="117" t="str">
        <x:v>Unknown</x:v>
      </x:c>
      <x:c r="U17" s="117" t="str">
        <x:v>Unknown</x:v>
      </x:c>
      <x:c r="V17" s="117" t="str">
        <x:v>Unknown</x:v>
      </x:c>
      <x:c r="W17" s="117" t="str">
        <x:v>Unknown</x:v>
      </x:c>
      <x:c r="X17" s="117" t="str">
        <x:v>Unknown</x:v>
      </x:c>
      <x:c r="Y17" s="117" t="str">
        <x:v>Unknown</x:v>
      </x:c>
      <x:c r="Z17" s="117"/>
      <x:c r="AA17" s="117" t="str">
        <x:v>Pending evidence</x:v>
      </x:c>
      <x:c r="AB17" s="117"/>
      <x:c r="AC17" s="117" t="str">
        <x:v>No qualifying accessibility conclusion established from the screened sources. This is unknown, not evidence that the attraction is inaccessible.</x:v>
      </x:c>
      <x:c r="AD17" s="117" t="str">
        <x:v>2026-09-08</x:v>
      </x:c>
      <x:c r="AE17" s="117" t="str">
        <x:v>MC0014</x:v>
      </x:c>
      <x:c r="AF17" s="117" t="str">
        <x:v>Distinct candidate</x:v>
      </x:c>
      <x:c r="AG17" s="117" t="str"/>
      <x:c r="AH17" s="117" t="str">
        <x:v>Name corroborated in source</x:v>
      </x:c>
      <x:c r="AI17" s="117" t="str">
        <x:v>https://ebrochures.malaysia.travel/en/malaysia-travel-guide/johor/</x:v>
      </x:c>
      <x:c r="AJ17" s="117" t="str">
        <x:v>Place name or established alias matched in the cited source. This is not confirmation of current opening, all visitor facilities or the full description.</x:v>
      </x:c>
      <x:c r="AK17" s="117" t="str">
        <x:v>Not independently confirmed</x:v>
      </x:c>
      <x:c r="AL17" s="117" t="str">
        <x:v>Screened sources; accessibility unresolved</x:v>
      </x:c>
      <x:c r="AM17" s="117" t="str">
        <x:v>2026-09-08</x:v>
      </x:c>
      <x:c r="AN17" s="117" t="str">
        <x:v>https://thumb.wikimedia.org/wikipedia/commons/thumb/e/eb/Arulmigu_Sri_Rajakaliamman_interior.jpg/1280px-Arulmigu_Sri_Rajakaliamman_interior.jpg?utm_source=commons.wikimedia.org&amp;utm_campaign=imageinfo&amp;utm_content=thumbnail</x:v>
      </x:c>
      <x:c r="AO17" s="117" t="str">
        <x:v>https://thumb.wikimedia.org/wikipedia/commons/thumb/3/37/Arulmigu_Sri_Rajakaliamman_Glass_Temple_-_Flickr.jpg/1280px-Arulmigu_Sri_Rajakaliamman_Glass_Temple_-_Flickr.jpg?utm_source=commons.wikimedia.org&amp;utm_campaign=imageinfo&amp;utm_content=thumbnail</x:v>
      </x:c>
      <x:c r="AP17" s="117" t="str">
        <x:v>2 metadata-matched images; visual review pending</x:v>
      </x:c>
      <x:c r="AQ17" s="117"/>
    </x:row>
    <x:row r="18" ht="66" customHeight="1">
      <x:c r="A18" s="117" t="str">
        <x:v>MC0015</x:v>
      </x:c>
      <x:c r="B18" s="117" t="str">
        <x:v>Istana Besar and Royal Abu Bakar Museum</x:v>
      </x:c>
      <x:c r="C18" s="117" t="str">
        <x:v>Johor</x:v>
      </x:c>
      <x:c r="D18" s="117" t="str">
        <x:v>Johor Bahru</x:v>
      </x:c>
      <x:c r="E18" s="117" t="str">
        <x:v>Museum and Gallery</x:v>
      </x:c>
      <x:c r="F18" s="117" t="str">
        <x:v>Popular</x:v>
      </x:c>
      <x:c r="G18" s="117" t="str">
        <x:v>Indoor</x:v>
      </x:c>
      <x:c r="H18" s="117" t="str">
        <x:v>royal history; museum; architecture</x:v>
      </x:c>
      <x:c r="I18" s="117" t="str">
        <x:v>The former royal palace of the Johor sultanate in Johor Bahru, now a museum displaying royal regalia and artefacts of the Abu Bakar era.</x:v>
      </x:c>
      <x:c r="J18" s="117" t="str">
        <x:v>https://www.google.com/maps/search/?api=1&amp;query=Istana%20Besar%20and%20Royal%20Abu%20Bakar%20Museum%2C%20Johor%2C%20Malaysia</x:v>
      </x:c>
      <x:c r="K18" s="117" t="str">
        <x:v>https://ebrochures.malaysia.travel/en/malaysia-travel-guide/johor/</x:v>
      </x:c>
      <x:c r="L18" s="117" t="str">
        <x:v>Tourism Malaysia state guide plus map discovery link</x:v>
      </x:c>
      <x:c r="M18" s="117" t="str">
        <x:v>Johor expansion batch</x:v>
      </x:c>
      <x:c r="N18" s="117"/>
      <x:c r="O18" s="117" t="str">
        <x:v>2026-08-15 00:00:00</x:v>
      </x:c>
      <x:c r="P18" s="117" t="str">
        <x:v>Complete</x:v>
      </x:c>
      <x:c r="Q18" s="117" t="str">
        <x:v>Identity and Malaysian location verified in second-pass review on 2026-09-08.</x:v>
      </x:c>
      <x:c r="R18" s="117" t="str">
        <x:f t="shared" si="0">IF(J18="","Missing Link",IF(AND(ISNUMBER(SEARCH("google.com/maps",J18)),ISERROR(SEARCH(";",J18))),"Discovery Link Only","Source Link Present"))</x:f>
        <x:v>Discovery Link Only</x:v>
      </x:c>
      <x:c r="S18" s="117" t="str">
        <x:v>Unknown</x:v>
      </x:c>
      <x:c r="T18" s="117" t="str">
        <x:v>Unknown</x:v>
      </x:c>
      <x:c r="U18" s="117" t="str">
        <x:v>Unknown</x:v>
      </x:c>
      <x:c r="V18" s="117" t="str">
        <x:v>Unknown</x:v>
      </x:c>
      <x:c r="W18" s="117" t="str">
        <x:v>Unknown</x:v>
      </x:c>
      <x:c r="X18" s="117" t="str">
        <x:v>Unknown</x:v>
      </x:c>
      <x:c r="Y18" s="117" t="str">
        <x:v>Unknown</x:v>
      </x:c>
      <x:c r="Z18" s="117"/>
      <x:c r="AA18" s="117" t="str">
        <x:v>Pending evidence</x:v>
      </x:c>
      <x:c r="AB18" s="117"/>
      <x:c r="AC18" s="117" t="str">
        <x:v>No qualifying accessibility conclusion established from the screened sources. This is unknown, not evidence that the attraction is inaccessible.</x:v>
      </x:c>
      <x:c r="AD18" s="117" t="str">
        <x:v>2026-09-08</x:v>
      </x:c>
      <x:c r="AE18" s="117" t="str">
        <x:v>MC0015</x:v>
      </x:c>
      <x:c r="AF18" s="117" t="str">
        <x:v>Distinct candidate</x:v>
      </x:c>
      <x:c r="AG18" s="117" t="str"/>
      <x:c r="AH18" s="117" t="str">
        <x:v>Identity and location corroborated</x:v>
      </x:c>
      <x:c r="AI18" s="117" t="str">
        <x:v>https://tourism.johor.gov.my/johor-bahru/</x:v>
      </x:c>
      <x:c r="AJ18" s="117" t="str">
        <x:v>Official state tourism source matches the attraction name or established alias and the stated Malaysian location. This verifies identity/location only; confirm current opening and accessibility separately.</x:v>
      </x:c>
      <x:c r="AK18" s="117" t="str">
        <x:v>Not independently confirmed</x:v>
      </x:c>
      <x:c r="AL18" s="117" t="str">
        <x:v>Screened sources; accessibility unresolved</x:v>
      </x:c>
      <x:c r="AM18" s="117" t="str">
        <x:v>2026-09-08</x:v>
      </x:c>
      <x:c r="AN18" s="117"/>
      <x:c r="AO18" s="117"/>
      <x:c r="AP18" s="117" t="str">
        <x:v>No usable pair located; image research pending</x:v>
      </x:c>
      <x:c r="AQ18" s="117"/>
    </x:row>
    <x:row r="19" ht="66" customHeight="1">
      <x:c r="A19" s="117" t="str">
        <x:v>MC0016</x:v>
      </x:c>
      <x:c r="B19" s="117" t="str">
        <x:v>Puteri Harbour</x:v>
      </x:c>
      <x:c r="C19" s="117" t="str">
        <x:v>Johor</x:v>
      </x:c>
      <x:c r="D19" s="117" t="str">
        <x:v>Iskandar Puteri</x:v>
      </x:c>
      <x:c r="E19" s="117" t="str">
        <x:v>Urban Attraction</x:v>
      </x:c>
      <x:c r="F19" s="117" t="str">
        <x:v>Popular</x:v>
      </x:c>
      <x:c r="G19" s="117" t="str">
        <x:v>Both</x:v>
      </x:c>
      <x:c r="H19" s="117" t="str">
        <x:v>waterfront; marina; dining</x:v>
      </x:c>
      <x:c r="I19" s="117" t="str">
        <x:v>A waterfront leisure and residential precinct in Iskandar Puteri with a marina, family attractions and dining along the water.</x:v>
      </x:c>
      <x:c r="J19" s="117" t="str">
        <x:v>https://www.google.com/maps/search/?api=1&amp;query=Puteri%20Harbour%2C%20Johor%2C%20Malaysia</x:v>
      </x:c>
      <x:c r="K19" s="117" t="str">
        <x:v>https://ebrochures.malaysia.travel/en/malaysia-travel-guide/johor/</x:v>
      </x:c>
      <x:c r="L19" s="117" t="str">
        <x:v>Tourism Malaysia state guide plus map discovery link</x:v>
      </x:c>
      <x:c r="M19" s="117" t="str">
        <x:v>Johor expansion batch</x:v>
      </x:c>
      <x:c r="N19" s="117"/>
      <x:c r="O19" s="117" t="str">
        <x:v>2026-08-15 00:00:00</x:v>
      </x:c>
      <x:c r="P19" s="117" t="str">
        <x:v>Complete</x:v>
      </x:c>
      <x:c r="Q19" s="117"/>
      <x:c r="R19" s="117" t="str">
        <x:f t="shared" si="0">IF(J19="","Missing Link",IF(AND(ISNUMBER(SEARCH("google.com/maps",J19)),ISERROR(SEARCH(";",J19))),"Discovery Link Only","Source Link Present"))</x:f>
        <x:v>Discovery Link Only</x:v>
      </x:c>
      <x:c r="S19" s="117" t="str">
        <x:v>Unknown</x:v>
      </x:c>
      <x:c r="T19" s="117" t="str">
        <x:v>Unknown</x:v>
      </x:c>
      <x:c r="U19" s="117" t="str">
        <x:v>Unknown</x:v>
      </x:c>
      <x:c r="V19" s="117" t="str">
        <x:v>Unknown</x:v>
      </x:c>
      <x:c r="W19" s="117" t="str">
        <x:v>Unknown</x:v>
      </x:c>
      <x:c r="X19" s="117" t="str">
        <x:v>Unknown</x:v>
      </x:c>
      <x:c r="Y19" s="117" t="str">
        <x:v>Unknown</x:v>
      </x:c>
      <x:c r="Z19" s="117"/>
      <x:c r="AA19" s="117" t="str">
        <x:v>Pending evidence</x:v>
      </x:c>
      <x:c r="AB19" s="117"/>
      <x:c r="AC19" s="117" t="str">
        <x:v>No qualifying accessibility conclusion established from the screened sources. This is unknown, not evidence that the attraction is inaccessible.</x:v>
      </x:c>
      <x:c r="AD19" s="117" t="str">
        <x:v>2026-09-08</x:v>
      </x:c>
      <x:c r="AE19" s="117" t="str">
        <x:v>MC0016</x:v>
      </x:c>
      <x:c r="AF19" s="117" t="str">
        <x:v>Distinct candidate</x:v>
      </x:c>
      <x:c r="AG19" s="117" t="str"/>
      <x:c r="AH19" s="117" t="str">
        <x:v>Name corroborated in source</x:v>
      </x:c>
      <x:c r="AI19" s="117" t="str">
        <x:v>https://ebrochures.malaysia.travel/en/malaysia-travel-guide/johor/</x:v>
      </x:c>
      <x:c r="AJ19" s="117" t="str">
        <x:v>Place name or established alias matched in the cited source. This is not confirmation of current opening, all visitor facilities or the full description.</x:v>
      </x:c>
      <x:c r="AK19" s="117" t="str">
        <x:v>Not independently confirmed</x:v>
      </x:c>
      <x:c r="AL19" s="117" t="str">
        <x:v>Screened sources; accessibility unresolved</x:v>
      </x:c>
      <x:c r="AM19" s="117" t="str">
        <x:v>2026-09-08</x:v>
      </x:c>
      <x:c r="AN19" s="117" t="str">
        <x:v>https://thumb.wikimedia.org/wikipedia/commons/thumb/8/87/Puteri_Harbour_in_Johor%2C_Malaysia.jpg/1280px-Puteri_Harbour_in_Johor%2C_Malaysia.jpg?utm_source=commons.wikimedia.org&amp;utm_campaign=imageinfo&amp;utm_content=thumbnail</x:v>
      </x:c>
      <x:c r="AO19" s="117" t="str">
        <x:v>https://thumb.wikimedia.org/wikipedia/commons/thumb/6/68/Puteri_Harbour_-_Public_Bike_Share.jpg/1280px-Puteri_Harbour_-_Public_Bike_Share.jpg?utm_source=commons.wikimedia.org&amp;utm_campaign=imageinfo&amp;utm_content=thumbnail</x:v>
      </x:c>
      <x:c r="AP19" s="117" t="str">
        <x:v>2 metadata-matched images; visual review pending</x:v>
      </x:c>
      <x:c r="AQ19" s="117"/>
    </x:row>
    <x:row r="20" ht="66" customHeight="1">
      <x:c r="A20" s="117" t="str">
        <x:v>MC0017</x:v>
      </x:c>
      <x:c r="B20" s="117" t="str">
        <x:v>Kota Iskandar</x:v>
      </x:c>
      <x:c r="C20" s="117" t="str">
        <x:v>Johor</x:v>
      </x:c>
      <x:c r="D20" s="117" t="str">
        <x:v>Iskandar Puteri</x:v>
      </x:c>
      <x:c r="E20" s="117" t="str">
        <x:v>Urban Attraction</x:v>
      </x:c>
      <x:c r="F20" s="117" t="str">
        <x:v>Local</x:v>
      </x:c>
      <x:c r="G20" s="117" t="str">
        <x:v>Both</x:v>
      </x:c>
      <x:c r="H20" s="117" t="str">
        <x:v>civic architecture; photography; landmark</x:v>
      </x:c>
      <x:c r="I20" s="117" t="str">
        <x:v>Johor's state government administrative complex in Iskandar Puteri, home to the state legislative assembly and executive offices.</x:v>
      </x:c>
      <x:c r="J20" s="117" t="str">
        <x:v>https://www.google.com/maps/search/?api=1&amp;query=Kota%20Iskandar%2C%20Johor%2C%20Malaysia</x:v>
      </x:c>
      <x:c r="K20" s="117" t="str">
        <x:v>https://ebrochures.malaysia.travel/en/malaysia-travel-guide/johor/</x:v>
      </x:c>
      <x:c r="L20" s="117" t="str">
        <x:v>Tourism Malaysia state guide plus map discovery link</x:v>
      </x:c>
      <x:c r="M20" s="117" t="str">
        <x:v>Johor expansion batch</x:v>
      </x:c>
      <x:c r="N20" s="117"/>
      <x:c r="O20" s="117" t="str">
        <x:v>2026-08-15 00:00:00</x:v>
      </x:c>
      <x:c r="P20" s="117" t="str">
        <x:v>Complete</x:v>
      </x:c>
      <x:c r="Q20" s="117" t="str">
        <x:v>Identity and Malaysian location verified in second-pass review on 2026-09-08.</x:v>
      </x:c>
      <x:c r="R20" s="117" t="str">
        <x:f t="shared" si="0">IF(J20="","Missing Link",IF(AND(ISNUMBER(SEARCH("google.com/maps",J20)),ISERROR(SEARCH(";",J20))),"Discovery Link Only","Source Link Present"))</x:f>
        <x:v>Discovery Link Only</x:v>
      </x:c>
      <x:c r="S20" s="117" t="str">
        <x:v>Unknown</x:v>
      </x:c>
      <x:c r="T20" s="117" t="str">
        <x:v>Unknown</x:v>
      </x:c>
      <x:c r="U20" s="117" t="str">
        <x:v>Unknown</x:v>
      </x:c>
      <x:c r="V20" s="117" t="str">
        <x:v>Unknown</x:v>
      </x:c>
      <x:c r="W20" s="117" t="str">
        <x:v>Unknown</x:v>
      </x:c>
      <x:c r="X20" s="117" t="str">
        <x:v>Unknown</x:v>
      </x:c>
      <x:c r="Y20" s="117" t="str">
        <x:v>Unknown</x:v>
      </x:c>
      <x:c r="Z20" s="117"/>
      <x:c r="AA20" s="117" t="str">
        <x:v>Pending evidence</x:v>
      </x:c>
      <x:c r="AB20" s="117"/>
      <x:c r="AC20" s="117" t="str">
        <x:v>No qualifying accessibility conclusion established from the screened sources. This is unknown, not evidence that the attraction is inaccessible.</x:v>
      </x:c>
      <x:c r="AD20" s="117" t="str">
        <x:v>2026-09-08</x:v>
      </x:c>
      <x:c r="AE20" s="117" t="str">
        <x:v>MC0017</x:v>
      </x:c>
      <x:c r="AF20" s="117" t="str">
        <x:v>Distinct candidate</x:v>
      </x:c>
      <x:c r="AG20" s="117" t="str"/>
      <x:c r="AH20" s="117" t="str">
        <x:v>Identity and location corroborated</x:v>
      </x:c>
      <x:c r="AI20" s="117" t="str">
        <x:v>https://en.wikipedia.org/wiki/Kota_Iskandar</x:v>
      </x:c>
      <x:c r="AJ20" s="117" t="str">
        <x:v>Encyclopedic source matches the attraction name or established alias and the stated Malaysian location. This verifies identity/location only; confirm current opening and accessibility separately.</x:v>
      </x:c>
      <x:c r="AK20" s="117" t="str">
        <x:v>Not independently confirmed</x:v>
      </x:c>
      <x:c r="AL20" s="117" t="str">
        <x:v>Screened sources; accessibility unresolved</x:v>
      </x:c>
      <x:c r="AM20" s="117" t="str">
        <x:v>2026-09-08</x:v>
      </x:c>
      <x:c r="AN20" s="117" t="str">
        <x:v>https://thumb.wikimedia.org/wikipedia/commons/thumb/c/cb/Kota_Iskandar.JPG/1280px-Kota_Iskandar.JPG?utm_source=commons.wikimedia.org&amp;utm_campaign=imageinfo&amp;utm_content=thumbnail</x:v>
      </x:c>
      <x:c r="AO20" s="117" t="str">
        <x:v>https://thumb.wikimedia.org/wikipedia/commons/thumb/6/61/Johor_State_Government_Offices_%28East_Wing%29_%40_Nusajaya.jpg/1280px-Johor_State_Government_Offices_%28East_Wing%29_%40_Nusajaya.jpg?utm_source=commons.wikimedia.org&amp;utm_campaign=imageinfo&amp;utm_content=thumbnail</x:v>
      </x:c>
      <x:c r="AP20" s="117" t="str">
        <x:v>2 metadata-matched images; visual review pending</x:v>
      </x:c>
      <x:c r="AQ20" s="117"/>
    </x:row>
    <x:row r="21" ht="66" customHeight="1">
      <x:c r="A21" s="117" t="str">
        <x:v>MC0018</x:v>
      </x:c>
      <x:c r="B21" s="117" t="str">
        <x:v>Johor Premium Outlets</x:v>
      </x:c>
      <x:c r="C21" s="117" t="str">
        <x:v>Johor</x:v>
      </x:c>
      <x:c r="D21" s="117" t="str">
        <x:v>Kulai</x:v>
      </x:c>
      <x:c r="E21" s="117" t="str">
        <x:v>Shopping</x:v>
      </x:c>
      <x:c r="F21" s="117" t="str">
        <x:v>Popular</x:v>
      </x:c>
      <x:c r="G21" s="117" t="str">
        <x:v>Indoor</x:v>
      </x:c>
      <x:c r="H21" s="117" t="str">
        <x:v>outlet shopping; family; dining</x:v>
      </x:c>
      <x:c r="I21" s="117" t="str">
        <x:v>A designer and brand-name outlet shopping mall in Kulai, part of the international Premium Outlets chain.</x:v>
      </x:c>
      <x:c r="J21" s="117" t="str">
        <x:v>https://www.google.com/maps/search/?api=1&amp;query=Johor%20Premium%20Outlets%2C%20Johor%2C%20Malaysia</x:v>
      </x:c>
      <x:c r="K21" s="117" t="str">
        <x:v>https://ebrochures.malaysia.travel/en/malaysia-travel-guide/johor/</x:v>
      </x:c>
      <x:c r="L21" s="117" t="str">
        <x:v>Tourism Malaysia state guide plus map discovery link</x:v>
      </x:c>
      <x:c r="M21" s="117" t="str">
        <x:v>Johor expansion batch</x:v>
      </x:c>
      <x:c r="N21" s="117"/>
      <x:c r="O21" s="117" t="str">
        <x:v>2026-08-15 00:00:00</x:v>
      </x:c>
      <x:c r="P21" s="117" t="str">
        <x:v>Complete</x:v>
      </x:c>
      <x:c r="Q21" s="117"/>
      <x:c r="R21" s="117" t="str">
        <x:f t="shared" si="0">IF(J21="","Missing Link",IF(AND(ISNUMBER(SEARCH("google.com/maps",J21)),ISERROR(SEARCH(";",J21))),"Discovery Link Only","Source Link Present"))</x:f>
        <x:v>Discovery Link Only</x:v>
      </x:c>
      <x:c r="S21" s="117" t="str">
        <x:v>Unknown</x:v>
      </x:c>
      <x:c r="T21" s="117" t="str">
        <x:v>Unknown</x:v>
      </x:c>
      <x:c r="U21" s="117" t="str">
        <x:v>Unknown</x:v>
      </x:c>
      <x:c r="V21" s="117" t="str">
        <x:v>Unknown</x:v>
      </x:c>
      <x:c r="W21" s="117" t="str">
        <x:v>Unknown</x:v>
      </x:c>
      <x:c r="X21" s="117" t="str">
        <x:v>Unknown</x:v>
      </x:c>
      <x:c r="Y21" s="117" t="str">
        <x:v>Unknown</x:v>
      </x:c>
      <x:c r="Z21" s="117"/>
      <x:c r="AA21" s="117" t="str">
        <x:v>Pending evidence</x:v>
      </x:c>
      <x:c r="AB21" s="117"/>
      <x:c r="AC21" s="117" t="str">
        <x:v>No qualifying accessibility conclusion established from the screened sources. This is unknown, not evidence that the attraction is inaccessible.</x:v>
      </x:c>
      <x:c r="AD21" s="117" t="str">
        <x:v>2026-09-08</x:v>
      </x:c>
      <x:c r="AE21" s="117" t="str">
        <x:v>MC0018</x:v>
      </x:c>
      <x:c r="AF21" s="117" t="str">
        <x:v>Distinct candidate</x:v>
      </x:c>
      <x:c r="AG21" s="117" t="str"/>
      <x:c r="AH21" s="117" t="str">
        <x:v>Name corroborated in source</x:v>
      </x:c>
      <x:c r="AI21" s="117" t="str">
        <x:v>https://ebrochures.malaysia.travel/en/malaysia-travel-guide/johor/</x:v>
      </x:c>
      <x:c r="AJ21" s="117" t="str">
        <x:v>Place name or established alias matched in the cited source. This is not confirmation of current opening, all visitor facilities or the full description.</x:v>
      </x:c>
      <x:c r="AK21" s="117" t="str">
        <x:v>Not independently confirmed</x:v>
      </x:c>
      <x:c r="AL21" s="117" t="str">
        <x:v>Screened sources; accessibility unresolved</x:v>
      </x:c>
      <x:c r="AM21" s="117" t="str">
        <x:v>2026-09-08</x:v>
      </x:c>
      <x:c r="AN21" s="117" t="str">
        <x:v>https://thumb.wikimedia.org/wikipedia/commons/thumb/0/08/Johor_Premium_Outlets.jpg/1280px-Johor_Premium_Outlets.jpg?utm_source=commons.wikimedia.org&amp;utm_campaign=imageinfo&amp;utm_content=thumbnail</x:v>
      </x:c>
      <x:c r="AO21" s="117" t="str">
        <x:v>https://thumb.wikimedia.org/wikipedia/commons/thumb/8/8b/Johor_Premium_Outlet%2C_Malaysia.jpg/1280px-Johor_Premium_Outlet%2C_Malaysia.jpg?utm_source=commons.wikimedia.org&amp;utm_campaign=imageinfo&amp;utm_content=thumbnail</x:v>
      </x:c>
      <x:c r="AP21" s="117" t="str">
        <x:v>2 metadata-matched images; visual review pending</x:v>
      </x:c>
      <x:c r="AQ21" s="117"/>
    </x:row>
    <x:row r="22" ht="66" customHeight="1">
      <x:c r="A22" s="117" t="str">
        <x:v>MC0019</x:v>
      </x:c>
      <x:c r="B22" s="117" t="str">
        <x:v>Kota Tinggi Waterfalls</x:v>
      </x:c>
      <x:c r="C22" s="117" t="str">
        <x:v>Johor</x:v>
      </x:c>
      <x:c r="D22" s="117" t="str">
        <x:v>Kota Tinggi</x:v>
      </x:c>
      <x:c r="E22" s="117" t="str">
        <x:v>Nature</x:v>
      </x:c>
      <x:c r="F22" s="117" t="str">
        <x:v>Popular</x:v>
      </x:c>
      <x:c r="G22" s="117" t="str">
        <x:v>Outdoor</x:v>
      </x:c>
      <x:c r="H22" s="117" t="str">
        <x:v>waterfall; forest; recreation</x:v>
      </x:c>
      <x:c r="I22" s="117" t="str">
        <x:v>A multi-tiered waterfall recreation area in Kota Tinggi with natural pools popular for swimming and picnicking.</x:v>
      </x:c>
      <x:c r="J22" s="117" t="str">
        <x:v>https://www.google.com/maps/search/?api=1&amp;query=Kota%20Tinggi%20Waterfalls%2C%20Johor%2C%20Malaysia</x:v>
      </x:c>
      <x:c r="K22" s="117" t="str">
        <x:v>https://ebrochures.malaysia.travel/en/malaysia-travel-guide/johor/</x:v>
      </x:c>
      <x:c r="L22" s="117" t="str">
        <x:v>Tourism Malaysia state guide plus map discovery link</x:v>
      </x:c>
      <x:c r="M22" s="117" t="str">
        <x:v>Johor expansion batch</x:v>
      </x:c>
      <x:c r="N22" s="117"/>
      <x:c r="O22" s="117" t="str">
        <x:v>2026-08-15 00:00:00</x:v>
      </x:c>
      <x:c r="P22" s="117" t="str">
        <x:v>Complete</x:v>
      </x:c>
      <x:c r="Q22" s="117"/>
      <x:c r="R22" s="117" t="str">
        <x:f t="shared" si="0">IF(J22="","Missing Link",IF(AND(ISNUMBER(SEARCH("google.com/maps",J22)),ISERROR(SEARCH(";",J22))),"Discovery Link Only","Source Link Present"))</x:f>
        <x:v>Discovery Link Only</x:v>
      </x:c>
      <x:c r="S22" s="117" t="str">
        <x:v>Unknown</x:v>
      </x:c>
      <x:c r="T22" s="117" t="str">
        <x:v>Unknown</x:v>
      </x:c>
      <x:c r="U22" s="117" t="str">
        <x:v>Unknown</x:v>
      </x:c>
      <x:c r="V22" s="117" t="str">
        <x:v>Unknown</x:v>
      </x:c>
      <x:c r="W22" s="117" t="str">
        <x:v>Unknown</x:v>
      </x:c>
      <x:c r="X22" s="117" t="str">
        <x:v>Unknown</x:v>
      </x:c>
      <x:c r="Y22" s="117" t="str">
        <x:v>Unknown</x:v>
      </x:c>
      <x:c r="Z22" s="117"/>
      <x:c r="AA22" s="117" t="str">
        <x:v>Pending evidence</x:v>
      </x:c>
      <x:c r="AB22" s="117"/>
      <x:c r="AC22" s="117" t="str">
        <x:v>No qualifying accessibility conclusion established from the screened sources. This is unknown, not evidence that the attraction is inaccessible.</x:v>
      </x:c>
      <x:c r="AD22" s="117" t="str">
        <x:v>2026-09-08</x:v>
      </x:c>
      <x:c r="AE22" s="117" t="str">
        <x:v>MC0019</x:v>
      </x:c>
      <x:c r="AF22" s="117" t="str">
        <x:v>Distinct candidate</x:v>
      </x:c>
      <x:c r="AG22" s="117" t="str"/>
      <x:c r="AH22" s="117" t="str">
        <x:v>Name corroborated in source</x:v>
      </x:c>
      <x:c r="AI22" s="117" t="str">
        <x:v>https://ebrochures.malaysia.travel/en/malaysia-travel-guide/johor/</x:v>
      </x:c>
      <x:c r="AJ22" s="117" t="str">
        <x:v>Place name or established alias matched in the cited source. This is not confirmation of current opening, all visitor facilities or the full description.</x:v>
      </x:c>
      <x:c r="AK22" s="117" t="str">
        <x:v>Not independently confirmed</x:v>
      </x:c>
      <x:c r="AL22" s="117" t="str">
        <x:v>Screened sources; accessibility unresolved</x:v>
      </x:c>
      <x:c r="AM22" s="117" t="str">
        <x:v>2026-09-08</x:v>
      </x:c>
      <x:c r="AN22" s="117" t="str">
        <x:v>https://thumb.wikimedia.org/wikipedia/commons/thumb/0/03/Kota_Tinggi_Waterfalls.JPG/1280px-Kota_Tinggi_Waterfalls.JPG?utm_source=commons.wikimedia.org&amp;utm_campaign=imageinfo&amp;utm_content=thumbnail</x:v>
      </x:c>
      <x:c r="AO22" s="117" t="str">
        <x:v>https://thumb.wikimedia.org/wikipedia/commons/thumb/0/01/Meeracle_of_Nature.jpg/1280px-Meeracle_of_Nature.jpg?utm_source=commons.wikimedia.org&amp;utm_campaign=imageinfo&amp;utm_content=thumbnail</x:v>
      </x:c>
      <x:c r="AP22" s="117" t="str">
        <x:v>2 metadata-matched images; visual review pending</x:v>
      </x:c>
      <x:c r="AQ22" s="117"/>
    </x:row>
    <x:row r="23" ht="66" customHeight="1">
      <x:c r="A23" s="117" t="str">
        <x:v>MC0020</x:v>
      </x:c>
      <x:c r="B23" s="117" t="str">
        <x:v>Desaru Fruit Farm</x:v>
      </x:c>
      <x:c r="C23" s="117" t="str">
        <x:v>Johor</x:v>
      </x:c>
      <x:c r="D23" s="117" t="str">
        <x:v>Kota Tinggi</x:v>
      </x:c>
      <x:c r="E23" s="117" t="str">
        <x:v>Food</x:v>
      </x:c>
      <x:c r="F23" s="117" t="str">
        <x:v>Local</x:v>
      </x:c>
      <x:c r="G23" s="117" t="str">
        <x:v>Both</x:v>
      </x:c>
      <x:c r="H23" s="117" t="str">
        <x:v>agrotourism; fruit; farm</x:v>
      </x:c>
      <x:c r="I23" s="117" t="str">
        <x:v>An agro-tourism farm near Kota Tinggi showcasing tropical fruit orchards and local produce.</x:v>
      </x:c>
      <x:c r="J23" s="117" t="str">
        <x:v>https://www.google.com/maps/search/?api=1&amp;query=Desaru%20Fruit%20Farm%2C%20Johor%2C%20Malaysia</x:v>
      </x:c>
      <x:c r="K23" s="117" t="str">
        <x:v>https://ebrochures.malaysia.travel/en/malaysia-travel-guide/johor/</x:v>
      </x:c>
      <x:c r="L23" s="117" t="str">
        <x:v>Tourism Malaysia state guide plus map discovery link</x:v>
      </x:c>
      <x:c r="M23" s="117" t="str">
        <x:v>Johor expansion batch</x:v>
      </x:c>
      <x:c r="N23" s="117"/>
      <x:c r="O23" s="117" t="str">
        <x:v>2026-08-15 00:00:00</x:v>
      </x:c>
      <x:c r="P23" s="117" t="str">
        <x:v>Complete</x:v>
      </x:c>
      <x:c r="Q23" s="117"/>
      <x:c r="R23" s="117" t="str">
        <x:f t="shared" si="0">IF(J23="","Missing Link",IF(AND(ISNUMBER(SEARCH("google.com/maps",J23)),ISERROR(SEARCH(";",J23))),"Discovery Link Only","Source Link Present"))</x:f>
        <x:v>Discovery Link Only</x:v>
      </x:c>
      <x:c r="S23" s="117" t="str">
        <x:v>Unknown</x:v>
      </x:c>
      <x:c r="T23" s="117" t="str">
        <x:v>Unknown</x:v>
      </x:c>
      <x:c r="U23" s="117" t="str">
        <x:v>Unknown</x:v>
      </x:c>
      <x:c r="V23" s="117" t="str">
        <x:v>Unknown</x:v>
      </x:c>
      <x:c r="W23" s="117" t="str">
        <x:v>Unknown</x:v>
      </x:c>
      <x:c r="X23" s="117" t="str">
        <x:v>Unknown</x:v>
      </x:c>
      <x:c r="Y23" s="117" t="str">
        <x:v>Unknown</x:v>
      </x:c>
      <x:c r="Z23" s="117"/>
      <x:c r="AA23" s="117" t="str">
        <x:v>Pending evidence</x:v>
      </x:c>
      <x:c r="AB23" s="117"/>
      <x:c r="AC23" s="117" t="str">
        <x:v>No qualifying accessibility conclusion established from the screened sources. This is unknown, not evidence that the attraction is inaccessible.</x:v>
      </x:c>
      <x:c r="AD23" s="117" t="str">
        <x:v>2026-09-08</x:v>
      </x:c>
      <x:c r="AE23" s="117" t="str">
        <x:v>MC0020</x:v>
      </x:c>
      <x:c r="AF23" s="117" t="str">
        <x:v>Distinct candidate</x:v>
      </x:c>
      <x:c r="AG23" s="117" t="str"/>
      <x:c r="AH23" s="117" t="str">
        <x:v>Name corroborated in source</x:v>
      </x:c>
      <x:c r="AI23" s="117" t="str">
        <x:v>https://ebrochures.malaysia.travel/en/malaysia-travel-guide/johor/</x:v>
      </x:c>
      <x:c r="AJ23" s="117" t="str">
        <x:v>Place name or established alias matched in the cited source. This is not confirmation of current opening, all visitor facilities or the full description.</x:v>
      </x:c>
      <x:c r="AK23" s="117" t="str">
        <x:v>Not independently confirmed</x:v>
      </x:c>
      <x:c r="AL23" s="117" t="str">
        <x:v>Screened sources; accessibility unresolved</x:v>
      </x:c>
      <x:c r="AM23" s="117" t="str">
        <x:v>2026-09-08</x:v>
      </x:c>
      <x:c r="AN23" s="117" t="str">
        <x:v>https://thumb.wikimedia.org/wikipedia/commons/thumb/9/92/Desaru_Fruit_Farm.JPG/1280px-Desaru_Fruit_Farm.JPG?utm_source=commons.wikimedia.org&amp;utm_campaign=imageinfo&amp;utm_content=thumbnail</x:v>
      </x:c>
      <x:c r="AO23" s="117" t="str">
        <x:v>https://thumb.wikimedia.org/wikipedia/commons/thumb/e/e3/Desaru_Dirt_Kart_Ride.jpg/1280px-Desaru_Dirt_Kart_Ride.jpg?utm_source=commons.wikimedia.org&amp;utm_campaign=imageinfo&amp;utm_content=thumbnail</x:v>
      </x:c>
      <x:c r="AP23" s="117" t="str">
        <x:v>2 metadata-matched images; visual review pending</x:v>
      </x:c>
      <x:c r="AQ23" s="117"/>
    </x:row>
    <x:row r="24" ht="66" customHeight="1">
      <x:c r="A24" s="117" t="str">
        <x:v>MC0021</x:v>
      </x:c>
      <x:c r="B24" s="117" t="str">
        <x:v>Desaru Coast Riverside</x:v>
      </x:c>
      <x:c r="C24" s="117" t="str">
        <x:v>Johor</x:v>
      </x:c>
      <x:c r="D24" s="117" t="str">
        <x:v>Kota Tinggi</x:v>
      </x:c>
      <x:c r="E24" s="117" t="str">
        <x:v>Urban Attraction</x:v>
      </x:c>
      <x:c r="F24" s="117" t="str">
        <x:v>Local</x:v>
      </x:c>
      <x:c r="G24" s="117" t="str">
        <x:v>Both</x:v>
      </x:c>
      <x:c r="H24" s="117" t="str">
        <x:v>waterfront; dining; leisure</x:v>
      </x:c>
      <x:c r="I24" s="117" t="str">
        <x:v>A riverside dining and leisure precinct within the Desaru Coast development in Kota Tinggi district.</x:v>
      </x:c>
      <x:c r="J24" s="117" t="str">
        <x:v>https://www.google.com/maps/search/?api=1&amp;query=Desaru%20Coast%20Riverside%2C%20Johor%2C%20Malaysia</x:v>
      </x:c>
      <x:c r="K24" s="117" t="str">
        <x:v>https://ebrochures.malaysia.travel/en/malaysia-travel-guide/johor/</x:v>
      </x:c>
      <x:c r="L24" s="117" t="str">
        <x:v>Tourism Malaysia state guide plus map discovery link</x:v>
      </x:c>
      <x:c r="M24" s="117" t="str">
        <x:v>Johor expansion batch</x:v>
      </x:c>
      <x:c r="N24" s="117"/>
      <x:c r="O24" s="117" t="str">
        <x:v>2026-08-15 00:00:00</x:v>
      </x:c>
      <x:c r="P24" s="117" t="str">
        <x:v>Pending Review</x:v>
      </x:c>
      <x:c r="Q24" s="117"/>
      <x:c r="R24" s="117" t="str">
        <x:f t="shared" si="0">IF(J24="","Missing Link",IF(AND(ISNUMBER(SEARCH("google.com/maps",J24)),ISERROR(SEARCH(";",J24))),"Discovery Link Only","Source Link Present"))</x:f>
        <x:v>Discovery Link Only</x:v>
      </x:c>
      <x:c r="S24" s="117" t="str">
        <x:v>Unknown</x:v>
      </x:c>
      <x:c r="T24" s="117" t="str">
        <x:v>Unknown</x:v>
      </x:c>
      <x:c r="U24" s="117" t="str">
        <x:v>Unknown</x:v>
      </x:c>
      <x:c r="V24" s="117" t="str">
        <x:v>Unknown</x:v>
      </x:c>
      <x:c r="W24" s="117" t="str">
        <x:v>Unknown</x:v>
      </x:c>
      <x:c r="X24" s="117" t="str">
        <x:v>Unknown</x:v>
      </x:c>
      <x:c r="Y24" s="117" t="str">
        <x:v>Unknown</x:v>
      </x:c>
      <x:c r="Z24" s="117"/>
      <x:c r="AA24" s="117" t="str">
        <x:v>Pending evidence</x:v>
      </x:c>
      <x:c r="AB24" s="117"/>
      <x:c r="AC24" s="117" t="str">
        <x:v>No qualifying accessibility conclusion established from the screened sources. This is unknown, not evidence that the attraction is inaccessible.</x:v>
      </x:c>
      <x:c r="AD24" s="117" t="str">
        <x:v>2026-09-08</x:v>
      </x:c>
      <x:c r="AE24" s="117" t="str">
        <x:v>MC0021</x:v>
      </x:c>
      <x:c r="AF24" s="117" t="str">
        <x:v>Distinct candidate</x:v>
      </x:c>
      <x:c r="AG24" s="117" t="str"/>
      <x:c r="AH24" s="117" t="str">
        <x:v>Out of scope / review for removal</x:v>
      </x:c>
      <x:c r="AI24" s="117" t="str"/>
      <x:c r="AJ24" s="117" t="str">
        <x:v>The exact “Desaru Coast Riverside” visitor attraction was not substantiated by a reliable current source; search results primarily describe a commercial lifestyle area or unrelated project.</x:v>
      </x:c>
      <x:c r="AK24" s="117" t="str">
        <x:v>Not approved for recommendation</x:v>
      </x:c>
      <x:c r="AL24" s="117" t="str">
        <x:v>Screened sources; accessibility unresolved</x:v>
      </x:c>
      <x:c r="AM24" s="117" t="str">
        <x:v>2026-09-08</x:v>
      </x:c>
      <x:c r="AN24" s="117"/>
      <x:c r="AO24" s="117"/>
      <x:c r="AP24" s="117" t="str">
        <x:v>No usable pair located; image research pending</x:v>
      </x:c>
      <x:c r="AQ24" s="117"/>
    </x:row>
    <x:row r="25" ht="66" customHeight="1">
      <x:c r="A25" s="117" t="str">
        <x:v>MC0022</x:v>
      </x:c>
      <x:c r="B25" s="117" t="str">
        <x:v>Pulau Rawa</x:v>
      </x:c>
      <x:c r="C25" s="117" t="str">
        <x:v>Johor</x:v>
      </x:c>
      <x:c r="D25" s="117" t="str">
        <x:v>Mersing</x:v>
      </x:c>
      <x:c r="E25" s="117" t="str">
        <x:v>Beach and Island</x:v>
      </x:c>
      <x:c r="F25" s="117" t="str">
        <x:v>Popular</x:v>
      </x:c>
      <x:c r="G25" s="117" t="str">
        <x:v>Outdoor</x:v>
      </x:c>
      <x:c r="H25" s="117" t="str">
        <x:v>island; beach; snorkelling</x:v>
      </x:c>
      <x:c r="I25" s="117" t="str">
        <x:v>A small island off Mersing known for clear water and calm beaches, popular as a day-trip and resort destination.</x:v>
      </x:c>
      <x:c r="J25" s="117" t="str">
        <x:v>https://www.google.com/maps/search/?api=1&amp;query=Pulau%20Rawa%2C%20Johor%2C%20Malaysia</x:v>
      </x:c>
      <x:c r="K25" s="117" t="str">
        <x:v>https://ebrochures.malaysia.travel/en/malaysia-travel-guide/johor/</x:v>
      </x:c>
      <x:c r="L25" s="117" t="str">
        <x:v>Tourism Malaysia state guide plus map discovery link</x:v>
      </x:c>
      <x:c r="M25" s="117" t="str">
        <x:v>Johor expansion batch</x:v>
      </x:c>
      <x:c r="N25" s="117"/>
      <x:c r="O25" s="117" t="str">
        <x:v>2026-08-15 00:00:00</x:v>
      </x:c>
      <x:c r="P25" s="117" t="str">
        <x:v>Complete</x:v>
      </x:c>
      <x:c r="Q25" s="117"/>
      <x:c r="R25" s="117" t="str">
        <x:f t="shared" si="0">IF(J25="","Missing Link",IF(AND(ISNUMBER(SEARCH("google.com/maps",J25)),ISERROR(SEARCH(";",J25))),"Discovery Link Only","Source Link Present"))</x:f>
        <x:v>Discovery Link Only</x:v>
      </x:c>
      <x:c r="S25" s="117" t="str">
        <x:v>Unknown</x:v>
      </x:c>
      <x:c r="T25" s="117" t="str">
        <x:v>Unknown</x:v>
      </x:c>
      <x:c r="U25" s="117" t="str">
        <x:v>Unknown</x:v>
      </x:c>
      <x:c r="V25" s="117" t="str">
        <x:v>Unknown</x:v>
      </x:c>
      <x:c r="W25" s="117" t="str">
        <x:v>Unknown</x:v>
      </x:c>
      <x:c r="X25" s="117" t="str">
        <x:v>Unknown</x:v>
      </x:c>
      <x:c r="Y25" s="117" t="str">
        <x:v>Unknown</x:v>
      </x:c>
      <x:c r="Z25" s="117"/>
      <x:c r="AA25" s="117" t="str">
        <x:v>Pending evidence</x:v>
      </x:c>
      <x:c r="AB25" s="117"/>
      <x:c r="AC25" s="117" t="str">
        <x:v>No qualifying accessibility conclusion established from the screened sources. This is unknown, not evidence that the attraction is inaccessible.</x:v>
      </x:c>
      <x:c r="AD25" s="117" t="str">
        <x:v>2026-09-08</x:v>
      </x:c>
      <x:c r="AE25" s="117" t="str">
        <x:v>MC0022</x:v>
      </x:c>
      <x:c r="AF25" s="117" t="str">
        <x:v>Distinct candidate</x:v>
      </x:c>
      <x:c r="AG25" s="117" t="str"/>
      <x:c r="AH25" s="117" t="str">
        <x:v>Name corroborated in source</x:v>
      </x:c>
      <x:c r="AI25" s="117" t="str">
        <x:v>https://ebrochures.malaysia.travel/en/malaysia-travel-guide/johor/</x:v>
      </x:c>
      <x:c r="AJ25" s="117" t="str">
        <x:v>Place name or established alias matched in the cited source. This is not confirmation of current opening, all visitor facilities or the full description.</x:v>
      </x:c>
      <x:c r="AK25" s="117" t="str">
        <x:v>Not independently confirmed</x:v>
      </x:c>
      <x:c r="AL25" s="117" t="str">
        <x:v>Screened sources; accessibility unresolved</x:v>
      </x:c>
      <x:c r="AM25" s="117" t="str">
        <x:v>2026-09-08</x:v>
      </x:c>
      <x:c r="AN25" s="117" t="str">
        <x:v>https://thumb.wikimedia.org/wikipedia/commons/thumb/2/2f/Pulau_Rawa_2014.jpg/1280px-Pulau_Rawa_2014.jpg?utm_source=commons.wikimedia.org&amp;utm_campaign=imageinfo&amp;utm_content=thumbnail</x:v>
      </x:c>
      <x:c r="AO25" s="117" t="str">
        <x:v>https://thumb.wikimedia.org/wikipedia/commons/thumb/7/7a/2004_0913_173111AA_%282674049736%29.jpg/1280px-2004_0913_173111AA_%282674049736%29.jpg?utm_source=commons.wikimedia.org&amp;utm_campaign=imageinfo&amp;utm_content=thumbnail</x:v>
      </x:c>
      <x:c r="AP25" s="117" t="str">
        <x:v>2 metadata-matched images; visual review pending</x:v>
      </x:c>
      <x:c r="AQ25" s="117"/>
    </x:row>
    <x:row r="26" ht="66" customHeight="1">
      <x:c r="A26" s="117" t="str">
        <x:v>MC0023</x:v>
      </x:c>
      <x:c r="B26" s="117" t="str">
        <x:v>Pulau Sibu</x:v>
      </x:c>
      <x:c r="C26" s="117" t="str">
        <x:v>Johor</x:v>
      </x:c>
      <x:c r="D26" s="117" t="str">
        <x:v>Mersing</x:v>
      </x:c>
      <x:c r="E26" s="117" t="str">
        <x:v>Beach and Island</x:v>
      </x:c>
      <x:c r="F26" s="117" t="str">
        <x:v>Underrated</x:v>
      </x:c>
      <x:c r="G26" s="117" t="str">
        <x:v>Outdoor</x:v>
      </x:c>
      <x:c r="H26" s="117" t="str">
        <x:v>island; beach; village</x:v>
      </x:c>
      <x:c r="I26" s="117" t="str">
        <x:v>An island off Mersing popular for diving and snorkelling, with several small beach resorts.</x:v>
      </x:c>
      <x:c r="J26" s="117" t="str">
        <x:v>https://www.google.com/maps/search/?api=1&amp;query=Pulau%20Sibu%2C%20Johor%2C%20Malaysia</x:v>
      </x:c>
      <x:c r="K26" s="117" t="str">
        <x:v>https://ebrochures.malaysia.travel/en/malaysia-travel-guide/johor/</x:v>
      </x:c>
      <x:c r="L26" s="117" t="str">
        <x:v>Tourism Malaysia state guide plus map discovery link</x:v>
      </x:c>
      <x:c r="M26" s="117" t="str">
        <x:v>Johor expansion batch</x:v>
      </x:c>
      <x:c r="N26" s="117"/>
      <x:c r="O26" s="117" t="str">
        <x:v>2026-08-15 00:00:00</x:v>
      </x:c>
      <x:c r="P26" s="117" t="str">
        <x:v>Complete</x:v>
      </x:c>
      <x:c r="Q26" s="117"/>
      <x:c r="R26" s="117" t="str">
        <x:f t="shared" si="0">IF(J26="","Missing Link",IF(AND(ISNUMBER(SEARCH("google.com/maps",J26)),ISERROR(SEARCH(";",J26))),"Discovery Link Only","Source Link Present"))</x:f>
        <x:v>Discovery Link Only</x:v>
      </x:c>
      <x:c r="S26" s="117" t="str">
        <x:v>Unknown</x:v>
      </x:c>
      <x:c r="T26" s="117" t="str">
        <x:v>Unknown</x:v>
      </x:c>
      <x:c r="U26" s="117" t="str">
        <x:v>Unknown</x:v>
      </x:c>
      <x:c r="V26" s="117" t="str">
        <x:v>Unknown</x:v>
      </x:c>
      <x:c r="W26" s="117" t="str">
        <x:v>Unknown</x:v>
      </x:c>
      <x:c r="X26" s="117" t="str">
        <x:v>Unknown</x:v>
      </x:c>
      <x:c r="Y26" s="117" t="str">
        <x:v>Unknown</x:v>
      </x:c>
      <x:c r="Z26" s="117"/>
      <x:c r="AA26" s="117" t="str">
        <x:v>Pending evidence</x:v>
      </x:c>
      <x:c r="AB26" s="117"/>
      <x:c r="AC26" s="117" t="str">
        <x:v>No qualifying accessibility conclusion established from the screened sources. This is unknown, not evidence that the attraction is inaccessible.</x:v>
      </x:c>
      <x:c r="AD26" s="117" t="str">
        <x:v>2026-09-08</x:v>
      </x:c>
      <x:c r="AE26" s="117" t="str">
        <x:v>MC0023</x:v>
      </x:c>
      <x:c r="AF26" s="117" t="str">
        <x:v>Distinct candidate</x:v>
      </x:c>
      <x:c r="AG26" s="117" t="str"/>
      <x:c r="AH26" s="117" t="str">
        <x:v>Name corroborated in source</x:v>
      </x:c>
      <x:c r="AI26" s="117" t="str">
        <x:v>https://ebrochures.malaysia.travel/en/malaysia-travel-guide/johor/</x:v>
      </x:c>
      <x:c r="AJ26" s="117" t="str">
        <x:v>Place name or established alias matched in the cited source. This is not confirmation of current opening, all visitor facilities or the full description.</x:v>
      </x:c>
      <x:c r="AK26" s="117" t="str">
        <x:v>Not independently confirmed</x:v>
      </x:c>
      <x:c r="AL26" s="117" t="str">
        <x:v>Screened sources; accessibility unresolved</x:v>
      </x:c>
      <x:c r="AM26" s="117" t="str">
        <x:v>2026-09-08</x:v>
      </x:c>
      <x:c r="AN26" s="117" t="str">
        <x:v>https://upload.wikimedia.org/wikipedia/commons/d/dd/Pulau_Sibu.jpg?utm_source=commons.wikimedia.org&amp;utm_campaign=imageinfo&amp;utm_content=thumbnail_unscaled</x:v>
      </x:c>
      <x:c r="AO26" s="117" t="str">
        <x:v>https://thumb.wikimedia.org/wikipedia/commons/thumb/5/53/Pulau_Sibu_-_panoramio.jpg/1280px-Pulau_Sibu_-_panoramio.jpg?utm_source=commons.wikimedia.org&amp;utm_campaign=imageinfo&amp;utm_content=thumbnail</x:v>
      </x:c>
      <x:c r="AP26" s="117" t="str">
        <x:v>2 metadata-matched images; visual review pending</x:v>
      </x:c>
      <x:c r="AQ26" s="117"/>
    </x:row>
    <x:row r="27" ht="66" customHeight="1">
      <x:c r="A27" s="117" t="str">
        <x:v>MC0024</x:v>
      </x:c>
      <x:c r="B27" s="117" t="str">
        <x:v>Pulau Besar</x:v>
      </x:c>
      <x:c r="C27" s="117" t="str">
        <x:v>Johor</x:v>
      </x:c>
      <x:c r="D27" s="117" t="str">
        <x:v>Mersing</x:v>
      </x:c>
      <x:c r="E27" s="117" t="str">
        <x:v>Beach and Island</x:v>
      </x:c>
      <x:c r="F27" s="117" t="str">
        <x:v>Underrated</x:v>
      </x:c>
      <x:c r="G27" s="117" t="str">
        <x:v>Outdoor</x:v>
      </x:c>
      <x:c r="H27" s="117" t="str">
        <x:v>island; marine life; beach</x:v>
      </x:c>
      <x:c r="I27" s="117" t="str">
        <x:v>An island off Mersing offering beaches and snorkelling within the Sultan Iskandar Marine Park.</x:v>
      </x:c>
      <x:c r="J27" s="117" t="str">
        <x:v>https://www.google.com/maps/search/?api=1&amp;query=Pulau%20Besar%2C%20Johor%2C%20Malaysia</x:v>
      </x:c>
      <x:c r="K27" s="117" t="str">
        <x:v>https://ebrochures.malaysia.travel/en/malaysia-travel-guide/johor/</x:v>
      </x:c>
      <x:c r="L27" s="117" t="str">
        <x:v>Tourism Malaysia state guide plus map discovery link</x:v>
      </x:c>
      <x:c r="M27" s="117" t="str">
        <x:v>Johor expansion batch</x:v>
      </x:c>
      <x:c r="N27" s="117"/>
      <x:c r="O27" s="117" t="str">
        <x:v>2026-08-15 00:00:00</x:v>
      </x:c>
      <x:c r="P27" s="117" t="str">
        <x:v>Complete</x:v>
      </x:c>
      <x:c r="Q27" s="117"/>
      <x:c r="R27" s="117" t="str">
        <x:f t="shared" si="0">IF(J27="","Missing Link",IF(AND(ISNUMBER(SEARCH("google.com/maps",J27)),ISERROR(SEARCH(";",J27))),"Discovery Link Only","Source Link Present"))</x:f>
        <x:v>Discovery Link Only</x:v>
      </x:c>
      <x:c r="S27" s="117" t="str">
        <x:v>Unknown</x:v>
      </x:c>
      <x:c r="T27" s="117" t="str">
        <x:v>Unknown</x:v>
      </x:c>
      <x:c r="U27" s="117" t="str">
        <x:v>Unknown</x:v>
      </x:c>
      <x:c r="V27" s="117" t="str">
        <x:v>Unknown</x:v>
      </x:c>
      <x:c r="W27" s="117" t="str">
        <x:v>Unknown</x:v>
      </x:c>
      <x:c r="X27" s="117" t="str">
        <x:v>Unknown</x:v>
      </x:c>
      <x:c r="Y27" s="117" t="str">
        <x:v>Unknown</x:v>
      </x:c>
      <x:c r="Z27" s="117"/>
      <x:c r="AA27" s="117" t="str">
        <x:v>Pending evidence</x:v>
      </x:c>
      <x:c r="AB27" s="117"/>
      <x:c r="AC27" s="117" t="str">
        <x:v>No qualifying accessibility conclusion established from the screened sources. This is unknown, not evidence that the attraction is inaccessible.</x:v>
      </x:c>
      <x:c r="AD27" s="117" t="str">
        <x:v>2026-09-08</x:v>
      </x:c>
      <x:c r="AE27" s="117" t="str">
        <x:v>MC0024</x:v>
      </x:c>
      <x:c r="AF27" s="117" t="str">
        <x:v>Distinct candidate</x:v>
      </x:c>
      <x:c r="AG27" s="117" t="str"/>
      <x:c r="AH27" s="117" t="str">
        <x:v>Name corroborated in source</x:v>
      </x:c>
      <x:c r="AI27" s="117" t="str">
        <x:v>https://ebrochures.malaysia.travel/en/malaysia-travel-guide/johor/</x:v>
      </x:c>
      <x:c r="AJ27" s="117" t="str">
        <x:v>Place name or established alias matched in the cited source. This is not confirmation of current opening, all visitor facilities or the full description.</x:v>
      </x:c>
      <x:c r="AK27" s="117" t="str">
        <x:v>Not independently confirmed</x:v>
      </x:c>
      <x:c r="AL27" s="117" t="str">
        <x:v>Screened sources; accessibility unresolved</x:v>
      </x:c>
      <x:c r="AM27" s="117" t="str">
        <x:v>2026-09-08</x:v>
      </x:c>
      <x:c r="AN27" s="117" t="str">
        <x:v>https://thumb.wikimedia.org/wikipedia/commons/thumb/b/bd/Danau_Bawah_Taman_Nasional_Zamrud.jpg/1280px-Danau_Bawah_Taman_Nasional_Zamrud.jpg?utm_source=commons.wikimedia.org&amp;utm_campaign=imageinfo&amp;utm_content=thumbnail</x:v>
      </x:c>
      <x:c r="AO27" s="117" t="str">
        <x:v>https://thumb.wikimedia.org/wikipedia/commons/thumb/7/7d/KPD26_RyVisual_Peringkat_Keanekaragaman_Spesies_Indonesia.png/1280px-KPD26_RyVisual_Peringkat_Keanekaragaman_Spesies_Indonesia.png?utm_source=commons.wikimedia.org&amp;utm_campaign=imageinfo&amp;utm_content=thumbnail</x:v>
      </x:c>
      <x:c r="AP27" s="117" t="str">
        <x:v>2 metadata-matched images; visual review pending</x:v>
      </x:c>
      <x:c r="AQ27" s="117"/>
    </x:row>
    <x:row r="28" ht="66" customHeight="1">
      <x:c r="A28" s="117" t="str">
        <x:v>MC0025</x:v>
      </x:c>
      <x:c r="B28" s="117" t="str">
        <x:v>Air Papan Beach</x:v>
      </x:c>
      <x:c r="C28" s="117" t="str">
        <x:v>Johor</x:v>
      </x:c>
      <x:c r="D28" s="117" t="str">
        <x:v>Mersing</x:v>
      </x:c>
      <x:c r="E28" s="117" t="str">
        <x:v>Beach and Island</x:v>
      </x:c>
      <x:c r="F28" s="117" t="str">
        <x:v>Local</x:v>
      </x:c>
      <x:c r="G28" s="117" t="str">
        <x:v>Outdoor</x:v>
      </x:c>
      <x:c r="H28" s="117" t="str">
        <x:v>beach; picnic; village</x:v>
      </x:c>
      <x:c r="I28" s="117" t="str">
        <x:v>A long sandy beach near Mersing town popular with local day-trippers and campers.</x:v>
      </x:c>
      <x:c r="J28" s="117" t="str">
        <x:v>https://www.google.com/maps/search/?api=1&amp;query=Air%20Papan%20Beach%2C%20Johor%2C%20Malaysia</x:v>
      </x:c>
      <x:c r="K28" s="117" t="str">
        <x:v>https://ebrochures.malaysia.travel/en/malaysia-travel-guide/johor/</x:v>
      </x:c>
      <x:c r="L28" s="117" t="str">
        <x:v>Tourism Malaysia state guide plus map discovery link</x:v>
      </x:c>
      <x:c r="M28" s="117" t="str">
        <x:v>Johor expansion batch</x:v>
      </x:c>
      <x:c r="N28" s="117"/>
      <x:c r="O28" s="117" t="str">
        <x:v>2026-08-15 00:00:00</x:v>
      </x:c>
      <x:c r="P28" s="117" t="str">
        <x:v>Complete</x:v>
      </x:c>
      <x:c r="Q28" s="117"/>
      <x:c r="R28" s="117" t="str">
        <x:f t="shared" si="0">IF(J28="","Missing Link",IF(AND(ISNUMBER(SEARCH("google.com/maps",J28)),ISERROR(SEARCH(";",J28))),"Discovery Link Only","Source Link Present"))</x:f>
        <x:v>Discovery Link Only</x:v>
      </x:c>
      <x:c r="S28" s="117" t="str">
        <x:v>Unknown</x:v>
      </x:c>
      <x:c r="T28" s="117" t="str">
        <x:v>Unknown</x:v>
      </x:c>
      <x:c r="U28" s="117" t="str">
        <x:v>Unknown</x:v>
      </x:c>
      <x:c r="V28" s="117" t="str">
        <x:v>Unknown</x:v>
      </x:c>
      <x:c r="W28" s="117" t="str">
        <x:v>Unknown</x:v>
      </x:c>
      <x:c r="X28" s="117" t="str">
        <x:v>Unknown</x:v>
      </x:c>
      <x:c r="Y28" s="117" t="str">
        <x:v>Unknown</x:v>
      </x:c>
      <x:c r="Z28" s="117"/>
      <x:c r="AA28" s="117" t="str">
        <x:v>Pending evidence</x:v>
      </x:c>
      <x:c r="AB28" s="117"/>
      <x:c r="AC28" s="117" t="str">
        <x:v>No qualifying accessibility conclusion established from the screened sources. This is unknown, not evidence that the attraction is inaccessible.</x:v>
      </x:c>
      <x:c r="AD28" s="117" t="str">
        <x:v>2026-09-08</x:v>
      </x:c>
      <x:c r="AE28" s="117" t="str">
        <x:v>MC0025</x:v>
      </x:c>
      <x:c r="AF28" s="117" t="str">
        <x:v>Distinct candidate</x:v>
      </x:c>
      <x:c r="AG28" s="117" t="str"/>
      <x:c r="AH28" s="117" t="str">
        <x:v>Name corroborated in source</x:v>
      </x:c>
      <x:c r="AI28" s="117" t="str">
        <x:v>https://ebrochures.malaysia.travel/en/malaysia-travel-guide/johor/</x:v>
      </x:c>
      <x:c r="AJ28" s="117" t="str">
        <x:v>Place name or established alias matched in the cited source. This is not confirmation of current opening, all visitor facilities or the full description.</x:v>
      </x:c>
      <x:c r="AK28" s="117" t="str">
        <x:v>Not independently confirmed</x:v>
      </x:c>
      <x:c r="AL28" s="117" t="str">
        <x:v>Screened sources; accessibility unresolved</x:v>
      </x:c>
      <x:c r="AM28" s="117" t="str">
        <x:v>2026-09-08</x:v>
      </x:c>
      <x:c r="AN28" s="117" t="str">
        <x:v>https://thumb.wikimedia.org/wikipedia/commons/thumb/c/c1/Air_papan.jpeg/1280px-Air_papan.jpeg?utm_source=commons.wikimedia.org&amp;utm_campaign=imageinfo&amp;utm_content=thumbnail</x:v>
      </x:c>
      <x:c r="AO28" s="117" t="str">
        <x:v>https://thumb.wikimedia.org/wikipedia/commons/thumb/b/b1/Pantai_Air_Papan%2C_Kampung_Air_Papan_Laut_20221219_183407.jpg/1280px-Pantai_Air_Papan%2C_Kampung_Air_Papan_Laut_20221219_183407.jpg?utm_source=commons.wikimedia.org&amp;utm_campaign=imageinfo&amp;utm_content=thumbnail</x:v>
      </x:c>
      <x:c r="AP28" s="117" t="str">
        <x:v>2 metadata-matched images; visual review pending</x:v>
      </x:c>
      <x:c r="AQ28" s="117"/>
    </x:row>
    <x:row r="29" ht="66" customHeight="1">
      <x:c r="A29" s="117" t="str">
        <x:v>MC0026</x:v>
      </x:c>
      <x:c r="B29" s="117" t="str">
        <x:v>Gunung Arong Recreational Forest</x:v>
      </x:c>
      <x:c r="C29" s="117" t="str">
        <x:v>Johor</x:v>
      </x:c>
      <x:c r="D29" s="117" t="str">
        <x:v>Mersing</x:v>
      </x:c>
      <x:c r="E29" s="117" t="str">
        <x:v>Nature</x:v>
      </x:c>
      <x:c r="F29" s="117" t="str">
        <x:v>Rural</x:v>
      </x:c>
      <x:c r="G29" s="117" t="str">
        <x:v>Outdoor</x:v>
      </x:c>
      <x:c r="H29" s="117" t="str">
        <x:v>hiking; forest; summit</x:v>
      </x:c>
      <x:c r="I29" s="117" t="str">
        <x:v>A coastal forest reserve near Mersing with a short hiking trail leading to a sea-view summit.</x:v>
      </x:c>
      <x:c r="J29" s="117" t="str">
        <x:v>https://www.google.com/maps/search/?api=1&amp;query=Gunung%20Arong%20Recreational%20Forest%2C%20Johor%2C%20Malaysia</x:v>
      </x:c>
      <x:c r="K29" s="117" t="str">
        <x:v>https://ebrochures.malaysia.travel/en/malaysia-travel-guide/johor/</x:v>
      </x:c>
      <x:c r="L29" s="117" t="str">
        <x:v>Tourism Malaysia state guide plus map discovery link</x:v>
      </x:c>
      <x:c r="M29" s="117" t="str">
        <x:v>Johor expansion batch</x:v>
      </x:c>
      <x:c r="N29" s="117"/>
      <x:c r="O29" s="117" t="str">
        <x:v>2026-08-15 00:00:00</x:v>
      </x:c>
      <x:c r="P29" s="117" t="str">
        <x:v>Complete</x:v>
      </x:c>
      <x:c r="Q29" s="117"/>
      <x:c r="R29" s="117" t="str">
        <x:f t="shared" si="0">IF(J29="","Missing Link",IF(AND(ISNUMBER(SEARCH("google.com/maps",J29)),ISERROR(SEARCH(";",J29))),"Discovery Link Only","Source Link Present"))</x:f>
        <x:v>Discovery Link Only</x:v>
      </x:c>
      <x:c r="S29" s="117" t="str">
        <x:v>Unknown</x:v>
      </x:c>
      <x:c r="T29" s="117" t="str">
        <x:v>Unknown</x:v>
      </x:c>
      <x:c r="U29" s="117" t="str">
        <x:v>Unknown</x:v>
      </x:c>
      <x:c r="V29" s="117" t="str">
        <x:v>Unknown</x:v>
      </x:c>
      <x:c r="W29" s="117" t="str">
        <x:v>Unknown</x:v>
      </x:c>
      <x:c r="X29" s="117" t="str">
        <x:v>Unknown</x:v>
      </x:c>
      <x:c r="Y29" s="117" t="str">
        <x:v>Unknown</x:v>
      </x:c>
      <x:c r="Z29" s="117"/>
      <x:c r="AA29" s="117" t="str">
        <x:v>Pending evidence</x:v>
      </x:c>
      <x:c r="AB29" s="117"/>
      <x:c r="AC29" s="117" t="str">
        <x:v>No qualifying accessibility conclusion established from the screened sources. This is unknown, not evidence that the attraction is inaccessible.</x:v>
      </x:c>
      <x:c r="AD29" s="117" t="str">
        <x:v>2026-09-08</x:v>
      </x:c>
      <x:c r="AE29" s="117" t="str">
        <x:v>MC0026</x:v>
      </x:c>
      <x:c r="AF29" s="117" t="str">
        <x:v>Distinct candidate</x:v>
      </x:c>
      <x:c r="AG29" s="117" t="str"/>
      <x:c r="AH29" s="117" t="str">
        <x:v>Name corroborated in source</x:v>
      </x:c>
      <x:c r="AI29" s="117" t="str">
        <x:v>https://ebrochures.malaysia.travel/en/malaysia-travel-guide/johor/</x:v>
      </x:c>
      <x:c r="AJ29" s="117" t="str">
        <x:v>Place name or established alias matched in the cited source. This is not confirmation of current opening, all visitor facilities or the full description.</x:v>
      </x:c>
      <x:c r="AK29" s="117" t="str">
        <x:v>Not independently confirmed</x:v>
      </x:c>
      <x:c r="AL29" s="117" t="str">
        <x:v>Screened sources; accessibility unresolved</x:v>
      </x:c>
      <x:c r="AM29" s="117" t="str">
        <x:v>2026-09-08</x:v>
      </x:c>
      <x:c r="AN29" s="117"/>
      <x:c r="AO29" s="117"/>
      <x:c r="AP29" s="117" t="str">
        <x:v>No usable pair located; image research pending</x:v>
      </x:c>
      <x:c r="AQ29" s="117"/>
    </x:row>
    <x:row r="30" ht="66" customHeight="1">
      <x:c r="A30" s="117" t="str">
        <x:v>MC0027</x:v>
      </x:c>
      <x:c r="B30" s="117" t="str">
        <x:v>Kukup Fishing Village</x:v>
      </x:c>
      <x:c r="C30" s="117" t="str">
        <x:v>Johor</x:v>
      </x:c>
      <x:c r="D30" s="117" t="str">
        <x:v>Pontian</x:v>
      </x:c>
      <x:c r="E30" s="117" t="str">
        <x:v>Culture</x:v>
      </x:c>
      <x:c r="F30" s="117" t="str">
        <x:v>Local</x:v>
      </x:c>
      <x:c r="G30" s="117" t="str">
        <x:v>Both</x:v>
      </x:c>
      <x:c r="H30" s="117" t="str">
        <x:v>fishing village; seafood; stilt houses</x:v>
      </x:c>
      <x:c r="I30" s="117" t="str">
        <x:v>A stilt fishing village in Pontian district known for seafood restaurants built out over the water.</x:v>
      </x:c>
      <x:c r="J30" s="117" t="str">
        <x:v>https://www.google.com/maps/search/?api=1&amp;query=Kukup%20Fishing%20Village%2C%20Johor%2C%20Malaysia</x:v>
      </x:c>
      <x:c r="K30" s="117" t="str">
        <x:v>https://ebrochures.malaysia.travel/en/malaysia-travel-guide/johor/</x:v>
      </x:c>
      <x:c r="L30" s="117" t="str">
        <x:v>Tourism Malaysia state guide plus map discovery link</x:v>
      </x:c>
      <x:c r="M30" s="117" t="str">
        <x:v>Johor expansion batch</x:v>
      </x:c>
      <x:c r="N30" s="117"/>
      <x:c r="O30" s="117" t="str">
        <x:v>2026-08-15 00:00:00</x:v>
      </x:c>
      <x:c r="P30" s="117" t="str">
        <x:v>Complete</x:v>
      </x:c>
      <x:c r="Q30" s="117" t="str">
        <x:v>Identity and Malaysian location verified in second-pass review on 2026-09-08.</x:v>
      </x:c>
      <x:c r="R30" s="117" t="str">
        <x:f t="shared" si="0">IF(J30="","Missing Link",IF(AND(ISNUMBER(SEARCH("google.com/maps",J30)),ISERROR(SEARCH(";",J30))),"Discovery Link Only","Source Link Present"))</x:f>
        <x:v>Discovery Link Only</x:v>
      </x:c>
      <x:c r="S30" s="117" t="str">
        <x:v>Unknown</x:v>
      </x:c>
      <x:c r="T30" s="117" t="str">
        <x:v>Unknown</x:v>
      </x:c>
      <x:c r="U30" s="117" t="str">
        <x:v>Unknown</x:v>
      </x:c>
      <x:c r="V30" s="117" t="str">
        <x:v>Unknown</x:v>
      </x:c>
      <x:c r="W30" s="117" t="str">
        <x:v>Unknown</x:v>
      </x:c>
      <x:c r="X30" s="117" t="str">
        <x:v>Unknown</x:v>
      </x:c>
      <x:c r="Y30" s="117" t="str">
        <x:v>Unknown</x:v>
      </x:c>
      <x:c r="Z30" s="117"/>
      <x:c r="AA30" s="117" t="str">
        <x:v>Pending evidence</x:v>
      </x:c>
      <x:c r="AB30" s="117"/>
      <x:c r="AC30" s="117" t="str">
        <x:v>No qualifying accessibility conclusion established from the screened sources. This is unknown, not evidence that the attraction is inaccessible.</x:v>
      </x:c>
      <x:c r="AD30" s="117" t="str">
        <x:v>2026-09-08</x:v>
      </x:c>
      <x:c r="AE30" s="117" t="str">
        <x:v>MC0027</x:v>
      </x:c>
      <x:c r="AF30" s="117" t="str">
        <x:v>Distinct candidate</x:v>
      </x:c>
      <x:c r="AG30" s="117" t="str"/>
      <x:c r="AH30" s="117" t="str">
        <x:v>Identity and location corroborated</x:v>
      </x:c>
      <x:c r="AI30" s="117" t="str">
        <x:v>https://mppn.gov.my/en/node/485</x:v>
      </x:c>
      <x:c r="AJ30" s="117" t="str">
        <x:v>Official municipal source matches the attraction name or established alias and the stated Malaysian location. This verifies identity/location only; confirm current opening and accessibility separately.</x:v>
      </x:c>
      <x:c r="AK30" s="117" t="str">
        <x:v>Not independently confirmed</x:v>
      </x:c>
      <x:c r="AL30" s="117" t="str">
        <x:v>Screened sources; accessibility unresolved</x:v>
      </x:c>
      <x:c r="AM30" s="117" t="str">
        <x:v>2026-09-08</x:v>
      </x:c>
      <x:c r="AN30" s="117"/>
      <x:c r="AO30" s="117"/>
      <x:c r="AP30" s="117" t="str">
        <x:v>No usable pair located; image research pending</x:v>
      </x:c>
      <x:c r="AQ30" s="117"/>
    </x:row>
    <x:row r="31" ht="66" customHeight="1">
      <x:c r="A31" s="117" t="str">
        <x:v>MC0028</x:v>
      </x:c>
      <x:c r="B31" s="117" t="str">
        <x:v>Pulau Kukup National Park</x:v>
      </x:c>
      <x:c r="C31" s="117" t="str">
        <x:v>Johor</x:v>
      </x:c>
      <x:c r="D31" s="117" t="str">
        <x:v>Pontian</x:v>
      </x:c>
      <x:c r="E31" s="117" t="str">
        <x:v>Nature</x:v>
      </x:c>
      <x:c r="F31" s="117" t="str">
        <x:v>Underrated</x:v>
      </x:c>
      <x:c r="G31" s="117" t="str">
        <x:v>Outdoor</x:v>
      </x:c>
      <x:c r="H31" s="117" t="str">
        <x:v>mangrove; island; boardwalk</x:v>
      </x:c>
      <x:c r="I31" s="117" t="str">
        <x:v>One of the world's largest uninhabited mangrove islands, a Ramsar-listed wetland site off Pontian.</x:v>
      </x:c>
      <x:c r="J31" s="117" t="str">
        <x:v>https://www.google.com/maps/search/?api=1&amp;query=Pulau%20Kukup%20National%20Park%2C%20Johor%2C%20Malaysia</x:v>
      </x:c>
      <x:c r="K31" s="117" t="str">
        <x:v>https://ebrochures.malaysia.travel/en/malaysia-travel-guide/johor/</x:v>
      </x:c>
      <x:c r="L31" s="117" t="str">
        <x:v>Tourism Malaysia state guide plus map discovery link</x:v>
      </x:c>
      <x:c r="M31" s="117" t="str">
        <x:v>Johor expansion batch</x:v>
      </x:c>
      <x:c r="N31" s="117"/>
      <x:c r="O31" s="117" t="str">
        <x:v>2026-08-15 00:00:00</x:v>
      </x:c>
      <x:c r="P31" s="117" t="str">
        <x:v>Complete</x:v>
      </x:c>
      <x:c r="Q31" s="117"/>
      <x:c r="R31" s="117" t="str">
        <x:f t="shared" si="0">IF(J31="","Missing Link",IF(AND(ISNUMBER(SEARCH("google.com/maps",J31)),ISERROR(SEARCH(";",J31))),"Discovery Link Only","Source Link Present"))</x:f>
        <x:v>Discovery Link Only</x:v>
      </x:c>
      <x:c r="S31" s="117" t="str">
        <x:v>Unknown</x:v>
      </x:c>
      <x:c r="T31" s="117" t="str">
        <x:v>Unknown</x:v>
      </x:c>
      <x:c r="U31" s="117" t="str">
        <x:v>Unknown</x:v>
      </x:c>
      <x:c r="V31" s="117" t="str">
        <x:v>Unknown</x:v>
      </x:c>
      <x:c r="W31" s="117" t="str">
        <x:v>Unknown</x:v>
      </x:c>
      <x:c r="X31" s="117" t="str">
        <x:v>Unknown</x:v>
      </x:c>
      <x:c r="Y31" s="117" t="str">
        <x:v>Unknown</x:v>
      </x:c>
      <x:c r="Z31" s="117"/>
      <x:c r="AA31" s="117" t="str">
        <x:v>Pending evidence</x:v>
      </x:c>
      <x:c r="AB31" s="117"/>
      <x:c r="AC31" s="117" t="str">
        <x:v>No qualifying accessibility conclusion established from the screened sources. This is unknown, not evidence that the attraction is inaccessible.</x:v>
      </x:c>
      <x:c r="AD31" s="117" t="str">
        <x:v>2026-09-08</x:v>
      </x:c>
      <x:c r="AE31" s="117" t="str">
        <x:v>MC0028</x:v>
      </x:c>
      <x:c r="AF31" s="117" t="str">
        <x:v>Distinct candidate</x:v>
      </x:c>
      <x:c r="AG31" s="117" t="str"/>
      <x:c r="AH31" s="117" t="str">
        <x:v>Name corroborated in source</x:v>
      </x:c>
      <x:c r="AI31" s="117" t="str">
        <x:v>https://ebrochures.malaysia.travel/en/malaysia-travel-guide/johor/</x:v>
      </x:c>
      <x:c r="AJ31" s="117" t="str">
        <x:v>Place name or established alias matched in the cited source. This is not confirmation of current opening, all visitor facilities or the full description.</x:v>
      </x:c>
      <x:c r="AK31" s="117" t="str">
        <x:v>Not independently confirmed</x:v>
      </x:c>
      <x:c r="AL31" s="117" t="str">
        <x:v>Screened sources; accessibility unresolved</x:v>
      </x:c>
      <x:c r="AM31" s="117" t="str">
        <x:v>2026-09-08</x:v>
      </x:c>
      <x:c r="AN31" s="117" t="str">
        <x:v>https://thumb.wikimedia.org/wikipedia/commons/thumb/a/a4/Crab-eating_macaque_juveniles%2C_Pulau_Kukup_National_Park.jpg/1280px-Crab-eating_macaque_juveniles%2C_Pulau_Kukup_National_Park.jpg?utm_source=commons.wikimedia.org&amp;utm_campaign=imageinfo&amp;utm_content=thumbnail</x:v>
      </x:c>
      <x:c r="AO31" s="117"/>
      <x:c r="AP31" s="117" t="str">
        <x:v>1 metadata-matched images; visual review pending</x:v>
      </x:c>
      <x:c r="AQ31" s="117"/>
    </x:row>
    <x:row r="32" ht="66" customHeight="1">
      <x:c r="A32" s="117" t="str">
        <x:v>MC0029</x:v>
      </x:c>
      <x:c r="B32" s="117" t="str">
        <x:v>Pantai Minyak Beku</x:v>
      </x:c>
      <x:c r="C32" s="117" t="str">
        <x:v>Johor</x:v>
      </x:c>
      <x:c r="D32" s="117" t="str">
        <x:v>Batu Pahat</x:v>
      </x:c>
      <x:c r="E32" s="117" t="str">
        <x:v>Beach and Island</x:v>
      </x:c>
      <x:c r="F32" s="117" t="str">
        <x:v>Local</x:v>
      </x:c>
      <x:c r="G32" s="117" t="str">
        <x:v>Outdoor</x:v>
      </x:c>
      <x:c r="H32" s="117" t="str">
        <x:v>coast; local history; sunset</x:v>
      </x:c>
      <x:c r="I32" s="117" t="str">
        <x:v>A beach along the Batu Pahat coastline known locally for its calm waters.</x:v>
      </x:c>
      <x:c r="J32" s="117" t="str">
        <x:v>https://www.google.com/maps/search/?api=1&amp;query=Pantai%20Minyak%20Beku%2C%20Johor%2C%20Malaysia</x:v>
      </x:c>
      <x:c r="K32" s="117" t="str">
        <x:v>https://ebrochures.malaysia.travel/en/malaysia-travel-guide/johor/</x:v>
      </x:c>
      <x:c r="L32" s="117" t="str">
        <x:v>Tourism Malaysia state guide plus map discovery link</x:v>
      </x:c>
      <x:c r="M32" s="117" t="str">
        <x:v>Johor expansion batch</x:v>
      </x:c>
      <x:c r="N32" s="117"/>
      <x:c r="O32" s="117" t="str">
        <x:v>2026-08-15 00:00:00</x:v>
      </x:c>
      <x:c r="P32" s="117" t="str">
        <x:v>Complete</x:v>
      </x:c>
      <x:c r="Q32" s="117" t="str">
        <x:v>Identity and Malaysian location verified in second-pass review on 2026-09-08.</x:v>
      </x:c>
      <x:c r="R32" s="117" t="str">
        <x:f t="shared" si="0">IF(J32="","Missing Link",IF(AND(ISNUMBER(SEARCH("google.com/maps",J32)),ISERROR(SEARCH(";",J32))),"Discovery Link Only","Source Link Present"))</x:f>
        <x:v>Discovery Link Only</x:v>
      </x:c>
      <x:c r="S32" s="117" t="str">
        <x:v>Unknown</x:v>
      </x:c>
      <x:c r="T32" s="117" t="str">
        <x:v>Unknown</x:v>
      </x:c>
      <x:c r="U32" s="117" t="str">
        <x:v>Unknown</x:v>
      </x:c>
      <x:c r="V32" s="117" t="str">
        <x:v>Unknown</x:v>
      </x:c>
      <x:c r="W32" s="117" t="str">
        <x:v>Unknown</x:v>
      </x:c>
      <x:c r="X32" s="117" t="str">
        <x:v>Unknown</x:v>
      </x:c>
      <x:c r="Y32" s="117" t="str">
        <x:v>Unknown</x:v>
      </x:c>
      <x:c r="Z32" s="117"/>
      <x:c r="AA32" s="117" t="str">
        <x:v>Pending evidence</x:v>
      </x:c>
      <x:c r="AB32" s="117"/>
      <x:c r="AC32" s="117" t="str">
        <x:v>No qualifying accessibility conclusion established from the screened sources. This is unknown, not evidence that the attraction is inaccessible.</x:v>
      </x:c>
      <x:c r="AD32" s="117" t="str">
        <x:v>2026-09-08</x:v>
      </x:c>
      <x:c r="AE32" s="117" t="str">
        <x:v>MC0029</x:v>
      </x:c>
      <x:c r="AF32" s="117" t="str">
        <x:v>Distinct candidate</x:v>
      </x:c>
      <x:c r="AG32" s="117" t="str"/>
      <x:c r="AH32" s="117" t="str">
        <x:v>Identity and location corroborated</x:v>
      </x:c>
      <x:c r="AI32" s="117" t="str">
        <x:v>https://www.openstreetmap.org/relation/12909783</x:v>
      </x:c>
      <x:c r="AJ32" s="117" t="str">
        <x:v>Mapped source matches the attraction name or established alias and the stated Malaysian location. This verifies identity/location only; confirm current opening and accessibility separately.</x:v>
      </x:c>
      <x:c r="AK32" s="117" t="str">
        <x:v>Not independently confirmed</x:v>
      </x:c>
      <x:c r="AL32" s="117" t="str">
        <x:v>Screened sources; accessibility unresolved</x:v>
      </x:c>
      <x:c r="AM32" s="117" t="str">
        <x:v>2026-09-08</x:v>
      </x:c>
      <x:c r="AN32" s="117" t="str">
        <x:v>https://thumb.wikimedia.org/wikipedia/commons/thumb/4/4f/Minyak_Beku_1.jpg/1280px-Minyak_Beku_1.jpg?utm_source=commons.wikimedia.org&amp;utm_campaign=imageinfo&amp;utm_content=thumbnail</x:v>
      </x:c>
      <x:c r="AO32" s="117" t="str">
        <x:v>https://thumb.wikimedia.org/wikipedia/commons/thumb/7/78/Unnamed_Road%2C_83000_Senggarang%2C_Johor%2C_Malaysia_-_panoramio_%281%29.jpg/1280px-Unnamed_Road%2C_83000_Senggarang%2C_Johor%2C_Malaysia_-_panoramio_%281%29.jpg?utm_source=commons.wikimedia.org&amp;utm_campaign=imageinfo&amp;utm_content=thumbnail</x:v>
      </x:c>
      <x:c r="AP32" s="117" t="str">
        <x:v>2 metadata-matched images; visual review pending</x:v>
      </x:c>
      <x:c r="AQ32" s="117"/>
    </x:row>
    <x:row r="33" ht="66" customHeight="1">
      <x:c r="A33" s="117" t="str">
        <x:v>MC0030</x:v>
      </x:c>
      <x:c r="B33" s="117" t="str">
        <x:v>Chong Long Gong Temple</x:v>
      </x:c>
      <x:c r="C33" s="117" t="str">
        <x:v>Johor</x:v>
      </x:c>
      <x:c r="D33" s="117" t="str">
        <x:v>Batu Pahat</x:v>
      </x:c>
      <x:c r="E33" s="117" t="str">
        <x:v>Religious Site</x:v>
      </x:c>
      <x:c r="F33" s="117" t="str">
        <x:v>Underrated</x:v>
      </x:c>
      <x:c r="G33" s="117" t="str">
        <x:v>Both</x:v>
      </x:c>
      <x:c r="H33" s="117" t="str">
        <x:v>temple; culture; riverside</x:v>
      </x:c>
      <x:c r="I33" s="117" t="str">
        <x:v>A Chinese temple in Batu Pahat district serving the local community.</x:v>
      </x:c>
      <x:c r="J33" s="117" t="str">
        <x:v>https://www.google.com/maps/search/?api=1&amp;query=Chong%20Long%20Gong%20Temple%2C%20Johor%2C%20Malaysia</x:v>
      </x:c>
      <x:c r="K33" s="117" t="str">
        <x:v>https://ebrochures.malaysia.travel/en/malaysia-travel-guide/johor/</x:v>
      </x:c>
      <x:c r="L33" s="117" t="str">
        <x:v>Tourism Malaysia state guide plus map discovery link</x:v>
      </x:c>
      <x:c r="M33" s="117" t="str">
        <x:v>Johor expansion batch</x:v>
      </x:c>
      <x:c r="N33" s="117"/>
      <x:c r="O33" s="117" t="str">
        <x:v>2026-08-15 00:00:00</x:v>
      </x:c>
      <x:c r="P33" s="117" t="str">
        <x:v>Complete</x:v>
      </x:c>
      <x:c r="Q33" s="117" t="str">
        <x:v>Identity and Malaysian location verified in second-pass review on 2026-09-08.</x:v>
      </x:c>
      <x:c r="R33" s="117" t="str">
        <x:f t="shared" si="0">IF(J33="","Missing Link",IF(AND(ISNUMBER(SEARCH("google.com/maps",J33)),ISERROR(SEARCH(";",J33))),"Discovery Link Only","Source Link Present"))</x:f>
        <x:v>Discovery Link Only</x:v>
      </x:c>
      <x:c r="S33" s="117" t="str">
        <x:v>Unknown</x:v>
      </x:c>
      <x:c r="T33" s="117" t="str">
        <x:v>Unknown</x:v>
      </x:c>
      <x:c r="U33" s="117" t="str">
        <x:v>Unknown</x:v>
      </x:c>
      <x:c r="V33" s="117" t="str">
        <x:v>Unknown</x:v>
      </x:c>
      <x:c r="W33" s="117" t="str">
        <x:v>Unknown</x:v>
      </x:c>
      <x:c r="X33" s="117" t="str">
        <x:v>Unknown</x:v>
      </x:c>
      <x:c r="Y33" s="117" t="str">
        <x:v>Unknown</x:v>
      </x:c>
      <x:c r="Z33" s="117"/>
      <x:c r="AA33" s="117" t="str">
        <x:v>Pending evidence</x:v>
      </x:c>
      <x:c r="AB33" s="117"/>
      <x:c r="AC33" s="117" t="str">
        <x:v>No qualifying accessibility conclusion established from the screened sources. This is unknown, not evidence that the attraction is inaccessible.</x:v>
      </x:c>
      <x:c r="AD33" s="117" t="str">
        <x:v>2026-09-08</x:v>
      </x:c>
      <x:c r="AE33" s="117" t="str">
        <x:v>MC0030</x:v>
      </x:c>
      <x:c r="AF33" s="117" t="str">
        <x:v>Distinct candidate</x:v>
      </x:c>
      <x:c r="AG33" s="117" t="str"/>
      <x:c r="AH33" s="117" t="str">
        <x:v>Identity and location corroborated</x:v>
      </x:c>
      <x:c r="AI33" s="117" t="str">
        <x:v>https://visitjohor2026.my/ms/listing/chong-long-gong-temple/</x:v>
      </x:c>
      <x:c r="AJ33" s="117" t="str">
        <x:v>Official state tourism source matches the attraction name or established alias and the stated Malaysian location. This verifies identity/location only; confirm current opening and accessibility separately.</x:v>
      </x:c>
      <x:c r="AK33" s="117" t="str">
        <x:v>Not independently confirmed</x:v>
      </x:c>
      <x:c r="AL33" s="117" t="str">
        <x:v>Screened sources; accessibility unresolved</x:v>
      </x:c>
      <x:c r="AM33" s="117" t="str">
        <x:v>2026-09-08</x:v>
      </x:c>
      <x:c r="AN33" s="117" t="str">
        <x:v>https://thumb.wikimedia.org/wikipedia/commons/thumb/5/54/Chong_Long_Gong_Temple.jpg/1280px-Chong_Long_Gong_Temple.jpg?utm_source=commons.wikimedia.org&amp;utm_campaign=imageinfo&amp;utm_content=thumbnail</x:v>
      </x:c>
      <x:c r="AO33" s="117"/>
      <x:c r="AP33" s="117" t="str">
        <x:v>1 metadata-matched images; visual review pending</x:v>
      </x:c>
      <x:c r="AQ33" s="117"/>
    </x:row>
    <x:row r="34" ht="66" customHeight="1">
      <x:c r="A34" s="117" t="str">
        <x:v>MC0031</x:v>
      </x:c>
      <x:c r="B34" s="117" t="str">
        <x:v>Tanjung Emas Park</x:v>
      </x:c>
      <x:c r="C34" s="117" t="str">
        <x:v>Johor</x:v>
      </x:c>
      <x:c r="D34" s="117" t="str">
        <x:v>Muar</x:v>
      </x:c>
      <x:c r="E34" s="117" t="str">
        <x:v>Park and Recreation</x:v>
      </x:c>
      <x:c r="F34" s="117" t="str">
        <x:v>Local</x:v>
      </x:c>
      <x:c r="G34" s="117" t="str">
        <x:v>Outdoor</x:v>
      </x:c>
      <x:c r="H34" s="117" t="str">
        <x:v>riverfront; park; family</x:v>
      </x:c>
      <x:c r="I34" s="117" t="str">
        <x:v>A riverside park in Muar town along the banks of the Muar River.</x:v>
      </x:c>
      <x:c r="J34" s="117" t="str">
        <x:v>https://www.google.com/maps/search/?api=1&amp;query=Tanjung%20Emas%20Park%2C%20Johor%2C%20Malaysia</x:v>
      </x:c>
      <x:c r="K34" s="117" t="str">
        <x:v>https://ebrochures.malaysia.travel/en/malaysia-travel-guide/johor/</x:v>
      </x:c>
      <x:c r="L34" s="117" t="str">
        <x:v>Tourism Malaysia state guide plus map discovery link</x:v>
      </x:c>
      <x:c r="M34" s="117" t="str">
        <x:v>Johor expansion batch</x:v>
      </x:c>
      <x:c r="N34" s="117"/>
      <x:c r="O34" s="117" t="str">
        <x:v>2026-08-15 00:00:00</x:v>
      </x:c>
      <x:c r="P34" s="117" t="str">
        <x:v>Complete</x:v>
      </x:c>
      <x:c r="Q34" s="117" t="str">
        <x:v>Identity and Malaysian location verified in second-pass review on 2026-09-08.</x:v>
      </x:c>
      <x:c r="R34" s="117" t="str">
        <x:f t="shared" si="0">IF(J34="","Missing Link",IF(AND(ISNUMBER(SEARCH("google.com/maps",J34)),ISERROR(SEARCH(";",J34))),"Discovery Link Only","Source Link Present"))</x:f>
        <x:v>Discovery Link Only</x:v>
      </x:c>
      <x:c r="S34" s="117" t="str">
        <x:v>Unknown</x:v>
      </x:c>
      <x:c r="T34" s="117" t="str">
        <x:v>Unknown</x:v>
      </x:c>
      <x:c r="U34" s="117" t="str">
        <x:v>Unknown</x:v>
      </x:c>
      <x:c r="V34" s="117" t="str">
        <x:v>Unknown</x:v>
      </x:c>
      <x:c r="W34" s="117" t="str">
        <x:v>Unknown</x:v>
      </x:c>
      <x:c r="X34" s="117" t="str">
        <x:v>Unknown</x:v>
      </x:c>
      <x:c r="Y34" s="117" t="str">
        <x:v>Unknown</x:v>
      </x:c>
      <x:c r="Z34" s="117"/>
      <x:c r="AA34" s="117" t="str">
        <x:v>Pending evidence</x:v>
      </x:c>
      <x:c r="AB34" s="117"/>
      <x:c r="AC34" s="117" t="str">
        <x:v>No qualifying accessibility conclusion established from the screened sources. This is unknown, not evidence that the attraction is inaccessible.</x:v>
      </x:c>
      <x:c r="AD34" s="117" t="str">
        <x:v>2026-09-08</x:v>
      </x:c>
      <x:c r="AE34" s="117" t="str">
        <x:v>MC0031</x:v>
      </x:c>
      <x:c r="AF34" s="117" t="str">
        <x:v>Distinct candidate</x:v>
      </x:c>
      <x:c r="AG34" s="117" t="str"/>
      <x:c r="AH34" s="117" t="str">
        <x:v>Identity and location corroborated</x:v>
      </x:c>
      <x:c r="AI34" s="117" t="str">
        <x:v>https://www.openstreetmap.org/way/739544577</x:v>
      </x:c>
      <x:c r="AJ34" s="117" t="str">
        <x:v>Mapped source matches the attraction name or established alias and the stated Malaysian location. This verifies identity/location only; confirm current opening and accessibility separately.</x:v>
      </x:c>
      <x:c r="AK34" s="117" t="str">
        <x:v>Not independently confirmed</x:v>
      </x:c>
      <x:c r="AL34" s="117" t="str">
        <x:v>Screened sources; accessibility unresolved</x:v>
      </x:c>
      <x:c r="AM34" s="117" t="str">
        <x:v>2026-09-08</x:v>
      </x:c>
      <x:c r="AN34" s="117" t="str">
        <x:v>https://thumb.wikimedia.org/wikipedia/commons/thumb/f/fb/FRU_Mounted_Unit015.jpg/1280px-FRU_Mounted_Unit015.jpg?utm_source=commons.wikimedia.org&amp;utm_campaign=imageinfo&amp;utm_content=thumbnail</x:v>
      </x:c>
      <x:c r="AO34" s="117" t="str">
        <x:v>https://thumb.wikimedia.org/wikipedia/commons/thumb/7/7e/RMP_Traffic_Police_and_Bit_Servicemen.jpg/1280px-RMP_Traffic_Police_and_Bit_Servicemen.jpg?utm_source=commons.wikimedia.org&amp;utm_campaign=imageinfo&amp;utm_content=thumbnail</x:v>
      </x:c>
      <x:c r="AP34" s="117" t="str">
        <x:v>2 metadata-matched images; visual review pending</x:v>
      </x:c>
      <x:c r="AQ34" s="117"/>
    </x:row>
    <x:row r="35" ht="66" customHeight="1">
      <x:c r="A35" s="117" t="str">
        <x:v>MC0032</x:v>
      </x:c>
      <x:c r="B35" s="117" t="str">
        <x:v>Muar Cultural Walk</x:v>
      </x:c>
      <x:c r="C35" s="117" t="str">
        <x:v>Johor</x:v>
      </x:c>
      <x:c r="D35" s="117" t="str">
        <x:v>Muar</x:v>
      </x:c>
      <x:c r="E35" s="117" t="str">
        <x:v>Heritage and History</x:v>
      </x:c>
      <x:c r="F35" s="117" t="str">
        <x:v>Local</x:v>
      </x:c>
      <x:c r="G35" s="117" t="str">
        <x:v>Both</x:v>
      </x:c>
      <x:c r="H35" s="117" t="str">
        <x:v>street art; heritage; food</x:v>
      </x:c>
      <x:c r="I35" s="117" t="str">
        <x:v>A heritage walking trail through Muar's colonial-era shophouses and historic landmarks.</x:v>
      </x:c>
      <x:c r="J35" s="117" t="str">
        <x:v>https://www.google.com/maps/search/?api=1&amp;query=Muar%20Cultural%20Walk%2C%20Johor%2C%20Malaysia</x:v>
      </x:c>
      <x:c r="K35" s="117" t="str">
        <x:v>https://ebrochures.malaysia.travel/en/malaysia-travel-guide/johor/</x:v>
      </x:c>
      <x:c r="L35" s="117" t="str">
        <x:v>Tourism Malaysia state guide plus map discovery link</x:v>
      </x:c>
      <x:c r="M35" s="117" t="str">
        <x:v>Johor expansion batch</x:v>
      </x:c>
      <x:c r="N35" s="117"/>
      <x:c r="O35" s="117" t="str">
        <x:v>2026-08-15 00:00:00</x:v>
      </x:c>
      <x:c r="P35" s="117" t="str">
        <x:v>Complete</x:v>
      </x:c>
      <x:c r="Q35" s="117" t="str">
        <x:v>Identity and Malaysian location verified in second-pass review on 2026-09-08.</x:v>
      </x:c>
      <x:c r="R35" s="117" t="str">
        <x:f t="shared" si="0">IF(J35="","Missing Link",IF(AND(ISNUMBER(SEARCH("google.com/maps",J35)),ISERROR(SEARCH(";",J35))),"Discovery Link Only","Source Link Present"))</x:f>
        <x:v>Discovery Link Only</x:v>
      </x:c>
      <x:c r="S35" s="117" t="str">
        <x:v>Unknown</x:v>
      </x:c>
      <x:c r="T35" s="117" t="str">
        <x:v>Unknown</x:v>
      </x:c>
      <x:c r="U35" s="117" t="str">
        <x:v>Unknown</x:v>
      </x:c>
      <x:c r="V35" s="117" t="str">
        <x:v>Unknown</x:v>
      </x:c>
      <x:c r="W35" s="117" t="str">
        <x:v>Unknown</x:v>
      </x:c>
      <x:c r="X35" s="117" t="str">
        <x:v>Unknown</x:v>
      </x:c>
      <x:c r="Y35" s="117" t="str">
        <x:v>Unknown</x:v>
      </x:c>
      <x:c r="Z35" s="117"/>
      <x:c r="AA35" s="117" t="str">
        <x:v>Pending evidence</x:v>
      </x:c>
      <x:c r="AB35" s="117"/>
      <x:c r="AC35" s="117" t="str">
        <x:v>No qualifying accessibility conclusion established from the screened sources. This is unknown, not evidence that the attraction is inaccessible.</x:v>
      </x:c>
      <x:c r="AD35" s="117" t="str">
        <x:v>2026-09-08</x:v>
      </x:c>
      <x:c r="AE35" s="117" t="str">
        <x:v>MC0032</x:v>
      </x:c>
      <x:c r="AF35" s="117" t="str">
        <x:v>Distinct candidate</x:v>
      </x:c>
      <x:c r="AG35" s="117" t="str"/>
      <x:c r="AH35" s="117" t="str">
        <x:v>Identity and location corroborated</x:v>
      </x:c>
      <x:c r="AI35" s="117" t="str">
        <x:v>https://www.waze.com/live-map/directions/my/johor-darul-tazim/muar/muar-cultural-walk?to=place.ChIJWybmKAS50TER8GoadG1O-sc</x:v>
      </x:c>
      <x:c r="AJ35" s="117" t="str">
        <x:v>Mapped source matches the attraction name or established alias and the stated Malaysian location. This verifies identity/location only; confirm current opening and accessibility separately.</x:v>
      </x:c>
      <x:c r="AK35" s="117" t="str">
        <x:v>Not independently confirmed</x:v>
      </x:c>
      <x:c r="AL35" s="117" t="str">
        <x:v>Screened sources; accessibility unresolved</x:v>
      </x:c>
      <x:c r="AM35" s="117" t="str">
        <x:v>2026-09-08</x:v>
      </x:c>
      <x:c r="AN35" s="117"/>
      <x:c r="AO35" s="117"/>
      <x:c r="AP35" s="117" t="str">
        <x:v>No usable pair located; image research pending</x:v>
      </x:c>
      <x:c r="AQ35" s="117"/>
    </x:row>
    <x:row r="36" ht="66" customHeight="1">
      <x:c r="A36" s="117" t="str">
        <x:v>MC0033</x:v>
      </x:c>
      <x:c r="B36" s="117" t="str">
        <x:v>Gunung Lambak</x:v>
      </x:c>
      <x:c r="C36" s="117" t="str">
        <x:v>Johor</x:v>
      </x:c>
      <x:c r="D36" s="117" t="str">
        <x:v>Kluang</x:v>
      </x:c>
      <x:c r="E36" s="117" t="str">
        <x:v>Nature</x:v>
      </x:c>
      <x:c r="F36" s="117" t="str">
        <x:v>Popular</x:v>
      </x:c>
      <x:c r="G36" s="117" t="str">
        <x:v>Outdoor</x:v>
      </x:c>
      <x:c r="H36" s="117" t="str">
        <x:v>hiking; forest; viewpoint</x:v>
      </x:c>
      <x:c r="I36" s="117" t="str">
        <x:v>A popular hiking hill near Kluang town with several marked summit trails.</x:v>
      </x:c>
      <x:c r="J36" s="117" t="str">
        <x:v>https://www.google.com/maps/search/?api=1&amp;query=Gunung%20Lambak%2C%20Johor%2C%20Malaysia</x:v>
      </x:c>
      <x:c r="K36" s="117" t="str">
        <x:v>https://ebrochures.malaysia.travel/en/malaysia-travel-guide/johor/</x:v>
      </x:c>
      <x:c r="L36" s="117" t="str">
        <x:v>Tourism Malaysia state guide plus map discovery link</x:v>
      </x:c>
      <x:c r="M36" s="117" t="str">
        <x:v>Johor expansion batch</x:v>
      </x:c>
      <x:c r="N36" s="117"/>
      <x:c r="O36" s="117" t="str">
        <x:v>2026-08-15 00:00:00</x:v>
      </x:c>
      <x:c r="P36" s="117" t="str">
        <x:v>Complete</x:v>
      </x:c>
      <x:c r="Q36" s="117"/>
      <x:c r="R36" s="117" t="str">
        <x:f t="shared" si="0">IF(J36="","Missing Link",IF(AND(ISNUMBER(SEARCH("google.com/maps",J36)),ISERROR(SEARCH(";",J36))),"Discovery Link Only","Source Link Present"))</x:f>
        <x:v>Discovery Link Only</x:v>
      </x:c>
      <x:c r="S36" s="117" t="str">
        <x:v>Unknown</x:v>
      </x:c>
      <x:c r="T36" s="117" t="str">
        <x:v>Unknown</x:v>
      </x:c>
      <x:c r="U36" s="117" t="str">
        <x:v>Unknown</x:v>
      </x:c>
      <x:c r="V36" s="117" t="str">
        <x:v>Unknown</x:v>
      </x:c>
      <x:c r="W36" s="117" t="str">
        <x:v>Unknown</x:v>
      </x:c>
      <x:c r="X36" s="117" t="str">
        <x:v>Unknown</x:v>
      </x:c>
      <x:c r="Y36" s="117" t="str">
        <x:v>Unknown</x:v>
      </x:c>
      <x:c r="Z36" s="117"/>
      <x:c r="AA36" s="117" t="str">
        <x:v>Pending evidence</x:v>
      </x:c>
      <x:c r="AB36" s="117"/>
      <x:c r="AC36" s="117" t="str">
        <x:v>No qualifying accessibility conclusion established from the screened sources. This is unknown, not evidence that the attraction is inaccessible.</x:v>
      </x:c>
      <x:c r="AD36" s="117" t="str">
        <x:v>2026-09-08</x:v>
      </x:c>
      <x:c r="AE36" s="117" t="str">
        <x:v>MC0033</x:v>
      </x:c>
      <x:c r="AF36" s="117" t="str">
        <x:v>Distinct candidate</x:v>
      </x:c>
      <x:c r="AG36" s="117" t="str"/>
      <x:c r="AH36" s="117" t="str">
        <x:v>Name corroborated in source</x:v>
      </x:c>
      <x:c r="AI36" s="117" t="str">
        <x:v>https://ebrochures.malaysia.travel/en/malaysia-travel-guide/johor/</x:v>
      </x:c>
      <x:c r="AJ36" s="117" t="str">
        <x:v>Place name or established alias matched in the cited source. This is not confirmation of current opening, all visitor facilities or the full description.</x:v>
      </x:c>
      <x:c r="AK36" s="117" t="str">
        <x:v>Not independently confirmed</x:v>
      </x:c>
      <x:c r="AL36" s="117" t="str">
        <x:v>Screened sources; accessibility unresolved</x:v>
      </x:c>
      <x:c r="AM36" s="117" t="str">
        <x:v>2026-09-08</x:v>
      </x:c>
      <x:c r="AN36" s="117" t="str">
        <x:v>https://thumb.wikimedia.org/wikipedia/commons/thumb/e/eb/Kluang_-_waterfalls_on_Gunung_Lambak_May_2024_01.jpg/1280px-Kluang_-_waterfalls_on_Gunung_Lambak_May_2024_01.jpg?utm_source=commons.wikimedia.org&amp;utm_campaign=imageinfo&amp;utm_content=thumbnail</x:v>
      </x:c>
      <x:c r="AO36" s="117" t="str">
        <x:v>https://upload.wikimedia.org/wikipedia/commons/5/52/Gunung-Lambak-Johor-Malaysia.jpg?utm_source=commons.wikimedia.org&amp;utm_campaign=imageinfo&amp;utm_content=thumbnail_unscaled</x:v>
      </x:c>
      <x:c r="AP36" s="117" t="str">
        <x:v>2 metadata-matched images; visual review pending</x:v>
      </x:c>
      <x:c r="AQ36" s="117"/>
    </x:row>
    <x:row r="37" ht="66" customHeight="1">
      <x:c r="A37" s="117" t="str">
        <x:v>MC0034</x:v>
      </x:c>
      <x:c r="B37" s="117" t="str">
        <x:v>Kluang Rail Coffee and Railway Station Precinct</x:v>
      </x:c>
      <x:c r="C37" s="117" t="str">
        <x:v>Johor</x:v>
      </x:c>
      <x:c r="D37" s="117" t="str">
        <x:v>Kluang</x:v>
      </x:c>
      <x:c r="E37" s="117" t="str">
        <x:v>Food</x:v>
      </x:c>
      <x:c r="F37" s="117" t="str">
        <x:v>Local</x:v>
      </x:c>
      <x:c r="G37" s="117" t="str">
        <x:v>Both</x:v>
      </x:c>
      <x:c r="H37" s="117" t="str">
        <x:v>rail heritage; coffee; local food</x:v>
      </x:c>
      <x:c r="I37" s="117" t="str">
        <x:v>A historic railway station precinct in Kluang known for its century-old railway platform coffee shop, still operating today.</x:v>
      </x:c>
      <x:c r="J37" s="117" t="str">
        <x:v>https://www.google.com/maps/search/?api=1&amp;query=Kluang%20Rail%20Coffee%20and%20Railway%20Station%20Precinct%2C%20Johor%2C%20Malaysia</x:v>
      </x:c>
      <x:c r="K37" s="117" t="str">
        <x:v>https://ebrochures.malaysia.travel/en/malaysia-travel-guide/johor/</x:v>
      </x:c>
      <x:c r="L37" s="117" t="str">
        <x:v>Tourism Malaysia state guide plus map discovery link</x:v>
      </x:c>
      <x:c r="M37" s="117" t="str">
        <x:v>Johor expansion batch</x:v>
      </x:c>
      <x:c r="N37" s="117"/>
      <x:c r="O37" s="117" t="str">
        <x:v>2026-08-15 00:00:00</x:v>
      </x:c>
      <x:c r="P37" s="117" t="str">
        <x:v>Complete</x:v>
      </x:c>
      <x:c r="Q37" s="117"/>
      <x:c r="R37" s="117" t="str">
        <x:f t="shared" si="0">IF(J37="","Missing Link",IF(AND(ISNUMBER(SEARCH("google.com/maps",J37)),ISERROR(SEARCH(";",J37))),"Discovery Link Only","Source Link Present"))</x:f>
        <x:v>Discovery Link Only</x:v>
      </x:c>
      <x:c r="S37" s="117" t="str">
        <x:v>Unknown</x:v>
      </x:c>
      <x:c r="T37" s="117" t="str">
        <x:v>Unknown</x:v>
      </x:c>
      <x:c r="U37" s="117" t="str">
        <x:v>Unknown</x:v>
      </x:c>
      <x:c r="V37" s="117" t="str">
        <x:v>Unknown</x:v>
      </x:c>
      <x:c r="W37" s="117" t="str">
        <x:v>Unknown</x:v>
      </x:c>
      <x:c r="X37" s="117" t="str">
        <x:v>Unknown</x:v>
      </x:c>
      <x:c r="Y37" s="117" t="str">
        <x:v>Unknown</x:v>
      </x:c>
      <x:c r="Z37" s="117"/>
      <x:c r="AA37" s="117" t="str">
        <x:v>Pending evidence</x:v>
      </x:c>
      <x:c r="AB37" s="117"/>
      <x:c r="AC37" s="117" t="str">
        <x:v>No qualifying accessibility conclusion established from the screened sources. This is unknown, not evidence that the attraction is inaccessible.</x:v>
      </x:c>
      <x:c r="AD37" s="117" t="str">
        <x:v>2026-09-08</x:v>
      </x:c>
      <x:c r="AE37" s="117" t="str">
        <x:v>MC0034</x:v>
      </x:c>
      <x:c r="AF37" s="117" t="str">
        <x:v>Distinct candidate</x:v>
      </x:c>
      <x:c r="AG37" s="117" t="str"/>
      <x:c r="AH37" s="117" t="str">
        <x:v>Name corroborated in source</x:v>
      </x:c>
      <x:c r="AI37" s="117" t="str">
        <x:v>https://ebrochures.malaysia.travel/en/malaysia-travel-guide/johor/</x:v>
      </x:c>
      <x:c r="AJ37" s="117" t="str">
        <x:v>Place name or established alias matched in the cited source. This is not confirmation of current opening, all visitor facilities or the full description.</x:v>
      </x:c>
      <x:c r="AK37" s="117" t="str">
        <x:v>Not independently confirmed</x:v>
      </x:c>
      <x:c r="AL37" s="117" t="str">
        <x:v>Screened sources; accessibility unresolved</x:v>
      </x:c>
      <x:c r="AM37" s="117" t="str">
        <x:v>2026-09-08</x:v>
      </x:c>
      <x:c r="AN37" s="117"/>
      <x:c r="AO37" s="117"/>
      <x:c r="AP37" s="117" t="str">
        <x:v>No usable pair located; image research pending</x:v>
      </x:c>
      <x:c r="AQ37" s="117"/>
    </x:row>
    <x:row r="38" ht="66" customHeight="1">
      <x:c r="A38" s="117" t="str">
        <x:v>MC0035</x:v>
      </x:c>
      <x:c r="B38" s="117" t="str">
        <x:v>Sungai Bantang Waterfall</x:v>
      </x:c>
      <x:c r="C38" s="117" t="str">
        <x:v>Johor</x:v>
      </x:c>
      <x:c r="D38" s="117" t="str">
        <x:v>Segamat</x:v>
      </x:c>
      <x:c r="E38" s="117" t="str">
        <x:v>Nature</x:v>
      </x:c>
      <x:c r="F38" s="117" t="str">
        <x:v>Rural</x:v>
      </x:c>
      <x:c r="G38" s="117" t="str">
        <x:v>Outdoor</x:v>
      </x:c>
      <x:c r="H38" s="117" t="str">
        <x:v>waterfall; forest; picnic</x:v>
      </x:c>
      <x:c r="I38" s="117" t="str">
        <x:v>A waterfall recreational spot in Segamat district popular for picnics and swimming.</x:v>
      </x:c>
      <x:c r="J38" s="117" t="str">
        <x:v>https://www.google.com/maps/search/?api=1&amp;query=Sungai%20Bantang%20Waterfall%2C%20Johor%2C%20Malaysia</x:v>
      </x:c>
      <x:c r="K38" s="117" t="str">
        <x:v>https://ebrochures.malaysia.travel/en/malaysia-travel-guide/johor/</x:v>
      </x:c>
      <x:c r="L38" s="117" t="str">
        <x:v>Tourism Malaysia state guide plus map discovery link</x:v>
      </x:c>
      <x:c r="M38" s="117" t="str">
        <x:v>Johor expansion batch</x:v>
      </x:c>
      <x:c r="N38" s="117"/>
      <x:c r="O38" s="117" t="str">
        <x:v>2026-08-15 00:00:00</x:v>
      </x:c>
      <x:c r="P38" s="117" t="str">
        <x:v>Complete</x:v>
      </x:c>
      <x:c r="Q38" s="117" t="str">
        <x:v>Identity and Malaysian location verified in second-pass review on 2026-09-08.</x:v>
      </x:c>
      <x:c r="R38" s="117" t="str">
        <x:f t="shared" si="0">IF(J38="","Missing Link",IF(AND(ISNUMBER(SEARCH("google.com/maps",J38)),ISERROR(SEARCH(";",J38))),"Discovery Link Only","Source Link Present"))</x:f>
        <x:v>Discovery Link Only</x:v>
      </x:c>
      <x:c r="S38" s="117" t="str">
        <x:v>Unknown</x:v>
      </x:c>
      <x:c r="T38" s="117" t="str">
        <x:v>Unknown</x:v>
      </x:c>
      <x:c r="U38" s="117" t="str">
        <x:v>Unknown</x:v>
      </x:c>
      <x:c r="V38" s="117" t="str">
        <x:v>Unknown</x:v>
      </x:c>
      <x:c r="W38" s="117" t="str">
        <x:v>Unknown</x:v>
      </x:c>
      <x:c r="X38" s="117" t="str">
        <x:v>Unknown</x:v>
      </x:c>
      <x:c r="Y38" s="117" t="str">
        <x:v>Unknown</x:v>
      </x:c>
      <x:c r="Z38" s="117"/>
      <x:c r="AA38" s="117" t="str">
        <x:v>Pending evidence</x:v>
      </x:c>
      <x:c r="AB38" s="117"/>
      <x:c r="AC38" s="117" t="str">
        <x:v>No qualifying accessibility conclusion established from the screened sources. This is unknown, not evidence that the attraction is inaccessible.</x:v>
      </x:c>
      <x:c r="AD38" s="117" t="str">
        <x:v>2026-09-08</x:v>
      </x:c>
      <x:c r="AE38" s="117" t="str">
        <x:v>MC0035</x:v>
      </x:c>
      <x:c r="AF38" s="117" t="str">
        <x:v>Distinct candidate</x:v>
      </x:c>
      <x:c r="AG38" s="117" t="str"/>
      <x:c r="AH38" s="117" t="str">
        <x:v>Identity and location corroborated</x:v>
      </x:c>
      <x:c r="AI38" s="117" t="str">
        <x:v>https://tourism.johor.gov.my/bantang-bekok-river-waterfall/</x:v>
      </x:c>
      <x:c r="AJ38" s="117" t="str">
        <x:v>Official state tourism source matches the attraction name or established alias and the stated Malaysian location. This verifies identity/location only; confirm current opening and accessibility separately.</x:v>
      </x:c>
      <x:c r="AK38" s="117" t="str">
        <x:v>Not independently confirmed</x:v>
      </x:c>
      <x:c r="AL38" s="117" t="str">
        <x:v>Screened sources; accessibility unresolved</x:v>
      </x:c>
      <x:c r="AM38" s="117" t="str">
        <x:v>2026-09-08</x:v>
      </x:c>
      <x:c r="AN38" s="117"/>
      <x:c r="AO38" s="117"/>
      <x:c r="AP38" s="117" t="str">
        <x:v>No usable pair located; image research pending</x:v>
      </x:c>
      <x:c r="AQ38" s="117"/>
    </x:row>
    <x:row r="39" ht="66" customHeight="1">
      <x:c r="A39" s="117" t="str">
        <x:v>MC0036</x:v>
      </x:c>
      <x:c r="B39" s="117" t="str">
        <x:v>Tree Top Walk Sungai Sedim</x:v>
      </x:c>
      <x:c r="C39" s="117" t="str">
        <x:v>Kedah</x:v>
      </x:c>
      <x:c r="D39" s="117" t="str">
        <x:v>Kulim</x:v>
      </x:c>
      <x:c r="E39" s="117" t="str">
        <x:v>Adventure</x:v>
      </x:c>
      <x:c r="F39" s="117" t="str">
        <x:v>Unclassified</x:v>
      </x:c>
      <x:c r="G39" s="117" t="str">
        <x:v>Outdoor</x:v>
      </x:c>
      <x:c r="H39" s="117" t="str">
        <x:v>Canopy walkway; rainforest; river; panoramic views; nature; walking; hiking; jungle trekking; birdwatching; wildlife; white-water rafting; kayaking; river tubing; abseiling; paintball; camping; team building; nature education; photography</x:v>
      </x:c>
      <x:c r="I39" s="117" t="str">
        <x:v>A 925-metre elevated canopy walkway in Sungai Sedim Recreational Park, approximately 30 minutes from Kulim. Rising to about 26 metres above the forest floor, it offers rainforest and river views, with separately arranged adventure activities such as rafting, kayaking, tubing, trekking and abseiling.</x:v>
      </x:c>
      <x:c r="J39" s="117" t="str">
        <x:v>https://www.treetopwalk.com.my/ ; https://www.malaysia.travel/explore/top-walk-sungai-sedim ; https://www.malaysia.travel/explore/7-hidden-gems-in-kedah-for-the-ultimate-escape ; https://ebrochures.malaysia.travel/en/malaysia-travel-guide/kedah/</x:v>
      </x:c>
      <x:c r="K39" s="117" t="str">
        <x:v>https://ebrochures.malaysia.travel/en/malaysia-travel-guide/kedah/</x:v>
      </x:c>
      <x:c r="L39" s="117" t="str">
        <x:v>Previous workbook candidate/source lead</x:v>
      </x:c>
      <x:c r="M39" s="117" t="str">
        <x:v>Previous workbook seed</x:v>
      </x:c>
      <x:c r="N39" s="117" t="str">
        <x:v>A011</x:v>
      </x:c>
      <x:c r="O39" s="117" t="str">
        <x:v>2026-08-15 00:00:00</x:v>
      </x:c>
      <x:c r="P39" s="117" t="str">
        <x:v>Complete</x:v>
      </x:c>
      <x:c r="Q39" s="117"/>
      <x:c r="R39" s="117" t="str">
        <x:f t="shared" si="0">IF(J39="","Missing Link",IF(AND(ISNUMBER(SEARCH("google.com/maps",J39)),ISERROR(SEARCH(";",J39))),"Discovery Link Only","Source Link Present"))</x:f>
        <x:v>Source Link Present</x:v>
      </x:c>
      <x:c r="S39" s="117" t="str">
        <x:v>Unknown</x:v>
      </x:c>
      <x:c r="T39" s="117" t="str">
        <x:v>Unknown</x:v>
      </x:c>
      <x:c r="U39" s="117" t="str">
        <x:v>Unknown</x:v>
      </x:c>
      <x:c r="V39" s="117" t="str">
        <x:v>Unknown</x:v>
      </x:c>
      <x:c r="W39" s="117" t="str">
        <x:v>Unknown</x:v>
      </x:c>
      <x:c r="X39" s="117" t="str">
        <x:v>Unknown</x:v>
      </x:c>
      <x:c r="Y39" s="117" t="str">
        <x:v>Unknown</x:v>
      </x:c>
      <x:c r="Z39" s="117"/>
      <x:c r="AA39" s="117" t="str">
        <x:v>Pending evidence</x:v>
      </x:c>
      <x:c r="AB39" s="117"/>
      <x:c r="AC39" s="117" t="str">
        <x:v>No qualifying accessibility conclusion established from the screened sources. This is unknown, not evidence that the attraction is inaccessible.</x:v>
      </x:c>
      <x:c r="AD39" s="117" t="str">
        <x:v>2026-09-08</x:v>
      </x:c>
      <x:c r="AE39" s="117" t="str">
        <x:v>MC0036</x:v>
      </x:c>
      <x:c r="AF39" s="117" t="str">
        <x:v>Distinct candidate</x:v>
      </x:c>
      <x:c r="AG39" s="117" t="str"/>
      <x:c r="AH39" s="117" t="str">
        <x:v>Name corroborated in source</x:v>
      </x:c>
      <x:c r="AI39" s="117" t="str">
        <x:v>https://ebrochures.malaysia.travel/en/malaysia-travel-guide/kedah/</x:v>
      </x:c>
      <x:c r="AJ39" s="117" t="str">
        <x:v>Place name or established alias matched in the cited source. This is not confirmation of current opening, all visitor facilities or the full description.</x:v>
      </x:c>
      <x:c r="AK39" s="117" t="str">
        <x:v>Not independently confirmed</x:v>
      </x:c>
      <x:c r="AL39" s="117" t="str">
        <x:v>Screened sources; accessibility unresolved</x:v>
      </x:c>
      <x:c r="AM39" s="117" t="str">
        <x:v>2026-09-08</x:v>
      </x:c>
      <x:c r="AN39" s="117"/>
      <x:c r="AO39" s="117"/>
      <x:c r="AP39" s="117" t="str">
        <x:v>No usable pair located; image research pending</x:v>
      </x:c>
      <x:c r="AQ39" s="117"/>
    </x:row>
    <x:row r="40" ht="66" customHeight="1">
      <x:c r="A40" s="117" t="str">
        <x:v>MC0037</x:v>
      </x:c>
      <x:c r="B40" s="117" t="str">
        <x:v>Pulau Payar Marine Park</x:v>
      </x:c>
      <x:c r="C40" s="117" t="str">
        <x:v>Kedah</x:v>
      </x:c>
      <x:c r="D40" s="117" t="str">
        <x:v>Kota Setar</x:v>
      </x:c>
      <x:c r="E40" s="117" t="str">
        <x:v>Beach and Island</x:v>
      </x:c>
      <x:c r="F40" s="117" t="str">
        <x:v>Unclassified</x:v>
      </x:c>
      <x:c r="G40" s="117" t="str">
        <x:v>Outdoor</x:v>
      </x:c>
      <x:c r="H40" s="117" t="str">
        <x:v>Marine park; islands; coral reefs; marine life; snorkelling; scuba diving; swimming; boat trip; day trip; sharks; tropical fish; hiking; conservation; nature; family recreation; underwater photography</x:v>
      </x:c>
      <x:c r="I40" s="117" t="str">
        <x:v>A protected marine-park archipelago comprising Pulau Payar, Pulau Lembu, Pulau Kaca and Pulau Segantang. Its sheltered waters, coral reefs and diverse marine life support day-trip activities including snorkelling, scuba diving and swimming, while Pulau Payar also has basic visitor amenities and short hiking trails.</x:v>
      </x:c>
      <x:c r="J40" s="117" t="str">
        <x:v>https://www.malaysia.travel/explore/pulau-payar-marine-park ; https://www.dof.gov.my/en/services/marine-park-resource-management/marine-park-management/ ; https://www.dof.gov.my/en/services/marine-park-resource-management/conservation-charge-fee-rates/ ; https://pulaupayar.com/ ; https://ebrochures.malaysia.travel/en/langkawi/10-natures-best-in-langkawi/</x:v>
      </x:c>
      <x:c r="K40" s="117" t="str">
        <x:v>https://ebrochures.malaysia.travel/en/malaysia-travel-guide/kedah/</x:v>
      </x:c>
      <x:c r="L40" s="117" t="str">
        <x:v>Previous workbook candidate/source lead</x:v>
      </x:c>
      <x:c r="M40" s="117" t="str">
        <x:v>Previous workbook seed</x:v>
      </x:c>
      <x:c r="N40" s="117" t="str">
        <x:v>A012</x:v>
      </x:c>
      <x:c r="O40" s="117" t="str">
        <x:v>2026-08-15 00:00:00</x:v>
      </x:c>
      <x:c r="P40" s="117" t="str">
        <x:v>Complete</x:v>
      </x:c>
      <x:c r="Q40" s="117"/>
      <x:c r="R40" s="117" t="str">
        <x:f t="shared" si="0">IF(J40="","Missing Link",IF(AND(ISNUMBER(SEARCH("google.com/maps",J40)),ISERROR(SEARCH(";",J40))),"Discovery Link Only","Source Link Present"))</x:f>
        <x:v>Source Link Present</x:v>
      </x:c>
      <x:c r="S40" s="117" t="str">
        <x:v>Unknown</x:v>
      </x:c>
      <x:c r="T40" s="117" t="str">
        <x:v>Unknown</x:v>
      </x:c>
      <x:c r="U40" s="117" t="str">
        <x:v>Unknown</x:v>
      </x:c>
      <x:c r="V40" s="117" t="str">
        <x:v>Unknown</x:v>
      </x:c>
      <x:c r="W40" s="117" t="str">
        <x:v>Unknown</x:v>
      </x:c>
      <x:c r="X40" s="117" t="str">
        <x:v>Unknown</x:v>
      </x:c>
      <x:c r="Y40" s="117" t="str">
        <x:v>Unknown</x:v>
      </x:c>
      <x:c r="Z40" s="117"/>
      <x:c r="AA40" s="117" t="str">
        <x:v>Pending evidence</x:v>
      </x:c>
      <x:c r="AB40" s="117"/>
      <x:c r="AC40" s="117" t="str">
        <x:v>No qualifying accessibility conclusion established from the screened sources. This is unknown, not evidence that the attraction is inaccessible.</x:v>
      </x:c>
      <x:c r="AD40" s="117" t="str">
        <x:v>2026-09-08</x:v>
      </x:c>
      <x:c r="AE40" s="117" t="str">
        <x:v>MC0037</x:v>
      </x:c>
      <x:c r="AF40" s="117" t="str">
        <x:v>Distinct candidate</x:v>
      </x:c>
      <x:c r="AG40" s="117" t="str"/>
      <x:c r="AH40" s="117" t="str">
        <x:v>Name corroborated in source</x:v>
      </x:c>
      <x:c r="AI40" s="117" t="str">
        <x:v>https://www.malaysia.travel/explore/pulau-payar-marine-park</x:v>
      </x:c>
      <x:c r="AJ40" s="117" t="str">
        <x:v>Place name or established alias matched in the cited source. This is not confirmation of current opening, all visitor facilities or the full description.</x:v>
      </x:c>
      <x:c r="AK40" s="117" t="str">
        <x:v>Not independently confirmed</x:v>
      </x:c>
      <x:c r="AL40" s="117" t="str">
        <x:v>Screened sources; accessibility unresolved</x:v>
      </x:c>
      <x:c r="AM40" s="117" t="str">
        <x:v>2026-09-08</x:v>
      </x:c>
      <x:c r="AN40" s="117"/>
      <x:c r="AO40" s="117"/>
      <x:c r="AP40" s="117" t="str">
        <x:v>No usable pair located; image research pending</x:v>
      </x:c>
      <x:c r="AQ40" s="117"/>
    </x:row>
    <x:row r="41" ht="66" customHeight="1">
      <x:c r="A41" s="117" t="str">
        <x:v>MC0038</x:v>
      </x:c>
      <x:c r="B41" s="117" t="str">
        <x:v>Langkawi Sky Bridge</x:v>
      </x:c>
      <x:c r="C41" s="117" t="str">
        <x:v>Kedah</x:v>
      </x:c>
      <x:c r="D41" s="117" t="str">
        <x:v>Langkawi</x:v>
      </x:c>
      <x:c r="E41" s="117" t="str">
        <x:v>Adventure</x:v>
      </x:c>
      <x:c r="F41" s="117" t="str">
        <x:v>Unclassified</x:v>
      </x:c>
      <x:c r="G41" s="117" t="str">
        <x:v>Outdoor</x:v>
      </x:c>
      <x:c r="H41" s="117" t="str">
        <x:v>scenery; cable car; bridge; nature; photography; adventure</x:v>
      </x:c>
      <x:c r="I41" s="117" t="str">
        <x:v>A curved pedestrian suspension bridge near the summit of Gunung Mat Cincang on Langkawi, reached via cable car and offering panoramic views over the island.</x:v>
      </x:c>
      <x:c r="J41" s="117" t="str">
        <x:v>https://www.google.com/maps/search/?api=1&amp;query=Langkawi%20Sky%20Bridge%2C%20Kedah%2C%20Malaysia</x:v>
      </x:c>
      <x:c r="K41" s="117" t="str">
        <x:v>https://ebrochures.malaysia.travel/en/malaysia-travel-guide/kedah/</x:v>
      </x:c>
      <x:c r="L41" s="117" t="str">
        <x:v>Previous workbook candidate/source lead</x:v>
      </x:c>
      <x:c r="M41" s="117" t="str">
        <x:v>Previous workbook seed</x:v>
      </x:c>
      <x:c r="N41" s="117" t="str">
        <x:v>A040</x:v>
      </x:c>
      <x:c r="O41" s="117" t="str">
        <x:v>2026-08-15 00:00:00</x:v>
      </x:c>
      <x:c r="P41" s="117" t="str">
        <x:v>Complete</x:v>
      </x:c>
      <x:c r="Q41" s="117" t="str">
        <x:v>Identity and Malaysian location verified in second-pass review on 2026-09-08.</x:v>
      </x:c>
      <x:c r="R41" s="117" t="str">
        <x:f t="shared" si="0">IF(J41="","Missing Link",IF(AND(ISNUMBER(SEARCH("google.com/maps",J41)),ISERROR(SEARCH(";",J41))),"Discovery Link Only","Source Link Present"))</x:f>
        <x:v>Discovery Link Only</x:v>
      </x:c>
      <x:c r="S41" s="117" t="str">
        <x:v>Not measured</x:v>
      </x:c>
      <x:c r="T41" s="117" t="str">
        <x:v>Unknown</x:v>
      </x:c>
      <x:c r="U41" s="117" t="str">
        <x:v>Unknown</x:v>
      </x:c>
      <x:c r="V41" s="117" t="str">
        <x:v>Unknown</x:v>
      </x:c>
      <x:c r="W41" s="117" t="str">
        <x:v>Unknown</x:v>
      </x:c>
      <x:c r="X41" s="117" t="str">
        <x:v>Cable car/SkyGlide enclosed</x:v>
      </x:c>
      <x:c r="Y41" s="117" t="str">
        <x:v>Conditional on mobility, weather and heights</x:v>
      </x:c>
      <x:c r="Z41" s="117" t="str">
        <x:v>SkyGlide avoids the steep forest trail, but this evidence does not confirm wheelchair boarding, queue access or a fully step-free bridge route. Confirm operations and assistance.</x:v>
      </x:c>
      <x:c r="AA41" s="117" t="str">
        <x:v>Documented support - conditional</x:v>
      </x:c>
      <x:c r="AB41" s="117" t="str">
        <x:v>https://www.langkawi.com/langkawi-sky-bridge/
https://en.wikipedia.org/wiki/Langkawi_Sky_Bridge</x:v>
      </x:c>
      <x:c r="AC41" s="117" t="str">
        <x:v>Cable car and SkyGlide route to bridge</x:v>
      </x:c>
      <x:c r="AD41" s="117" t="str">
        <x:v>2026-09-08</x:v>
      </x:c>
      <x:c r="AE41" s="117" t="str">
        <x:v>MC0038</x:v>
      </x:c>
      <x:c r="AF41" s="117" t="str">
        <x:v>Distinct candidate</x:v>
      </x:c>
      <x:c r="AG41" s="117" t="str"/>
      <x:c r="AH41" s="117" t="str">
        <x:v>Identity and location corroborated</x:v>
      </x:c>
      <x:c r="AI41" s="117" t="str">
        <x:v>https://en.wikipedia.org/wiki/Langkawi_Sky_Bridge</x:v>
      </x:c>
      <x:c r="AJ41" s="117" t="str">
        <x:v>Encyclopedic source matches the attraction name or established alias and the stated Malaysian location. This verifies identity/location only; confirm current opening and accessibility separately.</x:v>
      </x:c>
      <x:c r="AK41" s="117" t="str">
        <x:v>Not independently confirmed</x:v>
      </x:c>
      <x:c r="AL41" s="117" t="str">
        <x:v>Secondary source - route feature only</x:v>
      </x:c>
      <x:c r="AM41" s="117" t="str">
        <x:v>2026-09-08</x:v>
      </x:c>
      <x:c r="AN41" s="117" t="str">
        <x:v>https://thumb.wikimedia.org/wikipedia/commons/thumb/f/f9/Langkawi_cablecar_bridge.jpg/1280px-Langkawi_cablecar_bridge.jpg?utm_source=commons.wikimedia.org&amp;utm_campaign=imageinfo&amp;utm_content=thumbnail</x:v>
      </x:c>
      <x:c r="AO41" s="117" t="str">
        <x:v>https://upload.wikimedia.org/wikipedia/commons/f/f8/Langkawi_sky_bridge.jpg?utm_source=commons.wikimedia.org&amp;utm_campaign=imageinfo&amp;utm_content=thumbnail_unscaled</x:v>
      </x:c>
      <x:c r="AP41" s="117" t="str">
        <x:v>2 metadata-matched images; visual review pending</x:v>
      </x:c>
      <x:c r="AQ41" s="117"/>
    </x:row>
    <x:row r="42" ht="66" customHeight="1">
      <x:c r="A42" s="117" t="str">
        <x:v>MC0039</x:v>
      </x:c>
      <x:c r="B42" s="117" t="str">
        <x:v>Kilim Karst Geoforest Park</x:v>
      </x:c>
      <x:c r="C42" s="117" t="str">
        <x:v>Kedah</x:v>
      </x:c>
      <x:c r="D42" s="117" t="str">
        <x:v>Langkawi</x:v>
      </x:c>
      <x:c r="E42" s="117" t="str">
        <x:v>Nature</x:v>
      </x:c>
      <x:c r="F42" s="117" t="str">
        <x:v>Unclassified</x:v>
      </x:c>
      <x:c r="G42" s="117" t="str">
        <x:v>Outdoor</x:v>
      </x:c>
      <x:c r="H42" s="117" t="str">
        <x:v>mangrove; boat tour; geopark; wildlife; scenery; nature</x:v>
      </x:c>
      <x:c r="I42" s="117" t="str">
        <x:v>A mangrove and limestone karst area on Langkawi explored by boat, known for eagle-watching, sea caves and dramatic geological formations.</x:v>
      </x:c>
      <x:c r="J42" s="117" t="str">
        <x:v>https://www.google.com/maps/search/?api=1&amp;query=Kilim%20Karst%20Geoforest%20Park%2C%20Kedah%2C%20Malaysia</x:v>
      </x:c>
      <x:c r="K42" s="117" t="str">
        <x:v>https://ebrochures.malaysia.travel/en/malaysia-travel-guide/kedah/</x:v>
      </x:c>
      <x:c r="L42" s="117" t="str">
        <x:v>Previous workbook candidate/source lead</x:v>
      </x:c>
      <x:c r="M42" s="117" t="str">
        <x:v>Previous workbook seed</x:v>
      </x:c>
      <x:c r="N42" s="117" t="str">
        <x:v>A041</x:v>
      </x:c>
      <x:c r="O42" s="117" t="str">
        <x:v>2026-08-15 00:00:00</x:v>
      </x:c>
      <x:c r="P42" s="117" t="str">
        <x:v>Complete</x:v>
      </x:c>
      <x:c r="Q42" s="117"/>
      <x:c r="R42" s="117" t="str">
        <x:f t="shared" si="0">IF(J42="","Missing Link",IF(AND(ISNUMBER(SEARCH("google.com/maps",J42)),ISERROR(SEARCH(";",J42))),"Discovery Link Only","Source Link Present"))</x:f>
        <x:v>Discovery Link Only</x:v>
      </x:c>
      <x:c r="S42" s="117" t="str">
        <x:v>Unknown</x:v>
      </x:c>
      <x:c r="T42" s="117" t="str">
        <x:v>Unknown</x:v>
      </x:c>
      <x:c r="U42" s="117" t="str">
        <x:v>Unknown</x:v>
      </x:c>
      <x:c r="V42" s="117" t="str">
        <x:v>Unknown</x:v>
      </x:c>
      <x:c r="W42" s="117" t="str">
        <x:v>Unknown</x:v>
      </x:c>
      <x:c r="X42" s="117" t="str">
        <x:v>Unknown</x:v>
      </x:c>
      <x:c r="Y42" s="117" t="str">
        <x:v>Unknown</x:v>
      </x:c>
      <x:c r="Z42" s="117"/>
      <x:c r="AA42" s="117" t="str">
        <x:v>Pending evidence</x:v>
      </x:c>
      <x:c r="AB42" s="117"/>
      <x:c r="AC42" s="117" t="str">
        <x:v>No qualifying accessibility conclusion established from the screened sources. This is unknown, not evidence that the attraction is inaccessible.</x:v>
      </x:c>
      <x:c r="AD42" s="117" t="str">
        <x:v>2026-09-08</x:v>
      </x:c>
      <x:c r="AE42" s="117" t="str">
        <x:v>MC0039</x:v>
      </x:c>
      <x:c r="AF42" s="117" t="str">
        <x:v>Distinct candidate</x:v>
      </x:c>
      <x:c r="AG42" s="117" t="str"/>
      <x:c r="AH42" s="117" t="str">
        <x:v>Name corroborated in source</x:v>
      </x:c>
      <x:c r="AI42" s="117" t="str">
        <x:v>https://ebrochures.malaysia.travel/en/malaysia-travel-guide/kedah/</x:v>
      </x:c>
      <x:c r="AJ42" s="117" t="str">
        <x:v>Place name or established alias matched in the cited source. This is not confirmation of current opening, all visitor facilities or the full description.</x:v>
      </x:c>
      <x:c r="AK42" s="117" t="str">
        <x:v>Not independently confirmed</x:v>
      </x:c>
      <x:c r="AL42" s="117" t="str">
        <x:v>Screened sources; accessibility unresolved</x:v>
      </x:c>
      <x:c r="AM42" s="117" t="str">
        <x:v>2026-09-08</x:v>
      </x:c>
      <x:c r="AN42" s="117" t="str">
        <x:v>https://thumb.wikimedia.org/wikipedia/commons/thumb/8/8a/Langkawi_Mangrove_Forest.jpg/1280px-Langkawi_Mangrove_Forest.jpg?utm_source=commons.wikimedia.org&amp;utm_campaign=imageinfo&amp;utm_content=thumbnail</x:v>
      </x:c>
      <x:c r="AO42" s="117"/>
      <x:c r="AP42" s="117" t="str">
        <x:v>1 metadata-matched images; visual review pending</x:v>
      </x:c>
      <x:c r="AQ42" s="117"/>
    </x:row>
    <x:row r="43" ht="66" customHeight="1">
      <x:c r="A43" s="117" t="str">
        <x:v>MC0040</x:v>
      </x:c>
      <x:c r="B43" s="117" t="str">
        <x:v>Pantai Cenang</x:v>
      </x:c>
      <x:c r="C43" s="117" t="str">
        <x:v>Kedah</x:v>
      </x:c>
      <x:c r="D43" s="117" t="str">
        <x:v>Langkawi</x:v>
      </x:c>
      <x:c r="E43" s="117" t="str">
        <x:v>Beach and Island</x:v>
      </x:c>
      <x:c r="F43" s="117" t="str">
        <x:v>Unclassified</x:v>
      </x:c>
      <x:c r="G43" s="117" t="str">
        <x:v>Outdoor</x:v>
      </x:c>
      <x:c r="H43" s="117" t="str">
        <x:v>beach; relaxation; water sports; shopping; food</x:v>
      </x:c>
      <x:c r="I43" s="117" t="str">
        <x:v>Langkawi's most popular beach strip, lined with resorts, restaurants, bars and water-sports operators.</x:v>
      </x:c>
      <x:c r="J43" s="117" t="str">
        <x:v>https://www.google.com/maps/search/?api=1&amp;query=Pantai%20Cenang%2C%20Kedah%2C%20Malaysia</x:v>
      </x:c>
      <x:c r="K43" s="117" t="str">
        <x:v>https://ebrochures.malaysia.travel/en/malaysia-travel-guide/kedah/</x:v>
      </x:c>
      <x:c r="L43" s="117" t="str">
        <x:v>Previous workbook candidate/source lead</x:v>
      </x:c>
      <x:c r="M43" s="117" t="str">
        <x:v>Previous workbook seed</x:v>
      </x:c>
      <x:c r="N43" s="117" t="str">
        <x:v>A042</x:v>
      </x:c>
      <x:c r="O43" s="117" t="str">
        <x:v>2026-08-15 00:00:00</x:v>
      </x:c>
      <x:c r="P43" s="117" t="str">
        <x:v>Complete</x:v>
      </x:c>
      <x:c r="Q43" s="117" t="str">
        <x:v>Identity and Malaysian location verified in second-pass review on 2026-09-08.</x:v>
      </x:c>
      <x:c r="R43" s="117" t="str">
        <x:f t="shared" si="0">IF(J43="","Missing Link",IF(AND(ISNUMBER(SEARCH("google.com/maps",J43)),ISERROR(SEARCH(";",J43))),"Discovery Link Only","Source Link Present"))</x:f>
        <x:v>Discovery Link Only</x:v>
      </x:c>
      <x:c r="S43" s="117" t="str">
        <x:v>Unknown</x:v>
      </x:c>
      <x:c r="T43" s="117" t="str">
        <x:v>Unknown</x:v>
      </x:c>
      <x:c r="U43" s="117" t="str">
        <x:v>Unknown</x:v>
      </x:c>
      <x:c r="V43" s="117" t="str">
        <x:v>Unknown</x:v>
      </x:c>
      <x:c r="W43" s="117" t="str">
        <x:v>Unknown</x:v>
      </x:c>
      <x:c r="X43" s="117" t="str">
        <x:v>Unknown</x:v>
      </x:c>
      <x:c r="Y43" s="117" t="str">
        <x:v>Unknown</x:v>
      </x:c>
      <x:c r="Z43" s="117"/>
      <x:c r="AA43" s="117" t="str">
        <x:v>Pending evidence</x:v>
      </x:c>
      <x:c r="AB43" s="117"/>
      <x:c r="AC43" s="117" t="str">
        <x:v>No qualifying accessibility conclusion established from the screened sources. This is unknown, not evidence that the attraction is inaccessible.</x:v>
      </x:c>
      <x:c r="AD43" s="117" t="str">
        <x:v>2026-09-08</x:v>
      </x:c>
      <x:c r="AE43" s="117" t="str">
        <x:v>MC0040</x:v>
      </x:c>
      <x:c r="AF43" s="117" t="str">
        <x:v>Distinct candidate</x:v>
      </x:c>
      <x:c r="AG43" s="117" t="str"/>
      <x:c r="AH43" s="117" t="str">
        <x:v>Identity and location corroborated</x:v>
      </x:c>
      <x:c r="AI43" s="117" t="str">
        <x:v>https://www.openstreetmap.org/node/585118150</x:v>
      </x:c>
      <x:c r="AJ43" s="117" t="str">
        <x:v>Mapped source matches the attraction name or established alias and the stated Malaysian location. This verifies identity/location only; confirm current opening and accessibility separately.</x:v>
      </x:c>
      <x:c r="AK43" s="117" t="str">
        <x:v>Not independently confirmed</x:v>
      </x:c>
      <x:c r="AL43" s="117" t="str">
        <x:v>Screened sources; accessibility unresolved</x:v>
      </x:c>
      <x:c r="AM43" s="117" t="str">
        <x:v>2026-09-08</x:v>
      </x:c>
      <x:c r="AN43" s="117" t="str">
        <x:v>https://thumb.wikimedia.org/wikipedia/commons/thumb/2/2b/Pantai_Cenang%2C_Langkawi_01.jpg/1280px-Pantai_Cenang%2C_Langkawi_01.jpg?utm_source=commons.wikimedia.org&amp;utm_campaign=imageinfo&amp;utm_content=thumbnail</x:v>
      </x:c>
      <x:c r="AO43" s="117" t="str">
        <x:v>https://thumb.wikimedia.org/wikipedia/commons/thumb/d/d3/Pantai_Cenang%2C_Langkawi_during_movement_control.png/1280px-Pantai_Cenang%2C_Langkawi_during_movement_control.png?utm_source=commons.wikimedia.org&amp;utm_campaign=imageinfo&amp;utm_content=thumbnail</x:v>
      </x:c>
      <x:c r="AP43" s="117" t="str">
        <x:v>2 metadata-matched images; visual review pending</x:v>
      </x:c>
      <x:c r="AQ43" s="117"/>
    </x:row>
    <x:row r="44" ht="66" customHeight="1">
      <x:c r="A44" s="117" t="str">
        <x:v>MC0041</x:v>
      </x:c>
      <x:c r="B44" s="117" t="str">
        <x:v>Langkawi Wildlife Park</x:v>
      </x:c>
      <x:c r="C44" s="117" t="str">
        <x:v>Kedah</x:v>
      </x:c>
      <x:c r="D44" s="117" t="str">
        <x:v>Langkawi</x:v>
      </x:c>
      <x:c r="E44" s="117" t="str">
        <x:v>Wildlife</x:v>
      </x:c>
      <x:c r="F44" s="117" t="str">
        <x:v>Unclassified</x:v>
      </x:c>
      <x:c r="G44" s="117" t="str">
        <x:v>Both</x:v>
      </x:c>
      <x:c r="H44" s="117" t="str">
        <x:v>wildlife; animals; family; children; education</x:v>
      </x:c>
      <x:c r="I44" s="117" t="str">
        <x:v>A bird and wildlife park on Langkawi with walk-in aviaries and animal enclosures.</x:v>
      </x:c>
      <x:c r="J44" s="117" t="str">
        <x:v>https://www.google.com/maps/search/?api=1&amp;query=Langkawi%20Wildlife%20Park%2C%20Kedah%2C%20Malaysia</x:v>
      </x:c>
      <x:c r="K44" s="117" t="str">
        <x:v>https://ebrochures.malaysia.travel/en/malaysia-travel-guide/kedah/</x:v>
      </x:c>
      <x:c r="L44" s="117" t="str">
        <x:v>Previous workbook candidate/source lead</x:v>
      </x:c>
      <x:c r="M44" s="117" t="str">
        <x:v>Previous workbook seed</x:v>
      </x:c>
      <x:c r="N44" s="117" t="str">
        <x:v>A043</x:v>
      </x:c>
      <x:c r="O44" s="117" t="str">
        <x:v>2026-08-15 00:00:00</x:v>
      </x:c>
      <x:c r="P44" s="117" t="str">
        <x:v>Complete</x:v>
      </x:c>
      <x:c r="Q44" s="117"/>
      <x:c r="R44" s="117" t="str">
        <x:f t="shared" si="0">IF(J44="","Missing Link",IF(AND(ISNUMBER(SEARCH("google.com/maps",J44)),ISERROR(SEARCH(";",J44))),"Discovery Link Only","Source Link Present"))</x:f>
        <x:v>Discovery Link Only</x:v>
      </x:c>
      <x:c r="S44" s="117" t="str">
        <x:v>Unknown</x:v>
      </x:c>
      <x:c r="T44" s="117" t="str">
        <x:v>Unknown</x:v>
      </x:c>
      <x:c r="U44" s="117" t="str">
        <x:v>Unknown</x:v>
      </x:c>
      <x:c r="V44" s="117" t="str">
        <x:v>Unknown</x:v>
      </x:c>
      <x:c r="W44" s="117" t="str">
        <x:v>Unknown</x:v>
      </x:c>
      <x:c r="X44" s="117" t="str">
        <x:v>Unknown</x:v>
      </x:c>
      <x:c r="Y44" s="117" t="str">
        <x:v>Unknown</x:v>
      </x:c>
      <x:c r="Z44" s="117"/>
      <x:c r="AA44" s="117" t="str">
        <x:v>Pending evidence</x:v>
      </x:c>
      <x:c r="AB44" s="117"/>
      <x:c r="AC44" s="117" t="str">
        <x:v>No qualifying accessibility conclusion established from the screened sources. This is unknown, not evidence that the attraction is inaccessible.</x:v>
      </x:c>
      <x:c r="AD44" s="117" t="str">
        <x:v>2026-09-08</x:v>
      </x:c>
      <x:c r="AE44" s="117" t="str">
        <x:v>MC0041</x:v>
      </x:c>
      <x:c r="AF44" s="117" t="str">
        <x:v>Distinct candidate</x:v>
      </x:c>
      <x:c r="AG44" s="117" t="str"/>
      <x:c r="AH44" s="117" t="str">
        <x:v>Name corroborated in source</x:v>
      </x:c>
      <x:c r="AI44" s="117" t="str">
        <x:v>https://ebrochures.malaysia.travel/en/malaysia-travel-guide/kedah/</x:v>
      </x:c>
      <x:c r="AJ44" s="117" t="str">
        <x:v>Place name or established alias matched in the cited source. This is not confirmation of current opening, all visitor facilities or the full description.</x:v>
      </x:c>
      <x:c r="AK44" s="117" t="str">
        <x:v>Not independently confirmed</x:v>
      </x:c>
      <x:c r="AL44" s="117" t="str">
        <x:v>Screened sources; accessibility unresolved</x:v>
      </x:c>
      <x:c r="AM44" s="117" t="str">
        <x:v>2026-09-08</x:v>
      </x:c>
      <x:c r="AN44" s="117"/>
      <x:c r="AO44" s="117"/>
      <x:c r="AP44" s="117" t="str">
        <x:v>No usable pair located; image research pending</x:v>
      </x:c>
      <x:c r="AQ44" s="117"/>
    </x:row>
    <x:row r="45" ht="66" customHeight="1">
      <x:c r="A45" s="117" t="str">
        <x:v>MC0042</x:v>
      </x:c>
      <x:c r="B45" s="117" t="str">
        <x:v>Underwater World Langkawi</x:v>
      </x:c>
      <x:c r="C45" s="117" t="str">
        <x:v>Kedah</x:v>
      </x:c>
      <x:c r="D45" s="117" t="str">
        <x:v>Langkawi</x:v>
      </x:c>
      <x:c r="E45" s="117" t="str">
        <x:v>Family Attraction</x:v>
      </x:c>
      <x:c r="F45" s="117" t="str">
        <x:v>Unclassified</x:v>
      </x:c>
      <x:c r="G45" s="117" t="str">
        <x:v>Indoor</x:v>
      </x:c>
      <x:c r="H45" s="117" t="str">
        <x:v>aquarium; marine life; family; children; indoor</x:v>
      </x:c>
      <x:c r="I45" s="117" t="str">
        <x:v>A large aquarium at Pantai Cenang on Langkawi featuring marine and freshwater species.</x:v>
      </x:c>
      <x:c r="J45" s="117" t="str">
        <x:v>https://www.google.com/maps/search/?api=1&amp;query=Underwater%20World%20Langkawi%2C%20Kedah%2C%20Malaysia</x:v>
      </x:c>
      <x:c r="K45" s="117" t="str">
        <x:v>https://ebrochures.malaysia.travel/en/malaysia-travel-guide/kedah/</x:v>
      </x:c>
      <x:c r="L45" s="117" t="str">
        <x:v>Previous workbook candidate/source lead</x:v>
      </x:c>
      <x:c r="M45" s="117" t="str">
        <x:v>Previous workbook seed</x:v>
      </x:c>
      <x:c r="N45" s="117" t="str">
        <x:v>A044</x:v>
      </x:c>
      <x:c r="O45" s="117" t="str">
        <x:v>2026-08-15 00:00:00</x:v>
      </x:c>
      <x:c r="P45" s="117" t="str">
        <x:v>Complete</x:v>
      </x:c>
      <x:c r="Q45" s="117"/>
      <x:c r="R45" s="117" t="str">
        <x:f t="shared" si="0">IF(J45="","Missing Link",IF(AND(ISNUMBER(SEARCH("google.com/maps",J45)),ISERROR(SEARCH(";",J45))),"Discovery Link Only","Source Link Present"))</x:f>
        <x:v>Discovery Link Only</x:v>
      </x:c>
      <x:c r="S45" s="117" t="str">
        <x:v>Unknown</x:v>
      </x:c>
      <x:c r="T45" s="117" t="str">
        <x:v>Unknown</x:v>
      </x:c>
      <x:c r="U45" s="117" t="str">
        <x:v>Unknown</x:v>
      </x:c>
      <x:c r="V45" s="117" t="str">
        <x:v>Unknown</x:v>
      </x:c>
      <x:c r="W45" s="117" t="str">
        <x:v>Unknown</x:v>
      </x:c>
      <x:c r="X45" s="117" t="str">
        <x:v>Unknown</x:v>
      </x:c>
      <x:c r="Y45" s="117" t="str">
        <x:v>Unknown</x:v>
      </x:c>
      <x:c r="Z45" s="117"/>
      <x:c r="AA45" s="117" t="str">
        <x:v>Pending evidence</x:v>
      </x:c>
      <x:c r="AB45" s="117"/>
      <x:c r="AC45" s="117" t="str">
        <x:v>No qualifying accessibility conclusion established from the screened sources. This is unknown, not evidence that the attraction is inaccessible.</x:v>
      </x:c>
      <x:c r="AD45" s="117" t="str">
        <x:v>2026-09-08</x:v>
      </x:c>
      <x:c r="AE45" s="117" t="str">
        <x:v>MC0042</x:v>
      </x:c>
      <x:c r="AF45" s="117" t="str">
        <x:v>Distinct candidate</x:v>
      </x:c>
      <x:c r="AG45" s="117" t="str"/>
      <x:c r="AH45" s="117" t="str">
        <x:v>Name corroborated in source</x:v>
      </x:c>
      <x:c r="AI45" s="117" t="str">
        <x:v>https://ebrochures.malaysia.travel/en/malaysia-travel-guide/kedah/</x:v>
      </x:c>
      <x:c r="AJ45" s="117" t="str">
        <x:v>Place name or established alias matched in the cited source. This is not confirmation of current opening, all visitor facilities or the full description.</x:v>
      </x:c>
      <x:c r="AK45" s="117" t="str">
        <x:v>Not independently confirmed</x:v>
      </x:c>
      <x:c r="AL45" s="117" t="str">
        <x:v>Screened sources; accessibility unresolved</x:v>
      </x:c>
      <x:c r="AM45" s="117" t="str">
        <x:v>2026-09-08</x:v>
      </x:c>
      <x:c r="AN45" s="117" t="str">
        <x:v>https://thumb.wikimedia.org/wikipedia/commons/thumb/0/0b/Entrance_to_Underwater_World%2C_Langkawi.jpg/1280px-Entrance_to_Underwater_World%2C_Langkawi.jpg?utm_source=commons.wikimedia.org&amp;utm_campaign=imageinfo&amp;utm_content=thumbnail</x:v>
      </x:c>
      <x:c r="AO45" s="117" t="str">
        <x:v>https://thumb.wikimedia.org/wikipedia/commons/thumb/6/6f/Discus_%28fish%29.JPG/1280px-Discus_%28fish%29.JPG?utm_source=commons.wikimedia.org&amp;utm_campaign=imageinfo&amp;utm_content=thumbnail</x:v>
      </x:c>
      <x:c r="AP45" s="117" t="str">
        <x:v>2 metadata-matched images; visual review pending</x:v>
      </x:c>
      <x:c r="AQ45" s="117"/>
    </x:row>
    <x:row r="46" ht="66" customHeight="1">
      <x:c r="A46" s="117" t="str">
        <x:v>MC0043</x:v>
      </x:c>
      <x:c r="B46" s="117" t="str">
        <x:v>Lembah Bujang Archaeological Museum</x:v>
      </x:c>
      <x:c r="C46" s="117" t="str">
        <x:v>Kedah</x:v>
      </x:c>
      <x:c r="D46" s="117" t="str">
        <x:v>Merbok</x:v>
      </x:c>
      <x:c r="E46" s="117" t="str">
        <x:v>Museum and Gallery</x:v>
      </x:c>
      <x:c r="F46" s="117" t="str">
        <x:v>Unclassified</x:v>
      </x:c>
      <x:c r="G46" s="117" t="str">
        <x:v>Both</x:v>
      </x:c>
      <x:c r="H46" s="117" t="str">
        <x:v>museum; archaeology; heritage; history; culture</x:v>
      </x:c>
      <x:c r="I46" s="117" t="str">
        <x:v>A museum near Merbok housing artefacts from the ancient Bujang Valley civilisation, among the earliest known settlements in Southeast Asia.</x:v>
      </x:c>
      <x:c r="J46" s="117" t="str">
        <x:v>https://www.google.com/maps/search/?api=1&amp;query=Lembah%20Bujang%20Archaeological%20Museum%2C%20Kedah%2C%20Malaysia</x:v>
      </x:c>
      <x:c r="K46" s="117" t="str">
        <x:v>https://ebrochures.malaysia.travel/en/malaysia-travel-guide/kedah/</x:v>
      </x:c>
      <x:c r="L46" s="117" t="str">
        <x:v>Previous workbook candidate/source lead</x:v>
      </x:c>
      <x:c r="M46" s="117" t="str">
        <x:v>Previous workbook seed</x:v>
      </x:c>
      <x:c r="N46" s="117" t="str">
        <x:v>A045</x:v>
      </x:c>
      <x:c r="O46" s="117" t="str">
        <x:v>2026-08-15 00:00:00</x:v>
      </x:c>
      <x:c r="P46" s="117" t="str">
        <x:v>Complete</x:v>
      </x:c>
      <x:c r="Q46" s="117"/>
      <x:c r="R46" s="117" t="str">
        <x:f t="shared" si="0">IF(J46="","Missing Link",IF(AND(ISNUMBER(SEARCH("google.com/maps",J46)),ISERROR(SEARCH(";",J46))),"Discovery Link Only","Source Link Present"))</x:f>
        <x:v>Discovery Link Only</x:v>
      </x:c>
      <x:c r="S46" s="117" t="str">
        <x:v>Unknown</x:v>
      </x:c>
      <x:c r="T46" s="117" t="str">
        <x:v>Unknown</x:v>
      </x:c>
      <x:c r="U46" s="117" t="str">
        <x:v>Unknown</x:v>
      </x:c>
      <x:c r="V46" s="117" t="str">
        <x:v>Unknown</x:v>
      </x:c>
      <x:c r="W46" s="117" t="str">
        <x:v>Unknown</x:v>
      </x:c>
      <x:c r="X46" s="117" t="str">
        <x:v>Unknown</x:v>
      </x:c>
      <x:c r="Y46" s="117" t="str">
        <x:v>Unknown</x:v>
      </x:c>
      <x:c r="Z46" s="117"/>
      <x:c r="AA46" s="117" t="str">
        <x:v>Pending evidence</x:v>
      </x:c>
      <x:c r="AB46" s="117"/>
      <x:c r="AC46" s="117" t="str">
        <x:v>No qualifying accessibility conclusion established from the screened sources. This is unknown, not evidence that the attraction is inaccessible.</x:v>
      </x:c>
      <x:c r="AD46" s="117" t="str">
        <x:v>2026-09-08</x:v>
      </x:c>
      <x:c r="AE46" s="117" t="str">
        <x:v>MC0043</x:v>
      </x:c>
      <x:c r="AF46" s="117" t="str">
        <x:v>Distinct candidate</x:v>
      </x:c>
      <x:c r="AG46" s="117" t="str"/>
      <x:c r="AH46" s="117" t="str">
        <x:v>Name corroborated in source</x:v>
      </x:c>
      <x:c r="AI46" s="117" t="str">
        <x:v>https://ebrochures.malaysia.travel/en/malaysia-travel-guide/kedah/</x:v>
      </x:c>
      <x:c r="AJ46" s="117" t="str">
        <x:v>Place name or established alias matched in the cited source. This is not confirmation of current opening, all visitor facilities or the full description.</x:v>
      </x:c>
      <x:c r="AK46" s="117" t="str">
        <x:v>Not independently confirmed</x:v>
      </x:c>
      <x:c r="AL46" s="117" t="str">
        <x:v>Screened sources; accessibility unresolved</x:v>
      </x:c>
      <x:c r="AM46" s="117" t="str">
        <x:v>2026-09-08</x:v>
      </x:c>
      <x:c r="AN46" s="117" t="str">
        <x:v>https://thumb.wikimedia.org/wikipedia/commons/thumb/7/76/Bujang_valley.jpg/1280px-Bujang_valley.jpg?utm_source=commons.wikimedia.org&amp;utm_campaign=imageinfo&amp;utm_content=thumbnail</x:v>
      </x:c>
      <x:c r="AO46" s="117"/>
      <x:c r="AP46" s="117" t="str">
        <x:v>1 metadata-matched images; visual review pending</x:v>
      </x:c>
      <x:c r="AQ46" s="117"/>
    </x:row>
    <x:row r="47" ht="66" customHeight="1">
      <x:c r="A47" s="117" t="str">
        <x:v>MC0044</x:v>
      </x:c>
      <x:c r="B47" s="117" t="str">
        <x:v>Gunung Jerai</x:v>
      </x:c>
      <x:c r="C47" s="117" t="str">
        <x:v>Kedah</x:v>
      </x:c>
      <x:c r="D47" s="117" t="str">
        <x:v>Yan</x:v>
      </x:c>
      <x:c r="E47" s="117" t="str">
        <x:v>Nature</x:v>
      </x:c>
      <x:c r="F47" s="117" t="str">
        <x:v>Unclassified</x:v>
      </x:c>
      <x:c r="G47" s="117" t="str">
        <x:v>Outdoor</x:v>
      </x:c>
      <x:c r="H47" s="117" t="str">
        <x:v>mountain; scenery; nature; hiking; relaxation</x:v>
      </x:c>
      <x:c r="I47" s="117" t="str">
        <x:v>A prominent limestone mountain in Yan district with hilltop Hindu-Buddhist temple ruins and scenic viewpoints.</x:v>
      </x:c>
      <x:c r="J47" s="117" t="str">
        <x:v>https://www.google.com/maps/search/?api=1&amp;query=Gunung%20Jerai%2C%20Kedah%2C%20Malaysia</x:v>
      </x:c>
      <x:c r="K47" s="117" t="str">
        <x:v>https://ebrochures.malaysia.travel/en/malaysia-travel-guide/kedah/</x:v>
      </x:c>
      <x:c r="L47" s="117" t="str">
        <x:v>Previous workbook candidate/source lead</x:v>
      </x:c>
      <x:c r="M47" s="117" t="str">
        <x:v>Previous workbook seed</x:v>
      </x:c>
      <x:c r="N47" s="117" t="str">
        <x:v>A046</x:v>
      </x:c>
      <x:c r="O47" s="117" t="str">
        <x:v>2026-08-15 00:00:00</x:v>
      </x:c>
      <x:c r="P47" s="117" t="str">
        <x:v>Complete</x:v>
      </x:c>
      <x:c r="Q47" s="117"/>
      <x:c r="R47" s="117" t="str">
        <x:f t="shared" si="0">IF(J47="","Missing Link",IF(AND(ISNUMBER(SEARCH("google.com/maps",J47)),ISERROR(SEARCH(";",J47))),"Discovery Link Only","Source Link Present"))</x:f>
        <x:v>Discovery Link Only</x:v>
      </x:c>
      <x:c r="S47" s="117" t="str">
        <x:v>Unknown</x:v>
      </x:c>
      <x:c r="T47" s="117" t="str">
        <x:v>Unknown</x:v>
      </x:c>
      <x:c r="U47" s="117" t="str">
        <x:v>Unknown</x:v>
      </x:c>
      <x:c r="V47" s="117" t="str">
        <x:v>Unknown</x:v>
      </x:c>
      <x:c r="W47" s="117" t="str">
        <x:v>Unknown</x:v>
      </x:c>
      <x:c r="X47" s="117" t="str">
        <x:v>Unknown</x:v>
      </x:c>
      <x:c r="Y47" s="117" t="str">
        <x:v>Unknown</x:v>
      </x:c>
      <x:c r="Z47" s="117"/>
      <x:c r="AA47" s="117" t="str">
        <x:v>Pending evidence</x:v>
      </x:c>
      <x:c r="AB47" s="117"/>
      <x:c r="AC47" s="117" t="str">
        <x:v>No qualifying accessibility conclusion established from the screened sources. This is unknown, not evidence that the attraction is inaccessible.</x:v>
      </x:c>
      <x:c r="AD47" s="117" t="str">
        <x:v>2026-09-08</x:v>
      </x:c>
      <x:c r="AE47" s="117" t="str">
        <x:v>MC0044</x:v>
      </x:c>
      <x:c r="AF47" s="117" t="str">
        <x:v>Distinct candidate</x:v>
      </x:c>
      <x:c r="AG47" s="117" t="str"/>
      <x:c r="AH47" s="117" t="str">
        <x:v>Name corroborated in source</x:v>
      </x:c>
      <x:c r="AI47" s="117" t="str">
        <x:v>https://ebrochures.malaysia.travel/en/malaysia-travel-guide/kedah/</x:v>
      </x:c>
      <x:c r="AJ47" s="117" t="str">
        <x:v>Place name or established alias matched in the cited source. This is not confirmation of current opening, all visitor facilities or the full description.</x:v>
      </x:c>
      <x:c r="AK47" s="117" t="str">
        <x:v>Not independently confirmed</x:v>
      </x:c>
      <x:c r="AL47" s="117" t="str">
        <x:v>Screened sources; accessibility unresolved</x:v>
      </x:c>
      <x:c r="AM47" s="117" t="str">
        <x:v>2026-09-08</x:v>
      </x:c>
      <x:c r="AN47" s="117" t="str">
        <x:v>https://thumb.wikimedia.org/wikipedia/commons/thumb/c/cf/Gunung_Jerai_as_viewed_from_George_Town_Dec2024-1.jpg/1280px-Gunung_Jerai_as_viewed_from_George_Town_Dec2024-1.jpg?utm_source=commons.wikimedia.org&amp;utm_campaign=imageinfo&amp;utm_content=thumbnail</x:v>
      </x:c>
      <x:c r="AO47" s="117" t="str">
        <x:v>https://thumb.wikimedia.org/wikipedia/commons/thumb/e/e1/Kedah_Peak_Sunset_%2835712866865%29.jpg/1280px-Kedah_Peak_Sunset_%2835712866865%29.jpg?utm_source=commons.wikimedia.org&amp;utm_campaign=imageinfo&amp;utm_content=thumbnail</x:v>
      </x:c>
      <x:c r="AP47" s="117" t="str">
        <x:v>2 metadata-matched images; visual review pending</x:v>
      </x:c>
      <x:c r="AQ47" s="117"/>
    </x:row>
    <x:row r="48" ht="66" customHeight="1">
      <x:c r="A48" s="117" t="str">
        <x:v>MC0045</x:v>
      </x:c>
      <x:c r="B48" s="117" t="str">
        <x:v>Pekan Rabu</x:v>
      </x:c>
      <x:c r="C48" s="117" t="str">
        <x:v>Kedah</x:v>
      </x:c>
      <x:c r="D48" s="117" t="str">
        <x:v>Alor Setar</x:v>
      </x:c>
      <x:c r="E48" s="117" t="str">
        <x:v>Shopping</x:v>
      </x:c>
      <x:c r="F48" s="117" t="str">
        <x:v>Local</x:v>
      </x:c>
      <x:c r="G48" s="117" t="str">
        <x:v>Both</x:v>
      </x:c>
      <x:c r="H48" s="117" t="str">
        <x:v>market; shopping; local food; handicrafts; culture</x:v>
      </x:c>
      <x:c r="I48" s="117" t="str">
        <x:v>A well-known Wednesday market in Alor Setar selling Kedah handicrafts, local snacks and produce.</x:v>
      </x:c>
      <x:c r="J48" s="117" t="str">
        <x:v>https://www.google.com/maps/search/?api=1&amp;query=Pekan%20Rabu%2C%20Kedah%2C%20Malaysia</x:v>
      </x:c>
      <x:c r="K48" s="117" t="str">
        <x:v>https://ebrochures.malaysia.travel/en/malaysia-travel-guide/kedah/</x:v>
      </x:c>
      <x:c r="L48" s="117" t="str">
        <x:v>Previous workbook candidate/source lead</x:v>
      </x:c>
      <x:c r="M48" s="117" t="str">
        <x:v>Previous workbook seed</x:v>
      </x:c>
      <x:c r="N48" s="117" t="str">
        <x:v>A047</x:v>
      </x:c>
      <x:c r="O48" s="117" t="str">
        <x:v>2026-08-15 00:00:00</x:v>
      </x:c>
      <x:c r="P48" s="117" t="str">
        <x:v>Complete</x:v>
      </x:c>
      <x:c r="Q48" s="117"/>
      <x:c r="R48" s="117" t="str">
        <x:f t="shared" si="0">IF(J48="","Missing Link",IF(AND(ISNUMBER(SEARCH("google.com/maps",J48)),ISERROR(SEARCH(";",J48))),"Discovery Link Only","Source Link Present"))</x:f>
        <x:v>Discovery Link Only</x:v>
      </x:c>
      <x:c r="S48" s="117" t="str">
        <x:v>Unknown</x:v>
      </x:c>
      <x:c r="T48" s="117" t="str">
        <x:v>Unknown</x:v>
      </x:c>
      <x:c r="U48" s="117" t="str">
        <x:v>Unknown</x:v>
      </x:c>
      <x:c r="V48" s="117" t="str">
        <x:v>Unknown</x:v>
      </x:c>
      <x:c r="W48" s="117" t="str">
        <x:v>Unknown</x:v>
      </x:c>
      <x:c r="X48" s="117" t="str">
        <x:v>Unknown</x:v>
      </x:c>
      <x:c r="Y48" s="117" t="str">
        <x:v>Unknown</x:v>
      </x:c>
      <x:c r="Z48" s="117"/>
      <x:c r="AA48" s="117" t="str">
        <x:v>Pending evidence</x:v>
      </x:c>
      <x:c r="AB48" s="117"/>
      <x:c r="AC48" s="117" t="str">
        <x:v>No qualifying accessibility conclusion established from the screened sources. This is unknown, not evidence that the attraction is inaccessible.</x:v>
      </x:c>
      <x:c r="AD48" s="117" t="str">
        <x:v>2026-09-08</x:v>
      </x:c>
      <x:c r="AE48" s="117" t="str">
        <x:v>MC0045</x:v>
      </x:c>
      <x:c r="AF48" s="117" t="str">
        <x:v>Distinct candidate</x:v>
      </x:c>
      <x:c r="AG48" s="117" t="str"/>
      <x:c r="AH48" s="117" t="str">
        <x:v>Name corroborated in source</x:v>
      </x:c>
      <x:c r="AI48" s="117" t="str">
        <x:v>https://ebrochures.malaysia.travel/en/malaysia-travel-guide/kedah/</x:v>
      </x:c>
      <x:c r="AJ48" s="117" t="str">
        <x:v>Place name or established alias matched in the cited source. This is not confirmation of current opening, all visitor facilities or the full description.</x:v>
      </x:c>
      <x:c r="AK48" s="117" t="str">
        <x:v>Not independently confirmed</x:v>
      </x:c>
      <x:c r="AL48" s="117" t="str">
        <x:v>Screened sources; accessibility unresolved</x:v>
      </x:c>
      <x:c r="AM48" s="117" t="str">
        <x:v>2026-09-08</x:v>
      </x:c>
      <x:c r="AN48" s="117" t="str">
        <x:v>https://thumb.wikimedia.org/wikipedia/commons/thumb/2/24/Polres_Pekalongan.jpg/1280px-Polres_Pekalongan.jpg?utm_source=commons.wikimedia.org&amp;utm_campaign=imageinfo&amp;utm_content=thumbnail</x:v>
      </x:c>
      <x:c r="AO48" s="117"/>
      <x:c r="AP48" s="117" t="str">
        <x:v>1 metadata-matched images; visual review pending</x:v>
      </x:c>
      <x:c r="AQ48" s="117"/>
    </x:row>
    <x:row r="49" ht="66" customHeight="1">
      <x:c r="A49" s="117" t="str">
        <x:v>MC0046</x:v>
      </x:c>
      <x:c r="B49" s="117" t="str">
        <x:v>Dayang Bunting Marble Geoforest Park</x:v>
      </x:c>
      <x:c r="C49" s="117" t="str">
        <x:v>Kedah</x:v>
      </x:c>
      <x:c r="D49" s="117" t="str">
        <x:v>Langkawi</x:v>
      </x:c>
      <x:c r="E49" s="117" t="str">
        <x:v>Nature</x:v>
      </x:c>
      <x:c r="F49" s="117" t="str">
        <x:v>Popular</x:v>
      </x:c>
      <x:c r="G49" s="117" t="str">
        <x:v>Outdoor</x:v>
      </x:c>
      <x:c r="H49" s="117" t="str">
        <x:v>island; lake; geopark</x:v>
      </x:c>
      <x:c r="I49" s="117" t="str">
        <x:v>An island in the Langkawi archipelago home to the freshwater Lake of the Pregnant Maiden, a popular swimming spot tied to local legend.</x:v>
      </x:c>
      <x:c r="J49" s="117" t="str">
        <x:v>https://www.google.com/maps/search/?api=1&amp;query=Dayang%20Bunting%20Marble%20Geoforest%20Park%2C%20Kedah%2C%20Malaysia</x:v>
      </x:c>
      <x:c r="K49" s="117" t="str">
        <x:v>https://ebrochures.malaysia.travel/en/malaysia-travel-guide/kedah/</x:v>
      </x:c>
      <x:c r="L49" s="117" t="str">
        <x:v>Tourism Malaysia state guide plus map discovery link</x:v>
      </x:c>
      <x:c r="M49" s="117" t="str">
        <x:v>Kedah expansion batch</x:v>
      </x:c>
      <x:c r="N49" s="117"/>
      <x:c r="O49" s="117" t="str">
        <x:v>2026-08-15 00:00:00</x:v>
      </x:c>
      <x:c r="P49" s="117" t="str">
        <x:v>Complete</x:v>
      </x:c>
      <x:c r="Q49" s="117"/>
      <x:c r="R49" s="117" t="str">
        <x:f t="shared" si="0">IF(J49="","Missing Link",IF(AND(ISNUMBER(SEARCH("google.com/maps",J49)),ISERROR(SEARCH(";",J49))),"Discovery Link Only","Source Link Present"))</x:f>
        <x:v>Discovery Link Only</x:v>
      </x:c>
      <x:c r="S49" s="117" t="str">
        <x:v>Unknown</x:v>
      </x:c>
      <x:c r="T49" s="117" t="str">
        <x:v>Unknown</x:v>
      </x:c>
      <x:c r="U49" s="117" t="str">
        <x:v>Unknown</x:v>
      </x:c>
      <x:c r="V49" s="117" t="str">
        <x:v>Unknown</x:v>
      </x:c>
      <x:c r="W49" s="117" t="str">
        <x:v>Unknown</x:v>
      </x:c>
      <x:c r="X49" s="117" t="str">
        <x:v>Unknown</x:v>
      </x:c>
      <x:c r="Y49" s="117" t="str">
        <x:v>Unknown</x:v>
      </x:c>
      <x:c r="Z49" s="117"/>
      <x:c r="AA49" s="117" t="str">
        <x:v>Pending evidence</x:v>
      </x:c>
      <x:c r="AB49" s="117"/>
      <x:c r="AC49" s="117" t="str">
        <x:v>No qualifying accessibility conclusion established from the screened sources. This is unknown, not evidence that the attraction is inaccessible.</x:v>
      </x:c>
      <x:c r="AD49" s="117" t="str">
        <x:v>2026-09-08</x:v>
      </x:c>
      <x:c r="AE49" s="117" t="str">
        <x:v>MC0046</x:v>
      </x:c>
      <x:c r="AF49" s="117" t="str">
        <x:v>Distinct candidate</x:v>
      </x:c>
      <x:c r="AG49" s="117" t="str"/>
      <x:c r="AH49" s="117" t="str">
        <x:v>Name corroborated in source</x:v>
      </x:c>
      <x:c r="AI49" s="117" t="str">
        <x:v>https://ebrochures.malaysia.travel/en/malaysia-travel-guide/kedah/</x:v>
      </x:c>
      <x:c r="AJ49" s="117" t="str">
        <x:v>Place name or established alias matched in the cited source. This is not confirmation of current opening, all visitor facilities or the full description.</x:v>
      </x:c>
      <x:c r="AK49" s="117" t="str">
        <x:v>Not independently confirmed</x:v>
      </x:c>
      <x:c r="AL49" s="117" t="str">
        <x:v>Screened sources; accessibility unresolved</x:v>
      </x:c>
      <x:c r="AM49" s="117" t="str">
        <x:v>2026-09-08</x:v>
      </x:c>
      <x:c r="AN49" s="117"/>
      <x:c r="AO49" s="117"/>
      <x:c r="AP49" s="117" t="str">
        <x:v>No usable pair located; image research pending</x:v>
      </x:c>
      <x:c r="AQ49" s="117"/>
    </x:row>
    <x:row r="50" ht="66" customHeight="1">
      <x:c r="A50" s="117" t="str">
        <x:v>MC0047</x:v>
      </x:c>
      <x:c r="B50" s="117" t="str">
        <x:v>Telaga Tujuh Waterfalls</x:v>
      </x:c>
      <x:c r="C50" s="117" t="str">
        <x:v>Kedah</x:v>
      </x:c>
      <x:c r="D50" s="117" t="str">
        <x:v>Langkawi</x:v>
      </x:c>
      <x:c r="E50" s="117" t="str">
        <x:v>Nature</x:v>
      </x:c>
      <x:c r="F50" s="117" t="str">
        <x:v>Popular</x:v>
      </x:c>
      <x:c r="G50" s="117" t="str">
        <x:v>Outdoor</x:v>
      </x:c>
      <x:c r="H50" s="117" t="str">
        <x:v>waterfall; hiking; rainforest</x:v>
      </x:c>
      <x:c r="I50" s="117" t="str">
        <x:v>A seven-tiered waterfall on Langkawi with natural rock pools, popular for hiking and swimming.</x:v>
      </x:c>
      <x:c r="J50" s="117" t="str">
        <x:v>https://www.google.com/maps/search/?api=1&amp;query=Telaga%20Tujuh%20Waterfalls%2C%20Kedah%2C%20Malaysia</x:v>
      </x:c>
      <x:c r="K50" s="117" t="str">
        <x:v>https://ebrochures.malaysia.travel/en/malaysia-travel-guide/kedah/</x:v>
      </x:c>
      <x:c r="L50" s="117" t="str">
        <x:v>Tourism Malaysia state guide plus map discovery link</x:v>
      </x:c>
      <x:c r="M50" s="117" t="str">
        <x:v>Kedah expansion batch</x:v>
      </x:c>
      <x:c r="N50" s="117"/>
      <x:c r="O50" s="117" t="str">
        <x:v>2026-08-15 00:00:00</x:v>
      </x:c>
      <x:c r="P50" s="117" t="str">
        <x:v>Complete</x:v>
      </x:c>
      <x:c r="Q50" s="117" t="str">
        <x:v>Identity and Malaysian location verified in second-pass review on 2026-09-08.</x:v>
      </x:c>
      <x:c r="R50" s="117" t="str">
        <x:f t="shared" si="0">IF(J50="","Missing Link",IF(AND(ISNUMBER(SEARCH("google.com/maps",J50)),ISERROR(SEARCH(";",J50))),"Discovery Link Only","Source Link Present"))</x:f>
        <x:v>Discovery Link Only</x:v>
      </x:c>
      <x:c r="S50" s="117" t="str">
        <x:v>Unknown</x:v>
      </x:c>
      <x:c r="T50" s="117" t="str">
        <x:v>Unknown</x:v>
      </x:c>
      <x:c r="U50" s="117" t="str">
        <x:v>Unknown</x:v>
      </x:c>
      <x:c r="V50" s="117" t="str">
        <x:v>Unknown</x:v>
      </x:c>
      <x:c r="W50" s="117" t="str">
        <x:v>Unknown</x:v>
      </x:c>
      <x:c r="X50" s="117" t="str">
        <x:v>Unknown</x:v>
      </x:c>
      <x:c r="Y50" s="117" t="str">
        <x:v>Unknown</x:v>
      </x:c>
      <x:c r="Z50" s="117"/>
      <x:c r="AA50" s="117" t="str">
        <x:v>Pending evidence</x:v>
      </x:c>
      <x:c r="AB50" s="117"/>
      <x:c r="AC50" s="117" t="str">
        <x:v>No qualifying accessibility conclusion established from the screened sources. This is unknown, not evidence that the attraction is inaccessible.</x:v>
      </x:c>
      <x:c r="AD50" s="117" t="str">
        <x:v>2026-09-08</x:v>
      </x:c>
      <x:c r="AE50" s="117" t="str">
        <x:v>MC0047</x:v>
      </x:c>
      <x:c r="AF50" s="117" t="str">
        <x:v>Distinct candidate</x:v>
      </x:c>
      <x:c r="AG50" s="117" t="str"/>
      <x:c r="AH50" s="117" t="str">
        <x:v>Identity and location corroborated</x:v>
      </x:c>
      <x:c r="AI50" s="117" t="str">
        <x:v>https://www.openstreetmap.org/node/2122515522</x:v>
      </x:c>
      <x:c r="AJ50" s="117" t="str">
        <x:v>Mapped source matches the attraction name or established alias and the stated Malaysian location. This verifies identity/location only; confirm current opening and accessibility separately.</x:v>
      </x:c>
      <x:c r="AK50" s="117" t="str">
        <x:v>Not independently confirmed</x:v>
      </x:c>
      <x:c r="AL50" s="117" t="str">
        <x:v>Screened sources; accessibility unresolved</x:v>
      </x:c>
      <x:c r="AM50" s="117" t="str">
        <x:v>2026-09-08</x:v>
      </x:c>
      <x:c r="AN50" s="117" t="str">
        <x:v>https://thumb.wikimedia.org/wikipedia/commons/thumb/3/35/Telaga_tujuh_waterfalls.jpg/1280px-Telaga_tujuh_waterfalls.jpg?utm_source=commons.wikimedia.org&amp;utm_campaign=imageinfo&amp;utm_content=thumbnail</x:v>
      </x:c>
      <x:c r="AO50" s="117"/>
      <x:c r="AP50" s="117" t="str">
        <x:v>1 metadata-matched images; visual review pending</x:v>
      </x:c>
      <x:c r="AQ50" s="117"/>
    </x:row>
    <x:row r="51" ht="66" customHeight="1">
      <x:c r="A51" s="117" t="str">
        <x:v>MC0048</x:v>
      </x:c>
      <x:c r="B51" s="117" t="str">
        <x:v>Tanjung Rhu Beach</x:v>
      </x:c>
      <x:c r="C51" s="117" t="str">
        <x:v>Kedah</x:v>
      </x:c>
      <x:c r="D51" s="117" t="str">
        <x:v>Langkawi</x:v>
      </x:c>
      <x:c r="E51" s="117" t="str">
        <x:v>Beach and Island</x:v>
      </x:c>
      <x:c r="F51" s="117" t="str">
        <x:v>Popular</x:v>
      </x:c>
      <x:c r="G51" s="117" t="str">
        <x:v>Outdoor</x:v>
      </x:c>
      <x:c r="H51" s="117" t="str">
        <x:v>beach; sunset; scenery</x:v>
      </x:c>
      <x:c r="I51" s="117" t="str">
        <x:v>A quiet, scenic beach on Langkawi's northern coast known for its sandbar and limestone cliff backdrop.</x:v>
      </x:c>
      <x:c r="J51" s="117" t="str">
        <x:v>https://www.google.com/maps/search/?api=1&amp;query=Tanjung%20Rhu%20Beach%2C%20Kedah%2C%20Malaysia</x:v>
      </x:c>
      <x:c r="K51" s="117" t="str">
        <x:v>https://ebrochures.malaysia.travel/en/malaysia-travel-guide/kedah/</x:v>
      </x:c>
      <x:c r="L51" s="117" t="str">
        <x:v>Tourism Malaysia state guide plus map discovery link</x:v>
      </x:c>
      <x:c r="M51" s="117" t="str">
        <x:v>Kedah expansion batch</x:v>
      </x:c>
      <x:c r="N51" s="117"/>
      <x:c r="O51" s="117" t="str">
        <x:v>2026-08-15 00:00:00</x:v>
      </x:c>
      <x:c r="P51" s="117" t="str">
        <x:v>Complete</x:v>
      </x:c>
      <x:c r="Q51" s="117" t="str">
        <x:v>Identity and Malaysian location verified in second-pass review on 2026-09-08.</x:v>
      </x:c>
      <x:c r="R51" s="117" t="str">
        <x:f t="shared" si="0">IF(J51="","Missing Link",IF(AND(ISNUMBER(SEARCH("google.com/maps",J51)),ISERROR(SEARCH(";",J51))),"Discovery Link Only","Source Link Present"))</x:f>
        <x:v>Discovery Link Only</x:v>
      </x:c>
      <x:c r="S51" s="117" t="str">
        <x:v>Unknown</x:v>
      </x:c>
      <x:c r="T51" s="117" t="str">
        <x:v>Unknown</x:v>
      </x:c>
      <x:c r="U51" s="117" t="str">
        <x:v>Unknown</x:v>
      </x:c>
      <x:c r="V51" s="117" t="str">
        <x:v>Unknown</x:v>
      </x:c>
      <x:c r="W51" s="117" t="str">
        <x:v>Unknown</x:v>
      </x:c>
      <x:c r="X51" s="117" t="str">
        <x:v>Unknown</x:v>
      </x:c>
      <x:c r="Y51" s="117" t="str">
        <x:v>Unknown</x:v>
      </x:c>
      <x:c r="Z51" s="117"/>
      <x:c r="AA51" s="117" t="str">
        <x:v>Pending evidence</x:v>
      </x:c>
      <x:c r="AB51" s="117"/>
      <x:c r="AC51" s="117" t="str">
        <x:v>No qualifying accessibility conclusion established from the screened sources. This is unknown, not evidence that the attraction is inaccessible.</x:v>
      </x:c>
      <x:c r="AD51" s="117" t="str">
        <x:v>2026-09-08</x:v>
      </x:c>
      <x:c r="AE51" s="117" t="str">
        <x:v>MC0048</x:v>
      </x:c>
      <x:c r="AF51" s="117" t="str">
        <x:v>Distinct candidate</x:v>
      </x:c>
      <x:c r="AG51" s="117" t="str"/>
      <x:c r="AH51" s="117" t="str">
        <x:v>Identity and location corroborated</x:v>
      </x:c>
      <x:c r="AI51" s="117" t="str">
        <x:v>https://www.openstreetmap.org/relation/4013309</x:v>
      </x:c>
      <x:c r="AJ51" s="117" t="str">
        <x:v>Mapped source matches the attraction name or established alias and the stated Malaysian location. This verifies identity/location only; confirm current opening and accessibility separately.</x:v>
      </x:c>
      <x:c r="AK51" s="117" t="str">
        <x:v>Not independently confirmed</x:v>
      </x:c>
      <x:c r="AL51" s="117" t="str">
        <x:v>Screened sources; accessibility unresolved</x:v>
      </x:c>
      <x:c r="AM51" s="117" t="str">
        <x:v>2026-09-08</x:v>
      </x:c>
      <x:c r="AN51" s="117" t="str">
        <x:v>https://thumb.wikimedia.org/wikipedia/commons/thumb/b/b7/Tanjung_Rhu_Beach.jpg/1280px-Tanjung_Rhu_Beach.jpg?utm_source=commons.wikimedia.org&amp;utm_campaign=imageinfo&amp;utm_content=thumbnail</x:v>
      </x:c>
      <x:c r="AO51" s="117" t="str">
        <x:v>https://thumb.wikimedia.org/wikipedia/commons/thumb/3/37/Jalan_Tanjung_Rhu%2C_07000_Langkawi%2C_Kedah%2C_Malaysia_-_panoramio_-_jetsun_%287%29.jpg/1280px-Jalan_Tanjung_Rhu%2C_07000_Langkawi%2C_Kedah%2C_Malaysia_-_panoramio_-_jetsun_%287%29.jpg?utm_source=commons.wikimedia.org&amp;utm_campaign=imageinfo&amp;utm_content=thumbnail</x:v>
      </x:c>
      <x:c r="AP51" s="117" t="str">
        <x:v>2 metadata-matched images; visual review pending</x:v>
      </x:c>
      <x:c r="AQ51" s="117"/>
    </x:row>
    <x:row r="52" ht="66" customHeight="1">
      <x:c r="A52" s="117" t="str">
        <x:v>MC0049</x:v>
      </x:c>
      <x:c r="B52" s="117" t="str">
        <x:v>Black Sand Beach</x:v>
      </x:c>
      <x:c r="C52" s="117" t="str">
        <x:v>Kedah</x:v>
      </x:c>
      <x:c r="D52" s="117" t="str">
        <x:v>Langkawi</x:v>
      </x:c>
      <x:c r="E52" s="117" t="str">
        <x:v>Beach and Island</x:v>
      </x:c>
      <x:c r="F52" s="117" t="str">
        <x:v>Underrated</x:v>
      </x:c>
      <x:c r="G52" s="117" t="str">
        <x:v>Outdoor</x:v>
      </x:c>
      <x:c r="H52" s="117" t="str">
        <x:v>beach; geology; village</x:v>
      </x:c>
      <x:c r="I52" s="117" t="str">
        <x:v>A beach on Langkawi known for its distinctive dark-coloured sand.</x:v>
      </x:c>
      <x:c r="J52" s="117" t="str">
        <x:v>https://www.google.com/maps/search/?api=1&amp;query=Black%20Sand%20Beach%2C%20Kedah%2C%20Malaysia</x:v>
      </x:c>
      <x:c r="K52" s="117" t="str">
        <x:v>https://ebrochures.malaysia.travel/en/malaysia-travel-guide/kedah/</x:v>
      </x:c>
      <x:c r="L52" s="117" t="str">
        <x:v>Tourism Malaysia state guide plus map discovery link</x:v>
      </x:c>
      <x:c r="M52" s="117" t="str">
        <x:v>Kedah expansion batch</x:v>
      </x:c>
      <x:c r="N52" s="117"/>
      <x:c r="O52" s="117" t="str">
        <x:v>2026-08-15 00:00:00</x:v>
      </x:c>
      <x:c r="P52" s="117" t="str">
        <x:v>Complete</x:v>
      </x:c>
      <x:c r="Q52" s="117" t="str">
        <x:v>Identity and Malaysian location verified in second-pass review on 2026-09-08.</x:v>
      </x:c>
      <x:c r="R52" s="117" t="str">
        <x:f t="shared" si="0">IF(J52="","Missing Link",IF(AND(ISNUMBER(SEARCH("google.com/maps",J52)),ISERROR(SEARCH(";",J52))),"Discovery Link Only","Source Link Present"))</x:f>
        <x:v>Discovery Link Only</x:v>
      </x:c>
      <x:c r="S52" s="117" t="str">
        <x:v>Unknown</x:v>
      </x:c>
      <x:c r="T52" s="117" t="str">
        <x:v>Unknown</x:v>
      </x:c>
      <x:c r="U52" s="117" t="str">
        <x:v>Unknown</x:v>
      </x:c>
      <x:c r="V52" s="117" t="str">
        <x:v>Unknown</x:v>
      </x:c>
      <x:c r="W52" s="117" t="str">
        <x:v>Unknown</x:v>
      </x:c>
      <x:c r="X52" s="117" t="str">
        <x:v>Unknown</x:v>
      </x:c>
      <x:c r="Y52" s="117" t="str">
        <x:v>Unknown</x:v>
      </x:c>
      <x:c r="Z52" s="117"/>
      <x:c r="AA52" s="117" t="str">
        <x:v>Pending evidence</x:v>
      </x:c>
      <x:c r="AB52" s="117"/>
      <x:c r="AC52" s="117" t="str">
        <x:v>No qualifying accessibility conclusion established from the screened sources. This is unknown, not evidence that the attraction is inaccessible.</x:v>
      </x:c>
      <x:c r="AD52" s="117" t="str">
        <x:v>2026-09-08</x:v>
      </x:c>
      <x:c r="AE52" s="117" t="str">
        <x:v>MC0049</x:v>
      </x:c>
      <x:c r="AF52" s="117" t="str">
        <x:v>Distinct candidate</x:v>
      </x:c>
      <x:c r="AG52" s="117" t="str"/>
      <x:c r="AH52" s="117" t="str">
        <x:v>Identity and location corroborated</x:v>
      </x:c>
      <x:c r="AI52" s="117" t="str">
        <x:v>https://www.openstreetmap.org/way/202285115</x:v>
      </x:c>
      <x:c r="AJ52" s="117" t="str">
        <x:v>Mapped source matches the attraction name or established alias and the stated Malaysian location. This verifies identity/location only; confirm current opening and accessibility separately.</x:v>
      </x:c>
      <x:c r="AK52" s="117" t="str">
        <x:v>Not independently confirmed</x:v>
      </x:c>
      <x:c r="AL52" s="117" t="str">
        <x:v>Screened sources; accessibility unresolved</x:v>
      </x:c>
      <x:c r="AM52" s="117" t="str">
        <x:v>2026-09-08</x:v>
      </x:c>
      <x:c r="AN52" s="117" t="str">
        <x:v>https://thumb.wikimedia.org/wikipedia/commons/thumb/d/da/Punaluu_Black_Sand_Beach%2C_Hawaii%2C_USA8.jpg/1280px-Punaluu_Black_Sand_Beach%2C_Hawaii%2C_USA8.jpg?utm_source=commons.wikimedia.org&amp;utm_campaign=imageinfo&amp;utm_content=thumbnail</x:v>
      </x:c>
      <x:c r="AO52" s="117" t="str">
        <x:v>https://thumb.wikimedia.org/wikipedia/commons/thumb/7/7d/Punalu%27u_Beach%2C_Big_Island_of_Hawaii%2C_Hawaii_%284529499380%29.jpg/1280px-Punalu%27u_Beach%2C_Big_Island_of_Hawaii%2C_Hawaii_%284529499380%29.jpg?utm_source=commons.wikimedia.org&amp;utm_campaign=imageinfo&amp;utm_content=thumbnail</x:v>
      </x:c>
      <x:c r="AP52" s="117" t="str">
        <x:v>2 metadata-matched images; visual review pending</x:v>
      </x:c>
      <x:c r="AQ52" s="117"/>
    </x:row>
    <x:row r="53" ht="66" customHeight="1">
      <x:c r="A53" s="117" t="str">
        <x:v>MC0050</x:v>
      </x:c>
      <x:c r="B53" s="117" t="str">
        <x:v>Laman Padi Langkawi</x:v>
      </x:c>
      <x:c r="C53" s="117" t="str">
        <x:v>Kedah</x:v>
      </x:c>
      <x:c r="D53" s="117" t="str">
        <x:v>Langkawi</x:v>
      </x:c>
      <x:c r="E53" s="117" t="str">
        <x:v>Culture</x:v>
      </x:c>
      <x:c r="F53" s="117" t="str">
        <x:v>Local</x:v>
      </x:c>
      <x:c r="G53" s="117" t="str">
        <x:v>Both</x:v>
      </x:c>
      <x:c r="H53" s="117" t="str">
        <x:v>rice culture; museum; agriculture</x:v>
      </x:c>
      <x:c r="I53" s="117" t="str">
        <x:v>A rice-farming heritage park and museum on Langkawi showcasing Malaysian paddy cultivation traditions.</x:v>
      </x:c>
      <x:c r="J53" s="117" t="str">
        <x:v>https://www.google.com/maps/search/?api=1&amp;query=Laman%20Padi%20Langkawi%2C%20Kedah%2C%20Malaysia</x:v>
      </x:c>
      <x:c r="K53" s="117" t="str">
        <x:v>https://ebrochures.malaysia.travel/en/malaysia-travel-guide/kedah/</x:v>
      </x:c>
      <x:c r="L53" s="117" t="str">
        <x:v>Tourism Malaysia state guide plus map discovery link</x:v>
      </x:c>
      <x:c r="M53" s="117" t="str">
        <x:v>Kedah expansion batch</x:v>
      </x:c>
      <x:c r="N53" s="117"/>
      <x:c r="O53" s="117" t="str">
        <x:v>2026-08-15 00:00:00</x:v>
      </x:c>
      <x:c r="P53" s="117" t="str">
        <x:v>Complete</x:v>
      </x:c>
      <x:c r="Q53" s="117" t="str">
        <x:v>Identity and Malaysian location verified in second-pass review on 2026-09-08.</x:v>
      </x:c>
      <x:c r="R53" s="117" t="str">
        <x:f t="shared" si="0">IF(J53="","Missing Link",IF(AND(ISNUMBER(SEARCH("google.com/maps",J53)),ISERROR(SEARCH(";",J53))),"Discovery Link Only","Source Link Present"))</x:f>
        <x:v>Discovery Link Only</x:v>
      </x:c>
      <x:c r="S53" s="117" t="str">
        <x:v>Unknown</x:v>
      </x:c>
      <x:c r="T53" s="117" t="str">
        <x:v>Unknown</x:v>
      </x:c>
      <x:c r="U53" s="117" t="str">
        <x:v>Unknown</x:v>
      </x:c>
      <x:c r="V53" s="117" t="str">
        <x:v>Unknown</x:v>
      </x:c>
      <x:c r="W53" s="117" t="str">
        <x:v>Unknown</x:v>
      </x:c>
      <x:c r="X53" s="117" t="str">
        <x:v>Unknown</x:v>
      </x:c>
      <x:c r="Y53" s="117" t="str">
        <x:v>Unknown</x:v>
      </x:c>
      <x:c r="Z53" s="117"/>
      <x:c r="AA53" s="117" t="str">
        <x:v>Pending evidence</x:v>
      </x:c>
      <x:c r="AB53" s="117"/>
      <x:c r="AC53" s="117" t="str">
        <x:v>No qualifying accessibility conclusion established from the screened sources. This is unknown, not evidence that the attraction is inaccessible.</x:v>
      </x:c>
      <x:c r="AD53" s="117" t="str">
        <x:v>2026-09-08</x:v>
      </x:c>
      <x:c r="AE53" s="117" t="str">
        <x:v>MC0050</x:v>
      </x:c>
      <x:c r="AF53" s="117" t="str">
        <x:v>Distinct candidate</x:v>
      </x:c>
      <x:c r="AG53" s="117" t="str"/>
      <x:c r="AH53" s="117" t="str">
        <x:v>Identity and location corroborated</x:v>
      </x:c>
      <x:c r="AI53" s="117" t="str">
        <x:v>https://www.openstreetmap.org/node/1384060917</x:v>
      </x:c>
      <x:c r="AJ53" s="117" t="str">
        <x:v>Mapped source matches the attraction name or established alias and the stated Malaysian location. This verifies identity/location only; confirm current opening and accessibility separately.</x:v>
      </x:c>
      <x:c r="AK53" s="117" t="str">
        <x:v>Not independently confirmed</x:v>
      </x:c>
      <x:c r="AL53" s="117" t="str">
        <x:v>Screened sources; accessibility unresolved</x:v>
      </x:c>
      <x:c r="AM53" s="117" t="str">
        <x:v>2026-09-08</x:v>
      </x:c>
      <x:c r="AN53" s="117"/>
      <x:c r="AO53" s="117"/>
      <x:c r="AP53" s="117" t="str">
        <x:v>No usable pair located; image research pending</x:v>
      </x:c>
      <x:c r="AQ53" s="117"/>
    </x:row>
    <x:row r="54" ht="66" customHeight="1">
      <x:c r="A54" s="117" t="str">
        <x:v>MC0051</x:v>
      </x:c>
      <x:c r="B54" s="117" t="str">
        <x:v>MARDI Langkawi Agro Technology Park</x:v>
      </x:c>
      <x:c r="C54" s="117" t="str">
        <x:v>Kedah</x:v>
      </x:c>
      <x:c r="D54" s="117" t="str">
        <x:v>Langkawi</x:v>
      </x:c>
      <x:c r="E54" s="117" t="str">
        <x:v>Food</x:v>
      </x:c>
      <x:c r="F54" s="117" t="str">
        <x:v>Local</x:v>
      </x:c>
      <x:c r="G54" s="117" t="str">
        <x:v>Both</x:v>
      </x:c>
      <x:c r="H54" s="117" t="str">
        <x:v>agrotourism; fruit; farm</x:v>
      </x:c>
      <x:c r="I54" s="117" t="str">
        <x:v>An agricultural research park on Langkawi open to visitors, showcasing tropical fruit orchards and farming technology.</x:v>
      </x:c>
      <x:c r="J54" s="117" t="str">
        <x:v>https://www.google.com/maps/search/?api=1&amp;query=MARDI%20Langkawi%20Agro%20Technology%20Park%2C%20Kedah%2C%20Malaysia</x:v>
      </x:c>
      <x:c r="K54" s="117" t="str">
        <x:v>https://ebrochures.malaysia.travel/en/malaysia-travel-guide/kedah/</x:v>
      </x:c>
      <x:c r="L54" s="117" t="str">
        <x:v>Tourism Malaysia state guide plus map discovery link</x:v>
      </x:c>
      <x:c r="M54" s="117" t="str">
        <x:v>Kedah expansion batch</x:v>
      </x:c>
      <x:c r="N54" s="117"/>
      <x:c r="O54" s="117" t="str">
        <x:v>2026-08-15 00:00:00</x:v>
      </x:c>
      <x:c r="P54" s="117" t="str">
        <x:v>Complete</x:v>
      </x:c>
      <x:c r="Q54" s="117" t="str">
        <x:v>Identity and Malaysian location verified in second-pass review on 2026-09-08.</x:v>
      </x:c>
      <x:c r="R54" s="117" t="str">
        <x:f t="shared" si="0">IF(J54="","Missing Link",IF(AND(ISNUMBER(SEARCH("google.com/maps",J54)),ISERROR(SEARCH(";",J54))),"Discovery Link Only","Source Link Present"))</x:f>
        <x:v>Discovery Link Only</x:v>
      </x:c>
      <x:c r="S54" s="117" t="str">
        <x:v>Not measured</x:v>
      </x:c>
      <x:c r="T54" s="117" t="str">
        <x:v>Partial; confirm transitions</x:v>
      </x:c>
      <x:c r="U54" s="117" t="str">
        <x:v>Tram seating</x:v>
      </x:c>
      <x:c r="V54" s="117" t="str">
        <x:v>Public toilet; accessible cubicle unconfirmed</x:v>
      </x:c>
      <x:c r="W54" s="117" t="str">
        <x:v>Available</x:v>
      </x:c>
      <x:c r="X54" s="117" t="str">
        <x:v>Visitor centre/café</x:v>
      </x:c>
      <x:c r="Y54" s="117" t="str">
        <x:v>Conditional on mobility and vehicle transfer</x:v>
      </x:c>
      <x:c r="Z54" s="117" t="str">
        <x:v>A MARDI presentation documents OKU access and a tram station. Confirm tram boarding, wheelchair securement and current service before travel.</x:v>
      </x:c>
      <x:c r="AA54" s="117" t="str">
        <x:v>Documented support - conditional</x:v>
      </x:c>
      <x:c r="AB54" s="117" t="str">
        <x:v>https://anyflip.com/utlwp/jfrn/basic</x:v>
      </x:c>
      <x:c r="AC54" s="117" t="str">
        <x:v>Visitor centre and farm-tour tram route</x:v>
      </x:c>
      <x:c r="AD54" s="117" t="str">
        <x:v>2026-09-08</x:v>
      </x:c>
      <x:c r="AE54" s="117" t="str">
        <x:v>MC0051</x:v>
      </x:c>
      <x:c r="AF54" s="117" t="str">
        <x:v>Distinct candidate</x:v>
      </x:c>
      <x:c r="AG54" s="117" t="str"/>
      <x:c r="AH54" s="117" t="str">
        <x:v>Identity and location corroborated</x:v>
      </x:c>
      <x:c r="AI54" s="117" t="str">
        <x:v>https://pbt.kedah.gov.my/wp-content/uploads/2024/09/KEDAH-TOURISM-DIRECTORY.pdf</x:v>
      </x:c>
      <x:c r="AJ54" s="117" t="str">
        <x:v>Official state tourism directory matches the attraction name or established alias and the stated Malaysian location. This verifies identity/location only; confirm current opening and accessibility separately.</x:v>
      </x:c>
      <x:c r="AK54" s="117" t="str">
        <x:v>Not independently confirmed</x:v>
      </x:c>
      <x:c r="AL54" s="117" t="str">
        <x:v>Primary source - specific features only</x:v>
      </x:c>
      <x:c r="AM54" s="117" t="str">
        <x:v>2026-09-08</x:v>
      </x:c>
      <x:c r="AN54" s="117"/>
      <x:c r="AO54" s="117"/>
      <x:c r="AP54" s="117" t="str">
        <x:v>No usable pair located; image research pending</x:v>
      </x:c>
      <x:c r="AQ54" s="117"/>
    </x:row>
    <x:row r="55" ht="66" customHeight="1">
      <x:c r="A55" s="117" t="str">
        <x:v>MC0052</x:v>
      </x:c>
      <x:c r="B55" s="117" t="str">
        <x:v>Zahir Mosque</x:v>
      </x:c>
      <x:c r="C55" s="117" t="str">
        <x:v>Kedah</x:v>
      </x:c>
      <x:c r="D55" s="117" t="str">
        <x:v>Alor Setar</x:v>
      </x:c>
      <x:c r="E55" s="117" t="str">
        <x:v>Religious Site</x:v>
      </x:c>
      <x:c r="F55" s="117" t="str">
        <x:v>Popular</x:v>
      </x:c>
      <x:c r="G55" s="117" t="str">
        <x:v>Both</x:v>
      </x:c>
      <x:c r="H55" s="117" t="str">
        <x:v>mosque; architecture; landmark</x:v>
      </x:c>
      <x:c r="I55" s="117" t="str">
        <x:v>Kedah's state mosque in Alor Setar, one of Malaysia's oldest and grandest mosques, completed in 1912.</x:v>
      </x:c>
      <x:c r="J55" s="117" t="str">
        <x:v>https://www.google.com/maps/search/?api=1&amp;query=Zahir%20Mosque%2C%20Kedah%2C%20Malaysia</x:v>
      </x:c>
      <x:c r="K55" s="117" t="str">
        <x:v>https://ebrochures.malaysia.travel/en/malaysia-travel-guide/kedah/</x:v>
      </x:c>
      <x:c r="L55" s="117" t="str">
        <x:v>Tourism Malaysia state guide plus map discovery link</x:v>
      </x:c>
      <x:c r="M55" s="117" t="str">
        <x:v>Kedah expansion batch</x:v>
      </x:c>
      <x:c r="N55" s="117"/>
      <x:c r="O55" s="117" t="str">
        <x:v>2026-08-15 00:00:00</x:v>
      </x:c>
      <x:c r="P55" s="117" t="str">
        <x:v>Complete</x:v>
      </x:c>
      <x:c r="Q55" s="117"/>
      <x:c r="R55" s="117" t="str">
        <x:f t="shared" si="0">IF(J55="","Missing Link",IF(AND(ISNUMBER(SEARCH("google.com/maps",J55)),ISERROR(SEARCH(";",J55))),"Discovery Link Only","Source Link Present"))</x:f>
        <x:v>Discovery Link Only</x:v>
      </x:c>
      <x:c r="S55" s="117" t="str">
        <x:v>Unknown</x:v>
      </x:c>
      <x:c r="T55" s="117" t="str">
        <x:v>Unknown</x:v>
      </x:c>
      <x:c r="U55" s="117" t="str">
        <x:v>Unknown</x:v>
      </x:c>
      <x:c r="V55" s="117" t="str">
        <x:v>Unknown</x:v>
      </x:c>
      <x:c r="W55" s="117" t="str">
        <x:v>Unknown</x:v>
      </x:c>
      <x:c r="X55" s="117" t="str">
        <x:v>Unknown</x:v>
      </x:c>
      <x:c r="Y55" s="117" t="str">
        <x:v>Unknown</x:v>
      </x:c>
      <x:c r="Z55" s="117"/>
      <x:c r="AA55" s="117" t="str">
        <x:v>Pending evidence</x:v>
      </x:c>
      <x:c r="AB55" s="117"/>
      <x:c r="AC55" s="117" t="str">
        <x:v>No qualifying accessibility conclusion established from the screened sources. This is unknown, not evidence that the attraction is inaccessible.</x:v>
      </x:c>
      <x:c r="AD55" s="117" t="str">
        <x:v>2026-09-08</x:v>
      </x:c>
      <x:c r="AE55" s="117" t="str">
        <x:v>MC0052</x:v>
      </x:c>
      <x:c r="AF55" s="117" t="str">
        <x:v>Distinct candidate</x:v>
      </x:c>
      <x:c r="AG55" s="117" t="str"/>
      <x:c r="AH55" s="117" t="str">
        <x:v>Name corroborated in source</x:v>
      </x:c>
      <x:c r="AI55" s="117" t="str">
        <x:v>https://ebrochures.malaysia.travel/en/malaysia-travel-guide/kedah/</x:v>
      </x:c>
      <x:c r="AJ55" s="117" t="str">
        <x:v>Place name or established alias matched in the cited source. This is not confirmation of current opening, all visitor facilities or the full description.</x:v>
      </x:c>
      <x:c r="AK55" s="117" t="str">
        <x:v>Not independently confirmed</x:v>
      </x:c>
      <x:c r="AL55" s="117" t="str">
        <x:v>Screened sources; accessibility unresolved</x:v>
      </x:c>
      <x:c r="AM55" s="117" t="str">
        <x:v>2026-09-08</x:v>
      </x:c>
      <x:c r="AN55" s="117" t="str">
        <x:v>https://thumb.wikimedia.org/wikipedia/commons/thumb/b/ba/Masjid_zahir%2C_alor_setar.jpg/1280px-Masjid_zahir%2C_alor_setar.jpg?utm_source=commons.wikimedia.org&amp;utm_campaign=imageinfo&amp;utm_content=thumbnail</x:v>
      </x:c>
      <x:c r="AO55" s="117" t="str">
        <x:v>https://thumb.wikimedia.org/wikipedia/commons/thumb/1/14/Zahir_Masjid_prayer_area.jpg/1280px-Zahir_Masjid_prayer_area.jpg?utm_source=commons.wikimedia.org&amp;utm_campaign=imageinfo&amp;utm_content=thumbnail</x:v>
      </x:c>
      <x:c r="AP55" s="117" t="str">
        <x:v>2 metadata-matched images; visual review pending</x:v>
      </x:c>
      <x:c r="AQ55" s="117"/>
    </x:row>
    <x:row r="56" ht="66" customHeight="1">
      <x:c r="A56" s="117" t="str">
        <x:v>MC0053</x:v>
      </x:c>
      <x:c r="B56" s="117" t="str">
        <x:v>Balai Besar</x:v>
      </x:c>
      <x:c r="C56" s="117" t="str">
        <x:v>Kedah</x:v>
      </x:c>
      <x:c r="D56" s="117" t="str">
        <x:v>Alor Setar</x:v>
      </x:c>
      <x:c r="E56" s="117" t="str">
        <x:v>Heritage and History</x:v>
      </x:c>
      <x:c r="F56" s="117" t="str">
        <x:v>Underrated</x:v>
      </x:c>
      <x:c r="G56" s="117" t="str">
        <x:v>Both</x:v>
      </x:c>
      <x:c r="H56" s="117" t="str">
        <x:v>royal heritage; architecture</x:v>
      </x:c>
      <x:c r="I56" s="117" t="str">
        <x:v>A royal audience hall in Alor Setar built in traditional Malay architectural style, used for official ceremonies.</x:v>
      </x:c>
      <x:c r="J56" s="117" t="str">
        <x:v>https://www.google.com/maps/search/?api=1&amp;query=Balai%20Besar%2C%20Kedah%2C%20Malaysia</x:v>
      </x:c>
      <x:c r="K56" s="117" t="str">
        <x:v>https://ebrochures.malaysia.travel/en/malaysia-travel-guide/kedah/</x:v>
      </x:c>
      <x:c r="L56" s="117" t="str">
        <x:v>Tourism Malaysia state guide plus map discovery link</x:v>
      </x:c>
      <x:c r="M56" s="117" t="str">
        <x:v>Kedah expansion batch</x:v>
      </x:c>
      <x:c r="N56" s="117"/>
      <x:c r="O56" s="117" t="str">
        <x:v>2026-08-15 00:00:00</x:v>
      </x:c>
      <x:c r="P56" s="117" t="str">
        <x:v>Complete</x:v>
      </x:c>
      <x:c r="Q56" s="117"/>
      <x:c r="R56" s="117" t="str">
        <x:f t="shared" si="0">IF(J56="","Missing Link",IF(AND(ISNUMBER(SEARCH("google.com/maps",J56)),ISERROR(SEARCH(";",J56))),"Discovery Link Only","Source Link Present"))</x:f>
        <x:v>Discovery Link Only</x:v>
      </x:c>
      <x:c r="S56" s="117" t="str">
        <x:v>Unknown</x:v>
      </x:c>
      <x:c r="T56" s="117" t="str">
        <x:v>Unknown</x:v>
      </x:c>
      <x:c r="U56" s="117" t="str">
        <x:v>Unknown</x:v>
      </x:c>
      <x:c r="V56" s="117" t="str">
        <x:v>Unknown</x:v>
      </x:c>
      <x:c r="W56" s="117" t="str">
        <x:v>Unknown</x:v>
      </x:c>
      <x:c r="X56" s="117" t="str">
        <x:v>Unknown</x:v>
      </x:c>
      <x:c r="Y56" s="117" t="str">
        <x:v>Unknown</x:v>
      </x:c>
      <x:c r="Z56" s="117"/>
      <x:c r="AA56" s="117" t="str">
        <x:v>Pending evidence</x:v>
      </x:c>
      <x:c r="AB56" s="117"/>
      <x:c r="AC56" s="117" t="str">
        <x:v>No qualifying accessibility conclusion established from the screened sources. This is unknown, not evidence that the attraction is inaccessible.</x:v>
      </x:c>
      <x:c r="AD56" s="117" t="str">
        <x:v>2026-09-08</x:v>
      </x:c>
      <x:c r="AE56" s="117" t="str">
        <x:v>MC0053</x:v>
      </x:c>
      <x:c r="AF56" s="117" t="str">
        <x:v>Distinct candidate</x:v>
      </x:c>
      <x:c r="AG56" s="117" t="str"/>
      <x:c r="AH56" s="117" t="str">
        <x:v>Name corroborated in source</x:v>
      </x:c>
      <x:c r="AI56" s="117" t="str">
        <x:v>https://ebrochures.malaysia.travel/en/malaysia-travel-guide/kedah/</x:v>
      </x:c>
      <x:c r="AJ56" s="117" t="str">
        <x:v>Place name or established alias matched in the cited source. This is not confirmation of current opening, all visitor facilities or the full description.</x:v>
      </x:c>
      <x:c r="AK56" s="117" t="str">
        <x:v>Not independently confirmed</x:v>
      </x:c>
      <x:c r="AL56" s="117" t="str">
        <x:v>Screened sources; accessibility unresolved</x:v>
      </x:c>
      <x:c r="AM56" s="117" t="str">
        <x:v>2026-09-08</x:v>
      </x:c>
      <x:c r="AN56" s="117"/>
      <x:c r="AO56" s="117"/>
      <x:c r="AP56" s="117" t="str">
        <x:v>No usable pair located; image research pending</x:v>
      </x:c>
      <x:c r="AQ56" s="117"/>
    </x:row>
    <x:row r="57" ht="66" customHeight="1">
      <x:c r="A57" s="117" t="str">
        <x:v>MC0054</x:v>
      </x:c>
      <x:c r="B57" s="117" t="str">
        <x:v>Pekan Rabu Complex</x:v>
      </x:c>
      <x:c r="C57" s="117" t="str">
        <x:v>Kedah</x:v>
      </x:c>
      <x:c r="D57" s="117" t="str">
        <x:v>Alor Setar</x:v>
      </x:c>
      <x:c r="E57" s="117" t="str">
        <x:v>Shopping</x:v>
      </x:c>
      <x:c r="F57" s="117" t="str">
        <x:v>Local</x:v>
      </x:c>
      <x:c r="G57" s="117" t="str">
        <x:v>Indoor</x:v>
      </x:c>
      <x:c r="H57" s="117" t="str">
        <x:v>market; crafts; local food</x:v>
      </x:c>
      <x:c r="I57" s="117" t="str">
        <x:v>The covered market building in Alor Setar housing Pekan Rabu vendors and Kedah handicraft stalls.</x:v>
      </x:c>
      <x:c r="J57" s="117" t="str">
        <x:v>https://www.google.com/maps/search/?api=1&amp;query=Pekan%20Rabu%20Complex%2C%20Kedah%2C%20Malaysia</x:v>
      </x:c>
      <x:c r="K57" s="117" t="str">
        <x:v>https://ebrochures.malaysia.travel/en/malaysia-travel-guide/kedah/</x:v>
      </x:c>
      <x:c r="L57" s="117" t="str">
        <x:v>Tourism Malaysia state guide plus map discovery link</x:v>
      </x:c>
      <x:c r="M57" s="117" t="str">
        <x:v>Kedah expansion batch</x:v>
      </x:c>
      <x:c r="N57" s="117"/>
      <x:c r="O57" s="117" t="str">
        <x:v>2026-08-15 00:00:00</x:v>
      </x:c>
      <x:c r="P57" s="117" t="str">
        <x:v>Complete</x:v>
      </x:c>
      <x:c r="Q57" s="117" t="str">
        <x:v>Duplicate alias: use MC0045 Identity and Malaysian location verified in second-pass review on 2026-09-08.</x:v>
      </x:c>
      <x:c r="R57" s="117" t="str">
        <x:f t="shared" si="0">IF(J57="","Missing Link",IF(AND(ISNUMBER(SEARCH("google.com/maps",J57)),ISERROR(SEARCH(";",J57))),"Discovery Link Only","Source Link Present"))</x:f>
        <x:v>Discovery Link Only</x:v>
      </x:c>
      <x:c r="S57" s="117" t="str">
        <x:v>Unknown</x:v>
      </x:c>
      <x:c r="T57" s="117" t="str">
        <x:v>Unknown</x:v>
      </x:c>
      <x:c r="U57" s="117" t="str">
        <x:v>Unknown</x:v>
      </x:c>
      <x:c r="V57" s="117" t="str">
        <x:v>Unknown</x:v>
      </x:c>
      <x:c r="W57" s="117" t="str">
        <x:v>Unknown</x:v>
      </x:c>
      <x:c r="X57" s="117" t="str">
        <x:v>Unknown</x:v>
      </x:c>
      <x:c r="Y57" s="117" t="str">
        <x:v>Unknown</x:v>
      </x:c>
      <x:c r="Z57" s="117"/>
      <x:c r="AA57" s="117" t="str">
        <x:v>Duplicate - use canonical ID</x:v>
      </x:c>
      <x:c r="AB57" s="117"/>
      <x:c r="AC57" s="117" t="str">
        <x:v>No qualifying accessibility conclusion established from the screened sources. This is unknown, not evidence that the attraction is inaccessible.</x:v>
      </x:c>
      <x:c r="AD57" s="117" t="str">
        <x:v>2026-09-08</x:v>
      </x:c>
      <x:c r="AE57" s="117" t="str">
        <x:v>MC0045</x:v>
      </x:c>
      <x:c r="AF57" s="117" t="str">
        <x:v>Duplicate alias</x:v>
      </x:c>
      <x:c r="AG57" s="117" t="str"/>
      <x:c r="AH57" s="117" t="str">
        <x:v>Identity and location corroborated</x:v>
      </x:c>
      <x:c r="AI57" s="117" t="str">
        <x:v>https://www.waze.com/ms/live-map/directions/my/kedah/alor-setar/pekan-rabu-complex?to=place.ChIJB19a0L1ESzARL7ijN_Wf1AQ</x:v>
      </x:c>
      <x:c r="AJ57" s="117" t="str">
        <x:v>Mapped source matches the attraction name or established alias and the stated Malaysian location. This verifies identity/location only; confirm current opening and accessibility separately.</x:v>
      </x:c>
      <x:c r="AK57" s="117" t="str">
        <x:v>Not independently confirmed</x:v>
      </x:c>
      <x:c r="AL57" s="117" t="str">
        <x:v>Screened sources; accessibility unresolved</x:v>
      </x:c>
      <x:c r="AM57" s="117" t="str">
        <x:v>2026-09-08</x:v>
      </x:c>
      <x:c r="AN57" s="117" t="str">
        <x:v>https://thumb.wikimedia.org/wikipedia/commons/thumb/2/24/Polres_Pekalongan.jpg/1280px-Polres_Pekalongan.jpg?utm_source=commons.wikimedia.org&amp;utm_campaign=imageinfo&amp;utm_content=thumbnail</x:v>
      </x:c>
      <x:c r="AO57" s="117"/>
      <x:c r="AP57" s="117" t="str">
        <x:v>1 metadata-matched images; visual review pending</x:v>
      </x:c>
      <x:c r="AQ57" s="117"/>
    </x:row>
    <x:row r="58" ht="66" customHeight="1">
      <x:c r="A58" s="117" t="str">
        <x:v>MC0055</x:v>
      </x:c>
      <x:c r="B58" s="117" t="str">
        <x:v>Kedah State Museum</x:v>
      </x:c>
      <x:c r="C58" s="117" t="str">
        <x:v>Kedah</x:v>
      </x:c>
      <x:c r="D58" s="117" t="str">
        <x:v>Alor Setar</x:v>
      </x:c>
      <x:c r="E58" s="117" t="str">
        <x:v>Museum and Gallery</x:v>
      </x:c>
      <x:c r="F58" s="117" t="str">
        <x:v>Local</x:v>
      </x:c>
      <x:c r="G58" s="117" t="str">
        <x:v>Indoor</x:v>
      </x:c>
      <x:c r="H58" s="117" t="str">
        <x:v>state history; culture; museum</x:v>
      </x:c>
      <x:c r="I58" s="117" t="str">
        <x:v>A state museum in Alor Setar covering Kedah's history, culture and links to the Bujang Valley civilisation.</x:v>
      </x:c>
      <x:c r="J58" s="117" t="str">
        <x:v>https://www.google.com/maps/search/?api=1&amp;query=Kedah%20State%20Museum%2C%20Kedah%2C%20Malaysia</x:v>
      </x:c>
      <x:c r="K58" s="117" t="str">
        <x:v>https://ebrochures.malaysia.travel/en/malaysia-travel-guide/kedah/</x:v>
      </x:c>
      <x:c r="L58" s="117" t="str">
        <x:v>Tourism Malaysia state guide plus map discovery link</x:v>
      </x:c>
      <x:c r="M58" s="117" t="str">
        <x:v>Kedah expansion batch</x:v>
      </x:c>
      <x:c r="N58" s="117"/>
      <x:c r="O58" s="117" t="str">
        <x:v>2026-08-15 00:00:00</x:v>
      </x:c>
      <x:c r="P58" s="117" t="str">
        <x:v>Complete</x:v>
      </x:c>
      <x:c r="Q58" s="117"/>
      <x:c r="R58" s="117" t="str">
        <x:f t="shared" si="0">IF(J58="","Missing Link",IF(AND(ISNUMBER(SEARCH("google.com/maps",J58)),ISERROR(SEARCH(";",J58))),"Discovery Link Only","Source Link Present"))</x:f>
        <x:v>Discovery Link Only</x:v>
      </x:c>
      <x:c r="S58" s="117" t="str">
        <x:v>Not measured</x:v>
      </x:c>
      <x:c r="T58" s="117" t="str">
        <x:v>Reported; not operator-confirmed</x:v>
      </x:c>
      <x:c r="U58" s="117" t="str">
        <x:v>Unknown</x:v>
      </x:c>
      <x:c r="V58" s="117" t="str">
        <x:v>Unknown</x:v>
      </x:c>
      <x:c r="W58" s="117" t="str">
        <x:v>Unknown</x:v>
      </x:c>
      <x:c r="X58" s="117" t="str">
        <x:v>Unknown</x:v>
      </x:c>
      <x:c r="Y58" s="117" t="str">
        <x:v>Conditional on mobility and route</x:v>
      </x:c>
      <x:c r="Z58" s="117" t="str">
        <x:v>The cited guide describes wheelchair access. The second original guide repeats this source and is not independent corroboration. Confirm route and accessible toilet with the museum.</x:v>
      </x:c>
      <x:c r="AA58" s="117" t="str">
        <x:v>Reported support - confirm</x:v>
      </x:c>
      <x:c r="AB58" s="117" t="str">
        <x:v>https://lacamisa.my/kedah-state-museum/</x:v>
      </x:c>
      <x:c r="AC58" s="117" t="str">
        <x:v>Museum visit; exact route unconfirmed</x:v>
      </x:c>
      <x:c r="AD58" s="117" t="str">
        <x:v>2026-09-08</x:v>
      </x:c>
      <x:c r="AE58" s="117" t="str">
        <x:v>MC0055</x:v>
      </x:c>
      <x:c r="AF58" s="117" t="str">
        <x:v>Distinct candidate</x:v>
      </x:c>
      <x:c r="AG58" s="117" t="str"/>
      <x:c r="AH58" s="117" t="str">
        <x:v>Venue-specific source reviewed</x:v>
      </x:c>
      <x:c r="AI58" s="117" t="str">
        <x:v>https://lacamisa.my/kedah-state-museum/</x:v>
      </x:c>
      <x:c r="AJ58" s="117" t="str">
        <x:v>Place name or established alias matched in the cited source. This is not confirmation of current opening, all visitor facilities or the full description.</x:v>
      </x:c>
      <x:c r="AK58" s="117" t="str">
        <x:v>Not independently confirmed</x:v>
      </x:c>
      <x:c r="AL58" s="117" t="str">
        <x:v>Secondary accessibility evidence reviewed</x:v>
      </x:c>
      <x:c r="AM58" s="117" t="str">
        <x:v>2026-09-08</x:v>
      </x:c>
      <x:c r="AN58" s="117" t="str">
        <x:v>https://thumb.wikimedia.org/wikipedia/commons/thumb/1/15/Muzium_Negeri_Kedah_%2811270888223%29.jpg/1280px-Muzium_Negeri_Kedah_%2811270888223%29.jpg?utm_source=commons.wikimedia.org&amp;utm_campaign=imageinfo&amp;utm_content=thumbnail</x:v>
      </x:c>
      <x:c r="AO58" s="117" t="str">
        <x:v>https://thumb.wikimedia.org/wikipedia/commons/thumb/4/45/Muzium_Negeri_Kedah_%2811270752515%29.jpg/1280px-Muzium_Negeri_Kedah_%2811270752515%29.jpg?utm_source=commons.wikimedia.org&amp;utm_campaign=imageinfo&amp;utm_content=thumbnail</x:v>
      </x:c>
      <x:c r="AP58" s="117" t="str">
        <x:v>2 metadata-matched images; visual review pending</x:v>
      </x:c>
      <x:c r="AQ58" s="117"/>
    </x:row>
    <x:row r="59" ht="66" customHeight="1">
      <x:c r="A59" s="117" t="str">
        <x:v>MC0056</x:v>
      </x:c>
      <x:c r="B59" s="117" t="str">
        <x:v>Kuala Kedah Fort</x:v>
      </x:c>
      <x:c r="C59" s="117" t="str">
        <x:v>Kedah</x:v>
      </x:c>
      <x:c r="D59" s="117" t="str">
        <x:v>Kuala Kedah</x:v>
      </x:c>
      <x:c r="E59" s="117" t="str">
        <x:v>Heritage and History</x:v>
      </x:c>
      <x:c r="F59" s="117" t="str">
        <x:v>Popular</x:v>
      </x:c>
      <x:c r="G59" s="117" t="str">
        <x:v>Both</x:v>
      </x:c>
      <x:c r="H59" s="117" t="str">
        <x:v>fort; history; river mouth</x:v>
      </x:c>
      <x:c r="I59" s="117" t="str">
        <x:v>An 18th-century fort at the mouth of the Kedah River, built to defend against Siamese and Portuguese incursions.</x:v>
      </x:c>
      <x:c r="J59" s="117" t="str">
        <x:v>https://www.google.com/maps/search/?api=1&amp;query=Kuala%20Kedah%20Fort%2C%20Kedah%2C%20Malaysia</x:v>
      </x:c>
      <x:c r="K59" s="117" t="str">
        <x:v>https://ebrochures.malaysia.travel/en/malaysia-travel-guide/kedah/</x:v>
      </x:c>
      <x:c r="L59" s="117" t="str">
        <x:v>Tourism Malaysia state guide plus map discovery link</x:v>
      </x:c>
      <x:c r="M59" s="117" t="str">
        <x:v>Kedah expansion batch</x:v>
      </x:c>
      <x:c r="N59" s="117"/>
      <x:c r="O59" s="117" t="str">
        <x:v>2026-08-15 00:00:00</x:v>
      </x:c>
      <x:c r="P59" s="117" t="str">
        <x:v>Complete</x:v>
      </x:c>
      <x:c r="Q59" s="117"/>
      <x:c r="R59" s="117" t="str">
        <x:f t="shared" si="0">IF(J59="","Missing Link",IF(AND(ISNUMBER(SEARCH("google.com/maps",J59)),ISERROR(SEARCH(";",J59))),"Discovery Link Only","Source Link Present"))</x:f>
        <x:v>Discovery Link Only</x:v>
      </x:c>
      <x:c r="S59" s="117" t="str">
        <x:v>Unknown</x:v>
      </x:c>
      <x:c r="T59" s="117" t="str">
        <x:v>Unknown</x:v>
      </x:c>
      <x:c r="U59" s="117" t="str">
        <x:v>Unknown</x:v>
      </x:c>
      <x:c r="V59" s="117" t="str">
        <x:v>Unknown</x:v>
      </x:c>
      <x:c r="W59" s="117" t="str">
        <x:v>Unknown</x:v>
      </x:c>
      <x:c r="X59" s="117" t="str">
        <x:v>Unknown</x:v>
      </x:c>
      <x:c r="Y59" s="117" t="str">
        <x:v>Unknown</x:v>
      </x:c>
      <x:c r="Z59" s="117"/>
      <x:c r="AA59" s="117" t="str">
        <x:v>Pending evidence</x:v>
      </x:c>
      <x:c r="AB59" s="117"/>
      <x:c r="AC59" s="117" t="str">
        <x:v>No qualifying accessibility conclusion established from the screened sources. This is unknown, not evidence that the attraction is inaccessible.</x:v>
      </x:c>
      <x:c r="AD59" s="117" t="str">
        <x:v>2026-09-08</x:v>
      </x:c>
      <x:c r="AE59" s="117" t="str">
        <x:v>MC0056</x:v>
      </x:c>
      <x:c r="AF59" s="117" t="str">
        <x:v>Distinct candidate</x:v>
      </x:c>
      <x:c r="AG59" s="117" t="str"/>
      <x:c r="AH59" s="117" t="str">
        <x:v>Name corroborated in source</x:v>
      </x:c>
      <x:c r="AI59" s="117" t="str">
        <x:v>https://ebrochures.malaysia.travel/en/malaysia-travel-guide/kedah/</x:v>
      </x:c>
      <x:c r="AJ59" s="117" t="str">
        <x:v>Place name or established alias matched in the cited source. This is not confirmation of current opening, all visitor facilities or the full description.</x:v>
      </x:c>
      <x:c r="AK59" s="117" t="str">
        <x:v>Not independently confirmed</x:v>
      </x:c>
      <x:c r="AL59" s="117" t="str">
        <x:v>Screened sources; accessibility unresolved</x:v>
      </x:c>
      <x:c r="AM59" s="117" t="str">
        <x:v>2026-09-08</x:v>
      </x:c>
      <x:c r="AN59" s="117" t="str">
        <x:v>https://thumb.wikimedia.org/wikipedia/commons/thumb/7/72/DSC_01001865_%282637582599%29.jpg/1280px-DSC_01001865_%282637582599%29.jpg?utm_source=commons.wikimedia.org&amp;utm_campaign=imageinfo&amp;utm_content=thumbnail</x:v>
      </x:c>
      <x:c r="AO59" s="117" t="str">
        <x:v>https://thumb.wikimedia.org/wikipedia/commons/thumb/1/13/DSC_01211886_%282637585507%29.jpg/1280px-DSC_01211886_%282637585507%29.jpg?utm_source=commons.wikimedia.org&amp;utm_campaign=imageinfo&amp;utm_content=thumbnail</x:v>
      </x:c>
      <x:c r="AP59" s="117" t="str">
        <x:v>2 metadata-matched images; visual review pending</x:v>
      </x:c>
      <x:c r="AQ59" s="117"/>
    </x:row>
    <x:row r="60" ht="66" customHeight="1">
      <x:c r="A60" s="117" t="str">
        <x:v>MC0057</x:v>
      </x:c>
      <x:c r="B60" s="117" t="str">
        <x:v>Mount Jerai</x:v>
      </x:c>
      <x:c r="C60" s="117" t="str">
        <x:v>Kedah</x:v>
      </x:c>
      <x:c r="D60" s="117" t="str">
        <x:v>Yan</x:v>
      </x:c>
      <x:c r="E60" s="117" t="str">
        <x:v>Nature</x:v>
      </x:c>
      <x:c r="F60" s="117" t="str">
        <x:v>Popular</x:v>
      </x:c>
      <x:c r="G60" s="117" t="str">
        <x:v>Outdoor</x:v>
      </x:c>
      <x:c r="H60" s="117" t="str">
        <x:v>highland; hiking; viewpoint</x:v>
      </x:c>
      <x:c r="I60" s="117" t="str">
        <x:v>A mountain in Yan district with ancient temple ruins near its summit and panoramic viewpoints over the Kedah plains.</x:v>
      </x:c>
      <x:c r="J60" s="117" t="str">
        <x:v>https://www.google.com/maps/search/?api=1&amp;query=Mount%20Jerai%2C%20Kedah%2C%20Malaysia</x:v>
      </x:c>
      <x:c r="K60" s="117" t="str">
        <x:v>https://ebrochures.malaysia.travel/en/malaysia-travel-guide/kedah/</x:v>
      </x:c>
      <x:c r="L60" s="117" t="str">
        <x:v>Tourism Malaysia state guide plus map discovery link</x:v>
      </x:c>
      <x:c r="M60" s="117" t="str">
        <x:v>Kedah expansion batch</x:v>
      </x:c>
      <x:c r="N60" s="117"/>
      <x:c r="O60" s="117" t="str">
        <x:v>2026-08-15 00:00:00</x:v>
      </x:c>
      <x:c r="P60" s="117" t="str">
        <x:v>Complete</x:v>
      </x:c>
      <x:c r="Q60" s="117" t="str">
        <x:v>Duplicate alias: use MC0044</x:v>
      </x:c>
      <x:c r="R60" s="117" t="str">
        <x:f t="shared" si="0">IF(J60="","Missing Link",IF(AND(ISNUMBER(SEARCH("google.com/maps",J60)),ISERROR(SEARCH(";",J60))),"Discovery Link Only","Source Link Present"))</x:f>
        <x:v>Discovery Link Only</x:v>
      </x:c>
      <x:c r="S60" s="117" t="str">
        <x:v>Unknown</x:v>
      </x:c>
      <x:c r="T60" s="117" t="str">
        <x:v>Unknown</x:v>
      </x:c>
      <x:c r="U60" s="117" t="str">
        <x:v>Unknown</x:v>
      </x:c>
      <x:c r="V60" s="117" t="str">
        <x:v>Unknown</x:v>
      </x:c>
      <x:c r="W60" s="117" t="str">
        <x:v>Unknown</x:v>
      </x:c>
      <x:c r="X60" s="117" t="str">
        <x:v>Unknown</x:v>
      </x:c>
      <x:c r="Y60" s="117" t="str">
        <x:v>Unknown</x:v>
      </x:c>
      <x:c r="Z60" s="117"/>
      <x:c r="AA60" s="117" t="str">
        <x:v>Duplicate - use canonical ID</x:v>
      </x:c>
      <x:c r="AB60" s="117"/>
      <x:c r="AC60" s="117" t="str">
        <x:v>No qualifying accessibility conclusion established from the screened sources. This is unknown, not evidence that the attraction is inaccessible.</x:v>
      </x:c>
      <x:c r="AD60" s="117" t="str">
        <x:v>2026-09-08</x:v>
      </x:c>
      <x:c r="AE60" s="117" t="str">
        <x:v>MC0044</x:v>
      </x:c>
      <x:c r="AF60" s="117" t="str">
        <x:v>Duplicate alias</x:v>
      </x:c>
      <x:c r="AG60" s="117" t="str"/>
      <x:c r="AH60" s="117" t="str">
        <x:v>Name corroborated in source</x:v>
      </x:c>
      <x:c r="AI60" s="117" t="str">
        <x:v>https://ebrochures.malaysia.travel/en/malaysia-travel-guide/kedah/</x:v>
      </x:c>
      <x:c r="AJ60" s="117" t="str">
        <x:v>Place name or established alias matched in the cited source. This is not confirmation of current opening, all visitor facilities or the full description.</x:v>
      </x:c>
      <x:c r="AK60" s="117" t="str">
        <x:v>Not independently confirmed</x:v>
      </x:c>
      <x:c r="AL60" s="117" t="str">
        <x:v>Screened sources; accessibility unresolved</x:v>
      </x:c>
      <x:c r="AM60" s="117" t="str">
        <x:v>2026-09-08</x:v>
      </x:c>
      <x:c r="AN60" s="117" t="str">
        <x:v>https://thumb.wikimedia.org/wikipedia/commons/thumb/c/cf/Gunung_Jerai_as_viewed_from_George_Town_Dec2024-1.jpg/1280px-Gunung_Jerai_as_viewed_from_George_Town_Dec2024-1.jpg?utm_source=commons.wikimedia.org&amp;utm_campaign=imageinfo&amp;utm_content=thumbnail</x:v>
      </x:c>
      <x:c r="AO60" s="117" t="str">
        <x:v>https://thumb.wikimedia.org/wikipedia/commons/thumb/e/e1/Kedah_Peak_Sunset_%2835712866865%29.jpg/1280px-Kedah_Peak_Sunset_%2835712866865%29.jpg?utm_source=commons.wikimedia.org&amp;utm_campaign=imageinfo&amp;utm_content=thumbnail</x:v>
      </x:c>
      <x:c r="AP60" s="117" t="str">
        <x:v>2 metadata-matched images; visual review pending</x:v>
      </x:c>
      <x:c r="AQ60" s="117"/>
    </x:row>
    <x:row r="61" ht="66" customHeight="1">
      <x:c r="A61" s="117" t="str">
        <x:v>MC0058</x:v>
      </x:c>
      <x:c r="B61" s="117" t="str">
        <x:v>Titi Hayun Recreational Forest</x:v>
      </x:c>
      <x:c r="C61" s="117" t="str">
        <x:v>Kedah</x:v>
      </x:c>
      <x:c r="D61" s="117" t="str">
        <x:v>Yan</x:v>
      </x:c>
      <x:c r="E61" s="117" t="str">
        <x:v>Nature</x:v>
      </x:c>
      <x:c r="F61" s="117" t="str">
        <x:v>Local</x:v>
      </x:c>
      <x:c r="G61" s="117" t="str">
        <x:v>Outdoor</x:v>
      </x:c>
      <x:c r="H61" s="117" t="str">
        <x:v>waterfall; forest; picnic</x:v>
      </x:c>
      <x:c r="I61" s="117" t="str">
        <x:v>A forest recreation area in Yan district with waterfalls and picnic spots.</x:v>
      </x:c>
      <x:c r="J61" s="117" t="str">
        <x:v>https://www.google.com/maps/search/?api=1&amp;query=Titi%20Hayun%20Recreational%20Forest%2C%20Kedah%2C%20Malaysia</x:v>
      </x:c>
      <x:c r="K61" s="117" t="str">
        <x:v>https://ebrochures.malaysia.travel/en/malaysia-travel-guide/kedah/</x:v>
      </x:c>
      <x:c r="L61" s="117" t="str">
        <x:v>Tourism Malaysia state guide plus map discovery link</x:v>
      </x:c>
      <x:c r="M61" s="117" t="str">
        <x:v>Kedah expansion batch</x:v>
      </x:c>
      <x:c r="N61" s="117"/>
      <x:c r="O61" s="117" t="str">
        <x:v>2026-08-15 00:00:00</x:v>
      </x:c>
      <x:c r="P61" s="117" t="str">
        <x:v>Complete</x:v>
      </x:c>
      <x:c r="Q61" s="117"/>
      <x:c r="R61" s="117" t="str">
        <x:f t="shared" si="0">IF(J61="","Missing Link",IF(AND(ISNUMBER(SEARCH("google.com/maps",J61)),ISERROR(SEARCH(";",J61))),"Discovery Link Only","Source Link Present"))</x:f>
        <x:v>Discovery Link Only</x:v>
      </x:c>
      <x:c r="S61" s="117" t="str">
        <x:v>Unknown</x:v>
      </x:c>
      <x:c r="T61" s="117" t="str">
        <x:v>Unknown</x:v>
      </x:c>
      <x:c r="U61" s="117" t="str">
        <x:v>Unknown</x:v>
      </x:c>
      <x:c r="V61" s="117" t="str">
        <x:v>Unknown</x:v>
      </x:c>
      <x:c r="W61" s="117" t="str">
        <x:v>Unknown</x:v>
      </x:c>
      <x:c r="X61" s="117" t="str">
        <x:v>Unknown</x:v>
      </x:c>
      <x:c r="Y61" s="117" t="str">
        <x:v>Unknown</x:v>
      </x:c>
      <x:c r="Z61" s="117"/>
      <x:c r="AA61" s="117" t="str">
        <x:v>Pending evidence</x:v>
      </x:c>
      <x:c r="AB61" s="117"/>
      <x:c r="AC61" s="117" t="str">
        <x:v>No qualifying accessibility conclusion established from the screened sources. This is unknown, not evidence that the attraction is inaccessible.</x:v>
      </x:c>
      <x:c r="AD61" s="117" t="str">
        <x:v>2026-09-08</x:v>
      </x:c>
      <x:c r="AE61" s="117" t="str">
        <x:v>MC0058</x:v>
      </x:c>
      <x:c r="AF61" s="117" t="str">
        <x:v>Distinct candidate</x:v>
      </x:c>
      <x:c r="AG61" s="117" t="str"/>
      <x:c r="AH61" s="117" t="str">
        <x:v>Name corroborated in source</x:v>
      </x:c>
      <x:c r="AI61" s="117" t="str">
        <x:v>https://ebrochures.malaysia.travel/en/malaysia-travel-guide/kedah/</x:v>
      </x:c>
      <x:c r="AJ61" s="117" t="str">
        <x:v>Place name or established alias matched in the cited source. This is not confirmation of current opening, all visitor facilities or the full description.</x:v>
      </x:c>
      <x:c r="AK61" s="117" t="str">
        <x:v>Not independently confirmed</x:v>
      </x:c>
      <x:c r="AL61" s="117" t="str">
        <x:v>Screened sources; accessibility unresolved</x:v>
      </x:c>
      <x:c r="AM61" s="117" t="str">
        <x:v>2026-09-08</x:v>
      </x:c>
      <x:c r="AN61" s="117"/>
      <x:c r="AO61" s="117"/>
      <x:c r="AP61" s="117" t="str">
        <x:v>No usable pair located; image research pending</x:v>
      </x:c>
      <x:c r="AQ61" s="117"/>
    </x:row>
    <x:row r="62" ht="66" customHeight="1">
      <x:c r="A62" s="117" t="str">
        <x:v>MC0059</x:v>
      </x:c>
      <x:c r="B62" s="117" t="str">
        <x:v>Pantai Murni Waterfront</x:v>
      </x:c>
      <x:c r="C62" s="117" t="str">
        <x:v>Kedah</x:v>
      </x:c>
      <x:c r="D62" s="117" t="str">
        <x:v>Yan</x:v>
      </x:c>
      <x:c r="E62" s="117" t="str">
        <x:v>Park and Recreation</x:v>
      </x:c>
      <x:c r="F62" s="117" t="str">
        <x:v>Local</x:v>
      </x:c>
      <x:c r="G62" s="117" t="str">
        <x:v>Outdoor</x:v>
      </x:c>
      <x:c r="H62" s="117" t="str">
        <x:v>waterfront; sunset; recreation</x:v>
      </x:c>
      <x:c r="I62" s="117" t="str">
        <x:v>A coastal recreational park in Yan district.</x:v>
      </x:c>
      <x:c r="J62" s="117" t="str">
        <x:v>https://www.google.com/maps/search/?api=1&amp;query=Pantai%20Murni%20Waterfront%2C%20Kedah%2C%20Malaysia</x:v>
      </x:c>
      <x:c r="K62" s="117" t="str">
        <x:v>https://ebrochures.malaysia.travel/en/malaysia-travel-guide/kedah/</x:v>
      </x:c>
      <x:c r="L62" s="117" t="str">
        <x:v>Tourism Malaysia state guide plus map discovery link</x:v>
      </x:c>
      <x:c r="M62" s="117" t="str">
        <x:v>Kedah expansion batch</x:v>
      </x:c>
      <x:c r="N62" s="117"/>
      <x:c r="O62" s="117" t="str">
        <x:v>2026-08-15 00:00:00</x:v>
      </x:c>
      <x:c r="P62" s="117" t="str">
        <x:v>Complete</x:v>
      </x:c>
      <x:c r="Q62" s="117"/>
      <x:c r="R62" s="117" t="str">
        <x:f t="shared" si="0">IF(J62="","Missing Link",IF(AND(ISNUMBER(SEARCH("google.com/maps",J62)),ISERROR(SEARCH(";",J62))),"Discovery Link Only","Source Link Present"))</x:f>
        <x:v>Discovery Link Only</x:v>
      </x:c>
      <x:c r="S62" s="117" t="str">
        <x:v>Not measured</x:v>
      </x:c>
      <x:c r="T62" s="117" t="str">
        <x:v>Unknown</x:v>
      </x:c>
      <x:c r="U62" s="117" t="str">
        <x:v>Unknown</x:v>
      </x:c>
      <x:c r="V62" s="117" t="str">
        <x:v>Yes - directory-listed</x:v>
      </x:c>
      <x:c r="W62" s="117" t="str">
        <x:v>Unknown</x:v>
      </x:c>
      <x:c r="X62" s="117" t="str">
        <x:v>Unknown</x:v>
      </x:c>
      <x:c r="Y62" s="117" t="str">
        <x:v>Conditional on mobility and route</x:v>
      </x:c>
      <x:c r="Z62" s="117" t="str">
        <x:v>This confirms an OKU toilet listing only. Beach-sand access, ramps, beach wheelchairs and a continuous waterfront route are not established by this source.</x:v>
      </x:c>
      <x:c r="AA62" s="117" t="str">
        <x:v>Documented support - conditional</x:v>
      </x:c>
      <x:c r="AB62" s="117" t="str">
        <x:v>https://mywc.kpkt.gov.my/toilet/tandas-awam-pantai-murni-yan-oku</x:v>
      </x:c>
      <x:c r="AC62" s="117" t="str">
        <x:v>Toilet facility at Pantai Murni, Yan</x:v>
      </x:c>
      <x:c r="AD62" s="117" t="str">
        <x:v>2026-09-08</x:v>
      </x:c>
      <x:c r="AE62" s="117" t="str">
        <x:v>MC0059</x:v>
      </x:c>
      <x:c r="AF62" s="117" t="str">
        <x:v>Distinct candidate</x:v>
      </x:c>
      <x:c r="AG62" s="117" t="str"/>
      <x:c r="AH62" s="117" t="str">
        <x:v>Venue-specific source reviewed</x:v>
      </x:c>
      <x:c r="AI62" s="117" t="str">
        <x:v>https://mywc.kpkt.gov.my/toilet/tandas-awam-pantai-murni-yan-oku</x:v>
      </x:c>
      <x:c r="AJ62" s="117" t="str">
        <x:v>Available discovery sources and state guide screened; no reliable name match established. Venue-specific verification remains pending.</x:v>
      </x:c>
      <x:c r="AK62" s="117" t="str">
        <x:v>Not independently confirmed</x:v>
      </x:c>
      <x:c r="AL62" s="117" t="str">
        <x:v>Primary accessibility evidence reviewed</x:v>
      </x:c>
      <x:c r="AM62" s="117" t="str">
        <x:v>2026-09-08</x:v>
      </x:c>
      <x:c r="AN62" s="117"/>
      <x:c r="AO62" s="117"/>
      <x:c r="AP62" s="117" t="str">
        <x:v>No usable pair located; image research pending</x:v>
      </x:c>
      <x:c r="AQ62" s="117"/>
    </x:row>
    <x:row r="63" ht="66" customHeight="1">
      <x:c r="A63" s="117" t="str">
        <x:v>MC0060</x:v>
      </x:c>
      <x:c r="B63" s="117" t="str">
        <x:v>Lata Bayu Recreational Forest</x:v>
      </x:c>
      <x:c r="C63" s="117" t="str">
        <x:v>Kedah</x:v>
      </x:c>
      <x:c r="D63" s="117" t="str">
        <x:v>Baling</x:v>
      </x:c>
      <x:c r="E63" s="117" t="str">
        <x:v>Nature</x:v>
      </x:c>
      <x:c r="F63" s="117" t="str">
        <x:v>Rural</x:v>
      </x:c>
      <x:c r="G63" s="117" t="str">
        <x:v>Outdoor</x:v>
      </x:c>
      <x:c r="H63" s="117" t="str">
        <x:v>waterfall; forest; picnic</x:v>
      </x:c>
      <x:c r="I63" s="117" t="str">
        <x:v>A waterfall-based recreational forest in Baling district.</x:v>
      </x:c>
      <x:c r="J63" s="117" t="str">
        <x:v>https://www.google.com/maps/search/?api=1&amp;query=Lata%20Bayu%20Recreational%20Forest%2C%20Kedah%2C%20Malaysia</x:v>
      </x:c>
      <x:c r="K63" s="117" t="str">
        <x:v>https://ebrochures.malaysia.travel/en/malaysia-travel-guide/kedah/</x:v>
      </x:c>
      <x:c r="L63" s="117" t="str">
        <x:v>Tourism Malaysia state guide plus map discovery link</x:v>
      </x:c>
      <x:c r="M63" s="117" t="str">
        <x:v>Kedah expansion batch</x:v>
      </x:c>
      <x:c r="N63" s="117"/>
      <x:c r="O63" s="117" t="str">
        <x:v>2026-08-15 00:00:00</x:v>
      </x:c>
      <x:c r="P63" s="117" t="str">
        <x:v>Complete</x:v>
      </x:c>
      <x:c r="Q63" s="117" t="str">
        <x:v>Identity and Malaysian location verified in second-pass review on 2026-09-08.</x:v>
      </x:c>
      <x:c r="R63" s="117" t="str">
        <x:f t="shared" si="0">IF(J63="","Missing Link",IF(AND(ISNUMBER(SEARCH("google.com/maps",J63)),ISERROR(SEARCH(";",J63))),"Discovery Link Only","Source Link Present"))</x:f>
        <x:v>Discovery Link Only</x:v>
      </x:c>
      <x:c r="S63" s="117" t="str">
        <x:v>Unknown</x:v>
      </x:c>
      <x:c r="T63" s="117" t="str">
        <x:v>Unknown</x:v>
      </x:c>
      <x:c r="U63" s="117" t="str">
        <x:v>Unknown</x:v>
      </x:c>
      <x:c r="V63" s="117" t="str">
        <x:v>Unknown</x:v>
      </x:c>
      <x:c r="W63" s="117" t="str">
        <x:v>Unknown</x:v>
      </x:c>
      <x:c r="X63" s="117" t="str">
        <x:v>Unknown</x:v>
      </x:c>
      <x:c r="Y63" s="117" t="str">
        <x:v>Unknown</x:v>
      </x:c>
      <x:c r="Z63" s="117"/>
      <x:c r="AA63" s="117" t="str">
        <x:v>Pending evidence</x:v>
      </x:c>
      <x:c r="AB63" s="117"/>
      <x:c r="AC63" s="117" t="str">
        <x:v>No qualifying accessibility conclusion established from the screened sources. This is unknown, not evidence that the attraction is inaccessible.</x:v>
      </x:c>
      <x:c r="AD63" s="117" t="str">
        <x:v>2026-09-08</x:v>
      </x:c>
      <x:c r="AE63" s="117" t="str">
        <x:v>MC0060</x:v>
      </x:c>
      <x:c r="AF63" s="117" t="str">
        <x:v>Distinct candidate</x:v>
      </x:c>
      <x:c r="AG63" s="117" t="str"/>
      <x:c r="AH63" s="117" t="str">
        <x:v>Identity and location corroborated</x:v>
      </x:c>
      <x:c r="AI63" s="117" t="str">
        <x:v>https://www.kedah.gov.my/wp-content/uploads/2024/10/KEDAH-TOURISM-DIRECTORY.pdf</x:v>
      </x:c>
      <x:c r="AJ63" s="117" t="str">
        <x:v>Official state tourism directory matches the attraction name or established alias and the stated Malaysian location. This verifies identity/location only; confirm current opening and accessibility separately.</x:v>
      </x:c>
      <x:c r="AK63" s="117" t="str">
        <x:v>Not independently confirmed</x:v>
      </x:c>
      <x:c r="AL63" s="117" t="str">
        <x:v>Screened sources; accessibility unresolved</x:v>
      </x:c>
      <x:c r="AM63" s="117" t="str">
        <x:v>2026-09-08</x:v>
      </x:c>
      <x:c r="AN63" s="117"/>
      <x:c r="AO63" s="117"/>
      <x:c r="AP63" s="117" t="str">
        <x:v>No usable pair located; image research pending</x:v>
      </x:c>
      <x:c r="AQ63" s="117"/>
    </x:row>
    <x:row r="64" ht="66" customHeight="1">
      <x:c r="A64" s="117" t="str">
        <x:v>MC0061</x:v>
      </x:c>
      <x:c r="B64" s="117" t="str">
        <x:v>Ulu Legong Hot Spring</x:v>
      </x:c>
      <x:c r="C64" s="117" t="str">
        <x:v>Kedah</x:v>
      </x:c>
      <x:c r="D64" s="117" t="str">
        <x:v>Baling</x:v>
      </x:c>
      <x:c r="E64" s="117" t="str">
        <x:v>Wellness and Relaxation</x:v>
      </x:c>
      <x:c r="F64" s="117" t="str">
        <x:v>Local</x:v>
      </x:c>
      <x:c r="G64" s="117" t="str">
        <x:v>Both</x:v>
      </x:c>
      <x:c r="H64" s="117" t="str">
        <x:v>hot spring; bathing; village</x:v>
      </x:c>
      <x:c r="I64" s="117" t="str">
        <x:v>A natural hot spring recreational area in Baling district.</x:v>
      </x:c>
      <x:c r="J64" s="117" t="str">
        <x:v>https://www.google.com/maps/search/?api=1&amp;query=Ulu%20Legong%20Hot%20Spring%2C%20Kedah%2C%20Malaysia</x:v>
      </x:c>
      <x:c r="K64" s="117" t="str">
        <x:v>https://ebrochures.malaysia.travel/en/malaysia-travel-guide/kedah/</x:v>
      </x:c>
      <x:c r="L64" s="117" t="str">
        <x:v>Tourism Malaysia state guide plus map discovery link</x:v>
      </x:c>
      <x:c r="M64" s="117" t="str">
        <x:v>Kedah expansion batch</x:v>
      </x:c>
      <x:c r="N64" s="117"/>
      <x:c r="O64" s="117" t="str">
        <x:v>2026-08-15 00:00:00</x:v>
      </x:c>
      <x:c r="P64" s="117" t="str">
        <x:v>Complete</x:v>
      </x:c>
      <x:c r="Q64" s="117"/>
      <x:c r="R64" s="117" t="str">
        <x:f t="shared" si="0">IF(J64="","Missing Link",IF(AND(ISNUMBER(SEARCH("google.com/maps",J64)),ISERROR(SEARCH(";",J64))),"Discovery Link Only","Source Link Present"))</x:f>
        <x:v>Discovery Link Only</x:v>
      </x:c>
      <x:c r="S64" s="117" t="str">
        <x:v>Not measured</x:v>
      </x:c>
      <x:c r="T64" s="117" t="str">
        <x:v>Unknown</x:v>
      </x:c>
      <x:c r="U64" s="117" t="str">
        <x:v>Unknown</x:v>
      </x:c>
      <x:c r="V64" s="117" t="str">
        <x:v>Unknown</x:v>
      </x:c>
      <x:c r="W64" s="117" t="str">
        <x:v>Unknown</x:v>
      </x:c>
      <x:c r="X64" s="117" t="str">
        <x:v>Yes - gazebos</x:v>
      </x:c>
      <x:c r="Y64" s="117" t="str">
        <x:v>Conditional on mobility and route</x:v>
      </x:c>
      <x:c r="Z64" s="117" t="str">
        <x:v>These are visitor amenities, not evidence of accessible pool entry. Confirm steps, handrails and water temperature before considering bathing.</x:v>
      </x:c>
      <x:c r="AA64" s="117" t="str">
        <x:v>Documented support - conditional</x:v>
      </x:c>
      <x:c r="AB64" s="117" t="str">
        <x:v>https://ebrochures.malaysia.travel/en/malaysia-travel-guide/kedah/</x:v>
      </x:c>
      <x:c r="AC64" s="117" t="str">
        <x:v>Rest and changing facilities at hot-spring complex</x:v>
      </x:c>
      <x:c r="AD64" s="117" t="str">
        <x:v>2026-09-08</x:v>
      </x:c>
      <x:c r="AE64" s="117" t="str">
        <x:v>MC0061</x:v>
      </x:c>
      <x:c r="AF64" s="117" t="str">
        <x:v>Distinct candidate</x:v>
      </x:c>
      <x:c r="AG64" s="117" t="str"/>
      <x:c r="AH64" s="117" t="str">
        <x:v>Venue-specific source reviewed</x:v>
      </x:c>
      <x:c r="AI64" s="117" t="str">
        <x:v>https://ebrochures.malaysia.travel/en/malaysia-travel-guide/kedah/</x:v>
      </x:c>
      <x:c r="AJ64" s="117" t="str">
        <x:v>Place name or established alias matched in the cited source. This is not confirmation of current opening, all visitor facilities or the full description.</x:v>
      </x:c>
      <x:c r="AK64" s="117" t="str">
        <x:v>Not independently confirmed</x:v>
      </x:c>
      <x:c r="AL64" s="117" t="str">
        <x:v>Primary accessibility evidence reviewed</x:v>
      </x:c>
      <x:c r="AM64" s="117" t="str">
        <x:v>2026-09-08</x:v>
      </x:c>
      <x:c r="AN64" s="117" t="str">
        <x:v>https://thumb.wikimedia.org/wikipedia/commons/thumb/e/ee/Hot_spring_%2811271000915%29.jpg/1280px-Hot_spring_%2811271000915%29.jpg?utm_source=commons.wikimedia.org&amp;utm_campaign=imageinfo&amp;utm_content=thumbnail</x:v>
      </x:c>
      <x:c r="AO64" s="117" t="str">
        <x:v>https://thumb.wikimedia.org/wikipedia/commons/thumb/d/dd/Hot_spring_%2811270838973%29.jpg/1280px-Hot_spring_%2811270838973%29.jpg?utm_source=commons.wikimedia.org&amp;utm_campaign=imageinfo&amp;utm_content=thumbnail</x:v>
      </x:c>
      <x:c r="AP64" s="117" t="str">
        <x:v>2 metadata-matched images; visual review pending</x:v>
      </x:c>
      <x:c r="AQ64" s="117"/>
    </x:row>
    <x:row r="65" ht="66" customHeight="1">
      <x:c r="A65" s="117" t="str">
        <x:v>MC0062</x:v>
      </x:c>
      <x:c r="B65" s="117" t="str">
        <x:v>Beris Lake</x:v>
      </x:c>
      <x:c r="C65" s="117" t="str">
        <x:v>Kedah</x:v>
      </x:c>
      <x:c r="D65" s="117" t="str">
        <x:v>Sik</x:v>
      </x:c>
      <x:c r="E65" s="117" t="str">
        <x:v>Nature</x:v>
      </x:c>
      <x:c r="F65" s="117" t="str">
        <x:v>Rural</x:v>
      </x:c>
      <x:c r="G65" s="117" t="str">
        <x:v>Outdoor</x:v>
      </x:c>
      <x:c r="H65" s="117" t="str">
        <x:v>lake; scenery; fishing</x:v>
      </x:c>
      <x:c r="I65" s="117" t="str">
        <x:v>A reservoir lake in Sik district used for recreation and scenic views.</x:v>
      </x:c>
      <x:c r="J65" s="117" t="str">
        <x:v>https://www.google.com/maps/search/?api=1&amp;query=Beris%20Lake%2C%20Kedah%2C%20Malaysia</x:v>
      </x:c>
      <x:c r="K65" s="117" t="str">
        <x:v>https://ebrochures.malaysia.travel/en/malaysia-travel-guide/kedah/</x:v>
      </x:c>
      <x:c r="L65" s="117" t="str">
        <x:v>Tourism Malaysia state guide plus map discovery link</x:v>
      </x:c>
      <x:c r="M65" s="117" t="str">
        <x:v>Kedah expansion batch</x:v>
      </x:c>
      <x:c r="N65" s="117"/>
      <x:c r="O65" s="117" t="str">
        <x:v>2026-08-15 00:00:00</x:v>
      </x:c>
      <x:c r="P65" s="117" t="str">
        <x:v>Complete</x:v>
      </x:c>
      <x:c r="Q65" s="117" t="str">
        <x:v>Identity and Malaysian location verified in second-pass review on 2026-09-08.</x:v>
      </x:c>
      <x:c r="R65" s="117" t="str">
        <x:f t="shared" si="0">IF(J65="","Missing Link",IF(AND(ISNUMBER(SEARCH("google.com/maps",J65)),ISERROR(SEARCH(";",J65))),"Discovery Link Only","Source Link Present"))</x:f>
        <x:v>Discovery Link Only</x:v>
      </x:c>
      <x:c r="S65" s="117" t="str">
        <x:v>Unknown</x:v>
      </x:c>
      <x:c r="T65" s="117" t="str">
        <x:v>Unknown</x:v>
      </x:c>
      <x:c r="U65" s="117" t="str">
        <x:v>Unknown</x:v>
      </x:c>
      <x:c r="V65" s="117" t="str">
        <x:v>Unknown</x:v>
      </x:c>
      <x:c r="W65" s="117" t="str">
        <x:v>Unknown</x:v>
      </x:c>
      <x:c r="X65" s="117" t="str">
        <x:v>Unknown</x:v>
      </x:c>
      <x:c r="Y65" s="117" t="str">
        <x:v>Unknown</x:v>
      </x:c>
      <x:c r="Z65" s="117"/>
      <x:c r="AA65" s="117" t="str">
        <x:v>Pending evidence</x:v>
      </x:c>
      <x:c r="AB65" s="117"/>
      <x:c r="AC65" s="117" t="str">
        <x:v>No qualifying accessibility conclusion established from the screened sources. This is unknown, not evidence that the attraction is inaccessible.</x:v>
      </x:c>
      <x:c r="AD65" s="117" t="str">
        <x:v>2026-09-08</x:v>
      </x:c>
      <x:c r="AE65" s="117" t="str">
        <x:v>MC0062</x:v>
      </x:c>
      <x:c r="AF65" s="117" t="str">
        <x:v>Distinct candidate</x:v>
      </x:c>
      <x:c r="AG65" s="117" t="str"/>
      <x:c r="AH65" s="117" t="str">
        <x:v>Identity and location corroborated</x:v>
      </x:c>
      <x:c r="AI65" s="117" t="str">
        <x:v>https://kedahtourism.gov.my/wp-content/uploads/2024/09/Merged-20240803-025117_compressed-1.pdf</x:v>
      </x:c>
      <x:c r="AJ65" s="117" t="str">
        <x:v>Official state tourism directory matches the attraction name or established alias and the stated Malaysian location. This verifies identity/location only; confirm current opening and accessibility separately.</x:v>
      </x:c>
      <x:c r="AK65" s="117" t="str">
        <x:v>Not independently confirmed</x:v>
      </x:c>
      <x:c r="AL65" s="117" t="str">
        <x:v>Screened sources; accessibility unresolved</x:v>
      </x:c>
      <x:c r="AM65" s="117" t="str">
        <x:v>2026-09-08</x:v>
      </x:c>
      <x:c r="AN65" s="117"/>
      <x:c r="AO65" s="117"/>
      <x:c r="AP65" s="117" t="str">
        <x:v>No usable pair located; image research pending</x:v>
      </x:c>
      <x:c r="AQ65" s="117"/>
    </x:row>
    <x:row r="66" ht="66" customHeight="1">
      <x:c r="A66" s="117" t="str">
        <x:v>MC0063</x:v>
      </x:c>
      <x:c r="B66" s="117" t="str">
        <x:v>Sungai Sedim Tree Top Walk</x:v>
      </x:c>
      <x:c r="C66" s="117" t="str">
        <x:v>Kedah</x:v>
      </x:c>
      <x:c r="D66" s="117" t="str">
        <x:v>Kulim</x:v>
      </x:c>
      <x:c r="E66" s="117" t="str">
        <x:v>Adventure</x:v>
      </x:c>
      <x:c r="F66" s="117" t="str">
        <x:v>Popular</x:v>
      </x:c>
      <x:c r="G66" s="117" t="str">
        <x:v>Outdoor</x:v>
      </x:c>
      <x:c r="H66" s="117" t="str">
        <x:v>canopy walk; rainforest; river</x:v>
      </x:c>
      <x:c r="I66" s="117" t="str">
        <x:v>A canopy walkway suspended in the rainforest of Kulim, among the longest tree-top walkways in Malaysia.</x:v>
      </x:c>
      <x:c r="J66" s="117" t="str">
        <x:v>https://www.google.com/maps/search/?api=1&amp;query=Sungai%20Sedim%20Tree%20Top%20Walk%2C%20Kedah%2C%20Malaysia</x:v>
      </x:c>
      <x:c r="K66" s="117" t="str">
        <x:v>https://ebrochures.malaysia.travel/en/malaysia-travel-guide/kedah/</x:v>
      </x:c>
      <x:c r="L66" s="117" t="str">
        <x:v>Tourism Malaysia state guide plus map discovery link</x:v>
      </x:c>
      <x:c r="M66" s="117" t="str">
        <x:v>Kedah expansion batch</x:v>
      </x:c>
      <x:c r="N66" s="117"/>
      <x:c r="O66" s="117" t="str">
        <x:v>2026-08-15 00:00:00</x:v>
      </x:c>
      <x:c r="P66" s="117" t="str">
        <x:v>Complete</x:v>
      </x:c>
      <x:c r="Q66" s="117" t="str">
        <x:v>Duplicate alias: use MC0036 Identity and Malaysian location verified in second-pass review on 2026-09-08.</x:v>
      </x:c>
      <x:c r="R66" s="117" t="str">
        <x:f t="shared" si="0">IF(J66="","Missing Link",IF(AND(ISNUMBER(SEARCH("google.com/maps",J66)),ISERROR(SEARCH(";",J66))),"Discovery Link Only","Source Link Present"))</x:f>
        <x:v>Discovery Link Only</x:v>
      </x:c>
      <x:c r="S66" s="117" t="str">
        <x:v>Unknown</x:v>
      </x:c>
      <x:c r="T66" s="117" t="str">
        <x:v>Unknown</x:v>
      </x:c>
      <x:c r="U66" s="117" t="str">
        <x:v>Unknown</x:v>
      </x:c>
      <x:c r="V66" s="117" t="str">
        <x:v>Unknown</x:v>
      </x:c>
      <x:c r="W66" s="117" t="str">
        <x:v>Unknown</x:v>
      </x:c>
      <x:c r="X66" s="117" t="str">
        <x:v>Unknown</x:v>
      </x:c>
      <x:c r="Y66" s="117" t="str">
        <x:v>Unknown</x:v>
      </x:c>
      <x:c r="Z66" s="117"/>
      <x:c r="AA66" s="117" t="str">
        <x:v>Duplicate - use canonical ID</x:v>
      </x:c>
      <x:c r="AB66" s="117"/>
      <x:c r="AC66" s="117" t="str">
        <x:v>No qualifying accessibility conclusion established from the screened sources. This is unknown, not evidence that the attraction is inaccessible.</x:v>
      </x:c>
      <x:c r="AD66" s="117" t="str">
        <x:v>2026-09-08</x:v>
      </x:c>
      <x:c r="AE66" s="117" t="str">
        <x:v>MC0036</x:v>
      </x:c>
      <x:c r="AF66" s="117" t="str">
        <x:v>Duplicate alias</x:v>
      </x:c>
      <x:c r="AG66" s="117" t="str"/>
      <x:c r="AH66" s="117" t="str">
        <x:v>Identity and location corroborated</x:v>
      </x:c>
      <x:c r="AI66" s="117" t="str">
        <x:v>https://www.malaysia.travel/explore/top-walk-sungai-sedim</x:v>
      </x:c>
      <x:c r="AJ66" s="117" t="str">
        <x:v>Tourism Malaysia matches the attraction name or established alias and the stated Malaysian location. This verifies identity/location only; confirm current opening and accessibility separately.</x:v>
      </x:c>
      <x:c r="AK66" s="117" t="str">
        <x:v>Not independently confirmed</x:v>
      </x:c>
      <x:c r="AL66" s="117" t="str">
        <x:v>Screened sources; accessibility unresolved</x:v>
      </x:c>
      <x:c r="AM66" s="117" t="str">
        <x:v>2026-09-08</x:v>
      </x:c>
      <x:c r="AN66" s="117"/>
      <x:c r="AO66" s="117"/>
      <x:c r="AP66" s="117" t="str">
        <x:v>No usable pair located; image research pending</x:v>
      </x:c>
      <x:c r="AQ66" s="117"/>
    </x:row>
    <x:row r="67" ht="66" customHeight="1">
      <x:c r="A67" s="117" t="str">
        <x:v>MC0064</x:v>
      </x:c>
      <x:c r="B67" s="117" t="str">
        <x:v>Pedu Lake</x:v>
      </x:c>
      <x:c r="C67" s="117" t="str">
        <x:v>Kedah</x:v>
      </x:c>
      <x:c r="D67" s="117" t="str">
        <x:v>Padang Terap</x:v>
      </x:c>
      <x:c r="E67" s="117" t="str">
        <x:v>Nature</x:v>
      </x:c>
      <x:c r="F67" s="117" t="str">
        <x:v>Rural</x:v>
      </x:c>
      <x:c r="G67" s="117" t="str">
        <x:v>Outdoor</x:v>
      </x:c>
      <x:c r="H67" s="117" t="str">
        <x:v>lake; forest; fishing</x:v>
      </x:c>
      <x:c r="I67" s="117" t="str">
        <x:v>A large reservoir lake in Padang Terap district known for fishing and eco-tourism chalets.</x:v>
      </x:c>
      <x:c r="J67" s="117" t="str">
        <x:v>https://www.google.com/maps/search/?api=1&amp;query=Pedu%20Lake%2C%20Kedah%2C%20Malaysia</x:v>
      </x:c>
      <x:c r="K67" s="117" t="str">
        <x:v>https://ebrochures.malaysia.travel/en/malaysia-travel-guide/kedah/</x:v>
      </x:c>
      <x:c r="L67" s="117" t="str">
        <x:v>Tourism Malaysia state guide plus map discovery link</x:v>
      </x:c>
      <x:c r="M67" s="117" t="str">
        <x:v>Kedah expansion batch</x:v>
      </x:c>
      <x:c r="N67" s="117"/>
      <x:c r="O67" s="117" t="str">
        <x:v>2026-08-15 00:00:00</x:v>
      </x:c>
      <x:c r="P67" s="117" t="str">
        <x:v>Complete</x:v>
      </x:c>
      <x:c r="Q67" s="117" t="str">
        <x:v>Identity and Malaysian location verified in second-pass review on 2026-09-08.</x:v>
      </x:c>
      <x:c r="R67" s="117" t="str">
        <x:f t="shared" si="0">IF(J67="","Missing Link",IF(AND(ISNUMBER(SEARCH("google.com/maps",J67)),ISERROR(SEARCH(";",J67))),"Discovery Link Only","Source Link Present"))</x:f>
        <x:v>Discovery Link Only</x:v>
      </x:c>
      <x:c r="S67" s="117" t="str">
        <x:v>Unknown</x:v>
      </x:c>
      <x:c r="T67" s="117" t="str">
        <x:v>Unknown</x:v>
      </x:c>
      <x:c r="U67" s="117" t="str">
        <x:v>Unknown</x:v>
      </x:c>
      <x:c r="V67" s="117" t="str">
        <x:v>Unknown</x:v>
      </x:c>
      <x:c r="W67" s="117" t="str">
        <x:v>Unknown</x:v>
      </x:c>
      <x:c r="X67" s="117" t="str">
        <x:v>Unknown</x:v>
      </x:c>
      <x:c r="Y67" s="117" t="str">
        <x:v>Unknown</x:v>
      </x:c>
      <x:c r="Z67" s="117"/>
      <x:c r="AA67" s="117" t="str">
        <x:v>Pending evidence</x:v>
      </x:c>
      <x:c r="AB67" s="117"/>
      <x:c r="AC67" s="117" t="str">
        <x:v>No qualifying accessibility conclusion established from the screened sources. This is unknown, not evidence that the attraction is inaccessible.</x:v>
      </x:c>
      <x:c r="AD67" s="117" t="str">
        <x:v>2026-09-08</x:v>
      </x:c>
      <x:c r="AE67" s="117" t="str">
        <x:v>MC0064</x:v>
      </x:c>
      <x:c r="AF67" s="117" t="str">
        <x:v>Distinct candidate</x:v>
      </x:c>
      <x:c r="AG67" s="117" t="str"/>
      <x:c r="AH67" s="117" t="str">
        <x:v>Identity and location corroborated</x:v>
      </x:c>
      <x:c r="AI67" s="117" t="str">
        <x:v>https://en.wikipedia.org/wiki/Pedu_Lake</x:v>
      </x:c>
      <x:c r="AJ67" s="117" t="str">
        <x:v>Encyclopedic source matches the attraction name or established alias and the stated Malaysian location. This verifies identity/location only; confirm current opening and accessibility separately.</x:v>
      </x:c>
      <x:c r="AK67" s="117" t="str">
        <x:v>Not independently confirmed</x:v>
      </x:c>
      <x:c r="AL67" s="117" t="str">
        <x:v>Screened sources; accessibility unresolved</x:v>
      </x:c>
      <x:c r="AM67" s="117" t="str">
        <x:v>2026-09-08</x:v>
      </x:c>
      <x:c r="AN67" s="117"/>
      <x:c r="AO67" s="117"/>
      <x:c r="AP67" s="117" t="str">
        <x:v>No usable pair located; image research pending</x:v>
      </x:c>
      <x:c r="AQ67" s="117"/>
    </x:row>
    <x:row r="68" ht="66" customHeight="1">
      <x:c r="A68" s="117" t="str">
        <x:v>MC0065</x:v>
      </x:c>
      <x:c r="B68" s="117" t="str">
        <x:v>Taman Negara Kuala Koh</x:v>
      </x:c>
      <x:c r="C68" s="117" t="str">
        <x:v>Kelantan</x:v>
      </x:c>
      <x:c r="D68" s="117" t="str">
        <x:v>Gua Musang</x:v>
      </x:c>
      <x:c r="E68" s="117" t="str">
        <x:v>Nature</x:v>
      </x:c>
      <x:c r="F68" s="117" t="str">
        <x:v>Unclassified</x:v>
      </x:c>
      <x:c r="G68" s="117" t="str">
        <x:v>Both</x:v>
      </x:c>
      <x:c r="H68" s="117" t="str">
        <x:v>National park; tropical rainforest; biodiversity; jungle trekking; hiking; birdwatching; wildlife; fishing; rivers; canopy walkway; night walks; kayaking; rafting; tubing; canoeing; boat trips; camping; photography; research; nature education</x:v>
      </x:c>
      <x:c r="I68" s="117" t="str">
        <x:v>The Kelantan gateway to Taman Negara, located in Gua Musang district within the Bukit Hantu and Lebir forest reserves. Its tropical rainforest, rivers and trails support birdwatching, fishing, jungle trekking, canopy-walk, boating and night-walk experiences, with visitor facilities at Kuala Koh.</x:v>
      </x:c>
      <x:c r="J68" s="117" t="str">
        <x:v>https://www.malaysia.travel/explore/back-to-nature-at-taman-negara-kuala-koh ; https://www.wildlife.gov.my/en/taman-negara-kelantan-kuala-koh/ ; https://mdgm.kelantan.gov.my/index.php/pelawat/destinasi-menarik/tempat-pelancongan/194-taman-negara-kuala-koh ; https://www.wildlife.gov.my/soalan-lazim-ekopelancongan/</x:v>
      </x:c>
      <x:c r="K68" s="117" t="str">
        <x:v>https://ebrochures.malaysia.travel/en/malaysia-travel-guide/kelantan/</x:v>
      </x:c>
      <x:c r="L68" s="117" t="str">
        <x:v>Previous workbook candidate/source lead</x:v>
      </x:c>
      <x:c r="M68" s="117" t="str">
        <x:v>Previous workbook seed</x:v>
      </x:c>
      <x:c r="N68" s="117" t="str">
        <x:v>A013</x:v>
      </x:c>
      <x:c r="O68" s="117" t="str">
        <x:v>2026-08-15 00:00:00</x:v>
      </x:c>
      <x:c r="P68" s="117" t="str">
        <x:v>Complete</x:v>
      </x:c>
      <x:c r="Q68" s="117"/>
      <x:c r="R68" s="117" t="str">
        <x:f t="shared" ref="R68:R131" si="1">IF(J68="","Missing Link",IF(AND(ISNUMBER(SEARCH("google.com/maps",J68)),ISERROR(SEARCH(";",J68))),"Discovery Link Only","Source Link Present"))</x:f>
        <x:v>Source Link Present</x:v>
      </x:c>
      <x:c r="S68" s="117" t="str">
        <x:v>Unknown</x:v>
      </x:c>
      <x:c r="T68" s="117" t="str">
        <x:v>Unknown</x:v>
      </x:c>
      <x:c r="U68" s="117" t="str">
        <x:v>Unknown</x:v>
      </x:c>
      <x:c r="V68" s="117" t="str">
        <x:v>Unknown</x:v>
      </x:c>
      <x:c r="W68" s="117" t="str">
        <x:v>Unknown</x:v>
      </x:c>
      <x:c r="X68" s="117" t="str">
        <x:v>Unknown</x:v>
      </x:c>
      <x:c r="Y68" s="117" t="str">
        <x:v>Unknown</x:v>
      </x:c>
      <x:c r="Z68" s="117"/>
      <x:c r="AA68" s="117" t="str">
        <x:v>Pending evidence</x:v>
      </x:c>
      <x:c r="AB68" s="117"/>
      <x:c r="AC68" s="117" t="str">
        <x:v>No qualifying accessibility conclusion established from the screened sources. This is unknown, not evidence that the attraction is inaccessible.</x:v>
      </x:c>
      <x:c r="AD68" s="117" t="str">
        <x:v>2026-09-08</x:v>
      </x:c>
      <x:c r="AE68" s="117" t="str">
        <x:v>MC0065</x:v>
      </x:c>
      <x:c r="AF68" s="117" t="str">
        <x:v>Distinct candidate</x:v>
      </x:c>
      <x:c r="AG68" s="117" t="str"/>
      <x:c r="AH68" s="117" t="str">
        <x:v>Name corroborated in source</x:v>
      </x:c>
      <x:c r="AI68" s="117" t="str">
        <x:v>https://ebrochures.malaysia.travel/en/malaysia-travel-guide/kelantan/</x:v>
      </x:c>
      <x:c r="AJ68" s="117" t="str">
        <x:v>Place name or established alias matched in the cited source. This is not confirmation of current opening, all visitor facilities or the full description.</x:v>
      </x:c>
      <x:c r="AK68" s="117" t="str">
        <x:v>Not independently confirmed</x:v>
      </x:c>
      <x:c r="AL68" s="117" t="str">
        <x:v>Screened sources; accessibility unresolved</x:v>
      </x:c>
      <x:c r="AM68" s="117" t="str">
        <x:v>2026-09-08</x:v>
      </x:c>
      <x:c r="AN68" s="117"/>
      <x:c r="AO68" s="117"/>
      <x:c r="AP68" s="117" t="str">
        <x:v>No usable pair located; image research pending</x:v>
      </x:c>
      <x:c r="AQ68" s="117"/>
    </x:row>
    <x:row r="69" ht="66" customHeight="1">
      <x:c r="A69" s="117" t="str">
        <x:v>MC0066</x:v>
      </x:c>
      <x:c r="B69" s="117" t="str">
        <x:v>Siti Khadijah Market</x:v>
      </x:c>
      <x:c r="C69" s="117" t="str">
        <x:v>Kelantan</x:v>
      </x:c>
      <x:c r="D69" s="117" t="str">
        <x:v>Kota Bharu</x:v>
      </x:c>
      <x:c r="E69" s="117" t="str">
        <x:v>Food</x:v>
      </x:c>
      <x:c r="F69" s="117" t="str">
        <x:v>Local</x:v>
      </x:c>
      <x:c r="G69" s="117" t="str">
        <x:v>Indoor</x:v>
      </x:c>
      <x:c r="H69" s="117" t="str">
        <x:v>market; local food; shopping; culture; handicrafts</x:v>
      </x:c>
      <x:c r="I69" s="117" t="str">
        <x:v>Kota Bharu's iconic central market, known as the Women's Market for its many female traders selling produce, textiles and handicrafts.</x:v>
      </x:c>
      <x:c r="J69" s="117" t="str">
        <x:v>https://www.google.com/maps/search/?api=1&amp;query=Siti%20Khadijah%20Market%2C%20Kelantan%2C%20Malaysia</x:v>
      </x:c>
      <x:c r="K69" s="117" t="str">
        <x:v>https://ebrochures.malaysia.travel/en/malaysia-travel-guide/kelantan/</x:v>
      </x:c>
      <x:c r="L69" s="117" t="str">
        <x:v>Previous workbook candidate/source lead</x:v>
      </x:c>
      <x:c r="M69" s="117" t="str">
        <x:v>Previous workbook seed</x:v>
      </x:c>
      <x:c r="N69" s="117" t="str">
        <x:v>A048</x:v>
      </x:c>
      <x:c r="O69" s="117" t="str">
        <x:v>2026-08-15 00:00:00</x:v>
      </x:c>
      <x:c r="P69" s="117" t="str">
        <x:v>Complete</x:v>
      </x:c>
      <x:c r="Q69" s="117"/>
      <x:c r="R69" s="117" t="str">
        <x:f t="shared" si="1">IF(J69="","Missing Link",IF(AND(ISNUMBER(SEARCH("google.com/maps",J69)),ISERROR(SEARCH(";",J69))),"Discovery Link Only","Source Link Present"))</x:f>
        <x:v>Discovery Link Only</x:v>
      </x:c>
      <x:c r="S69" s="117" t="str">
        <x:v>Unknown</x:v>
      </x:c>
      <x:c r="T69" s="117" t="str">
        <x:v>Unknown</x:v>
      </x:c>
      <x:c r="U69" s="117" t="str">
        <x:v>Unknown</x:v>
      </x:c>
      <x:c r="V69" s="117" t="str">
        <x:v>Unknown</x:v>
      </x:c>
      <x:c r="W69" s="117" t="str">
        <x:v>Unknown</x:v>
      </x:c>
      <x:c r="X69" s="117" t="str">
        <x:v>Unknown</x:v>
      </x:c>
      <x:c r="Y69" s="117" t="str">
        <x:v>Unknown</x:v>
      </x:c>
      <x:c r="Z69" s="117"/>
      <x:c r="AA69" s="117" t="str">
        <x:v>Pending evidence</x:v>
      </x:c>
      <x:c r="AB69" s="117"/>
      <x:c r="AC69" s="117" t="str">
        <x:v>No qualifying accessibility conclusion established from the screened sources. This is unknown, not evidence that the attraction is inaccessible.</x:v>
      </x:c>
      <x:c r="AD69" s="117" t="str">
        <x:v>2026-09-08</x:v>
      </x:c>
      <x:c r="AE69" s="117" t="str">
        <x:v>MC0066</x:v>
      </x:c>
      <x:c r="AF69" s="117" t="str">
        <x:v>Distinct candidate</x:v>
      </x:c>
      <x:c r="AG69" s="117" t="str"/>
      <x:c r="AH69" s="117" t="str">
        <x:v>Name corroborated in source</x:v>
      </x:c>
      <x:c r="AI69" s="117" t="str">
        <x:v>https://ebrochures.malaysia.travel/en/malaysia-travel-guide/kelantan/</x:v>
      </x:c>
      <x:c r="AJ69" s="117" t="str">
        <x:v>Place name or established alias matched in the cited source. This is not confirmation of current opening, all visitor facilities or the full description.</x:v>
      </x:c>
      <x:c r="AK69" s="117" t="str">
        <x:v>Not independently confirmed</x:v>
      </x:c>
      <x:c r="AL69" s="117" t="str">
        <x:v>Screened sources; accessibility unresolved</x:v>
      </x:c>
      <x:c r="AM69" s="117" t="str">
        <x:v>2026-09-08</x:v>
      </x:c>
      <x:c r="AN69" s="117" t="str">
        <x:v>https://thumb.wikimedia.org/wikipedia/commons/thumb/5/5e/Pasar_Besar_Siti_Khadijah%2C_Kota_Bharu%2C_Malaysia_%284014429550%29.jpg/1280px-Pasar_Besar_Siti_Khadijah%2C_Kota_Bharu%2C_Malaysia_%284014429550%29.jpg?utm_source=commons.wikimedia.org&amp;utm_campaign=imageinfo&amp;utm_content=thumbnail</x:v>
      </x:c>
      <x:c r="AO69" s="117" t="str">
        <x:v>https://thumb.wikimedia.org/wikipedia/commons/thumb/e/ef/Kota_Bharu_Central_Market_-_panoramio.jpg/1280px-Kota_Bharu_Central_Market_-_panoramio.jpg?utm_source=commons.wikimedia.org&amp;utm_campaign=imageinfo&amp;utm_content=thumbnail</x:v>
      </x:c>
      <x:c r="AP69" s="117" t="str">
        <x:v>2 metadata-matched images; visual review pending</x:v>
      </x:c>
      <x:c r="AQ69" s="117"/>
    </x:row>
    <x:row r="70" ht="66" customHeight="1">
      <x:c r="A70" s="117" t="str">
        <x:v>MC0067</x:v>
      </x:c>
      <x:c r="B70" s="117" t="str">
        <x:v>Istana Jahar</x:v>
      </x:c>
      <x:c r="C70" s="117" t="str">
        <x:v>Kelantan</x:v>
      </x:c>
      <x:c r="D70" s="117" t="str">
        <x:v>Kota Bharu</x:v>
      </x:c>
      <x:c r="E70" s="117" t="str">
        <x:v>Museum and Gallery</x:v>
      </x:c>
      <x:c r="F70" s="117" t="str">
        <x:v>Unclassified</x:v>
      </x:c>
      <x:c r="G70" s="117" t="str">
        <x:v>Both</x:v>
      </x:c>
      <x:c r="H70" s="117" t="str">
        <x:v>museum; royal heritage; culture; history; architecture</x:v>
      </x:c>
      <x:c r="I70" s="117" t="str">
        <x:v>A former royal palace in Kota Bharu, now the Royal Customs Museum, showcasing Kelantanese Malay ceremonial traditions.</x:v>
      </x:c>
      <x:c r="J70" s="117" t="str">
        <x:v>https://www.google.com/maps/search/?api=1&amp;query=Istana%20Jahar%2C%20Kelantan%2C%20Malaysia</x:v>
      </x:c>
      <x:c r="K70" s="117" t="str">
        <x:v>https://ebrochures.malaysia.travel/en/malaysia-travel-guide/kelantan/</x:v>
      </x:c>
      <x:c r="L70" s="117" t="str">
        <x:v>Previous workbook candidate/source lead</x:v>
      </x:c>
      <x:c r="M70" s="117" t="str">
        <x:v>Previous workbook seed</x:v>
      </x:c>
      <x:c r="N70" s="117" t="str">
        <x:v>A049</x:v>
      </x:c>
      <x:c r="O70" s="117" t="str">
        <x:v>2026-08-15 00:00:00</x:v>
      </x:c>
      <x:c r="P70" s="117" t="str">
        <x:v>Complete</x:v>
      </x:c>
      <x:c r="Q70" s="117"/>
      <x:c r="R70" s="117" t="str">
        <x:f t="shared" si="1">IF(J70="","Missing Link",IF(AND(ISNUMBER(SEARCH("google.com/maps",J70)),ISERROR(SEARCH(";",J70))),"Discovery Link Only","Source Link Present"))</x:f>
        <x:v>Discovery Link Only</x:v>
      </x:c>
      <x:c r="S70" s="117" t="str">
        <x:v>Unknown</x:v>
      </x:c>
      <x:c r="T70" s="117" t="str">
        <x:v>Unknown</x:v>
      </x:c>
      <x:c r="U70" s="117" t="str">
        <x:v>Unknown</x:v>
      </x:c>
      <x:c r="V70" s="117" t="str">
        <x:v>Unknown</x:v>
      </x:c>
      <x:c r="W70" s="117" t="str">
        <x:v>Unknown</x:v>
      </x:c>
      <x:c r="X70" s="117" t="str">
        <x:v>Unknown</x:v>
      </x:c>
      <x:c r="Y70" s="117" t="str">
        <x:v>Unknown</x:v>
      </x:c>
      <x:c r="Z70" s="117"/>
      <x:c r="AA70" s="117" t="str">
        <x:v>Pending evidence</x:v>
      </x:c>
      <x:c r="AB70" s="117"/>
      <x:c r="AC70" s="117" t="str">
        <x:v>No qualifying accessibility conclusion established from the screened sources. This is unknown, not evidence that the attraction is inaccessible.</x:v>
      </x:c>
      <x:c r="AD70" s="117" t="str">
        <x:v>2026-09-08</x:v>
      </x:c>
      <x:c r="AE70" s="117" t="str">
        <x:v>MC0067</x:v>
      </x:c>
      <x:c r="AF70" s="117" t="str">
        <x:v>Distinct candidate</x:v>
      </x:c>
      <x:c r="AG70" s="117" t="str"/>
      <x:c r="AH70" s="117" t="str">
        <x:v>Name corroborated in source</x:v>
      </x:c>
      <x:c r="AI70" s="117" t="str">
        <x:v>https://ebrochures.malaysia.travel/en/malaysia-travel-guide/kelantan/</x:v>
      </x:c>
      <x:c r="AJ70" s="117" t="str">
        <x:v>Place name or established alias matched in the cited source. This is not confirmation of current opening, all visitor facilities or the full description.</x:v>
      </x:c>
      <x:c r="AK70" s="117" t="str">
        <x:v>Not independently confirmed</x:v>
      </x:c>
      <x:c r="AL70" s="117" t="str">
        <x:v>Screened sources; accessibility unresolved</x:v>
      </x:c>
      <x:c r="AM70" s="117" t="str">
        <x:v>2026-09-08</x:v>
      </x:c>
      <x:c r="AN70" s="117" t="str">
        <x:v>https://thumb.wikimedia.org/wikipedia/commons/thumb/0/09/Istana_Jahar%2C_Kota_Bharu.jpg/1280px-Istana_Jahar%2C_Kota_Bharu.jpg?utm_source=commons.wikimedia.org&amp;utm_campaign=imageinfo&amp;utm_content=thumbnail</x:v>
      </x:c>
      <x:c r="AO70" s="117" t="str">
        <x:v>https://thumb.wikimedia.org/wikipedia/commons/thumb/7/77/Istana_Jahar%2C_Kota_Bharu%2C_Malaysia_%284014469790%29.jpg/1280px-Istana_Jahar%2C_Kota_Bharu%2C_Malaysia_%284014469790%29.jpg?utm_source=commons.wikimedia.org&amp;utm_campaign=imageinfo&amp;utm_content=thumbnail</x:v>
      </x:c>
      <x:c r="AP70" s="117" t="str">
        <x:v>2 metadata-matched images; visual review pending</x:v>
      </x:c>
      <x:c r="AQ70" s="117"/>
    </x:row>
    <x:row r="71" ht="66" customHeight="1">
      <x:c r="A71" s="117" t="str">
        <x:v>MC0068</x:v>
      </x:c>
      <x:c r="B71" s="117" t="str">
        <x:v>Handicraft Village and Craft Museum</x:v>
      </x:c>
      <x:c r="C71" s="117" t="str">
        <x:v>Kelantan</x:v>
      </x:c>
      <x:c r="D71" s="117" t="str">
        <x:v>Kota Bharu</x:v>
      </x:c>
      <x:c r="E71" s="117" t="str">
        <x:v>Culture</x:v>
      </x:c>
      <x:c r="F71" s="117" t="str">
        <x:v>Local</x:v>
      </x:c>
      <x:c r="G71" s="117" t="str">
        <x:v>Both</x:v>
      </x:c>
      <x:c r="H71" s="117" t="str">
        <x:v>handicrafts; museum; culture; shopping; heritage</x:v>
      </x:c>
      <x:c r="I71" s="117" t="str">
        <x:v>A cluster of workshops and a museum in Kota Bharu showcasing Kelantanese crafts such as batik, songket and wau kite-making.</x:v>
      </x:c>
      <x:c r="J71" s="117" t="str">
        <x:v>https://www.google.com/maps/search/?api=1&amp;query=Handicraft%20Village%20and%20Craft%20Museum%2C%20Kelantan%2C%20Malaysia</x:v>
      </x:c>
      <x:c r="K71" s="117" t="str">
        <x:v>https://ebrochures.malaysia.travel/en/malaysia-travel-guide/kelantan/</x:v>
      </x:c>
      <x:c r="L71" s="117" t="str">
        <x:v>Previous workbook candidate/source lead</x:v>
      </x:c>
      <x:c r="M71" s="117" t="str">
        <x:v>Previous workbook seed</x:v>
      </x:c>
      <x:c r="N71" s="117" t="str">
        <x:v>A050</x:v>
      </x:c>
      <x:c r="O71" s="117" t="str">
        <x:v>2026-08-15 00:00:00</x:v>
      </x:c>
      <x:c r="P71" s="117" t="str">
        <x:v>Complete</x:v>
      </x:c>
      <x:c r="Q71" s="117"/>
      <x:c r="R71" s="117" t="str">
        <x:f t="shared" si="1">IF(J71="","Missing Link",IF(AND(ISNUMBER(SEARCH("google.com/maps",J71)),ISERROR(SEARCH(";",J71))),"Discovery Link Only","Source Link Present"))</x:f>
        <x:v>Discovery Link Only</x:v>
      </x:c>
      <x:c r="S71" s="117" t="str">
        <x:v>Unknown</x:v>
      </x:c>
      <x:c r="T71" s="117" t="str">
        <x:v>Unknown</x:v>
      </x:c>
      <x:c r="U71" s="117" t="str">
        <x:v>Unknown</x:v>
      </x:c>
      <x:c r="V71" s="117" t="str">
        <x:v>Unknown</x:v>
      </x:c>
      <x:c r="W71" s="117" t="str">
        <x:v>Unknown</x:v>
      </x:c>
      <x:c r="X71" s="117" t="str">
        <x:v>Unknown</x:v>
      </x:c>
      <x:c r="Y71" s="117" t="str">
        <x:v>Unknown</x:v>
      </x:c>
      <x:c r="Z71" s="117"/>
      <x:c r="AA71" s="117" t="str">
        <x:v>Pending evidence</x:v>
      </x:c>
      <x:c r="AB71" s="117"/>
      <x:c r="AC71" s="117" t="str">
        <x:v>No qualifying accessibility conclusion established from the screened sources. This is unknown, not evidence that the attraction is inaccessible.</x:v>
      </x:c>
      <x:c r="AD71" s="117" t="str">
        <x:v>2026-09-08</x:v>
      </x:c>
      <x:c r="AE71" s="117" t="str">
        <x:v>MC0068</x:v>
      </x:c>
      <x:c r="AF71" s="117" t="str">
        <x:v>Distinct candidate</x:v>
      </x:c>
      <x:c r="AG71" s="117" t="str"/>
      <x:c r="AH71" s="117" t="str">
        <x:v>Name corroborated in source</x:v>
      </x:c>
      <x:c r="AI71" s="117" t="str">
        <x:v>https://ebrochures.malaysia.travel/en/malaysia-travel-guide/kelantan/</x:v>
      </x:c>
      <x:c r="AJ71" s="117" t="str">
        <x:v>Place name or established alias matched in the cited source. This is not confirmation of current opening, all visitor facilities or the full description.</x:v>
      </x:c>
      <x:c r="AK71" s="117" t="str">
        <x:v>Not independently confirmed</x:v>
      </x:c>
      <x:c r="AL71" s="117" t="str">
        <x:v>Screened sources; accessibility unresolved</x:v>
      </x:c>
      <x:c r="AM71" s="117" t="str">
        <x:v>2026-09-08</x:v>
      </x:c>
      <x:c r="AN71" s="117"/>
      <x:c r="AO71" s="117"/>
      <x:c r="AP71" s="117" t="str">
        <x:v>No usable pair located; image research pending</x:v>
      </x:c>
      <x:c r="AQ71" s="117"/>
    </x:row>
    <x:row r="72" ht="66" customHeight="1">
      <x:c r="A72" s="117" t="str">
        <x:v>MC0069</x:v>
      </x:c>
      <x:c r="B72" s="117" t="str">
        <x:v>Wat Photivihan</x:v>
      </x:c>
      <x:c r="C72" s="117" t="str">
        <x:v>Kelantan</x:v>
      </x:c>
      <x:c r="D72" s="117" t="str">
        <x:v>Tumpat</x:v>
      </x:c>
      <x:c r="E72" s="117" t="str">
        <x:v>Religious Site</x:v>
      </x:c>
      <x:c r="F72" s="117" t="str">
        <x:v>Unclassified</x:v>
      </x:c>
      <x:c r="G72" s="117" t="str">
        <x:v>Both</x:v>
      </x:c>
      <x:c r="H72" s="117" t="str">
        <x:v>temple; culture; religion; architecture; photography</x:v>
      </x:c>
      <x:c r="I72" s="117" t="str">
        <x:v>A Thai Buddhist temple in Tumpat district home to one of Southeast Asia's largest reclining Buddha statues.</x:v>
      </x:c>
      <x:c r="J72" s="117" t="str">
        <x:v>https://www.google.com/maps/search/?api=1&amp;query=Wat%20Photivihan%2C%20Kelantan%2C%20Malaysia</x:v>
      </x:c>
      <x:c r="K72" s="117" t="str">
        <x:v>https://ebrochures.malaysia.travel/en/malaysia-travel-guide/kelantan/</x:v>
      </x:c>
      <x:c r="L72" s="117" t="str">
        <x:v>Previous workbook candidate/source lead</x:v>
      </x:c>
      <x:c r="M72" s="117" t="str">
        <x:v>Previous workbook seed</x:v>
      </x:c>
      <x:c r="N72" s="117" t="str">
        <x:v>A051</x:v>
      </x:c>
      <x:c r="O72" s="117" t="str">
        <x:v>2026-08-15 00:00:00</x:v>
      </x:c>
      <x:c r="P72" s="117" t="str">
        <x:v>Complete</x:v>
      </x:c>
      <x:c r="Q72" s="117"/>
      <x:c r="R72" s="117" t="str">
        <x:f t="shared" si="1">IF(J72="","Missing Link",IF(AND(ISNUMBER(SEARCH("google.com/maps",J72)),ISERROR(SEARCH(";",J72))),"Discovery Link Only","Source Link Present"))</x:f>
        <x:v>Discovery Link Only</x:v>
      </x:c>
      <x:c r="S72" s="117" t="str">
        <x:v>Unknown</x:v>
      </x:c>
      <x:c r="T72" s="117" t="str">
        <x:v>Unknown</x:v>
      </x:c>
      <x:c r="U72" s="117" t="str">
        <x:v>Unknown</x:v>
      </x:c>
      <x:c r="V72" s="117" t="str">
        <x:v>Unknown</x:v>
      </x:c>
      <x:c r="W72" s="117" t="str">
        <x:v>Unknown</x:v>
      </x:c>
      <x:c r="X72" s="117" t="str">
        <x:v>Unknown</x:v>
      </x:c>
      <x:c r="Y72" s="117" t="str">
        <x:v>Unknown</x:v>
      </x:c>
      <x:c r="Z72" s="117"/>
      <x:c r="AA72" s="117" t="str">
        <x:v>Pending evidence</x:v>
      </x:c>
      <x:c r="AB72" s="117"/>
      <x:c r="AC72" s="117" t="str">
        <x:v>No qualifying accessibility conclusion established from the screened sources. This is unknown, not evidence that the attraction is inaccessible.</x:v>
      </x:c>
      <x:c r="AD72" s="117" t="str">
        <x:v>2026-09-08</x:v>
      </x:c>
      <x:c r="AE72" s="117" t="str">
        <x:v>MC0069</x:v>
      </x:c>
      <x:c r="AF72" s="117" t="str">
        <x:v>Distinct candidate</x:v>
      </x:c>
      <x:c r="AG72" s="117" t="str"/>
      <x:c r="AH72" s="117" t="str">
        <x:v>Name corroborated in source</x:v>
      </x:c>
      <x:c r="AI72" s="117" t="str">
        <x:v>https://ebrochures.malaysia.travel/en/malaysia-travel-guide/kelantan/</x:v>
      </x:c>
      <x:c r="AJ72" s="117" t="str">
        <x:v>Place name or established alias matched in the cited source. This is not confirmation of current opening, all visitor facilities or the full description.</x:v>
      </x:c>
      <x:c r="AK72" s="117" t="str">
        <x:v>Not independently confirmed</x:v>
      </x:c>
      <x:c r="AL72" s="117" t="str">
        <x:v>Screened sources; accessibility unresolved</x:v>
      </x:c>
      <x:c r="AM72" s="117" t="str">
        <x:v>2026-09-08</x:v>
      </x:c>
      <x:c r="AN72" s="117"/>
      <x:c r="AO72" s="117"/>
      <x:c r="AP72" s="117" t="str">
        <x:v>No usable pair located; image research pending</x:v>
      </x:c>
      <x:c r="AQ72" s="117"/>
    </x:row>
    <x:row r="73" ht="66" customHeight="1">
      <x:c r="A73" s="117" t="str">
        <x:v>MC0070</x:v>
      </x:c>
      <x:c r="B73" s="117" t="str">
        <x:v>Pantai Cahaya Bulan</x:v>
      </x:c>
      <x:c r="C73" s="117" t="str">
        <x:v>Kelantan</x:v>
      </x:c>
      <x:c r="D73" s="117" t="str">
        <x:v>Kota Bharu</x:v>
      </x:c>
      <x:c r="E73" s="117" t="str">
        <x:v>Beach and Island</x:v>
      </x:c>
      <x:c r="F73" s="117" t="str">
        <x:v>Unclassified</x:v>
      </x:c>
      <x:c r="G73" s="117" t="str">
        <x:v>Outdoor</x:v>
      </x:c>
      <x:c r="H73" s="117" t="str">
        <x:v>beach; relaxation; food; family; scenery</x:v>
      </x:c>
      <x:c r="I73" s="117" t="str">
        <x:v>A well-known beach near Kota Bharu, popularly called Moonlight Beach, lined with casuarina trees.</x:v>
      </x:c>
      <x:c r="J73" s="117" t="str">
        <x:v>https://www.google.com/maps/search/?api=1&amp;query=Pantai%20Cahaya%20Bulan%2C%20Kelantan%2C%20Malaysia</x:v>
      </x:c>
      <x:c r="K73" s="117" t="str">
        <x:v>https://ebrochures.malaysia.travel/en/malaysia-travel-guide/kelantan/</x:v>
      </x:c>
      <x:c r="L73" s="117" t="str">
        <x:v>Previous workbook candidate/source lead</x:v>
      </x:c>
      <x:c r="M73" s="117" t="str">
        <x:v>Previous workbook seed</x:v>
      </x:c>
      <x:c r="N73" s="117" t="str">
        <x:v>A052</x:v>
      </x:c>
      <x:c r="O73" s="117" t="str">
        <x:v>2026-08-15 00:00:00</x:v>
      </x:c>
      <x:c r="P73" s="117" t="str">
        <x:v>Complete</x:v>
      </x:c>
      <x:c r="Q73" s="117"/>
      <x:c r="R73" s="117" t="str">
        <x:f t="shared" si="1">IF(J73="","Missing Link",IF(AND(ISNUMBER(SEARCH("google.com/maps",J73)),ISERROR(SEARCH(";",J73))),"Discovery Link Only","Source Link Present"))</x:f>
        <x:v>Discovery Link Only</x:v>
      </x:c>
      <x:c r="S73" s="117" t="str">
        <x:v>Unknown</x:v>
      </x:c>
      <x:c r="T73" s="117" t="str">
        <x:v>Unknown</x:v>
      </x:c>
      <x:c r="U73" s="117" t="str">
        <x:v>Unknown</x:v>
      </x:c>
      <x:c r="V73" s="117" t="str">
        <x:v>Unknown</x:v>
      </x:c>
      <x:c r="W73" s="117" t="str">
        <x:v>Unknown</x:v>
      </x:c>
      <x:c r="X73" s="117" t="str">
        <x:v>Unknown</x:v>
      </x:c>
      <x:c r="Y73" s="117" t="str">
        <x:v>Unknown</x:v>
      </x:c>
      <x:c r="Z73" s="117"/>
      <x:c r="AA73" s="117" t="str">
        <x:v>Pending evidence</x:v>
      </x:c>
      <x:c r="AB73" s="117"/>
      <x:c r="AC73" s="117" t="str">
        <x:v>No qualifying accessibility conclusion established from the screened sources. This is unknown, not evidence that the attraction is inaccessible.</x:v>
      </x:c>
      <x:c r="AD73" s="117" t="str">
        <x:v>2026-09-08</x:v>
      </x:c>
      <x:c r="AE73" s="117" t="str">
        <x:v>MC0070</x:v>
      </x:c>
      <x:c r="AF73" s="117" t="str">
        <x:v>Distinct candidate</x:v>
      </x:c>
      <x:c r="AG73" s="117" t="str"/>
      <x:c r="AH73" s="117" t="str">
        <x:v>Name corroborated in source</x:v>
      </x:c>
      <x:c r="AI73" s="117" t="str">
        <x:v>https://ebrochures.malaysia.travel/en/malaysia-travel-guide/kelantan/</x:v>
      </x:c>
      <x:c r="AJ73" s="117" t="str">
        <x:v>Place name or established alias matched in the cited source. This is not confirmation of current opening, all visitor facilities or the full description.</x:v>
      </x:c>
      <x:c r="AK73" s="117" t="str">
        <x:v>Not independently confirmed</x:v>
      </x:c>
      <x:c r="AL73" s="117" t="str">
        <x:v>Screened sources; accessibility unresolved</x:v>
      </x:c>
      <x:c r="AM73" s="117" t="str">
        <x:v>2026-09-08</x:v>
      </x:c>
      <x:c r="AN73" s="117"/>
      <x:c r="AO73" s="117"/>
      <x:c r="AP73" s="117" t="str">
        <x:v>No usable pair located; image research pending</x:v>
      </x:c>
      <x:c r="AQ73" s="117"/>
    </x:row>
    <x:row r="74" ht="66" customHeight="1">
      <x:c r="A74" s="117" t="str">
        <x:v>MC0071</x:v>
      </x:c>
      <x:c r="B74" s="117" t="str">
        <x:v>Pantai Irama</x:v>
      </x:c>
      <x:c r="C74" s="117" t="str">
        <x:v>Kelantan</x:v>
      </x:c>
      <x:c r="D74" s="117" t="str">
        <x:v>Bachok</x:v>
      </x:c>
      <x:c r="E74" s="117" t="str">
        <x:v>Beach and Island</x:v>
      </x:c>
      <x:c r="F74" s="117" t="str">
        <x:v>Unclassified</x:v>
      </x:c>
      <x:c r="G74" s="117" t="str">
        <x:v>Outdoor</x:v>
      </x:c>
      <x:c r="H74" s="117" t="str">
        <x:v>beach; relaxation; family; scenery; picnic</x:v>
      </x:c>
      <x:c r="I74" s="117" t="str">
        <x:v>A beach in Bachok district known for stretches of rocky coastline and coastal scenery.</x:v>
      </x:c>
      <x:c r="J74" s="117" t="str">
        <x:v>https://www.google.com/maps/search/?api=1&amp;query=Pantai%20Irama%2C%20Kelantan%2C%20Malaysia</x:v>
      </x:c>
      <x:c r="K74" s="117" t="str">
        <x:v>https://ebrochures.malaysia.travel/en/malaysia-travel-guide/kelantan/</x:v>
      </x:c>
      <x:c r="L74" s="117" t="str">
        <x:v>Previous workbook candidate/source lead</x:v>
      </x:c>
      <x:c r="M74" s="117" t="str">
        <x:v>Previous workbook seed</x:v>
      </x:c>
      <x:c r="N74" s="117" t="str">
        <x:v>A053</x:v>
      </x:c>
      <x:c r="O74" s="117" t="str">
        <x:v>2026-08-15 00:00:00</x:v>
      </x:c>
      <x:c r="P74" s="117" t="str">
        <x:v>Complete</x:v>
      </x:c>
      <x:c r="Q74" s="117"/>
      <x:c r="R74" s="117" t="str">
        <x:f t="shared" si="1">IF(J74="","Missing Link",IF(AND(ISNUMBER(SEARCH("google.com/maps",J74)),ISERROR(SEARCH(";",J74))),"Discovery Link Only","Source Link Present"))</x:f>
        <x:v>Discovery Link Only</x:v>
      </x:c>
      <x:c r="S74" s="117" t="str">
        <x:v>Unknown</x:v>
      </x:c>
      <x:c r="T74" s="117" t="str">
        <x:v>Unknown</x:v>
      </x:c>
      <x:c r="U74" s="117" t="str">
        <x:v>Unknown</x:v>
      </x:c>
      <x:c r="V74" s="117" t="str">
        <x:v>Unknown</x:v>
      </x:c>
      <x:c r="W74" s="117" t="str">
        <x:v>Unknown</x:v>
      </x:c>
      <x:c r="X74" s="117" t="str">
        <x:v>Unknown</x:v>
      </x:c>
      <x:c r="Y74" s="117" t="str">
        <x:v>Unknown</x:v>
      </x:c>
      <x:c r="Z74" s="117"/>
      <x:c r="AA74" s="117" t="str">
        <x:v>Pending evidence</x:v>
      </x:c>
      <x:c r="AB74" s="117"/>
      <x:c r="AC74" s="117" t="str">
        <x:v>No qualifying accessibility conclusion established from the screened sources. This is unknown, not evidence that the attraction is inaccessible.</x:v>
      </x:c>
      <x:c r="AD74" s="117" t="str">
        <x:v>2026-09-08</x:v>
      </x:c>
      <x:c r="AE74" s="117" t="str">
        <x:v>MC0071</x:v>
      </x:c>
      <x:c r="AF74" s="117" t="str">
        <x:v>Distinct candidate</x:v>
      </x:c>
      <x:c r="AG74" s="117" t="str"/>
      <x:c r="AH74" s="117" t="str">
        <x:v>Name corroborated in source</x:v>
      </x:c>
      <x:c r="AI74" s="117" t="str">
        <x:v>https://ebrochures.malaysia.travel/en/malaysia-travel-guide/kelantan/</x:v>
      </x:c>
      <x:c r="AJ74" s="117" t="str">
        <x:v>Place name or established alias matched in the cited source. This is not confirmation of current opening, all visitor facilities or the full description.</x:v>
      </x:c>
      <x:c r="AK74" s="117" t="str">
        <x:v>Not independently confirmed</x:v>
      </x:c>
      <x:c r="AL74" s="117" t="str">
        <x:v>Screened sources; accessibility unresolved</x:v>
      </x:c>
      <x:c r="AM74" s="117" t="str">
        <x:v>2026-09-08</x:v>
      </x:c>
      <x:c r="AN74" s="117" t="str">
        <x:v>https://upload.wikimedia.org/wikipedia/commons/e/ea/Pantai_Irama%2C_Bachok%2C_Kelantan.jpg?utm_source=commons.wikimedia.org&amp;utm_campaign=imageinfo&amp;utm_content=thumbnail_unscaled</x:v>
      </x:c>
      <x:c r="AO74" s="117" t="str">
        <x:v>https://upload.wikimedia.org/wikipedia/commons/a/a6/Ahmad_Yakob_MB_Kelantan.jpg?utm_source=commons.wikimedia.org&amp;utm_campaign=imageinfo&amp;utm_content=thumbnail_unscaled</x:v>
      </x:c>
      <x:c r="AP74" s="117" t="str">
        <x:v>2 metadata-matched images; visual review pending</x:v>
      </x:c>
      <x:c r="AQ74" s="117"/>
    </x:row>
    <x:row r="75" ht="66" customHeight="1">
      <x:c r="A75" s="117" t="str">
        <x:v>MC0072</x:v>
      </x:c>
      <x:c r="B75" s="117" t="str">
        <x:v>Gunung Stong State Park</x:v>
      </x:c>
      <x:c r="C75" s="117" t="str">
        <x:v>Kelantan</x:v>
      </x:c>
      <x:c r="D75" s="117" t="str">
        <x:v>Dabong</x:v>
      </x:c>
      <x:c r="E75" s="117" t="str">
        <x:v>Adventure</x:v>
      </x:c>
      <x:c r="F75" s="117" t="str">
        <x:v>Unclassified</x:v>
      </x:c>
      <x:c r="G75" s="117" t="str">
        <x:v>Outdoor</x:v>
      </x:c>
      <x:c r="H75" s="117" t="str">
        <x:v>hiking; waterfall; forest; camping; adventure; nature</x:v>
      </x:c>
      <x:c r="I75" s="117" t="str">
        <x:v>A state park in Dabong district with waterfalls, hot springs and a multi-day hiking trail up Gunung Stong.</x:v>
      </x:c>
      <x:c r="J75" s="117" t="str">
        <x:v>https://www.google.com/maps/search/?api=1&amp;query=Gunung%20Stong%20State%20Park%2C%20Kelantan%2C%20Malaysia</x:v>
      </x:c>
      <x:c r="K75" s="117" t="str">
        <x:v>https://ebrochures.malaysia.travel/en/malaysia-travel-guide/kelantan/</x:v>
      </x:c>
      <x:c r="L75" s="117" t="str">
        <x:v>Previous workbook candidate/source lead</x:v>
      </x:c>
      <x:c r="M75" s="117" t="str">
        <x:v>Previous workbook seed</x:v>
      </x:c>
      <x:c r="N75" s="117" t="str">
        <x:v>A054</x:v>
      </x:c>
      <x:c r="O75" s="117" t="str">
        <x:v>2026-08-15 00:00:00</x:v>
      </x:c>
      <x:c r="P75" s="117" t="str">
        <x:v>Complete</x:v>
      </x:c>
      <x:c r="Q75" s="117" t="str">
        <x:v>Identity and Malaysian location verified in second-pass review on 2026-09-08.</x:v>
      </x:c>
      <x:c r="R75" s="117" t="str">
        <x:f t="shared" si="1">IF(J75="","Missing Link",IF(AND(ISNUMBER(SEARCH("google.com/maps",J75)),ISERROR(SEARCH(";",J75))),"Discovery Link Only","Source Link Present"))</x:f>
        <x:v>Discovery Link Only</x:v>
      </x:c>
      <x:c r="S75" s="117" t="str">
        <x:v>Unknown</x:v>
      </x:c>
      <x:c r="T75" s="117" t="str">
        <x:v>Unknown</x:v>
      </x:c>
      <x:c r="U75" s="117" t="str">
        <x:v>Unknown</x:v>
      </x:c>
      <x:c r="V75" s="117" t="str">
        <x:v>Unknown</x:v>
      </x:c>
      <x:c r="W75" s="117" t="str">
        <x:v>Unknown</x:v>
      </x:c>
      <x:c r="X75" s="117" t="str">
        <x:v>Unknown</x:v>
      </x:c>
      <x:c r="Y75" s="117" t="str">
        <x:v>Unknown</x:v>
      </x:c>
      <x:c r="Z75" s="117"/>
      <x:c r="AA75" s="117" t="str">
        <x:v>Pending evidence</x:v>
      </x:c>
      <x:c r="AB75" s="117"/>
      <x:c r="AC75" s="117" t="str">
        <x:v>No qualifying accessibility conclusion established from the screened sources. This is unknown, not evidence that the attraction is inaccessible.</x:v>
      </x:c>
      <x:c r="AD75" s="117" t="str">
        <x:v>2026-09-08</x:v>
      </x:c>
      <x:c r="AE75" s="117" t="str">
        <x:v>MC0072</x:v>
      </x:c>
      <x:c r="AF75" s="117" t="str">
        <x:v>Distinct candidate</x:v>
      </x:c>
      <x:c r="AG75" s="117" t="str"/>
      <x:c r="AH75" s="117" t="str">
        <x:v>Identity and location corroborated</x:v>
      </x:c>
      <x:c r="AI75" s="117" t="str">
        <x:v>https://www.mybis.gov.my/pa/54</x:v>
      </x:c>
      <x:c r="AJ75" s="117" t="str">
        <x:v>Official biodiversity database matches the attraction name or established alias and the stated Malaysian location. This verifies identity/location only; confirm current opening and accessibility separately.</x:v>
      </x:c>
      <x:c r="AK75" s="117" t="str">
        <x:v>Not independently confirmed</x:v>
      </x:c>
      <x:c r="AL75" s="117" t="str">
        <x:v>Screened sources; accessibility unresolved</x:v>
      </x:c>
      <x:c r="AM75" s="117" t="str">
        <x:v>2026-09-08</x:v>
      </x:c>
      <x:c r="AN75" s="117" t="str">
        <x:v>https://upload.wikimedia.org/wikipedia/commons/0/0c/TMEarthCamp2014.png?utm_source=commons.wikimedia.org&amp;utm_campaign=imageinfo&amp;utm_content=thumbnail_unscaled</x:v>
      </x:c>
      <x:c r="AO75" s="117"/>
      <x:c r="AP75" s="117" t="str">
        <x:v>1 metadata-matched images; visual review pending</x:v>
      </x:c>
      <x:c r="AQ75" s="117"/>
    </x:row>
    <x:row r="76" ht="66" customHeight="1">
      <x:c r="A76" s="117" t="str">
        <x:v>MC0073</x:v>
      </x:c>
      <x:c r="B76" s="117" t="str">
        <x:v>Min House Camp</x:v>
      </x:c>
      <x:c r="C76" s="117" t="str">
        <x:v>Kelantan</x:v>
      </x:c>
      <x:c r="D76" s="117" t="str">
        <x:v>Kota Bharu</x:v>
      </x:c>
      <x:c r="E76" s="117" t="str">
        <x:v>Nature</x:v>
      </x:c>
      <x:c r="F76" s="117" t="str">
        <x:v>Local</x:v>
      </x:c>
      <x:c r="G76" s="117" t="str">
        <x:v>Outdoor</x:v>
      </x:c>
      <x:c r="H76" s="117" t="str">
        <x:v>nature; river; fireflies; local culture; relaxation</x:v>
      </x:c>
      <x:c r="I76" s="117" t="str">
        <x:v>An eco-tourism camp near Kota Bharu offering rural riverside stays and outdoor activities.</x:v>
      </x:c>
      <x:c r="J76" s="117" t="str">
        <x:v>https://www.google.com/maps/search/?api=1&amp;query=Min%20House%20Camp%2C%20Kelantan%2C%20Malaysia</x:v>
      </x:c>
      <x:c r="K76" s="117" t="str">
        <x:v>https://ebrochures.malaysia.travel/en/malaysia-travel-guide/kelantan/</x:v>
      </x:c>
      <x:c r="L76" s="117" t="str">
        <x:v>Previous workbook candidate/source lead</x:v>
      </x:c>
      <x:c r="M76" s="117" t="str">
        <x:v>Previous workbook seed</x:v>
      </x:c>
      <x:c r="N76" s="117" t="str">
        <x:v>A055</x:v>
      </x:c>
      <x:c r="O76" s="117" t="str">
        <x:v>2026-08-15 00:00:00</x:v>
      </x:c>
      <x:c r="P76" s="117" t="str">
        <x:v>Complete</x:v>
      </x:c>
      <x:c r="Q76" s="117"/>
      <x:c r="R76" s="117" t="str">
        <x:f t="shared" si="1">IF(J76="","Missing Link",IF(AND(ISNUMBER(SEARCH("google.com/maps",J76)),ISERROR(SEARCH(";",J76))),"Discovery Link Only","Source Link Present"))</x:f>
        <x:v>Discovery Link Only</x:v>
      </x:c>
      <x:c r="S76" s="117" t="str">
        <x:v>Unknown</x:v>
      </x:c>
      <x:c r="T76" s="117" t="str">
        <x:v>Unknown</x:v>
      </x:c>
      <x:c r="U76" s="117" t="str">
        <x:v>Unknown</x:v>
      </x:c>
      <x:c r="V76" s="117" t="str">
        <x:v>Unknown</x:v>
      </x:c>
      <x:c r="W76" s="117" t="str">
        <x:v>Unknown</x:v>
      </x:c>
      <x:c r="X76" s="117" t="str">
        <x:v>Unknown</x:v>
      </x:c>
      <x:c r="Y76" s="117" t="str">
        <x:v>Unknown</x:v>
      </x:c>
      <x:c r="Z76" s="117"/>
      <x:c r="AA76" s="117" t="str">
        <x:v>Pending evidence</x:v>
      </x:c>
      <x:c r="AB76" s="117"/>
      <x:c r="AC76" s="117" t="str">
        <x:v>No qualifying accessibility conclusion established from the screened sources. This is unknown, not evidence that the attraction is inaccessible.</x:v>
      </x:c>
      <x:c r="AD76" s="117" t="str">
        <x:v>2026-09-08</x:v>
      </x:c>
      <x:c r="AE76" s="117" t="str">
        <x:v>MC0073</x:v>
      </x:c>
      <x:c r="AF76" s="117" t="str">
        <x:v>Distinct candidate</x:v>
      </x:c>
      <x:c r="AG76" s="117" t="str"/>
      <x:c r="AH76" s="117" t="str">
        <x:v>Name corroborated in source</x:v>
      </x:c>
      <x:c r="AI76" s="117" t="str">
        <x:v>https://ebrochures.malaysia.travel/en/malaysia-travel-guide/kelantan/</x:v>
      </x:c>
      <x:c r="AJ76" s="117" t="str">
        <x:v>Place name or established alias matched in the cited source. This is not confirmation of current opening, all visitor facilities or the full description.</x:v>
      </x:c>
      <x:c r="AK76" s="117" t="str">
        <x:v>Not independently confirmed</x:v>
      </x:c>
      <x:c r="AL76" s="117" t="str">
        <x:v>Screened sources; accessibility unresolved</x:v>
      </x:c>
      <x:c r="AM76" s="117" t="str">
        <x:v>2026-09-08</x:v>
      </x:c>
      <x:c r="AN76" s="117"/>
      <x:c r="AO76" s="117"/>
      <x:c r="AP76" s="117" t="str">
        <x:v>No usable pair located; image research pending</x:v>
      </x:c>
      <x:c r="AQ76" s="117"/>
    </x:row>
    <x:row r="77" ht="66" customHeight="1">
      <x:c r="A77" s="117" t="str">
        <x:v>MC0074</x:v>
      </x:c>
      <x:c r="B77" s="117" t="str">
        <x:v>Muhammadi Mosque</x:v>
      </x:c>
      <x:c r="C77" s="117" t="str">
        <x:v>Kelantan</x:v>
      </x:c>
      <x:c r="D77" s="117" t="str">
        <x:v>Kota Bharu</x:v>
      </x:c>
      <x:c r="E77" s="117" t="str">
        <x:v>Religious Site</x:v>
      </x:c>
      <x:c r="F77" s="117" t="str">
        <x:v>Unclassified</x:v>
      </x:c>
      <x:c r="G77" s="117" t="str">
        <x:v>Both</x:v>
      </x:c>
      <x:c r="H77" s="117" t="str">
        <x:v>mosque; religion; heritage; architecture; culture</x:v>
      </x:c>
      <x:c r="I77" s="117" t="str">
        <x:v>The old state mosque of Kelantan in Kota Bharu, among the state's oldest mosques.</x:v>
      </x:c>
      <x:c r="J77" s="117" t="str">
        <x:v>https://www.google.com/maps/search/?api=1&amp;query=Muhammadi%20Mosque%2C%20Kelantan%2C%20Malaysia</x:v>
      </x:c>
      <x:c r="K77" s="117" t="str">
        <x:v>https://ebrochures.malaysia.travel/en/malaysia-travel-guide/kelantan/</x:v>
      </x:c>
      <x:c r="L77" s="117" t="str">
        <x:v>Previous workbook candidate/source lead</x:v>
      </x:c>
      <x:c r="M77" s="117" t="str">
        <x:v>Previous workbook seed</x:v>
      </x:c>
      <x:c r="N77" s="117" t="str">
        <x:v>A056</x:v>
      </x:c>
      <x:c r="O77" s="117" t="str">
        <x:v>2026-08-15 00:00:00</x:v>
      </x:c>
      <x:c r="P77" s="117" t="str">
        <x:v>Complete</x:v>
      </x:c>
      <x:c r="Q77" s="117"/>
      <x:c r="R77" s="117" t="str">
        <x:f t="shared" si="1">IF(J77="","Missing Link",IF(AND(ISNUMBER(SEARCH("google.com/maps",J77)),ISERROR(SEARCH(";",J77))),"Discovery Link Only","Source Link Present"))</x:f>
        <x:v>Discovery Link Only</x:v>
      </x:c>
      <x:c r="S77" s="117" t="str">
        <x:v>Unknown</x:v>
      </x:c>
      <x:c r="T77" s="117" t="str">
        <x:v>Unknown</x:v>
      </x:c>
      <x:c r="U77" s="117" t="str">
        <x:v>Unknown</x:v>
      </x:c>
      <x:c r="V77" s="117" t="str">
        <x:v>Unknown</x:v>
      </x:c>
      <x:c r="W77" s="117" t="str">
        <x:v>Unknown</x:v>
      </x:c>
      <x:c r="X77" s="117" t="str">
        <x:v>Unknown</x:v>
      </x:c>
      <x:c r="Y77" s="117" t="str">
        <x:v>Unknown</x:v>
      </x:c>
      <x:c r="Z77" s="117"/>
      <x:c r="AA77" s="117" t="str">
        <x:v>Pending evidence</x:v>
      </x:c>
      <x:c r="AB77" s="117"/>
      <x:c r="AC77" s="117" t="str">
        <x:v>No qualifying accessibility conclusion established from the screened sources. This is unknown, not evidence that the attraction is inaccessible.</x:v>
      </x:c>
      <x:c r="AD77" s="117" t="str">
        <x:v>2026-09-08</x:v>
      </x:c>
      <x:c r="AE77" s="117" t="str">
        <x:v>MC0074</x:v>
      </x:c>
      <x:c r="AF77" s="117" t="str">
        <x:v>Distinct candidate</x:v>
      </x:c>
      <x:c r="AG77" s="117" t="str"/>
      <x:c r="AH77" s="117" t="str">
        <x:v>Name corroborated in source</x:v>
      </x:c>
      <x:c r="AI77" s="117" t="str">
        <x:v>https://ebrochures.malaysia.travel/en/malaysia-travel-guide/kelantan/</x:v>
      </x:c>
      <x:c r="AJ77" s="117" t="str">
        <x:v>Place name or established alias matched in the cited source. This is not confirmation of current opening, all visitor facilities or the full description.</x:v>
      </x:c>
      <x:c r="AK77" s="117" t="str">
        <x:v>Not independently confirmed</x:v>
      </x:c>
      <x:c r="AL77" s="117" t="str">
        <x:v>Screened sources; accessibility unresolved</x:v>
      </x:c>
      <x:c r="AM77" s="117" t="str">
        <x:v>2026-09-08</x:v>
      </x:c>
      <x:c r="AN77" s="117" t="str">
        <x:v>https://thumb.wikimedia.org/wikipedia/commons/thumb/a/a3/Masjid_Muhammadi_Kota_Bharu.jpg/1280px-Masjid_Muhammadi_Kota_Bharu.jpg?utm_source=commons.wikimedia.org&amp;utm_campaign=imageinfo&amp;utm_content=thumbnail</x:v>
      </x:c>
      <x:c r="AO77" s="117" t="str">
        <x:v>https://thumb.wikimedia.org/wikipedia/commons/thumb/e/e4/Masjid_Muhammadi_KB_4.jpg/1280px-Masjid_Muhammadi_KB_4.jpg?utm_source=commons.wikimedia.org&amp;utm_campaign=imageinfo&amp;utm_content=thumbnail</x:v>
      </x:c>
      <x:c r="AP77" s="117" t="str">
        <x:v>2 metadata-matched images; visual review pending</x:v>
      </x:c>
      <x:c r="AQ77" s="117"/>
    </x:row>
    <x:row r="78" ht="66" customHeight="1">
      <x:c r="A78" s="117" t="str">
        <x:v>MC0075</x:v>
      </x:c>
      <x:c r="B78" s="117" t="str">
        <x:v>Bank Kerapu War Museum</x:v>
      </x:c>
      <x:c r="C78" s="117" t="str">
        <x:v>Kelantan</x:v>
      </x:c>
      <x:c r="D78" s="117" t="str">
        <x:v>Kota Bharu</x:v>
      </x:c>
      <x:c r="E78" s="117" t="str">
        <x:v>Museum and Gallery</x:v>
      </x:c>
      <x:c r="F78" s="117" t="str">
        <x:v>Local</x:v>
      </x:c>
      <x:c r="G78" s="117" t="str">
        <x:v>Indoor</x:v>
      </x:c>
      <x:c r="H78" s="117" t="str">
        <x:v>war history; museum; heritage</x:v>
      </x:c>
      <x:c r="I78" s="117" t="str">
        <x:v>A museum in a former bank building in Kota Bharu documenting the Japanese occupation of Kelantan during the Second World War.</x:v>
      </x:c>
      <x:c r="J78" s="117" t="str">
        <x:v>https://www.google.com/maps/search/?api=1&amp;query=Bank%20Kerapu%20War%20Museum%2C%20Kelantan%2C%20Malaysia</x:v>
      </x:c>
      <x:c r="K78" s="117" t="str">
        <x:v>https://ebrochures.malaysia.travel/en/malaysia-travel-guide/kelantan/</x:v>
      </x:c>
      <x:c r="L78" s="117" t="str">
        <x:v>Tourism Malaysia state guide plus map discovery link</x:v>
      </x:c>
      <x:c r="M78" s="117" t="str">
        <x:v>Kelantan expansion batch</x:v>
      </x:c>
      <x:c r="N78" s="117"/>
      <x:c r="O78" s="117" t="str">
        <x:v>2026-08-15 00:00:00</x:v>
      </x:c>
      <x:c r="P78" s="117" t="str">
        <x:v>Complete</x:v>
      </x:c>
      <x:c r="Q78" s="117" t="str">
        <x:v>Identity and Malaysian location verified in second-pass review on 2026-09-08.</x:v>
      </x:c>
      <x:c r="R78" s="117" t="str">
        <x:f t="shared" si="1">IF(J78="","Missing Link",IF(AND(ISNUMBER(SEARCH("google.com/maps",J78)),ISERROR(SEARCH(";",J78))),"Discovery Link Only","Source Link Present"))</x:f>
        <x:v>Discovery Link Only</x:v>
      </x:c>
      <x:c r="S78" s="117" t="str">
        <x:v>Unknown</x:v>
      </x:c>
      <x:c r="T78" s="117" t="str">
        <x:v>Unknown</x:v>
      </x:c>
      <x:c r="U78" s="117" t="str">
        <x:v>Unknown</x:v>
      </x:c>
      <x:c r="V78" s="117" t="str">
        <x:v>Unknown</x:v>
      </x:c>
      <x:c r="W78" s="117" t="str">
        <x:v>Unknown</x:v>
      </x:c>
      <x:c r="X78" s="117" t="str">
        <x:v>Unknown</x:v>
      </x:c>
      <x:c r="Y78" s="117" t="str">
        <x:v>Unknown</x:v>
      </x:c>
      <x:c r="Z78" s="117"/>
      <x:c r="AA78" s="117" t="str">
        <x:v>Pending evidence</x:v>
      </x:c>
      <x:c r="AB78" s="117"/>
      <x:c r="AC78" s="117" t="str">
        <x:v>No qualifying accessibility conclusion established from the screened sources. This is unknown, not evidence that the attraction is inaccessible.</x:v>
      </x:c>
      <x:c r="AD78" s="117" t="str">
        <x:v>2026-09-08</x:v>
      </x:c>
      <x:c r="AE78" s="117" t="str">
        <x:v>MC0075</x:v>
      </x:c>
      <x:c r="AF78" s="117" t="str">
        <x:v>Distinct candidate</x:v>
      </x:c>
      <x:c r="AG78" s="117" t="str"/>
      <x:c r="AH78" s="117" t="str">
        <x:v>Identity and location corroborated</x:v>
      </x:c>
      <x:c r="AI78" s="117" t="str">
        <x:v>https://www.malaysia.travel/explore/kelantan-the-soul-of-malaysia-s-east-coast</x:v>
      </x:c>
      <x:c r="AJ78" s="117" t="str">
        <x:v>Tourism Malaysia matches the attraction name or established alias and the stated Malaysian location. This verifies identity/location only; confirm current opening and accessibility separately.</x:v>
      </x:c>
      <x:c r="AK78" s="117" t="str">
        <x:v>Not independently confirmed</x:v>
      </x:c>
      <x:c r="AL78" s="117" t="str">
        <x:v>Screened sources; accessibility unresolved</x:v>
      </x:c>
      <x:c r="AM78" s="117" t="str">
        <x:v>2026-09-08</x:v>
      </x:c>
      <x:c r="AN78" s="117"/>
      <x:c r="AO78" s="117"/>
      <x:c r="AP78" s="117" t="str">
        <x:v>No usable pair located; image research pending</x:v>
      </x:c>
      <x:c r="AQ78" s="117"/>
    </x:row>
    <x:row r="79" ht="66" customHeight="1">
      <x:c r="A79" s="117" t="str">
        <x:v>MC0076</x:v>
      </x:c>
      <x:c r="B79" s="117" t="str">
        <x:v>Kampung Kraftangan</x:v>
      </x:c>
      <x:c r="C79" s="117" t="str">
        <x:v>Kelantan</x:v>
      </x:c>
      <x:c r="D79" s="117" t="str">
        <x:v>Kota Bharu</x:v>
      </x:c>
      <x:c r="E79" s="117" t="str">
        <x:v>Culture</x:v>
      </x:c>
      <x:c r="F79" s="117" t="str">
        <x:v>Local</x:v>
      </x:c>
      <x:c r="G79" s="117" t="str">
        <x:v>Both</x:v>
      </x:c>
      <x:c r="H79" s="117" t="str">
        <x:v>handicraft; demonstrations; shopping</x:v>
      </x:c>
      <x:c r="I79" s="117" t="str">
        <x:v>A crafts village and small museum in Kota Bharu showcasing traditional Kelantanese arts.</x:v>
      </x:c>
      <x:c r="J79" s="117" t="str">
        <x:v>https://www.google.com/maps/search/?api=1&amp;query=Kampung%20Kraftangan%2C%20Kelantan%2C%20Malaysia</x:v>
      </x:c>
      <x:c r="K79" s="117" t="str">
        <x:v>https://ebrochures.malaysia.travel/en/malaysia-travel-guide/kelantan/</x:v>
      </x:c>
      <x:c r="L79" s="117" t="str">
        <x:v>Tourism Malaysia state guide plus map discovery link</x:v>
      </x:c>
      <x:c r="M79" s="117" t="str">
        <x:v>Kelantan expansion batch</x:v>
      </x:c>
      <x:c r="N79" s="117"/>
      <x:c r="O79" s="117" t="str">
        <x:v>2026-08-15 00:00:00</x:v>
      </x:c>
      <x:c r="P79" s="117" t="str">
        <x:v>Complete</x:v>
      </x:c>
      <x:c r="Q79" s="117" t="str">
        <x:v>Duplicate alias: use MC0068</x:v>
      </x:c>
      <x:c r="R79" s="117" t="str">
        <x:f t="shared" si="1">IF(J79="","Missing Link",IF(AND(ISNUMBER(SEARCH("google.com/maps",J79)),ISERROR(SEARCH(";",J79))),"Discovery Link Only","Source Link Present"))</x:f>
        <x:v>Discovery Link Only</x:v>
      </x:c>
      <x:c r="S79" s="117" t="str">
        <x:v>Unknown</x:v>
      </x:c>
      <x:c r="T79" s="117" t="str">
        <x:v>Unknown</x:v>
      </x:c>
      <x:c r="U79" s="117" t="str">
        <x:v>Unknown</x:v>
      </x:c>
      <x:c r="V79" s="117" t="str">
        <x:v>Unknown</x:v>
      </x:c>
      <x:c r="W79" s="117" t="str">
        <x:v>Unknown</x:v>
      </x:c>
      <x:c r="X79" s="117" t="str">
        <x:v>Unknown</x:v>
      </x:c>
      <x:c r="Y79" s="117" t="str">
        <x:v>Unknown</x:v>
      </x:c>
      <x:c r="Z79" s="117"/>
      <x:c r="AA79" s="117" t="str">
        <x:v>Duplicate - use canonical ID</x:v>
      </x:c>
      <x:c r="AB79" s="117"/>
      <x:c r="AC79" s="117" t="str">
        <x:v>No qualifying accessibility conclusion established from the screened sources. This is unknown, not evidence that the attraction is inaccessible.</x:v>
      </x:c>
      <x:c r="AD79" s="117" t="str">
        <x:v>2026-09-08</x:v>
      </x:c>
      <x:c r="AE79" s="117" t="str">
        <x:v>MC0068</x:v>
      </x:c>
      <x:c r="AF79" s="117" t="str">
        <x:v>Duplicate alias</x:v>
      </x:c>
      <x:c r="AG79" s="117" t="str"/>
      <x:c r="AH79" s="117" t="str">
        <x:v>Name corroborated in source</x:v>
      </x:c>
      <x:c r="AI79" s="117" t="str">
        <x:v>https://ebrochures.malaysia.travel/en/malaysia-travel-guide/kelantan/</x:v>
      </x:c>
      <x:c r="AJ79" s="117" t="str">
        <x:v>Place name or established alias matched in the cited source. This is not confirmation of current opening, all visitor facilities or the full description.</x:v>
      </x:c>
      <x:c r="AK79" s="117" t="str">
        <x:v>Not independently confirmed</x:v>
      </x:c>
      <x:c r="AL79" s="117" t="str">
        <x:v>Screened sources; accessibility unresolved</x:v>
      </x:c>
      <x:c r="AM79" s="117" t="str">
        <x:v>2026-09-08</x:v>
      </x:c>
      <x:c r="AN79" s="117"/>
      <x:c r="AO79" s="117"/>
      <x:c r="AP79" s="117" t="str">
        <x:v>No usable pair located; image research pending</x:v>
      </x:c>
      <x:c r="AQ79" s="117"/>
    </x:row>
    <x:row r="80" ht="66" customHeight="1">
      <x:c r="A80" s="117" t="str">
        <x:v>MC0077</x:v>
      </x:c>
      <x:c r="B80" s="117" t="str">
        <x:v>Wat Machimmaram</x:v>
      </x:c>
      <x:c r="C80" s="117" t="str">
        <x:v>Kelantan</x:v>
      </x:c>
      <x:c r="D80" s="117" t="str">
        <x:v>Tumpat</x:v>
      </x:c>
      <x:c r="E80" s="117" t="str">
        <x:v>Religious Site</x:v>
      </x:c>
      <x:c r="F80" s="117" t="str">
        <x:v>Underrated</x:v>
      </x:c>
      <x:c r="G80" s="117" t="str">
        <x:v>Both</x:v>
      </x:c>
      <x:c r="H80" s="117" t="str">
        <x:v>Buddhist temple; statue; culture</x:v>
      </x:c>
      <x:c r="I80" s="117" t="str">
        <x:v>A Thai Buddhist temple in Tumpat district.</x:v>
      </x:c>
      <x:c r="J80" s="117" t="str">
        <x:v>https://www.google.com/maps/search/?api=1&amp;query=Wat%20Machimmaram%2C%20Kelantan%2C%20Malaysia</x:v>
      </x:c>
      <x:c r="K80" s="117" t="str">
        <x:v>https://ebrochures.malaysia.travel/en/malaysia-travel-guide/kelantan/</x:v>
      </x:c>
      <x:c r="L80" s="117" t="str">
        <x:v>Tourism Malaysia state guide plus map discovery link</x:v>
      </x:c>
      <x:c r="M80" s="117" t="str">
        <x:v>Kelantan expansion batch</x:v>
      </x:c>
      <x:c r="N80" s="117"/>
      <x:c r="O80" s="117" t="str">
        <x:v>2026-08-15 00:00:00</x:v>
      </x:c>
      <x:c r="P80" s="117" t="str">
        <x:v>Complete</x:v>
      </x:c>
      <x:c r="Q80" s="117"/>
      <x:c r="R80" s="117" t="str">
        <x:f t="shared" si="1">IF(J80="","Missing Link",IF(AND(ISNUMBER(SEARCH("google.com/maps",J80)),ISERROR(SEARCH(";",J80))),"Discovery Link Only","Source Link Present"))</x:f>
        <x:v>Discovery Link Only</x:v>
      </x:c>
      <x:c r="S80" s="117" t="str">
        <x:v>Unknown</x:v>
      </x:c>
      <x:c r="T80" s="117" t="str">
        <x:v>Unknown</x:v>
      </x:c>
      <x:c r="U80" s="117" t="str">
        <x:v>Unknown</x:v>
      </x:c>
      <x:c r="V80" s="117" t="str">
        <x:v>Unknown</x:v>
      </x:c>
      <x:c r="W80" s="117" t="str">
        <x:v>Unknown</x:v>
      </x:c>
      <x:c r="X80" s="117" t="str">
        <x:v>Unknown</x:v>
      </x:c>
      <x:c r="Y80" s="117" t="str">
        <x:v>Unknown</x:v>
      </x:c>
      <x:c r="Z80" s="117"/>
      <x:c r="AA80" s="117" t="str">
        <x:v>Pending evidence</x:v>
      </x:c>
      <x:c r="AB80" s="117"/>
      <x:c r="AC80" s="117" t="str">
        <x:v>No qualifying accessibility conclusion established from the screened sources. This is unknown, not evidence that the attraction is inaccessible.</x:v>
      </x:c>
      <x:c r="AD80" s="117" t="str">
        <x:v>2026-09-08</x:v>
      </x:c>
      <x:c r="AE80" s="117" t="str">
        <x:v>MC0077</x:v>
      </x:c>
      <x:c r="AF80" s="117" t="str">
        <x:v>Distinct candidate</x:v>
      </x:c>
      <x:c r="AG80" s="117" t="str"/>
      <x:c r="AH80" s="117" t="str">
        <x:v>Name corroborated in source</x:v>
      </x:c>
      <x:c r="AI80" s="117" t="str">
        <x:v>https://ebrochures.malaysia.travel/en/malaysia-travel-guide/kelantan/</x:v>
      </x:c>
      <x:c r="AJ80" s="117" t="str">
        <x:v>Place name or established alias matched in the cited source. This is not confirmation of current opening, all visitor facilities or the full description.</x:v>
      </x:c>
      <x:c r="AK80" s="117" t="str">
        <x:v>Not independently confirmed</x:v>
      </x:c>
      <x:c r="AL80" s="117" t="str">
        <x:v>Screened sources; accessibility unresolved</x:v>
      </x:c>
      <x:c r="AM80" s="117" t="str">
        <x:v>2026-09-08</x:v>
      </x:c>
      <x:c r="AN80" s="117"/>
      <x:c r="AO80" s="117"/>
      <x:c r="AP80" s="117" t="str">
        <x:v>No usable pair located; image research pending</x:v>
      </x:c>
      <x:c r="AQ80" s="117"/>
    </x:row>
    <x:row r="81" ht="66" customHeight="1">
      <x:c r="A81" s="117" t="str">
        <x:v>MC0078</x:v>
      </x:c>
      <x:c r="B81" s="117" t="str">
        <x:v>Pantai Sri Tujuh</x:v>
      </x:c>
      <x:c r="C81" s="117" t="str">
        <x:v>Kelantan</x:v>
      </x:c>
      <x:c r="D81" s="117" t="str">
        <x:v>Tumpat</x:v>
      </x:c>
      <x:c r="E81" s="117" t="str">
        <x:v>Beach and Island</x:v>
      </x:c>
      <x:c r="F81" s="117" t="str">
        <x:v>Local</x:v>
      </x:c>
      <x:c r="G81" s="117" t="str">
        <x:v>Outdoor</x:v>
      </x:c>
      <x:c r="H81" s="117" t="str">
        <x:v>beach; lagoon; festival</x:v>
      </x:c>
      <x:c r="I81" s="117" t="str">
        <x:v>A coastal recreational beach area in Tumpat district near the Kelantan-Thailand border.</x:v>
      </x:c>
      <x:c r="J81" s="117" t="str">
        <x:v>https://www.google.com/maps/search/?api=1&amp;query=Pantai%20Sri%20Tujuh%2C%20Kelantan%2C%20Malaysia</x:v>
      </x:c>
      <x:c r="K81" s="117" t="str">
        <x:v>https://ebrochures.malaysia.travel/en/malaysia-travel-guide/kelantan/</x:v>
      </x:c>
      <x:c r="L81" s="117" t="str">
        <x:v>Tourism Malaysia state guide plus map discovery link</x:v>
      </x:c>
      <x:c r="M81" s="117" t="str">
        <x:v>Kelantan expansion batch</x:v>
      </x:c>
      <x:c r="N81" s="117"/>
      <x:c r="O81" s="117" t="str">
        <x:v>2026-08-15 00:00:00</x:v>
      </x:c>
      <x:c r="P81" s="117" t="str">
        <x:v>Complete</x:v>
      </x:c>
      <x:c r="Q81" s="117" t="str">
        <x:v>Identity and Malaysian location verified in second-pass review on 2026-09-08.</x:v>
      </x:c>
      <x:c r="R81" s="117" t="str">
        <x:f t="shared" si="1">IF(J81="","Missing Link",IF(AND(ISNUMBER(SEARCH("google.com/maps",J81)),ISERROR(SEARCH(";",J81))),"Discovery Link Only","Source Link Present"))</x:f>
        <x:v>Discovery Link Only</x:v>
      </x:c>
      <x:c r="S81" s="117" t="str">
        <x:v>Unknown</x:v>
      </x:c>
      <x:c r="T81" s="117" t="str">
        <x:v>Unknown</x:v>
      </x:c>
      <x:c r="U81" s="117" t="str">
        <x:v>Unknown</x:v>
      </x:c>
      <x:c r="V81" s="117" t="str">
        <x:v>Unknown</x:v>
      </x:c>
      <x:c r="W81" s="117" t="str">
        <x:v>Unknown</x:v>
      </x:c>
      <x:c r="X81" s="117" t="str">
        <x:v>Unknown</x:v>
      </x:c>
      <x:c r="Y81" s="117" t="str">
        <x:v>Unknown</x:v>
      </x:c>
      <x:c r="Z81" s="117"/>
      <x:c r="AA81" s="117" t="str">
        <x:v>Pending evidence</x:v>
      </x:c>
      <x:c r="AB81" s="117"/>
      <x:c r="AC81" s="117" t="str">
        <x:v>No qualifying accessibility conclusion established from the screened sources. This is unknown, not evidence that the attraction is inaccessible.</x:v>
      </x:c>
      <x:c r="AD81" s="117" t="str">
        <x:v>2026-09-08</x:v>
      </x:c>
      <x:c r="AE81" s="117" t="str">
        <x:v>MC0078</x:v>
      </x:c>
      <x:c r="AF81" s="117" t="str">
        <x:v>Distinct candidate</x:v>
      </x:c>
      <x:c r="AG81" s="117" t="str"/>
      <x:c r="AH81" s="117" t="str">
        <x:v>Identity and location corroborated</x:v>
      </x:c>
      <x:c r="AI81" s="117" t="str">
        <x:v>https://www.openstreetmap.org/node/4461262389</x:v>
      </x:c>
      <x:c r="AJ81" s="117" t="str">
        <x:v>Mapped source matches the attraction name or established alias and the stated Malaysian location. This verifies identity/location only; confirm current opening and accessibility separately.</x:v>
      </x:c>
      <x:c r="AK81" s="117" t="str">
        <x:v>Not independently confirmed</x:v>
      </x:c>
      <x:c r="AL81" s="117" t="str">
        <x:v>Screened sources; accessibility unresolved</x:v>
      </x:c>
      <x:c r="AM81" s="117" t="str">
        <x:v>2026-09-08</x:v>
      </x:c>
      <x:c r="AN81" s="117"/>
      <x:c r="AO81" s="117"/>
      <x:c r="AP81" s="117" t="str">
        <x:v>No usable pair located; image research pending</x:v>
      </x:c>
      <x:c r="AQ81" s="117"/>
    </x:row>
    <x:row r="82" ht="66" customHeight="1">
      <x:c r="A82" s="117" t="str">
        <x:v>MC0079</x:v>
      </x:c>
      <x:c r="B82" s="117" t="str">
        <x:v>Pantai Senok</x:v>
      </x:c>
      <x:c r="C82" s="117" t="str">
        <x:v>Kelantan</x:v>
      </x:c>
      <x:c r="D82" s="117" t="str">
        <x:v>Bachok</x:v>
      </x:c>
      <x:c r="E82" s="117" t="str">
        <x:v>Beach and Island</x:v>
      </x:c>
      <x:c r="F82" s="117" t="str">
        <x:v>Local</x:v>
      </x:c>
      <x:c r="G82" s="117" t="str">
        <x:v>Outdoor</x:v>
      </x:c>
      <x:c r="H82" s="117" t="str">
        <x:v>casuarina; beach; photography</x:v>
      </x:c>
      <x:c r="I82" s="117" t="str">
        <x:v>A beach in Bachok district popular with local visitors.</x:v>
      </x:c>
      <x:c r="J82" s="117" t="str">
        <x:v>https://www.google.com/maps/search/?api=1&amp;query=Pantai%20Senok%2C%20Kelantan%2C%20Malaysia</x:v>
      </x:c>
      <x:c r="K82" s="117" t="str">
        <x:v>https://ebrochures.malaysia.travel/en/malaysia-travel-guide/kelantan/</x:v>
      </x:c>
      <x:c r="L82" s="117" t="str">
        <x:v>Tourism Malaysia state guide plus map discovery link</x:v>
      </x:c>
      <x:c r="M82" s="117" t="str">
        <x:v>Kelantan expansion batch</x:v>
      </x:c>
      <x:c r="N82" s="117"/>
      <x:c r="O82" s="117" t="str">
        <x:v>2026-08-15 00:00:00</x:v>
      </x:c>
      <x:c r="P82" s="117" t="str">
        <x:v>Complete</x:v>
      </x:c>
      <x:c r="Q82" s="117" t="str">
        <x:v>Identity and Malaysian location verified in second-pass review on 2026-09-08.</x:v>
      </x:c>
      <x:c r="R82" s="117" t="str">
        <x:f t="shared" si="1">IF(J82="","Missing Link",IF(AND(ISNUMBER(SEARCH("google.com/maps",J82)),ISERROR(SEARCH(";",J82))),"Discovery Link Only","Source Link Present"))</x:f>
        <x:v>Discovery Link Only</x:v>
      </x:c>
      <x:c r="S82" s="117" t="str">
        <x:v>Unknown</x:v>
      </x:c>
      <x:c r="T82" s="117" t="str">
        <x:v>Unknown</x:v>
      </x:c>
      <x:c r="U82" s="117" t="str">
        <x:v>Unknown</x:v>
      </x:c>
      <x:c r="V82" s="117" t="str">
        <x:v>Unknown</x:v>
      </x:c>
      <x:c r="W82" s="117" t="str">
        <x:v>Unknown</x:v>
      </x:c>
      <x:c r="X82" s="117" t="str">
        <x:v>Unknown</x:v>
      </x:c>
      <x:c r="Y82" s="117" t="str">
        <x:v>Unknown</x:v>
      </x:c>
      <x:c r="Z82" s="117"/>
      <x:c r="AA82" s="117" t="str">
        <x:v>Pending evidence</x:v>
      </x:c>
      <x:c r="AB82" s="117"/>
      <x:c r="AC82" s="117" t="str">
        <x:v>No qualifying accessibility conclusion established from the screened sources. This is unknown, not evidence that the attraction is inaccessible.</x:v>
      </x:c>
      <x:c r="AD82" s="117" t="str">
        <x:v>2026-09-08</x:v>
      </x:c>
      <x:c r="AE82" s="117" t="str">
        <x:v>MC0079</x:v>
      </x:c>
      <x:c r="AF82" s="117" t="str">
        <x:v>Distinct candidate</x:v>
      </x:c>
      <x:c r="AG82" s="117" t="str"/>
      <x:c r="AH82" s="117" t="str">
        <x:v>Identity and location corroborated</x:v>
      </x:c>
      <x:c r="AI82" s="117" t="str">
        <x:v>https://ms.wikipedia.org/wiki/Kampung_Pantai_Senok</x:v>
      </x:c>
      <x:c r="AJ82" s="117" t="str">
        <x:v>Encyclopedic source matches the attraction name or established alias and the stated Malaysian location. This verifies identity/location only; confirm current opening and accessibility separately.</x:v>
      </x:c>
      <x:c r="AK82" s="117" t="str">
        <x:v>Not independently confirmed</x:v>
      </x:c>
      <x:c r="AL82" s="117" t="str">
        <x:v>Screened sources; accessibility unresolved</x:v>
      </x:c>
      <x:c r="AM82" s="117" t="str">
        <x:v>2026-09-08</x:v>
      </x:c>
      <x:c r="AN82" s="117"/>
      <x:c r="AO82" s="117"/>
      <x:c r="AP82" s="117" t="str">
        <x:v>No usable pair located; image research pending</x:v>
      </x:c>
      <x:c r="AQ82" s="117"/>
    </x:row>
    <x:row r="83" ht="66" customHeight="1">
      <x:c r="A83" s="117" t="str">
        <x:v>MC0080</x:v>
      </x:c>
      <x:c r="B83" s="117" t="str">
        <x:v>Jeram Linang</x:v>
      </x:c>
      <x:c r="C83" s="117" t="str">
        <x:v>Kelantan</x:v>
      </x:c>
      <x:c r="D83" s="117" t="str">
        <x:v>Pasir Puteh</x:v>
      </x:c>
      <x:c r="E83" s="117" t="str">
        <x:v>Nature</x:v>
      </x:c>
      <x:c r="F83" s="117" t="str">
        <x:v>Local</x:v>
      </x:c>
      <x:c r="G83" s="117" t="str">
        <x:v>Outdoor</x:v>
      </x:c>
      <x:c r="H83" s="117" t="str">
        <x:v>waterfall; forest; picnic</x:v>
      </x:c>
      <x:c r="I83" s="117" t="str">
        <x:v>A waterfall recreational spot in Pasir Puteh district.</x:v>
      </x:c>
      <x:c r="J83" s="117" t="str">
        <x:v>https://www.google.com/maps/search/?api=1&amp;query=Jeram%20Linang%2C%20Kelantan%2C%20Malaysia</x:v>
      </x:c>
      <x:c r="K83" s="117" t="str">
        <x:v>https://ebrochures.malaysia.travel/en/malaysia-travel-guide/kelantan/</x:v>
      </x:c>
      <x:c r="L83" s="117" t="str">
        <x:v>Tourism Malaysia state guide plus map discovery link</x:v>
      </x:c>
      <x:c r="M83" s="117" t="str">
        <x:v>Kelantan expansion batch</x:v>
      </x:c>
      <x:c r="N83" s="117"/>
      <x:c r="O83" s="117" t="str">
        <x:v>2026-08-15 00:00:00</x:v>
      </x:c>
      <x:c r="P83" s="117" t="str">
        <x:v>Complete</x:v>
      </x:c>
      <x:c r="Q83" s="117"/>
      <x:c r="R83" s="117" t="str">
        <x:f t="shared" si="1">IF(J83="","Missing Link",IF(AND(ISNUMBER(SEARCH("google.com/maps",J83)),ISERROR(SEARCH(";",J83))),"Discovery Link Only","Source Link Present"))</x:f>
        <x:v>Discovery Link Only</x:v>
      </x:c>
      <x:c r="S83" s="117" t="str">
        <x:v>Unknown</x:v>
      </x:c>
      <x:c r="T83" s="117" t="str">
        <x:v>Unknown</x:v>
      </x:c>
      <x:c r="U83" s="117" t="str">
        <x:v>Unknown</x:v>
      </x:c>
      <x:c r="V83" s="117" t="str">
        <x:v>Unknown</x:v>
      </x:c>
      <x:c r="W83" s="117" t="str">
        <x:v>Unknown</x:v>
      </x:c>
      <x:c r="X83" s="117" t="str">
        <x:v>Unknown</x:v>
      </x:c>
      <x:c r="Y83" s="117" t="str">
        <x:v>Unknown</x:v>
      </x:c>
      <x:c r="Z83" s="117"/>
      <x:c r="AA83" s="117" t="str">
        <x:v>Pending evidence</x:v>
      </x:c>
      <x:c r="AB83" s="117"/>
      <x:c r="AC83" s="117" t="str">
        <x:v>No qualifying accessibility conclusion established from the screened sources. This is unknown, not evidence that the attraction is inaccessible.</x:v>
      </x:c>
      <x:c r="AD83" s="117" t="str">
        <x:v>2026-09-08</x:v>
      </x:c>
      <x:c r="AE83" s="117" t="str">
        <x:v>MC0080</x:v>
      </x:c>
      <x:c r="AF83" s="117" t="str">
        <x:v>Distinct candidate</x:v>
      </x:c>
      <x:c r="AG83" s="117" t="str"/>
      <x:c r="AH83" s="117" t="str">
        <x:v>Name corroborated in source</x:v>
      </x:c>
      <x:c r="AI83" s="117" t="str">
        <x:v>https://ebrochures.malaysia.travel/en/malaysia-travel-guide/kelantan/</x:v>
      </x:c>
      <x:c r="AJ83" s="117" t="str">
        <x:v>Place name or established alias matched in the cited source. This is not confirmation of current opening, all visitor facilities or the full description.</x:v>
      </x:c>
      <x:c r="AK83" s="117" t="str">
        <x:v>Not independently confirmed</x:v>
      </x:c>
      <x:c r="AL83" s="117" t="str">
        <x:v>Screened sources; accessibility unresolved</x:v>
      </x:c>
      <x:c r="AM83" s="117" t="str">
        <x:v>2026-09-08</x:v>
      </x:c>
      <x:c r="AN83" s="117" t="str">
        <x:v>https://upload.wikimedia.org/wikipedia/commons/5/51/Jeram_mengaji_1.0.jpg?utm_source=commons.wikimedia.org&amp;utm_campaign=imageinfo&amp;utm_content=thumbnail_unscaled</x:v>
      </x:c>
      <x:c r="AO83" s="117" t="str">
        <x:v>https://upload.wikimedia.org/wikipedia/commons/f/f0/Jeram_mengaji_2_0.jpg?utm_source=commons.wikimedia.org&amp;utm_campaign=imageinfo&amp;utm_content=thumbnail_unscaled</x:v>
      </x:c>
      <x:c r="AP83" s="117" t="str">
        <x:v>2 metadata-matched images; visual review pending</x:v>
      </x:c>
      <x:c r="AQ83" s="117"/>
    </x:row>
    <x:row r="84" ht="66" customHeight="1">
      <x:c r="A84" s="117" t="str">
        <x:v>MC0081</x:v>
      </x:c>
      <x:c r="B84" s="117" t="str">
        <x:v>Tok Bali Beach</x:v>
      </x:c>
      <x:c r="C84" s="117" t="str">
        <x:v>Kelantan</x:v>
      </x:c>
      <x:c r="D84" s="117" t="str">
        <x:v>Pasir Puteh</x:v>
      </x:c>
      <x:c r="E84" s="117" t="str">
        <x:v>Beach and Island</x:v>
      </x:c>
      <x:c r="F84" s="117" t="str">
        <x:v>Local</x:v>
      </x:c>
      <x:c r="G84" s="117" t="str">
        <x:v>Outdoor</x:v>
      </x:c>
      <x:c r="H84" s="117" t="str">
        <x:v>beach; fishing; sunset</x:v>
      </x:c>
      <x:c r="I84" s="117" t="str">
        <x:v>A fishing-village beach in Pasir Puteh district known for its jetty and seafood.</x:v>
      </x:c>
      <x:c r="J84" s="117" t="str">
        <x:v>https://www.google.com/maps/search/?api=1&amp;query=Tok%20Bali%20Beach%2C%20Kelantan%2C%20Malaysia</x:v>
      </x:c>
      <x:c r="K84" s="117" t="str">
        <x:v>https://ebrochures.malaysia.travel/en/malaysia-travel-guide/kelantan/</x:v>
      </x:c>
      <x:c r="L84" s="117" t="str">
        <x:v>Tourism Malaysia state guide plus map discovery link</x:v>
      </x:c>
      <x:c r="M84" s="117" t="str">
        <x:v>Kelantan expansion batch</x:v>
      </x:c>
      <x:c r="N84" s="117"/>
      <x:c r="O84" s="117" t="str">
        <x:v>2026-08-15 00:00:00</x:v>
      </x:c>
      <x:c r="P84" s="117" t="str">
        <x:v>Complete</x:v>
      </x:c>
      <x:c r="Q84" s="117" t="str">
        <x:v>Identity and Malaysian location verified in second-pass review on 2026-09-08.</x:v>
      </x:c>
      <x:c r="R84" s="117" t="str">
        <x:f t="shared" si="1">IF(J84="","Missing Link",IF(AND(ISNUMBER(SEARCH("google.com/maps",J84)),ISERROR(SEARCH(";",J84))),"Discovery Link Only","Source Link Present"))</x:f>
        <x:v>Discovery Link Only</x:v>
      </x:c>
      <x:c r="S84" s="117" t="str">
        <x:v>Unknown</x:v>
      </x:c>
      <x:c r="T84" s="117" t="str">
        <x:v>Unknown</x:v>
      </x:c>
      <x:c r="U84" s="117" t="str">
        <x:v>Unknown</x:v>
      </x:c>
      <x:c r="V84" s="117" t="str">
        <x:v>Unknown</x:v>
      </x:c>
      <x:c r="W84" s="117" t="str">
        <x:v>Unknown</x:v>
      </x:c>
      <x:c r="X84" s="117" t="str">
        <x:v>Unknown</x:v>
      </x:c>
      <x:c r="Y84" s="117" t="str">
        <x:v>Unknown</x:v>
      </x:c>
      <x:c r="Z84" s="117"/>
      <x:c r="AA84" s="117" t="str">
        <x:v>Pending evidence</x:v>
      </x:c>
      <x:c r="AB84" s="117"/>
      <x:c r="AC84" s="117" t="str">
        <x:v>No qualifying accessibility conclusion established from the screened sources. This is unknown, not evidence that the attraction is inaccessible.</x:v>
      </x:c>
      <x:c r="AD84" s="117" t="str">
        <x:v>2026-09-08</x:v>
      </x:c>
      <x:c r="AE84" s="117" t="str">
        <x:v>MC0081</x:v>
      </x:c>
      <x:c r="AF84" s="117" t="str">
        <x:v>Distinct candidate</x:v>
      </x:c>
      <x:c r="AG84" s="117" t="str"/>
      <x:c r="AH84" s="117" t="str">
        <x:v>Identity and location corroborated</x:v>
      </x:c>
      <x:c r="AI84" s="117" t="str">
        <x:v>https://kelgis.kelantan.gov.my/portal/apps/storymaps/stories/b892d1ca1df843c68aaffab0f0d7bf9c</x:v>
      </x:c>
      <x:c r="AJ84" s="117" t="str">
        <x:v>Official state geospatial source matches the attraction name or established alias and the stated Malaysian location. This verifies identity/location only; confirm current opening and accessibility separately.</x:v>
      </x:c>
      <x:c r="AK84" s="117" t="str">
        <x:v>Not independently confirmed</x:v>
      </x:c>
      <x:c r="AL84" s="117" t="str">
        <x:v>Screened sources; accessibility unresolved</x:v>
      </x:c>
      <x:c r="AM84" s="117" t="str">
        <x:v>2026-09-08</x:v>
      </x:c>
      <x:c r="AN84" s="117" t="str">
        <x:v>https://upload.wikimedia.org/wikipedia/commons/5/59/Tok_Bali_Beach.jpg?utm_source=commons.wikimedia.org&amp;utm_campaign=imageinfo&amp;utm_content=thumbnail_unscaled</x:v>
      </x:c>
      <x:c r="AO84" s="117" t="str">
        <x:v>https://upload.wikimedia.org/wikipedia/commons/4/43/Pantai_Tok_Bali_waktu_senja.jpg?utm_source=commons.wikimedia.org&amp;utm_campaign=imageinfo&amp;utm_content=thumbnail_unscaled</x:v>
      </x:c>
      <x:c r="AP84" s="117" t="str">
        <x:v>2 metadata-matched images; visual review pending</x:v>
      </x:c>
      <x:c r="AQ84" s="117"/>
    </x:row>
    <x:row r="85" ht="66" customHeight="1">
      <x:c r="A85" s="117" t="str">
        <x:v>MC0082</x:v>
      </x:c>
      <x:c r="B85" s="117" t="str">
        <x:v>Jelawang Waterfall</x:v>
      </x:c>
      <x:c r="C85" s="117" t="str">
        <x:v>Kelantan</x:v>
      </x:c>
      <x:c r="D85" s="117" t="str">
        <x:v>Dabong</x:v>
      </x:c>
      <x:c r="E85" s="117" t="str">
        <x:v>Nature</x:v>
      </x:c>
      <x:c r="F85" s="117" t="str">
        <x:v>Popular</x:v>
      </x:c>
      <x:c r="G85" s="117" t="str">
        <x:v>Outdoor</x:v>
      </x:c>
      <x:c r="H85" s="117" t="str">
        <x:v>waterfall; hiking; scenery</x:v>
      </x:c>
      <x:c r="I85" s="117" t="str">
        <x:v>A multi-tiered waterfall within Gunung Stong State Park in Dabong district.</x:v>
      </x:c>
      <x:c r="J85" s="117" t="str">
        <x:v>https://www.google.com/maps/search/?api=1&amp;query=Jelawang%20Waterfall%2C%20Kelantan%2C%20Malaysia</x:v>
      </x:c>
      <x:c r="K85" s="117" t="str">
        <x:v>https://ebrochures.malaysia.travel/en/malaysia-travel-guide/kelantan/</x:v>
      </x:c>
      <x:c r="L85" s="117" t="str">
        <x:v>Tourism Malaysia state guide plus map discovery link</x:v>
      </x:c>
      <x:c r="M85" s="117" t="str">
        <x:v>Kelantan expansion batch</x:v>
      </x:c>
      <x:c r="N85" s="117"/>
      <x:c r="O85" s="117" t="str">
        <x:v>2026-08-15 00:00:00</x:v>
      </x:c>
      <x:c r="P85" s="117" t="str">
        <x:v>Complete</x:v>
      </x:c>
      <x:c r="Q85" s="117"/>
      <x:c r="R85" s="117" t="str">
        <x:f t="shared" si="1">IF(J85="","Missing Link",IF(AND(ISNUMBER(SEARCH("google.com/maps",J85)),ISERROR(SEARCH(";",J85))),"Discovery Link Only","Source Link Present"))</x:f>
        <x:v>Discovery Link Only</x:v>
      </x:c>
      <x:c r="S85" s="117" t="str">
        <x:v>Unknown</x:v>
      </x:c>
      <x:c r="T85" s="117" t="str">
        <x:v>Unknown</x:v>
      </x:c>
      <x:c r="U85" s="117" t="str">
        <x:v>Unknown</x:v>
      </x:c>
      <x:c r="V85" s="117" t="str">
        <x:v>Unknown</x:v>
      </x:c>
      <x:c r="W85" s="117" t="str">
        <x:v>Unknown</x:v>
      </x:c>
      <x:c r="X85" s="117" t="str">
        <x:v>Unknown</x:v>
      </x:c>
      <x:c r="Y85" s="117" t="str">
        <x:v>Unknown</x:v>
      </x:c>
      <x:c r="Z85" s="117"/>
      <x:c r="AA85" s="117" t="str">
        <x:v>Pending evidence</x:v>
      </x:c>
      <x:c r="AB85" s="117"/>
      <x:c r="AC85" s="117" t="str">
        <x:v>No qualifying accessibility conclusion established from the screened sources. This is unknown, not evidence that the attraction is inaccessible.</x:v>
      </x:c>
      <x:c r="AD85" s="117" t="str">
        <x:v>2026-09-08</x:v>
      </x:c>
      <x:c r="AE85" s="117" t="str">
        <x:v>MC0082</x:v>
      </x:c>
      <x:c r="AF85" s="117" t="str">
        <x:v>Distinct candidate</x:v>
      </x:c>
      <x:c r="AG85" s="117" t="str"/>
      <x:c r="AH85" s="117" t="str">
        <x:v>Name corroborated in source</x:v>
      </x:c>
      <x:c r="AI85" s="117" t="str">
        <x:v>https://ebrochures.malaysia.travel/en/malaysia-travel-guide/kelantan/</x:v>
      </x:c>
      <x:c r="AJ85" s="117" t="str">
        <x:v>Place name or established alias matched in the cited source. This is not confirmation of current opening, all visitor facilities or the full description.</x:v>
      </x:c>
      <x:c r="AK85" s="117" t="str">
        <x:v>Not independently confirmed</x:v>
      </x:c>
      <x:c r="AL85" s="117" t="str">
        <x:v>Screened sources; accessibility unresolved</x:v>
      </x:c>
      <x:c r="AM85" s="117" t="str">
        <x:v>2026-09-08</x:v>
      </x:c>
      <x:c r="AN85" s="117"/>
      <x:c r="AO85" s="117"/>
      <x:c r="AP85" s="117" t="str">
        <x:v>No usable pair located; image research pending</x:v>
      </x:c>
      <x:c r="AQ85" s="117"/>
    </x:row>
    <x:row r="86" ht="66" customHeight="1">
      <x:c r="A86" s="117" t="str">
        <x:v>MC0083</x:v>
      </x:c>
      <x:c r="B86" s="117" t="str">
        <x:v>Gua Musang Railway Heritage Precinct</x:v>
      </x:c>
      <x:c r="C86" s="117" t="str">
        <x:v>Kelantan</x:v>
      </x:c>
      <x:c r="D86" s="117" t="str">
        <x:v>Gua Musang</x:v>
      </x:c>
      <x:c r="E86" s="117" t="str">
        <x:v>Heritage and History</x:v>
      </x:c>
      <x:c r="F86" s="117" t="str">
        <x:v>Underrated</x:v>
      </x:c>
      <x:c r="G86" s="117" t="str">
        <x:v>Both</x:v>
      </x:c>
      <x:c r="H86" s="117" t="str">
        <x:v>railway; old town; limestone</x:v>
      </x:c>
      <x:c r="I86" s="117" t="str">
        <x:v>A railway heritage precinct centred on Gua Musang's historic train station.</x:v>
      </x:c>
      <x:c r="J86" s="117" t="str">
        <x:v>https://www.google.com/maps/search/?api=1&amp;query=Gua%20Musang%20Railway%20Heritage%20Precinct%2C%20Kelantan%2C%20Malaysia</x:v>
      </x:c>
      <x:c r="K86" s="117" t="str">
        <x:v>https://ebrochures.malaysia.travel/en/malaysia-travel-guide/kelantan/</x:v>
      </x:c>
      <x:c r="L86" s="117" t="str">
        <x:v>Tourism Malaysia state guide plus map discovery link</x:v>
      </x:c>
      <x:c r="M86" s="117" t="str">
        <x:v>Kelantan expansion batch</x:v>
      </x:c>
      <x:c r="N86" s="117"/>
      <x:c r="O86" s="117" t="str">
        <x:v>2026-08-15 00:00:00</x:v>
      </x:c>
      <x:c r="P86" s="117" t="str">
        <x:v>Pending Review</x:v>
      </x:c>
      <x:c r="Q86" s="117"/>
      <x:c r="R86" s="117" t="str">
        <x:f t="shared" si="1">IF(J86="","Missing Link",IF(AND(ISNUMBER(SEARCH("google.com/maps",J86)),ISERROR(SEARCH(";",J86))),"Discovery Link Only","Source Link Present"))</x:f>
        <x:v>Discovery Link Only</x:v>
      </x:c>
      <x:c r="S86" s="117" t="str">
        <x:v>Unknown</x:v>
      </x:c>
      <x:c r="T86" s="117" t="str">
        <x:v>Unknown</x:v>
      </x:c>
      <x:c r="U86" s="117" t="str">
        <x:v>Unknown</x:v>
      </x:c>
      <x:c r="V86" s="117" t="str">
        <x:v>Unknown</x:v>
      </x:c>
      <x:c r="W86" s="117" t="str">
        <x:v>Unknown</x:v>
      </x:c>
      <x:c r="X86" s="117" t="str">
        <x:v>Unknown</x:v>
      </x:c>
      <x:c r="Y86" s="117" t="str">
        <x:v>Unknown</x:v>
      </x:c>
      <x:c r="Z86" s="117"/>
      <x:c r="AA86" s="117" t="str">
        <x:v>Pending evidence</x:v>
      </x:c>
      <x:c r="AB86" s="117"/>
      <x:c r="AC86" s="117" t="str">
        <x:v>No qualifying accessibility conclusion established from the screened sources. This is unknown, not evidence that the attraction is inaccessible.</x:v>
      </x:c>
      <x:c r="AD86" s="117" t="str">
        <x:v>2026-09-08</x:v>
      </x:c>
      <x:c r="AE86" s="117" t="str">
        <x:v>MC0083</x:v>
      </x:c>
      <x:c r="AF86" s="117" t="str">
        <x:v>Distinct candidate</x:v>
      </x:c>
      <x:c r="AG86" s="117" t="str"/>
      <x:c r="AH86" s="117" t="str">
        <x:v>Unverified constructed name / review for removal</x:v>
      </x:c>
      <x:c r="AI86" s="117" t="str"/>
      <x:c r="AJ86" s="117" t="str">
        <x:v>No reliable source substantiated “Gua Musang Railway Heritage Precinct” as the formal name of a visitor attraction. Consider a separately sourced record for the old railway station if appropriate.</x:v>
      </x:c>
      <x:c r="AK86" s="117" t="str">
        <x:v>Not approved for recommendation</x:v>
      </x:c>
      <x:c r="AL86" s="117" t="str">
        <x:v>Screened sources; accessibility unresolved</x:v>
      </x:c>
      <x:c r="AM86" s="117" t="str">
        <x:v>2026-09-08</x:v>
      </x:c>
      <x:c r="AN86" s="117"/>
      <x:c r="AO86" s="117"/>
      <x:c r="AP86" s="117" t="str">
        <x:v>No usable pair located; image research pending</x:v>
      </x:c>
      <x:c r="AQ86" s="117"/>
    </x:row>
    <x:row r="87" ht="66" customHeight="1">
      <x:c r="A87" s="117" t="str">
        <x:v>MC0084</x:v>
      </x:c>
      <x:c r="B87" s="117" t="str">
        <x:v>Ethnobotany Park</x:v>
      </x:c>
      <x:c r="C87" s="117" t="str">
        <x:v>Kelantan</x:v>
      </x:c>
      <x:c r="D87" s="117" t="str">
        <x:v>Gua Musang</x:v>
      </x:c>
      <x:c r="E87" s="117" t="str">
        <x:v>Nature</x:v>
      </x:c>
      <x:c r="F87" s="117" t="str">
        <x:v>Underrated</x:v>
      </x:c>
      <x:c r="G87" s="117" t="str">
        <x:v>Outdoor</x:v>
      </x:c>
      <x:c r="H87" s="117" t="str">
        <x:v>plants; education; park</x:v>
      </x:c>
      <x:c r="I87" s="117" t="str">
        <x:v>A botanical park in Gua Musang district showcasing regional plant species.</x:v>
      </x:c>
      <x:c r="J87" s="117" t="str">
        <x:v>https://www.google.com/maps/search/?api=1&amp;query=Ethnobotany%20Park%2C%20Kelantan%2C%20Malaysia</x:v>
      </x:c>
      <x:c r="K87" s="117" t="str">
        <x:v>https://ebrochures.malaysia.travel/en/malaysia-travel-guide/kelantan/</x:v>
      </x:c>
      <x:c r="L87" s="117" t="str">
        <x:v>Tourism Malaysia state guide plus map discovery link</x:v>
      </x:c>
      <x:c r="M87" s="117" t="str">
        <x:v>Kelantan expansion batch</x:v>
      </x:c>
      <x:c r="N87" s="117"/>
      <x:c r="O87" s="117" t="str">
        <x:v>2026-08-15 00:00:00</x:v>
      </x:c>
      <x:c r="P87" s="117" t="str">
        <x:v>Complete</x:v>
      </x:c>
      <x:c r="Q87" s="117"/>
      <x:c r="R87" s="117" t="str">
        <x:f t="shared" si="1">IF(J87="","Missing Link",IF(AND(ISNUMBER(SEARCH("google.com/maps",J87)),ISERROR(SEARCH(";",J87))),"Discovery Link Only","Source Link Present"))</x:f>
        <x:v>Discovery Link Only</x:v>
      </x:c>
      <x:c r="S87" s="117" t="str">
        <x:v>Unknown</x:v>
      </x:c>
      <x:c r="T87" s="117" t="str">
        <x:v>Unknown</x:v>
      </x:c>
      <x:c r="U87" s="117" t="str">
        <x:v>Unknown</x:v>
      </x:c>
      <x:c r="V87" s="117" t="str">
        <x:v>Unknown</x:v>
      </x:c>
      <x:c r="W87" s="117" t="str">
        <x:v>Unknown</x:v>
      </x:c>
      <x:c r="X87" s="117" t="str">
        <x:v>Unknown</x:v>
      </x:c>
      <x:c r="Y87" s="117" t="str">
        <x:v>Unknown</x:v>
      </x:c>
      <x:c r="Z87" s="117"/>
      <x:c r="AA87" s="117" t="str">
        <x:v>Pending evidence</x:v>
      </x:c>
      <x:c r="AB87" s="117"/>
      <x:c r="AC87" s="117" t="str">
        <x:v>No qualifying accessibility conclusion established from the screened sources. This is unknown, not evidence that the attraction is inaccessible.</x:v>
      </x:c>
      <x:c r="AD87" s="117" t="str">
        <x:v>2026-09-08</x:v>
      </x:c>
      <x:c r="AE87" s="117" t="str">
        <x:v>MC0084</x:v>
      </x:c>
      <x:c r="AF87" s="117" t="str">
        <x:v>Distinct candidate</x:v>
      </x:c>
      <x:c r="AG87" s="117" t="str"/>
      <x:c r="AH87" s="117" t="str">
        <x:v>Name corroborated in source</x:v>
      </x:c>
      <x:c r="AI87" s="117" t="str">
        <x:v>https://ebrochures.malaysia.travel/en/malaysia-travel-guide/kelantan/</x:v>
      </x:c>
      <x:c r="AJ87" s="117" t="str">
        <x:v>Place name or established alias matched in the cited source. This is not confirmation of current opening, all visitor facilities or the full description.</x:v>
      </x:c>
      <x:c r="AK87" s="117" t="str">
        <x:v>Not independently confirmed</x:v>
      </x:c>
      <x:c r="AL87" s="117" t="str">
        <x:v>Screened sources; accessibility unresolved</x:v>
      </x:c>
      <x:c r="AM87" s="117" t="str">
        <x:v>2026-09-08</x:v>
      </x:c>
      <x:c r="AN87" s="117"/>
      <x:c r="AO87" s="117"/>
      <x:c r="AP87" s="117" t="str">
        <x:v>No usable pair located; image research pending</x:v>
      </x:c>
      <x:c r="AQ87" s="117"/>
    </x:row>
    <x:row r="88" ht="66" customHeight="1">
      <x:c r="A88" s="117" t="str">
        <x:v>MC0085</x:v>
      </x:c>
      <x:c r="B88" s="117" t="str">
        <x:v>Pergau Lake</x:v>
      </x:c>
      <x:c r="C88" s="117" t="str">
        <x:v>Kelantan</x:v>
      </x:c>
      <x:c r="D88" s="117" t="str">
        <x:v>Jeli</x:v>
      </x:c>
      <x:c r="E88" s="117" t="str">
        <x:v>Nature</x:v>
      </x:c>
      <x:c r="F88" s="117" t="str">
        <x:v>Rural</x:v>
      </x:c>
      <x:c r="G88" s="117" t="str">
        <x:v>Outdoor</x:v>
      </x:c>
      <x:c r="H88" s="117" t="str">
        <x:v>lake; countryside; fishing</x:v>
      </x:c>
      <x:c r="I88" s="117" t="str">
        <x:v>A hydroelectric reservoir lake in Jeli district.</x:v>
      </x:c>
      <x:c r="J88" s="117" t="str">
        <x:v>https://www.google.com/maps/search/?api=1&amp;query=Pergau%20Lake%2C%20Kelantan%2C%20Malaysia</x:v>
      </x:c>
      <x:c r="K88" s="117" t="str">
        <x:v>https://ebrochures.malaysia.travel/en/malaysia-travel-guide/kelantan/</x:v>
      </x:c>
      <x:c r="L88" s="117" t="str">
        <x:v>Tourism Malaysia state guide plus map discovery link</x:v>
      </x:c>
      <x:c r="M88" s="117" t="str">
        <x:v>Kelantan expansion batch</x:v>
      </x:c>
      <x:c r="N88" s="117"/>
      <x:c r="O88" s="117" t="str">
        <x:v>2026-08-15 00:00:00</x:v>
      </x:c>
      <x:c r="P88" s="117" t="str">
        <x:v>Complete</x:v>
      </x:c>
      <x:c r="Q88" s="117" t="str">
        <x:v>Identity and Malaysian location verified in second-pass review on 2026-09-08.</x:v>
      </x:c>
      <x:c r="R88" s="117" t="str">
        <x:f t="shared" si="1">IF(J88="","Missing Link",IF(AND(ISNUMBER(SEARCH("google.com/maps",J88)),ISERROR(SEARCH(";",J88))),"Discovery Link Only","Source Link Present"))</x:f>
        <x:v>Discovery Link Only</x:v>
      </x:c>
      <x:c r="S88" s="117" t="str">
        <x:v>Unknown</x:v>
      </x:c>
      <x:c r="T88" s="117" t="str">
        <x:v>Unknown</x:v>
      </x:c>
      <x:c r="U88" s="117" t="str">
        <x:v>Unknown</x:v>
      </x:c>
      <x:c r="V88" s="117" t="str">
        <x:v>Unknown</x:v>
      </x:c>
      <x:c r="W88" s="117" t="str">
        <x:v>Unknown</x:v>
      </x:c>
      <x:c r="X88" s="117" t="str">
        <x:v>Unknown</x:v>
      </x:c>
      <x:c r="Y88" s="117" t="str">
        <x:v>Unknown</x:v>
      </x:c>
      <x:c r="Z88" s="117"/>
      <x:c r="AA88" s="117" t="str">
        <x:v>Pending evidence</x:v>
      </x:c>
      <x:c r="AB88" s="117"/>
      <x:c r="AC88" s="117" t="str">
        <x:v>No qualifying accessibility conclusion established from the screened sources. This is unknown, not evidence that the attraction is inaccessible.</x:v>
      </x:c>
      <x:c r="AD88" s="117" t="str">
        <x:v>2026-09-08</x:v>
      </x:c>
      <x:c r="AE88" s="117" t="str">
        <x:v>MC0085</x:v>
      </x:c>
      <x:c r="AF88" s="117" t="str">
        <x:v>Distinct candidate</x:v>
      </x:c>
      <x:c r="AG88" s="117" t="str"/>
      <x:c r="AH88" s="117" t="str">
        <x:v>Identity and location corroborated</x:v>
      </x:c>
      <x:c r="AI88" s="117" t="str">
        <x:v>https://pmc.ncbi.nlm.nih.gov/articles/PMC6396892/</x:v>
      </x:c>
      <x:c r="AJ88" s="117" t="str">
        <x:v>Peer-reviewed research source matches the attraction name or established alias and the stated Malaysian location. This verifies identity/location only; confirm current opening and accessibility separately.</x:v>
      </x:c>
      <x:c r="AK88" s="117" t="str">
        <x:v>Not independently confirmed</x:v>
      </x:c>
      <x:c r="AL88" s="117" t="str">
        <x:v>Screened sources; accessibility unresolved</x:v>
      </x:c>
      <x:c r="AM88" s="117" t="str">
        <x:v>2026-09-08</x:v>
      </x:c>
      <x:c r="AN88" s="117"/>
      <x:c r="AO88" s="117"/>
      <x:c r="AP88" s="117" t="str">
        <x:v>No usable pair located; image research pending</x:v>
      </x:c>
      <x:c r="AQ88" s="117"/>
    </x:row>
    <x:row r="89" ht="66" customHeight="1">
      <x:c r="A89" s="117" t="str">
        <x:v>MC0086</x:v>
      </x:c>
      <x:c r="B89" s="117" t="str">
        <x:v>Lata Janggut</x:v>
      </x:c>
      <x:c r="C89" s="117" t="str">
        <x:v>Kelantan</x:v>
      </x:c>
      <x:c r="D89" s="117" t="str">
        <x:v>Jeli</x:v>
      </x:c>
      <x:c r="E89" s="117" t="str">
        <x:v>Nature</x:v>
      </x:c>
      <x:c r="F89" s="117" t="str">
        <x:v>Rural</x:v>
      </x:c>
      <x:c r="G89" s="117" t="str">
        <x:v>Outdoor</x:v>
      </x:c>
      <x:c r="H89" s="117" t="str">
        <x:v>waterfall; forest; picnic</x:v>
      </x:c>
      <x:c r="I89" s="117" t="str">
        <x:v>A waterfall in Jeli district.</x:v>
      </x:c>
      <x:c r="J89" s="117" t="str">
        <x:v>https://www.google.com/maps/search/?api=1&amp;query=Lata%20Janggut%2C%20Kelantan%2C%20Malaysia</x:v>
      </x:c>
      <x:c r="K89" s="117" t="str">
        <x:v>https://ebrochures.malaysia.travel/en/malaysia-travel-guide/kelantan/</x:v>
      </x:c>
      <x:c r="L89" s="117" t="str">
        <x:v>Tourism Malaysia state guide plus map discovery link</x:v>
      </x:c>
      <x:c r="M89" s="117" t="str">
        <x:v>Kelantan expansion batch</x:v>
      </x:c>
      <x:c r="N89" s="117"/>
      <x:c r="O89" s="117" t="str">
        <x:v>2026-08-15 00:00:00</x:v>
      </x:c>
      <x:c r="P89" s="117" t="str">
        <x:v>Complete</x:v>
      </x:c>
      <x:c r="Q89" s="117" t="str">
        <x:v>Identity and Malaysian location verified in second-pass review on 2026-09-08.</x:v>
      </x:c>
      <x:c r="R89" s="117" t="str">
        <x:f t="shared" si="1">IF(J89="","Missing Link",IF(AND(ISNUMBER(SEARCH("google.com/maps",J89)),ISERROR(SEARCH(";",J89))),"Discovery Link Only","Source Link Present"))</x:f>
        <x:v>Discovery Link Only</x:v>
      </x:c>
      <x:c r="S89" s="117" t="str">
        <x:v>Unknown</x:v>
      </x:c>
      <x:c r="T89" s="117" t="str">
        <x:v>Unknown</x:v>
      </x:c>
      <x:c r="U89" s="117" t="str">
        <x:v>Unknown</x:v>
      </x:c>
      <x:c r="V89" s="117" t="str">
        <x:v>Unknown</x:v>
      </x:c>
      <x:c r="W89" s="117" t="str">
        <x:v>Unknown</x:v>
      </x:c>
      <x:c r="X89" s="117" t="str">
        <x:v>Unknown</x:v>
      </x:c>
      <x:c r="Y89" s="117" t="str">
        <x:v>Unknown</x:v>
      </x:c>
      <x:c r="Z89" s="117"/>
      <x:c r="AA89" s="117" t="str">
        <x:v>Pending evidence</x:v>
      </x:c>
      <x:c r="AB89" s="117"/>
      <x:c r="AC89" s="117" t="str">
        <x:v>No qualifying accessibility conclusion established from the screened sources. This is unknown, not evidence that the attraction is inaccessible.</x:v>
      </x:c>
      <x:c r="AD89" s="117" t="str">
        <x:v>2026-09-08</x:v>
      </x:c>
      <x:c r="AE89" s="117" t="str">
        <x:v>MC0086</x:v>
      </x:c>
      <x:c r="AF89" s="117" t="str">
        <x:v>Distinct candidate</x:v>
      </x:c>
      <x:c r="AG89" s="117" t="str"/>
      <x:c r="AH89" s="117" t="str">
        <x:v>Identity and location corroborated</x:v>
      </x:c>
      <x:c r="AI89" s="117" t="str">
        <x:v>https://mdjeli.kelantan.gov.my/index.php/pelawat/destinasi-menarik-jeli/lata-janggut-batu-melintang-jeli</x:v>
      </x:c>
      <x:c r="AJ89" s="117" t="str">
        <x:v>Official municipal source matches the attraction name or established alias and the stated Malaysian location. This verifies identity/location only; confirm current opening and accessibility separately.</x:v>
      </x:c>
      <x:c r="AK89" s="117" t="str">
        <x:v>Not independently confirmed</x:v>
      </x:c>
      <x:c r="AL89" s="117" t="str">
        <x:v>Screened sources; accessibility unresolved</x:v>
      </x:c>
      <x:c r="AM89" s="117" t="str">
        <x:v>2026-09-08</x:v>
      </x:c>
      <x:c r="AN89" s="117"/>
      <x:c r="AO89" s="117"/>
      <x:c r="AP89" s="117" t="str">
        <x:v>No usable pair located; image research pending</x:v>
      </x:c>
      <x:c r="AQ89" s="117"/>
    </x:row>
    <x:row r="90" ht="66" customHeight="1">
      <x:c r="A90" s="117" t="str">
        <x:v>MC0087</x:v>
      </x:c>
      <x:c r="B90" s="117" t="str">
        <x:v>Bukit Bunga Border Market</x:v>
      </x:c>
      <x:c r="C90" s="117" t="str">
        <x:v>Kelantan</x:v>
      </x:c>
      <x:c r="D90" s="117" t="str">
        <x:v>Tanah Merah</x:v>
      </x:c>
      <x:c r="E90" s="117" t="str">
        <x:v>Shopping</x:v>
      </x:c>
      <x:c r="F90" s="117" t="str">
        <x:v>Local</x:v>
      </x:c>
      <x:c r="G90" s="117" t="str">
        <x:v>Indoor</x:v>
      </x:c>
      <x:c r="H90" s="117" t="str">
        <x:v>border market; local goods; food</x:v>
      </x:c>
      <x:c r="I90" s="117" t="str">
        <x:v>A border market in Tanah Merah near the Malaysia-Thailand crossing, popular for cross-border shopping.</x:v>
      </x:c>
      <x:c r="J90" s="117" t="str">
        <x:v>https://www.google.com/maps/search/?api=1&amp;query=Bukit%20Bunga%20Border%20Market%2C%20Kelantan%2C%20Malaysia</x:v>
      </x:c>
      <x:c r="K90" s="117" t="str">
        <x:v>https://ebrochures.malaysia.travel/en/malaysia-travel-guide/kelantan/</x:v>
      </x:c>
      <x:c r="L90" s="117" t="str">
        <x:v>Tourism Malaysia state guide plus map discovery link</x:v>
      </x:c>
      <x:c r="M90" s="117" t="str">
        <x:v>Kelantan expansion batch</x:v>
      </x:c>
      <x:c r="N90" s="117"/>
      <x:c r="O90" s="117" t="str">
        <x:v>2026-08-15 00:00:00</x:v>
      </x:c>
      <x:c r="P90" s="117" t="str">
        <x:v>Pending Review</x:v>
      </x:c>
      <x:c r="Q90" s="117"/>
      <x:c r="R90" s="117" t="str">
        <x:f t="shared" si="1">IF(J90="","Missing Link",IF(AND(ISNUMBER(SEARCH("google.com/maps",J90)),ISERROR(SEARCH(";",J90))),"Discovery Link Only","Source Link Present"))</x:f>
        <x:v>Discovery Link Only</x:v>
      </x:c>
      <x:c r="S90" s="117" t="str">
        <x:v>Unknown</x:v>
      </x:c>
      <x:c r="T90" s="117" t="str">
        <x:v>Unknown</x:v>
      </x:c>
      <x:c r="U90" s="117" t="str">
        <x:v>Unknown</x:v>
      </x:c>
      <x:c r="V90" s="117" t="str">
        <x:v>Unknown</x:v>
      </x:c>
      <x:c r="W90" s="117" t="str">
        <x:v>Unknown</x:v>
      </x:c>
      <x:c r="X90" s="117" t="str">
        <x:v>Unknown</x:v>
      </x:c>
      <x:c r="Y90" s="117" t="str">
        <x:v>Unknown</x:v>
      </x:c>
      <x:c r="Z90" s="117"/>
      <x:c r="AA90" s="117" t="str">
        <x:v>Pending evidence</x:v>
      </x:c>
      <x:c r="AB90" s="117"/>
      <x:c r="AC90" s="117" t="str">
        <x:v>No qualifying accessibility conclusion established from the screened sources. This is unknown, not evidence that the attraction is inaccessible.</x:v>
      </x:c>
      <x:c r="AD90" s="117" t="str">
        <x:v>2026-09-08</x:v>
      </x:c>
      <x:c r="AE90" s="117" t="str">
        <x:v>MC0087</x:v>
      </x:c>
      <x:c r="AF90" s="117" t="str">
        <x:v>Distinct candidate</x:v>
      </x:c>
      <x:c r="AG90" s="117" t="str"/>
      <x:c r="AH90" s="117" t="str">
        <x:v>Out of scope / insufficient evidence</x:v>
      </x:c>
      <x:c r="AI90" s="117" t="str"/>
      <x:c r="AJ90" s="117" t="str">
        <x:v>The named border market was not substantiated as a distinct visitor attraction by a reliable source and falls outside the attractions-focused scope.</x:v>
      </x:c>
      <x:c r="AK90" s="117" t="str">
        <x:v>Not approved for recommendation</x:v>
      </x:c>
      <x:c r="AL90" s="117" t="str">
        <x:v>Screened sources; accessibility unresolved</x:v>
      </x:c>
      <x:c r="AM90" s="117" t="str">
        <x:v>2026-09-08</x:v>
      </x:c>
      <x:c r="AN90" s="117"/>
      <x:c r="AO90" s="117"/>
      <x:c r="AP90" s="117" t="str">
        <x:v>No usable pair located; image research pending</x:v>
      </x:c>
      <x:c r="AQ90" s="117"/>
    </x:row>
    <x:row r="91" ht="66" customHeight="1">
      <x:c r="A91" s="117" t="str">
        <x:v>MC0088</x:v>
      </x:c>
      <x:c r="B91" s="117" t="str">
        <x:v>Lata Rek</x:v>
      </x:c>
      <x:c r="C91" s="117" t="str">
        <x:v>Kelantan</x:v>
      </x:c>
      <x:c r="D91" s="117" t="str">
        <x:v>Kuala Krai</x:v>
      </x:c>
      <x:c r="E91" s="117" t="str">
        <x:v>Nature</x:v>
      </x:c>
      <x:c r="F91" s="117" t="str">
        <x:v>Rural</x:v>
      </x:c>
      <x:c r="G91" s="117" t="str">
        <x:v>Outdoor</x:v>
      </x:c>
      <x:c r="H91" s="117" t="str">
        <x:v>waterfall; village; recreation</x:v>
      </x:c>
      <x:c r="I91" s="117" t="str">
        <x:v>A waterfall recreational area in Kuala Krai district.</x:v>
      </x:c>
      <x:c r="J91" s="117" t="str">
        <x:v>https://www.google.com/maps/search/?api=1&amp;query=Lata%20Rek%2C%20Kelantan%2C%20Malaysia</x:v>
      </x:c>
      <x:c r="K91" s="117" t="str">
        <x:v>https://ebrochures.malaysia.travel/en/malaysia-travel-guide/kelantan/</x:v>
      </x:c>
      <x:c r="L91" s="117" t="str">
        <x:v>Tourism Malaysia state guide plus map discovery link</x:v>
      </x:c>
      <x:c r="M91" s="117" t="str">
        <x:v>Kelantan expansion batch</x:v>
      </x:c>
      <x:c r="N91" s="117"/>
      <x:c r="O91" s="117" t="str">
        <x:v>2026-08-15 00:00:00</x:v>
      </x:c>
      <x:c r="P91" s="117" t="str">
        <x:v>Complete</x:v>
      </x:c>
      <x:c r="Q91" s="117"/>
      <x:c r="R91" s="117" t="str">
        <x:f t="shared" si="1">IF(J91="","Missing Link",IF(AND(ISNUMBER(SEARCH("google.com/maps",J91)),ISERROR(SEARCH(";",J91))),"Discovery Link Only","Source Link Present"))</x:f>
        <x:v>Discovery Link Only</x:v>
      </x:c>
      <x:c r="S91" s="117" t="str">
        <x:v>Unknown</x:v>
      </x:c>
      <x:c r="T91" s="117" t="str">
        <x:v>Unknown</x:v>
      </x:c>
      <x:c r="U91" s="117" t="str">
        <x:v>Unknown</x:v>
      </x:c>
      <x:c r="V91" s="117" t="str">
        <x:v>Unknown</x:v>
      </x:c>
      <x:c r="W91" s="117" t="str">
        <x:v>Unknown</x:v>
      </x:c>
      <x:c r="X91" s="117" t="str">
        <x:v>Unknown</x:v>
      </x:c>
      <x:c r="Y91" s="117" t="str">
        <x:v>Unknown</x:v>
      </x:c>
      <x:c r="Z91" s="117"/>
      <x:c r="AA91" s="117" t="str">
        <x:v>Pending evidence</x:v>
      </x:c>
      <x:c r="AB91" s="117"/>
      <x:c r="AC91" s="117" t="str">
        <x:v>No qualifying accessibility conclusion established from the screened sources. This is unknown, not evidence that the attraction is inaccessible.</x:v>
      </x:c>
      <x:c r="AD91" s="117" t="str">
        <x:v>2026-09-08</x:v>
      </x:c>
      <x:c r="AE91" s="117" t="str">
        <x:v>MC0088</x:v>
      </x:c>
      <x:c r="AF91" s="117" t="str">
        <x:v>Distinct candidate</x:v>
      </x:c>
      <x:c r="AG91" s="117" t="str"/>
      <x:c r="AH91" s="117" t="str">
        <x:v>Name corroborated in source</x:v>
      </x:c>
      <x:c r="AI91" s="117" t="str">
        <x:v>https://ebrochures.malaysia.travel/en/malaysia-travel-guide/kelantan/</x:v>
      </x:c>
      <x:c r="AJ91" s="117" t="str">
        <x:v>Place name or established alias matched in the cited source. This is not confirmation of current opening, all visitor facilities or the full description.</x:v>
      </x:c>
      <x:c r="AK91" s="117" t="str">
        <x:v>Not independently confirmed</x:v>
      </x:c>
      <x:c r="AL91" s="117" t="str">
        <x:v>Screened sources; accessibility unresolved</x:v>
      </x:c>
      <x:c r="AM91" s="117" t="str">
        <x:v>2026-09-08</x:v>
      </x:c>
      <x:c r="AN91" s="117" t="str">
        <x:v>https://thumb.wikimedia.org/wikipedia/commons/thumb/8/88/Lata_Rek%2C_Kampung_Laloh%2C_Kuala_Krai%2C_Kelantan_-_panoramio_-_Gula_Kapas_%281%29.jpg/1280px-Lata_Rek%2C_Kampung_Laloh%2C_Kuala_Krai%2C_Kelantan_-_panoramio_-_Gula_Kapas_%281%29.jpg?utm_source=commons.wikimedia.org&amp;utm_campaign=imageinfo&amp;utm_content=thumbnail</x:v>
      </x:c>
      <x:c r="AO91" s="117" t="str">
        <x:v>https://thumb.wikimedia.org/wikipedia/commons/thumb/1/11/Lata_Rek%2C_Kampung_Laloh%2C_Kuala_Krai%2C_Kelantan_-_panoramio.jpg/1280px-Lata_Rek%2C_Kampung_Laloh%2C_Kuala_Krai%2C_Kelantan_-_panoramio.jpg?utm_source=commons.wikimedia.org&amp;utm_campaign=imageinfo&amp;utm_content=thumbnail</x:v>
      </x:c>
      <x:c r="AP91" s="117" t="str">
        <x:v>2 metadata-matched images; visual review pending</x:v>
      </x:c>
      <x:c r="AQ91" s="117"/>
    </x:row>
    <x:row r="92" ht="66" customHeight="1">
      <x:c r="A92" s="117" t="str">
        <x:v>MC0089</x:v>
      </x:c>
      <x:c r="B92" s="117" t="str">
        <x:v>Pantai Klebang</x:v>
      </x:c>
      <x:c r="C92" s="117" t="str">
        <x:v>Melaka</x:v>
      </x:c>
      <x:c r="D92" s="117" t="str">
        <x:v>Melaka Tengah</x:v>
      </x:c>
      <x:c r="E92" s="117" t="str">
        <x:v>Beach and Island</x:v>
      </x:c>
      <x:c r="F92" s="117" t="str">
        <x:v>Local</x:v>
      </x:c>
      <x:c r="G92" s="117" t="str">
        <x:v>Outdoor</x:v>
      </x:c>
      <x:c r="H92" s="117" t="str">
        <x:v>Beach; sunset; relaxation; photography; picnicking; horse riding; ATV; kite flying; bubbles; food stalls; local snacks; family recreation; outdoor leisure</x:v>
      </x:c>
      <x:c r="I92" s="117" t="str">
        <x:v>A relaxing coastal attraction in Klebang, Melaka, known for its shady beachfront setting and sunset views. Visitors can unwind by the beach, take photographs, rent chairs and tables, try horse riding or ATV activities, buy kites and bubbles, and sample local snacks from nearby food stalls.</x:v>
      </x:c>
      <x:c r="J92" s="117" t="str">
        <x:v>https://www.malaysia.travel/explore/pantai-klebang ; https://www.visitmelaka.com.my/index.php/nature-adventure/sports/66-horse-ride ; https://pdtmt.gov.my/1/page.php?s=destinasi-menarik</x:v>
      </x:c>
      <x:c r="K92" s="117" t="str">
        <x:v>https://ebrochures.malaysia.travel/en/malaysia-travel-guide/melaka/</x:v>
      </x:c>
      <x:c r="L92" s="117" t="str">
        <x:v>Previous workbook candidate/source lead</x:v>
      </x:c>
      <x:c r="M92" s="117" t="str">
        <x:v>Previous workbook seed</x:v>
      </x:c>
      <x:c r="N92" s="117" t="str">
        <x:v>A008</x:v>
      </x:c>
      <x:c r="O92" s="117" t="str">
        <x:v>2026-08-15 00:00:00</x:v>
      </x:c>
      <x:c r="P92" s="117" t="str">
        <x:v>Complete</x:v>
      </x:c>
      <x:c r="Q92" s="117"/>
      <x:c r="R92" s="117" t="str">
        <x:f t="shared" si="1">IF(J92="","Missing Link",IF(AND(ISNUMBER(SEARCH("google.com/maps",J92)),ISERROR(SEARCH(";",J92))),"Discovery Link Only","Source Link Present"))</x:f>
        <x:v>Source Link Present</x:v>
      </x:c>
      <x:c r="S92" s="117" t="str">
        <x:v>Unknown</x:v>
      </x:c>
      <x:c r="T92" s="117" t="str">
        <x:v>Unknown</x:v>
      </x:c>
      <x:c r="U92" s="117" t="str">
        <x:v>Unknown</x:v>
      </x:c>
      <x:c r="V92" s="117" t="str">
        <x:v>Unknown</x:v>
      </x:c>
      <x:c r="W92" s="117" t="str">
        <x:v>Unknown</x:v>
      </x:c>
      <x:c r="X92" s="117" t="str">
        <x:v>Unknown</x:v>
      </x:c>
      <x:c r="Y92" s="117" t="str">
        <x:v>Unknown</x:v>
      </x:c>
      <x:c r="Z92" s="117"/>
      <x:c r="AA92" s="117" t="str">
        <x:v>Pending evidence</x:v>
      </x:c>
      <x:c r="AB92" s="117"/>
      <x:c r="AC92" s="117" t="str">
        <x:v>No qualifying accessibility conclusion established from the screened sources. This is unknown, not evidence that the attraction is inaccessible.</x:v>
      </x:c>
      <x:c r="AD92" s="117" t="str">
        <x:v>2026-09-08</x:v>
      </x:c>
      <x:c r="AE92" s="117" t="str">
        <x:v>MC0089</x:v>
      </x:c>
      <x:c r="AF92" s="117" t="str">
        <x:v>Distinct candidate</x:v>
      </x:c>
      <x:c r="AG92" s="117" t="str"/>
      <x:c r="AH92" s="117" t="str">
        <x:v>Name corroborated in source</x:v>
      </x:c>
      <x:c r="AI92" s="117" t="str">
        <x:v>https://www.malaysia.travel/explore/pantai-klebang</x:v>
      </x:c>
      <x:c r="AJ92" s="117" t="str">
        <x:v>Place name or established alias matched in the cited source. This is not confirmation of current opening, all visitor facilities or the full description.</x:v>
      </x:c>
      <x:c r="AK92" s="117" t="str">
        <x:v>Not independently confirmed</x:v>
      </x:c>
      <x:c r="AL92" s="117" t="str">
        <x:v>Screened sources; accessibility unresolved</x:v>
      </x:c>
      <x:c r="AM92" s="117" t="str">
        <x:v>2026-09-08</x:v>
      </x:c>
      <x:c r="AN92" s="117"/>
      <x:c r="AO92" s="117"/>
      <x:c r="AP92" s="117" t="str">
        <x:v>No usable pair located; image research pending</x:v>
      </x:c>
      <x:c r="AQ92" s="117"/>
    </x:row>
    <x:row r="93" ht="66" customHeight="1">
      <x:c r="A93" s="117" t="str">
        <x:v>MC0090</x:v>
      </x:c>
      <x:c r="B93" s="117" t="str">
        <x:v>Pengkalan Balak</x:v>
      </x:c>
      <x:c r="C93" s="117" t="str">
        <x:v>Melaka</x:v>
      </x:c>
      <x:c r="D93" s="117" t="str">
        <x:v>Alor Gajah</x:v>
      </x:c>
      <x:c r="E93" s="117" t="str">
        <x:v>Beach and Island</x:v>
      </x:c>
      <x:c r="F93" s="117" t="str">
        <x:v>Local</x:v>
      </x:c>
      <x:c r="G93" s="117" t="str">
        <x:v>Outdoor</x:v>
      </x:c>
      <x:c r="H93" s="117" t="str">
        <x:v>Beach; swimming; sunset; fishing; picnicking; camping; beach walks; fishing villages; seafood; family recreation; chalets; resorts; photography; relaxation</x:v>
      </x:c>
      <x:c r="I93" s="117" t="str">
        <x:v>A popular beach in the Alor Gajah district of Melaka, known for its broad coastline, peaceful fishing-village surroundings and sunset views. Visitors come for swimming, fishing, picnics, camping, long beach walks and seafood, with locally operated chalets and resorts available nearby.</x:v>
      </x:c>
      <x:c r="J93" s="117" t="str">
        <x:v>https://www.malaysia.travel/explore/pengkalan-balak ; https://www.mpag.gov.my/pantai-pengkalan-balak/</x:v>
      </x:c>
      <x:c r="K93" s="117" t="str">
        <x:v>https://ebrochures.malaysia.travel/en/malaysia-travel-guide/melaka/</x:v>
      </x:c>
      <x:c r="L93" s="117" t="str">
        <x:v>Previous workbook candidate/source lead</x:v>
      </x:c>
      <x:c r="M93" s="117" t="str">
        <x:v>Previous workbook seed</x:v>
      </x:c>
      <x:c r="N93" s="117" t="str">
        <x:v>A009</x:v>
      </x:c>
      <x:c r="O93" s="117" t="str">
        <x:v>2026-08-15 00:00:00</x:v>
      </x:c>
      <x:c r="P93" s="117" t="str">
        <x:v>Complete</x:v>
      </x:c>
      <x:c r="Q93" s="117"/>
      <x:c r="R93" s="117" t="str">
        <x:f t="shared" si="1">IF(J93="","Missing Link",IF(AND(ISNUMBER(SEARCH("google.com/maps",J93)),ISERROR(SEARCH(";",J93))),"Discovery Link Only","Source Link Present"))</x:f>
        <x:v>Source Link Present</x:v>
      </x:c>
      <x:c r="S93" s="117" t="str">
        <x:v>Unknown</x:v>
      </x:c>
      <x:c r="T93" s="117" t="str">
        <x:v>Unknown</x:v>
      </x:c>
      <x:c r="U93" s="117" t="str">
        <x:v>Unknown</x:v>
      </x:c>
      <x:c r="V93" s="117" t="str">
        <x:v>Unknown</x:v>
      </x:c>
      <x:c r="W93" s="117" t="str">
        <x:v>Unknown</x:v>
      </x:c>
      <x:c r="X93" s="117" t="str">
        <x:v>Unknown</x:v>
      </x:c>
      <x:c r="Y93" s="117" t="str">
        <x:v>Unknown</x:v>
      </x:c>
      <x:c r="Z93" s="117"/>
      <x:c r="AA93" s="117" t="str">
        <x:v>Pending evidence</x:v>
      </x:c>
      <x:c r="AB93" s="117"/>
      <x:c r="AC93" s="117" t="str">
        <x:v>No qualifying accessibility conclusion established from the screened sources. This is unknown, not evidence that the attraction is inaccessible.</x:v>
      </x:c>
      <x:c r="AD93" s="117" t="str">
        <x:v>2026-09-08</x:v>
      </x:c>
      <x:c r="AE93" s="117" t="str">
        <x:v>MC0090</x:v>
      </x:c>
      <x:c r="AF93" s="117" t="str">
        <x:v>Distinct candidate</x:v>
      </x:c>
      <x:c r="AG93" s="117" t="str"/>
      <x:c r="AH93" s="117" t="str">
        <x:v>Name corroborated in source</x:v>
      </x:c>
      <x:c r="AI93" s="117" t="str">
        <x:v>https://www.malaysia.travel/explore/pengkalan-balak</x:v>
      </x:c>
      <x:c r="AJ93" s="117" t="str">
        <x:v>Place name or established alias matched in the cited source. This is not confirmation of current opening, all visitor facilities or the full description.</x:v>
      </x:c>
      <x:c r="AK93" s="117" t="str">
        <x:v>Not independently confirmed</x:v>
      </x:c>
      <x:c r="AL93" s="117" t="str">
        <x:v>Screened sources; accessibility unresolved</x:v>
      </x:c>
      <x:c r="AM93" s="117" t="str">
        <x:v>2026-09-08</x:v>
      </x:c>
      <x:c r="AN93" s="117" t="str">
        <x:v>https://upload.wikimedia.org/wikipedia/commons/e/ef/Sunset_at_Pengkalan_Balak.JPG?utm_source=commons.wikimedia.org&amp;utm_campaign=imageinfo&amp;utm_content=thumbnail_unscaled</x:v>
      </x:c>
      <x:c r="AO93" s="117" t="str">
        <x:v>https://upload.wikimedia.org/wikipedia/commons/4/43/Coconut_trees_at_Pengkalan_Balak_beach.JPG?utm_source=commons.wikimedia.org&amp;utm_campaign=imageinfo&amp;utm_content=thumbnail_unscaled</x:v>
      </x:c>
      <x:c r="AP93" s="117" t="str">
        <x:v>2 metadata-matched images; visual review pending</x:v>
      </x:c>
      <x:c r="AQ93" s="117"/>
    </x:row>
    <x:row r="94" ht="66" customHeight="1">
      <x:c r="A94" s="117" t="str">
        <x:v>MC0091</x:v>
      </x:c>
      <x:c r="B94" s="117" t="str">
        <x:v>A Famosa</x:v>
      </x:c>
      <x:c r="C94" s="117" t="str">
        <x:v>Melaka</x:v>
      </x:c>
      <x:c r="D94" s="117" t="str">
        <x:v>Melaka City</x:v>
      </x:c>
      <x:c r="E94" s="117" t="str">
        <x:v>Heritage and History</x:v>
      </x:c>
      <x:c r="F94" s="117" t="str">
        <x:v>Unclassified</x:v>
      </x:c>
      <x:c r="G94" s="117" t="str">
        <x:v>Outdoor</x:v>
      </x:c>
      <x:c r="H94" s="117" t="str">
        <x:v>fort; heritage; history; architecture; photography</x:v>
      </x:c>
      <x:c r="I94" s="117" t="str">
        <x:v>Portuguese fortress ruins in Melaka City, built in 1511, with the Porta de Santiago gate the only substantial structure still standing.</x:v>
      </x:c>
      <x:c r="J94" s="117" t="str">
        <x:v>https://www.google.com/maps/search/?api=1&amp;query=A%20Famosa%2C%20Melaka%2C%20Malaysia</x:v>
      </x:c>
      <x:c r="K94" s="117" t="str">
        <x:v>https://ebrochures.malaysia.travel/en/malaysia-travel-guide/melaka/</x:v>
      </x:c>
      <x:c r="L94" s="117" t="str">
        <x:v>Previous workbook candidate/source lead</x:v>
      </x:c>
      <x:c r="M94" s="117" t="str">
        <x:v>Previous workbook seed</x:v>
      </x:c>
      <x:c r="N94" s="117" t="str">
        <x:v>A057</x:v>
      </x:c>
      <x:c r="O94" s="117" t="str">
        <x:v>2026-08-15 00:00:00</x:v>
      </x:c>
      <x:c r="P94" s="117" t="str">
        <x:v>Complete</x:v>
      </x:c>
      <x:c r="Q94" s="117"/>
      <x:c r="R94" s="117" t="str">
        <x:f t="shared" si="1">IF(J94="","Missing Link",IF(AND(ISNUMBER(SEARCH("google.com/maps",J94)),ISERROR(SEARCH(";",J94))),"Discovery Link Only","Source Link Present"))</x:f>
        <x:v>Discovery Link Only</x:v>
      </x:c>
      <x:c r="S94" s="117" t="str">
        <x:v>Unknown</x:v>
      </x:c>
      <x:c r="T94" s="117" t="str">
        <x:v>Unknown</x:v>
      </x:c>
      <x:c r="U94" s="117" t="str">
        <x:v>Unknown</x:v>
      </x:c>
      <x:c r="V94" s="117" t="str">
        <x:v>Unknown</x:v>
      </x:c>
      <x:c r="W94" s="117" t="str">
        <x:v>Unknown</x:v>
      </x:c>
      <x:c r="X94" s="117" t="str">
        <x:v>Unknown</x:v>
      </x:c>
      <x:c r="Y94" s="117" t="str">
        <x:v>Unknown</x:v>
      </x:c>
      <x:c r="Z94" s="117"/>
      <x:c r="AA94" s="117" t="str">
        <x:v>Pending evidence</x:v>
      </x:c>
      <x:c r="AB94" s="117"/>
      <x:c r="AC94" s="117" t="str">
        <x:v>No qualifying accessibility conclusion established from the screened sources. This is unknown, not evidence that the attraction is inaccessible.</x:v>
      </x:c>
      <x:c r="AD94" s="117" t="str">
        <x:v>2026-09-08</x:v>
      </x:c>
      <x:c r="AE94" s="117" t="str">
        <x:v>MC0091</x:v>
      </x:c>
      <x:c r="AF94" s="117" t="str">
        <x:v>Distinct candidate</x:v>
      </x:c>
      <x:c r="AG94" s="117" t="str"/>
      <x:c r="AH94" s="117" t="str">
        <x:v>Name corroborated in source</x:v>
      </x:c>
      <x:c r="AI94" s="117" t="str">
        <x:v>https://ebrochures.malaysia.travel/en/malaysia-travel-guide/melaka/</x:v>
      </x:c>
      <x:c r="AJ94" s="117" t="str">
        <x:v>Place name or established alias matched in the cited source. This is not confirmation of current opening, all visitor facilities or the full description.</x:v>
      </x:c>
      <x:c r="AK94" s="117" t="str">
        <x:v>Not independently confirmed</x:v>
      </x:c>
      <x:c r="AL94" s="117" t="str">
        <x:v>Screened sources; accessibility unresolved</x:v>
      </x:c>
      <x:c r="AM94" s="117" t="str">
        <x:v>2026-09-08</x:v>
      </x:c>
      <x:c r="AN94" s="117" t="str">
        <x:v>https://thumb.wikimedia.org/wikipedia/commons/thumb/9/94/Melaka-Porta-de-Santiago-2Cimg2194.jpg/1280px-Melaka-Porta-de-Santiago-2Cimg2194.jpg?utm_source=commons.wikimedia.org&amp;utm_campaign=imageinfo&amp;utm_content=thumbnail</x:v>
      </x:c>
      <x:c r="AO94" s="117" t="str">
        <x:v>https://thumb.wikimedia.org/wikipedia/commons/thumb/3/3b/A_Famosa_Fortress_Melaka_2.jpg/1280px-A_Famosa_Fortress_Melaka_2.jpg?utm_source=commons.wikimedia.org&amp;utm_campaign=imageinfo&amp;utm_content=thumbnail</x:v>
      </x:c>
      <x:c r="AP94" s="117" t="str">
        <x:v>2 metadata-matched images; visual review pending</x:v>
      </x:c>
      <x:c r="AQ94" s="117"/>
    </x:row>
    <x:row r="95" ht="66" customHeight="1">
      <x:c r="A95" s="117" t="str">
        <x:v>MC0092</x:v>
      </x:c>
      <x:c r="B95" s="117" t="str">
        <x:v>The Stadthuys</x:v>
      </x:c>
      <x:c r="C95" s="117" t="str">
        <x:v>Melaka</x:v>
      </x:c>
      <x:c r="D95" s="117" t="str">
        <x:v>Melaka City</x:v>
      </x:c>
      <x:c r="E95" s="117" t="str">
        <x:v>Museum and Gallery</x:v>
      </x:c>
      <x:c r="F95" s="117" t="str">
        <x:v>Unclassified</x:v>
      </x:c>
      <x:c r="G95" s="117" t="str">
        <x:v>Both</x:v>
      </x:c>
      <x:c r="H95" s="117" t="str">
        <x:v>museum; colonial heritage; history; architecture</x:v>
      </x:c>
      <x:c r="I95" s="117" t="str">
        <x:v>A Dutch colonial town hall in Melaka's Red Square, built in the 17th century and considered one of the oldest Dutch buildings in the East.</x:v>
      </x:c>
      <x:c r="J95" s="117" t="str">
        <x:v>https://www.google.com/maps/search/?api=1&amp;query=The%20Stadthuys%2C%20Melaka%2C%20Malaysia</x:v>
      </x:c>
      <x:c r="K95" s="117" t="str">
        <x:v>https://ebrochures.malaysia.travel/en/malaysia-travel-guide/melaka/</x:v>
      </x:c>
      <x:c r="L95" s="117" t="str">
        <x:v>Previous workbook candidate/source lead</x:v>
      </x:c>
      <x:c r="M95" s="117" t="str">
        <x:v>Previous workbook seed</x:v>
      </x:c>
      <x:c r="N95" s="117" t="str">
        <x:v>A058</x:v>
      </x:c>
      <x:c r="O95" s="117" t="str">
        <x:v>2026-08-15 00:00:00</x:v>
      </x:c>
      <x:c r="P95" s="117" t="str">
        <x:v>Complete</x:v>
      </x:c>
      <x:c r="Q95" s="117"/>
      <x:c r="R95" s="117" t="str">
        <x:f t="shared" si="1">IF(J95="","Missing Link",IF(AND(ISNUMBER(SEARCH("google.com/maps",J95)),ISERROR(SEARCH(";",J95))),"Discovery Link Only","Source Link Present"))</x:f>
        <x:v>Discovery Link Only</x:v>
      </x:c>
      <x:c r="S95" s="117" t="str">
        <x:v>Unknown</x:v>
      </x:c>
      <x:c r="T95" s="117" t="str">
        <x:v>Unknown</x:v>
      </x:c>
      <x:c r="U95" s="117" t="str">
        <x:v>Unknown</x:v>
      </x:c>
      <x:c r="V95" s="117" t="str">
        <x:v>Unknown</x:v>
      </x:c>
      <x:c r="W95" s="117" t="str">
        <x:v>Unknown</x:v>
      </x:c>
      <x:c r="X95" s="117" t="str">
        <x:v>Unknown</x:v>
      </x:c>
      <x:c r="Y95" s="117" t="str">
        <x:v>Unknown</x:v>
      </x:c>
      <x:c r="Z95" s="117"/>
      <x:c r="AA95" s="117" t="str">
        <x:v>Pending evidence</x:v>
      </x:c>
      <x:c r="AB95" s="117"/>
      <x:c r="AC95" s="117" t="str">
        <x:v>No qualifying accessibility conclusion established from the screened sources. This is unknown, not evidence that the attraction is inaccessible.</x:v>
      </x:c>
      <x:c r="AD95" s="117" t="str">
        <x:v>2026-09-08</x:v>
      </x:c>
      <x:c r="AE95" s="117" t="str">
        <x:v>MC0092</x:v>
      </x:c>
      <x:c r="AF95" s="117" t="str">
        <x:v>Distinct candidate</x:v>
      </x:c>
      <x:c r="AG95" s="117" t="str"/>
      <x:c r="AH95" s="117" t="str">
        <x:v>Name corroborated in source</x:v>
      </x:c>
      <x:c r="AI95" s="117" t="str">
        <x:v>https://ebrochures.malaysia.travel/en/malaysia-travel-guide/melaka/</x:v>
      </x:c>
      <x:c r="AJ95" s="117" t="str">
        <x:v>Place name or established alias matched in the cited source. This is not confirmation of current opening, all visitor facilities or the full description.</x:v>
      </x:c>
      <x:c r="AK95" s="117" t="str">
        <x:v>Not independently confirmed</x:v>
      </x:c>
      <x:c r="AL95" s="117" t="str">
        <x:v>Screened sources; accessibility unresolved</x:v>
      </x:c>
      <x:c r="AM95" s="117" t="str">
        <x:v>2026-09-08</x:v>
      </x:c>
      <x:c r="AN95" s="117"/>
      <x:c r="AO95" s="117"/>
      <x:c r="AP95" s="117" t="str">
        <x:v>No usable pair located; image research pending</x:v>
      </x:c>
      <x:c r="AQ95" s="117"/>
    </x:row>
    <x:row r="96" ht="66" customHeight="1">
      <x:c r="A96" s="117" t="str">
        <x:v>MC0093</x:v>
      </x:c>
      <x:c r="B96" s="117" t="str">
        <x:v>Jonker Walk</x:v>
      </x:c>
      <x:c r="C96" s="117" t="str">
        <x:v>Melaka</x:v>
      </x:c>
      <x:c r="D96" s="117" t="str">
        <x:v>Melaka City</x:v>
      </x:c>
      <x:c r="E96" s="117" t="str">
        <x:v>Shopping</x:v>
      </x:c>
      <x:c r="F96" s="117" t="str">
        <x:v>Local</x:v>
      </x:c>
      <x:c r="G96" s="117" t="str">
        <x:v>Outdoor</x:v>
      </x:c>
      <x:c r="H96" s="117" t="str">
        <x:v>night market; shopping; local food; heritage; culture</x:v>
      </x:c>
      <x:c r="I96" s="117" t="str">
        <x:v>Melaka's historic Chinatown street, famous for antique shops, cafes and a lively weekend night market.</x:v>
      </x:c>
      <x:c r="J96" s="117" t="str">
        <x:v>https://www.google.com/maps/search/?api=1&amp;query=Jonker%20Walk%2C%20Melaka%2C%20Malaysia</x:v>
      </x:c>
      <x:c r="K96" s="117" t="str">
        <x:v>https://ebrochures.malaysia.travel/en/malaysia-travel-guide/melaka/</x:v>
      </x:c>
      <x:c r="L96" s="117" t="str">
        <x:v>Previous workbook candidate/source lead</x:v>
      </x:c>
      <x:c r="M96" s="117" t="str">
        <x:v>Previous workbook seed</x:v>
      </x:c>
      <x:c r="N96" s="117" t="str">
        <x:v>A059</x:v>
      </x:c>
      <x:c r="O96" s="117" t="str">
        <x:v>2026-08-15 00:00:00</x:v>
      </x:c>
      <x:c r="P96" s="117" t="str">
        <x:v>Complete</x:v>
      </x:c>
      <x:c r="Q96" s="117"/>
      <x:c r="R96" s="117" t="str">
        <x:f t="shared" si="1">IF(J96="","Missing Link",IF(AND(ISNUMBER(SEARCH("google.com/maps",J96)),ISERROR(SEARCH(";",J96))),"Discovery Link Only","Source Link Present"))</x:f>
        <x:v>Discovery Link Only</x:v>
      </x:c>
      <x:c r="S96" s="117" t="str">
        <x:v>Unknown</x:v>
      </x:c>
      <x:c r="T96" s="117" t="str">
        <x:v>Unknown</x:v>
      </x:c>
      <x:c r="U96" s="117" t="str">
        <x:v>Unknown</x:v>
      </x:c>
      <x:c r="V96" s="117" t="str">
        <x:v>Unknown</x:v>
      </x:c>
      <x:c r="W96" s="117" t="str">
        <x:v>Unknown</x:v>
      </x:c>
      <x:c r="X96" s="117" t="str">
        <x:v>Unknown</x:v>
      </x:c>
      <x:c r="Y96" s="117" t="str">
        <x:v>Unknown</x:v>
      </x:c>
      <x:c r="Z96" s="117"/>
      <x:c r="AA96" s="117" t="str">
        <x:v>Pending evidence</x:v>
      </x:c>
      <x:c r="AB96" s="117"/>
      <x:c r="AC96" s="117" t="str">
        <x:v>No qualifying accessibility conclusion established from the screened sources. This is unknown, not evidence that the attraction is inaccessible.</x:v>
      </x:c>
      <x:c r="AD96" s="117" t="str">
        <x:v>2026-09-08</x:v>
      </x:c>
      <x:c r="AE96" s="117" t="str">
        <x:v>MC0093</x:v>
      </x:c>
      <x:c r="AF96" s="117" t="str">
        <x:v>Distinct candidate</x:v>
      </x:c>
      <x:c r="AG96" s="117" t="str"/>
      <x:c r="AH96" s="117" t="str">
        <x:v>Name corroborated in source</x:v>
      </x:c>
      <x:c r="AI96" s="117" t="str">
        <x:v>https://ebrochures.malaysia.travel/en/malaysia-travel-guide/melaka/</x:v>
      </x:c>
      <x:c r="AJ96" s="117" t="str">
        <x:v>Place name or established alias matched in the cited source. This is not confirmation of current opening, all visitor facilities or the full description.</x:v>
      </x:c>
      <x:c r="AK96" s="117" t="str">
        <x:v>Not independently confirmed</x:v>
      </x:c>
      <x:c r="AL96" s="117" t="str">
        <x:v>Screened sources; accessibility unresolved</x:v>
      </x:c>
      <x:c r="AM96" s="117" t="str">
        <x:v>2026-09-08</x:v>
      </x:c>
      <x:c r="AN96" s="117" t="str">
        <x:v>https://thumb.wikimedia.org/wikipedia/commons/thumb/c/cd/Jonker_Walk_April_2022.jpg/1280px-Jonker_Walk_April_2022.jpg?utm_source=commons.wikimedia.org&amp;utm_campaign=imageinfo&amp;utm_content=thumbnail</x:v>
      </x:c>
      <x:c r="AO96" s="117" t="str">
        <x:v>https://thumb.wikimedia.org/wikipedia/commons/thumb/c/c0/Jonker_Street_Night_Market_in_Melaka%2C_Malaysia.jpg/1280px-Jonker_Street_Night_Market_in_Melaka%2C_Malaysia.jpg?utm_source=commons.wikimedia.org&amp;utm_campaign=imageinfo&amp;utm_content=thumbnail</x:v>
      </x:c>
      <x:c r="AP96" s="117" t="str">
        <x:v>2 metadata-matched images; visual review pending</x:v>
      </x:c>
      <x:c r="AQ96" s="117"/>
    </x:row>
    <x:row r="97" ht="66" customHeight="1">
      <x:c r="A97" s="117" t="str">
        <x:v>MC0094</x:v>
      </x:c>
      <x:c r="B97" s="117" t="str">
        <x:v>Melaka River Cruise</x:v>
      </x:c>
      <x:c r="C97" s="117" t="str">
        <x:v>Melaka</x:v>
      </x:c>
      <x:c r="D97" s="117" t="str">
        <x:v>Melaka City</x:v>
      </x:c>
      <x:c r="E97" s="117" t="str">
        <x:v>Urban Attraction</x:v>
      </x:c>
      <x:c r="F97" s="117" t="str">
        <x:v>Unclassified</x:v>
      </x:c>
      <x:c r="G97" s="117" t="str">
        <x:v>Outdoor</x:v>
      </x:c>
      <x:c r="H97" s="117" t="str">
        <x:v>river cruise; sightseeing; relaxation; heritage; night activity</x:v>
      </x:c>
      <x:c r="I97" s="117" t="str">
        <x:v>A scenic boat tour along the Melaka River, passing riverside murals, old warehouses and heritage bridges.</x:v>
      </x:c>
      <x:c r="J97" s="117" t="str">
        <x:v>https://www.google.com/maps/search/?api=1&amp;query=Melaka%20River%20Cruise%2C%20Melaka%2C%20Malaysia</x:v>
      </x:c>
      <x:c r="K97" s="117" t="str">
        <x:v>https://ebrochures.malaysia.travel/en/malaysia-travel-guide/melaka/</x:v>
      </x:c>
      <x:c r="L97" s="117" t="str">
        <x:v>Previous workbook candidate/source lead</x:v>
      </x:c>
      <x:c r="M97" s="117" t="str">
        <x:v>Previous workbook seed</x:v>
      </x:c>
      <x:c r="N97" s="117" t="str">
        <x:v>A060</x:v>
      </x:c>
      <x:c r="O97" s="117" t="str">
        <x:v>2026-08-15 00:00:00</x:v>
      </x:c>
      <x:c r="P97" s="117" t="str">
        <x:v>Complete</x:v>
      </x:c>
      <x:c r="Q97" s="117"/>
      <x:c r="R97" s="117" t="str">
        <x:f t="shared" si="1">IF(J97="","Missing Link",IF(AND(ISNUMBER(SEARCH("google.com/maps",J97)),ISERROR(SEARCH(";",J97))),"Discovery Link Only","Source Link Present"))</x:f>
        <x:v>Discovery Link Only</x:v>
      </x:c>
      <x:c r="S97" s="117" t="str">
        <x:v>Unknown</x:v>
      </x:c>
      <x:c r="T97" s="117" t="str">
        <x:v>Unknown</x:v>
      </x:c>
      <x:c r="U97" s="117" t="str">
        <x:v>Unknown</x:v>
      </x:c>
      <x:c r="V97" s="117" t="str">
        <x:v>Unknown</x:v>
      </x:c>
      <x:c r="W97" s="117" t="str">
        <x:v>Unknown</x:v>
      </x:c>
      <x:c r="X97" s="117" t="str">
        <x:v>Unknown</x:v>
      </x:c>
      <x:c r="Y97" s="117" t="str">
        <x:v>Unknown</x:v>
      </x:c>
      <x:c r="Z97" s="117"/>
      <x:c r="AA97" s="117" t="str">
        <x:v>Pending evidence</x:v>
      </x:c>
      <x:c r="AB97" s="117"/>
      <x:c r="AC97" s="117" t="str">
        <x:v>No qualifying accessibility conclusion established from the screened sources. This is unknown, not evidence that the attraction is inaccessible.</x:v>
      </x:c>
      <x:c r="AD97" s="117" t="str">
        <x:v>2026-09-08</x:v>
      </x:c>
      <x:c r="AE97" s="117" t="str">
        <x:v>MC0094</x:v>
      </x:c>
      <x:c r="AF97" s="117" t="str">
        <x:v>Distinct candidate</x:v>
      </x:c>
      <x:c r="AG97" s="117" t="str"/>
      <x:c r="AH97" s="117" t="str">
        <x:v>Name corroborated in source</x:v>
      </x:c>
      <x:c r="AI97" s="117" t="str">
        <x:v>https://ebrochures.malaysia.travel/en/malaysia-travel-guide/melaka/</x:v>
      </x:c>
      <x:c r="AJ97" s="117" t="str">
        <x:v>Place name or established alias matched in the cited source. This is not confirmation of current opening, all visitor facilities or the full description.</x:v>
      </x:c>
      <x:c r="AK97" s="117" t="str">
        <x:v>Not independently confirmed</x:v>
      </x:c>
      <x:c r="AL97" s="117" t="str">
        <x:v>Screened sources; accessibility unresolved</x:v>
      </x:c>
      <x:c r="AM97" s="117" t="str">
        <x:v>2026-09-08</x:v>
      </x:c>
      <x:c r="AN97" s="117"/>
      <x:c r="AO97" s="117"/>
      <x:c r="AP97" s="117" t="str">
        <x:v>No usable pair located; image research pending</x:v>
      </x:c>
      <x:c r="AQ97" s="117"/>
    </x:row>
    <x:row r="98" ht="66" customHeight="1">
      <x:c r="A98" s="117" t="str">
        <x:v>MC0095</x:v>
      </x:c>
      <x:c r="B98" s="117" t="str">
        <x:v>Melaka Sultanate Palace Museum</x:v>
      </x:c>
      <x:c r="C98" s="117" t="str">
        <x:v>Melaka</x:v>
      </x:c>
      <x:c r="D98" s="117" t="str">
        <x:v>Melaka City</x:v>
      </x:c>
      <x:c r="E98" s="117" t="str">
        <x:v>Museum and Gallery</x:v>
      </x:c>
      <x:c r="F98" s="117" t="str">
        <x:v>Unclassified</x:v>
      </x:c>
      <x:c r="G98" s="117" t="str">
        <x:v>Both</x:v>
      </x:c>
      <x:c r="H98" s="117" t="str">
        <x:v>museum; Malay history; culture; heritage</x:v>
      </x:c>
      <x:c r="I98" s="117" t="str">
        <x:v>A reconstruction of the 15th-century Melaka Sultanate's wooden palace, now a museum on Malay royal history.</x:v>
      </x:c>
      <x:c r="J98" s="117" t="str">
        <x:v>https://www.google.com/maps/search/?api=1&amp;query=Melaka%20Sultanate%20Palace%20Museum%2C%20Melaka%2C%20Malaysia</x:v>
      </x:c>
      <x:c r="K98" s="117" t="str">
        <x:v>https://ebrochures.malaysia.travel/en/malaysia-travel-guide/melaka/</x:v>
      </x:c>
      <x:c r="L98" s="117" t="str">
        <x:v>Previous workbook candidate/source lead</x:v>
      </x:c>
      <x:c r="M98" s="117" t="str">
        <x:v>Previous workbook seed</x:v>
      </x:c>
      <x:c r="N98" s="117" t="str">
        <x:v>A061</x:v>
      </x:c>
      <x:c r="O98" s="117" t="str">
        <x:v>2026-08-15 00:00:00</x:v>
      </x:c>
      <x:c r="P98" s="117" t="str">
        <x:v>Complete</x:v>
      </x:c>
      <x:c r="Q98" s="117" t="str">
        <x:v>Identity and Malaysian location verified in second-pass review on 2026-09-08.</x:v>
      </x:c>
      <x:c r="R98" s="117" t="str">
        <x:f t="shared" si="1">IF(J98="","Missing Link",IF(AND(ISNUMBER(SEARCH("google.com/maps",J98)),ISERROR(SEARCH(";",J98))),"Discovery Link Only","Source Link Present"))</x:f>
        <x:v>Discovery Link Only</x:v>
      </x:c>
      <x:c r="S98" s="117" t="str">
        <x:v>Unknown</x:v>
      </x:c>
      <x:c r="T98" s="117" t="str">
        <x:v>Unknown</x:v>
      </x:c>
      <x:c r="U98" s="117" t="str">
        <x:v>Unknown</x:v>
      </x:c>
      <x:c r="V98" s="117" t="str">
        <x:v>Unknown</x:v>
      </x:c>
      <x:c r="W98" s="117" t="str">
        <x:v>Unknown</x:v>
      </x:c>
      <x:c r="X98" s="117" t="str">
        <x:v>Unknown</x:v>
      </x:c>
      <x:c r="Y98" s="117" t="str">
        <x:v>Unknown</x:v>
      </x:c>
      <x:c r="Z98" s="117"/>
      <x:c r="AA98" s="117" t="str">
        <x:v>Pending evidence</x:v>
      </x:c>
      <x:c r="AB98" s="117"/>
      <x:c r="AC98" s="117" t="str">
        <x:v>No qualifying accessibility conclusion established from the screened sources. This is unknown, not evidence that the attraction is inaccessible.</x:v>
      </x:c>
      <x:c r="AD98" s="117" t="str">
        <x:v>2026-09-08</x:v>
      </x:c>
      <x:c r="AE98" s="117" t="str">
        <x:v>MC0095</x:v>
      </x:c>
      <x:c r="AF98" s="117" t="str">
        <x:v>Distinct candidate</x:v>
      </x:c>
      <x:c r="AG98" s="117" t="str"/>
      <x:c r="AH98" s="117" t="str">
        <x:v>Identity and location corroborated</x:v>
      </x:c>
      <x:c r="AI98" s="117" t="str">
        <x:v>https://en.wikipedia.org/wiki/Malacca_Sultanate_Palace_Museum</x:v>
      </x:c>
      <x:c r="AJ98" s="117" t="str">
        <x:v>Encyclopedic source matches the attraction name or established alias and the stated Malaysian location. This verifies identity/location only; confirm current opening and accessibility separately.</x:v>
      </x:c>
      <x:c r="AK98" s="117" t="str">
        <x:v>Not independently confirmed</x:v>
      </x:c>
      <x:c r="AL98" s="117" t="str">
        <x:v>Screened sources; accessibility unresolved</x:v>
      </x:c>
      <x:c r="AM98" s="117" t="str">
        <x:v>2026-09-08</x:v>
      </x:c>
      <x:c r="AN98" s="117" t="str">
        <x:v>https://upload.wikimedia.org/wikipedia/commons/f/f3/Lakaran_Hang_Lekir.jpg?utm_source=commons.wikimedia.org&amp;utm_campaign=imageinfo&amp;utm_content=thumbnail_unscaled</x:v>
      </x:c>
      <x:c r="AO98" s="117"/>
      <x:c r="AP98" s="117" t="str">
        <x:v>1 metadata-matched images; visual review pending</x:v>
      </x:c>
      <x:c r="AQ98" s="117"/>
    </x:row>
    <x:row r="99" ht="66" customHeight="1">
      <x:c r="A99" s="117" t="str">
        <x:v>MC0096</x:v>
      </x:c>
      <x:c r="B99" s="117" t="str">
        <x:v>Baba and Nyonya Heritage Museum</x:v>
      </x:c>
      <x:c r="C99" s="117" t="str">
        <x:v>Melaka</x:v>
      </x:c>
      <x:c r="D99" s="117" t="str">
        <x:v>Melaka City</x:v>
      </x:c>
      <x:c r="E99" s="117" t="str">
        <x:v>Museum and Gallery</x:v>
      </x:c>
      <x:c r="F99" s="117" t="str">
        <x:v>Unclassified</x:v>
      </x:c>
      <x:c r="G99" s="117" t="str">
        <x:v>Indoor</x:v>
      </x:c>
      <x:c r="H99" s="117" t="str">
        <x:v>Peranakan culture; museum; heritage; history</x:v>
      </x:c>
      <x:c r="I99" s="117" t="str">
        <x:v>A preserved Peranakan townhouse museum in Melaka showcasing Baba-Nyonya (Straits Chinese) heritage, furnishings and lifestyle.</x:v>
      </x:c>
      <x:c r="J99" s="117" t="str">
        <x:v>https://www.google.com/maps/search/?api=1&amp;query=Baba%20and%20Nyonya%20Heritage%20Museum%2C%20Melaka%2C%20Malaysia</x:v>
      </x:c>
      <x:c r="K99" s="117" t="str">
        <x:v>https://ebrochures.malaysia.travel/en/malaysia-travel-guide/melaka/</x:v>
      </x:c>
      <x:c r="L99" s="117" t="str">
        <x:v>Previous workbook candidate/source lead</x:v>
      </x:c>
      <x:c r="M99" s="117" t="str">
        <x:v>Previous workbook seed</x:v>
      </x:c>
      <x:c r="N99" s="117" t="str">
        <x:v>A062</x:v>
      </x:c>
      <x:c r="O99" s="117" t="str">
        <x:v>2026-08-15 00:00:00</x:v>
      </x:c>
      <x:c r="P99" s="117" t="str">
        <x:v>Complete</x:v>
      </x:c>
      <x:c r="Q99" s="117"/>
      <x:c r="R99" s="117" t="str">
        <x:f t="shared" si="1">IF(J99="","Missing Link",IF(AND(ISNUMBER(SEARCH("google.com/maps",J99)),ISERROR(SEARCH(";",J99))),"Discovery Link Only","Source Link Present"))</x:f>
        <x:v>Discovery Link Only</x:v>
      </x:c>
      <x:c r="S99" s="117" t="str">
        <x:v>Unknown</x:v>
      </x:c>
      <x:c r="T99" s="117" t="str">
        <x:v>Unknown</x:v>
      </x:c>
      <x:c r="U99" s="117" t="str">
        <x:v>Unknown</x:v>
      </x:c>
      <x:c r="V99" s="117" t="str">
        <x:v>Unknown</x:v>
      </x:c>
      <x:c r="W99" s="117" t="str">
        <x:v>Unknown</x:v>
      </x:c>
      <x:c r="X99" s="117" t="str">
        <x:v>Unknown</x:v>
      </x:c>
      <x:c r="Y99" s="117" t="str">
        <x:v>Unknown</x:v>
      </x:c>
      <x:c r="Z99" s="117"/>
      <x:c r="AA99" s="117" t="str">
        <x:v>Pending evidence</x:v>
      </x:c>
      <x:c r="AB99" s="117"/>
      <x:c r="AC99" s="117" t="str">
        <x:v>No qualifying accessibility conclusion established from the screened sources. This is unknown, not evidence that the attraction is inaccessible.</x:v>
      </x:c>
      <x:c r="AD99" s="117" t="str">
        <x:v>2026-09-08</x:v>
      </x:c>
      <x:c r="AE99" s="117" t="str">
        <x:v>MC0096</x:v>
      </x:c>
      <x:c r="AF99" s="117" t="str">
        <x:v>Distinct candidate</x:v>
      </x:c>
      <x:c r="AG99" s="117" t="str"/>
      <x:c r="AH99" s="117" t="str">
        <x:v>Name corroborated in source</x:v>
      </x:c>
      <x:c r="AI99" s="117" t="str">
        <x:v>https://ebrochures.malaysia.travel/en/malaysia-travel-guide/melaka/</x:v>
      </x:c>
      <x:c r="AJ99" s="117" t="str">
        <x:v>Place name or established alias matched in the cited source. This is not confirmation of current opening, all visitor facilities or the full description.</x:v>
      </x:c>
      <x:c r="AK99" s="117" t="str">
        <x:v>Not independently confirmed</x:v>
      </x:c>
      <x:c r="AL99" s="117" t="str">
        <x:v>Screened sources; accessibility unresolved</x:v>
      </x:c>
      <x:c r="AM99" s="117" t="str">
        <x:v>2026-09-08</x:v>
      </x:c>
      <x:c r="AN99" s="117"/>
      <x:c r="AO99" s="117"/>
      <x:c r="AP99" s="117" t="str">
        <x:v>No usable pair located; image research pending</x:v>
      </x:c>
      <x:c r="AQ99" s="117"/>
    </x:row>
    <x:row r="100" ht="66" customHeight="1">
      <x:c r="A100" s="117" t="str">
        <x:v>MC0097</x:v>
      </x:c>
      <x:c r="B100" s="117" t="str">
        <x:v>Cheng Hoon Teng Temple</x:v>
      </x:c>
      <x:c r="C100" s="117" t="str">
        <x:v>Melaka</x:v>
      </x:c>
      <x:c r="D100" s="117" t="str">
        <x:v>Melaka City</x:v>
      </x:c>
      <x:c r="E100" s="117" t="str">
        <x:v>Religious Site</x:v>
      </x:c>
      <x:c r="F100" s="117" t="str">
        <x:v>Unclassified</x:v>
      </x:c>
      <x:c r="G100" s="117" t="str">
        <x:v>Both</x:v>
      </x:c>
      <x:c r="H100" s="117" t="str">
        <x:v>temple; culture; heritage; architecture</x:v>
      </x:c>
      <x:c r="I100" s="117" t="str">
        <x:v>Malaysia's oldest functioning Chinese temple, built in Melaka in 1645 in traditional southern Chinese architectural style.</x:v>
      </x:c>
      <x:c r="J100" s="117" t="str">
        <x:v>https://www.google.com/maps/search/?api=1&amp;query=Cheng%20Hoon%20Teng%20Temple%2C%20Melaka%2C%20Malaysia</x:v>
      </x:c>
      <x:c r="K100" s="117" t="str">
        <x:v>https://ebrochures.malaysia.travel/en/malaysia-travel-guide/melaka/</x:v>
      </x:c>
      <x:c r="L100" s="117" t="str">
        <x:v>Previous workbook candidate/source lead</x:v>
      </x:c>
      <x:c r="M100" s="117" t="str">
        <x:v>Previous workbook seed</x:v>
      </x:c>
      <x:c r="N100" s="117" t="str">
        <x:v>A063</x:v>
      </x:c>
      <x:c r="O100" s="117" t="str">
        <x:v>2026-08-15 00:00:00</x:v>
      </x:c>
      <x:c r="P100" s="117" t="str">
        <x:v>Complete</x:v>
      </x:c>
      <x:c r="Q100" s="117" t="str">
        <x:v>Identity and Malaysian location verified in second-pass review on 2026-09-08.</x:v>
      </x:c>
      <x:c r="R100" s="117" t="str">
        <x:f t="shared" si="1">IF(J100="","Missing Link",IF(AND(ISNUMBER(SEARCH("google.com/maps",J100)),ISERROR(SEARCH(";",J100))),"Discovery Link Only","Source Link Present"))</x:f>
        <x:v>Discovery Link Only</x:v>
      </x:c>
      <x:c r="S100" s="117" t="str">
        <x:v>Unknown</x:v>
      </x:c>
      <x:c r="T100" s="117" t="str">
        <x:v>Unknown</x:v>
      </x:c>
      <x:c r="U100" s="117" t="str">
        <x:v>Unknown</x:v>
      </x:c>
      <x:c r="V100" s="117" t="str">
        <x:v>Unknown</x:v>
      </x:c>
      <x:c r="W100" s="117" t="str">
        <x:v>Unknown</x:v>
      </x:c>
      <x:c r="X100" s="117" t="str">
        <x:v>Unknown</x:v>
      </x:c>
      <x:c r="Y100" s="117" t="str">
        <x:v>Unknown</x:v>
      </x:c>
      <x:c r="Z100" s="117"/>
      <x:c r="AA100" s="117" t="str">
        <x:v>Pending evidence</x:v>
      </x:c>
      <x:c r="AB100" s="117"/>
      <x:c r="AC100" s="117" t="str">
        <x:v>No qualifying accessibility conclusion established from the screened sources. This is unknown, not evidence that the attraction is inaccessible.</x:v>
      </x:c>
      <x:c r="AD100" s="117" t="str">
        <x:v>2026-09-08</x:v>
      </x:c>
      <x:c r="AE100" s="117" t="str">
        <x:v>MC0097</x:v>
      </x:c>
      <x:c r="AF100" s="117" t="str">
        <x:v>Distinct candidate</x:v>
      </x:c>
      <x:c r="AG100" s="117" t="str"/>
      <x:c r="AH100" s="117" t="str">
        <x:v>Identity and location corroborated</x:v>
      </x:c>
      <x:c r="AI100" s="117" t="str">
        <x:v>https://www.chenghoonteng.org.my/</x:v>
      </x:c>
      <x:c r="AJ100" s="117" t="str">
        <x:v>Venue/operator source matches the attraction name or established alias and the stated Malaysian location. This verifies identity/location only; confirm current opening and accessibility separately.</x:v>
      </x:c>
      <x:c r="AK100" s="117" t="str">
        <x:v>Not independently confirmed</x:v>
      </x:c>
      <x:c r="AL100" s="117" t="str">
        <x:v>Screened sources; accessibility unresolved</x:v>
      </x:c>
      <x:c r="AM100" s="117" t="str">
        <x:v>2026-09-08</x:v>
      </x:c>
      <x:c r="AN100" s="117" t="str">
        <x:v>https://upload.wikimedia.org/wikipedia/commons/2/24/ChengHoonTeng.jpg?utm_source=commons.wikimedia.org&amp;utm_campaign=imageinfo&amp;utm_content=thumbnail_unscaled</x:v>
      </x:c>
      <x:c r="AO100" s="117" t="str">
        <x:v>https://thumb.wikimedia.org/wikipedia/commons/thumb/5/50/Cheng_Hoon_Teng_Temple_Melaka_3.jpg/1280px-Cheng_Hoon_Teng_Temple_Melaka_3.jpg?utm_source=commons.wikimedia.org&amp;utm_campaign=imageinfo&amp;utm_content=thumbnail</x:v>
      </x:c>
      <x:c r="AP100" s="117" t="str">
        <x:v>2 metadata-matched images; visual review pending</x:v>
      </x:c>
      <x:c r="AQ100" s="117"/>
    </x:row>
    <x:row r="101" ht="66" customHeight="1">
      <x:c r="A101" s="117" t="str">
        <x:v>MC0098</x:v>
      </x:c>
      <x:c r="B101" s="117" t="str">
        <x:v>Melaka Botanical Garden</x:v>
      </x:c>
      <x:c r="C101" s="117" t="str">
        <x:v>Melaka</x:v>
      </x:c>
      <x:c r="D101" s="117" t="str">
        <x:v>Ayer Keroh</x:v>
      </x:c>
      <x:c r="E101" s="117" t="str">
        <x:v>Park and Recreation</x:v>
      </x:c>
      <x:c r="F101" s="117" t="str">
        <x:v>Unclassified</x:v>
      </x:c>
      <x:c r="G101" s="117" t="str">
        <x:v>Outdoor</x:v>
      </x:c>
      <x:c r="H101" s="117" t="str">
        <x:v>garden; nature; walking; relaxation; family</x:v>
      </x:c>
      <x:c r="I101" s="117" t="str">
        <x:v>A botanical park in Ayer Keroh, Melaka, with landscaped gardens and recreational facilities.</x:v>
      </x:c>
      <x:c r="J101" s="117" t="str">
        <x:v>https://www.google.com/maps/search/?api=1&amp;query=Melaka%20Botanical%20Garden%2C%20Melaka%2C%20Malaysia</x:v>
      </x:c>
      <x:c r="K101" s="117" t="str">
        <x:v>https://ebrochures.malaysia.travel/en/malaysia-travel-guide/melaka/</x:v>
      </x:c>
      <x:c r="L101" s="117" t="str">
        <x:v>Previous workbook candidate/source lead</x:v>
      </x:c>
      <x:c r="M101" s="117" t="str">
        <x:v>Previous workbook seed</x:v>
      </x:c>
      <x:c r="N101" s="117" t="str">
        <x:v>A064</x:v>
      </x:c>
      <x:c r="O101" s="117" t="str">
        <x:v>2026-08-15 00:00:00</x:v>
      </x:c>
      <x:c r="P101" s="117" t="str">
        <x:v>Complete</x:v>
      </x:c>
      <x:c r="Q101" s="117" t="str">
        <x:v>Identity and Malaysian location verified in second-pass review on 2026-09-08.</x:v>
      </x:c>
      <x:c r="R101" s="117" t="str">
        <x:f t="shared" si="1">IF(J101="","Missing Link",IF(AND(ISNUMBER(SEARCH("google.com/maps",J101)),ISERROR(SEARCH(";",J101))),"Discovery Link Only","Source Link Present"))</x:f>
        <x:v>Discovery Link Only</x:v>
      </x:c>
      <x:c r="S101" s="117" t="str">
        <x:v>Not measured</x:v>
      </x:c>
      <x:c r="T101" s="117" t="str">
        <x:v>Reported; route unconfirmed</x:v>
      </x:c>
      <x:c r="U101" s="117" t="str">
        <x:v>Unknown</x:v>
      </x:c>
      <x:c r="V101" s="117" t="str">
        <x:v>Toilets reported; accessibility unknown</x:v>
      </x:c>
      <x:c r="W101" s="117" t="str">
        <x:v>Available</x:v>
      </x:c>
      <x:c r="X101" s="117" t="str">
        <x:v>Shaded trails</x:v>
      </x:c>
      <x:c r="Y101" s="117" t="str">
        <x:v>Conditional on mobility and route</x:v>
      </x:c>
      <x:c r="Z101" s="117" t="str">
        <x:v>A family-access directory reports wheelchair access and parking. The garden is extensive; confirm the exact surfaced route, buggy availability and accessible toilet.</x:v>
      </x:c>
      <x:c r="AA101" s="117" t="str">
        <x:v>Reported support - confirm</x:v>
      </x:c>
      <x:c r="AB101" s="117" t="str">
        <x:v>https://www.familyaction.my/activity/melaka-botanical-garden-ayer-keroh</x:v>
      </x:c>
      <x:c r="AC101" s="117" t="str">
        <x:v>Selected garden paths; full route unconfirmed</x:v>
      </x:c>
      <x:c r="AD101" s="117" t="str">
        <x:v>2026-09-08</x:v>
      </x:c>
      <x:c r="AE101" s="117" t="str">
        <x:v>MC0098</x:v>
      </x:c>
      <x:c r="AF101" s="117" t="str">
        <x:v>Distinct candidate</x:v>
      </x:c>
      <x:c r="AG101" s="117" t="str"/>
      <x:c r="AH101" s="117" t="str">
        <x:v>Identity and location corroborated</x:v>
      </x:c>
      <x:c r="AI101" s="117" t="str">
        <x:v>https://en.wikipedia.org/wiki/Malacca_Botanical_Garden</x:v>
      </x:c>
      <x:c r="AJ101" s="117" t="str">
        <x:v>Encyclopedic source matches the attraction name or established alias and the stated Malaysian location. This verifies identity/location only; confirm current opening and accessibility separately.</x:v>
      </x:c>
      <x:c r="AK101" s="117" t="str">
        <x:v>Not independently confirmed</x:v>
      </x:c>
      <x:c r="AL101" s="117" t="str">
        <x:v>Secondary source - specific features only</x:v>
      </x:c>
      <x:c r="AM101" s="117" t="str">
        <x:v>2026-09-08</x:v>
      </x:c>
      <x:c r="AN101" s="117" t="str">
        <x:v>https://thumb.wikimedia.org/wikipedia/commons/thumb/2/26/Melaka_Botanical_Garden_main_entrance.jpg/1280px-Melaka_Botanical_Garden_main_entrance.jpg?utm_source=commons.wikimedia.org&amp;utm_campaign=imageinfo&amp;utm_content=thumbnail</x:v>
      </x:c>
      <x:c r="AO101" s="117" t="str">
        <x:v>https://thumb.wikimedia.org/wikipedia/commons/thumb/6/6b/Melaka_Botanical_Garden.jpg/1280px-Melaka_Botanical_Garden.jpg?utm_source=commons.wikimedia.org&amp;utm_campaign=imageinfo&amp;utm_content=thumbnail</x:v>
      </x:c>
      <x:c r="AP101" s="117" t="str">
        <x:v>2 metadata-matched images; visual review pending</x:v>
      </x:c>
      <x:c r="AQ101" s="117"/>
    </x:row>
    <x:row r="102" ht="66" customHeight="1">
      <x:c r="A102" s="117" t="str">
        <x:v>MC0099</x:v>
      </x:c>
      <x:c r="B102" s="117" t="str">
        <x:v>Stadthuys</x:v>
      </x:c>
      <x:c r="C102" s="117" t="str">
        <x:v>Melaka</x:v>
      </x:c>
      <x:c r="D102" s="117" t="str">
        <x:v>Melaka Tengah</x:v>
      </x:c>
      <x:c r="E102" s="117" t="str">
        <x:v>Heritage and History</x:v>
      </x:c>
      <x:c r="F102" s="117" t="str">
        <x:v>Popular</x:v>
      </x:c>
      <x:c r="G102" s="117" t="str">
        <x:v>Both</x:v>
      </x:c>
      <x:c r="H102" s="117" t="str">
        <x:v>Dutch heritage; museum; architecture</x:v>
      </x:c>
      <x:c r="I102" s="117" t="str">
        <x:v>A Dutch colonial town hall in Melaka's Red Square, one of the oldest Dutch buildings in the East, built in the 17th century.</x:v>
      </x:c>
      <x:c r="J102" s="117" t="str">
        <x:v>https://www.google.com/maps/search/?api=1&amp;query=Stadthuys%2C%20Melaka%2C%20Malaysia</x:v>
      </x:c>
      <x:c r="K102" s="117" t="str">
        <x:v>https://ebrochures.malaysia.travel/en/malaysia-travel-guide/melaka/</x:v>
      </x:c>
      <x:c r="L102" s="117" t="str">
        <x:v>Tourism Malaysia state guide plus map discovery link</x:v>
      </x:c>
      <x:c r="M102" s="117" t="str">
        <x:v>Melaka expansion batch</x:v>
      </x:c>
      <x:c r="N102" s="117"/>
      <x:c r="O102" s="117" t="str">
        <x:v>2026-08-15 00:00:00</x:v>
      </x:c>
      <x:c r="P102" s="117" t="str">
        <x:v>Complete</x:v>
      </x:c>
      <x:c r="Q102" s="117" t="str">
        <x:v>Duplicate alias: use MC0092</x:v>
      </x:c>
      <x:c r="R102" s="117" t="str">
        <x:f t="shared" si="1">IF(J102="","Missing Link",IF(AND(ISNUMBER(SEARCH("google.com/maps",J102)),ISERROR(SEARCH(";",J102))),"Discovery Link Only","Source Link Present"))</x:f>
        <x:v>Discovery Link Only</x:v>
      </x:c>
      <x:c r="S102" s="117" t="str">
        <x:v>Unknown</x:v>
      </x:c>
      <x:c r="T102" s="117" t="str">
        <x:v>Unknown</x:v>
      </x:c>
      <x:c r="U102" s="117" t="str">
        <x:v>Unknown</x:v>
      </x:c>
      <x:c r="V102" s="117" t="str">
        <x:v>Unknown</x:v>
      </x:c>
      <x:c r="W102" s="117" t="str">
        <x:v>Unknown</x:v>
      </x:c>
      <x:c r="X102" s="117" t="str">
        <x:v>Unknown</x:v>
      </x:c>
      <x:c r="Y102" s="117" t="str">
        <x:v>Unknown</x:v>
      </x:c>
      <x:c r="Z102" s="117"/>
      <x:c r="AA102" s="117" t="str">
        <x:v>Duplicate - use canonical ID</x:v>
      </x:c>
      <x:c r="AB102" s="117"/>
      <x:c r="AC102" s="117" t="str">
        <x:v>No qualifying accessibility conclusion established from the screened sources. This is unknown, not evidence that the attraction is inaccessible.</x:v>
      </x:c>
      <x:c r="AD102" s="117" t="str">
        <x:v>2026-09-08</x:v>
      </x:c>
      <x:c r="AE102" s="117" t="str">
        <x:v>MC0092</x:v>
      </x:c>
      <x:c r="AF102" s="117" t="str">
        <x:v>Duplicate alias</x:v>
      </x:c>
      <x:c r="AG102" s="117" t="str"/>
      <x:c r="AH102" s="117" t="str">
        <x:v>Name corroborated in source</x:v>
      </x:c>
      <x:c r="AI102" s="117" t="str">
        <x:v>https://ebrochures.malaysia.travel/en/malaysia-travel-guide/melaka/</x:v>
      </x:c>
      <x:c r="AJ102" s="117" t="str">
        <x:v>Place name or established alias matched in the cited source. This is not confirmation of current opening, all visitor facilities or the full description.</x:v>
      </x:c>
      <x:c r="AK102" s="117" t="str">
        <x:v>Not independently confirmed</x:v>
      </x:c>
      <x:c r="AL102" s="117" t="str">
        <x:v>Screened sources; accessibility unresolved</x:v>
      </x:c>
      <x:c r="AM102" s="117" t="str">
        <x:v>2026-09-08</x:v>
      </x:c>
      <x:c r="AN102" s="117" t="str">
        <x:v>https://thumb.wikimedia.org/wikipedia/commons/thumb/0/07/Malacca_stadhuys1.jpg/1280px-Malacca_stadhuys1.jpg?utm_source=commons.wikimedia.org&amp;utm_campaign=imageinfo&amp;utm_content=thumbnail</x:v>
      </x:c>
      <x:c r="AO102" s="117" t="str">
        <x:v>https://thumb.wikimedia.org/wikipedia/commons/thumb/f/f0/Stadthuys_Melaka_3.jpg/1280px-Stadthuys_Melaka_3.jpg?utm_source=commons.wikimedia.org&amp;utm_campaign=imageinfo&amp;utm_content=thumbnail</x:v>
      </x:c>
      <x:c r="AP102" s="117" t="str">
        <x:v>2 metadata-matched images; visual review pending</x:v>
      </x:c>
      <x:c r="AQ102" s="117"/>
    </x:row>
    <x:row r="103" ht="66" customHeight="1">
      <x:c r="A103" s="117" t="str">
        <x:v>MC0100</x:v>
      </x:c>
      <x:c r="B103" s="117" t="str">
        <x:v>Christ Church Melaka</x:v>
      </x:c>
      <x:c r="C103" s="117" t="str">
        <x:v>Melaka</x:v>
      </x:c>
      <x:c r="D103" s="117" t="str">
        <x:v>Melaka Tengah</x:v>
      </x:c>
      <x:c r="E103" s="117" t="str">
        <x:v>Religious Site</x:v>
      </x:c>
      <x:c r="F103" s="117" t="str">
        <x:v>Popular</x:v>
      </x:c>
      <x:c r="G103" s="117" t="str">
        <x:v>Both</x:v>
      </x:c>
      <x:c r="H103" s="117" t="str">
        <x:v>church; heritage; architecture</x:v>
      </x:c>
      <x:c r="I103" s="117" t="str">
        <x:v>A pink-painted Anglican church in Melaka built by the Dutch in 1753, among the oldest churches in Malaysia.</x:v>
      </x:c>
      <x:c r="J103" s="117" t="str">
        <x:v>https://www.google.com/maps/search/?api=1&amp;query=Christ%20Church%20Melaka%2C%20Melaka%2C%20Malaysia</x:v>
      </x:c>
      <x:c r="K103" s="117" t="str">
        <x:v>https://ebrochures.malaysia.travel/en/malaysia-travel-guide/melaka/</x:v>
      </x:c>
      <x:c r="L103" s="117" t="str">
        <x:v>Tourism Malaysia state guide plus map discovery link</x:v>
      </x:c>
      <x:c r="M103" s="117" t="str">
        <x:v>Melaka expansion batch</x:v>
      </x:c>
      <x:c r="N103" s="117"/>
      <x:c r="O103" s="117" t="str">
        <x:v>2026-08-15 00:00:00</x:v>
      </x:c>
      <x:c r="P103" s="117" t="str">
        <x:v>Complete</x:v>
      </x:c>
      <x:c r="Q103" s="117" t="str">
        <x:v>Identity and Malaysian location verified in second-pass review on 2026-09-08.</x:v>
      </x:c>
      <x:c r="R103" s="117" t="str">
        <x:f t="shared" si="1">IF(J103="","Missing Link",IF(AND(ISNUMBER(SEARCH("google.com/maps",J103)),ISERROR(SEARCH(";",J103))),"Discovery Link Only","Source Link Present"))</x:f>
        <x:v>Discovery Link Only</x:v>
      </x:c>
      <x:c r="S103" s="117" t="str">
        <x:v>Unknown</x:v>
      </x:c>
      <x:c r="T103" s="117" t="str">
        <x:v>Unknown</x:v>
      </x:c>
      <x:c r="U103" s="117" t="str">
        <x:v>Unknown</x:v>
      </x:c>
      <x:c r="V103" s="117" t="str">
        <x:v>Unknown</x:v>
      </x:c>
      <x:c r="W103" s="117" t="str">
        <x:v>Unknown</x:v>
      </x:c>
      <x:c r="X103" s="117" t="str">
        <x:v>Unknown</x:v>
      </x:c>
      <x:c r="Y103" s="117" t="str">
        <x:v>Unknown</x:v>
      </x:c>
      <x:c r="Z103" s="117"/>
      <x:c r="AA103" s="117" t="str">
        <x:v>Pending evidence</x:v>
      </x:c>
      <x:c r="AB103" s="117"/>
      <x:c r="AC103" s="117" t="str">
        <x:v>No qualifying accessibility conclusion established from the screened sources. This is unknown, not evidence that the attraction is inaccessible.</x:v>
      </x:c>
      <x:c r="AD103" s="117" t="str">
        <x:v>2026-09-08</x:v>
      </x:c>
      <x:c r="AE103" s="117" t="str">
        <x:v>MC0100</x:v>
      </x:c>
      <x:c r="AF103" s="117" t="str">
        <x:v>Distinct candidate</x:v>
      </x:c>
      <x:c r="AG103" s="117" t="str"/>
      <x:c r="AH103" s="117" t="str">
        <x:v>Identity and location corroborated</x:v>
      </x:c>
      <x:c r="AI103" s="117" t="str">
        <x:v>https://www.openstreetmap.org/node/2913710279</x:v>
      </x:c>
      <x:c r="AJ103" s="117" t="str">
        <x:v>Mapped source matches the attraction name or established alias and the stated Malaysian location. This verifies identity/location only; confirm current opening and accessibility separately.</x:v>
      </x:c>
      <x:c r="AK103" s="117" t="str">
        <x:v>Not independently confirmed</x:v>
      </x:c>
      <x:c r="AL103" s="117" t="str">
        <x:v>Screened sources; accessibility unresolved</x:v>
      </x:c>
      <x:c r="AM103" s="117" t="str">
        <x:v>2026-09-08</x:v>
      </x:c>
      <x:c r="AN103" s="117" t="str">
        <x:v>https://upload.wikimedia.org/wikipedia/commons/0/01/Firstchurchmelaka.JPG?utm_source=commons.wikimedia.org&amp;utm_campaign=imageinfo&amp;utm_content=thumbnail_unscaled</x:v>
      </x:c>
      <x:c r="AO103" s="117" t="str">
        <x:v>https://thumb.wikimedia.org/wikipedia/commons/thumb/7/79/Melaka_03.jpg/1280px-Melaka_03.jpg?utm_source=commons.wikimedia.org&amp;utm_campaign=imageinfo&amp;utm_content=thumbnail</x:v>
      </x:c>
      <x:c r="AP103" s="117" t="str">
        <x:v>2 metadata-matched images; visual review pending</x:v>
      </x:c>
      <x:c r="AQ103" s="117"/>
    </x:row>
    <x:row r="104" ht="66" customHeight="1">
      <x:c r="A104" s="117" t="str">
        <x:v>MC0101</x:v>
      </x:c>
      <x:c r="B104" s="117" t="str">
        <x:v>St Paul's Hill and Church Ruins</x:v>
      </x:c>
      <x:c r="C104" s="117" t="str">
        <x:v>Melaka</x:v>
      </x:c>
      <x:c r="D104" s="117" t="str">
        <x:v>Melaka Tengah</x:v>
      </x:c>
      <x:c r="E104" s="117" t="str">
        <x:v>Heritage and History</x:v>
      </x:c>
      <x:c r="F104" s="117" t="str">
        <x:v>Popular</x:v>
      </x:c>
      <x:c r="G104" s="117" t="str">
        <x:v>Both</x:v>
      </x:c>
      <x:c r="H104" s="117" t="str">
        <x:v>ruins; hill; history</x:v>
      </x:c>
      <x:c r="I104" s="117" t="str">
        <x:v>Hilltop ruins of a 16th-century Portuguese chapel in Melaka, later used by the Dutch as a burial ground, offering views over the city.</x:v>
      </x:c>
      <x:c r="J104" s="117" t="str">
        <x:v>https://www.google.com/maps/search/?api=1&amp;query=St%20Paul's%20Hill%20and%20Church%20Ruins%2C%20Melaka%2C%20Malaysia</x:v>
      </x:c>
      <x:c r="K104" s="117" t="str">
        <x:v>https://ebrochures.malaysia.travel/en/malaysia-travel-guide/melaka/</x:v>
      </x:c>
      <x:c r="L104" s="117" t="str">
        <x:v>Tourism Malaysia state guide plus map discovery link</x:v>
      </x:c>
      <x:c r="M104" s="117" t="str">
        <x:v>Melaka expansion batch</x:v>
      </x:c>
      <x:c r="N104" s="117"/>
      <x:c r="O104" s="117" t="str">
        <x:v>2026-08-15 00:00:00</x:v>
      </x:c>
      <x:c r="P104" s="117" t="str">
        <x:v>Complete</x:v>
      </x:c>
      <x:c r="Q104" s="117" t="str">
        <x:v>Identity and Malaysian location verified in second-pass review on 2026-09-08.</x:v>
      </x:c>
      <x:c r="R104" s="117" t="str">
        <x:f t="shared" si="1">IF(J104="","Missing Link",IF(AND(ISNUMBER(SEARCH("google.com/maps",J104)),ISERROR(SEARCH(";",J104))),"Discovery Link Only","Source Link Present"))</x:f>
        <x:v>Discovery Link Only</x:v>
      </x:c>
      <x:c r="S104" s="117" t="str">
        <x:v>Unknown</x:v>
      </x:c>
      <x:c r="T104" s="117" t="str">
        <x:v>Unknown</x:v>
      </x:c>
      <x:c r="U104" s="117" t="str">
        <x:v>Unknown</x:v>
      </x:c>
      <x:c r="V104" s="117" t="str">
        <x:v>Unknown</x:v>
      </x:c>
      <x:c r="W104" s="117" t="str">
        <x:v>Unknown</x:v>
      </x:c>
      <x:c r="X104" s="117" t="str">
        <x:v>Unknown</x:v>
      </x:c>
      <x:c r="Y104" s="117" t="str">
        <x:v>Unknown</x:v>
      </x:c>
      <x:c r="Z104" s="117"/>
      <x:c r="AA104" s="117" t="str">
        <x:v>Pending evidence</x:v>
      </x:c>
      <x:c r="AB104" s="117"/>
      <x:c r="AC104" s="117" t="str">
        <x:v>No qualifying accessibility conclusion established from the screened sources. This is unknown, not evidence that the attraction is inaccessible.</x:v>
      </x:c>
      <x:c r="AD104" s="117" t="str">
        <x:v>2026-09-08</x:v>
      </x:c>
      <x:c r="AE104" s="117" t="str">
        <x:v>MC0101</x:v>
      </x:c>
      <x:c r="AF104" s="117" t="str">
        <x:v>Distinct candidate</x:v>
      </x:c>
      <x:c r="AG104" s="117" t="str"/>
      <x:c r="AH104" s="117" t="str">
        <x:v>Identity and location corroborated</x:v>
      </x:c>
      <x:c r="AI104" s="117" t="str">
        <x:v>https://www.toptenmalaysia.com/en/melaka/things-to-do/essential-attractions/</x:v>
      </x:c>
      <x:c r="AJ104" s="117" t="str">
        <x:v>Independent destination source matches the attraction name or established alias and the stated Malaysian location. This verifies identity/location only; confirm current opening and accessibility separately.</x:v>
      </x:c>
      <x:c r="AK104" s="117" t="str">
        <x:v>Not independently confirmed</x:v>
      </x:c>
      <x:c r="AL104" s="117" t="str">
        <x:v>Screened sources; accessibility unresolved</x:v>
      </x:c>
      <x:c r="AM104" s="117" t="str">
        <x:v>2026-09-08</x:v>
      </x:c>
      <x:c r="AN104" s="117"/>
      <x:c r="AO104" s="117"/>
      <x:c r="AP104" s="117" t="str">
        <x:v>No usable pair located; image research pending</x:v>
      </x:c>
      <x:c r="AQ104" s="117"/>
    </x:row>
    <x:row r="105" ht="66" customHeight="1">
      <x:c r="A105" s="117" t="str">
        <x:v>MC0102</x:v>
      </x:c>
      <x:c r="B105" s="117" t="str">
        <x:v>Kampung Kling Mosque</x:v>
      </x:c>
      <x:c r="C105" s="117" t="str">
        <x:v>Melaka</x:v>
      </x:c>
      <x:c r="D105" s="117" t="str">
        <x:v>Melaka Tengah</x:v>
      </x:c>
      <x:c r="E105" s="117" t="str">
        <x:v>Religious Site</x:v>
      </x:c>
      <x:c r="F105" s="117" t="str">
        <x:v>Underrated</x:v>
      </x:c>
      <x:c r="G105" s="117" t="str">
        <x:v>Both</x:v>
      </x:c>
      <x:c r="H105" s="117" t="str">
        <x:v>mosque; architecture; heritage</x:v>
      </x:c>
      <x:c r="I105" s="117" t="str">
        <x:v>An 18th-century mosque in Melaka blending Sumatran, Chinese and colonial architectural styles.</x:v>
      </x:c>
      <x:c r="J105" s="117" t="str">
        <x:v>https://www.google.com/maps/search/?api=1&amp;query=Kampung%20Kling%20Mosque%2C%20Melaka%2C%20Malaysia</x:v>
      </x:c>
      <x:c r="K105" s="117" t="str">
        <x:v>https://ebrochures.malaysia.travel/en/malaysia-travel-guide/melaka/</x:v>
      </x:c>
      <x:c r="L105" s="117" t="str">
        <x:v>Tourism Malaysia state guide plus map discovery link</x:v>
      </x:c>
      <x:c r="M105" s="117" t="str">
        <x:v>Melaka expansion batch</x:v>
      </x:c>
      <x:c r="N105" s="117"/>
      <x:c r="O105" s="117" t="str">
        <x:v>2026-08-15 00:00:00</x:v>
      </x:c>
      <x:c r="P105" s="117" t="str">
        <x:v>Complete</x:v>
      </x:c>
      <x:c r="Q105" s="117" t="str">
        <x:v>Identity and Malaysian location verified in second-pass review on 2026-09-08.</x:v>
      </x:c>
      <x:c r="R105" s="117" t="str">
        <x:f t="shared" si="1">IF(J105="","Missing Link",IF(AND(ISNUMBER(SEARCH("google.com/maps",J105)),ISERROR(SEARCH(";",J105))),"Discovery Link Only","Source Link Present"))</x:f>
        <x:v>Discovery Link Only</x:v>
      </x:c>
      <x:c r="S105" s="117" t="str">
        <x:v>Unknown</x:v>
      </x:c>
      <x:c r="T105" s="117" t="str">
        <x:v>Unknown</x:v>
      </x:c>
      <x:c r="U105" s="117" t="str">
        <x:v>Unknown</x:v>
      </x:c>
      <x:c r="V105" s="117" t="str">
        <x:v>Unknown</x:v>
      </x:c>
      <x:c r="W105" s="117" t="str">
        <x:v>Unknown</x:v>
      </x:c>
      <x:c r="X105" s="117" t="str">
        <x:v>Unknown</x:v>
      </x:c>
      <x:c r="Y105" s="117" t="str">
        <x:v>Unknown</x:v>
      </x:c>
      <x:c r="Z105" s="117"/>
      <x:c r="AA105" s="117" t="str">
        <x:v>Pending evidence</x:v>
      </x:c>
      <x:c r="AB105" s="117"/>
      <x:c r="AC105" s="117" t="str">
        <x:v>No qualifying accessibility conclusion established from the screened sources. This is unknown, not evidence that the attraction is inaccessible.</x:v>
      </x:c>
      <x:c r="AD105" s="117" t="str">
        <x:v>2026-09-08</x:v>
      </x:c>
      <x:c r="AE105" s="117" t="str">
        <x:v>MC0102</x:v>
      </x:c>
      <x:c r="AF105" s="117" t="str">
        <x:v>Distinct candidate</x:v>
      </x:c>
      <x:c r="AG105" s="117" t="str"/>
      <x:c r="AH105" s="117" t="str">
        <x:v>Identity and location corroborated</x:v>
      </x:c>
      <x:c r="AI105" s="117" t="str">
        <x:v>https://en.wikipedia.org/wiki/Kampung_Kling_Mosque</x:v>
      </x:c>
      <x:c r="AJ105" s="117" t="str">
        <x:v>Encyclopedic source matches the attraction name or established alias and the stated Malaysian location. This verifies identity/location only; confirm current opening and accessibility separately.</x:v>
      </x:c>
      <x:c r="AK105" s="117" t="str">
        <x:v>Not independently confirmed</x:v>
      </x:c>
      <x:c r="AL105" s="117" t="str">
        <x:v>Screened sources; accessibility unresolved</x:v>
      </x:c>
      <x:c r="AM105" s="117" t="str">
        <x:v>2026-09-08</x:v>
      </x:c>
      <x:c r="AN105" s="117" t="str">
        <x:v>https://thumb.wikimedia.org/wikipedia/commons/thumb/b/bf/Masjid-Kampung-Kling-2326.jpg/1280px-Masjid-Kampung-Kling-2326.jpg?utm_source=commons.wikimedia.org&amp;utm_campaign=imageinfo&amp;utm_content=thumbnail</x:v>
      </x:c>
      <x:c r="AO105" s="117" t="str">
        <x:v>https://thumb.wikimedia.org/wikipedia/commons/thumb/2/2c/Kampung_Kling_Mosque_Melaka.jpg/1280px-Kampung_Kling_Mosque_Melaka.jpg?utm_source=commons.wikimedia.org&amp;utm_campaign=imageinfo&amp;utm_content=thumbnail</x:v>
      </x:c>
      <x:c r="AP105" s="117" t="str">
        <x:v>2 metadata-matched images; visual review pending</x:v>
      </x:c>
      <x:c r="AQ105" s="117"/>
    </x:row>
    <x:row r="106" ht="66" customHeight="1">
      <x:c r="A106" s="117" t="str">
        <x:v>MC0103</x:v>
      </x:c>
      <x:c r="B106" s="117" t="str">
        <x:v>Muzium Kapal Selam</x:v>
      </x:c>
      <x:c r="C106" s="117" t="str">
        <x:v>Melaka</x:v>
      </x:c>
      <x:c r="D106" s="117" t="str">
        <x:v>Melaka Tengah</x:v>
      </x:c>
      <x:c r="E106" s="117" t="str">
        <x:v>Museum and Gallery</x:v>
      </x:c>
      <x:c r="F106" s="117" t="str">
        <x:v>Local</x:v>
      </x:c>
      <x:c r="G106" s="117" t="str">
        <x:v>Indoor</x:v>
      </x:c>
      <x:c r="H106" s="117" t="str">
        <x:v>submarine; maritime; family</x:v>
      </x:c>
      <x:c r="I106" s="117" t="str">
        <x:v>A museum in Melaka built around a decommissioned Royal Malaysian Navy submarine, open for public tours.</x:v>
      </x:c>
      <x:c r="J106" s="117" t="str">
        <x:v>https://www.google.com/maps/search/?api=1&amp;query=Muzium%20Kapal%20Selam%2C%20Melaka%2C%20Malaysia</x:v>
      </x:c>
      <x:c r="K106" s="117" t="str">
        <x:v>https://ebrochures.malaysia.travel/en/malaysia-travel-guide/melaka/</x:v>
      </x:c>
      <x:c r="L106" s="117" t="str">
        <x:v>Tourism Malaysia state guide plus map discovery link</x:v>
      </x:c>
      <x:c r="M106" s="117" t="str">
        <x:v>Melaka expansion batch</x:v>
      </x:c>
      <x:c r="N106" s="117"/>
      <x:c r="O106" s="117" t="str">
        <x:v>2026-08-15 00:00:00</x:v>
      </x:c>
      <x:c r="P106" s="117" t="str">
        <x:v>Complete</x:v>
      </x:c>
      <x:c r="Q106" s="117"/>
      <x:c r="R106" s="117" t="str">
        <x:f t="shared" si="1">IF(J106="","Missing Link",IF(AND(ISNUMBER(SEARCH("google.com/maps",J106)),ISERROR(SEARCH(";",J106))),"Discovery Link Only","Source Link Present"))</x:f>
        <x:v>Discovery Link Only</x:v>
      </x:c>
      <x:c r="S106" s="117" t="str">
        <x:v>Unknown</x:v>
      </x:c>
      <x:c r="T106" s="117" t="str">
        <x:v>Unknown</x:v>
      </x:c>
      <x:c r="U106" s="117" t="str">
        <x:v>Unknown</x:v>
      </x:c>
      <x:c r="V106" s="117" t="str">
        <x:v>Unknown</x:v>
      </x:c>
      <x:c r="W106" s="117" t="str">
        <x:v>Unknown</x:v>
      </x:c>
      <x:c r="X106" s="117" t="str">
        <x:v>Unknown</x:v>
      </x:c>
      <x:c r="Y106" s="117" t="str">
        <x:v>Unknown</x:v>
      </x:c>
      <x:c r="Z106" s="117"/>
      <x:c r="AA106" s="117" t="str">
        <x:v>Pending evidence</x:v>
      </x:c>
      <x:c r="AB106" s="117"/>
      <x:c r="AC106" s="117" t="str">
        <x:v>No qualifying accessibility conclusion established from the screened sources. This is unknown, not evidence that the attraction is inaccessible.</x:v>
      </x:c>
      <x:c r="AD106" s="117" t="str">
        <x:v>2026-09-08</x:v>
      </x:c>
      <x:c r="AE106" s="117" t="str">
        <x:v>MC0103</x:v>
      </x:c>
      <x:c r="AF106" s="117" t="str">
        <x:v>Distinct candidate</x:v>
      </x:c>
      <x:c r="AG106" s="117" t="str"/>
      <x:c r="AH106" s="117" t="str">
        <x:v>Name corroborated in source</x:v>
      </x:c>
      <x:c r="AI106" s="117" t="str">
        <x:v>https://ebrochures.malaysia.travel/en/malaysia-travel-guide/melaka/</x:v>
      </x:c>
      <x:c r="AJ106" s="117" t="str">
        <x:v>Place name or established alias matched in the cited source. This is not confirmation of current opening, all visitor facilities or the full description.</x:v>
      </x:c>
      <x:c r="AK106" s="117" t="str">
        <x:v>Not independently confirmed</x:v>
      </x:c>
      <x:c r="AL106" s="117" t="str">
        <x:v>Screened sources; accessibility unresolved</x:v>
      </x:c>
      <x:c r="AM106" s="117" t="str">
        <x:v>2026-09-08</x:v>
      </x:c>
      <x:c r="AN106" s="117"/>
      <x:c r="AO106" s="117"/>
      <x:c r="AP106" s="117" t="str">
        <x:v>No usable pair located; image research pending</x:v>
      </x:c>
      <x:c r="AQ106" s="117"/>
    </x:row>
    <x:row r="107" ht="66" customHeight="1">
      <x:c r="A107" s="117" t="str">
        <x:v>MC0104</x:v>
      </x:c>
      <x:c r="B107" s="117" t="str">
        <x:v>Melaka River Walk</x:v>
      </x:c>
      <x:c r="C107" s="117" t="str">
        <x:v>Melaka</x:v>
      </x:c>
      <x:c r="D107" s="117" t="str">
        <x:v>Melaka Tengah</x:v>
      </x:c>
      <x:c r="E107" s="117" t="str">
        <x:v>Urban Attraction</x:v>
      </x:c>
      <x:c r="F107" s="117" t="str">
        <x:v>Popular</x:v>
      </x:c>
      <x:c r="G107" s="117" t="str">
        <x:v>Both</x:v>
      </x:c>
      <x:c r="H107" s="117" t="str">
        <x:v>riverfront; street art; night walk</x:v>
      </x:c>
      <x:c r="I107" s="117" t="str">
        <x:v>A landscaped riverside promenade in Melaka lined with cafes and colourful heritage buildings.</x:v>
      </x:c>
      <x:c r="J107" s="117" t="str">
        <x:v>https://www.google.com/maps/search/?api=1&amp;query=Melaka%20River%20Walk%2C%20Melaka%2C%20Malaysia</x:v>
      </x:c>
      <x:c r="K107" s="117" t="str">
        <x:v>https://ebrochures.malaysia.travel/en/malaysia-travel-guide/melaka/</x:v>
      </x:c>
      <x:c r="L107" s="117" t="str">
        <x:v>Tourism Malaysia state guide plus map discovery link</x:v>
      </x:c>
      <x:c r="M107" s="117" t="str">
        <x:v>Melaka expansion batch</x:v>
      </x:c>
      <x:c r="N107" s="117"/>
      <x:c r="O107" s="117" t="str">
        <x:v>2026-08-15 00:00:00</x:v>
      </x:c>
      <x:c r="P107" s="117" t="str">
        <x:v>Complete</x:v>
      </x:c>
      <x:c r="Q107" s="117" t="str">
        <x:v>Identity and Malaysian location verified in second-pass review on 2026-09-08.</x:v>
      </x:c>
      <x:c r="R107" s="117" t="str">
        <x:f t="shared" si="1">IF(J107="","Missing Link",IF(AND(ISNUMBER(SEARCH("google.com/maps",J107)),ISERROR(SEARCH(";",J107))),"Discovery Link Only","Source Link Present"))</x:f>
        <x:v>Discovery Link Only</x:v>
      </x:c>
      <x:c r="S107" s="117" t="str">
        <x:v>Unknown</x:v>
      </x:c>
      <x:c r="T107" s="117" t="str">
        <x:v>Unknown</x:v>
      </x:c>
      <x:c r="U107" s="117" t="str">
        <x:v>Unknown</x:v>
      </x:c>
      <x:c r="V107" s="117" t="str">
        <x:v>Unknown</x:v>
      </x:c>
      <x:c r="W107" s="117" t="str">
        <x:v>Unknown</x:v>
      </x:c>
      <x:c r="X107" s="117" t="str">
        <x:v>Unknown</x:v>
      </x:c>
      <x:c r="Y107" s="117" t="str">
        <x:v>Unknown</x:v>
      </x:c>
      <x:c r="Z107" s="117"/>
      <x:c r="AA107" s="117" t="str">
        <x:v>Pending evidence</x:v>
      </x:c>
      <x:c r="AB107" s="117"/>
      <x:c r="AC107" s="117" t="str">
        <x:v>No qualifying accessibility conclusion established from the screened sources. This is unknown, not evidence that the attraction is inaccessible.</x:v>
      </x:c>
      <x:c r="AD107" s="117" t="str">
        <x:v>2026-09-08</x:v>
      </x:c>
      <x:c r="AE107" s="117" t="str">
        <x:v>MC0104</x:v>
      </x:c>
      <x:c r="AF107" s="117" t="str">
        <x:v>Distinct candidate</x:v>
      </x:c>
      <x:c r="AG107" s="117" t="str"/>
      <x:c r="AH107" s="117" t="str">
        <x:v>Identity and location corroborated</x:v>
      </x:c>
      <x:c r="AI107" s="117" t="str">
        <x:v>https://www.alltrails.com/trail/malaysia/malacca/melaka-river-walk</x:v>
      </x:c>
      <x:c r="AJ107" s="117" t="str">
        <x:v>Mapped route source matches the attraction name or established alias and the stated Malaysian location. This verifies identity/location only; confirm current opening and accessibility separately.</x:v>
      </x:c>
      <x:c r="AK107" s="117" t="str">
        <x:v>Not independently confirmed</x:v>
      </x:c>
      <x:c r="AL107" s="117" t="str">
        <x:v>Screened sources; accessibility unresolved</x:v>
      </x:c>
      <x:c r="AM107" s="117" t="str">
        <x:v>2026-09-08</x:v>
      </x:c>
      <x:c r="AN107" s="117"/>
      <x:c r="AO107" s="117"/>
      <x:c r="AP107" s="117" t="str">
        <x:v>No usable pair located; image research pending</x:v>
      </x:c>
      <x:c r="AQ107" s="117"/>
    </x:row>
    <x:row r="108" ht="66" customHeight="1">
      <x:c r="A108" s="117" t="str">
        <x:v>MC0105</x:v>
      </x:c>
      <x:c r="B108" s="117" t="str">
        <x:v>Portuguese Settlement</x:v>
      </x:c>
      <x:c r="C108" s="117" t="str">
        <x:v>Melaka</x:v>
      </x:c>
      <x:c r="D108" s="117" t="str">
        <x:v>Melaka Tengah</x:v>
      </x:c>
      <x:c r="E108" s="117" t="str">
        <x:v>Culture</x:v>
      </x:c>
      <x:c r="F108" s="117" t="str">
        <x:v>Local</x:v>
      </x:c>
      <x:c r="G108" s="117" t="str">
        <x:v>Both</x:v>
      </x:c>
      <x:c r="H108" s="117" t="str">
        <x:v>community; food; heritage</x:v>
      </x:c>
      <x:c r="I108" s="117" t="str">
        <x:v>A coastal enclave of Melaka's Kristang (Portuguese-Eurasian) community, known for its seafood square and cultural festivals.</x:v>
      </x:c>
      <x:c r="J108" s="117" t="str">
        <x:v>https://www.google.com/maps/search/?api=1&amp;query=Portuguese%20Settlement%2C%20Melaka%2C%20Malaysia</x:v>
      </x:c>
      <x:c r="K108" s="117" t="str">
        <x:v>https://ebrochures.malaysia.travel/en/malaysia-travel-guide/melaka/</x:v>
      </x:c>
      <x:c r="L108" s="117" t="str">
        <x:v>Tourism Malaysia state guide plus map discovery link</x:v>
      </x:c>
      <x:c r="M108" s="117" t="str">
        <x:v>Melaka expansion batch</x:v>
      </x:c>
      <x:c r="N108" s="117"/>
      <x:c r="O108" s="117" t="str">
        <x:v>2026-08-15 00:00:00</x:v>
      </x:c>
      <x:c r="P108" s="117" t="str">
        <x:v>Complete</x:v>
      </x:c>
      <x:c r="Q108" s="117" t="str">
        <x:v>Identity and Malaysian location verified in second-pass review on 2026-09-08.</x:v>
      </x:c>
      <x:c r="R108" s="117" t="str">
        <x:f t="shared" si="1">IF(J108="","Missing Link",IF(AND(ISNUMBER(SEARCH("google.com/maps",J108)),ISERROR(SEARCH(";",J108))),"Discovery Link Only","Source Link Present"))</x:f>
        <x:v>Discovery Link Only</x:v>
      </x:c>
      <x:c r="S108" s="117" t="str">
        <x:v>Unknown</x:v>
      </x:c>
      <x:c r="T108" s="117" t="str">
        <x:v>Unknown</x:v>
      </x:c>
      <x:c r="U108" s="117" t="str">
        <x:v>Unknown</x:v>
      </x:c>
      <x:c r="V108" s="117" t="str">
        <x:v>Unknown</x:v>
      </x:c>
      <x:c r="W108" s="117" t="str">
        <x:v>Unknown</x:v>
      </x:c>
      <x:c r="X108" s="117" t="str">
        <x:v>Unknown</x:v>
      </x:c>
      <x:c r="Y108" s="117" t="str">
        <x:v>Unknown</x:v>
      </x:c>
      <x:c r="Z108" s="117"/>
      <x:c r="AA108" s="117" t="str">
        <x:v>Pending evidence</x:v>
      </x:c>
      <x:c r="AB108" s="117"/>
      <x:c r="AC108" s="117" t="str">
        <x:v>No qualifying accessibility conclusion established from the screened sources. This is unknown, not evidence that the attraction is inaccessible.</x:v>
      </x:c>
      <x:c r="AD108" s="117" t="str">
        <x:v>2026-09-08</x:v>
      </x:c>
      <x:c r="AE108" s="117" t="str">
        <x:v>MC0105</x:v>
      </x:c>
      <x:c r="AF108" s="117" t="str">
        <x:v>Distinct candidate</x:v>
      </x:c>
      <x:c r="AG108" s="117" t="str"/>
      <x:c r="AH108" s="117" t="str">
        <x:v>Identity and location corroborated</x:v>
      </x:c>
      <x:c r="AI108" s="117" t="str">
        <x:v>https://www.visitmelaka.com.my/index.php/culture-heritagemenu/image-posts-culture-heritage/42-portuguese-community</x:v>
      </x:c>
      <x:c r="AJ108" s="117" t="str">
        <x:v>Official state tourism source matches the attraction name or established alias and the stated Malaysian location. This verifies identity/location only; confirm current opening and accessibility separately.</x:v>
      </x:c>
      <x:c r="AK108" s="117" t="str">
        <x:v>Not independently confirmed</x:v>
      </x:c>
      <x:c r="AL108" s="117" t="str">
        <x:v>Screened sources; accessibility unresolved</x:v>
      </x:c>
      <x:c r="AM108" s="117" t="str">
        <x:v>2026-09-08</x:v>
      </x:c>
      <x:c r="AN108" s="117" t="str">
        <x:v>https://thumb.wikimedia.org/wikipedia/commons/thumb/1/16/Melaka%2C_Malaysia_Portuguese_Settlement%2C_March_2023_-_Canal.jpg/1280px-Melaka%2C_Malaysia_Portuguese_Settlement%2C_March_2023_-_Canal.jpg?utm_source=commons.wikimedia.org&amp;utm_campaign=imageinfo&amp;utm_content=thumbnail</x:v>
      </x:c>
      <x:c r="AO108" s="117" t="str">
        <x:v>https://thumb.wikimedia.org/wikipedia/commons/thumb/d/d4/Melaka%2C_Malaysia_Portuguese_Settlement%2C_March_2023_-_Portuguese_Square.jpg/1280px-Melaka%2C_Malaysia_Portuguese_Settlement%2C_March_2023_-_Portuguese_Square.jpg?utm_source=commons.wikimedia.org&amp;utm_campaign=imageinfo&amp;utm_content=thumbnail</x:v>
      </x:c>
      <x:c r="AP108" s="117" t="str">
        <x:v>2 metadata-matched images; visual review pending</x:v>
      </x:c>
      <x:c r="AQ108" s="117"/>
    </x:row>
    <x:row r="109" ht="66" customHeight="1">
      <x:c r="A109" s="117" t="str">
        <x:v>MC0106</x:v>
      </x:c>
      <x:c r="B109" s="117" t="str">
        <x:v>Melaka Butterfly and Reptile Sanctuary</x:v>
      </x:c>
      <x:c r="C109" s="117" t="str">
        <x:v>Melaka</x:v>
      </x:c>
      <x:c r="D109" s="117" t="str">
        <x:v>Ayer Keroh</x:v>
      </x:c>
      <x:c r="E109" s="117" t="str">
        <x:v>Wildlife</x:v>
      </x:c>
      <x:c r="F109" s="117" t="str">
        <x:v>Popular</x:v>
      </x:c>
      <x:c r="G109" s="117" t="str">
        <x:v>Outdoor</x:v>
      </x:c>
      <x:c r="H109" s="117" t="str">
        <x:v>butterflies; reptiles; family</x:v>
      </x:c>
      <x:c r="I109" s="117" t="str">
        <x:v>A wildlife park in Ayer Keroh, Melaka, housing butterflies, reptiles and insects in landscaped enclosures.</x:v>
      </x:c>
      <x:c r="J109" s="117" t="str">
        <x:v>https://www.google.com/maps/search/?api=1&amp;query=Melaka%20Butterfly%20and%20Reptile%20Sanctuary%2C%20Melaka%2C%20Malaysia</x:v>
      </x:c>
      <x:c r="K109" s="117" t="str">
        <x:v>https://ebrochures.malaysia.travel/en/malaysia-travel-guide/melaka/</x:v>
      </x:c>
      <x:c r="L109" s="117" t="str">
        <x:v>Tourism Malaysia state guide plus map discovery link</x:v>
      </x:c>
      <x:c r="M109" s="117" t="str">
        <x:v>Melaka expansion batch</x:v>
      </x:c>
      <x:c r="N109" s="117"/>
      <x:c r="O109" s="117" t="str">
        <x:v>2026-08-15 00:00:00</x:v>
      </x:c>
      <x:c r="P109" s="117" t="str">
        <x:v>Complete</x:v>
      </x:c>
      <x:c r="Q109" s="117" t="str">
        <x:v>Identity and Malaysian location verified in second-pass review on 2026-09-08.</x:v>
      </x:c>
      <x:c r="R109" s="117" t="str">
        <x:f t="shared" si="1">IF(J109="","Missing Link",IF(AND(ISNUMBER(SEARCH("google.com/maps",J109)),ISERROR(SEARCH(";",J109))),"Discovery Link Only","Source Link Present"))</x:f>
        <x:v>Discovery Link Only</x:v>
      </x:c>
      <x:c r="S109" s="117" t="str">
        <x:v>Unknown</x:v>
      </x:c>
      <x:c r="T109" s="117" t="str">
        <x:v>Unknown</x:v>
      </x:c>
      <x:c r="U109" s="117" t="str">
        <x:v>Unknown</x:v>
      </x:c>
      <x:c r="V109" s="117" t="str">
        <x:v>Unknown</x:v>
      </x:c>
      <x:c r="W109" s="117" t="str">
        <x:v>Unknown</x:v>
      </x:c>
      <x:c r="X109" s="117" t="str">
        <x:v>Unknown</x:v>
      </x:c>
      <x:c r="Y109" s="117" t="str">
        <x:v>Unknown</x:v>
      </x:c>
      <x:c r="Z109" s="117"/>
      <x:c r="AA109" s="117" t="str">
        <x:v>Pending evidence</x:v>
      </x:c>
      <x:c r="AB109" s="117"/>
      <x:c r="AC109" s="117" t="str">
        <x:v>No qualifying accessibility conclusion established from the screened sources. This is unknown, not evidence that the attraction is inaccessible.</x:v>
      </x:c>
      <x:c r="AD109" s="117" t="str">
        <x:v>2026-09-08</x:v>
      </x:c>
      <x:c r="AE109" s="117" t="str">
        <x:v>MC0106</x:v>
      </x:c>
      <x:c r="AF109" s="117" t="str">
        <x:v>Distinct candidate</x:v>
      </x:c>
      <x:c r="AG109" s="117" t="str"/>
      <x:c r="AH109" s="117" t="str">
        <x:v>Identity and location corroborated</x:v>
      </x:c>
      <x:c r="AI109" s="117" t="str">
        <x:v>https://en.wikipedia.org/wiki/Melaka_Butterfly_and_Reptile_Sanctuary</x:v>
      </x:c>
      <x:c r="AJ109" s="117" t="str">
        <x:v>Encyclopedic source matches the attraction name or established alias and the stated Malaysian location. This verifies identity/location only; confirm current opening and accessibility separately.</x:v>
      </x:c>
      <x:c r="AK109" s="117" t="str">
        <x:v>Not independently confirmed</x:v>
      </x:c>
      <x:c r="AL109" s="117" t="str">
        <x:v>Screened sources; accessibility unresolved</x:v>
      </x:c>
      <x:c r="AM109" s="117" t="str">
        <x:v>2026-09-08</x:v>
      </x:c>
      <x:c r="AN109" s="117" t="str">
        <x:v>https://thumb.wikimedia.org/wikipedia/commons/thumb/7/71/Melaka_Butterfly_%26_Reptile_Sanctuary.jpg/1280px-Melaka_Butterfly_%26_Reptile_Sanctuary.jpg?utm_source=commons.wikimedia.org&amp;utm_campaign=imageinfo&amp;utm_content=thumbnail</x:v>
      </x:c>
      <x:c r="AO109" s="117"/>
      <x:c r="AP109" s="117" t="str">
        <x:v>1 metadata-matched images; visual review pending</x:v>
      </x:c>
      <x:c r="AQ109" s="117"/>
    </x:row>
    <x:row r="110" ht="66" customHeight="1">
      <x:c r="A110" s="117" t="str">
        <x:v>MC0107</x:v>
      </x:c>
      <x:c r="B110" s="117" t="str">
        <x:v>Mini Malaysia and ASEAN Cultural Park</x:v>
      </x:c>
      <x:c r="C110" s="117" t="str">
        <x:v>Melaka</x:v>
      </x:c>
      <x:c r="D110" s="117" t="str">
        <x:v>Ayer Keroh</x:v>
      </x:c>
      <x:c r="E110" s="117" t="str">
        <x:v>Culture</x:v>
      </x:c>
      <x:c r="F110" s="117" t="str">
        <x:v>Local</x:v>
      </x:c>
      <x:c r="G110" s="117" t="str">
        <x:v>Both</x:v>
      </x:c>
      <x:c r="H110" s="117" t="str">
        <x:v>traditional houses; culture; family</x:v>
      </x:c>
      <x:c r="I110" s="117" t="str">
        <x:v>A cultural theme park in Ayer Keroh, Melaka, featuring miniature traditional houses representing Malaysia's states and ASEAN nations.</x:v>
      </x:c>
      <x:c r="J110" s="117" t="str">
        <x:v>https://www.google.com/maps/search/?api=1&amp;query=Mini%20Malaysia%20and%20ASEAN%20Cultural%20Park%2C%20Melaka%2C%20Malaysia</x:v>
      </x:c>
      <x:c r="K110" s="117" t="str">
        <x:v>https://ebrochures.malaysia.travel/en/malaysia-travel-guide/melaka/</x:v>
      </x:c>
      <x:c r="L110" s="117" t="str">
        <x:v>Tourism Malaysia state guide plus map discovery link</x:v>
      </x:c>
      <x:c r="M110" s="117" t="str">
        <x:v>Melaka expansion batch</x:v>
      </x:c>
      <x:c r="N110" s="117"/>
      <x:c r="O110" s="117" t="str">
        <x:v>2026-08-15 00:00:00</x:v>
      </x:c>
      <x:c r="P110" s="117" t="str">
        <x:v>Complete</x:v>
      </x:c>
      <x:c r="Q110" s="117"/>
      <x:c r="R110" s="117" t="str">
        <x:f t="shared" si="1">IF(J110="","Missing Link",IF(AND(ISNUMBER(SEARCH("google.com/maps",J110)),ISERROR(SEARCH(";",J110))),"Discovery Link Only","Source Link Present"))</x:f>
        <x:v>Discovery Link Only</x:v>
      </x:c>
      <x:c r="S110" s="117" t="str">
        <x:v>Unknown</x:v>
      </x:c>
      <x:c r="T110" s="117" t="str">
        <x:v>Unknown</x:v>
      </x:c>
      <x:c r="U110" s="117" t="str">
        <x:v>Unknown</x:v>
      </x:c>
      <x:c r="V110" s="117" t="str">
        <x:v>Unknown</x:v>
      </x:c>
      <x:c r="W110" s="117" t="str">
        <x:v>Unknown</x:v>
      </x:c>
      <x:c r="X110" s="117" t="str">
        <x:v>Unknown</x:v>
      </x:c>
      <x:c r="Y110" s="117" t="str">
        <x:v>Unknown</x:v>
      </x:c>
      <x:c r="Z110" s="117"/>
      <x:c r="AA110" s="117" t="str">
        <x:v>Pending evidence</x:v>
      </x:c>
      <x:c r="AB110" s="117"/>
      <x:c r="AC110" s="117" t="str">
        <x:v>No qualifying accessibility conclusion established from the screened sources. This is unknown, not evidence that the attraction is inaccessible.</x:v>
      </x:c>
      <x:c r="AD110" s="117" t="str">
        <x:v>2026-09-08</x:v>
      </x:c>
      <x:c r="AE110" s="117" t="str">
        <x:v>MC0107</x:v>
      </x:c>
      <x:c r="AF110" s="117" t="str">
        <x:v>Distinct candidate</x:v>
      </x:c>
      <x:c r="AG110" s="117" t="str"/>
      <x:c r="AH110" s="117" t="str">
        <x:v>Name corroborated in source</x:v>
      </x:c>
      <x:c r="AI110" s="117" t="str">
        <x:v>https://ebrochures.malaysia.travel/en/malaysia-travel-guide/melaka/</x:v>
      </x:c>
      <x:c r="AJ110" s="117" t="str">
        <x:v>Place name or established alias matched in the cited source. This is not confirmation of current opening, all visitor facilities or the full description.</x:v>
      </x:c>
      <x:c r="AK110" s="117" t="str">
        <x:v>Not independently confirmed</x:v>
      </x:c>
      <x:c r="AL110" s="117" t="str">
        <x:v>Screened sources; accessibility unresolved</x:v>
      </x:c>
      <x:c r="AM110" s="117" t="str">
        <x:v>2026-09-08</x:v>
      </x:c>
      <x:c r="AN110" s="117" t="str">
        <x:v>https://thumb.wikimedia.org/wikipedia/commons/thumb/b/b3/Mini_Malaysia_and_ASEAN_Cultural_Park.JPG/1280px-Mini_Malaysia_and_ASEAN_Cultural_Park.JPG?utm_source=commons.wikimedia.org&amp;utm_campaign=imageinfo&amp;utm_content=thumbnail</x:v>
      </x:c>
      <x:c r="AO110" s="117" t="str">
        <x:v>https://thumb.wikimedia.org/wikipedia/commons/thumb/c/cc/Mini_ASEAN.JPG/1280px-Mini_ASEAN.JPG?utm_source=commons.wikimedia.org&amp;utm_campaign=imageinfo&amp;utm_content=thumbnail</x:v>
      </x:c>
      <x:c r="AP110" s="117" t="str">
        <x:v>2 metadata-matched images; visual review pending</x:v>
      </x:c>
      <x:c r="AQ110" s="117"/>
    </x:row>
    <x:row r="111" ht="66" customHeight="1">
      <x:c r="A111" s="117" t="str">
        <x:v>MC0108</x:v>
      </x:c>
      <x:c r="B111" s="117" t="str">
        <x:v>Melaka Planetarium Adventure Science Centre</x:v>
      </x:c>
      <x:c r="C111" s="117" t="str">
        <x:v>Melaka</x:v>
      </x:c>
      <x:c r="D111" s="117" t="str">
        <x:v>Ayer Keroh</x:v>
      </x:c>
      <x:c r="E111" s="117" t="str">
        <x:v>Family Attraction</x:v>
      </x:c>
      <x:c r="F111" s="117" t="str">
        <x:v>Underrated</x:v>
      </x:c>
      <x:c r="G111" s="117" t="str">
        <x:v>Both</x:v>
      </x:c>
      <x:c r="H111" s="117" t="str">
        <x:v>science; astronomy; education</x:v>
      </x:c>
      <x:c r="I111" s="117" t="str">
        <x:v>A science centre in Ayer Keroh, Melaka, with a planetarium and interactive exhibits.</x:v>
      </x:c>
      <x:c r="J111" s="117" t="str">
        <x:v>https://www.google.com/maps/search/?api=1&amp;query=Melaka%20Planetarium%20Adventure%20Science%20Centre%2C%20Melaka%2C%20Malaysia</x:v>
      </x:c>
      <x:c r="K111" s="117" t="str">
        <x:v>https://ebrochures.malaysia.travel/en/malaysia-travel-guide/melaka/</x:v>
      </x:c>
      <x:c r="L111" s="117" t="str">
        <x:v>Tourism Malaysia state guide plus map discovery link</x:v>
      </x:c>
      <x:c r="M111" s="117" t="str">
        <x:v>Melaka expansion batch</x:v>
      </x:c>
      <x:c r="N111" s="117"/>
      <x:c r="O111" s="117" t="str">
        <x:v>2026-08-15 00:00:00</x:v>
      </x:c>
      <x:c r="P111" s="117" t="str">
        <x:v>Complete</x:v>
      </x:c>
      <x:c r="Q111" s="117" t="str">
        <x:v>Identity and Malaysian location verified in second-pass review on 2026-09-08.</x:v>
      </x:c>
      <x:c r="R111" s="117" t="str">
        <x:f t="shared" si="1">IF(J111="","Missing Link",IF(AND(ISNUMBER(SEARCH("google.com/maps",J111)),ISERROR(SEARCH(";",J111))),"Discovery Link Only","Source Link Present"))</x:f>
        <x:v>Discovery Link Only</x:v>
      </x:c>
      <x:c r="S111" s="117" t="str">
        <x:v>Unknown</x:v>
      </x:c>
      <x:c r="T111" s="117" t="str">
        <x:v>Unknown</x:v>
      </x:c>
      <x:c r="U111" s="117" t="str">
        <x:v>Unknown</x:v>
      </x:c>
      <x:c r="V111" s="117" t="str">
        <x:v>Unknown</x:v>
      </x:c>
      <x:c r="W111" s="117" t="str">
        <x:v>Unknown</x:v>
      </x:c>
      <x:c r="X111" s="117" t="str">
        <x:v>Unknown</x:v>
      </x:c>
      <x:c r="Y111" s="117" t="str">
        <x:v>Unknown</x:v>
      </x:c>
      <x:c r="Z111" s="117"/>
      <x:c r="AA111" s="117" t="str">
        <x:v>Pending evidence</x:v>
      </x:c>
      <x:c r="AB111" s="117"/>
      <x:c r="AC111" s="117" t="str">
        <x:v>No qualifying accessibility conclusion established from the screened sources. This is unknown, not evidence that the attraction is inaccessible.</x:v>
      </x:c>
      <x:c r="AD111" s="117" t="str">
        <x:v>2026-09-08</x:v>
      </x:c>
      <x:c r="AE111" s="117" t="str">
        <x:v>MC0108</x:v>
      </x:c>
      <x:c r="AF111" s="117" t="str">
        <x:v>Distinct candidate</x:v>
      </x:c>
      <x:c r="AG111" s="117" t="str"/>
      <x:c r="AH111" s="117" t="str">
        <x:v>Identity and location corroborated</x:v>
      </x:c>
      <x:c r="AI111" s="117" t="str">
        <x:v>https://en.wikipedia.org/wiki/Melaka_Planetarium</x:v>
      </x:c>
      <x:c r="AJ111" s="117" t="str">
        <x:v>Encyclopedic source matches the attraction name or established alias and the stated Malaysian location. This verifies identity/location only; confirm current opening and accessibility separately.</x:v>
      </x:c>
      <x:c r="AK111" s="117" t="str">
        <x:v>Not independently confirmed</x:v>
      </x:c>
      <x:c r="AL111" s="117" t="str">
        <x:v>Screened sources; accessibility unresolved</x:v>
      </x:c>
      <x:c r="AM111" s="117" t="str">
        <x:v>2026-09-08</x:v>
      </x:c>
      <x:c r="AN111" s="117"/>
      <x:c r="AO111" s="117"/>
      <x:c r="AP111" s="117" t="str">
        <x:v>No usable pair located; image research pending</x:v>
      </x:c>
      <x:c r="AQ111" s="117"/>
    </x:row>
    <x:row r="112" ht="66" customHeight="1">
      <x:c r="A112" s="117" t="str">
        <x:v>MC0109</x:v>
      </x:c>
      <x:c r="B112" s="117" t="str">
        <x:v>A'Famosa Safari Wonderland</x:v>
      </x:c>
      <x:c r="C112" s="117" t="str">
        <x:v>Melaka</x:v>
      </x:c>
      <x:c r="D112" s="117" t="str">
        <x:v>Alor Gajah</x:v>
      </x:c>
      <x:c r="E112" s="117" t="str">
        <x:v>Wildlife</x:v>
      </x:c>
      <x:c r="F112" s="117" t="str">
        <x:v>Popular</x:v>
      </x:c>
      <x:c r="G112" s="117" t="str">
        <x:v>Outdoor</x:v>
      </x:c>
      <x:c r="H112" s="117" t="str">
        <x:v>safari; animals; family</x:v>
      </x:c>
      <x:c r="I112" s="117" t="str">
        <x:v>A wildlife and safari park within the A'Famosa Resort in Alor Gajah, Melaka.</x:v>
      </x:c>
      <x:c r="J112" s="117" t="str">
        <x:v>https://www.google.com/maps/search/?api=1&amp;query=A'Famosa%20Safari%20Wonderland%2C%20Melaka%2C%20Malaysia</x:v>
      </x:c>
      <x:c r="K112" s="117" t="str">
        <x:v>https://ebrochures.malaysia.travel/en/malaysia-travel-guide/melaka/</x:v>
      </x:c>
      <x:c r="L112" s="117" t="str">
        <x:v>Tourism Malaysia state guide plus map discovery link</x:v>
      </x:c>
      <x:c r="M112" s="117" t="str">
        <x:v>Melaka expansion batch</x:v>
      </x:c>
      <x:c r="N112" s="117"/>
      <x:c r="O112" s="117" t="str">
        <x:v>2026-08-15 00:00:00</x:v>
      </x:c>
      <x:c r="P112" s="117" t="str">
        <x:v>Complete</x:v>
      </x:c>
      <x:c r="Q112" s="117" t="str">
        <x:v>Identity and Malaysian location verified in second-pass review on 2026-09-08.</x:v>
      </x:c>
      <x:c r="R112" s="117" t="str">
        <x:f t="shared" si="1">IF(J112="","Missing Link",IF(AND(ISNUMBER(SEARCH("google.com/maps",J112)),ISERROR(SEARCH(";",J112))),"Discovery Link Only","Source Link Present"))</x:f>
        <x:v>Discovery Link Only</x:v>
      </x:c>
      <x:c r="S112" s="117" t="str">
        <x:v>Unknown</x:v>
      </x:c>
      <x:c r="T112" s="117" t="str">
        <x:v>Unknown</x:v>
      </x:c>
      <x:c r="U112" s="117" t="str">
        <x:v>Unknown</x:v>
      </x:c>
      <x:c r="V112" s="117" t="str">
        <x:v>Unknown</x:v>
      </x:c>
      <x:c r="W112" s="117" t="str">
        <x:v>Unknown</x:v>
      </x:c>
      <x:c r="X112" s="117" t="str">
        <x:v>Unknown</x:v>
      </x:c>
      <x:c r="Y112" s="117" t="str">
        <x:v>Unknown</x:v>
      </x:c>
      <x:c r="Z112" s="117"/>
      <x:c r="AA112" s="117" t="str">
        <x:v>Pending evidence</x:v>
      </x:c>
      <x:c r="AB112" s="117"/>
      <x:c r="AC112" s="117" t="str">
        <x:v>No qualifying accessibility conclusion established from the screened sources. This is unknown, not evidence that the attraction is inaccessible.</x:v>
      </x:c>
      <x:c r="AD112" s="117" t="str">
        <x:v>2026-09-08</x:v>
      </x:c>
      <x:c r="AE112" s="117" t="str">
        <x:v>MC0109</x:v>
      </x:c>
      <x:c r="AF112" s="117" t="str">
        <x:v>Distinct candidate</x:v>
      </x:c>
      <x:c r="AG112" s="117" t="str"/>
      <x:c r="AH112" s="117" t="str">
        <x:v>Identity and location corroborated</x:v>
      </x:c>
      <x:c r="AI112" s="117" t="str">
        <x:v>https://www.afamosa.com/safari-wonderland</x:v>
      </x:c>
      <x:c r="AJ112" s="117" t="str">
        <x:v>Venue/operator source matches the attraction name or established alias and the stated Malaysian location. This verifies identity/location only; confirm current opening and accessibility separately.</x:v>
      </x:c>
      <x:c r="AK112" s="117" t="str">
        <x:v>Not independently confirmed</x:v>
      </x:c>
      <x:c r="AL112" s="117" t="str">
        <x:v>Screened sources; accessibility unresolved</x:v>
      </x:c>
      <x:c r="AM112" s="117" t="str">
        <x:v>2026-09-08</x:v>
      </x:c>
      <x:c r="AN112" s="117"/>
      <x:c r="AO112" s="117"/>
      <x:c r="AP112" s="117" t="str">
        <x:v>No usable pair located; image research pending</x:v>
      </x:c>
      <x:c r="AQ112" s="117"/>
    </x:row>
    <x:row r="113" ht="66" customHeight="1">
      <x:c r="A113" s="117" t="str">
        <x:v>MC0110</x:v>
      </x:c>
      <x:c r="B113" s="117" t="str">
        <x:v>Freeport A'Famosa Outlet</x:v>
      </x:c>
      <x:c r="C113" s="117" t="str">
        <x:v>Melaka</x:v>
      </x:c>
      <x:c r="D113" s="117" t="str">
        <x:v>Alor Gajah</x:v>
      </x:c>
      <x:c r="E113" s="117" t="str">
        <x:v>Shopping</x:v>
      </x:c>
      <x:c r="F113" s="117" t="str">
        <x:v>Popular</x:v>
      </x:c>
      <x:c r="G113" s="117" t="str">
        <x:v>Indoor</x:v>
      </x:c>
      <x:c r="H113" s="117" t="str">
        <x:v>outlet; shopping; dining</x:v>
      </x:c>
      <x:c r="I113" s="117" t="str">
        <x:v>An outlet shopping mall within the A'Famosa Resort complex in Alor Gajah, Melaka.</x:v>
      </x:c>
      <x:c r="J113" s="117" t="str">
        <x:v>https://www.google.com/maps/search/?api=1&amp;query=Freeport%20A'Famosa%20Outlet%2C%20Melaka%2C%20Malaysia</x:v>
      </x:c>
      <x:c r="K113" s="117" t="str">
        <x:v>https://ebrochures.malaysia.travel/en/malaysia-travel-guide/melaka/</x:v>
      </x:c>
      <x:c r="L113" s="117" t="str">
        <x:v>Tourism Malaysia state guide plus map discovery link</x:v>
      </x:c>
      <x:c r="M113" s="117" t="str">
        <x:v>Melaka expansion batch</x:v>
      </x:c>
      <x:c r="N113" s="117"/>
      <x:c r="O113" s="117" t="str">
        <x:v>2026-08-15 00:00:00</x:v>
      </x:c>
      <x:c r="P113" s="117" t="str">
        <x:v>Complete</x:v>
      </x:c>
      <x:c r="Q113" s="117"/>
      <x:c r="R113" s="117" t="str">
        <x:f t="shared" si="1">IF(J113="","Missing Link",IF(AND(ISNUMBER(SEARCH("google.com/maps",J113)),ISERROR(SEARCH(";",J113))),"Discovery Link Only","Source Link Present"))</x:f>
        <x:v>Discovery Link Only</x:v>
      </x:c>
      <x:c r="S113" s="117" t="str">
        <x:v>Unknown</x:v>
      </x:c>
      <x:c r="T113" s="117" t="str">
        <x:v>Unknown</x:v>
      </x:c>
      <x:c r="U113" s="117" t="str">
        <x:v>Unknown</x:v>
      </x:c>
      <x:c r="V113" s="117" t="str">
        <x:v>Unknown</x:v>
      </x:c>
      <x:c r="W113" s="117" t="str">
        <x:v>Unknown</x:v>
      </x:c>
      <x:c r="X113" s="117" t="str">
        <x:v>Unknown</x:v>
      </x:c>
      <x:c r="Y113" s="117" t="str">
        <x:v>Unknown</x:v>
      </x:c>
      <x:c r="Z113" s="117"/>
      <x:c r="AA113" s="117" t="str">
        <x:v>Pending evidence</x:v>
      </x:c>
      <x:c r="AB113" s="117"/>
      <x:c r="AC113" s="117" t="str">
        <x:v>No qualifying accessibility conclusion established from the screened sources. This is unknown, not evidence that the attraction is inaccessible.</x:v>
      </x:c>
      <x:c r="AD113" s="117" t="str">
        <x:v>2026-09-08</x:v>
      </x:c>
      <x:c r="AE113" s="117" t="str">
        <x:v>MC0110</x:v>
      </x:c>
      <x:c r="AF113" s="117" t="str">
        <x:v>Distinct candidate</x:v>
      </x:c>
      <x:c r="AG113" s="117" t="str"/>
      <x:c r="AH113" s="117" t="str">
        <x:v>Name corroborated in source</x:v>
      </x:c>
      <x:c r="AI113" s="117" t="str">
        <x:v>https://ebrochures.malaysia.travel/en/malaysia-travel-guide/melaka/</x:v>
      </x:c>
      <x:c r="AJ113" s="117" t="str">
        <x:v>Place name or established alias matched in the cited source. This is not confirmation of current opening, all visitor facilities or the full description.</x:v>
      </x:c>
      <x:c r="AK113" s="117" t="str">
        <x:v>Not independently confirmed</x:v>
      </x:c>
      <x:c r="AL113" s="117" t="str">
        <x:v>Screened sources; accessibility unresolved</x:v>
      </x:c>
      <x:c r="AM113" s="117" t="str">
        <x:v>2026-09-08</x:v>
      </x:c>
      <x:c r="AN113" s="117" t="str">
        <x:v>https://thumb.wikimedia.org/wikipedia/commons/thumb/c/c1/Cosplay_A%27Famosa_Gathering_2022.jpg/1280px-Cosplay_A%27Famosa_Gathering_2022.jpg?utm_source=commons.wikimedia.org&amp;utm_campaign=imageinfo&amp;utm_content=thumbnail</x:v>
      </x:c>
      <x:c r="AO113" s="117" t="str">
        <x:v>https://thumb.wikimedia.org/wikipedia/commons/thumb/8/8f/Freeport_A%27Famosa_Outlet.jpg/1280px-Freeport_A%27Famosa_Outlet.jpg?utm_source=commons.wikimedia.org&amp;utm_campaign=imageinfo&amp;utm_content=thumbnail</x:v>
      </x:c>
      <x:c r="AP113" s="117" t="str">
        <x:v>2 metadata-matched images; visual review pending</x:v>
      </x:c>
      <x:c r="AQ113" s="117"/>
    </x:row>
    <x:row r="114" ht="66" customHeight="1">
      <x:c r="A114" s="117" t="str">
        <x:v>MC0111</x:v>
      </x:c>
      <x:c r="B114" s="117" t="str">
        <x:v>Jasin Hot Springs</x:v>
      </x:c>
      <x:c r="C114" s="117" t="str">
        <x:v>Melaka</x:v>
      </x:c>
      <x:c r="D114" s="117" t="str">
        <x:v>Jasin</x:v>
      </x:c>
      <x:c r="E114" s="117" t="str">
        <x:v>Wellness and Relaxation</x:v>
      </x:c>
      <x:c r="F114" s="117" t="str">
        <x:v>Local</x:v>
      </x:c>
      <x:c r="G114" s="117" t="str">
        <x:v>Both</x:v>
      </x:c>
      <x:c r="H114" s="117" t="str">
        <x:v>hot spring; bathing; family</x:v>
      </x:c>
      <x:c r="I114" s="117" t="str">
        <x:v>A natural hot spring recreational area in Jasin district, Melaka.</x:v>
      </x:c>
      <x:c r="J114" s="117" t="str">
        <x:v>https://www.google.com/maps/search/?api=1&amp;query=Jasin%20Hot%20Springs%2C%20Melaka%2C%20Malaysia</x:v>
      </x:c>
      <x:c r="K114" s="117" t="str">
        <x:v>https://ebrochures.malaysia.travel/en/malaysia-travel-guide/melaka/</x:v>
      </x:c>
      <x:c r="L114" s="117" t="str">
        <x:v>Tourism Malaysia state guide plus map discovery link</x:v>
      </x:c>
      <x:c r="M114" s="117" t="str">
        <x:v>Melaka expansion batch</x:v>
      </x:c>
      <x:c r="N114" s="117"/>
      <x:c r="O114" s="117" t="str">
        <x:v>2026-08-15 00:00:00</x:v>
      </x:c>
      <x:c r="P114" s="117" t="str">
        <x:v>Complete</x:v>
      </x:c>
      <x:c r="Q114" s="117" t="str">
        <x:v>Identity and Malaysian location verified in second-pass review on 2026-09-08.</x:v>
      </x:c>
      <x:c r="R114" s="117" t="str">
        <x:f t="shared" si="1">IF(J114="","Missing Link",IF(AND(ISNUMBER(SEARCH("google.com/maps",J114)),ISERROR(SEARCH(";",J114))),"Discovery Link Only","Source Link Present"))</x:f>
        <x:v>Discovery Link Only</x:v>
      </x:c>
      <x:c r="S114" s="117" t="str">
        <x:v>Unknown</x:v>
      </x:c>
      <x:c r="T114" s="117" t="str">
        <x:v>Unknown</x:v>
      </x:c>
      <x:c r="U114" s="117" t="str">
        <x:v>Unknown</x:v>
      </x:c>
      <x:c r="V114" s="117" t="str">
        <x:v>Unknown</x:v>
      </x:c>
      <x:c r="W114" s="117" t="str">
        <x:v>Unknown</x:v>
      </x:c>
      <x:c r="X114" s="117" t="str">
        <x:v>Unknown</x:v>
      </x:c>
      <x:c r="Y114" s="117" t="str">
        <x:v>Unknown</x:v>
      </x:c>
      <x:c r="Z114" s="117"/>
      <x:c r="AA114" s="117" t="str">
        <x:v>Pending evidence</x:v>
      </x:c>
      <x:c r="AB114" s="117"/>
      <x:c r="AC114" s="117" t="str">
        <x:v>No qualifying accessibility conclusion established from the screened sources. This is unknown, not evidence that the attraction is inaccessible.</x:v>
      </x:c>
      <x:c r="AD114" s="117" t="str">
        <x:v>2026-09-08</x:v>
      </x:c>
      <x:c r="AE114" s="117" t="str">
        <x:v>MC0111</x:v>
      </x:c>
      <x:c r="AF114" s="117" t="str">
        <x:v>Distinct candidate</x:v>
      </x:c>
      <x:c r="AG114" s="117" t="str"/>
      <x:c r="AH114" s="117" t="str">
        <x:v>Identity and location corroborated</x:v>
      </x:c>
      <x:c r="AI114" s="117" t="str">
        <x:v>https://www.openstreetmap.org/node/4979314046</x:v>
      </x:c>
      <x:c r="AJ114" s="117" t="str">
        <x:v>Mapped source matches the attraction name or established alias and the stated Malaysian location. This verifies identity/location only; confirm current opening and accessibility separately.</x:v>
      </x:c>
      <x:c r="AK114" s="117" t="str">
        <x:v>Not independently confirmed</x:v>
      </x:c>
      <x:c r="AL114" s="117" t="str">
        <x:v>Screened sources; accessibility unresolved</x:v>
      </x:c>
      <x:c r="AM114" s="117" t="str">
        <x:v>2026-09-08</x:v>
      </x:c>
      <x:c r="AN114" s="117"/>
      <x:c r="AO114" s="117"/>
      <x:c r="AP114" s="117" t="str">
        <x:v>No usable pair located; image research pending</x:v>
      </x:c>
      <x:c r="AQ114" s="117"/>
    </x:row>
    <x:row r="115" ht="66" customHeight="1">
      <x:c r="A115" s="117" t="str">
        <x:v>MC0112</x:v>
      </x:c>
      <x:c r="B115" s="117" t="str">
        <x:v>Asahan Waterfall</x:v>
      </x:c>
      <x:c r="C115" s="117" t="str">
        <x:v>Melaka</x:v>
      </x:c>
      <x:c r="D115" s="117" t="str">
        <x:v>Jasin</x:v>
      </x:c>
      <x:c r="E115" s="117" t="str">
        <x:v>Nature</x:v>
      </x:c>
      <x:c r="F115" s="117" t="str">
        <x:v>Rural</x:v>
      </x:c>
      <x:c r="G115" s="117" t="str">
        <x:v>Outdoor</x:v>
      </x:c>
      <x:c r="H115" s="117" t="str">
        <x:v>waterfall; forest; picnic</x:v>
      </x:c>
      <x:c r="I115" s="117" t="str">
        <x:v>A waterfall recreational area in Jasin district, Melaka.</x:v>
      </x:c>
      <x:c r="J115" s="117" t="str">
        <x:v>https://www.google.com/maps/search/?api=1&amp;query=Asahan%20Waterfall%2C%20Melaka%2C%20Malaysia</x:v>
      </x:c>
      <x:c r="K115" s="117" t="str">
        <x:v>https://ebrochures.malaysia.travel/en/malaysia-travel-guide/melaka/</x:v>
      </x:c>
      <x:c r="L115" s="117" t="str">
        <x:v>Tourism Malaysia state guide plus map discovery link</x:v>
      </x:c>
      <x:c r="M115" s="117" t="str">
        <x:v>Melaka expansion batch</x:v>
      </x:c>
      <x:c r="N115" s="117"/>
      <x:c r="O115" s="117" t="str">
        <x:v>2026-08-15 00:00:00</x:v>
      </x:c>
      <x:c r="P115" s="117" t="str">
        <x:v>Complete</x:v>
      </x:c>
      <x:c r="Q115" s="117"/>
      <x:c r="R115" s="117" t="str">
        <x:f t="shared" si="1">IF(J115="","Missing Link",IF(AND(ISNUMBER(SEARCH("google.com/maps",J115)),ISERROR(SEARCH(";",J115))),"Discovery Link Only","Source Link Present"))</x:f>
        <x:v>Discovery Link Only</x:v>
      </x:c>
      <x:c r="S115" s="117" t="str">
        <x:v>Unknown</x:v>
      </x:c>
      <x:c r="T115" s="117" t="str">
        <x:v>Unknown</x:v>
      </x:c>
      <x:c r="U115" s="117" t="str">
        <x:v>Unknown</x:v>
      </x:c>
      <x:c r="V115" s="117" t="str">
        <x:v>Unknown</x:v>
      </x:c>
      <x:c r="W115" s="117" t="str">
        <x:v>Unknown</x:v>
      </x:c>
      <x:c r="X115" s="117" t="str">
        <x:v>Unknown</x:v>
      </x:c>
      <x:c r="Y115" s="117" t="str">
        <x:v>Unknown</x:v>
      </x:c>
      <x:c r="Z115" s="117"/>
      <x:c r="AA115" s="117" t="str">
        <x:v>Pending evidence</x:v>
      </x:c>
      <x:c r="AB115" s="117"/>
      <x:c r="AC115" s="117" t="str">
        <x:v>No qualifying accessibility conclusion established from the screened sources. This is unknown, not evidence that the attraction is inaccessible.</x:v>
      </x:c>
      <x:c r="AD115" s="117" t="str">
        <x:v>2026-09-08</x:v>
      </x:c>
      <x:c r="AE115" s="117" t="str">
        <x:v>MC0112</x:v>
      </x:c>
      <x:c r="AF115" s="117" t="str">
        <x:v>Distinct candidate</x:v>
      </x:c>
      <x:c r="AG115" s="117" t="str"/>
      <x:c r="AH115" s="117" t="str">
        <x:v>Name corroborated in source</x:v>
      </x:c>
      <x:c r="AI115" s="117" t="str">
        <x:v>https://ebrochures.malaysia.travel/en/malaysia-travel-guide/melaka/</x:v>
      </x:c>
      <x:c r="AJ115" s="117" t="str">
        <x:v>Place name or established alias matched in the cited source. This is not confirmation of current opening, all visitor facilities or the full description.</x:v>
      </x:c>
      <x:c r="AK115" s="117" t="str">
        <x:v>Not independently confirmed</x:v>
      </x:c>
      <x:c r="AL115" s="117" t="str">
        <x:v>Screened sources; accessibility unresolved</x:v>
      </x:c>
      <x:c r="AM115" s="117" t="str">
        <x:v>2026-09-08</x:v>
      </x:c>
      <x:c r="AN115" s="117"/>
      <x:c r="AO115" s="117"/>
      <x:c r="AP115" s="117" t="str">
        <x:v>No usable pair located; image research pending</x:v>
      </x:c>
      <x:c r="AQ115" s="117"/>
    </x:row>
    <x:row r="116" ht="66" customHeight="1">
      <x:c r="A116" s="117" t="str">
        <x:v>MC0113</x:v>
      </x:c>
      <x:c r="B116" s="117" t="str">
        <x:v>Tanjung Bidara Beach</x:v>
      </x:c>
      <x:c r="C116" s="117" t="str">
        <x:v>Melaka</x:v>
      </x:c>
      <x:c r="D116" s="117" t="str">
        <x:v>Masjid Tanah</x:v>
      </x:c>
      <x:c r="E116" s="117" t="str">
        <x:v>Beach and Island</x:v>
      </x:c>
      <x:c r="F116" s="117" t="str">
        <x:v>Local</x:v>
      </x:c>
      <x:c r="G116" s="117" t="str">
        <x:v>Outdoor</x:v>
      </x:c>
      <x:c r="H116" s="117" t="str">
        <x:v>beach; picnic; coast</x:v>
      </x:c>
      <x:c r="I116" s="117" t="str">
        <x:v>A public beach in Masjid Tanah, Melaka, popular for its shallow, calm waters.</x:v>
      </x:c>
      <x:c r="J116" s="117" t="str">
        <x:v>https://www.google.com/maps/search/?api=1&amp;query=Tanjung%20Bidara%20Beach%2C%20Melaka%2C%20Malaysia</x:v>
      </x:c>
      <x:c r="K116" s="117" t="str">
        <x:v>https://ebrochures.malaysia.travel/en/malaysia-travel-guide/melaka/</x:v>
      </x:c>
      <x:c r="L116" s="117" t="str">
        <x:v>Tourism Malaysia state guide plus map discovery link</x:v>
      </x:c>
      <x:c r="M116" s="117" t="str">
        <x:v>Melaka expansion batch</x:v>
      </x:c>
      <x:c r="N116" s="117"/>
      <x:c r="O116" s="117" t="str">
        <x:v>2026-08-15 00:00:00</x:v>
      </x:c>
      <x:c r="P116" s="117" t="str">
        <x:v>Complete</x:v>
      </x:c>
      <x:c r="Q116" s="117"/>
      <x:c r="R116" s="117" t="str">
        <x:f t="shared" si="1">IF(J116="","Missing Link",IF(AND(ISNUMBER(SEARCH("google.com/maps",J116)),ISERROR(SEARCH(";",J116))),"Discovery Link Only","Source Link Present"))</x:f>
        <x:v>Discovery Link Only</x:v>
      </x:c>
      <x:c r="S116" s="117" t="str">
        <x:v>Unknown</x:v>
      </x:c>
      <x:c r="T116" s="117" t="str">
        <x:v>Unknown</x:v>
      </x:c>
      <x:c r="U116" s="117" t="str">
        <x:v>Unknown</x:v>
      </x:c>
      <x:c r="V116" s="117" t="str">
        <x:v>Unknown</x:v>
      </x:c>
      <x:c r="W116" s="117" t="str">
        <x:v>Unknown</x:v>
      </x:c>
      <x:c r="X116" s="117" t="str">
        <x:v>Unknown</x:v>
      </x:c>
      <x:c r="Y116" s="117" t="str">
        <x:v>Unknown</x:v>
      </x:c>
      <x:c r="Z116" s="117"/>
      <x:c r="AA116" s="117" t="str">
        <x:v>Pending evidence</x:v>
      </x:c>
      <x:c r="AB116" s="117"/>
      <x:c r="AC116" s="117" t="str">
        <x:v>No qualifying accessibility conclusion established from the screened sources. This is unknown, not evidence that the attraction is inaccessible.</x:v>
      </x:c>
      <x:c r="AD116" s="117" t="str">
        <x:v>2026-09-08</x:v>
      </x:c>
      <x:c r="AE116" s="117" t="str">
        <x:v>MC0113</x:v>
      </x:c>
      <x:c r="AF116" s="117" t="str">
        <x:v>Distinct candidate</x:v>
      </x:c>
      <x:c r="AG116" s="117" t="str"/>
      <x:c r="AH116" s="117" t="str">
        <x:v>Name corroborated in source</x:v>
      </x:c>
      <x:c r="AI116" s="117" t="str">
        <x:v>https://ebrochures.malaysia.travel/en/malaysia-travel-guide/melaka/</x:v>
      </x:c>
      <x:c r="AJ116" s="117" t="str">
        <x:v>Place name or established alias matched in the cited source. This is not confirmation of current opening, all visitor facilities or the full description.</x:v>
      </x:c>
      <x:c r="AK116" s="117" t="str">
        <x:v>Not independently confirmed</x:v>
      </x:c>
      <x:c r="AL116" s="117" t="str">
        <x:v>Screened sources; accessibility unresolved</x:v>
      </x:c>
      <x:c r="AM116" s="117" t="str">
        <x:v>2026-09-08</x:v>
      </x:c>
      <x:c r="AN116" s="117" t="str">
        <x:v>https://thumb.wikimedia.org/wikipedia/commons/thumb/b/bc/Tanjung_Bidara_Beach.JPG/1280px-Tanjung_Bidara_Beach.JPG?utm_source=commons.wikimedia.org&amp;utm_campaign=imageinfo&amp;utm_content=thumbnail</x:v>
      </x:c>
      <x:c r="AO116" s="117"/>
      <x:c r="AP116" s="117" t="str">
        <x:v>1 metadata-matched images; visual review pending</x:v>
      </x:c>
      <x:c r="AQ116" s="117"/>
    </x:row>
    <x:row r="117" ht="66" customHeight="1">
      <x:c r="A117" s="117" t="str">
        <x:v>MC0114</x:v>
      </x:c>
      <x:c r="B117" s="117" t="str">
        <x:v>Demang Abdul Ghani Gallery</x:v>
      </x:c>
      <x:c r="C117" s="117" t="str">
        <x:v>Melaka</x:v>
      </x:c>
      <x:c r="D117" s="117" t="str">
        <x:v>Sungai Rambai</x:v>
      </x:c>
      <x:c r="E117" s="117" t="str">
        <x:v>Museum and Gallery</x:v>
      </x:c>
      <x:c r="F117" s="117" t="str">
        <x:v>Underrated</x:v>
      </x:c>
      <x:c r="G117" s="117" t="str">
        <x:v>Indoor</x:v>
      </x:c>
      <x:c r="H117" s="117" t="str">
        <x:v>traditional house; history; culture</x:v>
      </x:c>
      <x:c r="I117" s="117" t="str">
        <x:v>A small heritage gallery in Sungai Rambai, Melaka.</x:v>
      </x:c>
      <x:c r="J117" s="117" t="str">
        <x:v>https://www.google.com/maps/search/?api=1&amp;query=Demang%20Abdul%20Ghani%20Gallery%2C%20Melaka%2C%20Malaysia</x:v>
      </x:c>
      <x:c r="K117" s="117" t="str">
        <x:v>https://ebrochures.malaysia.travel/en/malaysia-travel-guide/melaka/</x:v>
      </x:c>
      <x:c r="L117" s="117" t="str">
        <x:v>Tourism Malaysia state guide plus map discovery link</x:v>
      </x:c>
      <x:c r="M117" s="117" t="str">
        <x:v>Melaka expansion batch</x:v>
      </x:c>
      <x:c r="N117" s="117"/>
      <x:c r="O117" s="117" t="str">
        <x:v>2026-08-15 00:00:00</x:v>
      </x:c>
      <x:c r="P117" s="117" t="str">
        <x:v>Complete</x:v>
      </x:c>
      <x:c r="Q117" s="117"/>
      <x:c r="R117" s="117" t="str">
        <x:f t="shared" si="1">IF(J117="","Missing Link",IF(AND(ISNUMBER(SEARCH("google.com/maps",J117)),ISERROR(SEARCH(";",J117))),"Discovery Link Only","Source Link Present"))</x:f>
        <x:v>Discovery Link Only</x:v>
      </x:c>
      <x:c r="S117" s="117" t="str">
        <x:v>Unknown</x:v>
      </x:c>
      <x:c r="T117" s="117" t="str">
        <x:v>Unknown</x:v>
      </x:c>
      <x:c r="U117" s="117" t="str">
        <x:v>Unknown</x:v>
      </x:c>
      <x:c r="V117" s="117" t="str">
        <x:v>Unknown</x:v>
      </x:c>
      <x:c r="W117" s="117" t="str">
        <x:v>Unknown</x:v>
      </x:c>
      <x:c r="X117" s="117" t="str">
        <x:v>Unknown</x:v>
      </x:c>
      <x:c r="Y117" s="117" t="str">
        <x:v>Unknown</x:v>
      </x:c>
      <x:c r="Z117" s="117"/>
      <x:c r="AA117" s="117" t="str">
        <x:v>Pending evidence</x:v>
      </x:c>
      <x:c r="AB117" s="117"/>
      <x:c r="AC117" s="117" t="str">
        <x:v>No qualifying accessibility conclusion established from the screened sources. This is unknown, not evidence that the attraction is inaccessible.</x:v>
      </x:c>
      <x:c r="AD117" s="117" t="str">
        <x:v>2026-09-08</x:v>
      </x:c>
      <x:c r="AE117" s="117" t="str">
        <x:v>MC0114</x:v>
      </x:c>
      <x:c r="AF117" s="117" t="str">
        <x:v>Distinct candidate</x:v>
      </x:c>
      <x:c r="AG117" s="117" t="str"/>
      <x:c r="AH117" s="117" t="str">
        <x:v>Name corroborated in source</x:v>
      </x:c>
      <x:c r="AI117" s="117" t="str">
        <x:v>https://ebrochures.malaysia.travel/en/malaysia-travel-guide/melaka/</x:v>
      </x:c>
      <x:c r="AJ117" s="117" t="str">
        <x:v>Place name or established alias matched in the cited source. This is not confirmation of current opening, all visitor facilities or the full description.</x:v>
      </x:c>
      <x:c r="AK117" s="117" t="str">
        <x:v>Not independently confirmed</x:v>
      </x:c>
      <x:c r="AL117" s="117" t="str">
        <x:v>Screened sources; accessibility unresolved</x:v>
      </x:c>
      <x:c r="AM117" s="117" t="str">
        <x:v>2026-09-08</x:v>
      </x:c>
      <x:c r="AN117" s="117" t="str">
        <x:v>https://thumb.wikimedia.org/wikipedia/commons/thumb/5/5e/Demang_Abdul_Ghani_Gallery.JPG/1280px-Demang_Abdul_Ghani_Gallery.JPG?utm_source=commons.wikimedia.org&amp;utm_campaign=imageinfo&amp;utm_content=thumbnail</x:v>
      </x:c>
      <x:c r="AO117" s="117" t="str">
        <x:v>https://thumb.wikimedia.org/wikipedia/commons/thumb/f/fd/Demang_Abdul_Ghani_Gallery_-_Interior.JPG/1280px-Demang_Abdul_Ghani_Gallery_-_Interior.JPG?utm_source=commons.wikimedia.org&amp;utm_campaign=imageinfo&amp;utm_content=thumbnail</x:v>
      </x:c>
      <x:c r="AP117" s="117" t="str">
        <x:v>2 metadata-matched images; visual review pending</x:v>
      </x:c>
      <x:c r="AQ117" s="117"/>
    </x:row>
    <x:row r="118" ht="66" customHeight="1">
      <x:c r="A118" s="117" t="str">
        <x:v>MC0115</x:v>
      </x:c>
      <x:c r="B118" s="117" t="str">
        <x:v>Port Dickson</x:v>
      </x:c>
      <x:c r="C118" s="117" t="str">
        <x:v>Negeri Sembilan</x:v>
      </x:c>
      <x:c r="D118" s="117" t="str">
        <x:v>Port Dickson</x:v>
      </x:c>
      <x:c r="E118" s="117" t="str">
        <x:v>Beach and Island</x:v>
      </x:c>
      <x:c r="F118" s="117" t="str">
        <x:v>Unclassified</x:v>
      </x:c>
      <x:c r="G118" s="117" t="str">
        <x:v>Both</x:v>
      </x:c>
      <x:c r="H118" s="117" t="str">
        <x:v>Beach; coastline; swimming; relaxation; sunset; picnicking; camping; water sports; kayaking; parasailing; jet skiing; banana boat; fishing; kite flying; waterfront; museums; military history; lighthouse; forest reserve; wildlife; family recreation; food; resorts; weekend getaway</x:v>
      </x:c>
      <x:c r="I118" s="117" t="str">
        <x:v>A popular west-coast seaside destination in Negeri Sembilan, approximately 90 km south of Kuala Lumpur. Its long coastline includes beaches such as Teluk Kemang, Saujana, Blue Lagoon and Cahaya Negeri, complemented by waterfront recreation, museums, nature attractions, family activities, restaurants and resorts.</x:v>
      </x:c>
      <x:c r="J118" s="117" t="str">
        <x:v>https://www.malaysia.travel/explore/port-dickson ; https://www.mppd.gov.my/ms/pelawat/destinasi-menarik ; https://www.mppd.gov.my/en/visitors/beach ; https://ebrochures.malaysia.travel/en/islands-and-beaches/port-diskson/</x:v>
      </x:c>
      <x:c r="K118" s="117" t="str">
        <x:v>https://ebrochures.malaysia.travel/en/malaysia-travel-guide/negeri-sembilan/</x:v>
      </x:c>
      <x:c r="L118" s="117" t="str">
        <x:v>Previous workbook candidate/source lead</x:v>
      </x:c>
      <x:c r="M118" s="117" t="str">
        <x:v>Previous workbook seed</x:v>
      </x:c>
      <x:c r="N118" s="117" t="str">
        <x:v>A014</x:v>
      </x:c>
      <x:c r="O118" s="117" t="str">
        <x:v>2026-08-15 00:00:00</x:v>
      </x:c>
      <x:c r="P118" s="117" t="str">
        <x:v>Complete</x:v>
      </x:c>
      <x:c r="Q118" s="117"/>
      <x:c r="R118" s="117" t="str">
        <x:f t="shared" si="1">IF(J118="","Missing Link",IF(AND(ISNUMBER(SEARCH("google.com/maps",J118)),ISERROR(SEARCH(";",J118))),"Discovery Link Only","Source Link Present"))</x:f>
        <x:v>Source Link Present</x:v>
      </x:c>
      <x:c r="S118" s="117" t="str">
        <x:v>Unknown</x:v>
      </x:c>
      <x:c r="T118" s="117" t="str">
        <x:v>Unknown</x:v>
      </x:c>
      <x:c r="U118" s="117" t="str">
        <x:v>Unknown</x:v>
      </x:c>
      <x:c r="V118" s="117" t="str">
        <x:v>Unknown</x:v>
      </x:c>
      <x:c r="W118" s="117" t="str">
        <x:v>Unknown</x:v>
      </x:c>
      <x:c r="X118" s="117" t="str">
        <x:v>Unknown</x:v>
      </x:c>
      <x:c r="Y118" s="117" t="str">
        <x:v>Unknown</x:v>
      </x:c>
      <x:c r="Z118" s="117"/>
      <x:c r="AA118" s="117" t="str">
        <x:v>Pending evidence</x:v>
      </x:c>
      <x:c r="AB118" s="117"/>
      <x:c r="AC118" s="117" t="str">
        <x:v>No qualifying accessibility conclusion established from the screened sources. This is unknown, not evidence that the attraction is inaccessible.</x:v>
      </x:c>
      <x:c r="AD118" s="117" t="str">
        <x:v>2026-09-08</x:v>
      </x:c>
      <x:c r="AE118" s="117" t="str">
        <x:v>MC0115</x:v>
      </x:c>
      <x:c r="AF118" s="117" t="str">
        <x:v>Distinct candidate</x:v>
      </x:c>
      <x:c r="AG118" s="117" t="str"/>
      <x:c r="AH118" s="117" t="str">
        <x:v>Name corroborated in source</x:v>
      </x:c>
      <x:c r="AI118" s="117" t="str">
        <x:v>https://www.malaysia.travel/explore/port-dickson</x:v>
      </x:c>
      <x:c r="AJ118" s="117" t="str">
        <x:v>Place name or established alias matched in the cited source. This is not confirmation of current opening, all visitor facilities or the full description.</x:v>
      </x:c>
      <x:c r="AK118" s="117" t="str">
        <x:v>Not independently confirmed</x:v>
      </x:c>
      <x:c r="AL118" s="117" t="str">
        <x:v>Screened sources; accessibility unresolved</x:v>
      </x:c>
      <x:c r="AM118" s="117" t="str">
        <x:v>2026-09-08</x:v>
      </x:c>
      <x:c r="AN118" s="117" t="str">
        <x:v>https://thumb.wikimedia.org/wikipedia/commons/thumb/6/66/Downtown_Port_Dickson_south_view.jpg/1280px-Downtown_Port_Dickson_south_view.jpg?utm_source=commons.wikimedia.org&amp;utm_campaign=imageinfo&amp;utm_content=thumbnail</x:v>
      </x:c>
      <x:c r="AO118" s="117" t="str">
        <x:v>https://thumb.wikimedia.org/wikipedia/commons/thumb/3/3f/Port_Dickson_Town_Center_3.jpg/1280px-Port_Dickson_Town_Center_3.jpg?utm_source=commons.wikimedia.org&amp;utm_campaign=imageinfo&amp;utm_content=thumbnail</x:v>
      </x:c>
      <x:c r="AP118" s="117" t="str">
        <x:v>2 metadata-matched images; visual review pending</x:v>
      </x:c>
      <x:c r="AQ118" s="117"/>
    </x:row>
    <x:row r="119" ht="66" customHeight="1">
      <x:c r="A119" s="117" t="str">
        <x:v>MC0116</x:v>
      </x:c>
      <x:c r="B119" s="117" t="str">
        <x:v>Ulu Bendul Recreational Forest</x:v>
      </x:c>
      <x:c r="C119" s="117" t="str">
        <x:v>Negeri Sembilan</x:v>
      </x:c>
      <x:c r="D119" s="117" t="str">
        <x:v>Kuala Pilah</x:v>
      </x:c>
      <x:c r="E119" s="117" t="str">
        <x:v>Nature</x:v>
      </x:c>
      <x:c r="F119" s="117" t="str">
        <x:v>Unclassified</x:v>
      </x:c>
      <x:c r="G119" s="117" t="str">
        <x:v>Outdoor</x:v>
      </x:c>
      <x:c r="H119" s="117" t="str">
        <x:v>Recreational forest; eco park; tropical rainforest; river; stream; swimming; wading; natural pool; picnicking; camping; hiking; trekking; forest trail; Gunung Angsi; fishing; wildlife; birdwatching; photography; relaxation; family recreation</x:v>
      </x:c>
      <x:c r="I119" s="117" t="str">
        <x:v>A forest eco-park in the Angsi Forest Reserve near Kuala Pilah, centred on the clear Batang Terachi River and shaded tropical greenery. Visitors come for picnics, stream bathing, forest walks, camping, fishing and access toward Gunung Angsi, supported by basic recreational facilities.</x:v>
      </x:c>
      <x:c r="J119" s="117" t="str">
        <x:v>https://www.malaysia.travel/explore/ulu-bendul-recreational-forest ; https://www.forestry.gov.my/en/negeri-sembilan/taman-eko-rimba-ulu-bendul ; https://www.forestry.gov.my/my/negeri-sembilan/taman-eko-rimba-ulu-bendul ; https://www.forestry.gov.my/en/peta-lokasi/106-hutan-lipur-hutan-taman-negeri/hutan-lipur-negeri-sembilan/223-ter-ulu-bendul ; https://ebrochures.malaysia.travel/en/malaysia-travel-guide/negeri-sembilan/</x:v>
      </x:c>
      <x:c r="K119" s="117" t="str">
        <x:v>https://ebrochures.malaysia.travel/en/malaysia-travel-guide/negeri-sembilan/</x:v>
      </x:c>
      <x:c r="L119" s="117" t="str">
        <x:v>Previous workbook candidate/source lead</x:v>
      </x:c>
      <x:c r="M119" s="117" t="str">
        <x:v>Previous workbook seed</x:v>
      </x:c>
      <x:c r="N119" s="117" t="str">
        <x:v>A015</x:v>
      </x:c>
      <x:c r="O119" s="117" t="str">
        <x:v>2026-08-15 00:00:00</x:v>
      </x:c>
      <x:c r="P119" s="117" t="str">
        <x:v>Complete</x:v>
      </x:c>
      <x:c r="Q119" s="117"/>
      <x:c r="R119" s="117" t="str">
        <x:f t="shared" si="1">IF(J119="","Missing Link",IF(AND(ISNUMBER(SEARCH("google.com/maps",J119)),ISERROR(SEARCH(";",J119))),"Discovery Link Only","Source Link Present"))</x:f>
        <x:v>Source Link Present</x:v>
      </x:c>
      <x:c r="S119" s="117" t="str">
        <x:v>Unknown</x:v>
      </x:c>
      <x:c r="T119" s="117" t="str">
        <x:v>Unknown</x:v>
      </x:c>
      <x:c r="U119" s="117" t="str">
        <x:v>Unknown</x:v>
      </x:c>
      <x:c r="V119" s="117" t="str">
        <x:v>Unknown</x:v>
      </x:c>
      <x:c r="W119" s="117" t="str">
        <x:v>Unknown</x:v>
      </x:c>
      <x:c r="X119" s="117" t="str">
        <x:v>Unknown</x:v>
      </x:c>
      <x:c r="Y119" s="117" t="str">
        <x:v>Unknown</x:v>
      </x:c>
      <x:c r="Z119" s="117"/>
      <x:c r="AA119" s="117" t="str">
        <x:v>Pending evidence</x:v>
      </x:c>
      <x:c r="AB119" s="117"/>
      <x:c r="AC119" s="117" t="str">
        <x:v>No qualifying accessibility conclusion established from the screened sources. This is unknown, not evidence that the attraction is inaccessible.</x:v>
      </x:c>
      <x:c r="AD119" s="117" t="str">
        <x:v>2026-09-08</x:v>
      </x:c>
      <x:c r="AE119" s="117" t="str">
        <x:v>MC0116</x:v>
      </x:c>
      <x:c r="AF119" s="117" t="str">
        <x:v>Distinct candidate</x:v>
      </x:c>
      <x:c r="AG119" s="117" t="str"/>
      <x:c r="AH119" s="117" t="str">
        <x:v>Name corroborated in source</x:v>
      </x:c>
      <x:c r="AI119" s="117" t="str">
        <x:v>https://www.malaysia.travel/explore/ulu-bendul-recreational-forest</x:v>
      </x:c>
      <x:c r="AJ119" s="117" t="str">
        <x:v>Place name or established alias matched in the cited source. This is not confirmation of current opening, all visitor facilities or the full description.</x:v>
      </x:c>
      <x:c r="AK119" s="117" t="str">
        <x:v>Not independently confirmed</x:v>
      </x:c>
      <x:c r="AL119" s="117" t="str">
        <x:v>Screened sources; accessibility unresolved</x:v>
      </x:c>
      <x:c r="AM119" s="117" t="str">
        <x:v>2026-09-08</x:v>
      </x:c>
      <x:c r="AN119" s="117" t="str">
        <x:v>https://thumb.wikimedia.org/wikipedia/commons/thumb/4/45/Observed_by_Nature.jpg/1280px-Observed_by_Nature.jpg?utm_source=commons.wikimedia.org&amp;utm_campaign=imageinfo&amp;utm_content=thumbnail</x:v>
      </x:c>
      <x:c r="AO119" s="117"/>
      <x:c r="AP119" s="117" t="str">
        <x:v>1 metadata-matched images; visual review pending</x:v>
      </x:c>
      <x:c r="AQ119" s="117"/>
    </x:row>
    <x:row r="120" ht="66" customHeight="1">
      <x:c r="A120" s="117" t="str">
        <x:v>MC0117</x:v>
      </x:c>
      <x:c r="B120" s="117" t="str">
        <x:v>Army Museum Port Dickson</x:v>
      </x:c>
      <x:c r="C120" s="117" t="str">
        <x:v>Negeri Sembilan</x:v>
      </x:c>
      <x:c r="D120" s="117" t="str">
        <x:v>Port Dickson</x:v>
      </x:c>
      <x:c r="E120" s="117" t="str">
        <x:v>Museum and Gallery</x:v>
      </x:c>
      <x:c r="F120" s="117" t="str">
        <x:v>Unclassified</x:v>
      </x:c>
      <x:c r="G120" s="117" t="str">
        <x:v>Both</x:v>
      </x:c>
      <x:c r="H120" s="117" t="str">
        <x:v>museum; military history; education; heritage</x:v>
      </x:c>
      <x:c r="I120" s="117" t="str">
        <x:v>A military museum in Port Dickson showcasing Malaysian Army history and equipment.</x:v>
      </x:c>
      <x:c r="J120" s="117" t="str">
        <x:v>https://www.google.com/maps/search/?api=1&amp;query=Army%20Museum%20Port%20Dickson%2C%20Negeri%20Sembilan%2C%20Malaysia</x:v>
      </x:c>
      <x:c r="K120" s="117" t="str">
        <x:v>https://ebrochures.malaysia.travel/en/malaysia-travel-guide/negeri-sembilan/</x:v>
      </x:c>
      <x:c r="L120" s="117" t="str">
        <x:v>Previous workbook candidate/source lead</x:v>
      </x:c>
      <x:c r="M120" s="117" t="str">
        <x:v>Previous workbook seed</x:v>
      </x:c>
      <x:c r="N120" s="117" t="str">
        <x:v>A065</x:v>
      </x:c>
      <x:c r="O120" s="117" t="str">
        <x:v>2026-08-15 00:00:00</x:v>
      </x:c>
      <x:c r="P120" s="117" t="str">
        <x:v>Complete</x:v>
      </x:c>
      <x:c r="Q120" s="117"/>
      <x:c r="R120" s="117" t="str">
        <x:f t="shared" si="1">IF(J120="","Missing Link",IF(AND(ISNUMBER(SEARCH("google.com/maps",J120)),ISERROR(SEARCH(";",J120))),"Discovery Link Only","Source Link Present"))</x:f>
        <x:v>Discovery Link Only</x:v>
      </x:c>
      <x:c r="S120" s="117" t="str">
        <x:v>Unknown</x:v>
      </x:c>
      <x:c r="T120" s="117" t="str">
        <x:v>Unknown</x:v>
      </x:c>
      <x:c r="U120" s="117" t="str">
        <x:v>Unknown</x:v>
      </x:c>
      <x:c r="V120" s="117" t="str">
        <x:v>Unknown</x:v>
      </x:c>
      <x:c r="W120" s="117" t="str">
        <x:v>Unknown</x:v>
      </x:c>
      <x:c r="X120" s="117" t="str">
        <x:v>Unknown</x:v>
      </x:c>
      <x:c r="Y120" s="117" t="str">
        <x:v>Unknown</x:v>
      </x:c>
      <x:c r="Z120" s="117"/>
      <x:c r="AA120" s="117" t="str">
        <x:v>Pending evidence</x:v>
      </x:c>
      <x:c r="AB120" s="117"/>
      <x:c r="AC120" s="117" t="str">
        <x:v>No qualifying accessibility conclusion established from the screened sources. This is unknown, not evidence that the attraction is inaccessible.</x:v>
      </x:c>
      <x:c r="AD120" s="117" t="str">
        <x:v>2026-09-08</x:v>
      </x:c>
      <x:c r="AE120" s="117" t="str">
        <x:v>MC0117</x:v>
      </x:c>
      <x:c r="AF120" s="117" t="str">
        <x:v>Distinct candidate</x:v>
      </x:c>
      <x:c r="AG120" s="117" t="str"/>
      <x:c r="AH120" s="117" t="str">
        <x:v>Name corroborated in source</x:v>
      </x:c>
      <x:c r="AI120" s="117" t="str">
        <x:v>https://ebrochures.malaysia.travel/en/malaysia-travel-guide/negeri-sembilan/</x:v>
      </x:c>
      <x:c r="AJ120" s="117" t="str">
        <x:v>Place name or established alias matched in the cited source. This is not confirmation of current opening, all visitor facilities or the full description.</x:v>
      </x:c>
      <x:c r="AK120" s="117" t="str">
        <x:v>Not independently confirmed</x:v>
      </x:c>
      <x:c r="AL120" s="117" t="str">
        <x:v>Screened sources; accessibility unresolved</x:v>
      </x:c>
      <x:c r="AM120" s="117" t="str">
        <x:v>2026-09-08</x:v>
      </x:c>
      <x:c r="AN120" s="117" t="str">
        <x:v>https://upload.wikimedia.org/wikipedia/commons/0/07/Malaysian_Army_V-150_on_display.jpg?utm_source=commons.wikimedia.org&amp;utm_campaign=imageinfo&amp;utm_content=thumbnail_unscaled</x:v>
      </x:c>
      <x:c r="AO120" s="117" t="str">
        <x:v>https://upload.wikimedia.org/wikipedia/commons/d/d2/Without_wheel.jpg?utm_source=commons.wikimedia.org&amp;utm_campaign=imageinfo&amp;utm_content=thumbnail_unscaled</x:v>
      </x:c>
      <x:c r="AP120" s="117" t="str">
        <x:v>2 metadata-matched images; visual review pending</x:v>
      </x:c>
      <x:c r="AQ120" s="117"/>
    </x:row>
    <x:row r="121" ht="66" customHeight="1">
      <x:c r="A121" s="117" t="str">
        <x:v>MC0118</x:v>
      </x:c>
      <x:c r="B121" s="117" t="str">
        <x:v>Cape Rachado Lighthouse</x:v>
      </x:c>
      <x:c r="C121" s="117" t="str">
        <x:v>Melaka</x:v>
      </x:c>
      <x:c r="D121" s="117" t="str">
        <x:v>Tanjung Tuan / Alor Gajah</x:v>
      </x:c>
      <x:c r="E121" s="117" t="str">
        <x:v>Heritage and History</x:v>
      </x:c>
      <x:c r="F121" s="117" t="str">
        <x:v>Unclassified</x:v>
      </x:c>
      <x:c r="G121" s="117" t="str">
        <x:v>Outdoor</x:v>
      </x:c>
      <x:c r="H121" s="117" t="str">
        <x:v>lighthouse; hiking; history; scenery; nature</x:v>
      </x:c>
      <x:c r="I121" s="117" t="str">
        <x:v>A historic Portuguese-built lighthouse on a headland in Port Dickson, offering coastal views.</x:v>
      </x:c>
      <x:c r="J121" s="117" t="str">
        <x:v>https://www.google.com/maps/search/?api=1&amp;query=Cape%20Rachado%20Lighthouse%2C%20Negeri%20Sembilan%2C%20Malaysia</x:v>
      </x:c>
      <x:c r="K121" s="117" t="str">
        <x:v>https://ebrochures.malaysia.travel/en/malaysia-travel-guide/melaka/</x:v>
      </x:c>
      <x:c r="L121" s="117" t="str">
        <x:v>Previous workbook candidate/source lead</x:v>
      </x:c>
      <x:c r="M121" s="117" t="str">
        <x:v>Previous workbook seed</x:v>
      </x:c>
      <x:c r="N121" s="117" t="str">
        <x:v>A066</x:v>
      </x:c>
      <x:c r="O121" s="117" t="str">
        <x:v>2026-08-15 00:00:00</x:v>
      </x:c>
      <x:c r="P121" s="117" t="str">
        <x:v>Complete</x:v>
      </x:c>
      <x:c r="Q121" s="117" t="str">
        <x:v>Cape Rachado is in a Melaka exclave, reached through Port Dickson.</x:v>
      </x:c>
      <x:c r="R121" s="117" t="str">
        <x:f t="shared" si="1">IF(J121="","Missing Link",IF(AND(ISNUMBER(SEARCH("google.com/maps",J121)),ISERROR(SEARCH(";",J121))),"Discovery Link Only","Source Link Present"))</x:f>
        <x:v>Discovery Link Only</x:v>
      </x:c>
      <x:c r="S121" s="117" t="str">
        <x:v>Unknown</x:v>
      </x:c>
      <x:c r="T121" s="117" t="str">
        <x:v>Unknown</x:v>
      </x:c>
      <x:c r="U121" s="117" t="str">
        <x:v>Unknown</x:v>
      </x:c>
      <x:c r="V121" s="117" t="str">
        <x:v>Unknown</x:v>
      </x:c>
      <x:c r="W121" s="117" t="str">
        <x:v>Unknown</x:v>
      </x:c>
      <x:c r="X121" s="117" t="str">
        <x:v>Unknown</x:v>
      </x:c>
      <x:c r="Y121" s="117" t="str">
        <x:v>Unknown</x:v>
      </x:c>
      <x:c r="Z121" s="117"/>
      <x:c r="AA121" s="117" t="str">
        <x:v>Pending evidence</x:v>
      </x:c>
      <x:c r="AB121" s="117"/>
      <x:c r="AC121" s="117" t="str">
        <x:v>No qualifying accessibility conclusion established from the screened sources. This is unknown, not evidence that the attraction is inaccessible.</x:v>
      </x:c>
      <x:c r="AD121" s="117" t="str">
        <x:v>2026-09-08</x:v>
      </x:c>
      <x:c r="AE121" s="117" t="str">
        <x:v>MC0118</x:v>
      </x:c>
      <x:c r="AF121" s="117" t="str">
        <x:v>Distinct candidate</x:v>
      </x:c>
      <x:c r="AG121" s="117" t="str"/>
      <x:c r="AH121" s="117" t="str">
        <x:v>Location corrected from source</x:v>
      </x:c>
      <x:c r="AI121" s="117" t="str">
        <x:v>https://www.mpag.gov.my/cape-rachado-birds-sanctuary-tanjung-tuan/</x:v>
      </x:c>
      <x:c r="AJ121" s="117" t="str">
        <x:v>Available discovery sources and state guide screened; no reliable name match established. Venue-specific verification remains pending.</x:v>
      </x:c>
      <x:c r="AK121" s="117" t="str">
        <x:v>Not independently confirmed</x:v>
      </x:c>
      <x:c r="AL121" s="117" t="str">
        <x:v>Screened sources; accessibility unresolved</x:v>
      </x:c>
      <x:c r="AM121" s="117" t="str">
        <x:v>2026-09-08</x:v>
      </x:c>
      <x:c r="AN121" s="117" t="str">
        <x:v>https://thumb.wikimedia.org/wikipedia/commons/thumb/9/94/Cape_Rachado_Lighthouse%2C_Malacca%2C_Malaysia%2C_2024_02.jpg/1280px-Cape_Rachado_Lighthouse%2C_Malacca%2C_Malaysia%2C_2024_02.jpg?utm_source=commons.wikimedia.org&amp;utm_campaign=imageinfo&amp;utm_content=thumbnail</x:v>
      </x:c>
      <x:c r="AO121" s="117" t="str">
        <x:v>https://thumb.wikimedia.org/wikipedia/commons/thumb/8/8e/Cape_Rachado_Lighthouse%2C_Malacca%2C_Malaysia%2C_2024_03.jpg/1280px-Cape_Rachado_Lighthouse%2C_Malacca%2C_Malaysia%2C_2024_03.jpg?utm_source=commons.wikimedia.org&amp;utm_campaign=imageinfo&amp;utm_content=thumbnail</x:v>
      </x:c>
      <x:c r="AP121" s="117" t="str">
        <x:v>2 metadata-matched images; visual review pending</x:v>
      </x:c>
      <x:c r="AQ121" s="117" t="str">
        <x:v>https://www.mpag.gov.my/cape-rachado-birds-sanctuary-tanjung-tuan/</x:v>
      </x:c>
    </x:row>
    <x:row r="122" ht="66" customHeight="1">
      <x:c r="A122" s="117" t="str">
        <x:v>MC0119</x:v>
      </x:c>
      <x:c r="B122" s="117" t="str">
        <x:v>Lukut Museum and Fort</x:v>
      </x:c>
      <x:c r="C122" s="117" t="str">
        <x:v>Negeri Sembilan</x:v>
      </x:c>
      <x:c r="D122" s="117" t="str">
        <x:v>Lukut</x:v>
      </x:c>
      <x:c r="E122" s="117" t="str">
        <x:v>Museum and Gallery</x:v>
      </x:c>
      <x:c r="F122" s="117" t="str">
        <x:v>Unclassified</x:v>
      </x:c>
      <x:c r="G122" s="117" t="str">
        <x:v>Both</x:v>
      </x:c>
      <x:c r="H122" s="117" t="str">
        <x:v>museum; fort; history; heritage; archaeology</x:v>
      </x:c>
      <x:c r="I122" s="117" t="str">
        <x:v>Ruins of a 19th-century tin-mining era fort in Lukut, with an adjoining heritage museum.</x:v>
      </x:c>
      <x:c r="J122" s="117" t="str">
        <x:v>https://www.google.com/maps/search/?api=1&amp;query=Lukut%20Museum%20and%20Fort%2C%20Negeri%20Sembilan%2C%20Malaysia</x:v>
      </x:c>
      <x:c r="K122" s="117" t="str">
        <x:v>https://ebrochures.malaysia.travel/en/malaysia-travel-guide/negeri-sembilan/</x:v>
      </x:c>
      <x:c r="L122" s="117" t="str">
        <x:v>Previous workbook candidate/source lead</x:v>
      </x:c>
      <x:c r="M122" s="117" t="str">
        <x:v>Previous workbook seed</x:v>
      </x:c>
      <x:c r="N122" s="117" t="str">
        <x:v>A067</x:v>
      </x:c>
      <x:c r="O122" s="117" t="str">
        <x:v>2026-08-15 00:00:00</x:v>
      </x:c>
      <x:c r="P122" s="117" t="str">
        <x:v>Complete</x:v>
      </x:c>
      <x:c r="Q122" s="117"/>
      <x:c r="R122" s="117" t="str">
        <x:f t="shared" si="1">IF(J122="","Missing Link",IF(AND(ISNUMBER(SEARCH("google.com/maps",J122)),ISERROR(SEARCH(";",J122))),"Discovery Link Only","Source Link Present"))</x:f>
        <x:v>Discovery Link Only</x:v>
      </x:c>
      <x:c r="S122" s="117" t="str">
        <x:v>Unknown</x:v>
      </x:c>
      <x:c r="T122" s="117" t="str">
        <x:v>Unknown</x:v>
      </x:c>
      <x:c r="U122" s="117" t="str">
        <x:v>Unknown</x:v>
      </x:c>
      <x:c r="V122" s="117" t="str">
        <x:v>Unknown</x:v>
      </x:c>
      <x:c r="W122" s="117" t="str">
        <x:v>Unknown</x:v>
      </x:c>
      <x:c r="X122" s="117" t="str">
        <x:v>Unknown</x:v>
      </x:c>
      <x:c r="Y122" s="117" t="str">
        <x:v>Unknown</x:v>
      </x:c>
      <x:c r="Z122" s="117"/>
      <x:c r="AA122" s="117" t="str">
        <x:v>Pending evidence</x:v>
      </x:c>
      <x:c r="AB122" s="117"/>
      <x:c r="AC122" s="117" t="str">
        <x:v>No qualifying accessibility conclusion established from the screened sources. This is unknown, not evidence that the attraction is inaccessible.</x:v>
      </x:c>
      <x:c r="AD122" s="117" t="str">
        <x:v>2026-09-08</x:v>
      </x:c>
      <x:c r="AE122" s="117" t="str">
        <x:v>MC0119</x:v>
      </x:c>
      <x:c r="AF122" s="117" t="str">
        <x:v>Distinct candidate</x:v>
      </x:c>
      <x:c r="AG122" s="117" t="str"/>
      <x:c r="AH122" s="117" t="str">
        <x:v>Name corroborated in source</x:v>
      </x:c>
      <x:c r="AI122" s="117" t="str">
        <x:v>https://ebrochures.malaysia.travel/en/malaysia-travel-guide/negeri-sembilan/</x:v>
      </x:c>
      <x:c r="AJ122" s="117" t="str">
        <x:v>Place name or established alias matched in the cited source. This is not confirmation of current opening, all visitor facilities or the full description.</x:v>
      </x:c>
      <x:c r="AK122" s="117" t="str">
        <x:v>Not independently confirmed</x:v>
      </x:c>
      <x:c r="AL122" s="117" t="str">
        <x:v>Screened sources; accessibility unresolved</x:v>
      </x:c>
      <x:c r="AM122" s="117" t="str">
        <x:v>2026-09-08</x:v>
      </x:c>
      <x:c r="AN122" s="117" t="str">
        <x:v>https://thumb.wikimedia.org/wikipedia/commons/thumb/5/50/Lukut_Museum_and_Fort.JPG/1280px-Lukut_Museum_and_Fort.JPG?utm_source=commons.wikimedia.org&amp;utm_campaign=imageinfo&amp;utm_content=thumbnail</x:v>
      </x:c>
      <x:c r="AO122" s="117"/>
      <x:c r="AP122" s="117" t="str">
        <x:v>1 metadata-matched images; visual review pending</x:v>
      </x:c>
      <x:c r="AQ122" s="117"/>
    </x:row>
    <x:row r="123" ht="66" customHeight="1">
      <x:c r="A123" s="117" t="str">
        <x:v>MC0120</x:v>
      </x:c>
      <x:c r="B123" s="117" t="str">
        <x:v>Royal Museum of Seri Menanti</x:v>
      </x:c>
      <x:c r="C123" s="117" t="str">
        <x:v>Negeri Sembilan</x:v>
      </x:c>
      <x:c r="D123" s="117" t="str">
        <x:v>Kuala Pilah</x:v>
      </x:c>
      <x:c r="E123" s="117" t="str">
        <x:v>Museum and Gallery</x:v>
      </x:c>
      <x:c r="F123" s="117" t="str">
        <x:v>Unclassified</x:v>
      </x:c>
      <x:c r="G123" s="117" t="str">
        <x:v>Both</x:v>
      </x:c>
      <x:c r="H123" s="117" t="str">
        <x:v>royal museum; Minangkabau; culture; heritage; architecture</x:v>
      </x:c>
      <x:c r="I123" s="117" t="str">
        <x:v>The former wooden royal palace of Negeri Sembilan in Kuala Pilah, now a museum on the state's Minangkabau-influenced royal heritage.</x:v>
      </x:c>
      <x:c r="J123" s="117" t="str">
        <x:v>https://www.google.com/maps/search/?api=1&amp;query=Royal%20Museum%20of%20Seri%20Menanti%2C%20Negeri%20Sembilan%2C%20Malaysia</x:v>
      </x:c>
      <x:c r="K123" s="117" t="str">
        <x:v>https://ebrochures.malaysia.travel/en/malaysia-travel-guide/negeri-sembilan/</x:v>
      </x:c>
      <x:c r="L123" s="117" t="str">
        <x:v>Previous workbook candidate/source lead</x:v>
      </x:c>
      <x:c r="M123" s="117" t="str">
        <x:v>Previous workbook seed</x:v>
      </x:c>
      <x:c r="N123" s="117" t="str">
        <x:v>A068</x:v>
      </x:c>
      <x:c r="O123" s="117" t="str">
        <x:v>2026-08-15 00:00:00</x:v>
      </x:c>
      <x:c r="P123" s="117" t="str">
        <x:v>Complete</x:v>
      </x:c>
      <x:c r="Q123" s="117"/>
      <x:c r="R123" s="117" t="str">
        <x:f t="shared" si="1">IF(J123="","Missing Link",IF(AND(ISNUMBER(SEARCH("google.com/maps",J123)),ISERROR(SEARCH(";",J123))),"Discovery Link Only","Source Link Present"))</x:f>
        <x:v>Discovery Link Only</x:v>
      </x:c>
      <x:c r="S123" s="117" t="str">
        <x:v>Unknown</x:v>
      </x:c>
      <x:c r="T123" s="117" t="str">
        <x:v>Unknown</x:v>
      </x:c>
      <x:c r="U123" s="117" t="str">
        <x:v>Unknown</x:v>
      </x:c>
      <x:c r="V123" s="117" t="str">
        <x:v>Unknown</x:v>
      </x:c>
      <x:c r="W123" s="117" t="str">
        <x:v>Unknown</x:v>
      </x:c>
      <x:c r="X123" s="117" t="str">
        <x:v>Unknown</x:v>
      </x:c>
      <x:c r="Y123" s="117" t="str">
        <x:v>Unknown</x:v>
      </x:c>
      <x:c r="Z123" s="117"/>
      <x:c r="AA123" s="117" t="str">
        <x:v>Pending evidence</x:v>
      </x:c>
      <x:c r="AB123" s="117"/>
      <x:c r="AC123" s="117" t="str">
        <x:v>No qualifying accessibility conclusion established from the screened sources. This is unknown, not evidence that the attraction is inaccessible.</x:v>
      </x:c>
      <x:c r="AD123" s="117" t="str">
        <x:v>2026-09-08</x:v>
      </x:c>
      <x:c r="AE123" s="117" t="str">
        <x:v>MC0120</x:v>
      </x:c>
      <x:c r="AF123" s="117" t="str">
        <x:v>Distinct candidate</x:v>
      </x:c>
      <x:c r="AG123" s="117" t="str"/>
      <x:c r="AH123" s="117" t="str">
        <x:v>Name corroborated in source</x:v>
      </x:c>
      <x:c r="AI123" s="117" t="str">
        <x:v>https://ebrochures.malaysia.travel/en/malaysia-travel-guide/negeri-sembilan/</x:v>
      </x:c>
      <x:c r="AJ123" s="117" t="str">
        <x:v>Place name or established alias matched in the cited source. This is not confirmation of current opening, all visitor facilities or the full description.</x:v>
      </x:c>
      <x:c r="AK123" s="117" t="str">
        <x:v>Not independently confirmed</x:v>
      </x:c>
      <x:c r="AL123" s="117" t="str">
        <x:v>Screened sources; accessibility unresolved</x:v>
      </x:c>
      <x:c r="AM123" s="117" t="str">
        <x:v>2026-09-08</x:v>
      </x:c>
      <x:c r="AN123" s="117"/>
      <x:c r="AO123" s="117"/>
      <x:c r="AP123" s="117" t="str">
        <x:v>No usable pair located; image research pending</x:v>
      </x:c>
      <x:c r="AQ123" s="117"/>
    </x:row>
    <x:row r="124" ht="66" customHeight="1">
      <x:c r="A124" s="117" t="str">
        <x:v>MC0121</x:v>
      </x:c>
      <x:c r="B124" s="117" t="str">
        <x:v>Jelita Ostrich Farm</x:v>
      </x:c>
      <x:c r="C124" s="117" t="str">
        <x:v>Negeri Sembilan</x:v>
      </x:c>
      <x:c r="D124" s="117" t="str">
        <x:v>Seremban</x:v>
      </x:c>
      <x:c r="E124" s="117" t="str">
        <x:v>Family Attraction</x:v>
      </x:c>
      <x:c r="F124" s="117" t="str">
        <x:v>Unclassified</x:v>
      </x:c>
      <x:c r="G124" s="117" t="str">
        <x:v>Outdoor</x:v>
      </x:c>
      <x:c r="H124" s="117" t="str">
        <x:v>ostrich; animals; farm; family; children</x:v>
      </x:c>
      <x:c r="I124" s="117" t="str">
        <x:v>An agro-tourism farm in Seremban where visitors can view and feed ostriches and other farm animals.</x:v>
      </x:c>
      <x:c r="J124" s="117" t="str">
        <x:v>https://www.google.com/maps/search/?api=1&amp;query=Jelita%20Ostrich%20Farm%2C%20Negeri%20Sembilan%2C%20Malaysia</x:v>
      </x:c>
      <x:c r="K124" s="117" t="str">
        <x:v>https://ebrochures.malaysia.travel/en/malaysia-travel-guide/negeri-sembilan/</x:v>
      </x:c>
      <x:c r="L124" s="117" t="str">
        <x:v>Previous workbook candidate/source lead</x:v>
      </x:c>
      <x:c r="M124" s="117" t="str">
        <x:v>Previous workbook seed</x:v>
      </x:c>
      <x:c r="N124" s="117" t="str">
        <x:v>A069</x:v>
      </x:c>
      <x:c r="O124" s="117" t="str">
        <x:v>2026-08-15 00:00:00</x:v>
      </x:c>
      <x:c r="P124" s="117" t="str">
        <x:v>Complete</x:v>
      </x:c>
      <x:c r="Q124" s="117"/>
      <x:c r="R124" s="117" t="str">
        <x:f t="shared" si="1">IF(J124="","Missing Link",IF(AND(ISNUMBER(SEARCH("google.com/maps",J124)),ISERROR(SEARCH(";",J124))),"Discovery Link Only","Source Link Present"))</x:f>
        <x:v>Discovery Link Only</x:v>
      </x:c>
      <x:c r="S124" s="117" t="str">
        <x:v>Unknown</x:v>
      </x:c>
      <x:c r="T124" s="117" t="str">
        <x:v>Unknown</x:v>
      </x:c>
      <x:c r="U124" s="117" t="str">
        <x:v>Unknown</x:v>
      </x:c>
      <x:c r="V124" s="117" t="str">
        <x:v>Unknown</x:v>
      </x:c>
      <x:c r="W124" s="117" t="str">
        <x:v>Unknown</x:v>
      </x:c>
      <x:c r="X124" s="117" t="str">
        <x:v>Unknown</x:v>
      </x:c>
      <x:c r="Y124" s="117" t="str">
        <x:v>Unknown</x:v>
      </x:c>
      <x:c r="Z124" s="117"/>
      <x:c r="AA124" s="117" t="str">
        <x:v>Pending evidence</x:v>
      </x:c>
      <x:c r="AB124" s="117"/>
      <x:c r="AC124" s="117" t="str">
        <x:v>No qualifying accessibility conclusion established from the screened sources. This is unknown, not evidence that the attraction is inaccessible.</x:v>
      </x:c>
      <x:c r="AD124" s="117" t="str">
        <x:v>2026-09-08</x:v>
      </x:c>
      <x:c r="AE124" s="117" t="str">
        <x:v>MC0121</x:v>
      </x:c>
      <x:c r="AF124" s="117" t="str">
        <x:v>Distinct candidate</x:v>
      </x:c>
      <x:c r="AG124" s="117" t="str"/>
      <x:c r="AH124" s="117" t="str">
        <x:v>Name corroborated in source</x:v>
      </x:c>
      <x:c r="AI124" s="117" t="str">
        <x:v>https://ebrochures.malaysia.travel/en/malaysia-travel-guide/negeri-sembilan/</x:v>
      </x:c>
      <x:c r="AJ124" s="117" t="str">
        <x:v>Place name or established alias matched in the cited source. This is not confirmation of current opening, all visitor facilities or the full description.</x:v>
      </x:c>
      <x:c r="AK124" s="117" t="str">
        <x:v>Not independently confirmed</x:v>
      </x:c>
      <x:c r="AL124" s="117" t="str">
        <x:v>Screened sources; accessibility unresolved</x:v>
      </x:c>
      <x:c r="AM124" s="117" t="str">
        <x:v>2026-09-08</x:v>
      </x:c>
      <x:c r="AN124" s="117"/>
      <x:c r="AO124" s="117"/>
      <x:c r="AP124" s="117" t="str">
        <x:v>No usable pair located; image research pending</x:v>
      </x:c>
      <x:c r="AQ124" s="117"/>
    </x:row>
    <x:row r="125" ht="66" customHeight="1">
      <x:c r="A125" s="117" t="str">
        <x:v>MC0122</x:v>
      </x:c>
      <x:c r="B125" s="117" t="str">
        <x:v>Gunung Angsi</x:v>
      </x:c>
      <x:c r="C125" s="117" t="str">
        <x:v>Negeri Sembilan</x:v>
      </x:c>
      <x:c r="D125" s="117" t="str">
        <x:v>Kuala Pilah</x:v>
      </x:c>
      <x:c r="E125" s="117" t="str">
        <x:v>Adventure</x:v>
      </x:c>
      <x:c r="F125" s="117" t="str">
        <x:v>Unclassified</x:v>
      </x:c>
      <x:c r="G125" s="117" t="str">
        <x:v>Outdoor</x:v>
      </x:c>
      <x:c r="H125" s="117" t="str">
        <x:v>hiking; mountain; forest; adventure; nature</x:v>
      </x:c>
      <x:c r="I125" s="117" t="str">
        <x:v>A hiking mountain in Kuala Pilah district popular with trekkers.</x:v>
      </x:c>
      <x:c r="J125" s="117" t="str">
        <x:v>https://www.google.com/maps/search/?api=1&amp;query=Gunung%20Angsi%2C%20Negeri%20Sembilan%2C%20Malaysia</x:v>
      </x:c>
      <x:c r="K125" s="117" t="str">
        <x:v>https://ebrochures.malaysia.travel/en/malaysia-travel-guide/negeri-sembilan/</x:v>
      </x:c>
      <x:c r="L125" s="117" t="str">
        <x:v>Previous workbook candidate/source lead</x:v>
      </x:c>
      <x:c r="M125" s="117" t="str">
        <x:v>Previous workbook seed</x:v>
      </x:c>
      <x:c r="N125" s="117" t="str">
        <x:v>A070</x:v>
      </x:c>
      <x:c r="O125" s="117" t="str">
        <x:v>2026-08-15 00:00:00</x:v>
      </x:c>
      <x:c r="P125" s="117" t="str">
        <x:v>Complete</x:v>
      </x:c>
      <x:c r="Q125" s="117"/>
      <x:c r="R125" s="117" t="str">
        <x:f t="shared" si="1">IF(J125="","Missing Link",IF(AND(ISNUMBER(SEARCH("google.com/maps",J125)),ISERROR(SEARCH(";",J125))),"Discovery Link Only","Source Link Present"))</x:f>
        <x:v>Discovery Link Only</x:v>
      </x:c>
      <x:c r="S125" s="117" t="str">
        <x:v>Unknown</x:v>
      </x:c>
      <x:c r="T125" s="117" t="str">
        <x:v>Unknown</x:v>
      </x:c>
      <x:c r="U125" s="117" t="str">
        <x:v>Unknown</x:v>
      </x:c>
      <x:c r="V125" s="117" t="str">
        <x:v>Unknown</x:v>
      </x:c>
      <x:c r="W125" s="117" t="str">
        <x:v>Unknown</x:v>
      </x:c>
      <x:c r="X125" s="117" t="str">
        <x:v>Unknown</x:v>
      </x:c>
      <x:c r="Y125" s="117" t="str">
        <x:v>Unknown</x:v>
      </x:c>
      <x:c r="Z125" s="117"/>
      <x:c r="AA125" s="117" t="str">
        <x:v>Pending evidence</x:v>
      </x:c>
      <x:c r="AB125" s="117"/>
      <x:c r="AC125" s="117" t="str">
        <x:v>No qualifying accessibility conclusion established from the screened sources. This is unknown, not evidence that the attraction is inaccessible.</x:v>
      </x:c>
      <x:c r="AD125" s="117" t="str">
        <x:v>2026-09-08</x:v>
      </x:c>
      <x:c r="AE125" s="117" t="str">
        <x:v>MC0122</x:v>
      </x:c>
      <x:c r="AF125" s="117" t="str">
        <x:v>Distinct candidate</x:v>
      </x:c>
      <x:c r="AG125" s="117" t="str"/>
      <x:c r="AH125" s="117" t="str">
        <x:v>Name corroborated in source</x:v>
      </x:c>
      <x:c r="AI125" s="117" t="str">
        <x:v>https://ebrochures.malaysia.travel/en/malaysia-travel-guide/negeri-sembilan/</x:v>
      </x:c>
      <x:c r="AJ125" s="117" t="str">
        <x:v>Place name or established alias matched in the cited source. This is not confirmation of current opening, all visitor facilities or the full description.</x:v>
      </x:c>
      <x:c r="AK125" s="117" t="str">
        <x:v>Not independently confirmed</x:v>
      </x:c>
      <x:c r="AL125" s="117" t="str">
        <x:v>Screened sources; accessibility unresolved</x:v>
      </x:c>
      <x:c r="AM125" s="117" t="str">
        <x:v>2026-09-08</x:v>
      </x:c>
      <x:c r="AN125" s="117" t="str">
        <x:v>https://thumb.wikimedia.org/wikipedia/commons/thumb/b/b4/Gunung_Angsi_entrance_gate_in_2018.jpg/1280px-Gunung_Angsi_entrance_gate_in_2018.jpg?utm_source=commons.wikimedia.org&amp;utm_campaign=imageinfo&amp;utm_content=thumbnail</x:v>
      </x:c>
      <x:c r="AO125" s="117" t="str">
        <x:v>https://thumb.wikimedia.org/wikipedia/commons/thumb/7/7d/Hutan_Lipur_Ulu_Bendul%2C_located_in_Kuala_Pilah%2C_Negeri_Sembilan.jpg/1280px-Hutan_Lipur_Ulu_Bendul%2C_located_in_Kuala_Pilah%2C_Negeri_Sembilan.jpg?utm_source=commons.wikimedia.org&amp;utm_campaign=imageinfo&amp;utm_content=thumbnail</x:v>
      </x:c>
      <x:c r="AP125" s="117" t="str">
        <x:v>2 metadata-matched images; visual review pending</x:v>
      </x:c>
      <x:c r="AQ125" s="117"/>
    </x:row>
    <x:row r="126" ht="66" customHeight="1">
      <x:c r="A126" s="117" t="str">
        <x:v>MC0123</x:v>
      </x:c>
      <x:c r="B126" s="117" t="str">
        <x:v>Taman Tasik Seremban</x:v>
      </x:c>
      <x:c r="C126" s="117" t="str">
        <x:v>Negeri Sembilan</x:v>
      </x:c>
      <x:c r="D126" s="117" t="str">
        <x:v>Seremban</x:v>
      </x:c>
      <x:c r="E126" s="117" t="str">
        <x:v>Park and Recreation</x:v>
      </x:c>
      <x:c r="F126" s="117" t="str">
        <x:v>Unclassified</x:v>
      </x:c>
      <x:c r="G126" s="117" t="str">
        <x:v>Outdoor</x:v>
      </x:c>
      <x:c r="H126" s="117" t="str">
        <x:v>lake; walking; relaxation; family; urban park</x:v>
      </x:c>
      <x:c r="I126" s="117" t="str">
        <x:v>A lake garden park in central Seremban popular for jogging and picnics.</x:v>
      </x:c>
      <x:c r="J126" s="117" t="str">
        <x:v>https://www.google.com/maps/search/?api=1&amp;query=Taman%20Tasik%20Seremban%2C%20Negeri%20Sembilan%2C%20Malaysia</x:v>
      </x:c>
      <x:c r="K126" s="117" t="str">
        <x:v>https://ebrochures.malaysia.travel/en/malaysia-travel-guide/negeri-sembilan/</x:v>
      </x:c>
      <x:c r="L126" s="117" t="str">
        <x:v>Previous workbook candidate/source lead</x:v>
      </x:c>
      <x:c r="M126" s="117" t="str">
        <x:v>Previous workbook seed</x:v>
      </x:c>
      <x:c r="N126" s="117" t="str">
        <x:v>A071</x:v>
      </x:c>
      <x:c r="O126" s="117" t="str">
        <x:v>2026-08-15 00:00:00</x:v>
      </x:c>
      <x:c r="P126" s="117" t="str">
        <x:v>Complete</x:v>
      </x:c>
      <x:c r="Q126" s="117" t="str">
        <x:v>Identity and Malaysian location verified in second-pass review on 2026-09-08.</x:v>
      </x:c>
      <x:c r="R126" s="117" t="str">
        <x:f t="shared" si="1">IF(J126="","Missing Link",IF(AND(ISNUMBER(SEARCH("google.com/maps",J126)),ISERROR(SEARCH(";",J126))),"Discovery Link Only","Source Link Present"))</x:f>
        <x:v>Discovery Link Only</x:v>
      </x:c>
      <x:c r="S126" s="117" t="str">
        <x:v>Not measured</x:v>
      </x:c>
      <x:c r="T126" s="117" t="str">
        <x:v>Unknown</x:v>
      </x:c>
      <x:c r="U126" s="117" t="str">
        <x:v>Yes - rest shelters</x:v>
      </x:c>
      <x:c r="V126" s="117" t="str">
        <x:v>Available; accessibility unknown</x:v>
      </x:c>
      <x:c r="W126" s="117" t="str">
        <x:v>Unknown</x:v>
      </x:c>
      <x:c r="X126" s="117" t="str">
        <x:v>Yes - rest shelters</x:v>
      </x:c>
      <x:c r="Y126" s="117" t="str">
        <x:v>Conditional on walking tolerance and route</x:v>
      </x:c>
      <x:c r="Z126" s="117" t="str">
        <x:v>Official city and state tourism sources document rest shelters, a walking path and toilets. They do not establish a continuous step-free route or accessible toilet.</x:v>
      </x:c>
      <x:c r="AA126" s="117" t="str">
        <x:v>Documented support - conditional</x:v>
      </x:c>
      <x:c r="AB126" s="117" t="str">
        <x:v>https://n9tourism.ns.gov.my/tarikan/taman-tasik-seremban/
https://www.mbs.gov.my/sites/default/files/2024-12/taman-tasik-seremban.pdf</x:v>
      </x:c>
      <x:c r="AC126" s="117" t="str">
        <x:v>Public park paths and rest facilities</x:v>
      </x:c>
      <x:c r="AD126" s="117" t="str">
        <x:v>2026-09-08</x:v>
      </x:c>
      <x:c r="AE126" s="117" t="str">
        <x:v>MC0123</x:v>
      </x:c>
      <x:c r="AF126" s="117" t="str">
        <x:v>Distinct candidate</x:v>
      </x:c>
      <x:c r="AG126" s="117" t="str"/>
      <x:c r="AH126" s="117" t="str">
        <x:v>Identity and location corroborated</x:v>
      </x:c>
      <x:c r="AI126" s="117" t="str">
        <x:v>https://www.openstreetmap.org/way/544124532</x:v>
      </x:c>
      <x:c r="AJ126" s="117" t="str">
        <x:v>Mapped source matches the attraction name or established alias and the stated Malaysian location. This verifies identity/location only; confirm current opening and accessibility separately.</x:v>
      </x:c>
      <x:c r="AK126" s="117" t="str">
        <x:v>Not independently confirmed</x:v>
      </x:c>
      <x:c r="AL126" s="117" t="str">
        <x:v>Primary source - amenities only</x:v>
      </x:c>
      <x:c r="AM126" s="117" t="str">
        <x:v>2026-09-08</x:v>
      </x:c>
      <x:c r="AN126" s="117" t="str">
        <x:v>https://thumb.wikimedia.org/wikipedia/commons/thumb/a/ae/White_House_Seremban_from_Taman_Tasik_Seremban.jpg/1280px-White_House_Seremban_from_Taman_Tasik_Seremban.jpg?utm_source=commons.wikimedia.org&amp;utm_campaign=imageinfo&amp;utm_content=thumbnail</x:v>
      </x:c>
      <x:c r="AO126" s="117" t="str">
        <x:v>https://thumb.wikimedia.org/wikipedia/commons/thumb/b/b7/Parking_Lot_of_Taman_Tasik_Seremban_02072025.jpg/1280px-Parking_Lot_of_Taman_Tasik_Seremban_02072025.jpg?utm_source=commons.wikimedia.org&amp;utm_campaign=imageinfo&amp;utm_content=thumbnail</x:v>
      </x:c>
      <x:c r="AP126" s="117" t="str">
        <x:v>2 metadata-matched images; visual review pending</x:v>
      </x:c>
      <x:c r="AQ126" s="117"/>
    </x:row>
    <x:row r="127" ht="66" customHeight="1">
      <x:c r="A127" s="117" t="str">
        <x:v>MC0124</x:v>
      </x:c>
      <x:c r="B127" s="117" t="str">
        <x:v>Jeram Toi Recreational Forest</x:v>
      </x:c>
      <x:c r="C127" s="117" t="str">
        <x:v>Negeri Sembilan</x:v>
      </x:c>
      <x:c r="D127" s="117" t="str">
        <x:v>Jelebu</x:v>
      </x:c>
      <x:c r="E127" s="117" t="str">
        <x:v>Nature</x:v>
      </x:c>
      <x:c r="F127" s="117" t="str">
        <x:v>Unclassified</x:v>
      </x:c>
      <x:c r="G127" s="117" t="str">
        <x:v>Outdoor</x:v>
      </x:c>
      <x:c r="H127" s="117" t="str">
        <x:v>waterfall; forest; picnic; nature; relaxation</x:v>
      </x:c>
      <x:c r="I127" s="117" t="str">
        <x:v>A waterfall-based forest recreation area in Jelebu district.</x:v>
      </x:c>
      <x:c r="J127" s="117" t="str">
        <x:v>https://www.google.com/maps/search/?api=1&amp;query=Jeram%20Toi%20Recreational%20Forest%2C%20Negeri%20Sembilan%2C%20Malaysia</x:v>
      </x:c>
      <x:c r="K127" s="117" t="str">
        <x:v>https://ebrochures.malaysia.travel/en/malaysia-travel-guide/negeri-sembilan/</x:v>
      </x:c>
      <x:c r="L127" s="117" t="str">
        <x:v>Previous workbook candidate/source lead</x:v>
      </x:c>
      <x:c r="M127" s="117" t="str">
        <x:v>Previous workbook seed</x:v>
      </x:c>
      <x:c r="N127" s="117" t="str">
        <x:v>A072</x:v>
      </x:c>
      <x:c r="O127" s="117" t="str">
        <x:v>2026-08-15 00:00:00</x:v>
      </x:c>
      <x:c r="P127" s="117" t="str">
        <x:v>Complete</x:v>
      </x:c>
      <x:c r="Q127" s="117"/>
      <x:c r="R127" s="117" t="str">
        <x:f t="shared" si="1">IF(J127="","Missing Link",IF(AND(ISNUMBER(SEARCH("google.com/maps",J127)),ISERROR(SEARCH(";",J127))),"Discovery Link Only","Source Link Present"))</x:f>
        <x:v>Discovery Link Only</x:v>
      </x:c>
      <x:c r="S127" s="117" t="str">
        <x:v>Unknown</x:v>
      </x:c>
      <x:c r="T127" s="117" t="str">
        <x:v>Unknown</x:v>
      </x:c>
      <x:c r="U127" s="117" t="str">
        <x:v>Unknown</x:v>
      </x:c>
      <x:c r="V127" s="117" t="str">
        <x:v>Unknown</x:v>
      </x:c>
      <x:c r="W127" s="117" t="str">
        <x:v>Unknown</x:v>
      </x:c>
      <x:c r="X127" s="117" t="str">
        <x:v>Unknown</x:v>
      </x:c>
      <x:c r="Y127" s="117" t="str">
        <x:v>Unknown</x:v>
      </x:c>
      <x:c r="Z127" s="117"/>
      <x:c r="AA127" s="117" t="str">
        <x:v>Pending evidence</x:v>
      </x:c>
      <x:c r="AB127" s="117"/>
      <x:c r="AC127" s="117" t="str">
        <x:v>No qualifying accessibility conclusion established from the screened sources. This is unknown, not evidence that the attraction is inaccessible.</x:v>
      </x:c>
      <x:c r="AD127" s="117" t="str">
        <x:v>2026-09-08</x:v>
      </x:c>
      <x:c r="AE127" s="117" t="str">
        <x:v>MC0124</x:v>
      </x:c>
      <x:c r="AF127" s="117" t="str">
        <x:v>Distinct candidate</x:v>
      </x:c>
      <x:c r="AG127" s="117" t="str"/>
      <x:c r="AH127" s="117" t="str">
        <x:v>Name corroborated in source</x:v>
      </x:c>
      <x:c r="AI127" s="117" t="str">
        <x:v>https://ebrochures.malaysia.travel/en/malaysia-travel-guide/negeri-sembilan/</x:v>
      </x:c>
      <x:c r="AJ127" s="117" t="str">
        <x:v>Place name or established alias matched in the cited source. This is not confirmation of current opening, all visitor facilities or the full description.</x:v>
      </x:c>
      <x:c r="AK127" s="117" t="str">
        <x:v>Not independently confirmed</x:v>
      </x:c>
      <x:c r="AL127" s="117" t="str">
        <x:v>Screened sources; accessibility unresolved</x:v>
      </x:c>
      <x:c r="AM127" s="117" t="str">
        <x:v>2026-09-08</x:v>
      </x:c>
      <x:c r="AN127" s="117" t="str">
        <x:v>https://thumb.wikimedia.org/wikipedia/commons/thumb/5/59/Jeram_Toi_Recreational_Forest.jpg/1280px-Jeram_Toi_Recreational_Forest.jpg?utm_source=commons.wikimedia.org&amp;utm_campaign=imageinfo&amp;utm_content=thumbnail</x:v>
      </x:c>
      <x:c r="AO127" s="117"/>
      <x:c r="AP127" s="117" t="str">
        <x:v>1 metadata-matched images; visual review pending</x:v>
      </x:c>
      <x:c r="AQ127" s="117"/>
    </x:row>
    <x:row r="128" ht="66" customHeight="1">
      <x:c r="A128" s="117" t="str">
        <x:v>MC0125</x:v>
      </x:c>
      <x:c r="B128" s="117" t="str">
        <x:v>Negeri Sembilan State Museum Complex</x:v>
      </x:c>
      <x:c r="C128" s="117" t="str">
        <x:v>Negeri Sembilan</x:v>
      </x:c>
      <x:c r="D128" s="117" t="str">
        <x:v>Seremban</x:v>
      </x:c>
      <x:c r="E128" s="117" t="str">
        <x:v>Museum and Gallery</x:v>
      </x:c>
      <x:c r="F128" s="117" t="str">
        <x:v>Popular</x:v>
      </x:c>
      <x:c r="G128" s="117" t="str">
        <x:v>Indoor</x:v>
      </x:c>
      <x:c r="H128" s="117" t="str">
        <x:v>Minangkabau; museum; heritage</x:v>
      </x:c>
      <x:c r="I128" s="117" t="str">
        <x:v>A museum complex in Seremban built in Minangkabau-style architecture, covering Negeri Sembilan's history and culture.</x:v>
      </x:c>
      <x:c r="J128" s="117" t="str">
        <x:v>https://www.google.com/maps/search/?api=1&amp;query=Negeri%20Sembilan%20State%20Museum%20Complex%2C%20Negeri%20Sembilan%2C%20Malaysia</x:v>
      </x:c>
      <x:c r="K128" s="117" t="str">
        <x:v>https://ebrochures.malaysia.travel/en/malaysia-travel-guide/negeri-sembilan/</x:v>
      </x:c>
      <x:c r="L128" s="117" t="str">
        <x:v>Tourism Malaysia state guide plus map discovery link</x:v>
      </x:c>
      <x:c r="M128" s="117" t="str">
        <x:v>Negeri Sembilan expansion batch</x:v>
      </x:c>
      <x:c r="N128" s="117"/>
      <x:c r="O128" s="117" t="str">
        <x:v>2026-08-15 00:00:00</x:v>
      </x:c>
      <x:c r="P128" s="117" t="str">
        <x:v>Complete</x:v>
      </x:c>
      <x:c r="Q128" s="117"/>
      <x:c r="R128" s="117" t="str">
        <x:f t="shared" si="1">IF(J128="","Missing Link",IF(AND(ISNUMBER(SEARCH("google.com/maps",J128)),ISERROR(SEARCH(";",J128))),"Discovery Link Only","Source Link Present"))</x:f>
        <x:v>Discovery Link Only</x:v>
      </x:c>
      <x:c r="S128" s="117" t="str">
        <x:v>Unknown</x:v>
      </x:c>
      <x:c r="T128" s="117" t="str">
        <x:v>Unknown</x:v>
      </x:c>
      <x:c r="U128" s="117" t="str">
        <x:v>Unknown</x:v>
      </x:c>
      <x:c r="V128" s="117" t="str">
        <x:v>Unknown</x:v>
      </x:c>
      <x:c r="W128" s="117" t="str">
        <x:v>Unknown</x:v>
      </x:c>
      <x:c r="X128" s="117" t="str">
        <x:v>Unknown</x:v>
      </x:c>
      <x:c r="Y128" s="117" t="str">
        <x:v>Unknown</x:v>
      </x:c>
      <x:c r="Z128" s="117"/>
      <x:c r="AA128" s="117" t="str">
        <x:v>Pending evidence</x:v>
      </x:c>
      <x:c r="AB128" s="117"/>
      <x:c r="AC128" s="117" t="str">
        <x:v>No qualifying accessibility conclusion established from the screened sources. This is unknown, not evidence that the attraction is inaccessible.</x:v>
      </x:c>
      <x:c r="AD128" s="117" t="str">
        <x:v>2026-09-08</x:v>
      </x:c>
      <x:c r="AE128" s="117" t="str">
        <x:v>MC0125</x:v>
      </x:c>
      <x:c r="AF128" s="117" t="str">
        <x:v>Distinct candidate</x:v>
      </x:c>
      <x:c r="AG128" s="117" t="str"/>
      <x:c r="AH128" s="117" t="str">
        <x:v>Name corroborated in source</x:v>
      </x:c>
      <x:c r="AI128" s="117" t="str">
        <x:v>https://ebrochures.malaysia.travel/en/malaysia-travel-guide/negeri-sembilan/</x:v>
      </x:c>
      <x:c r="AJ128" s="117" t="str">
        <x:v>Place name or established alias matched in the cited source. This is not confirmation of current opening, all visitor facilities or the full description.</x:v>
      </x:c>
      <x:c r="AK128" s="117" t="str">
        <x:v>Not independently confirmed</x:v>
      </x:c>
      <x:c r="AL128" s="117" t="str">
        <x:v>Screened sources; accessibility unresolved</x:v>
      </x:c>
      <x:c r="AM128" s="117" t="str">
        <x:v>2026-09-08</x:v>
      </x:c>
      <x:c r="AN128" s="117"/>
      <x:c r="AO128" s="117"/>
      <x:c r="AP128" s="117" t="str">
        <x:v>No usable pair located; image research pending</x:v>
      </x:c>
      <x:c r="AQ128" s="117"/>
    </x:row>
    <x:row r="129" ht="66" customHeight="1">
      <x:c r="A129" s="117" t="str">
        <x:v>MC0126</x:v>
      </x:c>
      <x:c r="B129" s="117" t="str">
        <x:v>Seremban Lake Garden</x:v>
      </x:c>
      <x:c r="C129" s="117" t="str">
        <x:v>Negeri Sembilan</x:v>
      </x:c>
      <x:c r="D129" s="117" t="str">
        <x:v>Seremban</x:v>
      </x:c>
      <x:c r="E129" s="117" t="str">
        <x:v>Park and Recreation</x:v>
      </x:c>
      <x:c r="F129" s="117" t="str">
        <x:v>Local</x:v>
      </x:c>
      <x:c r="G129" s="117" t="str">
        <x:v>Outdoor</x:v>
      </x:c>
      <x:c r="H129" s="117" t="str">
        <x:v>lake garden; walking; family</x:v>
      </x:c>
      <x:c r="I129" s="117" t="str">
        <x:v>A landscaped lake park in central Seremban, popular for jogging and family outings.</x:v>
      </x:c>
      <x:c r="J129" s="117" t="str">
        <x:v>https://www.google.com/maps/search/?api=1&amp;query=Seremban%20Lake%20Garden%2C%20Negeri%20Sembilan%2C%20Malaysia</x:v>
      </x:c>
      <x:c r="K129" s="117" t="str">
        <x:v>https://ebrochures.malaysia.travel/en/malaysia-travel-guide/negeri-sembilan/</x:v>
      </x:c>
      <x:c r="L129" s="117" t="str">
        <x:v>Tourism Malaysia state guide plus map discovery link</x:v>
      </x:c>
      <x:c r="M129" s="117" t="str">
        <x:v>Negeri Sembilan expansion batch</x:v>
      </x:c>
      <x:c r="N129" s="117"/>
      <x:c r="O129" s="117" t="str">
        <x:v>2026-08-15 00:00:00</x:v>
      </x:c>
      <x:c r="P129" s="117" t="str">
        <x:v>Complete</x:v>
      </x:c>
      <x:c r="Q129" s="117" t="str">
        <x:v>Duplicate alias: use MC0123</x:v>
      </x:c>
      <x:c r="R129" s="117" t="str">
        <x:f t="shared" si="1">IF(J129="","Missing Link",IF(AND(ISNUMBER(SEARCH("google.com/maps",J129)),ISERROR(SEARCH(";",J129))),"Discovery Link Only","Source Link Present"))</x:f>
        <x:v>Discovery Link Only</x:v>
      </x:c>
      <x:c r="S129" s="117" t="str">
        <x:v>Unknown</x:v>
      </x:c>
      <x:c r="T129" s="117" t="str">
        <x:v>Unknown</x:v>
      </x:c>
      <x:c r="U129" s="117" t="str">
        <x:v>Unknown</x:v>
      </x:c>
      <x:c r="V129" s="117" t="str">
        <x:v>Unknown</x:v>
      </x:c>
      <x:c r="W129" s="117" t="str">
        <x:v>Unknown</x:v>
      </x:c>
      <x:c r="X129" s="117" t="str">
        <x:v>Unknown</x:v>
      </x:c>
      <x:c r="Y129" s="117" t="str">
        <x:v>Unknown</x:v>
      </x:c>
      <x:c r="Z129" s="117"/>
      <x:c r="AA129" s="117" t="str">
        <x:v>Duplicate - use canonical ID</x:v>
      </x:c>
      <x:c r="AB129" s="117"/>
      <x:c r="AC129" s="117" t="str">
        <x:v>No qualifying accessibility conclusion established from the screened sources. This is unknown, not evidence that the attraction is inaccessible.</x:v>
      </x:c>
      <x:c r="AD129" s="117" t="str">
        <x:v>2026-09-08</x:v>
      </x:c>
      <x:c r="AE129" s="117" t="str">
        <x:v>MC0123</x:v>
      </x:c>
      <x:c r="AF129" s="117" t="str">
        <x:v>Duplicate alias</x:v>
      </x:c>
      <x:c r="AG129" s="117" t="str"/>
      <x:c r="AH129" s="117" t="str">
        <x:v>Name corroborated in source</x:v>
      </x:c>
      <x:c r="AI129" s="117" t="str">
        <x:v>https://ebrochures.malaysia.travel/en/malaysia-travel-guide/negeri-sembilan/</x:v>
      </x:c>
      <x:c r="AJ129" s="117" t="str">
        <x:v>Place name or established alias matched in the cited source. This is not confirmation of current opening, all visitor facilities or the full description.</x:v>
      </x:c>
      <x:c r="AK129" s="117" t="str">
        <x:v>Not independently confirmed</x:v>
      </x:c>
      <x:c r="AL129" s="117" t="str">
        <x:v>Screened sources; accessibility unresolved</x:v>
      </x:c>
      <x:c r="AM129" s="117" t="str">
        <x:v>2026-09-08</x:v>
      </x:c>
      <x:c r="AN129" s="117" t="str">
        <x:v>https://thumb.wikimedia.org/wikipedia/commons/thumb/a/ae/White_House_Seremban_from_Taman_Tasik_Seremban.jpg/1280px-White_House_Seremban_from_Taman_Tasik_Seremban.jpg?utm_source=commons.wikimedia.org&amp;utm_campaign=imageinfo&amp;utm_content=thumbnail</x:v>
      </x:c>
      <x:c r="AO129" s="117" t="str">
        <x:v>https://thumb.wikimedia.org/wikipedia/commons/thumb/b/b7/Parking_Lot_of_Taman_Tasik_Seremban_02072025.jpg/1280px-Parking_Lot_of_Taman_Tasik_Seremban_02072025.jpg?utm_source=commons.wikimedia.org&amp;utm_campaign=imageinfo&amp;utm_content=thumbnail</x:v>
      </x:c>
      <x:c r="AP129" s="117" t="str">
        <x:v>2 metadata-matched images; visual review pending</x:v>
      </x:c>
      <x:c r="AQ129" s="117"/>
    </x:row>
    <x:row r="130" ht="66" customHeight="1">
      <x:c r="A130" s="117" t="str">
        <x:v>MC0127</x:v>
      </x:c>
      <x:c r="B130" s="117" t="str">
        <x:v>Centipede Temple</x:v>
      </x:c>
      <x:c r="C130" s="117" t="str">
        <x:v>Negeri Sembilan</x:v>
      </x:c>
      <x:c r="D130" s="117" t="str">
        <x:v>Seremban</x:v>
      </x:c>
      <x:c r="E130" s="117" t="str">
        <x:v>Religious Site</x:v>
      </x:c>
      <x:c r="F130" s="117" t="str">
        <x:v>Local</x:v>
      </x:c>
      <x:c r="G130" s="117" t="str">
        <x:v>Both</x:v>
      </x:c>
      <x:c r="H130" s="117" t="str">
        <x:v>temple; hill; viewpoint</x:v>
      </x:c>
      <x:c r="I130" s="117" t="str">
        <x:v>A Chinese temple in Seremban known locally for the folklore associated with its name.</x:v>
      </x:c>
      <x:c r="J130" s="117" t="str">
        <x:v>https://www.google.com/maps/search/?api=1&amp;query=Centipede%20Temple%2C%20Negeri%20Sembilan%2C%20Malaysia</x:v>
      </x:c>
      <x:c r="K130" s="117" t="str">
        <x:v>https://ebrochures.malaysia.travel/en/malaysia-travel-guide/negeri-sembilan/</x:v>
      </x:c>
      <x:c r="L130" s="117" t="str">
        <x:v>Tourism Malaysia state guide plus map discovery link</x:v>
      </x:c>
      <x:c r="M130" s="117" t="str">
        <x:v>Negeri Sembilan expansion batch</x:v>
      </x:c>
      <x:c r="N130" s="117"/>
      <x:c r="O130" s="117" t="str">
        <x:v>2026-08-15 00:00:00</x:v>
      </x:c>
      <x:c r="P130" s="117" t="str">
        <x:v>Complete</x:v>
      </x:c>
      <x:c r="Q130" s="117"/>
      <x:c r="R130" s="117" t="str">
        <x:f t="shared" si="1">IF(J130="","Missing Link",IF(AND(ISNUMBER(SEARCH("google.com/maps",J130)),ISERROR(SEARCH(";",J130))),"Discovery Link Only","Source Link Present"))</x:f>
        <x:v>Discovery Link Only</x:v>
      </x:c>
      <x:c r="S130" s="117" t="str">
        <x:v>Unknown</x:v>
      </x:c>
      <x:c r="T130" s="117" t="str">
        <x:v>Unknown</x:v>
      </x:c>
      <x:c r="U130" s="117" t="str">
        <x:v>Unknown</x:v>
      </x:c>
      <x:c r="V130" s="117" t="str">
        <x:v>Unknown</x:v>
      </x:c>
      <x:c r="W130" s="117" t="str">
        <x:v>Unknown</x:v>
      </x:c>
      <x:c r="X130" s="117" t="str">
        <x:v>Unknown</x:v>
      </x:c>
      <x:c r="Y130" s="117" t="str">
        <x:v>Unknown</x:v>
      </x:c>
      <x:c r="Z130" s="117"/>
      <x:c r="AA130" s="117" t="str">
        <x:v>Pending evidence</x:v>
      </x:c>
      <x:c r="AB130" s="117"/>
      <x:c r="AC130" s="117" t="str">
        <x:v>No qualifying accessibility conclusion established from the screened sources. This is unknown, not evidence that the attraction is inaccessible.</x:v>
      </x:c>
      <x:c r="AD130" s="117" t="str">
        <x:v>2026-09-08</x:v>
      </x:c>
      <x:c r="AE130" s="117" t="str">
        <x:v>MC0127</x:v>
      </x:c>
      <x:c r="AF130" s="117" t="str">
        <x:v>Distinct candidate</x:v>
      </x:c>
      <x:c r="AG130" s="117" t="str"/>
      <x:c r="AH130" s="117" t="str">
        <x:v>Name corroborated in source</x:v>
      </x:c>
      <x:c r="AI130" s="117" t="str">
        <x:v>https://ebrochures.malaysia.travel/en/malaysia-travel-guide/negeri-sembilan/</x:v>
      </x:c>
      <x:c r="AJ130" s="117" t="str">
        <x:v>Place name or established alias matched in the cited source. This is not confirmation of current opening, all visitor facilities or the full description.</x:v>
      </x:c>
      <x:c r="AK130" s="117" t="str">
        <x:v>Not independently confirmed</x:v>
      </x:c>
      <x:c r="AL130" s="117" t="str">
        <x:v>Screened sources; accessibility unresolved</x:v>
      </x:c>
      <x:c r="AM130" s="117" t="str">
        <x:v>2026-09-08</x:v>
      </x:c>
      <x:c r="AN130" s="117"/>
      <x:c r="AO130" s="117"/>
      <x:c r="AP130" s="117" t="str">
        <x:v>No usable pair located; image research pending</x:v>
      </x:c>
      <x:c r="AQ130" s="117"/>
    </x:row>
    <x:row r="131" ht="66" customHeight="1">
      <x:c r="A131" s="117" t="str">
        <x:v>MC0128</x:v>
      </x:c>
      <x:c r="B131" s="117" t="str">
        <x:v>Royal Gallery Tuanku Ja'afar</x:v>
      </x:c>
      <x:c r="C131" s="117" t="str">
        <x:v>Negeri Sembilan</x:v>
      </x:c>
      <x:c r="D131" s="117" t="str">
        <x:v>Seremban</x:v>
      </x:c>
      <x:c r="E131" s="117" t="str">
        <x:v>Museum and Gallery</x:v>
      </x:c>
      <x:c r="F131" s="117" t="str">
        <x:v>Local</x:v>
      </x:c>
      <x:c r="G131" s="117" t="str">
        <x:v>Indoor</x:v>
      </x:c>
      <x:c r="H131" s="117" t="str">
        <x:v>royal history; gallery; heritage</x:v>
      </x:c>
      <x:c r="I131" s="117" t="str">
        <x:v>A royal memorabilia gallery in Seremban named after a former Yang di-Pertuan Besar of Negeri Sembilan.</x:v>
      </x:c>
      <x:c r="J131" s="117" t="str">
        <x:v>https://www.google.com/maps/search/?api=1&amp;query=Royal%20Gallery%20Tuanku%20Ja'afar%2C%20Negeri%20Sembilan%2C%20Malaysia</x:v>
      </x:c>
      <x:c r="K131" s="117" t="str">
        <x:v>https://ebrochures.malaysia.travel/en/malaysia-travel-guide/negeri-sembilan/</x:v>
      </x:c>
      <x:c r="L131" s="117" t="str">
        <x:v>Tourism Malaysia state guide plus map discovery link</x:v>
      </x:c>
      <x:c r="M131" s="117" t="str">
        <x:v>Negeri Sembilan expansion batch</x:v>
      </x:c>
      <x:c r="N131" s="117"/>
      <x:c r="O131" s="117" t="str">
        <x:v>2026-08-15 00:00:00</x:v>
      </x:c>
      <x:c r="P131" s="117" t="str">
        <x:v>Complete</x:v>
      </x:c>
      <x:c r="Q131" s="117"/>
      <x:c r="R131" s="117" t="str">
        <x:f t="shared" si="1">IF(J131="","Missing Link",IF(AND(ISNUMBER(SEARCH("google.com/maps",J131)),ISERROR(SEARCH(";",J131))),"Discovery Link Only","Source Link Present"))</x:f>
        <x:v>Discovery Link Only</x:v>
      </x:c>
      <x:c r="S131" s="117" t="str">
        <x:v>Not measured</x:v>
      </x:c>
      <x:c r="T131" s="117" t="str">
        <x:v>Reported; not operator-confirmed</x:v>
      </x:c>
      <x:c r="U131" s="117" t="str">
        <x:v>Unknown</x:v>
      </x:c>
      <x:c r="V131" s="117" t="str">
        <x:v>Reported; not operator-confirmed</x:v>
      </x:c>
      <x:c r="W131" s="117" t="str">
        <x:v>Reported; not operator-confirmed</x:v>
      </x:c>
      <x:c r="X131" s="117" t="str">
        <x:v>Unknown</x:v>
      </x:c>
      <x:c r="Y131" s="117" t="str">
        <x:v>Conditional on mobility and route</x:v>
      </x:c>
      <x:c r="Z131" s="117" t="str">
        <x:v>The specific accessibility claims are present on the travel guide, but were not confirmed on the operator page. Treat them as reported facilities requiring confirmation.</x:v>
      </x:c>
      <x:c r="AA131" s="117" t="str">
        <x:v>Reported support - confirm</x:v>
      </x:c>
      <x:c r="AB131" s="117" t="str">
        <x:v>https://www.realjourneytravels.com/places/royal-gallery-tuanku-jaafar/</x:v>
      </x:c>
      <x:c r="AC131" s="117" t="str">
        <x:v>Royal Gallery Tuanku Jaafar</x:v>
      </x:c>
      <x:c r="AD131" s="117" t="str">
        <x:v>2026-09-08</x:v>
      </x:c>
      <x:c r="AE131" s="117" t="str">
        <x:v>MC0128</x:v>
      </x:c>
      <x:c r="AF131" s="117" t="str">
        <x:v>Distinct candidate</x:v>
      </x:c>
      <x:c r="AG131" s="117" t="str"/>
      <x:c r="AH131" s="117" t="str">
        <x:v>Venue-specific source reviewed</x:v>
      </x:c>
      <x:c r="AI131" s="117" t="str">
        <x:v>https://www.realjourneytravels.com/places/royal-gallery-tuanku-jaafar/</x:v>
      </x:c>
      <x:c r="AJ131" s="117" t="str">
        <x:v>Place name or established alias matched in the cited source. This is not confirmation of current opening, all visitor facilities or the full description.</x:v>
      </x:c>
      <x:c r="AK131" s="117" t="str">
        <x:v>Not independently confirmed</x:v>
      </x:c>
      <x:c r="AL131" s="117" t="str">
        <x:v>Secondary accessibility evidence reviewed</x:v>
      </x:c>
      <x:c r="AM131" s="117" t="str">
        <x:v>2026-09-08</x:v>
      </x:c>
      <x:c r="AN131" s="117"/>
      <x:c r="AO131" s="117"/>
      <x:c r="AP131" s="117" t="str">
        <x:v>No usable pair located; image research pending</x:v>
      </x:c>
      <x:c r="AQ131" s="117"/>
    </x:row>
    <x:row r="132" ht="66" customHeight="1">
      <x:c r="A132" s="117" t="str">
        <x:v>MC0129</x:v>
      </x:c>
      <x:c r="B132" s="117" t="str">
        <x:v>Seri Menanti Royal Museum</x:v>
      </x:c>
      <x:c r="C132" s="117" t="str">
        <x:v>Negeri Sembilan</x:v>
      </x:c>
      <x:c r="D132" s="117" t="str">
        <x:v>Kuala Pilah</x:v>
      </x:c>
      <x:c r="E132" s="117" t="str">
        <x:v>Museum and Gallery</x:v>
      </x:c>
      <x:c r="F132" s="117" t="str">
        <x:v>Popular</x:v>
      </x:c>
      <x:c r="G132" s="117" t="str">
        <x:v>Indoor</x:v>
      </x:c>
      <x:c r="H132" s="117" t="str">
        <x:v>royal palace; Minangkabau; museum</x:v>
      </x:c>
      <x:c r="I132" s="117" t="str">
        <x:v>The former wooden royal palace of Negeri Sembilan in Kuala Pilah, built without nails and now a museum.</x:v>
      </x:c>
      <x:c r="J132" s="117" t="str">
        <x:v>https://www.google.com/maps/search/?api=1&amp;query=Seri%20Menanti%20Royal%20Museum%2C%20Negeri%20Sembilan%2C%20Malaysia</x:v>
      </x:c>
      <x:c r="K132" s="117" t="str">
        <x:v>https://ebrochures.malaysia.travel/en/malaysia-travel-guide/negeri-sembilan/</x:v>
      </x:c>
      <x:c r="L132" s="117" t="str">
        <x:v>Tourism Malaysia state guide plus map discovery link</x:v>
      </x:c>
      <x:c r="M132" s="117" t="str">
        <x:v>Negeri Sembilan expansion batch</x:v>
      </x:c>
      <x:c r="N132" s="117"/>
      <x:c r="O132" s="117" t="str">
        <x:v>2026-08-15 00:00:00</x:v>
      </x:c>
      <x:c r="P132" s="117" t="str">
        <x:v>Complete</x:v>
      </x:c>
      <x:c r="Q132" s="117" t="str">
        <x:v>Duplicate alias: use MC0120 Identity and Malaysian location verified in second-pass review on 2026-09-08.</x:v>
      </x:c>
      <x:c r="R132" s="117" t="str">
        <x:f t="shared" ref="R132:R195" si="2">IF(J132="","Missing Link",IF(AND(ISNUMBER(SEARCH("google.com/maps",J132)),ISERROR(SEARCH(";",J132))),"Discovery Link Only","Source Link Present"))</x:f>
        <x:v>Discovery Link Only</x:v>
      </x:c>
      <x:c r="S132" s="117" t="str">
        <x:v>Unknown</x:v>
      </x:c>
      <x:c r="T132" s="117" t="str">
        <x:v>Unknown</x:v>
      </x:c>
      <x:c r="U132" s="117" t="str">
        <x:v>Unknown</x:v>
      </x:c>
      <x:c r="V132" s="117" t="str">
        <x:v>Unknown</x:v>
      </x:c>
      <x:c r="W132" s="117" t="str">
        <x:v>Unknown</x:v>
      </x:c>
      <x:c r="X132" s="117" t="str">
        <x:v>Unknown</x:v>
      </x:c>
      <x:c r="Y132" s="117" t="str">
        <x:v>Unknown</x:v>
      </x:c>
      <x:c r="Z132" s="117"/>
      <x:c r="AA132" s="117" t="str">
        <x:v>Duplicate - use canonical ID</x:v>
      </x:c>
      <x:c r="AB132" s="117"/>
      <x:c r="AC132" s="117" t="str">
        <x:v>No qualifying accessibility conclusion established from the screened sources. This is unknown, not evidence that the attraction is inaccessible.</x:v>
      </x:c>
      <x:c r="AD132" s="117" t="str">
        <x:v>2026-09-08</x:v>
      </x:c>
      <x:c r="AE132" s="117" t="str">
        <x:v>MC0120</x:v>
      </x:c>
      <x:c r="AF132" s="117" t="str">
        <x:v>Duplicate alias</x:v>
      </x:c>
      <x:c r="AG132" s="117" t="str"/>
      <x:c r="AH132" s="117" t="str">
        <x:v>Identity and location corroborated</x:v>
      </x:c>
      <x:c r="AI132" s="117" t="str">
        <x:v>https://n9tourism.ns.gov.my/en/destination/kuala-pilah/</x:v>
      </x:c>
      <x:c r="AJ132" s="117" t="str">
        <x:v>Official state tourism source matches the attraction name or established alias and the stated Malaysian location. This verifies identity/location only; confirm current opening and accessibility separately.</x:v>
      </x:c>
      <x:c r="AK132" s="117" t="str">
        <x:v>Not independently confirmed</x:v>
      </x:c>
      <x:c r="AL132" s="117" t="str">
        <x:v>Screened sources; accessibility unresolved</x:v>
      </x:c>
      <x:c r="AM132" s="117" t="str">
        <x:v>2026-09-08</x:v>
      </x:c>
      <x:c r="AN132" s="117" t="str">
        <x:v>https://upload.wikimedia.org/wikipedia/commons/c/c7/The_old_illustrate_image_that_shown_the_settings_of_Seri_Menanti_Royal_town_dating_from_1920.jpg?utm_source=commons.wikimedia.org&amp;utm_campaign=imageinfo&amp;utm_content=thumbnail_unscaled</x:v>
      </x:c>
      <x:c r="AO132" s="117"/>
      <x:c r="AP132" s="117" t="str">
        <x:v>1 metadata-matched images; visual review pending</x:v>
      </x:c>
      <x:c r="AQ132" s="117"/>
    </x:row>
    <x:row r="133" ht="66" customHeight="1">
      <x:c r="A133" s="117" t="str">
        <x:v>MC0130</x:v>
      </x:c>
      <x:c r="B133" s="117" t="str">
        <x:v>Rembau Museum</x:v>
      </x:c>
      <x:c r="C133" s="117" t="str">
        <x:v>Negeri Sembilan</x:v>
      </x:c>
      <x:c r="D133" s="117" t="str">
        <x:v>Rembau</x:v>
      </x:c>
      <x:c r="E133" s="117" t="str">
        <x:v>Museum and Gallery</x:v>
      </x:c>
      <x:c r="F133" s="117" t="str">
        <x:v>Underrated</x:v>
      </x:c>
      <x:c r="G133" s="117" t="str">
        <x:v>Indoor</x:v>
      </x:c>
      <x:c r="H133" s="117" t="str">
        <x:v>local history; adat; museum</x:v>
      </x:c>
      <x:c r="I133" s="117" t="str">
        <x:v>A small district museum in Rembau town, Negeri Sembilan.</x:v>
      </x:c>
      <x:c r="J133" s="117" t="str">
        <x:v>https://www.google.com/maps/search/?api=1&amp;query=Rembau%20Museum%2C%20Negeri%20Sembilan%2C%20Malaysia</x:v>
      </x:c>
      <x:c r="K133" s="117" t="str">
        <x:v>https://ebrochures.malaysia.travel/en/malaysia-travel-guide/negeri-sembilan/</x:v>
      </x:c>
      <x:c r="L133" s="117" t="str">
        <x:v>Tourism Malaysia state guide plus map discovery link</x:v>
      </x:c>
      <x:c r="M133" s="117" t="str">
        <x:v>Negeri Sembilan expansion batch</x:v>
      </x:c>
      <x:c r="N133" s="117"/>
      <x:c r="O133" s="117" t="str">
        <x:v>2026-08-15 00:00:00</x:v>
      </x:c>
      <x:c r="P133" s="117" t="str">
        <x:v>Complete</x:v>
      </x:c>
      <x:c r="Q133" s="117"/>
      <x:c r="R133" s="117" t="str">
        <x:f t="shared" si="2">IF(J133="","Missing Link",IF(AND(ISNUMBER(SEARCH("google.com/maps",J133)),ISERROR(SEARCH(";",J133))),"Discovery Link Only","Source Link Present"))</x:f>
        <x:v>Discovery Link Only</x:v>
      </x:c>
      <x:c r="S133" s="117" t="str">
        <x:v>Unknown</x:v>
      </x:c>
      <x:c r="T133" s="117" t="str">
        <x:v>Unknown</x:v>
      </x:c>
      <x:c r="U133" s="117" t="str">
        <x:v>Unknown</x:v>
      </x:c>
      <x:c r="V133" s="117" t="str">
        <x:v>Unknown</x:v>
      </x:c>
      <x:c r="W133" s="117" t="str">
        <x:v>Unknown</x:v>
      </x:c>
      <x:c r="X133" s="117" t="str">
        <x:v>Unknown</x:v>
      </x:c>
      <x:c r="Y133" s="117" t="str">
        <x:v>Unknown</x:v>
      </x:c>
      <x:c r="Z133" s="117"/>
      <x:c r="AA133" s="117" t="str">
        <x:v>Pending evidence</x:v>
      </x:c>
      <x:c r="AB133" s="117"/>
      <x:c r="AC133" s="117" t="str">
        <x:v>No qualifying accessibility conclusion established from the screened sources. This is unknown, not evidence that the attraction is inaccessible.</x:v>
      </x:c>
      <x:c r="AD133" s="117" t="str">
        <x:v>2026-09-08</x:v>
      </x:c>
      <x:c r="AE133" s="117" t="str">
        <x:v>MC0130</x:v>
      </x:c>
      <x:c r="AF133" s="117" t="str">
        <x:v>Distinct candidate</x:v>
      </x:c>
      <x:c r="AG133" s="117" t="str"/>
      <x:c r="AH133" s="117" t="str">
        <x:v>Name corroborated in source</x:v>
      </x:c>
      <x:c r="AI133" s="117" t="str">
        <x:v>https://ebrochures.malaysia.travel/en/malaysia-travel-guide/negeri-sembilan/</x:v>
      </x:c>
      <x:c r="AJ133" s="117" t="str">
        <x:v>Place name or established alias matched in the cited source. This is not confirmation of current opening, all visitor facilities or the full description.</x:v>
      </x:c>
      <x:c r="AK133" s="117" t="str">
        <x:v>Not independently confirmed</x:v>
      </x:c>
      <x:c r="AL133" s="117" t="str">
        <x:v>Screened sources; accessibility unresolved</x:v>
      </x:c>
      <x:c r="AM133" s="117" t="str">
        <x:v>2026-09-08</x:v>
      </x:c>
      <x:c r="AN133" s="117" t="str">
        <x:v>https://thumb.wikimedia.org/wikipedia/commons/thumb/d/d6/Rembau_Museum_07-06-2023_5.jpg/1280px-Rembau_Museum_07-06-2023_5.jpg?utm_source=commons.wikimedia.org&amp;utm_campaign=imageinfo&amp;utm_content=thumbnail</x:v>
      </x:c>
      <x:c r="AO133" s="117" t="str">
        <x:v>https://thumb.wikimedia.org/wikipedia/commons/thumb/e/e8/Rembau_Museum_07-06-2023_1.jpg/1280px-Rembau_Museum_07-06-2023_1.jpg?utm_source=commons.wikimedia.org&amp;utm_campaign=imageinfo&amp;utm_content=thumbnail</x:v>
      </x:c>
      <x:c r="AP133" s="117" t="str">
        <x:v>2 metadata-matched images; visual review pending</x:v>
      </x:c>
      <x:c r="AQ133" s="117"/>
    </x:row>
    <x:row r="134" ht="66" customHeight="1">
      <x:c r="A134" s="117" t="str">
        <x:v>MC0131</x:v>
      </x:c>
      <x:c r="B134" s="117" t="str">
        <x:v>Gunung Datuk Recreational Forest</x:v>
      </x:c>
      <x:c r="C134" s="117" t="str">
        <x:v>Negeri Sembilan</x:v>
      </x:c>
      <x:c r="D134" s="117" t="str">
        <x:v>Rembau</x:v>
      </x:c>
      <x:c r="E134" s="117" t="str">
        <x:v>Adventure</x:v>
      </x:c>
      <x:c r="F134" s="117" t="str">
        <x:v>Popular</x:v>
      </x:c>
      <x:c r="G134" s="117" t="str">
        <x:v>Outdoor</x:v>
      </x:c>
      <x:c r="H134" s="117" t="str">
        <x:v>hiking; summit; viewpoint</x:v>
      </x:c>
      <x:c r="I134" s="117" t="str">
        <x:v>A steep hiking trail up Gunung Datuk in Rembau district, popular with adventure hikers.</x:v>
      </x:c>
      <x:c r="J134" s="117" t="str">
        <x:v>https://www.google.com/maps/search/?api=1&amp;query=Gunung%20Datuk%20Recreational%20Forest%2C%20Negeri%20Sembilan%2C%20Malaysia</x:v>
      </x:c>
      <x:c r="K134" s="117" t="str">
        <x:v>https://ebrochures.malaysia.travel/en/malaysia-travel-guide/negeri-sembilan/</x:v>
      </x:c>
      <x:c r="L134" s="117" t="str">
        <x:v>Tourism Malaysia state guide plus map discovery link</x:v>
      </x:c>
      <x:c r="M134" s="117" t="str">
        <x:v>Negeri Sembilan expansion batch</x:v>
      </x:c>
      <x:c r="N134" s="117"/>
      <x:c r="O134" s="117" t="str">
        <x:v>2026-08-15 00:00:00</x:v>
      </x:c>
      <x:c r="P134" s="117" t="str">
        <x:v>Complete</x:v>
      </x:c>
      <x:c r="Q134" s="117"/>
      <x:c r="R134" s="117" t="str">
        <x:f t="shared" si="2">IF(J134="","Missing Link",IF(AND(ISNUMBER(SEARCH("google.com/maps",J134)),ISERROR(SEARCH(";",J134))),"Discovery Link Only","Source Link Present"))</x:f>
        <x:v>Discovery Link Only</x:v>
      </x:c>
      <x:c r="S134" s="117" t="str">
        <x:v>Unknown</x:v>
      </x:c>
      <x:c r="T134" s="117" t="str">
        <x:v>Unknown</x:v>
      </x:c>
      <x:c r="U134" s="117" t="str">
        <x:v>Unknown</x:v>
      </x:c>
      <x:c r="V134" s="117" t="str">
        <x:v>Unknown</x:v>
      </x:c>
      <x:c r="W134" s="117" t="str">
        <x:v>Unknown</x:v>
      </x:c>
      <x:c r="X134" s="117" t="str">
        <x:v>Unknown</x:v>
      </x:c>
      <x:c r="Y134" s="117" t="str">
        <x:v>Unknown</x:v>
      </x:c>
      <x:c r="Z134" s="117"/>
      <x:c r="AA134" s="117" t="str">
        <x:v>Pending evidence</x:v>
      </x:c>
      <x:c r="AB134" s="117"/>
      <x:c r="AC134" s="117" t="str">
        <x:v>No qualifying accessibility conclusion established from the screened sources. This is unknown, not evidence that the attraction is inaccessible.</x:v>
      </x:c>
      <x:c r="AD134" s="117" t="str">
        <x:v>2026-09-08</x:v>
      </x:c>
      <x:c r="AE134" s="117" t="str">
        <x:v>MC0131</x:v>
      </x:c>
      <x:c r="AF134" s="117" t="str">
        <x:v>Distinct candidate</x:v>
      </x:c>
      <x:c r="AG134" s="117" t="str"/>
      <x:c r="AH134" s="117" t="str">
        <x:v>Name corroborated in source</x:v>
      </x:c>
      <x:c r="AI134" s="117" t="str">
        <x:v>https://ebrochures.malaysia.travel/en/malaysia-travel-guide/negeri-sembilan/</x:v>
      </x:c>
      <x:c r="AJ134" s="117" t="str">
        <x:v>Place name or established alias matched in the cited source. This is not confirmation of current opening, all visitor facilities or the full description.</x:v>
      </x:c>
      <x:c r="AK134" s="117" t="str">
        <x:v>Not independently confirmed</x:v>
      </x:c>
      <x:c r="AL134" s="117" t="str">
        <x:v>Screened sources; accessibility unresolved</x:v>
      </x:c>
      <x:c r="AM134" s="117" t="str">
        <x:v>2026-09-08</x:v>
      </x:c>
      <x:c r="AN134" s="117"/>
      <x:c r="AO134" s="117"/>
      <x:c r="AP134" s="117" t="str">
        <x:v>No usable pair located; image research pending</x:v>
      </x:c>
      <x:c r="AQ134" s="117"/>
    </x:row>
    <x:row r="135" ht="66" customHeight="1">
      <x:c r="A135" s="117" t="str">
        <x:v>MC0132</x:v>
      </x:c>
      <x:c r="B135" s="117" t="str">
        <x:v>Kuala Klawang Customs Museum</x:v>
      </x:c>
      <x:c r="C135" s="117" t="str">
        <x:v>Negeri Sembilan</x:v>
      </x:c>
      <x:c r="D135" s="117" t="str">
        <x:v>Jelebu</x:v>
      </x:c>
      <x:c r="E135" s="117" t="str">
        <x:v>Museum and Gallery</x:v>
      </x:c>
      <x:c r="F135" s="117" t="str">
        <x:v>Underrated</x:v>
      </x:c>
      <x:c r="G135" s="117" t="str">
        <x:v>Indoor</x:v>
      </x:c>
      <x:c r="H135" s="117" t="str">
        <x:v>adat perpatih; museum; culture</x:v>
      </x:c>
      <x:c r="I135" s="117" t="str">
        <x:v>A small museum in Jelebu district related to local customs history.</x:v>
      </x:c>
      <x:c r="J135" s="117" t="str">
        <x:v>https://www.google.com/maps/search/?api=1&amp;query=Kuala%20Klawang%20Customs%20Museum%2C%20Negeri%20Sembilan%2C%20Malaysia</x:v>
      </x:c>
      <x:c r="K135" s="117" t="str">
        <x:v>https://ebrochures.malaysia.travel/en/malaysia-travel-guide/negeri-sembilan/</x:v>
      </x:c>
      <x:c r="L135" s="117" t="str">
        <x:v>Tourism Malaysia state guide plus map discovery link</x:v>
      </x:c>
      <x:c r="M135" s="117" t="str">
        <x:v>Negeri Sembilan expansion batch</x:v>
      </x:c>
      <x:c r="N135" s="117"/>
      <x:c r="O135" s="117" t="str">
        <x:v>2026-08-15 00:00:00</x:v>
      </x:c>
      <x:c r="P135" s="117" t="str">
        <x:v>Complete</x:v>
      </x:c>
      <x:c r="Q135" s="117"/>
      <x:c r="R135" s="117" t="str">
        <x:f t="shared" si="2">IF(J135="","Missing Link",IF(AND(ISNUMBER(SEARCH("google.com/maps",J135)),ISERROR(SEARCH(";",J135))),"Discovery Link Only","Source Link Present"))</x:f>
        <x:v>Discovery Link Only</x:v>
      </x:c>
      <x:c r="S135" s="117" t="str">
        <x:v>Not measured</x:v>
      </x:c>
      <x:c r="T135" s="117" t="str">
        <x:v>Unknown</x:v>
      </x:c>
      <x:c r="U135" s="117" t="str">
        <x:v>Unknown</x:v>
      </x:c>
      <x:c r="V135" s="117" t="str">
        <x:v>Yes - documented</x:v>
      </x:c>
      <x:c r="W135" s="117" t="str">
        <x:v>Available; distance unknown</x:v>
      </x:c>
      <x:c r="X135" s="117" t="str">
        <x:v>Unknown</x:v>
      </x:c>
      <x:c r="Y135" s="117" t="str">
        <x:v>Conditional on mobility and route</x:v>
      </x:c>
      <x:c r="Z135" s="117" t="str">
        <x:v>The Department of Museums lists a lift and OKU toilet. Confirm lift operation and the entrance route. This is Muzium Adat (customs/traditions), not a customs enforcement museum.</x:v>
      </x:c>
      <x:c r="AA135" s="117" t="str">
        <x:v>Documented support - conditional</x:v>
      </x:c>
      <x:c r="AB135" s="117" t="str">
        <x:v>https://www.jmm.gov.my/en/content/custom-museum</x:v>
      </x:c>
      <x:c r="AC135" s="117" t="str">
        <x:v>Museum building and visitor facilities</x:v>
      </x:c>
      <x:c r="AD135" s="117" t="str">
        <x:v>2026-09-08</x:v>
      </x:c>
      <x:c r="AE135" s="117" t="str">
        <x:v>MC0132</x:v>
      </x:c>
      <x:c r="AF135" s="117" t="str">
        <x:v>Distinct candidate</x:v>
      </x:c>
      <x:c r="AG135" s="117" t="str"/>
      <x:c r="AH135" s="117" t="str">
        <x:v>Venue-specific source reviewed</x:v>
      </x:c>
      <x:c r="AI135" s="117" t="str">
        <x:v>https://www.jmm.gov.my/en/content/custom-museum</x:v>
      </x:c>
      <x:c r="AJ135" s="117" t="str">
        <x:v>Place name or established alias matched in the cited source. This is not confirmation of current opening, all visitor facilities or the full description.</x:v>
      </x:c>
      <x:c r="AK135" s="117" t="str">
        <x:v>Not independently confirmed</x:v>
      </x:c>
      <x:c r="AL135" s="117" t="str">
        <x:v>Primary accessibility evidence reviewed</x:v>
      </x:c>
      <x:c r="AM135" s="117" t="str">
        <x:v>2026-09-08</x:v>
      </x:c>
      <x:c r="AN135" s="117"/>
      <x:c r="AO135" s="117"/>
      <x:c r="AP135" s="117" t="str">
        <x:v>No usable pair located; image research pending</x:v>
      </x:c>
      <x:c r="AQ135" s="117"/>
    </x:row>
    <x:row r="136" ht="66" customHeight="1">
      <x:c r="A136" s="117" t="str">
        <x:v>MC0133</x:v>
      </x:c>
      <x:c r="B136" s="117" t="str">
        <x:v>Kenaboi State Park</x:v>
      </x:c>
      <x:c r="C136" s="117" t="str">
        <x:v>Negeri Sembilan</x:v>
      </x:c>
      <x:c r="D136" s="117" t="str">
        <x:v>Jelebu</x:v>
      </x:c>
      <x:c r="E136" s="117" t="str">
        <x:v>Nature</x:v>
      </x:c>
      <x:c r="F136" s="117" t="str">
        <x:v>Rural</x:v>
      </x:c>
      <x:c r="G136" s="117" t="str">
        <x:v>Outdoor</x:v>
      </x:c>
      <x:c r="H136" s="117" t="str">
        <x:v>rainforest; river; trekking</x:v>
      </x:c>
      <x:c r="I136" s="117" t="str">
        <x:v>A forest reserve and state park in Jelebu district known for its biodiversity.</x:v>
      </x:c>
      <x:c r="J136" s="117" t="str">
        <x:v>https://www.google.com/maps/search/?api=1&amp;query=Kenaboi%20State%20Park%2C%20Negeri%20Sembilan%2C%20Malaysia</x:v>
      </x:c>
      <x:c r="K136" s="117" t="str">
        <x:v>https://ebrochures.malaysia.travel/en/malaysia-travel-guide/negeri-sembilan/</x:v>
      </x:c>
      <x:c r="L136" s="117" t="str">
        <x:v>Tourism Malaysia state guide plus map discovery link</x:v>
      </x:c>
      <x:c r="M136" s="117" t="str">
        <x:v>Negeri Sembilan expansion batch</x:v>
      </x:c>
      <x:c r="N136" s="117"/>
      <x:c r="O136" s="117" t="str">
        <x:v>2026-08-15 00:00:00</x:v>
      </x:c>
      <x:c r="P136" s="117" t="str">
        <x:v>Complete</x:v>
      </x:c>
      <x:c r="Q136" s="117"/>
      <x:c r="R136" s="117" t="str">
        <x:f t="shared" si="2">IF(J136="","Missing Link",IF(AND(ISNUMBER(SEARCH("google.com/maps",J136)),ISERROR(SEARCH(";",J136))),"Discovery Link Only","Source Link Present"))</x:f>
        <x:v>Discovery Link Only</x:v>
      </x:c>
      <x:c r="S136" s="117" t="str">
        <x:v>Unknown</x:v>
      </x:c>
      <x:c r="T136" s="117" t="str">
        <x:v>Unknown</x:v>
      </x:c>
      <x:c r="U136" s="117" t="str">
        <x:v>Unknown</x:v>
      </x:c>
      <x:c r="V136" s="117" t="str">
        <x:v>Unknown</x:v>
      </x:c>
      <x:c r="W136" s="117" t="str">
        <x:v>Unknown</x:v>
      </x:c>
      <x:c r="X136" s="117" t="str">
        <x:v>Unknown</x:v>
      </x:c>
      <x:c r="Y136" s="117" t="str">
        <x:v>Unknown</x:v>
      </x:c>
      <x:c r="Z136" s="117"/>
      <x:c r="AA136" s="117" t="str">
        <x:v>Pending evidence</x:v>
      </x:c>
      <x:c r="AB136" s="117"/>
      <x:c r="AC136" s="117" t="str">
        <x:v>No qualifying accessibility conclusion established from the screened sources. This is unknown, not evidence that the attraction is inaccessible.</x:v>
      </x:c>
      <x:c r="AD136" s="117" t="str">
        <x:v>2026-09-08</x:v>
      </x:c>
      <x:c r="AE136" s="117" t="str">
        <x:v>MC0133</x:v>
      </x:c>
      <x:c r="AF136" s="117" t="str">
        <x:v>Distinct candidate</x:v>
      </x:c>
      <x:c r="AG136" s="117" t="str"/>
      <x:c r="AH136" s="117" t="str">
        <x:v>Name corroborated in source</x:v>
      </x:c>
      <x:c r="AI136" s="117" t="str">
        <x:v>https://ebrochures.malaysia.travel/en/malaysia-travel-guide/negeri-sembilan/</x:v>
      </x:c>
      <x:c r="AJ136" s="117" t="str">
        <x:v>Place name or established alias matched in the cited source. This is not confirmation of current opening, all visitor facilities or the full description.</x:v>
      </x:c>
      <x:c r="AK136" s="117" t="str">
        <x:v>Not independently confirmed</x:v>
      </x:c>
      <x:c r="AL136" s="117" t="str">
        <x:v>Screened sources; accessibility unresolved</x:v>
      </x:c>
      <x:c r="AM136" s="117" t="str">
        <x:v>2026-09-08</x:v>
      </x:c>
      <x:c r="AN136" s="117" t="str">
        <x:v>https://upload.wikimedia.org/wikipedia/commons/6/6d/Lata_Kijang.jpg?utm_source=commons.wikimedia.org&amp;utm_campaign=imageinfo&amp;utm_content=thumbnail_unscaled</x:v>
      </x:c>
      <x:c r="AO136" s="117"/>
      <x:c r="AP136" s="117" t="str">
        <x:v>1 metadata-matched images; visual review pending</x:v>
      </x:c>
      <x:c r="AQ136" s="117"/>
    </x:row>
    <x:row r="137" ht="66" customHeight="1">
      <x:c r="A137" s="117" t="str">
        <x:v>MC0134</x:v>
      </x:c>
      <x:c r="B137" s="117" t="str">
        <x:v>Teratak Za'aba</x:v>
      </x:c>
      <x:c r="C137" s="117" t="str">
        <x:v>Negeri Sembilan</x:v>
      </x:c>
      <x:c r="D137" s="117" t="str">
        <x:v>Jempol</x:v>
      </x:c>
      <x:c r="E137" s="117" t="str">
        <x:v>Museum and Gallery</x:v>
      </x:c>
      <x:c r="F137" s="117" t="str">
        <x:v>Underrated</x:v>
      </x:c>
      <x:c r="G137" s="117" t="str">
        <x:v>Indoor</x:v>
      </x:c>
      <x:c r="H137" s="117" t="str">
        <x:v>literary heritage; house museum; history</x:v>
      </x:c>
      <x:c r="I137" s="117" t="str">
        <x:v>The preserved birthplace house of Malay literary figure Za'aba, in Jempol district, Negeri Sembilan.</x:v>
      </x:c>
      <x:c r="J137" s="117" t="str">
        <x:v>https://www.google.com/maps/search/?api=1&amp;query=Teratak%20Za'aba%2C%20Negeri%20Sembilan%2C%20Malaysia</x:v>
      </x:c>
      <x:c r="K137" s="117" t="str">
        <x:v>https://ebrochures.malaysia.travel/en/malaysia-travel-guide/negeri-sembilan/</x:v>
      </x:c>
      <x:c r="L137" s="117" t="str">
        <x:v>Tourism Malaysia state guide plus map discovery link</x:v>
      </x:c>
      <x:c r="M137" s="117" t="str">
        <x:v>Negeri Sembilan expansion batch</x:v>
      </x:c>
      <x:c r="N137" s="117"/>
      <x:c r="O137" s="117" t="str">
        <x:v>2026-08-15 00:00:00</x:v>
      </x:c>
      <x:c r="P137" s="117" t="str">
        <x:v>Complete</x:v>
      </x:c>
      <x:c r="Q137" s="117"/>
      <x:c r="R137" s="117" t="str">
        <x:f t="shared" si="2">IF(J137="","Missing Link",IF(AND(ISNUMBER(SEARCH("google.com/maps",J137)),ISERROR(SEARCH(";",J137))),"Discovery Link Only","Source Link Present"))</x:f>
        <x:v>Discovery Link Only</x:v>
      </x:c>
      <x:c r="S137" s="117" t="str">
        <x:v>Unknown</x:v>
      </x:c>
      <x:c r="T137" s="117" t="str">
        <x:v>Unknown</x:v>
      </x:c>
      <x:c r="U137" s="117" t="str">
        <x:v>Unknown</x:v>
      </x:c>
      <x:c r="V137" s="117" t="str">
        <x:v>Unknown</x:v>
      </x:c>
      <x:c r="W137" s="117" t="str">
        <x:v>Unknown</x:v>
      </x:c>
      <x:c r="X137" s="117" t="str">
        <x:v>Unknown</x:v>
      </x:c>
      <x:c r="Y137" s="117" t="str">
        <x:v>Unknown</x:v>
      </x:c>
      <x:c r="Z137" s="117"/>
      <x:c r="AA137" s="117" t="str">
        <x:v>Pending evidence</x:v>
      </x:c>
      <x:c r="AB137" s="117"/>
      <x:c r="AC137" s="117" t="str">
        <x:v>No qualifying accessibility conclusion established from the screened sources. This is unknown, not evidence that the attraction is inaccessible.</x:v>
      </x:c>
      <x:c r="AD137" s="117" t="str">
        <x:v>2026-09-08</x:v>
      </x:c>
      <x:c r="AE137" s="117" t="str">
        <x:v>MC0134</x:v>
      </x:c>
      <x:c r="AF137" s="117" t="str">
        <x:v>Distinct candidate</x:v>
      </x:c>
      <x:c r="AG137" s="117" t="str"/>
      <x:c r="AH137" s="117" t="str">
        <x:v>Name corroborated in source</x:v>
      </x:c>
      <x:c r="AI137" s="117" t="str">
        <x:v>https://ebrochures.malaysia.travel/en/malaysia-travel-guide/negeri-sembilan/</x:v>
      </x:c>
      <x:c r="AJ137" s="117" t="str">
        <x:v>Place name or established alias matched in the cited source. This is not confirmation of current opening, all visitor facilities or the full description.</x:v>
      </x:c>
      <x:c r="AK137" s="117" t="str">
        <x:v>Not independently confirmed</x:v>
      </x:c>
      <x:c r="AL137" s="117" t="str">
        <x:v>Screened sources; accessibility unresolved</x:v>
      </x:c>
      <x:c r="AM137" s="117" t="str">
        <x:v>2026-09-08</x:v>
      </x:c>
      <x:c r="AN137" s="117" t="str">
        <x:v>https://upload.wikimedia.org/wikipedia/commons/8/88/Teratak_za%27aba.jpg?utm_source=commons.wikimedia.org&amp;utm_campaign=imageinfo&amp;utm_content=thumbnail_unscaled</x:v>
      </x:c>
      <x:c r="AO137" s="117"/>
      <x:c r="AP137" s="117" t="str">
        <x:v>1 metadata-matched images; visual review pending</x:v>
      </x:c>
      <x:c r="AQ137" s="117"/>
    </x:row>
    <x:row r="138" ht="66" customHeight="1">
      <x:c r="A138" s="117" t="str">
        <x:v>MC0135</x:v>
      </x:c>
      <x:c r="B138" s="117" t="str">
        <x:v>De Bana Recreational Forest</x:v>
      </x:c>
      <x:c r="C138" s="117" t="str">
        <x:v>Negeri Sembilan</x:v>
      </x:c>
      <x:c r="D138" s="117" t="str">
        <x:v>Jempol</x:v>
      </x:c>
      <x:c r="E138" s="117" t="str">
        <x:v>Nature</x:v>
      </x:c>
      <x:c r="F138" s="117" t="str">
        <x:v>Rural</x:v>
      </x:c>
      <x:c r="G138" s="117" t="str">
        <x:v>Outdoor</x:v>
      </x:c>
      <x:c r="H138" s="117" t="str">
        <x:v>forest; river; recreation</x:v>
      </x:c>
      <x:c r="I138" s="117" t="str">
        <x:v>A forest recreation area in Jempol district, Negeri Sembilan.</x:v>
      </x:c>
      <x:c r="J138" s="117" t="str">
        <x:v>https://www.google.com/maps/search/?api=1&amp;query=De%20Bana%20Recreational%20Forest%2C%20Negeri%20Sembilan%2C%20Malaysia</x:v>
      </x:c>
      <x:c r="K138" s="117" t="str">
        <x:v>https://ebrochures.malaysia.travel/en/malaysia-travel-guide/negeri-sembilan/</x:v>
      </x:c>
      <x:c r="L138" s="117" t="str">
        <x:v>Tourism Malaysia state guide plus map discovery link</x:v>
      </x:c>
      <x:c r="M138" s="117" t="str">
        <x:v>Negeri Sembilan expansion batch</x:v>
      </x:c>
      <x:c r="N138" s="117"/>
      <x:c r="O138" s="117" t="str">
        <x:v>2026-08-15 00:00:00</x:v>
      </x:c>
      <x:c r="P138" s="117" t="str">
        <x:v>Complete</x:v>
      </x:c>
      <x:c r="Q138" s="117" t="str">
        <x:v>Identity and Malaysian location verified in second-pass review on 2026-09-08.</x:v>
      </x:c>
      <x:c r="R138" s="117" t="str">
        <x:f t="shared" si="2">IF(J138="","Missing Link",IF(AND(ISNUMBER(SEARCH("google.com/maps",J138)),ISERROR(SEARCH(";",J138))),"Discovery Link Only","Source Link Present"))</x:f>
        <x:v>Discovery Link Only</x:v>
      </x:c>
      <x:c r="S138" s="117" t="str">
        <x:v>Unknown</x:v>
      </x:c>
      <x:c r="T138" s="117" t="str">
        <x:v>Unknown</x:v>
      </x:c>
      <x:c r="U138" s="117" t="str">
        <x:v>Unknown</x:v>
      </x:c>
      <x:c r="V138" s="117" t="str">
        <x:v>Unknown</x:v>
      </x:c>
      <x:c r="W138" s="117" t="str">
        <x:v>Unknown</x:v>
      </x:c>
      <x:c r="X138" s="117" t="str">
        <x:v>Unknown</x:v>
      </x:c>
      <x:c r="Y138" s="117" t="str">
        <x:v>Unknown</x:v>
      </x:c>
      <x:c r="Z138" s="117"/>
      <x:c r="AA138" s="117" t="str">
        <x:v>Pending evidence</x:v>
      </x:c>
      <x:c r="AB138" s="117"/>
      <x:c r="AC138" s="117" t="str">
        <x:v>No qualifying accessibility conclusion established from the screened sources. This is unknown, not evidence that the attraction is inaccessible.</x:v>
      </x:c>
      <x:c r="AD138" s="117" t="str">
        <x:v>2026-09-08</x:v>
      </x:c>
      <x:c r="AE138" s="117" t="str">
        <x:v>MC0135</x:v>
      </x:c>
      <x:c r="AF138" s="117" t="str">
        <x:v>Distinct candidate</x:v>
      </x:c>
      <x:c r="AG138" s="117" t="str"/>
      <x:c r="AH138" s="117" t="str">
        <x:v>Identity and location corroborated</x:v>
      </x:c>
      <x:c r="AI138" s="117" t="str">
        <x:v>https://n9tourism.ns.gov.my/en/explore/eco-tourism/</x:v>
      </x:c>
      <x:c r="AJ138" s="117" t="str">
        <x:v>Official state tourism source matches the attraction name or established alias and the stated Malaysian location. This verifies identity/location only; confirm current opening and accessibility separately.</x:v>
      </x:c>
      <x:c r="AK138" s="117" t="str">
        <x:v>Not independently confirmed</x:v>
      </x:c>
      <x:c r="AL138" s="117" t="str">
        <x:v>Screened sources; accessibility unresolved</x:v>
      </x:c>
      <x:c r="AM138" s="117" t="str">
        <x:v>2026-09-08</x:v>
      </x:c>
      <x:c r="AN138" s="117"/>
      <x:c r="AO138" s="117"/>
      <x:c r="AP138" s="117" t="str">
        <x:v>No usable pair located; image research pending</x:v>
      </x:c>
      <x:c r="AQ138" s="117"/>
    </x:row>
    <x:row r="139" ht="66" customHeight="1">
      <x:c r="A139" s="117" t="str">
        <x:v>MC0136</x:v>
      </x:c>
      <x:c r="B139" s="117" t="str">
        <x:v>Blue Lagoon</x:v>
      </x:c>
      <x:c r="C139" s="117" t="str">
        <x:v>Negeri Sembilan</x:v>
      </x:c>
      <x:c r="D139" s="117" t="str">
        <x:v>Port Dickson</x:v>
      </x:c>
      <x:c r="E139" s="117" t="str">
        <x:v>Beach and Island</x:v>
      </x:c>
      <x:c r="F139" s="117" t="str">
        <x:v>Popular</x:v>
      </x:c>
      <x:c r="G139" s="117" t="str">
        <x:v>Outdoor</x:v>
      </x:c>
      <x:c r="H139" s="117" t="str">
        <x:v>beach; swimming; family</x:v>
      </x:c>
      <x:c r="I139" s="117" t="str">
        <x:v>A scenic lagoon-like beach spot in Port Dickson.</x:v>
      </x:c>
      <x:c r="J139" s="117" t="str">
        <x:v>https://www.google.com/maps/search/?api=1&amp;query=Blue%20Lagoon%2C%20Negeri%20Sembilan%2C%20Malaysia</x:v>
      </x:c>
      <x:c r="K139" s="117" t="str">
        <x:v>https://ebrochures.malaysia.travel/en/malaysia-travel-guide/negeri-sembilan/</x:v>
      </x:c>
      <x:c r="L139" s="117" t="str">
        <x:v>Tourism Malaysia state guide plus map discovery link</x:v>
      </x:c>
      <x:c r="M139" s="117" t="str">
        <x:v>Negeri Sembilan expansion batch</x:v>
      </x:c>
      <x:c r="N139" s="117"/>
      <x:c r="O139" s="117" t="str">
        <x:v>2026-08-15 00:00:00</x:v>
      </x:c>
      <x:c r="P139" s="117" t="str">
        <x:v>Complete</x:v>
      </x:c>
      <x:c r="Q139" s="117"/>
      <x:c r="R139" s="117" t="str">
        <x:f t="shared" si="2">IF(J139="","Missing Link",IF(AND(ISNUMBER(SEARCH("google.com/maps",J139)),ISERROR(SEARCH(";",J139))),"Discovery Link Only","Source Link Present"))</x:f>
        <x:v>Discovery Link Only</x:v>
      </x:c>
      <x:c r="S139" s="117" t="str">
        <x:v>Unknown</x:v>
      </x:c>
      <x:c r="T139" s="117" t="str">
        <x:v>Unknown</x:v>
      </x:c>
      <x:c r="U139" s="117" t="str">
        <x:v>Unknown</x:v>
      </x:c>
      <x:c r="V139" s="117" t="str">
        <x:v>Unknown</x:v>
      </x:c>
      <x:c r="W139" s="117" t="str">
        <x:v>Unknown</x:v>
      </x:c>
      <x:c r="X139" s="117" t="str">
        <x:v>Unknown</x:v>
      </x:c>
      <x:c r="Y139" s="117" t="str">
        <x:v>Unknown</x:v>
      </x:c>
      <x:c r="Z139" s="117"/>
      <x:c r="AA139" s="117" t="str">
        <x:v>Pending evidence</x:v>
      </x:c>
      <x:c r="AB139" s="117"/>
      <x:c r="AC139" s="117" t="str">
        <x:v>No qualifying accessibility conclusion established from the screened sources. This is unknown, not evidence that the attraction is inaccessible.</x:v>
      </x:c>
      <x:c r="AD139" s="117" t="str">
        <x:v>2026-09-08</x:v>
      </x:c>
      <x:c r="AE139" s="117" t="str">
        <x:v>MC0136</x:v>
      </x:c>
      <x:c r="AF139" s="117" t="str">
        <x:v>Distinct candidate</x:v>
      </x:c>
      <x:c r="AG139" s="117" t="str"/>
      <x:c r="AH139" s="117" t="str">
        <x:v>Name corroborated in source</x:v>
      </x:c>
      <x:c r="AI139" s="117" t="str">
        <x:v>https://ebrochures.malaysia.travel/en/malaysia-travel-guide/negeri-sembilan/</x:v>
      </x:c>
      <x:c r="AJ139" s="117" t="str">
        <x:v>Place name or established alias matched in the cited source. This is not confirmation of current opening, all visitor facilities or the full description.</x:v>
      </x:c>
      <x:c r="AK139" s="117" t="str">
        <x:v>Not independently confirmed</x:v>
      </x:c>
      <x:c r="AL139" s="117" t="str">
        <x:v>Screened sources; accessibility unresolved</x:v>
      </x:c>
      <x:c r="AM139" s="117" t="str">
        <x:v>2026-09-08</x:v>
      </x:c>
      <x:c r="AN139" s="117" t="str">
        <x:v>https://upload.wikimedia.org/wikipedia/commons/f/f1/Blue_Lagoon_Members.jpg?utm_source=commons.wikimedia.org&amp;utm_campaign=imageinfo&amp;utm_content=thumbnail_unscaled</x:v>
      </x:c>
      <x:c r="AO139" s="117" t="str">
        <x:v>https://thumb.wikimedia.org/wikipedia/commons/thumb/7/78/The_Blue_Lagoon_2.jpg/1280px-The_Blue_Lagoon_2.jpg?utm_source=commons.wikimedia.org&amp;utm_campaign=imageinfo&amp;utm_content=thumbnail</x:v>
      </x:c>
      <x:c r="AP139" s="117" t="str">
        <x:v>2 metadata-matched images; visual review pending</x:v>
      </x:c>
      <x:c r="AQ139" s="117"/>
    </x:row>
    <x:row r="140" ht="66" customHeight="1">
      <x:c r="A140" s="117" t="str">
        <x:v>MC0137</x:v>
      </x:c>
      <x:c r="B140" s="117" t="str">
        <x:v>Pengkalan Kempas Historical Complex</x:v>
      </x:c>
      <x:c r="C140" s="117" t="str">
        <x:v>Negeri Sembilan</x:v>
      </x:c>
      <x:c r="D140" s="117" t="str">
        <x:v>Port Dickson</x:v>
      </x:c>
      <x:c r="E140" s="117" t="str">
        <x:v>Heritage and History</x:v>
      </x:c>
      <x:c r="F140" s="117" t="str">
        <x:v>Underrated</x:v>
      </x:c>
      <x:c r="G140" s="117" t="str">
        <x:v>Both</x:v>
      </x:c>
      <x:c r="H140" s="117" t="str">
        <x:v>megaliths; tomb; history</x:v>
      </x:c>
      <x:c r="I140" s="117" t="str">
        <x:v>A historical site in Port Dickson with ancient megalithic stones and a royal mausoleum.</x:v>
      </x:c>
      <x:c r="J140" s="117" t="str">
        <x:v>https://www.google.com/maps/search/?api=1&amp;query=Pengkalan%20Kempas%20Historical%20Complex%2C%20Negeri%20Sembilan%2C%20Malaysia</x:v>
      </x:c>
      <x:c r="K140" s="117" t="str">
        <x:v>https://ebrochures.malaysia.travel/en/malaysia-travel-guide/negeri-sembilan/</x:v>
      </x:c>
      <x:c r="L140" s="117" t="str">
        <x:v>Tourism Malaysia state guide plus map discovery link</x:v>
      </x:c>
      <x:c r="M140" s="117" t="str">
        <x:v>Negeri Sembilan expansion batch</x:v>
      </x:c>
      <x:c r="N140" s="117"/>
      <x:c r="O140" s="117" t="str">
        <x:v>2026-08-15 00:00:00</x:v>
      </x:c>
      <x:c r="P140" s="117" t="str">
        <x:v>Complete</x:v>
      </x:c>
      <x:c r="Q140" s="117"/>
      <x:c r="R140" s="117" t="str">
        <x:f t="shared" si="2">IF(J140="","Missing Link",IF(AND(ISNUMBER(SEARCH("google.com/maps",J140)),ISERROR(SEARCH(";",J140))),"Discovery Link Only","Source Link Present"))</x:f>
        <x:v>Discovery Link Only</x:v>
      </x:c>
      <x:c r="S140" s="117" t="str">
        <x:v>Unknown</x:v>
      </x:c>
      <x:c r="T140" s="117" t="str">
        <x:v>Unknown</x:v>
      </x:c>
      <x:c r="U140" s="117" t="str">
        <x:v>Unknown</x:v>
      </x:c>
      <x:c r="V140" s="117" t="str">
        <x:v>Unknown</x:v>
      </x:c>
      <x:c r="W140" s="117" t="str">
        <x:v>Unknown</x:v>
      </x:c>
      <x:c r="X140" s="117" t="str">
        <x:v>Unknown</x:v>
      </x:c>
      <x:c r="Y140" s="117" t="str">
        <x:v>Unknown</x:v>
      </x:c>
      <x:c r="Z140" s="117"/>
      <x:c r="AA140" s="117" t="str">
        <x:v>Pending evidence</x:v>
      </x:c>
      <x:c r="AB140" s="117"/>
      <x:c r="AC140" s="117" t="str">
        <x:v>No qualifying accessibility conclusion established from the screened sources. This is unknown, not evidence that the attraction is inaccessible.</x:v>
      </x:c>
      <x:c r="AD140" s="117" t="str">
        <x:v>2026-09-08</x:v>
      </x:c>
      <x:c r="AE140" s="117" t="str">
        <x:v>MC0137</x:v>
      </x:c>
      <x:c r="AF140" s="117" t="str">
        <x:v>Distinct candidate</x:v>
      </x:c>
      <x:c r="AG140" s="117" t="str"/>
      <x:c r="AH140" s="117" t="str">
        <x:v>Name corroborated in source</x:v>
      </x:c>
      <x:c r="AI140" s="117" t="str">
        <x:v>https://ebrochures.malaysia.travel/en/malaysia-travel-guide/negeri-sembilan/</x:v>
      </x:c>
      <x:c r="AJ140" s="117" t="str">
        <x:v>Place name or established alias matched in the cited source. This is not confirmation of current opening, all visitor facilities or the full description.</x:v>
      </x:c>
      <x:c r="AK140" s="117" t="str">
        <x:v>Not independently confirmed</x:v>
      </x:c>
      <x:c r="AL140" s="117" t="str">
        <x:v>Screened sources; accessibility unresolved</x:v>
      </x:c>
      <x:c r="AM140" s="117" t="str">
        <x:v>2026-09-08</x:v>
      </x:c>
      <x:c r="AN140" s="117"/>
      <x:c r="AO140" s="117"/>
      <x:c r="AP140" s="117" t="str">
        <x:v>No usable pair located; image research pending</x:v>
      </x:c>
      <x:c r="AQ140" s="117"/>
    </x:row>
    <x:row r="141" ht="66" customHeight="1">
      <x:c r="A141" s="117" t="str">
        <x:v>MC0138</x:v>
      </x:c>
      <x:c r="B141" s="117" t="str">
        <x:v>Gunung Tampin Recreational Forest</x:v>
      </x:c>
      <x:c r="C141" s="117" t="str">
        <x:v>Negeri Sembilan</x:v>
      </x:c>
      <x:c r="D141" s="117" t="str">
        <x:v>Tampin</x:v>
      </x:c>
      <x:c r="E141" s="117" t="str">
        <x:v>Nature</x:v>
      </x:c>
      <x:c r="F141" s="117" t="str">
        <x:v>Local</x:v>
      </x:c>
      <x:c r="G141" s="117" t="str">
        <x:v>Outdoor</x:v>
      </x:c>
      <x:c r="H141" s="117" t="str">
        <x:v>forest; hiking; wildlife</x:v>
      </x:c>
      <x:c r="I141" s="117" t="str">
        <x:v>A forest recreation area with hiking trails in Tampin district, Negeri Sembilan.</x:v>
      </x:c>
      <x:c r="J141" s="117" t="str">
        <x:v>https://www.google.com/maps/search/?api=1&amp;query=Gunung%20Tampin%20Recreational%20Forest%2C%20Negeri%20Sembilan%2C%20Malaysia</x:v>
      </x:c>
      <x:c r="K141" s="117" t="str">
        <x:v>https://ebrochures.malaysia.travel/en/malaysia-travel-guide/negeri-sembilan/</x:v>
      </x:c>
      <x:c r="L141" s="117" t="str">
        <x:v>Tourism Malaysia state guide plus map discovery link</x:v>
      </x:c>
      <x:c r="M141" s="117" t="str">
        <x:v>Negeri Sembilan expansion batch</x:v>
      </x:c>
      <x:c r="N141" s="117"/>
      <x:c r="O141" s="117" t="str">
        <x:v>2026-08-15 00:00:00</x:v>
      </x:c>
      <x:c r="P141" s="117" t="str">
        <x:v>Complete</x:v>
      </x:c>
      <x:c r="Q141" s="117"/>
      <x:c r="R141" s="117" t="str">
        <x:f t="shared" si="2">IF(J141="","Missing Link",IF(AND(ISNUMBER(SEARCH("google.com/maps",J141)),ISERROR(SEARCH(";",J141))),"Discovery Link Only","Source Link Present"))</x:f>
        <x:v>Discovery Link Only</x:v>
      </x:c>
      <x:c r="S141" s="117" t="str">
        <x:v>Unknown</x:v>
      </x:c>
      <x:c r="T141" s="117" t="str">
        <x:v>Unknown</x:v>
      </x:c>
      <x:c r="U141" s="117" t="str">
        <x:v>Unknown</x:v>
      </x:c>
      <x:c r="V141" s="117" t="str">
        <x:v>Unknown</x:v>
      </x:c>
      <x:c r="W141" s="117" t="str">
        <x:v>Unknown</x:v>
      </x:c>
      <x:c r="X141" s="117" t="str">
        <x:v>Unknown</x:v>
      </x:c>
      <x:c r="Y141" s="117" t="str">
        <x:v>Unknown</x:v>
      </x:c>
      <x:c r="Z141" s="117"/>
      <x:c r="AA141" s="117" t="str">
        <x:v>Pending evidence</x:v>
      </x:c>
      <x:c r="AB141" s="117"/>
      <x:c r="AC141" s="117" t="str">
        <x:v>No qualifying accessibility conclusion established from the screened sources. This is unknown, not evidence that the attraction is inaccessible.</x:v>
      </x:c>
      <x:c r="AD141" s="117" t="str">
        <x:v>2026-09-08</x:v>
      </x:c>
      <x:c r="AE141" s="117" t="str">
        <x:v>MC0138</x:v>
      </x:c>
      <x:c r="AF141" s="117" t="str">
        <x:v>Distinct candidate</x:v>
      </x:c>
      <x:c r="AG141" s="117" t="str"/>
      <x:c r="AH141" s="117" t="str">
        <x:v>Name corroborated in source</x:v>
      </x:c>
      <x:c r="AI141" s="117" t="str">
        <x:v>https://ebrochures.malaysia.travel/en/malaysia-travel-guide/negeri-sembilan/</x:v>
      </x:c>
      <x:c r="AJ141" s="117" t="str">
        <x:v>Place name or established alias matched in the cited source. This is not confirmation of current opening, all visitor facilities or the full description.</x:v>
      </x:c>
      <x:c r="AK141" s="117" t="str">
        <x:v>Not independently confirmed</x:v>
      </x:c>
      <x:c r="AL141" s="117" t="str">
        <x:v>Screened sources; accessibility unresolved</x:v>
      </x:c>
      <x:c r="AM141" s="117" t="str">
        <x:v>2026-09-08</x:v>
      </x:c>
      <x:c r="AN141" s="117"/>
      <x:c r="AO141" s="117"/>
      <x:c r="AP141" s="117" t="str">
        <x:v>No usable pair located; image research pending</x:v>
      </x:c>
      <x:c r="AQ141" s="117"/>
    </x:row>
    <x:row r="142" ht="66" customHeight="1">
      <x:c r="A142" s="117" t="str">
        <x:v>MC0139</x:v>
      </x:c>
      <x:c r="B142" s="117" t="str">
        <x:v>Gemas Railway Station Heritage Precinct</x:v>
      </x:c>
      <x:c r="C142" s="117" t="str">
        <x:v>Negeri Sembilan</x:v>
      </x:c>
      <x:c r="D142" s="117" t="str">
        <x:v>Gemas</x:v>
      </x:c>
      <x:c r="E142" s="117" t="str">
        <x:v>Heritage and History</x:v>
      </x:c>
      <x:c r="F142" s="117" t="str">
        <x:v>Underrated</x:v>
      </x:c>
      <x:c r="G142" s="117" t="str">
        <x:v>Both</x:v>
      </x:c>
      <x:c r="H142" s="117" t="str">
        <x:v>railway; war history; town</x:v>
      </x:c>
      <x:c r="I142" s="117" t="str">
        <x:v>A historic railway junction town home to a heritage railway station notable in Malaysia's rail network.</x:v>
      </x:c>
      <x:c r="J142" s="117" t="str">
        <x:v>https://www.google.com/maps/search/?api=1&amp;query=Gemas%20Railway%20Station%20Heritage%20Precinct%2C%20Negeri%20Sembilan%2C%20Malaysia</x:v>
      </x:c>
      <x:c r="K142" s="117" t="str">
        <x:v>https://ebrochures.malaysia.travel/en/malaysia-travel-guide/negeri-sembilan/</x:v>
      </x:c>
      <x:c r="L142" s="117" t="str">
        <x:v>Tourism Malaysia state guide plus map discovery link</x:v>
      </x:c>
      <x:c r="M142" s="117" t="str">
        <x:v>Negeri Sembilan expansion batch</x:v>
      </x:c>
      <x:c r="N142" s="117"/>
      <x:c r="O142" s="117" t="str">
        <x:v>2026-08-15 00:00:00</x:v>
      </x:c>
      <x:c r="P142" s="117" t="str">
        <x:v>Pending Review</x:v>
      </x:c>
      <x:c r="Q142" s="117"/>
      <x:c r="R142" s="117" t="str">
        <x:f t="shared" si="2">IF(J142="","Missing Link",IF(AND(ISNUMBER(SEARCH("google.com/maps",J142)),ISERROR(SEARCH(";",J142))),"Discovery Link Only","Source Link Present"))</x:f>
        <x:v>Discovery Link Only</x:v>
      </x:c>
      <x:c r="S142" s="117" t="str">
        <x:v>Unknown</x:v>
      </x:c>
      <x:c r="T142" s="117" t="str">
        <x:v>Unknown</x:v>
      </x:c>
      <x:c r="U142" s="117" t="str">
        <x:v>Unknown</x:v>
      </x:c>
      <x:c r="V142" s="117" t="str">
        <x:v>Unknown</x:v>
      </x:c>
      <x:c r="W142" s="117" t="str">
        <x:v>Unknown</x:v>
      </x:c>
      <x:c r="X142" s="117" t="str">
        <x:v>Unknown</x:v>
      </x:c>
      <x:c r="Y142" s="117" t="str">
        <x:v>Unknown</x:v>
      </x:c>
      <x:c r="Z142" s="117"/>
      <x:c r="AA142" s="117" t="str">
        <x:v>Pending evidence</x:v>
      </x:c>
      <x:c r="AB142" s="117"/>
      <x:c r="AC142" s="117" t="str">
        <x:v>No qualifying accessibility conclusion established from the screened sources. This is unknown, not evidence that the attraction is inaccessible.</x:v>
      </x:c>
      <x:c r="AD142" s="117" t="str">
        <x:v>2026-09-08</x:v>
      </x:c>
      <x:c r="AE142" s="117" t="str">
        <x:v>MC0139</x:v>
      </x:c>
      <x:c r="AF142" s="117" t="str">
        <x:v>Distinct candidate</x:v>
      </x:c>
      <x:c r="AG142" s="117" t="str"/>
      <x:c r="AH142" s="117" t="str">
        <x:v>Unverified constructed name / review for removal</x:v>
      </x:c>
      <x:c r="AI142" s="117" t="str"/>
      <x:c r="AJ142" s="117" t="str">
        <x:v>No reliable source substantiated “Gemas Railway Station Heritage Precinct” as the formal name of a visitor attraction.</x:v>
      </x:c>
      <x:c r="AK142" s="117" t="str">
        <x:v>Not approved for recommendation</x:v>
      </x:c>
      <x:c r="AL142" s="117" t="str">
        <x:v>Screened sources; accessibility unresolved</x:v>
      </x:c>
      <x:c r="AM142" s="117" t="str">
        <x:v>2026-09-08</x:v>
      </x:c>
      <x:c r="AN142" s="117"/>
      <x:c r="AO142" s="117"/>
      <x:c r="AP142" s="117" t="str">
        <x:v>No usable pair located; image research pending</x:v>
      </x:c>
      <x:c r="AQ142" s="117"/>
    </x:row>
    <x:row r="143" ht="66" customHeight="1">
      <x:c r="A143" s="117" t="str">
        <x:v>MC0140</x:v>
      </x:c>
      <x:c r="B143" s="117" t="str">
        <x:v>Genting Highlands</x:v>
      </x:c>
      <x:c r="C143" s="117" t="str">
        <x:v>Pahang</x:v>
      </x:c>
      <x:c r="D143" s="117" t="str">
        <x:v>Genting Highlands</x:v>
      </x:c>
      <x:c r="E143" s="117" t="str">
        <x:v>Family Attraction</x:v>
      </x:c>
      <x:c r="F143" s="117" t="str">
        <x:v>Unclassified</x:v>
      </x:c>
      <x:c r="G143" s="117" t="str">
        <x:v>Both</x:v>
      </x:c>
      <x:c r="H143" s="117" t="str">
        <x:v>Highland resort; cool climate; theme parks; rides; indoor entertainment; outdoor entertainment; shopping; dining; nightlife; casino; cable car; temple; rainforest; nature; family recreation; photography</x:v>
      </x:c>
      <x:c r="I143" s="117" t="str">
        <x:v>A highland resort destination set among rainforest-covered hills in Pahang, combining cool-weather relaxation with theme parks, shopping, dining, nightlife and nature. Major experiences include Genting SkyWorlds, Skytropolis, SkyAvenue, Awana SkyWay, Genting Highlands Premium Outlets and Chin Swee Caves Temple.</x:v>
      </x:c>
      <x:c r="J143" s="117" t="str">
        <x:v>https://www.malaysia.travel/explore/genting-highlands ; https://www.rwgenting.com/ ; https://ebrochures.malaysia.travel/en/cool-highlands/genting-highlands/</x:v>
      </x:c>
      <x:c r="K143" s="117" t="str">
        <x:v>https://ebrochures.malaysia.travel/en/malaysia-travel-guide/pahang/</x:v>
      </x:c>
      <x:c r="L143" s="117" t="str">
        <x:v>Previous workbook candidate/source lead</x:v>
      </x:c>
      <x:c r="M143" s="117" t="str">
        <x:v>Previous workbook seed</x:v>
      </x:c>
      <x:c r="N143" s="117" t="str">
        <x:v>A007</x:v>
      </x:c>
      <x:c r="O143" s="117" t="str">
        <x:v>2026-08-15 00:00:00</x:v>
      </x:c>
      <x:c r="P143" s="117" t="str">
        <x:v>Complete</x:v>
      </x:c>
      <x:c r="Q143" s="117"/>
      <x:c r="R143" s="117" t="str">
        <x:f t="shared" si="2">IF(J143="","Missing Link",IF(AND(ISNUMBER(SEARCH("google.com/maps",J143)),ISERROR(SEARCH(";",J143))),"Discovery Link Only","Source Link Present"))</x:f>
        <x:v>Source Link Present</x:v>
      </x:c>
      <x:c r="S143" s="117" t="str">
        <x:v>Not measured</x:v>
      </x:c>
      <x:c r="T143" s="117" t="str">
        <x:v>Partial - named transport only</x:v>
      </x:c>
      <x:c r="U143" s="117" t="str">
        <x:v>Unknown</x:v>
      </x:c>
      <x:c r="V143" s="117" t="str">
        <x:v>Unknown</x:v>
      </x:c>
      <x:c r="W143" s="117" t="str">
        <x:v>Unknown</x:v>
      </x:c>
      <x:c r="X143" s="117" t="str">
        <x:v>Unknown</x:v>
      </x:c>
      <x:c r="Y143" s="117" t="str">
        <x:v>Conditional on mobility and route</x:v>
      </x:c>
      <x:c r="Z143" s="117" t="str">
        <x:v>This evidence applies to the standard gondola, not the whole Genting Highlands destination, nature trails or every attraction. Use the separate Awana SkyWay record for route-specific recommendations.</x:v>
      </x:c>
      <x:c r="AA143" s="117" t="str">
        <x:v>Documented support - conditional</x:v>
      </x:c>
      <x:c r="AB143" s="117" t="str">
        <x:v>https://www.rwgenting.com/en/getting-here/cable-car.html</x:v>
      </x:c>
      <x:c r="AC143" s="117" t="str">
        <x:v>Awana SkyWay only; see MC0790</x:v>
      </x:c>
      <x:c r="AD143" s="117" t="str">
        <x:v>2026-09-08</x:v>
      </x:c>
      <x:c r="AE143" s="117" t="str">
        <x:v>MC0140</x:v>
      </x:c>
      <x:c r="AF143" s="117" t="str">
        <x:v>Related site or component</x:v>
      </x:c>
      <x:c r="AG143" s="117" t="str">
        <x:v>MC0790</x:v>
      </x:c>
      <x:c r="AH143" s="117" t="str">
        <x:v>Venue-specific source reviewed</x:v>
      </x:c>
      <x:c r="AI143" s="117" t="str">
        <x:v>https://www.rwgenting.com/en/getting-here/cable-car.html</x:v>
      </x:c>
      <x:c r="AJ143" s="117" t="str">
        <x:v>Place name or established alias matched in the cited source. This is not confirmation of current opening, all visitor facilities or the full description.</x:v>
      </x:c>
      <x:c r="AK143" s="117" t="str">
        <x:v>Not independently confirmed</x:v>
      </x:c>
      <x:c r="AL143" s="117" t="str">
        <x:v>Primary accessibility evidence reviewed</x:v>
      </x:c>
      <x:c r="AM143" s="117" t="str">
        <x:v>2026-09-08</x:v>
      </x:c>
      <x:c r="AN143" s="117" t="str">
        <x:v>https://thumb.wikimedia.org/wikipedia/commons/thumb/0/04/GrandIonCityGenting.jpg/1280px-GrandIonCityGenting.jpg?utm_source=commons.wikimedia.org&amp;utm_campaign=imageinfo&amp;utm_content=thumbnail</x:v>
      </x:c>
      <x:c r="AO143" s="117" t="str">
        <x:v>https://thumb.wikimedia.org/wikipedia/commons/thumb/9/95/The_Tree_Drowned_in_the_Fog.jpg/1280px-The_Tree_Drowned_in_the_Fog.jpg?utm_source=commons.wikimedia.org&amp;utm_campaign=imageinfo&amp;utm_content=thumbnail</x:v>
      </x:c>
      <x:c r="AP143" s="117" t="str">
        <x:v>2 metadata-matched images; visual review pending</x:v>
      </x:c>
      <x:c r="AQ143" s="117"/>
    </x:row>
    <x:row r="144" ht="66" customHeight="1">
      <x:c r="A144" s="117" t="str">
        <x:v>MC0141</x:v>
      </x:c>
      <x:c r="B144" s="117" t="str">
        <x:v>Cameron Highlands</x:v>
      </x:c>
      <x:c r="C144" s="117" t="str">
        <x:v>Pahang</x:v>
      </x:c>
      <x:c r="D144" s="117" t="str">
        <x:v>Cameron Highlands</x:v>
      </x:c>
      <x:c r="E144" s="117" t="str">
        <x:v>Nature</x:v>
      </x:c>
      <x:c r="F144" s="117" t="str">
        <x:v>Local</x:v>
      </x:c>
      <x:c r="G144" s="117" t="str">
        <x:v>Both</x:v>
      </x:c>
      <x:c r="H144" s="117" t="str">
        <x:v>Highland resort; cool climate; tea plantation; strawberry farm; flower garden; vegetable farm; agrotourism; Mossy Forest; rainforest; jungle trail; hiking; Gunung Brinchang; viewpoint; waterfall; market; local produce; museum; colonial heritage; photography; nature; family recreation; cafe; food; resort</x:v>
      </x:c>
      <x:c r="I144" s="117" t="str">
        <x:v>Pahang's best-known highland destination combines a cool mountain climate with rolling tea estates, strawberry and vegetable farms, flower gardens, markets, forest trails and heritage attractions. Its main visitor centres include Tanah Rata, Brinchang and Ringlet, with nature and agrotourism experiences spread across the district.</x:v>
      </x:c>
      <x:c r="J144" s="117" t="str">
        <x:v>https://www.malaysia.travel/explore/cameron-highlands ; https://www.cameronhighland.net/ ; https://www.mdcameron.gov.my/en/visitors/places-interest ; https://www.mdcameron.gov.my/en/visitors/places-interest/farm-garden ; https://www.mdcameron.gov.my/en/visitors/places-interest/mountain-forest ; https://www.pahangtourism.org.my/destination/highlands/cameron-highlands ; https://www.malaysia.travel/explore/the-best-of-cameron-highlands-a-3d2n-exploration-of-sights-and-senses-2</x:v>
      </x:c>
      <x:c r="K144" s="117" t="str">
        <x:v>https://ebrochures.malaysia.travel/en/malaysia-travel-guide/pahang/</x:v>
      </x:c>
      <x:c r="L144" s="117" t="str">
        <x:v>Previous workbook candidate/source lead</x:v>
      </x:c>
      <x:c r="M144" s="117" t="str">
        <x:v>Previous workbook seed</x:v>
      </x:c>
      <x:c r="N144" s="117" t="str">
        <x:v>A016</x:v>
      </x:c>
      <x:c r="O144" s="117" t="str">
        <x:v>2026-08-15 00:00:00</x:v>
      </x:c>
      <x:c r="P144" s="117" t="str">
        <x:v>Complete</x:v>
      </x:c>
      <x:c r="Q144" s="117"/>
      <x:c r="R144" s="117" t="str">
        <x:f t="shared" si="2">IF(J144="","Missing Link",IF(AND(ISNUMBER(SEARCH("google.com/maps",J144)),ISERROR(SEARCH(";",J144))),"Discovery Link Only","Source Link Present"))</x:f>
        <x:v>Source Link Present</x:v>
      </x:c>
      <x:c r="S144" s="117" t="str">
        <x:v>Unknown</x:v>
      </x:c>
      <x:c r="T144" s="117" t="str">
        <x:v>Unknown</x:v>
      </x:c>
      <x:c r="U144" s="117" t="str">
        <x:v>Unknown</x:v>
      </x:c>
      <x:c r="V144" s="117" t="str">
        <x:v>Unknown</x:v>
      </x:c>
      <x:c r="W144" s="117" t="str">
        <x:v>Unknown</x:v>
      </x:c>
      <x:c r="X144" s="117" t="str">
        <x:v>Unknown</x:v>
      </x:c>
      <x:c r="Y144" s="117" t="str">
        <x:v>Unknown</x:v>
      </x:c>
      <x:c r="Z144" s="117"/>
      <x:c r="AA144" s="117" t="str">
        <x:v>Pending evidence</x:v>
      </x:c>
      <x:c r="AB144" s="117"/>
      <x:c r="AC144" s="117" t="str">
        <x:v>No qualifying accessibility conclusion established from the screened sources. This is unknown, not evidence that the attraction is inaccessible.</x:v>
      </x:c>
      <x:c r="AD144" s="117" t="str">
        <x:v>2026-09-08</x:v>
      </x:c>
      <x:c r="AE144" s="117" t="str">
        <x:v>MC0141</x:v>
      </x:c>
      <x:c r="AF144" s="117" t="str">
        <x:v>Distinct candidate</x:v>
      </x:c>
      <x:c r="AG144" s="117" t="str"/>
      <x:c r="AH144" s="117" t="str">
        <x:v>Name corroborated in source</x:v>
      </x:c>
      <x:c r="AI144" s="117" t="str">
        <x:v>https://www.malaysia.travel/explore/cameron-highlands</x:v>
      </x:c>
      <x:c r="AJ144" s="117" t="str">
        <x:v>Place name or established alias matched in the cited source. This is not confirmation of current opening, all visitor facilities or the full description.</x:v>
      </x:c>
      <x:c r="AK144" s="117" t="str">
        <x:v>Not independently confirmed</x:v>
      </x:c>
      <x:c r="AL144" s="117" t="str">
        <x:v>Screened sources; accessibility unresolved</x:v>
      </x:c>
      <x:c r="AM144" s="117" t="str">
        <x:v>2026-09-08</x:v>
      </x:c>
      <x:c r="AN144" s="117" t="str">
        <x:v>https://thumb.wikimedia.org/wikipedia/commons/thumb/0/06/Tea_fields_%28Will_Ellis%29.jpg/1280px-Tea_fields_%28Will_Ellis%29.jpg?utm_source=commons.wikimedia.org&amp;utm_campaign=imageinfo&amp;utm_content=thumbnail</x:v>
      </x:c>
      <x:c r="AO144" s="117" t="str">
        <x:v>https://thumb.wikimedia.org/wikipedia/commons/thumb/c/c5/Sheep_Sanctuary%2C_Cameron_Highlands_202412.jpg/1280px-Sheep_Sanctuary%2C_Cameron_Highlands_202412.jpg?utm_source=commons.wikimedia.org&amp;utm_campaign=imageinfo&amp;utm_content=thumbnail</x:v>
      </x:c>
      <x:c r="AP144" s="117" t="str">
        <x:v>2 metadata-matched images; visual review pending</x:v>
      </x:c>
      <x:c r="AQ144" s="117"/>
    </x:row>
    <x:row r="145" ht="66" customHeight="1">
      <x:c r="A145" s="117" t="str">
        <x:v>MC0142</x:v>
      </x:c>
      <x:c r="B145" s="117" t="str">
        <x:v>Taman Negara Kuala Tahan</x:v>
      </x:c>
      <x:c r="C145" s="117" t="str">
        <x:v>Pahang</x:v>
      </x:c>
      <x:c r="D145" s="117" t="str">
        <x:v>Jerantut</x:v>
      </x:c>
      <x:c r="E145" s="117" t="str">
        <x:v>Adventure</x:v>
      </x:c>
      <x:c r="F145" s="117" t="str">
        <x:v>Unclassified</x:v>
      </x:c>
      <x:c r="G145" s="117" t="str">
        <x:v>Outdoor</x:v>
      </x:c>
      <x:c r="H145" s="117" t="str">
        <x:v>rainforest; hiking; wildlife; canopy walk; adventure</x:v>
      </x:c>
      <x:c r="I145" s="117" t="str">
        <x:v>The gateway village to Taman Negara, Malaysia's oldest rainforest national park, offering jungle trekking, river cruises and the famous canopy walkway.</x:v>
      </x:c>
      <x:c r="J145" s="117" t="str">
        <x:v>https://www.google.com/maps/search/?api=1&amp;query=Taman%20Negara%20Kuala%20Tahan%2C%20Pahang%2C%20Malaysia</x:v>
      </x:c>
      <x:c r="K145" s="117" t="str">
        <x:v>https://ebrochures.malaysia.travel/en/malaysia-travel-guide/pahang/</x:v>
      </x:c>
      <x:c r="L145" s="117" t="str">
        <x:v>Previous workbook candidate/source lead</x:v>
      </x:c>
      <x:c r="M145" s="117" t="str">
        <x:v>Previous workbook seed</x:v>
      </x:c>
      <x:c r="N145" s="117" t="str">
        <x:v>A073</x:v>
      </x:c>
      <x:c r="O145" s="117" t="str">
        <x:v>2026-08-15 00:00:00</x:v>
      </x:c>
      <x:c r="P145" s="117" t="str">
        <x:v>Complete</x:v>
      </x:c>
      <x:c r="Q145" s="117"/>
      <x:c r="R145" s="117" t="str">
        <x:f t="shared" si="2">IF(J145="","Missing Link",IF(AND(ISNUMBER(SEARCH("google.com/maps",J145)),ISERROR(SEARCH(";",J145))),"Discovery Link Only","Source Link Present"))</x:f>
        <x:v>Discovery Link Only</x:v>
      </x:c>
      <x:c r="S145" s="117" t="str">
        <x:v>Unknown</x:v>
      </x:c>
      <x:c r="T145" s="117" t="str">
        <x:v>Unknown</x:v>
      </x:c>
      <x:c r="U145" s="117" t="str">
        <x:v>Unknown</x:v>
      </x:c>
      <x:c r="V145" s="117" t="str">
        <x:v>Unknown</x:v>
      </x:c>
      <x:c r="W145" s="117" t="str">
        <x:v>Unknown</x:v>
      </x:c>
      <x:c r="X145" s="117" t="str">
        <x:v>Unknown</x:v>
      </x:c>
      <x:c r="Y145" s="117" t="str">
        <x:v>Unknown</x:v>
      </x:c>
      <x:c r="Z145" s="117"/>
      <x:c r="AA145" s="117" t="str">
        <x:v>Pending evidence</x:v>
      </x:c>
      <x:c r="AB145" s="117"/>
      <x:c r="AC145" s="117" t="str">
        <x:v>No qualifying accessibility conclusion established from the screened sources. This is unknown, not evidence that the attraction is inaccessible.</x:v>
      </x:c>
      <x:c r="AD145" s="117" t="str">
        <x:v>2026-09-08</x:v>
      </x:c>
      <x:c r="AE145" s="117" t="str">
        <x:v>MC0142</x:v>
      </x:c>
      <x:c r="AF145" s="117" t="str">
        <x:v>Distinct candidate</x:v>
      </x:c>
      <x:c r="AG145" s="117" t="str"/>
      <x:c r="AH145" s="117" t="str">
        <x:v>Name corroborated in source</x:v>
      </x:c>
      <x:c r="AI145" s="117" t="str">
        <x:v>https://ebrochures.malaysia.travel/en/malaysia-travel-guide/pahang/</x:v>
      </x:c>
      <x:c r="AJ145" s="117" t="str">
        <x:v>Place name or established alias matched in the cited source. This is not confirmation of current opening, all visitor facilities or the full description.</x:v>
      </x:c>
      <x:c r="AK145" s="117" t="str">
        <x:v>Not independently confirmed</x:v>
      </x:c>
      <x:c r="AL145" s="117" t="str">
        <x:v>Screened sources; accessibility unresolved</x:v>
      </x:c>
      <x:c r="AM145" s="117" t="str">
        <x:v>2026-09-08</x:v>
      </x:c>
      <x:c r="AN145" s="117"/>
      <x:c r="AO145" s="117"/>
      <x:c r="AP145" s="117" t="str">
        <x:v>No usable pair located; image research pending</x:v>
      </x:c>
      <x:c r="AQ145" s="117"/>
    </x:row>
    <x:row r="146" ht="66" customHeight="1">
      <x:c r="A146" s="117" t="str">
        <x:v>MC0143</x:v>
      </x:c>
      <x:c r="B146" s="117" t="str">
        <x:v>Fraser's Hill</x:v>
      </x:c>
      <x:c r="C146" s="117" t="str">
        <x:v>Pahang</x:v>
      </x:c>
      <x:c r="D146" s="117" t="str">
        <x:v>Raub</x:v>
      </x:c>
      <x:c r="E146" s="117" t="str">
        <x:v>Wellness and Relaxation</x:v>
      </x:c>
      <x:c r="F146" s="117" t="str">
        <x:v>Unclassified</x:v>
      </x:c>
      <x:c r="G146" s="117" t="str">
        <x:v>Outdoor</x:v>
      </x:c>
      <x:c r="H146" s="117" t="str">
        <x:v>cool climate; birdwatching; relaxation; nature; walking</x:v>
      </x:c>
      <x:c r="I146" s="117" t="str">
        <x:v>A cool hill station resort town in Raub district known for its colonial-era bungalows, golf course and birdwatching.</x:v>
      </x:c>
      <x:c r="J146" s="117" t="str">
        <x:v>https://www.google.com/maps/search/?api=1&amp;query=Fraser's%20Hill%2C%20Pahang%2C%20Malaysia</x:v>
      </x:c>
      <x:c r="K146" s="117" t="str">
        <x:v>https://ebrochures.malaysia.travel/en/malaysia-travel-guide/pahang/</x:v>
      </x:c>
      <x:c r="L146" s="117" t="str">
        <x:v>Previous workbook candidate/source lead</x:v>
      </x:c>
      <x:c r="M146" s="117" t="str">
        <x:v>Previous workbook seed</x:v>
      </x:c>
      <x:c r="N146" s="117" t="str">
        <x:v>A074</x:v>
      </x:c>
      <x:c r="O146" s="117" t="str">
        <x:v>2026-08-15 00:00:00</x:v>
      </x:c>
      <x:c r="P146" s="117" t="str">
        <x:v>Complete</x:v>
      </x:c>
      <x:c r="Q146" s="117"/>
      <x:c r="R146" s="117" t="str">
        <x:f t="shared" si="2">IF(J146="","Missing Link",IF(AND(ISNUMBER(SEARCH("google.com/maps",J146)),ISERROR(SEARCH(";",J146))),"Discovery Link Only","Source Link Present"))</x:f>
        <x:v>Discovery Link Only</x:v>
      </x:c>
      <x:c r="S146" s="117" t="str">
        <x:v>Unknown</x:v>
      </x:c>
      <x:c r="T146" s="117" t="str">
        <x:v>Unknown</x:v>
      </x:c>
      <x:c r="U146" s="117" t="str">
        <x:v>Unknown</x:v>
      </x:c>
      <x:c r="V146" s="117" t="str">
        <x:v>Unknown</x:v>
      </x:c>
      <x:c r="W146" s="117" t="str">
        <x:v>Unknown</x:v>
      </x:c>
      <x:c r="X146" s="117" t="str">
        <x:v>Unknown</x:v>
      </x:c>
      <x:c r="Y146" s="117" t="str">
        <x:v>Unknown</x:v>
      </x:c>
      <x:c r="Z146" s="117"/>
      <x:c r="AA146" s="117" t="str">
        <x:v>Pending evidence</x:v>
      </x:c>
      <x:c r="AB146" s="117"/>
      <x:c r="AC146" s="117" t="str">
        <x:v>No qualifying accessibility conclusion established from the screened sources. This is unknown, not evidence that the attraction is inaccessible.</x:v>
      </x:c>
      <x:c r="AD146" s="117" t="str">
        <x:v>2026-09-08</x:v>
      </x:c>
      <x:c r="AE146" s="117" t="str">
        <x:v>MC0143</x:v>
      </x:c>
      <x:c r="AF146" s="117" t="str">
        <x:v>Distinct candidate</x:v>
      </x:c>
      <x:c r="AG146" s="117" t="str"/>
      <x:c r="AH146" s="117" t="str">
        <x:v>Name corroborated in source</x:v>
      </x:c>
      <x:c r="AI146" s="117" t="str">
        <x:v>https://ebrochures.malaysia.travel/en/malaysia-travel-guide/pahang/</x:v>
      </x:c>
      <x:c r="AJ146" s="117" t="str">
        <x:v>Place name or established alias matched in the cited source. This is not confirmation of current opening, all visitor facilities or the full description.</x:v>
      </x:c>
      <x:c r="AK146" s="117" t="str">
        <x:v>Not independently confirmed</x:v>
      </x:c>
      <x:c r="AL146" s="117" t="str">
        <x:v>Screened sources; accessibility unresolved</x:v>
      </x:c>
      <x:c r="AM146" s="117" t="str">
        <x:v>2026-09-08</x:v>
      </x:c>
      <x:c r="AN146" s="117" t="str">
        <x:v>https://thumb.wikimedia.org/wikipedia/commons/thumb/6/6e/Fraser%27s_Hill_Clock_Tower.JPG/1280px-Fraser%27s_Hill_Clock_Tower.JPG?utm_source=commons.wikimedia.org&amp;utm_campaign=imageinfo&amp;utm_content=thumbnail</x:v>
      </x:c>
      <x:c r="AO146" s="117" t="str">
        <x:v>https://thumb.wikimedia.org/wikipedia/commons/thumb/0/0d/Stripes_on_Stripes.jpg/1280px-Stripes_on_Stripes.jpg?utm_source=commons.wikimedia.org&amp;utm_campaign=imageinfo&amp;utm_content=thumbnail</x:v>
      </x:c>
      <x:c r="AP146" s="117" t="str">
        <x:v>2 metadata-matched images; visual review pending</x:v>
      </x:c>
      <x:c r="AQ146" s="117"/>
    </x:row>
    <x:row r="147" ht="66" customHeight="1">
      <x:c r="A147" s="117" t="str">
        <x:v>MC0144</x:v>
      </x:c>
      <x:c r="B147" s="117" t="str">
        <x:v>Cherating Beach</x:v>
      </x:c>
      <x:c r="C147" s="117" t="str">
        <x:v>Pahang</x:v>
      </x:c>
      <x:c r="D147" s="117" t="str">
        <x:v>Kuantan</x:v>
      </x:c>
      <x:c r="E147" s="117" t="str">
        <x:v>Beach and Island</x:v>
      </x:c>
      <x:c r="F147" s="117" t="str">
        <x:v>Unclassified</x:v>
      </x:c>
      <x:c r="G147" s="117" t="str">
        <x:v>Outdoor</x:v>
      </x:c>
      <x:c r="H147" s="117" t="str">
        <x:v>beach; relaxation; water sports; family; scenery</x:v>
      </x:c>
      <x:c r="I147" s="117" t="str">
        <x:v>A laid-back beach town in Kuantan district popular with surfers, backpackers and windsurfing enthusiasts.</x:v>
      </x:c>
      <x:c r="J147" s="117" t="str">
        <x:v>https://www.google.com/maps/search/?api=1&amp;query=Cherating%20Beach%2C%20Pahang%2C%20Malaysia</x:v>
      </x:c>
      <x:c r="K147" s="117" t="str">
        <x:v>https://ebrochures.malaysia.travel/en/malaysia-travel-guide/pahang/</x:v>
      </x:c>
      <x:c r="L147" s="117" t="str">
        <x:v>Previous workbook candidate/source lead</x:v>
      </x:c>
      <x:c r="M147" s="117" t="str">
        <x:v>Previous workbook seed</x:v>
      </x:c>
      <x:c r="N147" s="117" t="str">
        <x:v>A075</x:v>
      </x:c>
      <x:c r="O147" s="117" t="str">
        <x:v>2026-08-15 00:00:00</x:v>
      </x:c>
      <x:c r="P147" s="117" t="str">
        <x:v>Complete</x:v>
      </x:c>
      <x:c r="Q147" s="117"/>
      <x:c r="R147" s="117" t="str">
        <x:f t="shared" si="2">IF(J147="","Missing Link",IF(AND(ISNUMBER(SEARCH("google.com/maps",J147)),ISERROR(SEARCH(";",J147))),"Discovery Link Only","Source Link Present"))</x:f>
        <x:v>Discovery Link Only</x:v>
      </x:c>
      <x:c r="S147" s="117" t="str">
        <x:v>Unknown</x:v>
      </x:c>
      <x:c r="T147" s="117" t="str">
        <x:v>Unknown</x:v>
      </x:c>
      <x:c r="U147" s="117" t="str">
        <x:v>Unknown</x:v>
      </x:c>
      <x:c r="V147" s="117" t="str">
        <x:v>Unknown</x:v>
      </x:c>
      <x:c r="W147" s="117" t="str">
        <x:v>Unknown</x:v>
      </x:c>
      <x:c r="X147" s="117" t="str">
        <x:v>Unknown</x:v>
      </x:c>
      <x:c r="Y147" s="117" t="str">
        <x:v>Unknown</x:v>
      </x:c>
      <x:c r="Z147" s="117"/>
      <x:c r="AA147" s="117" t="str">
        <x:v>Pending evidence</x:v>
      </x:c>
      <x:c r="AB147" s="117"/>
      <x:c r="AC147" s="117" t="str">
        <x:v>No qualifying accessibility conclusion established from the screened sources. This is unknown, not evidence that the attraction is inaccessible.</x:v>
      </x:c>
      <x:c r="AD147" s="117" t="str">
        <x:v>2026-09-08</x:v>
      </x:c>
      <x:c r="AE147" s="117" t="str">
        <x:v>MC0144</x:v>
      </x:c>
      <x:c r="AF147" s="117" t="str">
        <x:v>Distinct candidate</x:v>
      </x:c>
      <x:c r="AG147" s="117" t="str"/>
      <x:c r="AH147" s="117" t="str">
        <x:v>Name corroborated in source</x:v>
      </x:c>
      <x:c r="AI147" s="117" t="str">
        <x:v>https://ebrochures.malaysia.travel/en/malaysia-travel-guide/pahang/</x:v>
      </x:c>
      <x:c r="AJ147" s="117" t="str">
        <x:v>Place name or established alias matched in the cited source. This is not confirmation of current opening, all visitor facilities or the full description.</x:v>
      </x:c>
      <x:c r="AK147" s="117" t="str">
        <x:v>Not independently confirmed</x:v>
      </x:c>
      <x:c r="AL147" s="117" t="str">
        <x:v>Screened sources; accessibility unresolved</x:v>
      </x:c>
      <x:c r="AM147" s="117" t="str">
        <x:v>2026-09-08</x:v>
      </x:c>
      <x:c r="AN147" s="117"/>
      <x:c r="AO147" s="117"/>
      <x:c r="AP147" s="117" t="str">
        <x:v>No usable pair located; image research pending</x:v>
      </x:c>
      <x:c r="AQ147" s="117"/>
    </x:row>
    <x:row r="148" ht="66" customHeight="1">
      <x:c r="A148" s="117" t="str">
        <x:v>MC0145</x:v>
      </x:c>
      <x:c r="B148" s="117" t="str">
        <x:v>Kuala Gandah Elephant Conservation Centre</x:v>
      </x:c>
      <x:c r="C148" s="117" t="str">
        <x:v>Pahang</x:v>
      </x:c>
      <x:c r="D148" s="117" t="str">
        <x:v>Lanchang</x:v>
      </x:c>
      <x:c r="E148" s="117" t="str">
        <x:v>Wildlife</x:v>
      </x:c>
      <x:c r="F148" s="117" t="str">
        <x:v>Unclassified</x:v>
      </x:c>
      <x:c r="G148" s="117" t="str">
        <x:v>Outdoor</x:v>
      </x:c>
      <x:c r="H148" s="117" t="str">
        <x:v>elephants; conservation; wildlife; education; family</x:v>
      </x:c>
      <x:c r="I148" s="117" t="str">
        <x:v>A government-run wildlife centre in Lanchang caring for relocated wild elephants, with public feeding and bathing sessions.</x:v>
      </x:c>
      <x:c r="J148" s="117" t="str">
        <x:v>https://www.google.com/maps/search/?api=1&amp;query=Kuala%20Gandah%20Elephant%20Conservation%20Centre%2C%20Pahang%2C%20Malaysia</x:v>
      </x:c>
      <x:c r="K148" s="117" t="str">
        <x:v>https://ebrochures.malaysia.travel/en/malaysia-travel-guide/pahang/</x:v>
      </x:c>
      <x:c r="L148" s="117" t="str">
        <x:v>Previous workbook candidate/source lead</x:v>
      </x:c>
      <x:c r="M148" s="117" t="str">
        <x:v>Previous workbook seed</x:v>
      </x:c>
      <x:c r="N148" s="117" t="str">
        <x:v>A076</x:v>
      </x:c>
      <x:c r="O148" s="117" t="str">
        <x:v>2026-08-15 00:00:00</x:v>
      </x:c>
      <x:c r="P148" s="117" t="str">
        <x:v>Complete</x:v>
      </x:c>
      <x:c r="Q148" s="117"/>
      <x:c r="R148" s="117" t="str">
        <x:f t="shared" si="2">IF(J148="","Missing Link",IF(AND(ISNUMBER(SEARCH("google.com/maps",J148)),ISERROR(SEARCH(";",J148))),"Discovery Link Only","Source Link Present"))</x:f>
        <x:v>Discovery Link Only</x:v>
      </x:c>
      <x:c r="S148" s="117" t="str">
        <x:v>Unknown</x:v>
      </x:c>
      <x:c r="T148" s="117" t="str">
        <x:v>Unknown</x:v>
      </x:c>
      <x:c r="U148" s="117" t="str">
        <x:v>Unknown</x:v>
      </x:c>
      <x:c r="V148" s="117" t="str">
        <x:v>Unknown</x:v>
      </x:c>
      <x:c r="W148" s="117" t="str">
        <x:v>Unknown</x:v>
      </x:c>
      <x:c r="X148" s="117" t="str">
        <x:v>Unknown</x:v>
      </x:c>
      <x:c r="Y148" s="117" t="str">
        <x:v>Unknown</x:v>
      </x:c>
      <x:c r="Z148" s="117"/>
      <x:c r="AA148" s="117" t="str">
        <x:v>Pending evidence</x:v>
      </x:c>
      <x:c r="AB148" s="117"/>
      <x:c r="AC148" s="117" t="str">
        <x:v>No qualifying accessibility conclusion established from the screened sources. This is unknown, not evidence that the attraction is inaccessible.</x:v>
      </x:c>
      <x:c r="AD148" s="117" t="str">
        <x:v>2026-09-08</x:v>
      </x:c>
      <x:c r="AE148" s="117" t="str">
        <x:v>MC0145</x:v>
      </x:c>
      <x:c r="AF148" s="117" t="str">
        <x:v>Distinct candidate</x:v>
      </x:c>
      <x:c r="AG148" s="117" t="str"/>
      <x:c r="AH148" s="117" t="str">
        <x:v>Name corroborated in source</x:v>
      </x:c>
      <x:c r="AI148" s="117" t="str">
        <x:v>https://ebrochures.malaysia.travel/en/malaysia-travel-guide/pahang/</x:v>
      </x:c>
      <x:c r="AJ148" s="117" t="str">
        <x:v>Place name or established alias matched in the cited source. This is not confirmation of current opening, all visitor facilities or the full description.</x:v>
      </x:c>
      <x:c r="AK148" s="117" t="str">
        <x:v>Not independently confirmed</x:v>
      </x:c>
      <x:c r="AL148" s="117" t="str">
        <x:v>Screened sources; accessibility unresolved</x:v>
      </x:c>
      <x:c r="AM148" s="117" t="str">
        <x:v>2026-09-08</x:v>
      </x:c>
      <x:c r="AN148" s="117"/>
      <x:c r="AO148" s="117"/>
      <x:c r="AP148" s="117" t="str">
        <x:v>No usable pair located; image research pending</x:v>
      </x:c>
      <x:c r="AQ148" s="117"/>
    </x:row>
    <x:row r="149" ht="66" customHeight="1">
      <x:c r="A149" s="117" t="str">
        <x:v>MC0146</x:v>
      </x:c>
      <x:c r="B149" s="117" t="str">
        <x:v>Sungai Pandan Waterfall</x:v>
      </x:c>
      <x:c r="C149" s="117" t="str">
        <x:v>Pahang</x:v>
      </x:c>
      <x:c r="D149" s="117" t="str">
        <x:v>Kuantan</x:v>
      </x:c>
      <x:c r="E149" s="117" t="str">
        <x:v>Nature</x:v>
      </x:c>
      <x:c r="F149" s="117" t="str">
        <x:v>Unclassified</x:v>
      </x:c>
      <x:c r="G149" s="117" t="str">
        <x:v>Outdoor</x:v>
      </x:c>
      <x:c r="H149" s="117" t="str">
        <x:v>waterfall; picnic; nature; relaxation; family</x:v>
      </x:c>
      <x:c r="I149" s="117" t="str">
        <x:v>A popular waterfall recreational area near Kuantan.</x:v>
      </x:c>
      <x:c r="J149" s="117" t="str">
        <x:v>https://www.google.com/maps/search/?api=1&amp;query=Sungai%20Pandan%20Waterfall%2C%20Pahang%2C%20Malaysia</x:v>
      </x:c>
      <x:c r="K149" s="117" t="str">
        <x:v>https://ebrochures.malaysia.travel/en/malaysia-travel-guide/pahang/</x:v>
      </x:c>
      <x:c r="L149" s="117" t="str">
        <x:v>Previous workbook candidate/source lead</x:v>
      </x:c>
      <x:c r="M149" s="117" t="str">
        <x:v>Previous workbook seed</x:v>
      </x:c>
      <x:c r="N149" s="117" t="str">
        <x:v>A077</x:v>
      </x:c>
      <x:c r="O149" s="117" t="str">
        <x:v>2026-08-15 00:00:00</x:v>
      </x:c>
      <x:c r="P149" s="117" t="str">
        <x:v>Complete</x:v>
      </x:c>
      <x:c r="Q149" s="117"/>
      <x:c r="R149" s="117" t="str">
        <x:f t="shared" si="2">IF(J149="","Missing Link",IF(AND(ISNUMBER(SEARCH("google.com/maps",J149)),ISERROR(SEARCH(";",J149))),"Discovery Link Only","Source Link Present"))</x:f>
        <x:v>Discovery Link Only</x:v>
      </x:c>
      <x:c r="S149" s="117" t="str">
        <x:v>Unknown</x:v>
      </x:c>
      <x:c r="T149" s="117" t="str">
        <x:v>Unknown</x:v>
      </x:c>
      <x:c r="U149" s="117" t="str">
        <x:v>Unknown</x:v>
      </x:c>
      <x:c r="V149" s="117" t="str">
        <x:v>Unknown</x:v>
      </x:c>
      <x:c r="W149" s="117" t="str">
        <x:v>Unknown</x:v>
      </x:c>
      <x:c r="X149" s="117" t="str">
        <x:v>Unknown</x:v>
      </x:c>
      <x:c r="Y149" s="117" t="str">
        <x:v>Unknown</x:v>
      </x:c>
      <x:c r="Z149" s="117"/>
      <x:c r="AA149" s="117" t="str">
        <x:v>Pending evidence</x:v>
      </x:c>
      <x:c r="AB149" s="117"/>
      <x:c r="AC149" s="117" t="str">
        <x:v>No qualifying accessibility conclusion established from the screened sources. This is unknown, not evidence that the attraction is inaccessible.</x:v>
      </x:c>
      <x:c r="AD149" s="117" t="str">
        <x:v>2026-09-08</x:v>
      </x:c>
      <x:c r="AE149" s="117" t="str">
        <x:v>MC0146</x:v>
      </x:c>
      <x:c r="AF149" s="117" t="str">
        <x:v>Distinct candidate</x:v>
      </x:c>
      <x:c r="AG149" s="117" t="str"/>
      <x:c r="AH149" s="117" t="str">
        <x:v>Name corroborated in source</x:v>
      </x:c>
      <x:c r="AI149" s="117" t="str">
        <x:v>https://ebrochures.malaysia.travel/en/malaysia-travel-guide/pahang/</x:v>
      </x:c>
      <x:c r="AJ149" s="117" t="str">
        <x:v>Place name or established alias matched in the cited source. This is not confirmation of current opening, all visitor facilities or the full description.</x:v>
      </x:c>
      <x:c r="AK149" s="117" t="str">
        <x:v>Not independently confirmed</x:v>
      </x:c>
      <x:c r="AL149" s="117" t="str">
        <x:v>Screened sources; accessibility unresolved</x:v>
      </x:c>
      <x:c r="AM149" s="117" t="str">
        <x:v>2026-09-08</x:v>
      </x:c>
      <x:c r="AN149" s="117" t="str">
        <x:v>https://upload.wikimedia.org/wikipedia/commons/8/87/Sungai_Pandan_Waterfall.png?utm_source=commons.wikimedia.org&amp;utm_campaign=imageinfo&amp;utm_content=thumbnail_unscaled</x:v>
      </x:c>
      <x:c r="AO149" s="117" t="str">
        <x:v>https://upload.wikimedia.org/wikipedia/commons/5/51/Pandan_Waterfall_View.jpg?utm_source=commons.wikimedia.org&amp;utm_campaign=imageinfo&amp;utm_content=thumbnail_unscaled</x:v>
      </x:c>
      <x:c r="AP149" s="117" t="str">
        <x:v>2 metadata-matched images; visual review pending</x:v>
      </x:c>
      <x:c r="AQ149" s="117"/>
    </x:row>
    <x:row r="150" ht="66" customHeight="1">
      <x:c r="A150" s="117" t="str">
        <x:v>MC0147</x:v>
      </x:c>
      <x:c r="B150" s="117" t="str">
        <x:v>Colmar Tropicale</x:v>
      </x:c>
      <x:c r="C150" s="117" t="str">
        <x:v>Pahang</x:v>
      </x:c>
      <x:c r="D150" s="117" t="str">
        <x:v>Bentong</x:v>
      </x:c>
      <x:c r="E150" s="117" t="str">
        <x:v>Family Attraction</x:v>
      </x:c>
      <x:c r="F150" s="117" t="str">
        <x:v>Unclassified</x:v>
      </x:c>
      <x:c r="G150" s="117" t="str">
        <x:v>Both</x:v>
      </x:c>
      <x:c r="H150" s="117" t="str">
        <x:v>architecture; family; photography; hill resort; relaxation</x:v>
      </x:c>
      <x:c r="I150" s="117" t="str">
        <x:v>A French-village-themed resort and shopping complex in Bentong, styled after the Alsace region of France.</x:v>
      </x:c>
      <x:c r="J150" s="117" t="str">
        <x:v>https://www.google.com/maps/search/?api=1&amp;query=Colmar%20Tropicale%2C%20Pahang%2C%20Malaysia</x:v>
      </x:c>
      <x:c r="K150" s="117" t="str">
        <x:v>https://ebrochures.malaysia.travel/en/malaysia-travel-guide/pahang/</x:v>
      </x:c>
      <x:c r="L150" s="117" t="str">
        <x:v>Previous workbook candidate/source lead</x:v>
      </x:c>
      <x:c r="M150" s="117" t="str">
        <x:v>Previous workbook seed</x:v>
      </x:c>
      <x:c r="N150" s="117" t="str">
        <x:v>A078</x:v>
      </x:c>
      <x:c r="O150" s="117" t="str">
        <x:v>2026-08-15 00:00:00</x:v>
      </x:c>
      <x:c r="P150" s="117" t="str">
        <x:v>Complete</x:v>
      </x:c>
      <x:c r="Q150" s="117" t="str">
        <x:v>Identity and Malaysian location verified in second-pass review on 2026-09-08.</x:v>
      </x:c>
      <x:c r="R150" s="117" t="str">
        <x:f t="shared" si="2">IF(J150="","Missing Link",IF(AND(ISNUMBER(SEARCH("google.com/maps",J150)),ISERROR(SEARCH(";",J150))),"Discovery Link Only","Source Link Present"))</x:f>
        <x:v>Discovery Link Only</x:v>
      </x:c>
      <x:c r="S150" s="117" t="str">
        <x:v>Not measured</x:v>
      </x:c>
      <x:c r="T150" s="117" t="str">
        <x:v>Partial</x:v>
      </x:c>
      <x:c r="U150" s="117" t="str">
        <x:v>Restaurant/common-area seating</x:v>
      </x:c>
      <x:c r="V150" s="117" t="str">
        <x:v>Yes - reported</x:v>
      </x:c>
      <x:c r="W150" s="117" t="str">
        <x:v>Yes - reported</x:v>
      </x:c>
      <x:c r="X150" s="117" t="str">
        <x:v>Indoor common areas</x:v>
      </x:c>
      <x:c r="Y150" s="117" t="str">
        <x:v>Conditional on mobility and attraction route</x:v>
      </x:c>
      <x:c r="Z150" s="117" t="str">
        <x:v>Accommodation listings report accessible common facilities. Confirm that these apply to the day-visitor attraction route and that lifts are operating.</x:v>
      </x:c>
      <x:c r="AA150" s="117" t="str">
        <x:v>Reported support - confirm</x:v>
      </x:c>
      <x:c r="AB150" s="117" t="str">
        <x:v>https://ca.hotels.com/ho304395/colmar-tropicale-bukit-tinggi-malaysia/</x:v>
      </x:c>
      <x:c r="AC150" s="117" t="str">
        <x:v>Main resort common areas; outdoor attractions unconfirmed</x:v>
      </x:c>
      <x:c r="AD150" s="117" t="str">
        <x:v>2026-09-08</x:v>
      </x:c>
      <x:c r="AE150" s="117" t="str">
        <x:v>MC0147</x:v>
      </x:c>
      <x:c r="AF150" s="117" t="str">
        <x:v>Distinct candidate</x:v>
      </x:c>
      <x:c r="AG150" s="117" t="str"/>
      <x:c r="AH150" s="117" t="str">
        <x:v>Identity and location corroborated</x:v>
      </x:c>
      <x:c r="AI150" s="117" t="str">
        <x:v>https://en.wikipedia.org/wiki/Colmar_Tropicale</x:v>
      </x:c>
      <x:c r="AJ150" s="117" t="str">
        <x:v>Encyclopedic source matches the attraction name or established alias and the stated Malaysian location. This verifies identity/location only; confirm current opening and accessibility separately.</x:v>
      </x:c>
      <x:c r="AK150" s="117" t="str">
        <x:v>Not independently confirmed</x:v>
      </x:c>
      <x:c r="AL150" s="117" t="str">
        <x:v>Secondary source - specific features only</x:v>
      </x:c>
      <x:c r="AM150" s="117" t="str">
        <x:v>2026-09-08</x:v>
      </x:c>
      <x:c r="AN150" s="117" t="str">
        <x:v>https://thumb.wikimedia.org/wikipedia/commons/thumb/c/c0/Colmar_Tropicale_Bukit_Tinggi_Malaysia_%2832402493%29.jpeg/1280px-Colmar_Tropicale_Bukit_Tinggi_Malaysia_%2832402493%29.jpeg?utm_source=commons.wikimedia.org&amp;utm_campaign=imageinfo&amp;utm_content=thumbnail</x:v>
      </x:c>
      <x:c r="AO150" s="117" t="str">
        <x:v>https://thumb.wikimedia.org/wikipedia/commons/thumb/b/b5/Colmar_Tropicale_horse_statue.jpg/1280px-Colmar_Tropicale_horse_statue.jpg?utm_source=commons.wikimedia.org&amp;utm_campaign=imageinfo&amp;utm_content=thumbnail</x:v>
      </x:c>
      <x:c r="AP150" s="117" t="str">
        <x:v>2 metadata-matched images; visual review pending</x:v>
      </x:c>
      <x:c r="AQ150" s="117"/>
    </x:row>
    <x:row r="151" ht="66" customHeight="1">
      <x:c r="A151" s="117" t="str">
        <x:v>MC0148</x:v>
      </x:c>
      <x:c r="B151" s="117" t="str">
        <x:v>Teluk Cempedak</x:v>
      </x:c>
      <x:c r="C151" s="117" t="str">
        <x:v>Pahang</x:v>
      </x:c>
      <x:c r="D151" s="117" t="str">
        <x:v>Kuantan</x:v>
      </x:c>
      <x:c r="E151" s="117" t="str">
        <x:v>Beach and Island</x:v>
      </x:c>
      <x:c r="F151" s="117" t="str">
        <x:v>Unclassified</x:v>
      </x:c>
      <x:c r="G151" s="117" t="str">
        <x:v>Outdoor</x:v>
      </x:c>
      <x:c r="H151" s="117" t="str">
        <x:v>beach; relaxation; food; family; walking</x:v>
      </x:c>
      <x:c r="I151" s="117" t="str">
        <x:v>A popular beach in Kuantan town with resorts, food stalls and calm swimming waters.</x:v>
      </x:c>
      <x:c r="J151" s="117" t="str">
        <x:v>https://www.google.com/maps/search/?api=1&amp;query=Teluk%20Cempedak%2C%20Pahang%2C%20Malaysia</x:v>
      </x:c>
      <x:c r="K151" s="117" t="str">
        <x:v>https://ebrochures.malaysia.travel/en/malaysia-travel-guide/pahang/</x:v>
      </x:c>
      <x:c r="L151" s="117" t="str">
        <x:v>Previous workbook candidate/source lead</x:v>
      </x:c>
      <x:c r="M151" s="117" t="str">
        <x:v>Previous workbook seed</x:v>
      </x:c>
      <x:c r="N151" s="117" t="str">
        <x:v>A079</x:v>
      </x:c>
      <x:c r="O151" s="117" t="str">
        <x:v>2026-08-15 00:00:00</x:v>
      </x:c>
      <x:c r="P151" s="117" t="str">
        <x:v>Complete</x:v>
      </x:c>
      <x:c r="Q151" s="117"/>
      <x:c r="R151" s="117" t="str">
        <x:f t="shared" si="2">IF(J151="","Missing Link",IF(AND(ISNUMBER(SEARCH("google.com/maps",J151)),ISERROR(SEARCH(";",J151))),"Discovery Link Only","Source Link Present"))</x:f>
        <x:v>Discovery Link Only</x:v>
      </x:c>
      <x:c r="S151" s="117" t="str">
        <x:v>Unknown</x:v>
      </x:c>
      <x:c r="T151" s="117" t="str">
        <x:v>Unknown</x:v>
      </x:c>
      <x:c r="U151" s="117" t="str">
        <x:v>Unknown</x:v>
      </x:c>
      <x:c r="V151" s="117" t="str">
        <x:v>Unknown</x:v>
      </x:c>
      <x:c r="W151" s="117" t="str">
        <x:v>Unknown</x:v>
      </x:c>
      <x:c r="X151" s="117" t="str">
        <x:v>Unknown</x:v>
      </x:c>
      <x:c r="Y151" s="117" t="str">
        <x:v>Unknown</x:v>
      </x:c>
      <x:c r="Z151" s="117"/>
      <x:c r="AA151" s="117" t="str">
        <x:v>Pending evidence</x:v>
      </x:c>
      <x:c r="AB151" s="117"/>
      <x:c r="AC151" s="117" t="str">
        <x:v>No qualifying accessibility conclusion established from the screened sources. This is unknown, not evidence that the attraction is inaccessible.</x:v>
      </x:c>
      <x:c r="AD151" s="117" t="str">
        <x:v>2026-09-08</x:v>
      </x:c>
      <x:c r="AE151" s="117" t="str">
        <x:v>MC0148</x:v>
      </x:c>
      <x:c r="AF151" s="117" t="str">
        <x:v>Distinct candidate</x:v>
      </x:c>
      <x:c r="AG151" s="117" t="str"/>
      <x:c r="AH151" s="117" t="str">
        <x:v>Name corroborated in source</x:v>
      </x:c>
      <x:c r="AI151" s="117" t="str">
        <x:v>https://ebrochures.malaysia.travel/en/malaysia-travel-guide/pahang/</x:v>
      </x:c>
      <x:c r="AJ151" s="117" t="str">
        <x:v>Place name or established alias matched in the cited source. This is not confirmation of current opening, all visitor facilities or the full description.</x:v>
      </x:c>
      <x:c r="AK151" s="117" t="str">
        <x:v>Not independently confirmed</x:v>
      </x:c>
      <x:c r="AL151" s="117" t="str">
        <x:v>Screened sources; accessibility unresolved</x:v>
      </x:c>
      <x:c r="AM151" s="117" t="str">
        <x:v>2026-09-08</x:v>
      </x:c>
      <x:c r="AN151" s="117" t="str">
        <x:v>https://thumb.wikimedia.org/wikipedia/commons/thumb/1/14/Kuantan_-_waves_breaking_over_rocks_at_Teluk_Cempedak_-_May_2024.jpg/1280px-Kuantan_-_waves_breaking_over_rocks_at_Teluk_Cempedak_-_May_2024.jpg?utm_source=commons.wikimedia.org&amp;utm_campaign=imageinfo&amp;utm_content=thumbnail</x:v>
      </x:c>
      <x:c r="AO151" s="117" t="str">
        <x:v>https://thumb.wikimedia.org/wikipedia/commons/thumb/b/b8/Kuantan_-_Teluk_Cempedak_roundabout_-_May_2024.jpg/1280px-Kuantan_-_Teluk_Cempedak_roundabout_-_May_2024.jpg?utm_source=commons.wikimedia.org&amp;utm_campaign=imageinfo&amp;utm_content=thumbnail</x:v>
      </x:c>
      <x:c r="AP151" s="117" t="str">
        <x:v>2 metadata-matched images; visual review pending</x:v>
      </x:c>
      <x:c r="AQ151" s="117"/>
    </x:row>
    <x:row r="152" ht="66" customHeight="1">
      <x:c r="A152" s="117" t="str">
        <x:v>MC0149</x:v>
      </x:c>
      <x:c r="B152" s="117" t="str">
        <x:v>Mossy Forest</x:v>
      </x:c>
      <x:c r="C152" s="117" t="str">
        <x:v>Pahang</x:v>
      </x:c>
      <x:c r="D152" s="117" t="str">
        <x:v>Cameron Highlands</x:v>
      </x:c>
      <x:c r="E152" s="117" t="str">
        <x:v>Nature</x:v>
      </x:c>
      <x:c r="F152" s="117" t="str">
        <x:v>Unclassified</x:v>
      </x:c>
      <x:c r="G152" s="117" t="str">
        <x:v>Outdoor</x:v>
      </x:c>
      <x:c r="H152" s="117" t="str">
        <x:v>forest; hiking; scenery; cool climate; nature</x:v>
      </x:c>
      <x:c r="I152" s="117" t="str">
        <x:v>A montane cloud forest atop Cameron Highlands known for its stunted, moss-covered trees, explored via a raised boardwalk trail.</x:v>
      </x:c>
      <x:c r="J152" s="117" t="str">
        <x:v>https://www.google.com/maps/search/?api=1&amp;query=Mossy%20Forest%2C%20Pahang%2C%20Malaysia</x:v>
      </x:c>
      <x:c r="K152" s="117" t="str">
        <x:v>https://ebrochures.malaysia.travel/en/malaysia-travel-guide/pahang/</x:v>
      </x:c>
      <x:c r="L152" s="117" t="str">
        <x:v>Previous workbook candidate/source lead</x:v>
      </x:c>
      <x:c r="M152" s="117" t="str">
        <x:v>Previous workbook seed</x:v>
      </x:c>
      <x:c r="N152" s="117" t="str">
        <x:v>A080</x:v>
      </x:c>
      <x:c r="O152" s="117" t="str">
        <x:v>2026-08-15 00:00:00</x:v>
      </x:c>
      <x:c r="P152" s="117" t="str">
        <x:v>Complete</x:v>
      </x:c>
      <x:c r="Q152" s="117" t="str">
        <x:v>Identity and Malaysian location verified in second-pass review on 2026-09-08.</x:v>
      </x:c>
      <x:c r="R152" s="117" t="str">
        <x:f t="shared" si="2">IF(J152="","Missing Link",IF(AND(ISNUMBER(SEARCH("google.com/maps",J152)),ISERROR(SEARCH(";",J152))),"Discovery Link Only","Source Link Present"))</x:f>
        <x:v>Discovery Link Only</x:v>
      </x:c>
      <x:c r="S152" s="117" t="str">
        <x:v>Unknown</x:v>
      </x:c>
      <x:c r="T152" s="117" t="str">
        <x:v>Unknown</x:v>
      </x:c>
      <x:c r="U152" s="117" t="str">
        <x:v>Unknown</x:v>
      </x:c>
      <x:c r="V152" s="117" t="str">
        <x:v>Unknown</x:v>
      </x:c>
      <x:c r="W152" s="117" t="str">
        <x:v>Unknown</x:v>
      </x:c>
      <x:c r="X152" s="117" t="str">
        <x:v>Unknown</x:v>
      </x:c>
      <x:c r="Y152" s="117" t="str">
        <x:v>Unknown</x:v>
      </x:c>
      <x:c r="Z152" s="117"/>
      <x:c r="AA152" s="117" t="str">
        <x:v>Pending evidence</x:v>
      </x:c>
      <x:c r="AB152" s="117"/>
      <x:c r="AC152" s="117" t="str">
        <x:v>No qualifying accessibility conclusion established from the screened sources. This is unknown, not evidence that the attraction is inaccessible.</x:v>
      </x:c>
      <x:c r="AD152" s="117" t="str">
        <x:v>2026-09-08</x:v>
      </x:c>
      <x:c r="AE152" s="117" t="str">
        <x:v>MC0149</x:v>
      </x:c>
      <x:c r="AF152" s="117" t="str">
        <x:v>Distinct candidate</x:v>
      </x:c>
      <x:c r="AG152" s="117" t="str"/>
      <x:c r="AH152" s="117" t="str">
        <x:v>Identity and location corroborated</x:v>
      </x:c>
      <x:c r="AI152" s="117" t="str">
        <x:v>https://forestry.pahang.gov.my/index.php/en/eko-rimba-daerah-cameron-highlands/taman-eko-rimba-mossy-forest</x:v>
      </x:c>
      <x:c r="AJ152" s="117" t="str">
        <x:v>Official forestry source matches the attraction name or established alias and the stated Malaysian location. This verifies identity/location only; confirm current opening and accessibility separately.</x:v>
      </x:c>
      <x:c r="AK152" s="117" t="str">
        <x:v>Not independently confirmed</x:v>
      </x:c>
      <x:c r="AL152" s="117" t="str">
        <x:v>Screened sources; accessibility unresolved</x:v>
      </x:c>
      <x:c r="AM152" s="117" t="str">
        <x:v>2026-09-08</x:v>
      </x:c>
      <x:c r="AN152" s="117" t="str">
        <x:v>https://thumb.wikimedia.org/wikipedia/commons/thumb/c/c0/50th_Birthday_Celebration_at_Mt._Dulang-Dulang%27s_Mossy_Forest%2C_Bukidnon.jpg/1280px-50th_Birthday_Celebration_at_Mt._Dulang-Dulang%27s_Mossy_Forest%2C_Bukidnon.jpg?utm_source=commons.wikimedia.org&amp;utm_campaign=imageinfo&amp;utm_content=thumbnail</x:v>
      </x:c>
      <x:c r="AO152" s="117" t="str">
        <x:v>https://upload.wikimedia.org/wikipedia/commons/7/70/Mossy_Forest_Shrew_area.png?utm_source=commons.wikimedia.org&amp;utm_campaign=imageinfo&amp;utm_content=thumbnail_unscaled</x:v>
      </x:c>
      <x:c r="AP152" s="117" t="str">
        <x:v>2 metadata-matched images; visual review pending</x:v>
      </x:c>
      <x:c r="AQ152" s="117"/>
    </x:row>
    <x:row r="153" ht="66" customHeight="1">
      <x:c r="A153" s="117" t="str">
        <x:v>MC0150</x:v>
      </x:c>
      <x:c r="B153" s="117" t="str">
        <x:v>Sultan Ahmad Shah State Mosque</x:v>
      </x:c>
      <x:c r="C153" s="117" t="str">
        <x:v>Pahang</x:v>
      </x:c>
      <x:c r="D153" s="117" t="str">
        <x:v>Kuantan</x:v>
      </x:c>
      <x:c r="E153" s="117" t="str">
        <x:v>Religious Site</x:v>
      </x:c>
      <x:c r="F153" s="117" t="str">
        <x:v>Popular</x:v>
      </x:c>
      <x:c r="G153" s="117" t="str">
        <x:v>Both</x:v>
      </x:c>
      <x:c r="H153" s="117" t="str">
        <x:v>mosque; architecture; landmark</x:v>
      </x:c>
      <x:c r="I153" s="117" t="str">
        <x:v>Pahang's state mosque in Kuantan, notable for its distinctive blue dome.</x:v>
      </x:c>
      <x:c r="J153" s="117" t="str">
        <x:v>https://www.google.com/maps/search/?api=1&amp;query=Sultan%20Ahmad%20Shah%20State%20Mosque%2C%20Pahang%2C%20Malaysia</x:v>
      </x:c>
      <x:c r="K153" s="117" t="str">
        <x:v>https://ebrochures.malaysia.travel/en/malaysia-travel-guide/pahang/</x:v>
      </x:c>
      <x:c r="L153" s="117" t="str">
        <x:v>Tourism Malaysia state guide plus map discovery link</x:v>
      </x:c>
      <x:c r="M153" s="117" t="str">
        <x:v>Pahang expansion batch</x:v>
      </x:c>
      <x:c r="N153" s="117"/>
      <x:c r="O153" s="117" t="str">
        <x:v>2026-08-15 00:00:00</x:v>
      </x:c>
      <x:c r="P153" s="117" t="str">
        <x:v>Complete</x:v>
      </x:c>
      <x:c r="Q153" s="117"/>
      <x:c r="R153" s="117" t="str">
        <x:f t="shared" si="2">IF(J153="","Missing Link",IF(AND(ISNUMBER(SEARCH("google.com/maps",J153)),ISERROR(SEARCH(";",J153))),"Discovery Link Only","Source Link Present"))</x:f>
        <x:v>Discovery Link Only</x:v>
      </x:c>
      <x:c r="S153" s="117" t="str">
        <x:v>Unknown</x:v>
      </x:c>
      <x:c r="T153" s="117" t="str">
        <x:v>Unknown</x:v>
      </x:c>
      <x:c r="U153" s="117" t="str">
        <x:v>Unknown</x:v>
      </x:c>
      <x:c r="V153" s="117" t="str">
        <x:v>Unknown</x:v>
      </x:c>
      <x:c r="W153" s="117" t="str">
        <x:v>Unknown</x:v>
      </x:c>
      <x:c r="X153" s="117" t="str">
        <x:v>Unknown</x:v>
      </x:c>
      <x:c r="Y153" s="117" t="str">
        <x:v>Unknown</x:v>
      </x:c>
      <x:c r="Z153" s="117"/>
      <x:c r="AA153" s="117" t="str">
        <x:v>Pending evidence</x:v>
      </x:c>
      <x:c r="AB153" s="117"/>
      <x:c r="AC153" s="117" t="str">
        <x:v>No qualifying accessibility conclusion established from the screened sources. This is unknown, not evidence that the attraction is inaccessible.</x:v>
      </x:c>
      <x:c r="AD153" s="117" t="str">
        <x:v>2026-09-08</x:v>
      </x:c>
      <x:c r="AE153" s="117" t="str">
        <x:v>MC0150</x:v>
      </x:c>
      <x:c r="AF153" s="117" t="str">
        <x:v>Distinct candidate</x:v>
      </x:c>
      <x:c r="AG153" s="117" t="str"/>
      <x:c r="AH153" s="117" t="str">
        <x:v>Name corroborated in source</x:v>
      </x:c>
      <x:c r="AI153" s="117" t="str">
        <x:v>https://ebrochures.malaysia.travel/en/malaysia-travel-guide/pahang/</x:v>
      </x:c>
      <x:c r="AJ153" s="117" t="str">
        <x:v>Place name or established alias matched in the cited source. This is not confirmation of current opening, all visitor facilities or the full description.</x:v>
      </x:c>
      <x:c r="AK153" s="117" t="str">
        <x:v>Not independently confirmed</x:v>
      </x:c>
      <x:c r="AL153" s="117" t="str">
        <x:v>Screened sources; accessibility unresolved</x:v>
      </x:c>
      <x:c r="AM153" s="117" t="str">
        <x:v>2026-09-08</x:v>
      </x:c>
      <x:c r="AN153" s="117" t="str">
        <x:v>https://thumb.wikimedia.org/wikipedia/commons/thumb/b/b0/Pahang_state_mosque.jpg/1280px-Pahang_state_mosque.jpg?utm_source=commons.wikimedia.org&amp;utm_campaign=imageinfo&amp;utm_content=thumbnail</x:v>
      </x:c>
      <x:c r="AO153" s="117" t="str">
        <x:v>https://thumb.wikimedia.org/wikipedia/commons/thumb/2/24/Pahang_state_mosque_02.jpg/1280px-Pahang_state_mosque_02.jpg?utm_source=commons.wikimedia.org&amp;utm_campaign=imageinfo&amp;utm_content=thumbnail</x:v>
      </x:c>
      <x:c r="AP153" s="117" t="str">
        <x:v>2 metadata-matched images; visual review pending</x:v>
      </x:c>
      <x:c r="AQ153" s="117"/>
    </x:row>
    <x:row r="154" ht="66" customHeight="1">
      <x:c r="A154" s="117" t="str">
        <x:v>MC0151</x:v>
      </x:c>
      <x:c r="B154" s="117" t="str">
        <x:v>Taman Esplanade Kuantan</x:v>
      </x:c>
      <x:c r="C154" s="117" t="str">
        <x:v>Pahang</x:v>
      </x:c>
      <x:c r="D154" s="117" t="str">
        <x:v>Kuantan</x:v>
      </x:c>
      <x:c r="E154" s="117" t="str">
        <x:v>Park and Recreation</x:v>
      </x:c>
      <x:c r="F154" s="117" t="str">
        <x:v>Local</x:v>
      </x:c>
      <x:c r="G154" s="117" t="str">
        <x:v>Outdoor</x:v>
      </x:c>
      <x:c r="H154" s="117" t="str">
        <x:v>riverfront; walking; family</x:v>
      </x:c>
      <x:c r="I154" s="117" t="str">
        <x:v>A riverside park along the Kuantan River popular for evening strolls and food stalls.</x:v>
      </x:c>
      <x:c r="J154" s="117" t="str">
        <x:v>https://www.google.com/maps/search/?api=1&amp;query=Taman%20Esplanade%20Kuantan%2C%20Pahang%2C%20Malaysia</x:v>
      </x:c>
      <x:c r="K154" s="117" t="str">
        <x:v>https://ebrochures.malaysia.travel/en/malaysia-travel-guide/pahang/</x:v>
      </x:c>
      <x:c r="L154" s="117" t="str">
        <x:v>Tourism Malaysia state guide plus map discovery link</x:v>
      </x:c>
      <x:c r="M154" s="117" t="str">
        <x:v>Pahang expansion batch</x:v>
      </x:c>
      <x:c r="N154" s="117"/>
      <x:c r="O154" s="117" t="str">
        <x:v>2026-08-15 00:00:00</x:v>
      </x:c>
      <x:c r="P154" s="117" t="str">
        <x:v>Complete</x:v>
      </x:c>
      <x:c r="Q154" s="117" t="str">
        <x:v>Identity and Malaysian location verified in second-pass review on 2026-09-08.</x:v>
      </x:c>
      <x:c r="R154" s="117" t="str">
        <x:f t="shared" si="2">IF(J154="","Missing Link",IF(AND(ISNUMBER(SEARCH("google.com/maps",J154)),ISERROR(SEARCH(";",J154))),"Discovery Link Only","Source Link Present"))</x:f>
        <x:v>Discovery Link Only</x:v>
      </x:c>
      <x:c r="S154" s="117" t="str">
        <x:v>Not measured</x:v>
      </x:c>
      <x:c r="T154" s="117" t="str">
        <x:v>Reported mostly flat</x:v>
      </x:c>
      <x:c r="U154" s="117" t="str">
        <x:v>Yes - reported</x:v>
      </x:c>
      <x:c r="V154" s="117" t="str">
        <x:v>Unknown</x:v>
      </x:c>
      <x:c r="W154" s="117" t="str">
        <x:v>Yes - designated OKU parking</x:v>
      </x:c>
      <x:c r="X154" s="117" t="str">
        <x:v>Limited outdoor shelter</x:v>
      </x:c>
      <x:c r="Y154" s="117" t="str">
        <x:v>Conditional on walking tolerance and weather</x:v>
      </x:c>
      <x:c r="Z154" s="117" t="str">
        <x:v>The municipal attraction page documents designated OKU parking; a family review describes flat paths and plentiful seating. Confirm curb transitions and accessible toilet.</x:v>
      </x:c>
      <x:c r="AA154" s="117" t="str">
        <x:v>Documented support - conditional</x:v>
      </x:c>
      <x:c r="AB154" s="117" t="str">
        <x:v>https://discoverkuantan.my/listing/taman-esplanade-benteng/
https://www.parentonthejob.com/kuantan-holiday-trip-review/</x:v>
      </x:c>
      <x:c r="AC154" s="117" t="str">
        <x:v>Riverside promenade</x:v>
      </x:c>
      <x:c r="AD154" s="117" t="str">
        <x:v>2026-09-08</x:v>
      </x:c>
      <x:c r="AE154" s="117" t="str">
        <x:v>MC0151</x:v>
      </x:c>
      <x:c r="AF154" s="117" t="str">
        <x:v>Distinct candidate</x:v>
      </x:c>
      <x:c r="AG154" s="117" t="str"/>
      <x:c r="AH154" s="117" t="str">
        <x:v>Identity and location corroborated</x:v>
      </x:c>
      <x:c r="AI154" s="117" t="str">
        <x:v>https://www.openstreetmap.org/way/556273183</x:v>
      </x:c>
      <x:c r="AJ154" s="117" t="str">
        <x:v>Mapped source matches the attraction name or established alias and the stated Malaysian location. This verifies identity/location only; confirm current opening and accessibility separately.</x:v>
      </x:c>
      <x:c r="AK154" s="117" t="str">
        <x:v>Not independently confirmed</x:v>
      </x:c>
      <x:c r="AL154" s="117" t="str">
        <x:v>Primary and secondary sources - specific features</x:v>
      </x:c>
      <x:c r="AM154" s="117" t="str">
        <x:v>2026-09-08</x:v>
      </x:c>
      <x:c r="AN154" s="117"/>
      <x:c r="AO154" s="117"/>
      <x:c r="AP154" s="117" t="str">
        <x:v>No usable pair located; image research pending</x:v>
      </x:c>
      <x:c r="AQ154" s="117"/>
    </x:row>
    <x:row r="155" ht="66" customHeight="1">
      <x:c r="A155" s="117" t="str">
        <x:v>MC0152</x:v>
      </x:c>
      <x:c r="B155" s="117" t="str">
        <x:v>Sultan Abu Bakar Museum</x:v>
      </x:c>
      <x:c r="C155" s="117" t="str">
        <x:v>Pahang</x:v>
      </x:c>
      <x:c r="D155" s="117" t="str">
        <x:v>Pekan</x:v>
      </x:c>
      <x:c r="E155" s="117" t="str">
        <x:v>Museum and Gallery</x:v>
      </x:c>
      <x:c r="F155" s="117" t="str">
        <x:v>Popular</x:v>
      </x:c>
      <x:c r="G155" s="117" t="str">
        <x:v>Indoor</x:v>
      </x:c>
      <x:c r="H155" s="117" t="str">
        <x:v>royal history; museum; heritage</x:v>
      </x:c>
      <x:c r="I155" s="117" t="str">
        <x:v>A former royal palace in Pekan turned museum, showcasing Pahang royal history and artefacts.</x:v>
      </x:c>
      <x:c r="J155" s="117" t="str">
        <x:v>https://www.google.com/maps/search/?api=1&amp;query=Sultan%20Abu%20Bakar%20Museum%2C%20Pahang%2C%20Malaysia</x:v>
      </x:c>
      <x:c r="K155" s="117" t="str">
        <x:v>https://ebrochures.malaysia.travel/en/malaysia-travel-guide/pahang/</x:v>
      </x:c>
      <x:c r="L155" s="117" t="str">
        <x:v>Tourism Malaysia state guide plus map discovery link</x:v>
      </x:c>
      <x:c r="M155" s="117" t="str">
        <x:v>Pahang expansion batch</x:v>
      </x:c>
      <x:c r="N155" s="117"/>
      <x:c r="O155" s="117" t="str">
        <x:v>2026-08-15 00:00:00</x:v>
      </x:c>
      <x:c r="P155" s="117" t="str">
        <x:v>Complete</x:v>
      </x:c>
      <x:c r="Q155" s="117"/>
      <x:c r="R155" s="117" t="str">
        <x:f t="shared" si="2">IF(J155="","Missing Link",IF(AND(ISNUMBER(SEARCH("google.com/maps",J155)),ISERROR(SEARCH(";",J155))),"Discovery Link Only","Source Link Present"))</x:f>
        <x:v>Discovery Link Only</x:v>
      </x:c>
      <x:c r="S155" s="117" t="str">
        <x:v>Unknown</x:v>
      </x:c>
      <x:c r="T155" s="117" t="str">
        <x:v>Unknown</x:v>
      </x:c>
      <x:c r="U155" s="117" t="str">
        <x:v>Unknown</x:v>
      </x:c>
      <x:c r="V155" s="117" t="str">
        <x:v>Unknown</x:v>
      </x:c>
      <x:c r="W155" s="117" t="str">
        <x:v>Unknown</x:v>
      </x:c>
      <x:c r="X155" s="117" t="str">
        <x:v>Unknown</x:v>
      </x:c>
      <x:c r="Y155" s="117" t="str">
        <x:v>Unknown</x:v>
      </x:c>
      <x:c r="Z155" s="117"/>
      <x:c r="AA155" s="117" t="str">
        <x:v>Pending evidence</x:v>
      </x:c>
      <x:c r="AB155" s="117"/>
      <x:c r="AC155" s="117" t="str">
        <x:v>No qualifying accessibility conclusion established from the screened sources. This is unknown, not evidence that the attraction is inaccessible.</x:v>
      </x:c>
      <x:c r="AD155" s="117" t="str">
        <x:v>2026-09-08</x:v>
      </x:c>
      <x:c r="AE155" s="117" t="str">
        <x:v>MC0152</x:v>
      </x:c>
      <x:c r="AF155" s="117" t="str">
        <x:v>Distinct candidate</x:v>
      </x:c>
      <x:c r="AG155" s="117" t="str"/>
      <x:c r="AH155" s="117" t="str">
        <x:v>Name corroborated in source</x:v>
      </x:c>
      <x:c r="AI155" s="117" t="str">
        <x:v>https://ebrochures.malaysia.travel/en/malaysia-travel-guide/pahang/</x:v>
      </x:c>
      <x:c r="AJ155" s="117" t="str">
        <x:v>Place name or established alias matched in the cited source. This is not confirmation of current opening, all visitor facilities or the full description.</x:v>
      </x:c>
      <x:c r="AK155" s="117" t="str">
        <x:v>Not independently confirmed</x:v>
      </x:c>
      <x:c r="AL155" s="117" t="str">
        <x:v>Screened sources; accessibility unresolved</x:v>
      </x:c>
      <x:c r="AM155" s="117" t="str">
        <x:v>2026-09-08</x:v>
      </x:c>
      <x:c r="AN155" s="117" t="str">
        <x:v>https://thumb.wikimedia.org/wikipedia/commons/thumb/8/88/YosriMuziumPekan.JPG/1280px-YosriMuziumPekan.JPG?utm_source=commons.wikimedia.org&amp;utm_campaign=imageinfo&amp;utm_content=thumbnail</x:v>
      </x:c>
      <x:c r="AO155" s="117" t="str">
        <x:v>https://thumb.wikimedia.org/wikipedia/commons/thumb/a/a0/Sultan_abu_bakar_museum%2C_pekan.jpg/1280px-Sultan_abu_bakar_museum%2C_pekan.jpg?utm_source=commons.wikimedia.org&amp;utm_campaign=imageinfo&amp;utm_content=thumbnail</x:v>
      </x:c>
      <x:c r="AP155" s="117" t="str">
        <x:v>2 metadata-matched images; visual review pending</x:v>
      </x:c>
      <x:c r="AQ155" s="117"/>
    </x:row>
    <x:row r="156" ht="66" customHeight="1">
      <x:c r="A156" s="117" t="str">
        <x:v>MC0153</x:v>
      </x:c>
      <x:c r="B156" s="117" t="str">
        <x:v>Pulau Keladi Cultural Village</x:v>
      </x:c>
      <x:c r="C156" s="117" t="str">
        <x:v>Pahang</x:v>
      </x:c>
      <x:c r="D156" s="117" t="str">
        <x:v>Pekan</x:v>
      </x:c>
      <x:c r="E156" s="117" t="str">
        <x:v>Culture</x:v>
      </x:c>
      <x:c r="F156" s="117" t="str">
        <x:v>Underrated</x:v>
      </x:c>
      <x:c r="G156" s="117" t="str">
        <x:v>Both</x:v>
      </x:c>
      <x:c r="H156" s="117" t="str">
        <x:v>weaving; village; culture</x:v>
      </x:c>
      <x:c r="I156" s="117" t="str">
        <x:v>A riverine cultural village near Pekan, Pahang.</x:v>
      </x:c>
      <x:c r="J156" s="117" t="str">
        <x:v>https://www.google.com/maps/search/?api=1&amp;query=Pulau%20Keladi%20Cultural%20Village%2C%20Pahang%2C%20Malaysia</x:v>
      </x:c>
      <x:c r="K156" s="117" t="str">
        <x:v>https://ebrochures.malaysia.travel/en/malaysia-travel-guide/pahang/</x:v>
      </x:c>
      <x:c r="L156" s="117" t="str">
        <x:v>Tourism Malaysia state guide plus map discovery link</x:v>
      </x:c>
      <x:c r="M156" s="117" t="str">
        <x:v>Pahang expansion batch</x:v>
      </x:c>
      <x:c r="N156" s="117"/>
      <x:c r="O156" s="117" t="str">
        <x:v>2026-08-15 00:00:00</x:v>
      </x:c>
      <x:c r="P156" s="117" t="str">
        <x:v>Complete</x:v>
      </x:c>
      <x:c r="Q156" s="117" t="str">
        <x:v>Identity and Malaysian location verified in second-pass review on 2026-09-08.</x:v>
      </x:c>
      <x:c r="R156" s="117" t="str">
        <x:f t="shared" si="2">IF(J156="","Missing Link",IF(AND(ISNUMBER(SEARCH("google.com/maps",J156)),ISERROR(SEARCH(";",J156))),"Discovery Link Only","Source Link Present"))</x:f>
        <x:v>Discovery Link Only</x:v>
      </x:c>
      <x:c r="S156" s="117" t="str">
        <x:v>Unknown</x:v>
      </x:c>
      <x:c r="T156" s="117" t="str">
        <x:v>Unknown</x:v>
      </x:c>
      <x:c r="U156" s="117" t="str">
        <x:v>Unknown</x:v>
      </x:c>
      <x:c r="V156" s="117" t="str">
        <x:v>Unknown</x:v>
      </x:c>
      <x:c r="W156" s="117" t="str">
        <x:v>Unknown</x:v>
      </x:c>
      <x:c r="X156" s="117" t="str">
        <x:v>Unknown</x:v>
      </x:c>
      <x:c r="Y156" s="117" t="str">
        <x:v>Unknown</x:v>
      </x:c>
      <x:c r="Z156" s="117"/>
      <x:c r="AA156" s="117" t="str">
        <x:v>Pending evidence</x:v>
      </x:c>
      <x:c r="AB156" s="117"/>
      <x:c r="AC156" s="117" t="str">
        <x:v>No qualifying accessibility conclusion established from the screened sources. This is unknown, not evidence that the attraction is inaccessible.</x:v>
      </x:c>
      <x:c r="AD156" s="117" t="str">
        <x:v>2026-09-08</x:v>
      </x:c>
      <x:c r="AE156" s="117" t="str">
        <x:v>MC0153</x:v>
      </x:c>
      <x:c r="AF156" s="117" t="str">
        <x:v>Distinct candidate</x:v>
      </x:c>
      <x:c r="AG156" s="117" t="str"/>
      <x:c r="AH156" s="117" t="str">
        <x:v>Identity and location corroborated</x:v>
      </x:c>
      <x:c r="AI156" s="117" t="str">
        <x:v>https://www.pahangtourism.org.my/tic/index_files/Page532.htm</x:v>
      </x:c>
      <x:c r="AJ156" s="117" t="str">
        <x:v>Official state tourism source matches the attraction name or established alias and the stated Malaysian location. This verifies identity/location only; confirm current opening and accessibility separately.</x:v>
      </x:c>
      <x:c r="AK156" s="117" t="str">
        <x:v>Not independently confirmed</x:v>
      </x:c>
      <x:c r="AL156" s="117" t="str">
        <x:v>Screened sources; accessibility unresolved</x:v>
      </x:c>
      <x:c r="AM156" s="117" t="str">
        <x:v>2026-09-08</x:v>
      </x:c>
      <x:c r="AN156" s="117"/>
      <x:c r="AO156" s="117"/>
      <x:c r="AP156" s="117" t="str">
        <x:v>No usable pair located; image research pending</x:v>
      </x:c>
      <x:c r="AQ156" s="117"/>
    </x:row>
    <x:row r="157" ht="66" customHeight="1">
      <x:c r="A157" s="117" t="str">
        <x:v>MC0154</x:v>
      </x:c>
      <x:c r="B157" s="117" t="str">
        <x:v>Cherating Turtle Sanctuary</x:v>
      </x:c>
      <x:c r="C157" s="117" t="str">
        <x:v>Pahang</x:v>
      </x:c>
      <x:c r="D157" s="117" t="str">
        <x:v>Cherating</x:v>
      </x:c>
      <x:c r="E157" s="117" t="str">
        <x:v>Wildlife</x:v>
      </x:c>
      <x:c r="F157" s="117" t="str">
        <x:v>Popular</x:v>
      </x:c>
      <x:c r="G157" s="117" t="str">
        <x:v>Outdoor</x:v>
      </x:c>
      <x:c r="H157" s="117" t="str">
        <x:v>turtles; conservation; education</x:v>
      </x:c>
      <x:c r="I157" s="117" t="str">
        <x:v>A conservation centre near Cherating dedicated to protecting nesting sea turtles.</x:v>
      </x:c>
      <x:c r="J157" s="117" t="str">
        <x:v>https://www.google.com/maps/search/?api=1&amp;query=Cherating%20Turtle%20Sanctuary%2C%20Pahang%2C%20Malaysia</x:v>
      </x:c>
      <x:c r="K157" s="117" t="str">
        <x:v>https://ebrochures.malaysia.travel/en/malaysia-travel-guide/pahang/</x:v>
      </x:c>
      <x:c r="L157" s="117" t="str">
        <x:v>Tourism Malaysia state guide plus map discovery link</x:v>
      </x:c>
      <x:c r="M157" s="117" t="str">
        <x:v>Pahang expansion batch</x:v>
      </x:c>
      <x:c r="N157" s="117"/>
      <x:c r="O157" s="117" t="str">
        <x:v>2026-08-15 00:00:00</x:v>
      </x:c>
      <x:c r="P157" s="117" t="str">
        <x:v>Complete</x:v>
      </x:c>
      <x:c r="Q157" s="117"/>
      <x:c r="R157" s="117" t="str">
        <x:f t="shared" si="2">IF(J157="","Missing Link",IF(AND(ISNUMBER(SEARCH("google.com/maps",J157)),ISERROR(SEARCH(";",J157))),"Discovery Link Only","Source Link Present"))</x:f>
        <x:v>Discovery Link Only</x:v>
      </x:c>
      <x:c r="S157" s="117" t="str">
        <x:v>Unknown</x:v>
      </x:c>
      <x:c r="T157" s="117" t="str">
        <x:v>Unknown</x:v>
      </x:c>
      <x:c r="U157" s="117" t="str">
        <x:v>Unknown</x:v>
      </x:c>
      <x:c r="V157" s="117" t="str">
        <x:v>Unknown</x:v>
      </x:c>
      <x:c r="W157" s="117" t="str">
        <x:v>Unknown</x:v>
      </x:c>
      <x:c r="X157" s="117" t="str">
        <x:v>Unknown</x:v>
      </x:c>
      <x:c r="Y157" s="117" t="str">
        <x:v>Unknown</x:v>
      </x:c>
      <x:c r="Z157" s="117"/>
      <x:c r="AA157" s="117" t="str">
        <x:v>Pending evidence</x:v>
      </x:c>
      <x:c r="AB157" s="117"/>
      <x:c r="AC157" s="117" t="str">
        <x:v>No qualifying accessibility conclusion established from the screened sources. This is unknown, not evidence that the attraction is inaccessible.</x:v>
      </x:c>
      <x:c r="AD157" s="117" t="str">
        <x:v>2026-09-08</x:v>
      </x:c>
      <x:c r="AE157" s="117" t="str">
        <x:v>MC0154</x:v>
      </x:c>
      <x:c r="AF157" s="117" t="str">
        <x:v>Distinct candidate</x:v>
      </x:c>
      <x:c r="AG157" s="117" t="str"/>
      <x:c r="AH157" s="117" t="str">
        <x:v>Name corroborated in source</x:v>
      </x:c>
      <x:c r="AI157" s="117" t="str">
        <x:v>https://ebrochures.malaysia.travel/en/malaysia-travel-guide/pahang/</x:v>
      </x:c>
      <x:c r="AJ157" s="117" t="str">
        <x:v>Place name or established alias matched in the cited source. This is not confirmation of current opening, all visitor facilities or the full description.</x:v>
      </x:c>
      <x:c r="AK157" s="117" t="str">
        <x:v>Not independently confirmed</x:v>
      </x:c>
      <x:c r="AL157" s="117" t="str">
        <x:v>Screened sources; accessibility unresolved</x:v>
      </x:c>
      <x:c r="AM157" s="117" t="str">
        <x:v>2026-09-08</x:v>
      </x:c>
      <x:c r="AN157" s="117" t="str">
        <x:v>https://thumb.wikimedia.org/wikipedia/commons/thumb/2/26/Vimales_Terengganu.jpg/1280px-Vimales_Terengganu.jpg?utm_source=commons.wikimedia.org&amp;utm_campaign=imageinfo&amp;utm_content=thumbnail</x:v>
      </x:c>
      <x:c r="AO157" s="117"/>
      <x:c r="AP157" s="117" t="str">
        <x:v>1 metadata-matched images; visual review pending</x:v>
      </x:c>
      <x:c r="AQ157" s="117"/>
    </x:row>
    <x:row r="158" ht="66" customHeight="1">
      <x:c r="A158" s="117" t="str">
        <x:v>MC0155</x:v>
      </x:c>
      <x:c r="B158" s="117" t="str">
        <x:v>Rompin State Park</x:v>
      </x:c>
      <x:c r="C158" s="117" t="str">
        <x:v>Pahang</x:v>
      </x:c>
      <x:c r="D158" s="117" t="str">
        <x:v>Rompin</x:v>
      </x:c>
      <x:c r="E158" s="117" t="str">
        <x:v>Nature</x:v>
      </x:c>
      <x:c r="F158" s="117" t="str">
        <x:v>Rural</x:v>
      </x:c>
      <x:c r="G158" s="117" t="str">
        <x:v>Outdoor</x:v>
      </x:c>
      <x:c r="H158" s="117" t="str">
        <x:v>rainforest; wildlife; trekking</x:v>
      </x:c>
      <x:c r="I158" s="117" t="str">
        <x:v>A rainforest state park spanning Pahang and Johor (Endau-Rompin), known for biodiversity, waterfalls and jungle trekking.</x:v>
      </x:c>
      <x:c r="J158" s="117" t="str">
        <x:v>https://www.google.com/maps/search/?api=1&amp;query=Rompin%20State%20Park%2C%20Pahang%2C%20Malaysia</x:v>
      </x:c>
      <x:c r="K158" s="117" t="str">
        <x:v>https://ebrochures.malaysia.travel/en/malaysia-travel-guide/pahang/</x:v>
      </x:c>
      <x:c r="L158" s="117" t="str">
        <x:v>Tourism Malaysia state guide plus map discovery link</x:v>
      </x:c>
      <x:c r="M158" s="117" t="str">
        <x:v>Pahang expansion batch</x:v>
      </x:c>
      <x:c r="N158" s="117"/>
      <x:c r="O158" s="117" t="str">
        <x:v>2026-08-15 00:00:00</x:v>
      </x:c>
      <x:c r="P158" s="117" t="str">
        <x:v>Complete</x:v>
      </x:c>
      <x:c r="Q158" s="117"/>
      <x:c r="R158" s="117" t="str">
        <x:f t="shared" si="2">IF(J158="","Missing Link",IF(AND(ISNUMBER(SEARCH("google.com/maps",J158)),ISERROR(SEARCH(";",J158))),"Discovery Link Only","Source Link Present"))</x:f>
        <x:v>Discovery Link Only</x:v>
      </x:c>
      <x:c r="S158" s="117" t="str">
        <x:v>Unknown</x:v>
      </x:c>
      <x:c r="T158" s="117" t="str">
        <x:v>Unknown</x:v>
      </x:c>
      <x:c r="U158" s="117" t="str">
        <x:v>Unknown</x:v>
      </x:c>
      <x:c r="V158" s="117" t="str">
        <x:v>Unknown</x:v>
      </x:c>
      <x:c r="W158" s="117" t="str">
        <x:v>Unknown</x:v>
      </x:c>
      <x:c r="X158" s="117" t="str">
        <x:v>Unknown</x:v>
      </x:c>
      <x:c r="Y158" s="117" t="str">
        <x:v>Unknown</x:v>
      </x:c>
      <x:c r="Z158" s="117"/>
      <x:c r="AA158" s="117" t="str">
        <x:v>Pending evidence</x:v>
      </x:c>
      <x:c r="AB158" s="117"/>
      <x:c r="AC158" s="117" t="str">
        <x:v>No qualifying accessibility conclusion established from the screened sources. This is unknown, not evidence that the attraction is inaccessible.</x:v>
      </x:c>
      <x:c r="AD158" s="117" t="str">
        <x:v>2026-09-08</x:v>
      </x:c>
      <x:c r="AE158" s="117" t="str">
        <x:v>MC0155</x:v>
      </x:c>
      <x:c r="AF158" s="117" t="str">
        <x:v>Distinct candidate</x:v>
      </x:c>
      <x:c r="AG158" s="117" t="str"/>
      <x:c r="AH158" s="117" t="str">
        <x:v>Name corroborated in source</x:v>
      </x:c>
      <x:c r="AI158" s="117" t="str">
        <x:v>https://ebrochures.malaysia.travel/en/malaysia-travel-guide/pahang/</x:v>
      </x:c>
      <x:c r="AJ158" s="117" t="str">
        <x:v>Place name or established alias matched in the cited source. This is not confirmation of current opening, all visitor facilities or the full description. Existing rompinpark.my source now contains unrelated gambling content and is rejected.</x:v>
      </x:c>
      <x:c r="AK158" s="117" t="str">
        <x:v>Not independently confirmed</x:v>
      </x:c>
      <x:c r="AL158" s="117" t="str">
        <x:v>Screened sources; accessibility unresolved</x:v>
      </x:c>
      <x:c r="AM158" s="117" t="str">
        <x:v>2026-09-08</x:v>
      </x:c>
      <x:c r="AN158" s="117" t="str">
        <x:v>https://thumb.wikimedia.org/wikipedia/commons/thumb/0/0c/Wiki_Seri_Mahkota_Waterfall.jpg/1280px-Wiki_Seri_Mahkota_Waterfall.jpg?utm_source=commons.wikimedia.org&amp;utm_campaign=imageinfo&amp;utm_content=thumbnail</x:v>
      </x:c>
      <x:c r="AO158" s="117" t="str">
        <x:v>https://thumb.wikimedia.org/wikipedia/commons/thumb/7/73/TNR_Multipurpose_Hall.jpg/1280px-TNR_Multipurpose_Hall.jpg?utm_source=commons.wikimedia.org&amp;utm_campaign=imageinfo&amp;utm_content=thumbnail</x:v>
      </x:c>
      <x:c r="AP158" s="117" t="str">
        <x:v>2 metadata-matched images; visual review pending</x:v>
      </x:c>
      <x:c r="AQ158" s="117"/>
    </x:row>
    <x:row r="159" ht="66" customHeight="1">
      <x:c r="A159" s="117" t="str">
        <x:v>MC0156</x:v>
      </x:c>
      <x:c r="B159" s="117" t="str">
        <x:v>Lanjut Beach</x:v>
      </x:c>
      <x:c r="C159" s="117" t="str">
        <x:v>Pahang</x:v>
      </x:c>
      <x:c r="D159" s="117" t="str">
        <x:v>Rompin</x:v>
      </x:c>
      <x:c r="E159" s="117" t="str">
        <x:v>Beach and Island</x:v>
      </x:c>
      <x:c r="F159" s="117" t="str">
        <x:v>Underrated</x:v>
      </x:c>
      <x:c r="G159" s="117" t="str">
        <x:v>Outdoor</x:v>
      </x:c>
      <x:c r="H159" s="117" t="str">
        <x:v>beach; fishing; coast</x:v>
      </x:c>
      <x:c r="I159" s="117" t="str">
        <x:v>A beach in Rompin district, Pahang.</x:v>
      </x:c>
      <x:c r="J159" s="117" t="str">
        <x:v>https://www.google.com/maps/search/?api=1&amp;query=Lanjut%20Beach%2C%20Pahang%2C%20Malaysia</x:v>
      </x:c>
      <x:c r="K159" s="117" t="str">
        <x:v>https://ebrochures.malaysia.travel/en/malaysia-travel-guide/pahang/</x:v>
      </x:c>
      <x:c r="L159" s="117" t="str">
        <x:v>Tourism Malaysia state guide plus map discovery link</x:v>
      </x:c>
      <x:c r="M159" s="117" t="str">
        <x:v>Pahang expansion batch</x:v>
      </x:c>
      <x:c r="N159" s="117"/>
      <x:c r="O159" s="117" t="str">
        <x:v>2026-08-15 00:00:00</x:v>
      </x:c>
      <x:c r="P159" s="117" t="str">
        <x:v>Complete</x:v>
      </x:c>
      <x:c r="Q159" s="117"/>
      <x:c r="R159" s="117" t="str">
        <x:f t="shared" si="2">IF(J159="","Missing Link",IF(AND(ISNUMBER(SEARCH("google.com/maps",J159)),ISERROR(SEARCH(";",J159))),"Discovery Link Only","Source Link Present"))</x:f>
        <x:v>Discovery Link Only</x:v>
      </x:c>
      <x:c r="S159" s="117" t="str">
        <x:v>Unknown</x:v>
      </x:c>
      <x:c r="T159" s="117" t="str">
        <x:v>Unknown</x:v>
      </x:c>
      <x:c r="U159" s="117" t="str">
        <x:v>Unknown</x:v>
      </x:c>
      <x:c r="V159" s="117" t="str">
        <x:v>Unknown</x:v>
      </x:c>
      <x:c r="W159" s="117" t="str">
        <x:v>Unknown</x:v>
      </x:c>
      <x:c r="X159" s="117" t="str">
        <x:v>Unknown</x:v>
      </x:c>
      <x:c r="Y159" s="117" t="str">
        <x:v>Unknown</x:v>
      </x:c>
      <x:c r="Z159" s="117"/>
      <x:c r="AA159" s="117" t="str">
        <x:v>Pending evidence</x:v>
      </x:c>
      <x:c r="AB159" s="117"/>
      <x:c r="AC159" s="117" t="str">
        <x:v>No qualifying accessibility conclusion established from the screened sources. This is unknown, not evidence that the attraction is inaccessible.</x:v>
      </x:c>
      <x:c r="AD159" s="117" t="str">
        <x:v>2026-09-08</x:v>
      </x:c>
      <x:c r="AE159" s="117" t="str">
        <x:v>MC0156</x:v>
      </x:c>
      <x:c r="AF159" s="117" t="str">
        <x:v>Distinct candidate</x:v>
      </x:c>
      <x:c r="AG159" s="117" t="str"/>
      <x:c r="AH159" s="117" t="str">
        <x:v>Name corroborated in source</x:v>
      </x:c>
      <x:c r="AI159" s="117" t="str">
        <x:v>https://ebrochures.malaysia.travel/en/malaysia-travel-guide/pahang/</x:v>
      </x:c>
      <x:c r="AJ159" s="117" t="str">
        <x:v>Place name or established alias matched in the cited source. This is not confirmation of current opening, all visitor facilities or the full description.</x:v>
      </x:c>
      <x:c r="AK159" s="117" t="str">
        <x:v>Not independently confirmed</x:v>
      </x:c>
      <x:c r="AL159" s="117" t="str">
        <x:v>Screened sources; accessibility unresolved</x:v>
      </x:c>
      <x:c r="AM159" s="117" t="str">
        <x:v>2026-09-08</x:v>
      </x:c>
      <x:c r="AN159" s="117" t="str">
        <x:v>https://upload.wikimedia.org/wikipedia/commons/b/b4/Lanjut_Resort.jpg?utm_source=commons.wikimedia.org&amp;utm_campaign=imageinfo&amp;utm_content=thumbnail_unscaled</x:v>
      </x:c>
      <x:c r="AO159" s="117"/>
      <x:c r="AP159" s="117" t="str">
        <x:v>1 metadata-matched images; visual review pending</x:v>
      </x:c>
      <x:c r="AQ159" s="117"/>
    </x:row>
    <x:row r="160" ht="66" customHeight="1">
      <x:c r="A160" s="117" t="str">
        <x:v>MC0157</x:v>
      </x:c>
      <x:c r="B160" s="117" t="str">
        <x:v>Juara Turtle Project</x:v>
      </x:c>
      <x:c r="C160" s="117" t="str">
        <x:v>Pahang</x:v>
      </x:c>
      <x:c r="D160" s="117" t="str">
        <x:v>Tioman</x:v>
      </x:c>
      <x:c r="E160" s="117" t="str">
        <x:v>Wildlife</x:v>
      </x:c>
      <x:c r="F160" s="117" t="str">
        <x:v>Local</x:v>
      </x:c>
      <x:c r="G160" s="117" t="str">
        <x:v>Outdoor</x:v>
      </x:c>
      <x:c r="H160" s="117" t="str">
        <x:v>turtles; conservation; island</x:v>
      </x:c>
      <x:c r="I160" s="117" t="str">
        <x:v>A volunteer-run sea turtle conservation project on Tioman Island's Juara Beach.</x:v>
      </x:c>
      <x:c r="J160" s="117" t="str">
        <x:v>https://www.google.com/maps/search/?api=1&amp;query=Juara%20Turtle%20Project%2C%20Pahang%2C%20Malaysia</x:v>
      </x:c>
      <x:c r="K160" s="117" t="str">
        <x:v>https://ebrochures.malaysia.travel/en/malaysia-travel-guide/pahang/</x:v>
      </x:c>
      <x:c r="L160" s="117" t="str">
        <x:v>Tourism Malaysia state guide plus map discovery link</x:v>
      </x:c>
      <x:c r="M160" s="117" t="str">
        <x:v>Pahang expansion batch</x:v>
      </x:c>
      <x:c r="N160" s="117"/>
      <x:c r="O160" s="117" t="str">
        <x:v>2026-08-15 00:00:00</x:v>
      </x:c>
      <x:c r="P160" s="117" t="str">
        <x:v>Complete</x:v>
      </x:c>
      <x:c r="Q160" s="117" t="str">
        <x:v>Identity and Malaysian location verified in second-pass review on 2026-09-08.</x:v>
      </x:c>
      <x:c r="R160" s="117" t="str">
        <x:f t="shared" si="2">IF(J160="","Missing Link",IF(AND(ISNUMBER(SEARCH("google.com/maps",J160)),ISERROR(SEARCH(";",J160))),"Discovery Link Only","Source Link Present"))</x:f>
        <x:v>Discovery Link Only</x:v>
      </x:c>
      <x:c r="S160" s="117" t="str">
        <x:v>Unknown</x:v>
      </x:c>
      <x:c r="T160" s="117" t="str">
        <x:v>Unknown</x:v>
      </x:c>
      <x:c r="U160" s="117" t="str">
        <x:v>Unknown</x:v>
      </x:c>
      <x:c r="V160" s="117" t="str">
        <x:v>Unknown</x:v>
      </x:c>
      <x:c r="W160" s="117" t="str">
        <x:v>Unknown</x:v>
      </x:c>
      <x:c r="X160" s="117" t="str">
        <x:v>Unknown</x:v>
      </x:c>
      <x:c r="Y160" s="117" t="str">
        <x:v>Unknown</x:v>
      </x:c>
      <x:c r="Z160" s="117"/>
      <x:c r="AA160" s="117" t="str">
        <x:v>Pending evidence</x:v>
      </x:c>
      <x:c r="AB160" s="117"/>
      <x:c r="AC160" s="117" t="str">
        <x:v>No qualifying accessibility conclusion established from the screened sources. This is unknown, not evidence that the attraction is inaccessible.</x:v>
      </x:c>
      <x:c r="AD160" s="117" t="str">
        <x:v>2026-09-08</x:v>
      </x:c>
      <x:c r="AE160" s="117" t="str">
        <x:v>MC0157</x:v>
      </x:c>
      <x:c r="AF160" s="117" t="str">
        <x:v>Distinct candidate</x:v>
      </x:c>
      <x:c r="AG160" s="117" t="str"/>
      <x:c r="AH160" s="117" t="str">
        <x:v>Identity and location corroborated</x:v>
      </x:c>
      <x:c r="AI160" s="117" t="str">
        <x:v>https://www.openstreetmap.org/way/1278534604</x:v>
      </x:c>
      <x:c r="AJ160" s="117" t="str">
        <x:v>Mapped source matches the attraction name or established alias and the stated Malaysian location. This verifies identity/location only; confirm current opening and accessibility separately.</x:v>
      </x:c>
      <x:c r="AK160" s="117" t="str">
        <x:v>Not independently confirmed</x:v>
      </x:c>
      <x:c r="AL160" s="117" t="str">
        <x:v>Screened sources; accessibility unresolved</x:v>
      </x:c>
      <x:c r="AM160" s="117" t="str">
        <x:v>2026-09-08</x:v>
      </x:c>
      <x:c r="AN160" s="117"/>
      <x:c r="AO160" s="117"/>
      <x:c r="AP160" s="117" t="str">
        <x:v>No usable pair located; image research pending</x:v>
      </x:c>
      <x:c r="AQ160" s="117"/>
    </x:row>
    <x:row r="161" ht="66" customHeight="1">
      <x:c r="A161" s="117" t="str">
        <x:v>MC0158</x:v>
      </x:c>
      <x:c r="B161" s="117" t="str">
        <x:v>Asah Waterfall</x:v>
      </x:c>
      <x:c r="C161" s="117" t="str">
        <x:v>Pahang</x:v>
      </x:c>
      <x:c r="D161" s="117" t="str">
        <x:v>Tioman</x:v>
      </x:c>
      <x:c r="E161" s="117" t="str">
        <x:v>Nature</x:v>
      </x:c>
      <x:c r="F161" s="117" t="str">
        <x:v>Underrated</x:v>
      </x:c>
      <x:c r="G161" s="117" t="str">
        <x:v>Outdoor</x:v>
      </x:c>
      <x:c r="H161" s="117" t="str">
        <x:v>waterfall; island; hiking</x:v>
      </x:c>
      <x:c r="I161" s="117" t="str">
        <x:v>A waterfall on Tioman Island near Juara village.</x:v>
      </x:c>
      <x:c r="J161" s="117" t="str">
        <x:v>https://www.google.com/maps/search/?api=1&amp;query=Asah%20Waterfall%2C%20Pahang%2C%20Malaysia</x:v>
      </x:c>
      <x:c r="K161" s="117" t="str">
        <x:v>https://ebrochures.malaysia.travel/en/malaysia-travel-guide/pahang/</x:v>
      </x:c>
      <x:c r="L161" s="117" t="str">
        <x:v>Tourism Malaysia state guide plus map discovery link</x:v>
      </x:c>
      <x:c r="M161" s="117" t="str">
        <x:v>Pahang expansion batch</x:v>
      </x:c>
      <x:c r="N161" s="117"/>
      <x:c r="O161" s="117" t="str">
        <x:v>2026-08-15 00:00:00</x:v>
      </x:c>
      <x:c r="P161" s="117" t="str">
        <x:v>Complete</x:v>
      </x:c>
      <x:c r="Q161" s="117" t="str">
        <x:v>Identity and Malaysian location verified in second-pass review on 2026-09-08.</x:v>
      </x:c>
      <x:c r="R161" s="117" t="str">
        <x:f t="shared" si="2">IF(J161="","Missing Link",IF(AND(ISNUMBER(SEARCH("google.com/maps",J161)),ISERROR(SEARCH(";",J161))),"Discovery Link Only","Source Link Present"))</x:f>
        <x:v>Discovery Link Only</x:v>
      </x:c>
      <x:c r="S161" s="117" t="str">
        <x:v>Unknown</x:v>
      </x:c>
      <x:c r="T161" s="117" t="str">
        <x:v>Unknown</x:v>
      </x:c>
      <x:c r="U161" s="117" t="str">
        <x:v>Unknown</x:v>
      </x:c>
      <x:c r="V161" s="117" t="str">
        <x:v>Unknown</x:v>
      </x:c>
      <x:c r="W161" s="117" t="str">
        <x:v>Unknown</x:v>
      </x:c>
      <x:c r="X161" s="117" t="str">
        <x:v>Unknown</x:v>
      </x:c>
      <x:c r="Y161" s="117" t="str">
        <x:v>Unknown</x:v>
      </x:c>
      <x:c r="Z161" s="117"/>
      <x:c r="AA161" s="117" t="str">
        <x:v>Pending evidence</x:v>
      </x:c>
      <x:c r="AB161" s="117"/>
      <x:c r="AC161" s="117" t="str">
        <x:v>No qualifying accessibility conclusion established from the screened sources. This is unknown, not evidence that the attraction is inaccessible.</x:v>
      </x:c>
      <x:c r="AD161" s="117" t="str">
        <x:v>2026-09-08</x:v>
      </x:c>
      <x:c r="AE161" s="117" t="str">
        <x:v>MC0158</x:v>
      </x:c>
      <x:c r="AF161" s="117" t="str">
        <x:v>Distinct candidate</x:v>
      </x:c>
      <x:c r="AG161" s="117" t="str"/>
      <x:c r="AH161" s="117" t="str">
        <x:v>Identity and location corroborated</x:v>
      </x:c>
      <x:c r="AI161" s="117" t="str">
        <x:v>https://www.openstreetmap.org/node/2510318350</x:v>
      </x:c>
      <x:c r="AJ161" s="117" t="str">
        <x:v>Mapped source matches the attraction name or established alias and the stated Malaysian location. This verifies identity/location only; confirm current opening and accessibility separately.</x:v>
      </x:c>
      <x:c r="AK161" s="117" t="str">
        <x:v>Not independently confirmed</x:v>
      </x:c>
      <x:c r="AL161" s="117" t="str">
        <x:v>Screened sources; accessibility unresolved</x:v>
      </x:c>
      <x:c r="AM161" s="117" t="str">
        <x:v>2026-09-08</x:v>
      </x:c>
      <x:c r="AN161" s="117"/>
      <x:c r="AO161" s="117"/>
      <x:c r="AP161" s="117" t="str">
        <x:v>No usable pair located; image research pending</x:v>
      </x:c>
      <x:c r="AQ161" s="117"/>
    </x:row>
    <x:row r="162" ht="66" customHeight="1">
      <x:c r="A162" s="117" t="str">
        <x:v>MC0159</x:v>
      </x:c>
      <x:c r="B162" s="117" t="str">
        <x:v>Kuala Tahan</x:v>
      </x:c>
      <x:c r="C162" s="117" t="str">
        <x:v>Pahang</x:v>
      </x:c>
      <x:c r="D162" s="117" t="str">
        <x:v>Jerantut</x:v>
      </x:c>
      <x:c r="E162" s="117" t="str">
        <x:v>Nature</x:v>
      </x:c>
      <x:c r="F162" s="117" t="str">
        <x:v>Popular</x:v>
      </x:c>
      <x:c r="G162" s="117" t="str">
        <x:v>Outdoor</x:v>
      </x:c>
      <x:c r="H162" s="117" t="str">
        <x:v>national park gateway; river; village</x:v>
      </x:c>
      <x:c r="I162" s="117" t="str">
        <x:v>The main gateway settlement to Taman Negara national park in Jerantut district.</x:v>
      </x:c>
      <x:c r="J162" s="117" t="str">
        <x:v>https://www.google.com/maps/search/?api=1&amp;query=Kuala%20Tahan%2C%20Pahang%2C%20Malaysia</x:v>
      </x:c>
      <x:c r="K162" s="117" t="str">
        <x:v>https://ebrochures.malaysia.travel/en/malaysia-travel-guide/pahang/</x:v>
      </x:c>
      <x:c r="L162" s="117" t="str">
        <x:v>Tourism Malaysia state guide plus map discovery link</x:v>
      </x:c>
      <x:c r="M162" s="117" t="str">
        <x:v>Pahang expansion batch</x:v>
      </x:c>
      <x:c r="N162" s="117"/>
      <x:c r="O162" s="117" t="str">
        <x:v>2026-08-15 00:00:00</x:v>
      </x:c>
      <x:c r="P162" s="117" t="str">
        <x:v>Complete</x:v>
      </x:c>
      <x:c r="Q162" s="117"/>
      <x:c r="R162" s="117" t="str">
        <x:f t="shared" si="2">IF(J162="","Missing Link",IF(AND(ISNUMBER(SEARCH("google.com/maps",J162)),ISERROR(SEARCH(";",J162))),"Discovery Link Only","Source Link Present"))</x:f>
        <x:v>Discovery Link Only</x:v>
      </x:c>
      <x:c r="S162" s="117" t="str">
        <x:v>Unknown</x:v>
      </x:c>
      <x:c r="T162" s="117" t="str">
        <x:v>Unknown</x:v>
      </x:c>
      <x:c r="U162" s="117" t="str">
        <x:v>Unknown</x:v>
      </x:c>
      <x:c r="V162" s="117" t="str">
        <x:v>Unknown</x:v>
      </x:c>
      <x:c r="W162" s="117" t="str">
        <x:v>Unknown</x:v>
      </x:c>
      <x:c r="X162" s="117" t="str">
        <x:v>Unknown</x:v>
      </x:c>
      <x:c r="Y162" s="117" t="str">
        <x:v>Unknown</x:v>
      </x:c>
      <x:c r="Z162" s="117"/>
      <x:c r="AA162" s="117" t="str">
        <x:v>Pending evidence</x:v>
      </x:c>
      <x:c r="AB162" s="117"/>
      <x:c r="AC162" s="117" t="str">
        <x:v>No qualifying accessibility conclusion established from the screened sources. This is unknown, not evidence that the attraction is inaccessible.</x:v>
      </x:c>
      <x:c r="AD162" s="117" t="str">
        <x:v>2026-09-08</x:v>
      </x:c>
      <x:c r="AE162" s="117" t="str">
        <x:v>MC0159</x:v>
      </x:c>
      <x:c r="AF162" s="117" t="str">
        <x:v>Related site or component</x:v>
      </x:c>
      <x:c r="AG162" s="117" t="str">
        <x:v>MC0142</x:v>
      </x:c>
      <x:c r="AH162" s="117" t="str">
        <x:v>Name corroborated in source</x:v>
      </x:c>
      <x:c r="AI162" s="117" t="str">
        <x:v>https://ebrochures.malaysia.travel/en/malaysia-travel-guide/pahang/</x:v>
      </x:c>
      <x:c r="AJ162" s="117" t="str">
        <x:v>Place name or established alias matched in the cited source. This is not confirmation of current opening, all visitor facilities or the full description.</x:v>
      </x:c>
      <x:c r="AK162" s="117" t="str">
        <x:v>Not independently confirmed</x:v>
      </x:c>
      <x:c r="AL162" s="117" t="str">
        <x:v>Screened sources; accessibility unresolved</x:v>
      </x:c>
      <x:c r="AM162" s="117" t="str">
        <x:v>2026-09-08</x:v>
      </x:c>
      <x:c r="AN162" s="117" t="str">
        <x:v>https://thumb.wikimedia.org/wikipedia/commons/thumb/d/d1/Kuala_Tahan.JPG/1280px-Kuala_Tahan.JPG?utm_source=commons.wikimedia.org&amp;utm_campaign=imageinfo&amp;utm_content=thumbnail</x:v>
      </x:c>
      <x:c r="AO162" s="117" t="str">
        <x:v>https://thumb.wikimedia.org/wikipedia/commons/thumb/5/55/Floating_restaurants_%283108621542%29.jpg/1280px-Floating_restaurants_%283108621542%29.jpg?utm_source=commons.wikimedia.org&amp;utm_campaign=imageinfo&amp;utm_content=thumbnail</x:v>
      </x:c>
      <x:c r="AP162" s="117" t="str">
        <x:v>2 metadata-matched images; visual review pending</x:v>
      </x:c>
      <x:c r="AQ162" s="117"/>
    </x:row>
    <x:row r="163" ht="66" customHeight="1">
      <x:c r="A163" s="117" t="str">
        <x:v>MC0160</x:v>
      </x:c>
      <x:c r="B163" s="117" t="str">
        <x:v>Canopy Walkway Taman Negara</x:v>
      </x:c>
      <x:c r="C163" s="117" t="str">
        <x:v>Pahang</x:v>
      </x:c>
      <x:c r="D163" s="117" t="str">
        <x:v>Jerantut</x:v>
      </x:c>
      <x:c r="E163" s="117" t="str">
        <x:v>Adventure</x:v>
      </x:c>
      <x:c r="F163" s="117" t="str">
        <x:v>Popular</x:v>
      </x:c>
      <x:c r="G163" s="117" t="str">
        <x:v>Outdoor</x:v>
      </x:c>
      <x:c r="H163" s="117" t="str">
        <x:v>canopy walk; rainforest; wildlife</x:v>
      </x:c>
      <x:c r="I163" s="117" t="str">
        <x:v>One of the world's longest rainforest canopy walkways, suspended within Taman Negara near Kuala Tahan.</x:v>
      </x:c>
      <x:c r="J163" s="117" t="str">
        <x:v>https://www.google.com/maps/search/?api=1&amp;query=Canopy%20Walkway%20Taman%20Negara%2C%20Pahang%2C%20Malaysia</x:v>
      </x:c>
      <x:c r="K163" s="117" t="str">
        <x:v>https://ebrochures.malaysia.travel/en/malaysia-travel-guide/pahang/</x:v>
      </x:c>
      <x:c r="L163" s="117" t="str">
        <x:v>Tourism Malaysia state guide plus map discovery link</x:v>
      </x:c>
      <x:c r="M163" s="117" t="str">
        <x:v>Pahang expansion batch</x:v>
      </x:c>
      <x:c r="N163" s="117"/>
      <x:c r="O163" s="117" t="str">
        <x:v>2026-08-15 00:00:00</x:v>
      </x:c>
      <x:c r="P163" s="117" t="str">
        <x:v>Complete</x:v>
      </x:c>
      <x:c r="Q163" s="117" t="str">
        <x:v>Identity and Malaysian location verified in second-pass review on 2026-09-08.</x:v>
      </x:c>
      <x:c r="R163" s="117" t="str">
        <x:f t="shared" si="2">IF(J163="","Missing Link",IF(AND(ISNUMBER(SEARCH("google.com/maps",J163)),ISERROR(SEARCH(";",J163))),"Discovery Link Only","Source Link Present"))</x:f>
        <x:v>Discovery Link Only</x:v>
      </x:c>
      <x:c r="S163" s="117" t="str">
        <x:v>Unknown</x:v>
      </x:c>
      <x:c r="T163" s="117" t="str">
        <x:v>Unknown</x:v>
      </x:c>
      <x:c r="U163" s="117" t="str">
        <x:v>Unknown</x:v>
      </x:c>
      <x:c r="V163" s="117" t="str">
        <x:v>Unknown</x:v>
      </x:c>
      <x:c r="W163" s="117" t="str">
        <x:v>Unknown</x:v>
      </x:c>
      <x:c r="X163" s="117" t="str">
        <x:v>Unknown</x:v>
      </x:c>
      <x:c r="Y163" s="117" t="str">
        <x:v>Unknown</x:v>
      </x:c>
      <x:c r="Z163" s="117"/>
      <x:c r="AA163" s="117" t="str">
        <x:v>Pending evidence</x:v>
      </x:c>
      <x:c r="AB163" s="117"/>
      <x:c r="AC163" s="117" t="str">
        <x:v>No qualifying accessibility conclusion established from the screened sources. This is unknown, not evidence that the attraction is inaccessible.</x:v>
      </x:c>
      <x:c r="AD163" s="117" t="str">
        <x:v>2026-09-08</x:v>
      </x:c>
      <x:c r="AE163" s="117" t="str">
        <x:v>MC0160</x:v>
      </x:c>
      <x:c r="AF163" s="117" t="str">
        <x:v>Related site or component</x:v>
      </x:c>
      <x:c r="AG163" s="117" t="str">
        <x:v>MC0142</x:v>
      </x:c>
      <x:c r="AH163" s="117" t="str">
        <x:v>Identity and location corroborated</x:v>
      </x:c>
      <x:c r="AI163" s="117" t="str">
        <x:v>https://www.tamannegara.my/v1/index.php?Itemid=126&amp;id=58&amp;option=com_content&amp;view=article</x:v>
      </x:c>
      <x:c r="AJ163" s="117" t="str">
        <x:v>Destination/operator source matches the attraction name or established alias and the stated Malaysian location. This verifies identity/location only; confirm current opening and accessibility separately.</x:v>
      </x:c>
      <x:c r="AK163" s="117" t="str">
        <x:v>Not independently confirmed</x:v>
      </x:c>
      <x:c r="AL163" s="117" t="str">
        <x:v>Screened sources; accessibility unresolved</x:v>
      </x:c>
      <x:c r="AM163" s="117" t="str">
        <x:v>2026-09-08</x:v>
      </x:c>
      <x:c r="AN163" s="117" t="str">
        <x:v>https://thumb.wikimedia.org/wikipedia/commons/thumb/c/cf/Canopy_Walkway-_Taman_Negara_-_panoramio.jpg/1280px-Canopy_Walkway-_Taman_Negara_-_panoramio.jpg?utm_source=commons.wikimedia.org&amp;utm_campaign=imageinfo&amp;utm_content=thumbnail</x:v>
      </x:c>
      <x:c r="AO163" s="117"/>
      <x:c r="AP163" s="117" t="str">
        <x:v>1 metadata-matched images; visual review pending</x:v>
      </x:c>
      <x:c r="AQ163" s="117"/>
    </x:row>
    <x:row r="164" ht="66" customHeight="1">
      <x:c r="A164" s="117" t="str">
        <x:v>MC0161</x:v>
      </x:c>
      <x:c r="B164" s="117" t="str">
        <x:v>Kota Gelanggi Caves</x:v>
      </x:c>
      <x:c r="C164" s="117" t="str">
        <x:v>Pahang</x:v>
      </x:c>
      <x:c r="D164" s="117" t="str">
        <x:v>Jerantut</x:v>
      </x:c>
      <x:c r="E164" s="117" t="str">
        <x:v>Nature</x:v>
      </x:c>
      <x:c r="F164" s="117" t="str">
        <x:v>Underrated</x:v>
      </x:c>
      <x:c r="G164" s="117" t="str">
        <x:v>Outdoor</x:v>
      </x:c>
      <x:c r="H164" s="117" t="str">
        <x:v>caves; limestone; history</x:v>
      </x:c>
      <x:c r="I164" s="117" t="str">
        <x:v>A limestone cave system in Jerantut district, Pahang.</x:v>
      </x:c>
      <x:c r="J164" s="117" t="str">
        <x:v>https://www.google.com/maps/search/?api=1&amp;query=Kota%20Gelanggi%20Caves%2C%20Pahang%2C%20Malaysia</x:v>
      </x:c>
      <x:c r="K164" s="117" t="str">
        <x:v>https://ebrochures.malaysia.travel/en/malaysia-travel-guide/pahang/</x:v>
      </x:c>
      <x:c r="L164" s="117" t="str">
        <x:v>Tourism Malaysia state guide plus map discovery link</x:v>
      </x:c>
      <x:c r="M164" s="117" t="str">
        <x:v>Pahang expansion batch</x:v>
      </x:c>
      <x:c r="N164" s="117"/>
      <x:c r="O164" s="117" t="str">
        <x:v>2026-08-15 00:00:00</x:v>
      </x:c>
      <x:c r="P164" s="117" t="str">
        <x:v>Complete</x:v>
      </x:c>
      <x:c r="Q164" s="117"/>
      <x:c r="R164" s="117" t="str">
        <x:f t="shared" si="2">IF(J164="","Missing Link",IF(AND(ISNUMBER(SEARCH("google.com/maps",J164)),ISERROR(SEARCH(";",J164))),"Discovery Link Only","Source Link Present"))</x:f>
        <x:v>Discovery Link Only</x:v>
      </x:c>
      <x:c r="S164" s="117" t="str">
        <x:v>Unknown</x:v>
      </x:c>
      <x:c r="T164" s="117" t="str">
        <x:v>Unknown</x:v>
      </x:c>
      <x:c r="U164" s="117" t="str">
        <x:v>Unknown</x:v>
      </x:c>
      <x:c r="V164" s="117" t="str">
        <x:v>Unknown</x:v>
      </x:c>
      <x:c r="W164" s="117" t="str">
        <x:v>Unknown</x:v>
      </x:c>
      <x:c r="X164" s="117" t="str">
        <x:v>Unknown</x:v>
      </x:c>
      <x:c r="Y164" s="117" t="str">
        <x:v>Unknown</x:v>
      </x:c>
      <x:c r="Z164" s="117"/>
      <x:c r="AA164" s="117" t="str">
        <x:v>Pending evidence</x:v>
      </x:c>
      <x:c r="AB164" s="117"/>
      <x:c r="AC164" s="117" t="str">
        <x:v>No qualifying accessibility conclusion established from the screened sources. This is unknown, not evidence that the attraction is inaccessible.</x:v>
      </x:c>
      <x:c r="AD164" s="117" t="str">
        <x:v>2026-09-08</x:v>
      </x:c>
      <x:c r="AE164" s="117" t="str">
        <x:v>MC0161</x:v>
      </x:c>
      <x:c r="AF164" s="117" t="str">
        <x:v>Distinct candidate</x:v>
      </x:c>
      <x:c r="AG164" s="117" t="str"/>
      <x:c r="AH164" s="117" t="str">
        <x:v>Name corroborated in source</x:v>
      </x:c>
      <x:c r="AI164" s="117" t="str">
        <x:v>https://ebrochures.malaysia.travel/en/malaysia-travel-guide/pahang/</x:v>
      </x:c>
      <x:c r="AJ164" s="117" t="str">
        <x:v>Place name or established alias matched in the cited source. This is not confirmation of current opening, all visitor facilities or the full description.</x:v>
      </x:c>
      <x:c r="AK164" s="117" t="str">
        <x:v>Not independently confirmed</x:v>
      </x:c>
      <x:c r="AL164" s="117" t="str">
        <x:v>Screened sources; accessibility unresolved</x:v>
      </x:c>
      <x:c r="AM164" s="117" t="str">
        <x:v>2026-09-08</x:v>
      </x:c>
      <x:c r="AN164" s="117"/>
      <x:c r="AO164" s="117"/>
      <x:c r="AP164" s="117" t="str">
        <x:v>No usable pair located; image research pending</x:v>
      </x:c>
      <x:c r="AQ164" s="117"/>
    </x:row>
    <x:row r="165" ht="66" customHeight="1">
      <x:c r="A165" s="117" t="str">
        <x:v>MC0162</x:v>
      </x:c>
      <x:c r="B165" s="117" t="str">
        <x:v>Kuala Gandah National Elephant Conservation Centre</x:v>
      </x:c>
      <x:c r="C165" s="117" t="str">
        <x:v>Pahang</x:v>
      </x:c>
      <x:c r="D165" s="117" t="str">
        <x:v>Temerloh</x:v>
      </x:c>
      <x:c r="E165" s="117" t="str">
        <x:v>Wildlife</x:v>
      </x:c>
      <x:c r="F165" s="117" t="str">
        <x:v>Popular</x:v>
      </x:c>
      <x:c r="G165" s="117" t="str">
        <x:v>Outdoor</x:v>
      </x:c>
      <x:c r="H165" s="117" t="str">
        <x:v>elephants; conservation; education</x:v>
      </x:c>
      <x:c r="I165" s="117" t="str">
        <x:v>A government-run centre in Temerloh district caring for relocated wild elephants, with public feeding and bathing programmes.</x:v>
      </x:c>
      <x:c r="J165" s="117" t="str">
        <x:v>https://www.google.com/maps/search/?api=1&amp;query=Kuala%20Gandah%20National%20Elephant%20Conservation%20Centre%2C%20Pahang%2C%20Malaysia</x:v>
      </x:c>
      <x:c r="K165" s="117" t="str">
        <x:v>https://ebrochures.malaysia.travel/en/malaysia-travel-guide/pahang/</x:v>
      </x:c>
      <x:c r="L165" s="117" t="str">
        <x:v>Tourism Malaysia state guide plus map discovery link</x:v>
      </x:c>
      <x:c r="M165" s="117" t="str">
        <x:v>Pahang expansion batch</x:v>
      </x:c>
      <x:c r="N165" s="117"/>
      <x:c r="O165" s="117" t="str">
        <x:v>2026-08-15 00:00:00</x:v>
      </x:c>
      <x:c r="P165" s="117" t="str">
        <x:v>Complete</x:v>
      </x:c>
      <x:c r="Q165" s="117" t="str">
        <x:v>Duplicate alias: use MC0145 Identity and Malaysian location verified in second-pass review on 2026-09-08.</x:v>
      </x:c>
      <x:c r="R165" s="117" t="str">
        <x:f t="shared" si="2">IF(J165="","Missing Link",IF(AND(ISNUMBER(SEARCH("google.com/maps",J165)),ISERROR(SEARCH(";",J165))),"Discovery Link Only","Source Link Present"))</x:f>
        <x:v>Discovery Link Only</x:v>
      </x:c>
      <x:c r="S165" s="117" t="str">
        <x:v>Not measured</x:v>
      </x:c>
      <x:c r="T165" s="117" t="str">
        <x:v>Partial; ramps documented</x:v>
      </x:c>
      <x:c r="U165" s="117" t="str">
        <x:v>Unknown</x:v>
      </x:c>
      <x:c r="V165" s="117" t="str">
        <x:v>Unknown</x:v>
      </x:c>
      <x:c r="W165" s="117" t="str">
        <x:v>Available</x:v>
      </x:c>
      <x:c r="X165" s="117" t="str">
        <x:v>Visitor buildings</x:v>
      </x:c>
      <x:c r="Y165" s="117" t="str">
        <x:v>Conditional on current facility availability</x:v>
      </x:c>
      <x:c r="Z165" s="117" t="str">
        <x:v>An ASEAN Tourism for All directory entry submitted for the centre lists ramps, handrails and a wheelchair. PERHILITAN currently publishes visitor hours. Confirm equipment availability and the observation route before travel.</x:v>
      </x:c>
      <x:c r="AA165" s="117" t="str">
        <x:v>Documented support - conditional</x:v>
      </x:c>
      <x:c r="AB165" s="117" t="str">
        <x:v>https://www.visitsoutheastasia.travel/wp-content/uploads/2023/01/Directory-for-Tourism-for-All-in-ASEAN.pdf
https://www.wildlife.gov.my/en/pusat-konservasi-gajah-kebangsaan-kuala-gandah/</x:v>
      </x:c>
      <x:c r="AC165" s="117" t="str">
        <x:v>Registration and main visitor/observation route</x:v>
      </x:c>
      <x:c r="AD165" s="117" t="str">
        <x:v>2026-09-08</x:v>
      </x:c>
      <x:c r="AE165" s="117" t="str">
        <x:v>MC0145</x:v>
      </x:c>
      <x:c r="AF165" s="117" t="str">
        <x:v>Duplicate alias</x:v>
      </x:c>
      <x:c r="AG165" s="117" t="str"/>
      <x:c r="AH165" s="117" t="str">
        <x:v>Identity and location corroborated</x:v>
      </x:c>
      <x:c r="AI165" s="117" t="str">
        <x:v>https://www.wildlife.gov.my/en/pusat-konservasi-gajah-kebangsaan-kuala-gandah/</x:v>
      </x:c>
      <x:c r="AJ165" s="117" t="str">
        <x:v>Official wildlife department source matches the attraction name or established alias and the stated Malaysian location. This verifies identity/location only; confirm current opening and accessibility separately.</x:v>
      </x:c>
      <x:c r="AK165" s="117" t="str">
        <x:v>Not independently confirmed</x:v>
      </x:c>
      <x:c r="AL165" s="117" t="str">
        <x:v>Primary/officially submitted accessibility evidence</x:v>
      </x:c>
      <x:c r="AM165" s="117" t="str">
        <x:v>2026-09-08</x:v>
      </x:c>
      <x:c r="AN165" s="117"/>
      <x:c r="AO165" s="117"/>
      <x:c r="AP165" s="117" t="str">
        <x:v>No usable pair located; image research pending</x:v>
      </x:c>
      <x:c r="AQ165" s="117"/>
    </x:row>
    <x:row r="166" ht="66" customHeight="1">
      <x:c r="A166" s="117" t="str">
        <x:v>MC0163</x:v>
      </x:c>
      <x:c r="B166" s="117" t="str">
        <x:v>Deerland Park</x:v>
      </x:c>
      <x:c r="C166" s="117" t="str">
        <x:v>Pahang</x:v>
      </x:c>
      <x:c r="D166" s="117" t="str">
        <x:v>Temerloh</x:v>
      </x:c>
      <x:c r="E166" s="117" t="str">
        <x:v>Wildlife</x:v>
      </x:c>
      <x:c r="F166" s="117" t="str">
        <x:v>Local</x:v>
      </x:c>
      <x:c r="G166" s="117" t="str">
        <x:v>Outdoor</x:v>
      </x:c>
      <x:c r="H166" s="117" t="str">
        <x:v>deer; nature; family</x:v>
      </x:c>
      <x:c r="I166" s="117" t="str">
        <x:v>A wildlife park in Temerloh featuring deer and other animals.</x:v>
      </x:c>
      <x:c r="J166" s="117" t="str">
        <x:v>https://www.google.com/maps/search/?api=1&amp;query=Deerland%20Park%2C%20Pahang%2C%20Malaysia</x:v>
      </x:c>
      <x:c r="K166" s="117" t="str">
        <x:v>https://ebrochures.malaysia.travel/en/malaysia-travel-guide/pahang/</x:v>
      </x:c>
      <x:c r="L166" s="117" t="str">
        <x:v>Tourism Malaysia state guide plus map discovery link</x:v>
      </x:c>
      <x:c r="M166" s="117" t="str">
        <x:v>Pahang expansion batch</x:v>
      </x:c>
      <x:c r="N166" s="117"/>
      <x:c r="O166" s="117" t="str">
        <x:v>2026-08-15 00:00:00</x:v>
      </x:c>
      <x:c r="P166" s="117" t="str">
        <x:v>Complete</x:v>
      </x:c>
      <x:c r="Q166" s="117" t="str">
        <x:v>Identity and Malaysian location verified in second-pass review on 2026-09-08.</x:v>
      </x:c>
      <x:c r="R166" s="117" t="str">
        <x:f t="shared" si="2">IF(J166="","Missing Link",IF(AND(ISNUMBER(SEARCH("google.com/maps",J166)),ISERROR(SEARCH(";",J166))),"Discovery Link Only","Source Link Present"))</x:f>
        <x:v>Discovery Link Only</x:v>
      </x:c>
      <x:c r="S166" s="117" t="str">
        <x:v>Unknown</x:v>
      </x:c>
      <x:c r="T166" s="117" t="str">
        <x:v>Unknown</x:v>
      </x:c>
      <x:c r="U166" s="117" t="str">
        <x:v>Unknown</x:v>
      </x:c>
      <x:c r="V166" s="117" t="str">
        <x:v>Unknown</x:v>
      </x:c>
      <x:c r="W166" s="117" t="str">
        <x:v>Unknown</x:v>
      </x:c>
      <x:c r="X166" s="117" t="str">
        <x:v>Unknown</x:v>
      </x:c>
      <x:c r="Y166" s="117" t="str">
        <x:v>Unknown</x:v>
      </x:c>
      <x:c r="Z166" s="117"/>
      <x:c r="AA166" s="117" t="str">
        <x:v>Pending evidence</x:v>
      </x:c>
      <x:c r="AB166" s="117"/>
      <x:c r="AC166" s="117" t="str">
        <x:v>No qualifying accessibility conclusion established from the screened sources. This is unknown, not evidence that the attraction is inaccessible.</x:v>
      </x:c>
      <x:c r="AD166" s="117" t="str">
        <x:v>2026-09-08</x:v>
      </x:c>
      <x:c r="AE166" s="117" t="str">
        <x:v>MC0163</x:v>
      </x:c>
      <x:c r="AF166" s="117" t="str">
        <x:v>Distinct candidate</x:v>
      </x:c>
      <x:c r="AG166" s="117" t="str"/>
      <x:c r="AH166" s="117" t="str">
        <x:v>Identity and location corroborated</x:v>
      </x:c>
      <x:c r="AI166" s="117" t="str">
        <x:v>https://www.openstreetmap.org/node/2629607817</x:v>
      </x:c>
      <x:c r="AJ166" s="117" t="str">
        <x:v>Mapped source matches the attraction name or established alias and the stated Malaysian location. This verifies identity/location only; confirm current opening and accessibility separately.</x:v>
      </x:c>
      <x:c r="AK166" s="117" t="str">
        <x:v>Not independently confirmed</x:v>
      </x:c>
      <x:c r="AL166" s="117" t="str">
        <x:v>Screened sources; accessibility unresolved</x:v>
      </x:c>
      <x:c r="AM166" s="117" t="str">
        <x:v>2026-09-08</x:v>
      </x:c>
      <x:c r="AN166" s="117"/>
      <x:c r="AO166" s="117"/>
      <x:c r="AP166" s="117" t="str">
        <x:v>No usable pair located; image research pending</x:v>
      </x:c>
      <x:c r="AQ166" s="117"/>
    </x:row>
    <x:row r="167" ht="66" customHeight="1">
      <x:c r="A167" s="117" t="str">
        <x:v>MC0164</x:v>
      </x:c>
      <x:c r="B167" s="117" t="str">
        <x:v>Chamang Waterfall</x:v>
      </x:c>
      <x:c r="C167" s="117" t="str">
        <x:v>Pahang</x:v>
      </x:c>
      <x:c r="D167" s="117" t="str">
        <x:v>Bentong</x:v>
      </x:c>
      <x:c r="E167" s="117" t="str">
        <x:v>Nature</x:v>
      </x:c>
      <x:c r="F167" s="117" t="str">
        <x:v>Popular</x:v>
      </x:c>
      <x:c r="G167" s="117" t="str">
        <x:v>Outdoor</x:v>
      </x:c>
      <x:c r="H167" s="117" t="str">
        <x:v>waterfall; forest; picnic</x:v>
      </x:c>
      <x:c r="I167" s="117" t="str">
        <x:v>A popular multi-tiered waterfall in Bentong district, Pahang.</x:v>
      </x:c>
      <x:c r="J167" s="117" t="str">
        <x:v>https://www.google.com/maps/search/?api=1&amp;query=Chamang%20Waterfall%2C%20Pahang%2C%20Malaysia</x:v>
      </x:c>
      <x:c r="K167" s="117" t="str">
        <x:v>https://ebrochures.malaysia.travel/en/malaysia-travel-guide/pahang/</x:v>
      </x:c>
      <x:c r="L167" s="117" t="str">
        <x:v>Tourism Malaysia state guide plus map discovery link</x:v>
      </x:c>
      <x:c r="M167" s="117" t="str">
        <x:v>Pahang expansion batch</x:v>
      </x:c>
      <x:c r="N167" s="117"/>
      <x:c r="O167" s="117" t="str">
        <x:v>2026-08-15 00:00:00</x:v>
      </x:c>
      <x:c r="P167" s="117" t="str">
        <x:v>Complete</x:v>
      </x:c>
      <x:c r="Q167" s="117" t="str">
        <x:v>Identity and Malaysian location verified in second-pass review on 2026-09-08.</x:v>
      </x:c>
      <x:c r="R167" s="117" t="str">
        <x:f t="shared" si="2">IF(J167="","Missing Link",IF(AND(ISNUMBER(SEARCH("google.com/maps",J167)),ISERROR(SEARCH(";",J167))),"Discovery Link Only","Source Link Present"))</x:f>
        <x:v>Discovery Link Only</x:v>
      </x:c>
      <x:c r="S167" s="117" t="str">
        <x:v>Unknown</x:v>
      </x:c>
      <x:c r="T167" s="117" t="str">
        <x:v>Unknown</x:v>
      </x:c>
      <x:c r="U167" s="117" t="str">
        <x:v>Unknown</x:v>
      </x:c>
      <x:c r="V167" s="117" t="str">
        <x:v>Unknown</x:v>
      </x:c>
      <x:c r="W167" s="117" t="str">
        <x:v>Unknown</x:v>
      </x:c>
      <x:c r="X167" s="117" t="str">
        <x:v>Unknown</x:v>
      </x:c>
      <x:c r="Y167" s="117" t="str">
        <x:v>Unknown</x:v>
      </x:c>
      <x:c r="Z167" s="117"/>
      <x:c r="AA167" s="117" t="str">
        <x:v>Pending evidence</x:v>
      </x:c>
      <x:c r="AB167" s="117"/>
      <x:c r="AC167" s="117" t="str">
        <x:v>No qualifying accessibility conclusion established from the screened sources. This is unknown, not evidence that the attraction is inaccessible.</x:v>
      </x:c>
      <x:c r="AD167" s="117" t="str">
        <x:v>2026-09-08</x:v>
      </x:c>
      <x:c r="AE167" s="117" t="str">
        <x:v>MC0164</x:v>
      </x:c>
      <x:c r="AF167" s="117" t="str">
        <x:v>Distinct candidate</x:v>
      </x:c>
      <x:c r="AG167" s="117" t="str"/>
      <x:c r="AH167" s="117" t="str">
        <x:v>Identity and location corroborated</x:v>
      </x:c>
      <x:c r="AI167" s="117" t="str">
        <x:v>https://www.openstreetmap.org/node/4111876523</x:v>
      </x:c>
      <x:c r="AJ167" s="117" t="str">
        <x:v>Mapped source matches the attraction name or established alias and the stated Malaysian location. This verifies identity/location only; confirm current opening and accessibility separately.</x:v>
      </x:c>
      <x:c r="AK167" s="117" t="str">
        <x:v>Not independently confirmed</x:v>
      </x:c>
      <x:c r="AL167" s="117" t="str">
        <x:v>Screened sources; accessibility unresolved</x:v>
      </x:c>
      <x:c r="AM167" s="117" t="str">
        <x:v>2026-09-08</x:v>
      </x:c>
      <x:c r="AN167" s="117"/>
      <x:c r="AO167" s="117"/>
      <x:c r="AP167" s="117" t="str">
        <x:v>No usable pair located; image research pending</x:v>
      </x:c>
      <x:c r="AQ167" s="117"/>
    </x:row>
    <x:row r="168" ht="66" customHeight="1">
      <x:c r="A168" s="117" t="str">
        <x:v>MC0165</x:v>
      </x:c>
      <x:c r="B168" s="117" t="str">
        <x:v>Bentong Walk</x:v>
      </x:c>
      <x:c r="C168" s="117" t="str">
        <x:v>Pahang</x:v>
      </x:c>
      <x:c r="D168" s="117" t="str">
        <x:v>Bentong</x:v>
      </x:c>
      <x:c r="E168" s="117" t="str">
        <x:v>Urban Attraction</x:v>
      </x:c>
      <x:c r="F168" s="117" t="str">
        <x:v>Local</x:v>
      </x:c>
      <x:c r="G168" s="117" t="str">
        <x:v>Both</x:v>
      </x:c>
      <x:c r="H168" s="117" t="str">
        <x:v>night market; food; town</x:v>
      </x:c>
      <x:c r="I168" s="117" t="str">
        <x:v>A heritage shophouse walking trail through Bentong town, Pahang.</x:v>
      </x:c>
      <x:c r="J168" s="117" t="str">
        <x:v>https://www.google.com/maps/search/?api=1&amp;query=Bentong%20Walk%2C%20Pahang%2C%20Malaysia</x:v>
      </x:c>
      <x:c r="K168" s="117" t="str">
        <x:v>https://ebrochures.malaysia.travel/en/malaysia-travel-guide/pahang/</x:v>
      </x:c>
      <x:c r="L168" s="117" t="str">
        <x:v>Tourism Malaysia state guide plus map discovery link</x:v>
      </x:c>
      <x:c r="M168" s="117" t="str">
        <x:v>Pahang expansion batch</x:v>
      </x:c>
      <x:c r="N168" s="117"/>
      <x:c r="O168" s="117" t="str">
        <x:v>2026-08-15 00:00:00</x:v>
      </x:c>
      <x:c r="P168" s="117" t="str">
        <x:v>Complete</x:v>
      </x:c>
      <x:c r="Q168" s="117" t="str">
        <x:v>Identity and Malaysian location verified in second-pass review on 2026-09-08.</x:v>
      </x:c>
      <x:c r="R168" s="117" t="str">
        <x:f t="shared" si="2">IF(J168="","Missing Link",IF(AND(ISNUMBER(SEARCH("google.com/maps",J168)),ISERROR(SEARCH(";",J168))),"Discovery Link Only","Source Link Present"))</x:f>
        <x:v>Discovery Link Only</x:v>
      </x:c>
      <x:c r="S168" s="117" t="str">
        <x:v>Unknown</x:v>
      </x:c>
      <x:c r="T168" s="117" t="str">
        <x:v>Unknown</x:v>
      </x:c>
      <x:c r="U168" s="117" t="str">
        <x:v>Unknown</x:v>
      </x:c>
      <x:c r="V168" s="117" t="str">
        <x:v>Unknown</x:v>
      </x:c>
      <x:c r="W168" s="117" t="str">
        <x:v>Unknown</x:v>
      </x:c>
      <x:c r="X168" s="117" t="str">
        <x:v>Unknown</x:v>
      </x:c>
      <x:c r="Y168" s="117" t="str">
        <x:v>Unknown</x:v>
      </x:c>
      <x:c r="Z168" s="117"/>
      <x:c r="AA168" s="117" t="str">
        <x:v>Pending evidence</x:v>
      </x:c>
      <x:c r="AB168" s="117"/>
      <x:c r="AC168" s="117" t="str">
        <x:v>No qualifying accessibility conclusion established from the screened sources. This is unknown, not evidence that the attraction is inaccessible.</x:v>
      </x:c>
      <x:c r="AD168" s="117" t="str">
        <x:v>2026-09-08</x:v>
      </x:c>
      <x:c r="AE168" s="117" t="str">
        <x:v>MC0165</x:v>
      </x:c>
      <x:c r="AF168" s="117" t="str">
        <x:v>Distinct candidate</x:v>
      </x:c>
      <x:c r="AG168" s="117" t="str"/>
      <x:c r="AH168" s="117" t="str">
        <x:v>Identity and location corroborated</x:v>
      </x:c>
      <x:c r="AI168" s="117" t="str">
        <x:v>https://www.openstreetmap.org/way/1019175657</x:v>
      </x:c>
      <x:c r="AJ168" s="117" t="str">
        <x:v>Mapped source matches the attraction name or established alias and the stated Malaysian location. This verifies identity/location only; confirm current opening and accessibility separately.</x:v>
      </x:c>
      <x:c r="AK168" s="117" t="str">
        <x:v>Not independently confirmed</x:v>
      </x:c>
      <x:c r="AL168" s="117" t="str">
        <x:v>Screened sources; accessibility unresolved</x:v>
      </x:c>
      <x:c r="AM168" s="117" t="str">
        <x:v>2026-09-08</x:v>
      </x:c>
      <x:c r="AN168" s="117"/>
      <x:c r="AO168" s="117"/>
      <x:c r="AP168" s="117" t="str">
        <x:v>No usable pair located; image research pending</x:v>
      </x:c>
      <x:c r="AQ168" s="117"/>
    </x:row>
    <x:row r="169" ht="66" customHeight="1">
      <x:c r="A169" s="117" t="str">
        <x:v>MC0166</x:v>
      </x:c>
      <x:c r="B169" s="117" t="str">
        <x:v>Sungai Chiling Fish Sanctuary</x:v>
      </x:c>
      <x:c r="C169" s="117" t="str">
        <x:v>Selangor</x:v>
      </x:c>
      <x:c r="D169" s="117" t="str">
        <x:v>Hulu Selangor / Kuala Kubu Bharu</x:v>
      </x:c>
      <x:c r="E169" s="117" t="str">
        <x:v>Nature</x:v>
      </x:c>
      <x:c r="F169" s="117" t="str">
        <x:v>Popular</x:v>
      </x:c>
      <x:c r="G169" s="117" t="str">
        <x:v>Outdoor</x:v>
      </x:c>
      <x:c r="H169" s="117" t="str">
        <x:v>river; hiking; fish sanctuary</x:v>
      </x:c>
      <x:c r="I169" s="117" t="str">
        <x:v>A protected river stretch in Raub district known for its fish sanctuary and swimming pools.</x:v>
      </x:c>
      <x:c r="J169" s="117" t="str">
        <x:v>https://www.google.com/maps/search/?api=1&amp;query=Sungai%20Chiling%20Fish%20Sanctuary%2C%20Pahang%2C%20Malaysia</x:v>
      </x:c>
      <x:c r="K169" s="117" t="str">
        <x:v>https://ebrochures.malaysia.travel/en/malaysia-travel-guide/selangor/</x:v>
      </x:c>
      <x:c r="L169" s="117" t="str">
        <x:v>Tourism Malaysia state guide plus map discovery link</x:v>
      </x:c>
      <x:c r="M169" s="117" t="str">
        <x:v>Pahang expansion batch</x:v>
      </x:c>
      <x:c r="N169" s="117"/>
      <x:c r="O169" s="117" t="str">
        <x:v>2026-08-15 00:00:00</x:v>
      </x:c>
      <x:c r="P169" s="117" t="str">
        <x:v>Complete</x:v>
      </x:c>
      <x:c r="Q169" s="117" t="str">
        <x:v>Corrected Pahang to Selangor; sanctuary and waterfall are related records.</x:v>
      </x:c>
      <x:c r="R169" s="117" t="str">
        <x:f t="shared" si="2">IF(J169="","Missing Link",IF(AND(ISNUMBER(SEARCH("google.com/maps",J169)),ISERROR(SEARCH(";",J169))),"Discovery Link Only","Source Link Present"))</x:f>
        <x:v>Discovery Link Only</x:v>
      </x:c>
      <x:c r="S169" s="117" t="str">
        <x:v>Not measured</x:v>
      </x:c>
      <x:c r="T169" s="117" t="str">
        <x:v>No - river-crossing trail</x:v>
      </x:c>
      <x:c r="U169" s="117" t="str">
        <x:v>Unknown</x:v>
      </x:c>
      <x:c r="V169" s="117" t="str">
        <x:v>Unknown</x:v>
      </x:c>
      <x:c r="W169" s="117" t="str">
        <x:v>Unknown</x:v>
      </x:c>
      <x:c r="X169" s="117" t="str">
        <x:v>Unknown</x:v>
      </x:c>
      <x:c r="Y169" s="117" t="str">
        <x:v>Not recommended for stated route</x:v>
      </x:c>
      <x:c r="Z169" s="117" t="str">
        <x:v>Tourism Selangor documents river wading and a forest hike. This is unsuitable as a low-mobility route; the source also corrects the state to Selangor.</x:v>
      </x:c>
      <x:c r="AA169" s="117" t="str">
        <x:v>Restricted route</x:v>
      </x:c>
      <x:c r="AB169" s="117" t="str">
        <x:v>https://selangor.travel/listing/sungai-chilling-mahseer-fish-sanctuary/</x:v>
      </x:c>
      <x:c r="AC169" s="117" t="str">
        <x:v>Chiling waterfall trail</x:v>
      </x:c>
      <x:c r="AD169" s="117" t="str">
        <x:v>2026-09-08</x:v>
      </x:c>
      <x:c r="AE169" s="117" t="str">
        <x:v>MC0166</x:v>
      </x:c>
      <x:c r="AF169" s="117" t="str">
        <x:v>Related site or component</x:v>
      </x:c>
      <x:c r="AG169" s="117" t="str">
        <x:v>MC0332</x:v>
      </x:c>
      <x:c r="AH169" s="117" t="str">
        <x:v>Location corrected from source</x:v>
      </x:c>
      <x:c r="AI169" s="117" t="str">
        <x:v>https://selangor.travel/listing/sungai-chilling-mahseer-fish-sanctuary/</x:v>
      </x:c>
      <x:c r="AJ169" s="117" t="str">
        <x:v>Available discovery sources and state guide screened; no reliable name match established. Venue-specific verification remains pending.</x:v>
      </x:c>
      <x:c r="AK169" s="117" t="str">
        <x:v>Not independently confirmed</x:v>
      </x:c>
      <x:c r="AL169" s="117" t="str">
        <x:v>Access restriction documented</x:v>
      </x:c>
      <x:c r="AM169" s="117" t="str">
        <x:v>2026-09-08</x:v>
      </x:c>
      <x:c r="AN169" s="117"/>
      <x:c r="AO169" s="117"/>
      <x:c r="AP169" s="117" t="str">
        <x:v>No usable pair located; image research pending</x:v>
      </x:c>
      <x:c r="AQ169" s="117" t="str">
        <x:v>https://selangor.travel/listing/sungai-chilling-mahseer-fish-sanctuary/</x:v>
      </x:c>
    </x:row>
    <x:row r="170" ht="66" customHeight="1">
      <x:c r="A170" s="117" t="str">
        <x:v>MC0167</x:v>
      </x:c>
      <x:c r="B170" s="117" t="str">
        <x:v>Boh Sungei Palas Tea Centre</x:v>
      </x:c>
      <x:c r="C170" s="117" t="str">
        <x:v>Pahang</x:v>
      </x:c>
      <x:c r="D170" s="117" t="str">
        <x:v>Cameron Highlands</x:v>
      </x:c>
      <x:c r="E170" s="117" t="str">
        <x:v>Food</x:v>
      </x:c>
      <x:c r="F170" s="117" t="str">
        <x:v>Popular</x:v>
      </x:c>
      <x:c r="G170" s="117" t="str">
        <x:v>Both</x:v>
      </x:c>
      <x:c r="H170" s="117" t="str">
        <x:v>tea plantation; scenery; cafe</x:v>
      </x:c>
      <x:c r="I170" s="117" t="str">
        <x:v>A working tea plantation and visitor centre run by the Boh Tea company in Cameron Highlands.</x:v>
      </x:c>
      <x:c r="J170" s="117" t="str">
        <x:v>https://www.google.com/maps/search/?api=1&amp;query=Boh%20Sungei%20Palas%20Tea%20Centre%2C%20Pahang%2C%20Malaysia</x:v>
      </x:c>
      <x:c r="K170" s="117" t="str">
        <x:v>https://ebrochures.malaysia.travel/en/malaysia-travel-guide/pahang/</x:v>
      </x:c>
      <x:c r="L170" s="117" t="str">
        <x:v>Tourism Malaysia state guide plus map discovery link</x:v>
      </x:c>
      <x:c r="M170" s="117" t="str">
        <x:v>Pahang expansion batch</x:v>
      </x:c>
      <x:c r="N170" s="117"/>
      <x:c r="O170" s="117" t="str">
        <x:v>2026-08-15 00:00:00</x:v>
      </x:c>
      <x:c r="P170" s="117" t="str">
        <x:v>Complete</x:v>
      </x:c>
      <x:c r="Q170" s="117" t="str">
        <x:v>Identity and Malaysian location verified in second-pass review on 2026-09-08.</x:v>
      </x:c>
      <x:c r="R170" s="117" t="str">
        <x:f t="shared" si="2">IF(J170="","Missing Link",IF(AND(ISNUMBER(SEARCH("google.com/maps",J170)),ISERROR(SEARCH(";",J170))),"Discovery Link Only","Source Link Present"))</x:f>
        <x:v>Discovery Link Only</x:v>
      </x:c>
      <x:c r="S170" s="117" t="str">
        <x:v>Not measured</x:v>
      </x:c>
      <x:c r="T170" s="117" t="str">
        <x:v>Partial; stairs remain elsewhere</x:v>
      </x:c>
      <x:c r="U170" s="117" t="str">
        <x:v>Café seating</x:v>
      </x:c>
      <x:c r="V170" s="117" t="str">
        <x:v>Toilets reported; accessibility unknown</x:v>
      </x:c>
      <x:c r="W170" s="117" t="str">
        <x:v>Lower parking; assisted entrance drop-off</x:v>
      </x:c>
      <x:c r="X170" s="117" t="str">
        <x:v>Indoor café</x:v>
      </x:c>
      <x:c r="Y170" s="117" t="str">
        <x:v>Conditional on stairs and mobility</x:v>
      </x:c>
      <x:c r="Z170" s="117" t="str">
        <x:v>BOH states that guards can allow elderly visitors and people with impairments to be dropped at the entrance, avoiding the staircase from the lower parking area. Other routes may still include steps or slopes.</x:v>
      </x:c>
      <x:c r="AA170" s="117" t="str">
        <x:v>Documented support - conditional</x:v>
      </x:c>
      <x:c r="AB170" s="117" t="str">
        <x:v>https://bohtea.com/published-articles/gearing-up-for-a-visit-to-the-boh-sungei-palas-tea-centre/</x:v>
      </x:c>
      <x:c r="AC170" s="117" t="str">
        <x:v>Vehicle drop-off at main entrance and main visitor centre</x:v>
      </x:c>
      <x:c r="AD170" s="117" t="str">
        <x:v>2026-09-08</x:v>
      </x:c>
      <x:c r="AE170" s="117" t="str">
        <x:v>MC0167</x:v>
      </x:c>
      <x:c r="AF170" s="117" t="str">
        <x:v>Distinct candidate</x:v>
      </x:c>
      <x:c r="AG170" s="117" t="str"/>
      <x:c r="AH170" s="117" t="str">
        <x:v>Identity and location corroborated</x:v>
      </x:c>
      <x:c r="AI170" s="117" t="str">
        <x:v>https://bohtea.com/visit-our-tea-gardens/sungei-palas-tea-garden/</x:v>
      </x:c>
      <x:c r="AJ170" s="117" t="str">
        <x:v>Venue/operator source matches the attraction name or established alias and the stated Malaysian location. This verifies identity/location only; confirm current opening and accessibility separately.</x:v>
      </x:c>
      <x:c r="AK170" s="117" t="str">
        <x:v>Not independently confirmed</x:v>
      </x:c>
      <x:c r="AL170" s="117" t="str">
        <x:v>Primary source - specific feature only</x:v>
      </x:c>
      <x:c r="AM170" s="117" t="str">
        <x:v>2026-09-08</x:v>
      </x:c>
      <x:c r="AN170" s="117"/>
      <x:c r="AO170" s="117"/>
      <x:c r="AP170" s="117" t="str">
        <x:v>No usable pair located; image research pending</x:v>
      </x:c>
      <x:c r="AQ170" s="117"/>
    </x:row>
    <x:row r="171" ht="66" customHeight="1">
      <x:c r="A171" s="117" t="str">
        <x:v>MC0168</x:v>
      </x:c>
      <x:c r="B171" s="117" t="str">
        <x:v>Agro Technology Park MARDI</x:v>
      </x:c>
      <x:c r="C171" s="117" t="str">
        <x:v>Pahang</x:v>
      </x:c>
      <x:c r="D171" s="117" t="str">
        <x:v>Cameron Highlands</x:v>
      </x:c>
      <x:c r="E171" s="117" t="str">
        <x:v>Food</x:v>
      </x:c>
      <x:c r="F171" s="117" t="str">
        <x:v>Local</x:v>
      </x:c>
      <x:c r="G171" s="117" t="str">
        <x:v>Both</x:v>
      </x:c>
      <x:c r="H171" s="117" t="str">
        <x:v>agriculture; gardens; education</x:v>
      </x:c>
      <x:c r="I171" s="117" t="str">
        <x:v>An agricultural research park in Cameron Highlands showcasing highland crop cultivation.</x:v>
      </x:c>
      <x:c r="J171" s="117" t="str">
        <x:v>https://www.google.com/maps/search/?api=1&amp;query=Agro%20Technology%20Park%20MARDI%2C%20Pahang%2C%20Malaysia</x:v>
      </x:c>
      <x:c r="K171" s="117" t="str">
        <x:v>https://ebrochures.malaysia.travel/en/malaysia-travel-guide/pahang/</x:v>
      </x:c>
      <x:c r="L171" s="117" t="str">
        <x:v>Tourism Malaysia state guide plus map discovery link</x:v>
      </x:c>
      <x:c r="M171" s="117" t="str">
        <x:v>Pahang expansion batch</x:v>
      </x:c>
      <x:c r="N171" s="117"/>
      <x:c r="O171" s="117" t="str">
        <x:v>2026-08-15 00:00:00</x:v>
      </x:c>
      <x:c r="P171" s="117" t="str">
        <x:v>Complete</x:v>
      </x:c>
      <x:c r="Q171" s="117"/>
      <x:c r="R171" s="117" t="str">
        <x:f t="shared" si="2">IF(J171="","Missing Link",IF(AND(ISNUMBER(SEARCH("google.com/maps",J171)),ISERROR(SEARCH(";",J171))),"Discovery Link Only","Source Link Present"))</x:f>
        <x:v>Discovery Link Only</x:v>
      </x:c>
      <x:c r="S171" s="117" t="str">
        <x:v>Unknown</x:v>
      </x:c>
      <x:c r="T171" s="117" t="str">
        <x:v>Unknown</x:v>
      </x:c>
      <x:c r="U171" s="117" t="str">
        <x:v>Unknown</x:v>
      </x:c>
      <x:c r="V171" s="117" t="str">
        <x:v>Unknown</x:v>
      </x:c>
      <x:c r="W171" s="117" t="str">
        <x:v>Unknown</x:v>
      </x:c>
      <x:c r="X171" s="117" t="str">
        <x:v>Unknown</x:v>
      </x:c>
      <x:c r="Y171" s="117" t="str">
        <x:v>Unknown</x:v>
      </x:c>
      <x:c r="Z171" s="117"/>
      <x:c r="AA171" s="117" t="str">
        <x:v>Pending evidence</x:v>
      </x:c>
      <x:c r="AB171" s="117"/>
      <x:c r="AC171" s="117" t="str">
        <x:v>No qualifying accessibility conclusion established from the screened sources. This is unknown, not evidence that the attraction is inaccessible.</x:v>
      </x:c>
      <x:c r="AD171" s="117" t="str">
        <x:v>2026-09-08</x:v>
      </x:c>
      <x:c r="AE171" s="117" t="str">
        <x:v>MC0168</x:v>
      </x:c>
      <x:c r="AF171" s="117" t="str">
        <x:v>Distinct candidate</x:v>
      </x:c>
      <x:c r="AG171" s="117" t="str"/>
      <x:c r="AH171" s="117" t="str">
        <x:v>Name corroborated in source</x:v>
      </x:c>
      <x:c r="AI171" s="117" t="str">
        <x:v>https://ebrochures.malaysia.travel/en/malaysia-travel-guide/pahang/</x:v>
      </x:c>
      <x:c r="AJ171" s="117" t="str">
        <x:v>Place name or established alias matched in the cited source. This is not confirmation of current opening, all visitor facilities or the full description.</x:v>
      </x:c>
      <x:c r="AK171" s="117" t="str">
        <x:v>Not independently confirmed</x:v>
      </x:c>
      <x:c r="AL171" s="117" t="str">
        <x:v>Screened sources; accessibility unresolved</x:v>
      </x:c>
      <x:c r="AM171" s="117" t="str">
        <x:v>2026-09-08</x:v>
      </x:c>
      <x:c r="AN171" s="117" t="str">
        <x:v>https://thumb.wikimedia.org/wikipedia/commons/thumb/9/90/Old_water_mill_at_Agro_Technology_Park_MARDI_Cameron_Highlands.jpg/1280px-Old_water_mill_at_Agro_Technology_Park_MARDI_Cameron_Highlands.jpg?utm_source=commons.wikimedia.org&amp;utm_campaign=imageinfo&amp;utm_content=thumbnail</x:v>
      </x:c>
      <x:c r="AO171" s="117" t="str">
        <x:v>https://thumb.wikimedia.org/wikipedia/commons/thumb/5/55/Agro_Technology_Park_MARDI_Cameron_Highlands_at_Tanah_Rata.jpg/1280px-Agro_Technology_Park_MARDI_Cameron_Highlands_at_Tanah_Rata.jpg?utm_source=commons.wikimedia.org&amp;utm_campaign=imageinfo&amp;utm_content=thumbnail</x:v>
      </x:c>
      <x:c r="AP171" s="117" t="str">
        <x:v>2 metadata-matched images; visual review pending</x:v>
      </x:c>
      <x:c r="AQ171" s="117"/>
    </x:row>
    <x:row r="172" ht="66" customHeight="1">
      <x:c r="A172" s="117" t="str">
        <x:v>MC0169</x:v>
      </x:c>
      <x:c r="B172" s="117" t="str">
        <x:v>Lubuk Yu Recreational Forest</x:v>
      </x:c>
      <x:c r="C172" s="117" t="str">
        <x:v>Pahang</x:v>
      </x:c>
      <x:c r="D172" s="117" t="str">
        <x:v>Maran</x:v>
      </x:c>
      <x:c r="E172" s="117" t="str">
        <x:v>Nature</x:v>
      </x:c>
      <x:c r="F172" s="117" t="str">
        <x:v>Rural</x:v>
      </x:c>
      <x:c r="G172" s="117" t="str">
        <x:v>Outdoor</x:v>
      </x:c>
      <x:c r="H172" s="117" t="str">
        <x:v>river; forest; picnic</x:v>
      </x:c>
      <x:c r="I172" s="117" t="str">
        <x:v>A waterfall-based forest recreation area in Maran district, Pahang.</x:v>
      </x:c>
      <x:c r="J172" s="117" t="str">
        <x:v>https://www.google.com/maps/search/?api=1&amp;query=Lubuk%20Yu%20Recreational%20Forest%2C%20Pahang%2C%20Malaysia</x:v>
      </x:c>
      <x:c r="K172" s="117" t="str">
        <x:v>https://ebrochures.malaysia.travel/en/malaysia-travel-guide/pahang/</x:v>
      </x:c>
      <x:c r="L172" s="117" t="str">
        <x:v>Tourism Malaysia state guide plus map discovery link</x:v>
      </x:c>
      <x:c r="M172" s="117" t="str">
        <x:v>Pahang expansion batch</x:v>
      </x:c>
      <x:c r="N172" s="117"/>
      <x:c r="O172" s="117" t="str">
        <x:v>2026-08-15 00:00:00</x:v>
      </x:c>
      <x:c r="P172" s="117" t="str">
        <x:v>Complete</x:v>
      </x:c>
      <x:c r="Q172" s="117" t="str">
        <x:v>Identity and Malaysian location verified in second-pass review on 2026-09-08.</x:v>
      </x:c>
      <x:c r="R172" s="117" t="str">
        <x:f t="shared" si="2">IF(J172="","Missing Link",IF(AND(ISNUMBER(SEARCH("google.com/maps",J172)),ISERROR(SEARCH(";",J172))),"Discovery Link Only","Source Link Present"))</x:f>
        <x:v>Discovery Link Only</x:v>
      </x:c>
      <x:c r="S172" s="117" t="str">
        <x:v>Unknown</x:v>
      </x:c>
      <x:c r="T172" s="117" t="str">
        <x:v>Unknown</x:v>
      </x:c>
      <x:c r="U172" s="117" t="str">
        <x:v>Unknown</x:v>
      </x:c>
      <x:c r="V172" s="117" t="str">
        <x:v>Unknown</x:v>
      </x:c>
      <x:c r="W172" s="117" t="str">
        <x:v>Unknown</x:v>
      </x:c>
      <x:c r="X172" s="117" t="str">
        <x:v>Unknown</x:v>
      </x:c>
      <x:c r="Y172" s="117" t="str">
        <x:v>Unknown</x:v>
      </x:c>
      <x:c r="Z172" s="117"/>
      <x:c r="AA172" s="117" t="str">
        <x:v>Pending evidence</x:v>
      </x:c>
      <x:c r="AB172" s="117"/>
      <x:c r="AC172" s="117" t="str">
        <x:v>No qualifying accessibility conclusion established from the screened sources. This is unknown, not evidence that the attraction is inaccessible.</x:v>
      </x:c>
      <x:c r="AD172" s="117" t="str">
        <x:v>2026-09-08</x:v>
      </x:c>
      <x:c r="AE172" s="117" t="str">
        <x:v>MC0169</x:v>
      </x:c>
      <x:c r="AF172" s="117" t="str">
        <x:v>Distinct candidate</x:v>
      </x:c>
      <x:c r="AG172" s="117" t="str"/>
      <x:c r="AH172" s="117" t="str">
        <x:v>Identity and location corroborated</x:v>
      </x:c>
      <x:c r="AI172" s="117" t="str">
        <x:v>https://www.thestar.com.my/news/community/2010/12/29/lubuk-yu-incident-emphasises-need-for-hygiene-and-cleanliness</x:v>
      </x:c>
      <x:c r="AJ172" s="117" t="str">
        <x:v>Independent news source; identity only matches the attraction name or established alias and the stated Malaysian location. This verifies identity/location only; confirm current opening and accessibility separately. The source does not establish current visitor operation.</x:v>
      </x:c>
      <x:c r="AK172" s="117" t="str">
        <x:v>Not independently confirmed</x:v>
      </x:c>
      <x:c r="AL172" s="117" t="str">
        <x:v>Screened sources; accessibility unresolved</x:v>
      </x:c>
      <x:c r="AM172" s="117" t="str">
        <x:v>2026-09-08</x:v>
      </x:c>
      <x:c r="AN172" s="117"/>
      <x:c r="AO172" s="117"/>
      <x:c r="AP172" s="117" t="str">
        <x:v>No usable pair located; image research pending</x:v>
      </x:c>
      <x:c r="AQ172" s="117"/>
    </x:row>
    <x:row r="173" ht="66" customHeight="1">
      <x:c r="A173" s="117" t="str">
        <x:v>MC0170</x:v>
      </x:c>
      <x:c r="B173" s="117" t="str">
        <x:v>Bukit Panchor State Park</x:v>
      </x:c>
      <x:c r="C173" s="117" t="str">
        <x:v>Penang</x:v>
      </x:c>
      <x:c r="D173" s="117" t="str">
        <x:v>Nibong Tebal</x:v>
      </x:c>
      <x:c r="E173" s="117" t="str">
        <x:v>Nature</x:v>
      </x:c>
      <x:c r="F173" s="117" t="str">
        <x:v>Unclassified</x:v>
      </x:c>
      <x:c r="G173" s="117" t="str">
        <x:v>Outdoor</x:v>
      </x:c>
      <x:c r="H173" s="117" t="str">
        <x:v>Lowland dipterocarp forest; peat swamp; hiking; trekking; caves; bat cave; wildlife; birdwatching; river; wetland boardwalk; mangroves; camping; picnicking; nature study</x:v>
      </x:c>
      <x:c r="I173" s="117" t="str">
        <x:v>A state recreation park within Bukit Panchor Permanent Forest Reserve near Nibong Tebal. Its lowland dipterocarp and peat-swamp environment supports forest walks, wildlife and birdwatching, river and wetland exploration, caves, camping and other nature-based recreation.</x:v>
      </x:c>
      <x:c r="J173" s="117" t="str">
        <x:v>https://www.forestry.gov.my/en/semenanjung-malaysia/taman-negeri-bukit-panchor ; https://www.mypenang.gov.my/nature-adventure/recreation/bukit-panchor-state-park/?lg=en ; https://www.penang-insider.com/bukit-panchor-state-park-penang/</x:v>
      </x:c>
      <x:c r="K173" s="117" t="str">
        <x:v>https://ebrochures.malaysia.travel/en/malaysia-travel-guide/penang/</x:v>
      </x:c>
      <x:c r="L173" s="117" t="str">
        <x:v>Previous workbook candidate/source lead</x:v>
      </x:c>
      <x:c r="M173" s="117" t="str">
        <x:v>Previous workbook seed</x:v>
      </x:c>
      <x:c r="N173" s="117" t="str">
        <x:v>A005</x:v>
      </x:c>
      <x:c r="O173" s="117" t="str">
        <x:v>2026-08-15 00:00:00</x:v>
      </x:c>
      <x:c r="P173" s="117" t="str">
        <x:v>Complete</x:v>
      </x:c>
      <x:c r="Q173" s="117"/>
      <x:c r="R173" s="117" t="str">
        <x:f t="shared" si="2">IF(J173="","Missing Link",IF(AND(ISNUMBER(SEARCH("google.com/maps",J173)),ISERROR(SEARCH(";",J173))),"Discovery Link Only","Source Link Present"))</x:f>
        <x:v>Source Link Present</x:v>
      </x:c>
      <x:c r="S173" s="117" t="str">
        <x:v>Unknown</x:v>
      </x:c>
      <x:c r="T173" s="117" t="str">
        <x:v>Unknown</x:v>
      </x:c>
      <x:c r="U173" s="117" t="str">
        <x:v>Unknown</x:v>
      </x:c>
      <x:c r="V173" s="117" t="str">
        <x:v>Unknown</x:v>
      </x:c>
      <x:c r="W173" s="117" t="str">
        <x:v>Unknown</x:v>
      </x:c>
      <x:c r="X173" s="117" t="str">
        <x:v>Unknown</x:v>
      </x:c>
      <x:c r="Y173" s="117" t="str">
        <x:v>Unknown</x:v>
      </x:c>
      <x:c r="Z173" s="117"/>
      <x:c r="AA173" s="117" t="str">
        <x:v>Pending evidence</x:v>
      </x:c>
      <x:c r="AB173" s="117"/>
      <x:c r="AC173" s="117" t="str">
        <x:v>No qualifying accessibility conclusion established from the screened sources. This is unknown, not evidence that the attraction is inaccessible.</x:v>
      </x:c>
      <x:c r="AD173" s="117" t="str">
        <x:v>2026-09-08</x:v>
      </x:c>
      <x:c r="AE173" s="117" t="str">
        <x:v>MC0170</x:v>
      </x:c>
      <x:c r="AF173" s="117" t="str">
        <x:v>Distinct candidate</x:v>
      </x:c>
      <x:c r="AG173" s="117" t="str"/>
      <x:c r="AH173" s="117" t="str">
        <x:v>Name corroborated in source</x:v>
      </x:c>
      <x:c r="AI173" s="117" t="str">
        <x:v>https://www.penang-insider.com/bukit-panchor-state-park-penang/</x:v>
      </x:c>
      <x:c r="AJ173" s="117" t="str">
        <x:v>Place name or established alias matched in the cited source. This is not confirmation of current opening, all visitor facilities or the full description.</x:v>
      </x:c>
      <x:c r="AK173" s="117" t="str">
        <x:v>Not independently confirmed</x:v>
      </x:c>
      <x:c r="AL173" s="117" t="str">
        <x:v>Screened sources; accessibility unresolved</x:v>
      </x:c>
      <x:c r="AM173" s="117" t="str">
        <x:v>2026-09-08</x:v>
      </x:c>
      <x:c r="AN173" s="117"/>
      <x:c r="AO173" s="117"/>
      <x:c r="AP173" s="117" t="str">
        <x:v>No usable pair located; image research pending</x:v>
      </x:c>
      <x:c r="AQ173" s="117"/>
    </x:row>
    <x:row r="174" ht="66" customHeight="1">
      <x:c r="A174" s="117" t="str">
        <x:v>MC0171</x:v>
      </x:c>
      <x:c r="B174" s="117" t="str">
        <x:v>Penang National Park</x:v>
      </x:c>
      <x:c r="C174" s="117" t="str">
        <x:v>Penang</x:v>
      </x:c>
      <x:c r="D174" s="117" t="str">
        <x:v>Teluk Bahang</x:v>
      </x:c>
      <x:c r="E174" s="117" t="str">
        <x:v>Nature</x:v>
      </x:c>
      <x:c r="F174" s="117" t="str">
        <x:v>Unclassified</x:v>
      </x:c>
      <x:c r="G174" s="117" t="str">
        <x:v>Outdoor</x:v>
      </x:c>
      <x:c r="H174" s="117" t="str">
        <x:v>National park; rainforest; beaches; jungle trekking; hiking; wildlife; birdwatching; meromictic lake; turtle conservation; camping; picnicking; fishing; boat trips; lighthouse; mangroves; nature study</x:v>
      </x:c>
      <x:c r="I174" s="117" t="str">
        <x:v>A protected coastal rainforest at the northwestern tip of Penang Island, entered mainly from Teluk Bahang. It combines jungle trails, beaches, wildlife observation and boat trips with attractions such as Kerachut Beach, the meromictic lake, turtle conservation centre and Muka Head Lighthouse.</x:v>
      </x:c>
      <x:c r="J174" s="117" t="str">
        <x:v>https://www.wildlife.gov.my/en/taman-negara-pulau-pinang/ ; https://www.mypenang.gov.my/nature-adventure/parks-gardens/penang-national-park/?lg=en ; https://files.wildlife.gov.my/wildlife-wp-media/2025/09/12060821/PERATURAN_PERATURAN_TNPP.pdf</x:v>
      </x:c>
      <x:c r="K174" s="117" t="str">
        <x:v>https://ebrochures.malaysia.travel/en/malaysia-travel-guide/penang/</x:v>
      </x:c>
      <x:c r="L174" s="117" t="str">
        <x:v>Previous workbook candidate/source lead</x:v>
      </x:c>
      <x:c r="M174" s="117" t="str">
        <x:v>Previous workbook seed</x:v>
      </x:c>
      <x:c r="N174" s="117" t="str">
        <x:v>A006</x:v>
      </x:c>
      <x:c r="O174" s="117" t="str">
        <x:v>2026-08-15 00:00:00</x:v>
      </x:c>
      <x:c r="P174" s="117" t="str">
        <x:v>Complete</x:v>
      </x:c>
      <x:c r="Q174" s="117"/>
      <x:c r="R174" s="117" t="str">
        <x:f t="shared" si="2">IF(J174="","Missing Link",IF(AND(ISNUMBER(SEARCH("google.com/maps",J174)),ISERROR(SEARCH(";",J174))),"Discovery Link Only","Source Link Present"))</x:f>
        <x:v>Source Link Present</x:v>
      </x:c>
      <x:c r="S174" s="117" t="str">
        <x:v>Unknown</x:v>
      </x:c>
      <x:c r="T174" s="117" t="str">
        <x:v>Unknown</x:v>
      </x:c>
      <x:c r="U174" s="117" t="str">
        <x:v>Unknown</x:v>
      </x:c>
      <x:c r="V174" s="117" t="str">
        <x:v>Unknown</x:v>
      </x:c>
      <x:c r="W174" s="117" t="str">
        <x:v>Unknown</x:v>
      </x:c>
      <x:c r="X174" s="117" t="str">
        <x:v>Unknown</x:v>
      </x:c>
      <x:c r="Y174" s="117" t="str">
        <x:v>Unknown</x:v>
      </x:c>
      <x:c r="Z174" s="117"/>
      <x:c r="AA174" s="117" t="str">
        <x:v>Pending evidence</x:v>
      </x:c>
      <x:c r="AB174" s="117"/>
      <x:c r="AC174" s="117" t="str">
        <x:v>No qualifying accessibility conclusion established from the screened sources. This is unknown, not evidence that the attraction is inaccessible.</x:v>
      </x:c>
      <x:c r="AD174" s="117" t="str">
        <x:v>2026-09-08</x:v>
      </x:c>
      <x:c r="AE174" s="117" t="str">
        <x:v>MC0171</x:v>
      </x:c>
      <x:c r="AF174" s="117" t="str">
        <x:v>Distinct candidate</x:v>
      </x:c>
      <x:c r="AG174" s="117" t="str"/>
      <x:c r="AH174" s="117" t="str">
        <x:v>Name corroborated in source</x:v>
      </x:c>
      <x:c r="AI174" s="117" t="str">
        <x:v>https://ebrochures.malaysia.travel/en/malaysia-travel-guide/penang/</x:v>
      </x:c>
      <x:c r="AJ174" s="117" t="str">
        <x:v>Place name or established alias matched in the cited source. This is not confirmation of current opening, all visitor facilities or the full description.</x:v>
      </x:c>
      <x:c r="AK174" s="117" t="str">
        <x:v>Not independently confirmed</x:v>
      </x:c>
      <x:c r="AL174" s="117" t="str">
        <x:v>Screened sources; accessibility unresolved</x:v>
      </x:c>
      <x:c r="AM174" s="117" t="str">
        <x:v>2026-09-08</x:v>
      </x:c>
      <x:c r="AN174" s="117" t="str">
        <x:v>https://thumb.wikimedia.org/wikipedia/commons/thumb/a/ad/Monkeybeach08.jpg/1280px-Monkeybeach08.jpg?utm_source=commons.wikimedia.org&amp;utm_campaign=imageinfo&amp;utm_content=thumbnail</x:v>
      </x:c>
      <x:c r="AO174" s="117"/>
      <x:c r="AP174" s="117" t="str">
        <x:v>1 metadata-matched images; visual review pending</x:v>
      </x:c>
      <x:c r="AQ174" s="117"/>
    </x:row>
    <x:row r="175" ht="66" customHeight="1">
      <x:c r="A175" s="117" t="str">
        <x:v>MC0172</x:v>
      </x:c>
      <x:c r="B175" s="117" t="str">
        <x:v>George Town UNESCO World Heritage Site</x:v>
      </x:c>
      <x:c r="C175" s="117" t="str">
        <x:v>Penang</x:v>
      </x:c>
      <x:c r="D175" s="117" t="str">
        <x:v>George Town</x:v>
      </x:c>
      <x:c r="E175" s="117" t="str">
        <x:v>Heritage and History</x:v>
      </x:c>
      <x:c r="F175" s="117" t="str">
        <x:v>Unclassified</x:v>
      </x:c>
      <x:c r="G175" s="117" t="str">
        <x:v>Outdoor</x:v>
      </x:c>
      <x:c r="H175" s="117" t="str">
        <x:v>heritage; history; architecture; street art; culture; walking</x:v>
      </x:c>
      <x:c r="I175" s="117" t="str">
        <x:v>Penang's historic capital, inscribed as a UNESCO World Heritage Site in 2008 for its unique multicultural architecture and streetscapes.</x:v>
      </x:c>
      <x:c r="J175" s="117" t="str">
        <x:v>https://www.google.com/maps/search/?api=1&amp;query=George%20Town%20UNESCO%20World%20Heritage%20Site%2C%20Penang%2C%20Malaysia
https://mypenang.gov.my/view_itenary.php?id=THVMRHBRb2V2ODlQc3hRTEkvalB4QT09</x:v>
      </x:c>
      <x:c r="K175" s="117" t="str">
        <x:v>https://ebrochures.malaysia.travel/en/malaysia-travel-guide/penang/</x:v>
      </x:c>
      <x:c r="L175" s="117" t="str">
        <x:v>Previous workbook candidate/source lead</x:v>
      </x:c>
      <x:c r="M175" s="117" t="str">
        <x:v>Previous workbook seed</x:v>
      </x:c>
      <x:c r="N175" s="117" t="str">
        <x:v>A081</x:v>
      </x:c>
      <x:c r="O175" s="117" t="str">
        <x:v>2026-08-15 00:00:00</x:v>
      </x:c>
      <x:c r="P175" s="117" t="str">
        <x:v>Complete</x:v>
      </x:c>
      <x:c r="Q175" s="117"/>
      <x:c r="R175" s="117" t="str">
        <x:f t="shared" si="2">IF(J175="","Missing Link",IF(AND(ISNUMBER(SEARCH("google.com/maps",J175)),ISERROR(SEARCH(";",J175))),"Discovery Link Only","Source Link Present"))</x:f>
        <x:v>Discovery Link Only</x:v>
      </x:c>
      <x:c r="S175" s="117" t="str">
        <x:v>Unknown</x:v>
      </x:c>
      <x:c r="T175" s="117" t="str">
        <x:v>Unknown</x:v>
      </x:c>
      <x:c r="U175" s="117" t="str">
        <x:v>Unknown</x:v>
      </x:c>
      <x:c r="V175" s="117" t="str">
        <x:v>Unknown</x:v>
      </x:c>
      <x:c r="W175" s="117" t="str">
        <x:v>Unknown</x:v>
      </x:c>
      <x:c r="X175" s="117" t="str">
        <x:v>Unknown</x:v>
      </x:c>
      <x:c r="Y175" s="117" t="str">
        <x:v>Unknown</x:v>
      </x:c>
      <x:c r="Z175" s="117"/>
      <x:c r="AA175" s="117" t="str">
        <x:v>Pending evidence</x:v>
      </x:c>
      <x:c r="AB175" s="117"/>
      <x:c r="AC175" s="117" t="str">
        <x:v>No qualifying accessibility conclusion established from the screened sources. This is unknown, not evidence that the attraction is inaccessible.</x:v>
      </x:c>
      <x:c r="AD175" s="117" t="str">
        <x:v>2026-09-08</x:v>
      </x:c>
      <x:c r="AE175" s="117" t="str">
        <x:v>MC0172</x:v>
      </x:c>
      <x:c r="AF175" s="117" t="str">
        <x:v>Distinct candidate</x:v>
      </x:c>
      <x:c r="AG175" s="117" t="str"/>
      <x:c r="AH175" s="117" t="str">
        <x:v>Name corroborated in source</x:v>
      </x:c>
      <x:c r="AI175" s="117" t="str">
        <x:v>https://mypenang.gov.my/view_itenary.php?id=THVMRHBRb2V2ODlQc3hRTEkvalB4QT09</x:v>
      </x:c>
      <x:c r="AJ175" s="117" t="str">
        <x:v>Place name or established alias matched in the cited source. This is not confirmation of current opening, all visitor facilities or the full description.</x:v>
      </x:c>
      <x:c r="AK175" s="117" t="str">
        <x:v>Not independently confirmed</x:v>
      </x:c>
      <x:c r="AL175" s="117" t="str">
        <x:v>Screened sources; accessibility unresolved</x:v>
      </x:c>
      <x:c r="AM175" s="117" t="str">
        <x:v>2026-09-08</x:v>
      </x:c>
      <x:c r="AN175" s="117" t="str">
        <x:v>https://thumb.wikimedia.org/wikipedia/commons/thumb/5/5d/Skyline_of_George_Town%2C_Penang_at_night_January_2025_02-01.jpg/1280px-Skyline_of_George_Town%2C_Penang_at_night_January_2025_02-01.jpg?utm_source=commons.wikimedia.org&amp;utm_campaign=imageinfo&amp;utm_content=thumbnail</x:v>
      </x:c>
      <x:c r="AO175" s="117" t="str">
        <x:v>https://thumb.wikimedia.org/wikipedia/commons/thumb/0/03/Kek_Lok_Si_1.jpg/1280px-Kek_Lok_Si_1.jpg?utm_source=commons.wikimedia.org&amp;utm_campaign=imageinfo&amp;utm_content=thumbnail</x:v>
      </x:c>
      <x:c r="AP175" s="117" t="str">
        <x:v>2 metadata-matched images; visual review pending</x:v>
      </x:c>
      <x:c r="AQ175" s="117"/>
    </x:row>
    <x:row r="176" ht="66" customHeight="1">
      <x:c r="A176" s="117" t="str">
        <x:v>MC0173</x:v>
      </x:c>
      <x:c r="B176" s="117" t="str">
        <x:v>Penang Hill</x:v>
      </x:c>
      <x:c r="C176" s="117" t="str">
        <x:v>Penang</x:v>
      </x:c>
      <x:c r="D176" s="117" t="str">
        <x:v>George Town</x:v>
      </x:c>
      <x:c r="E176" s="117" t="str">
        <x:v>Wellness and Relaxation</x:v>
      </x:c>
      <x:c r="F176" s="117" t="str">
        <x:v>Unclassified</x:v>
      </x:c>
      <x:c r="G176" s="117" t="str">
        <x:v>Both</x:v>
      </x:c>
      <x:c r="H176" s="117" t="str">
        <x:v>hill; scenery; cool climate; relaxation; nature; funicular</x:v>
      </x:c>
      <x:c r="I176" s="117" t="str">
        <x:v>A hill resort above George Town reached by funicular railway, offering panoramic views and cooler temperatures.</x:v>
      </x:c>
      <x:c r="J176" s="117" t="str">
        <x:v>https://www.google.com/maps/search/?api=1&amp;query=Penang%20Hill%2C%20Penang%2C%20Malaysia
https://penanghill.gov.my/index.php/en/facilities-services</x:v>
      </x:c>
      <x:c r="K176" s="117" t="str">
        <x:v>https://ebrochures.malaysia.travel/en/malaysia-travel-guide/penang/</x:v>
      </x:c>
      <x:c r="L176" s="117" t="str">
        <x:v>Previous workbook candidate/source lead</x:v>
      </x:c>
      <x:c r="M176" s="117" t="str">
        <x:v>Previous workbook seed</x:v>
      </x:c>
      <x:c r="N176" s="117" t="str">
        <x:v>A082</x:v>
      </x:c>
      <x:c r="O176" s="117" t="str">
        <x:v>2026-08-15 00:00:00</x:v>
      </x:c>
      <x:c r="P176" s="117" t="str">
        <x:v>Complete</x:v>
      </x:c>
      <x:c r="Q176" s="117"/>
      <x:c r="R176" s="117" t="str">
        <x:f t="shared" si="2">IF(J176="","Missing Link",IF(AND(ISNUMBER(SEARCH("google.com/maps",J176)),ISERROR(SEARCH(";",J176))),"Discovery Link Only","Source Link Present"))</x:f>
        <x:v>Discovery Link Only</x:v>
      </x:c>
      <x:c r="S176" s="117" t="str">
        <x:v>Not measured</x:v>
      </x:c>
      <x:c r="T176" s="117" t="str">
        <x:v>Partial - designated access</x:v>
      </x:c>
      <x:c r="U176" s="117" t="str">
        <x:v>Unknown</x:v>
      </x:c>
      <x:c r="V176" s="117" t="str">
        <x:v>Unknown</x:v>
      </x:c>
      <x:c r="W176" s="117" t="str">
        <x:v>Unknown</x:v>
      </x:c>
      <x:c r="X176" s="117" t="str">
        <x:v>Unknown</x:v>
      </x:c>
      <x:c r="Y176" s="117" t="str">
        <x:v>Conditional on mobility and route</x:v>
      </x:c>
      <x:c r="Z176" s="117" t="str">
        <x:v>Ask at the information counter for assistance. The reviewed page does not substantiate the previous 100 kg limit or motorised-wheelchair prohibition; confirm device restrictions directly.</x:v>
      </x:c>
      <x:c r="AA176" s="117" t="str">
        <x:v>Documented support - conditional</x:v>
      </x:c>
      <x:c r="AB176" s="117" t="str">
        <x:v>https://penanghill.gov.my/index.php/en/facilities-services</x:v>
      </x:c>
      <x:c r="AC176" s="117" t="str">
        <x:v>Funicular boarding and designated visitor access</x:v>
      </x:c>
      <x:c r="AD176" s="117" t="str">
        <x:v>2026-09-08</x:v>
      </x:c>
      <x:c r="AE176" s="117" t="str">
        <x:v>MC0173</x:v>
      </x:c>
      <x:c r="AF176" s="117" t="str">
        <x:v>Distinct candidate</x:v>
      </x:c>
      <x:c r="AG176" s="117" t="str"/>
      <x:c r="AH176" s="117" t="str">
        <x:v>Venue-specific source reviewed</x:v>
      </x:c>
      <x:c r="AI176" s="117" t="str">
        <x:v>https://penanghill.gov.my/index.php/en/facilities-services</x:v>
      </x:c>
      <x:c r="AJ176" s="117" t="str">
        <x:v>Place name or established alias matched in the cited source. This is not confirmation of current opening, all visitor facilities or the full description.</x:v>
      </x:c>
      <x:c r="AK176" s="117" t="str">
        <x:v>Not independently confirmed</x:v>
      </x:c>
      <x:c r="AL176" s="117" t="str">
        <x:v>Primary accessibility evidence reviewed</x:v>
      </x:c>
      <x:c r="AM176" s="117" t="str">
        <x:v>2026-09-08</x:v>
      </x:c>
      <x:c r="AN176" s="117" t="str">
        <x:v>https://thumb.wikimedia.org/wikipedia/commons/thumb/2/29/Funicular_approaching_top_of_Penang_Hill.JPG/1280px-Funicular_approaching_top_of_Penang_Hill.JPG?utm_source=commons.wikimedia.org&amp;utm_campaign=imageinfo&amp;utm_content=thumbnail</x:v>
      </x:c>
      <x:c r="AO176" s="117" t="str">
        <x:v>https://thumb.wikimedia.org/wikipedia/commons/thumb/b/b1/The_Railway_from_above_in_the_mist%2C_Bukit_Bendera%2C_Penang.jpg/1280px-The_Railway_from_above_in_the_mist%2C_Bukit_Bendera%2C_Penang.jpg?utm_source=commons.wikimedia.org&amp;utm_campaign=imageinfo&amp;utm_content=thumbnail</x:v>
      </x:c>
      <x:c r="AP176" s="117" t="str">
        <x:v>2 metadata-matched images; visual review pending</x:v>
      </x:c>
      <x:c r="AQ176" s="117"/>
    </x:row>
    <x:row r="177" ht="66" customHeight="1">
      <x:c r="A177" s="117" t="str">
        <x:v>MC0174</x:v>
      </x:c>
      <x:c r="B177" s="117" t="str">
        <x:v>Kek Lok Si Temple</x:v>
      </x:c>
      <x:c r="C177" s="117" t="str">
        <x:v>Penang</x:v>
      </x:c>
      <x:c r="D177" s="117" t="str">
        <x:v>Air Itam</x:v>
      </x:c>
      <x:c r="E177" s="117" t="str">
        <x:v>Religious Site</x:v>
      </x:c>
      <x:c r="F177" s="117" t="str">
        <x:v>Unclassified</x:v>
      </x:c>
      <x:c r="G177" s="117" t="str">
        <x:v>Both</x:v>
      </x:c>
      <x:c r="H177" s="117" t="str">
        <x:v>temple; culture; architecture; heritage; photography</x:v>
      </x:c>
      <x:c r="I177" s="117" t="str">
        <x:v>One of the largest Buddhist temple complexes in Southeast Asia, in Air Itam, known for its multi-tiered pagoda and giant Kuan Yin statue.</x:v>
      </x:c>
      <x:c r="J177" s="117" t="str">
        <x:v>https://www.google.com/maps/search/?api=1&amp;query=Kek%20Lok%20Si%20Temple%2C%20Penang%2C%20Malaysia</x:v>
      </x:c>
      <x:c r="K177" s="117" t="str">
        <x:v>https://ebrochures.malaysia.travel/en/malaysia-travel-guide/penang/</x:v>
      </x:c>
      <x:c r="L177" s="117" t="str">
        <x:v>Previous workbook candidate/source lead</x:v>
      </x:c>
      <x:c r="M177" s="117" t="str">
        <x:v>Previous workbook seed</x:v>
      </x:c>
      <x:c r="N177" s="117" t="str">
        <x:v>A083</x:v>
      </x:c>
      <x:c r="O177" s="117" t="str">
        <x:v>2026-08-15 00:00:00</x:v>
      </x:c>
      <x:c r="P177" s="117" t="str">
        <x:v>Complete</x:v>
      </x:c>
      <x:c r="Q177" s="117"/>
      <x:c r="R177" s="117" t="str">
        <x:f t="shared" si="2">IF(J177="","Missing Link",IF(AND(ISNUMBER(SEARCH("google.com/maps",J177)),ISERROR(SEARCH(";",J177))),"Discovery Link Only","Source Link Present"))</x:f>
        <x:v>Discovery Link Only</x:v>
      </x:c>
      <x:c r="S177" s="117" t="str">
        <x:v>Not measured</x:v>
      </x:c>
      <x:c r="T177" s="117" t="str">
        <x:v>Partial - reported</x:v>
      </x:c>
      <x:c r="U177" s="117" t="str">
        <x:v>Unknown</x:v>
      </x:c>
      <x:c r="V177" s="117" t="str">
        <x:v>Unknown</x:v>
      </x:c>
      <x:c r="W177" s="117" t="str">
        <x:v>Unknown</x:v>
      </x:c>
      <x:c r="X177" s="117" t="str">
        <x:v>Unknown</x:v>
      </x:c>
      <x:c r="Y177" s="117" t="str">
        <x:v>Conditional on mobility and route</x:v>
      </x:c>
      <x:c r="Z177" s="117" t="str">
        <x:v>A firsthand wheelchair-travel guide reports lift-assisted access but also stairs. Confirm the exact accessible entrance, lift operation and transfer requirements; the pagoda remains outside this recommendation.</x:v>
      </x:c>
      <x:c r="AA177" s="117" t="str">
        <x:v>Reported support - confirm</x:v>
      </x:c>
      <x:c r="AB177" s="117" t="str">
        <x:v>https://onpenang.com/wheelchair-access-in-penang/</x:v>
      </x:c>
      <x:c r="AC177" s="117" t="str">
        <x:v>Selected central temple areas; pagoda excluded</x:v>
      </x:c>
      <x:c r="AD177" s="117" t="str">
        <x:v>2026-09-08</x:v>
      </x:c>
      <x:c r="AE177" s="117" t="str">
        <x:v>MC0174</x:v>
      </x:c>
      <x:c r="AF177" s="117" t="str">
        <x:v>Distinct candidate</x:v>
      </x:c>
      <x:c r="AG177" s="117" t="str"/>
      <x:c r="AH177" s="117" t="str">
        <x:v>Venue-specific source reviewed</x:v>
      </x:c>
      <x:c r="AI177" s="117" t="str">
        <x:v>https://onpenang.com/wheelchair-access-in-penang/</x:v>
      </x:c>
      <x:c r="AJ177" s="117" t="str">
        <x:v>Place name or established alias matched in the cited source. This is not confirmation of current opening, all visitor facilities or the full description.</x:v>
      </x:c>
      <x:c r="AK177" s="117" t="str">
        <x:v>Not independently confirmed</x:v>
      </x:c>
      <x:c r="AL177" s="117" t="str">
        <x:v>Secondary accessibility evidence reviewed</x:v>
      </x:c>
      <x:c r="AM177" s="117" t="str">
        <x:v>2026-09-08</x:v>
      </x:c>
      <x:c r="AN177" s="117" t="str">
        <x:v>https://thumb.wikimedia.org/wikipedia/commons/thumb/0/03/Kek_Lok_Si_1.jpg/1280px-Kek_Lok_Si_1.jpg?utm_source=commons.wikimedia.org&amp;utm_campaign=imageinfo&amp;utm_content=thumbnail</x:v>
      </x:c>
      <x:c r="AO177" s="117" t="str">
        <x:v>https://thumb.wikimedia.org/wikipedia/commons/thumb/e/ed/Penang_Malaysia_Kek-Lok-Si-Temple-03.jpg/1280px-Penang_Malaysia_Kek-Lok-Si-Temple-03.jpg?utm_source=commons.wikimedia.org&amp;utm_campaign=imageinfo&amp;utm_content=thumbnail</x:v>
      </x:c>
      <x:c r="AP177" s="117" t="str">
        <x:v>2 metadata-matched images; visual review pending</x:v>
      </x:c>
      <x:c r="AQ177" s="117"/>
    </x:row>
    <x:row r="178" ht="66" customHeight="1">
      <x:c r="A178" s="117" t="str">
        <x:v>MC0175</x:v>
      </x:c>
      <x:c r="B178" s="117" t="str">
        <x:v>Tropical Spice Garden</x:v>
      </x:c>
      <x:c r="C178" s="117" t="str">
        <x:v>Penang</x:v>
      </x:c>
      <x:c r="D178" s="117" t="str">
        <x:v>Teluk Bahang</x:v>
      </x:c>
      <x:c r="E178" s="117" t="str">
        <x:v>Nature</x:v>
      </x:c>
      <x:c r="F178" s="117" t="str">
        <x:v>Unclassified</x:v>
      </x:c>
      <x:c r="G178" s="117" t="str">
        <x:v>Outdoor</x:v>
      </x:c>
      <x:c r="H178" s="117" t="str">
        <x:v>garden; nature; walking; education; relaxation</x:v>
      </x:c>
      <x:c r="I178" s="117" t="str">
        <x:v>A landscaped garden in Teluk Bahang, Penang, showcasing tropical spice and medicinal plants.</x:v>
      </x:c>
      <x:c r="J178" s="117" t="str">
        <x:v>https://www.google.com/maps/search/?api=1&amp;query=Tropical%20Spice%20Garden%2C%20Penang%2C%20Malaysia
https://tropicalspicegarden.com/</x:v>
      </x:c>
      <x:c r="K178" s="117" t="str">
        <x:v>https://ebrochures.malaysia.travel/en/malaysia-travel-guide/penang/</x:v>
      </x:c>
      <x:c r="L178" s="117" t="str">
        <x:v>Previous workbook candidate/source lead</x:v>
      </x:c>
      <x:c r="M178" s="117" t="str">
        <x:v>Previous workbook seed</x:v>
      </x:c>
      <x:c r="N178" s="117" t="str">
        <x:v>A084</x:v>
      </x:c>
      <x:c r="O178" s="117" t="str">
        <x:v>2026-08-15 00:00:00</x:v>
      </x:c>
      <x:c r="P178" s="117" t="str">
        <x:v>Complete</x:v>
      </x:c>
      <x:c r="Q178" s="117"/>
      <x:c r="R178" s="117" t="str">
        <x:f t="shared" si="2">IF(J178="","Missing Link",IF(AND(ISNUMBER(SEARCH("google.com/maps",J178)),ISERROR(SEARCH(";",J178))),"Discovery Link Only","Source Link Present"))</x:f>
        <x:v>Discovery Link Only</x:v>
      </x:c>
      <x:c r="S178" s="117" t="str">
        <x:v>Unknown</x:v>
      </x:c>
      <x:c r="T178" s="117" t="str">
        <x:v>Unknown</x:v>
      </x:c>
      <x:c r="U178" s="117" t="str">
        <x:v>Unknown</x:v>
      </x:c>
      <x:c r="V178" s="117" t="str">
        <x:v>Unknown</x:v>
      </x:c>
      <x:c r="W178" s="117" t="str">
        <x:v>Unknown</x:v>
      </x:c>
      <x:c r="X178" s="117" t="str">
        <x:v>Unknown</x:v>
      </x:c>
      <x:c r="Y178" s="117" t="str">
        <x:v>Unknown</x:v>
      </x:c>
      <x:c r="Z178" s="117"/>
      <x:c r="AA178" s="117" t="str">
        <x:v>Pending evidence</x:v>
      </x:c>
      <x:c r="AB178" s="117"/>
      <x:c r="AC178" s="117" t="str">
        <x:v>No qualifying accessibility conclusion established from the screened sources. This is unknown, not evidence that the attraction is inaccessible.</x:v>
      </x:c>
      <x:c r="AD178" s="117" t="str">
        <x:v>2026-09-08</x:v>
      </x:c>
      <x:c r="AE178" s="117" t="str">
        <x:v>MC0175</x:v>
      </x:c>
      <x:c r="AF178" s="117" t="str">
        <x:v>Distinct candidate</x:v>
      </x:c>
      <x:c r="AG178" s="117" t="str"/>
      <x:c r="AH178" s="117" t="str">
        <x:v>Name corroborated in source</x:v>
      </x:c>
      <x:c r="AI178" s="117" t="str">
        <x:v>https://tropicalspicegarden.com/</x:v>
      </x:c>
      <x:c r="AJ178" s="117" t="str">
        <x:v>Place name or established alias matched in the cited source. This is not confirmation of current opening, all visitor facilities or the full description.</x:v>
      </x:c>
      <x:c r="AK178" s="117" t="str">
        <x:v>Not independently confirmed</x:v>
      </x:c>
      <x:c r="AL178" s="117" t="str">
        <x:v>Screened sources; accessibility unresolved</x:v>
      </x:c>
      <x:c r="AM178" s="117" t="str">
        <x:v>2026-09-08</x:v>
      </x:c>
      <x:c r="AN178" s="117"/>
      <x:c r="AO178" s="117"/>
      <x:c r="AP178" s="117" t="str">
        <x:v>No usable pair located; image research pending</x:v>
      </x:c>
      <x:c r="AQ178" s="117"/>
    </x:row>
    <x:row r="179" ht="66" customHeight="1">
      <x:c r="A179" s="117" t="str">
        <x:v>MC0176</x:v>
      </x:c>
      <x:c r="B179" s="117" t="str">
        <x:v>Entopia by Penang Butterfly Farm</x:v>
      </x:c>
      <x:c r="C179" s="117" t="str">
        <x:v>Penang</x:v>
      </x:c>
      <x:c r="D179" s="117" t="str">
        <x:v>Teluk Bahang</x:v>
      </x:c>
      <x:c r="E179" s="117" t="str">
        <x:v>Wildlife</x:v>
      </x:c>
      <x:c r="F179" s="117" t="str">
        <x:v>Unclassified</x:v>
      </x:c>
      <x:c r="G179" s="117" t="str">
        <x:v>Both</x:v>
      </x:c>
      <x:c r="H179" s="117" t="str">
        <x:v>butterflies; insects; nature; family; children; education</x:v>
      </x:c>
      <x:c r="I179" s="117" t="str">
        <x:v>A walk-in butterfly and insect sanctuary in Teluk Bahang, Penang.</x:v>
      </x:c>
      <x:c r="J179" s="117" t="str">
        <x:v>https://www.google.com/maps/search/?api=1&amp;query=Entopia%20by%20Penang%20Butterfly%20Farm%2C%20Penang%2C%20Malaysia
https://www.entopia.com/faq/</x:v>
      </x:c>
      <x:c r="K179" s="117" t="str">
        <x:v>https://ebrochures.malaysia.travel/en/malaysia-travel-guide/penang/</x:v>
      </x:c>
      <x:c r="L179" s="117" t="str">
        <x:v>Previous workbook candidate/source lead</x:v>
      </x:c>
      <x:c r="M179" s="117" t="str">
        <x:v>Previous workbook seed</x:v>
      </x:c>
      <x:c r="N179" s="117" t="str">
        <x:v>A085</x:v>
      </x:c>
      <x:c r="O179" s="117" t="str">
        <x:v>2026-08-15 00:00:00</x:v>
      </x:c>
      <x:c r="P179" s="117" t="str">
        <x:v>Complete</x:v>
      </x:c>
      <x:c r="Q179" s="117"/>
      <x:c r="R179" s="117" t="str">
        <x:f t="shared" si="2">IF(J179="","Missing Link",IF(AND(ISNUMBER(SEARCH("google.com/maps",J179)),ISERROR(SEARCH(";",J179))),"Discovery Link Only","Source Link Present"))</x:f>
        <x:v>Discovery Link Only</x:v>
      </x:c>
      <x:c r="S179" s="117" t="str">
        <x:v>Not measured</x:v>
      </x:c>
      <x:c r="T179" s="117" t="str">
        <x:v>Yes - documented</x:v>
      </x:c>
      <x:c r="U179" s="117" t="str">
        <x:v>Unknown</x:v>
      </x:c>
      <x:c r="V179" s="117" t="str">
        <x:v>Yes - documented</x:v>
      </x:c>
      <x:c r="W179" s="117" t="str">
        <x:v>Near entrance</x:v>
      </x:c>
      <x:c r="X179" s="117" t="str">
        <x:v>Partial - indoor Cocoon</x:v>
      </x:c>
      <x:c r="Y179" s="117" t="str">
        <x:v>Conditional on mobility and route</x:v>
      </x:c>
      <x:c r="Z179" s="117" t="str">
        <x:v>Use the public lift rather than the travellator. Loan wheelchairs are first-come, first-served. Outdoor sections remain weather-exposed.</x:v>
      </x:c>
      <x:c r="AA179" s="117" t="str">
        <x:v>Documented support - conditional</x:v>
      </x:c>
      <x:c r="AB179" s="117" t="str">
        <x:v>https://www.entopia.com/faq/</x:v>
      </x:c>
      <x:c r="AC179" s="117" t="str">
        <x:v>Natureland and The Cocoon</x:v>
      </x:c>
      <x:c r="AD179" s="117" t="str">
        <x:v>2026-09-08</x:v>
      </x:c>
      <x:c r="AE179" s="117" t="str">
        <x:v>MC0176</x:v>
      </x:c>
      <x:c r="AF179" s="117" t="str">
        <x:v>Distinct candidate</x:v>
      </x:c>
      <x:c r="AG179" s="117" t="str"/>
      <x:c r="AH179" s="117" t="str">
        <x:v>Venue-specific source reviewed</x:v>
      </x:c>
      <x:c r="AI179" s="117" t="str">
        <x:v>https://www.entopia.com/faq/</x:v>
      </x:c>
      <x:c r="AJ179" s="117" t="str">
        <x:v>Place name or established alias matched in the cited source. This is not confirmation of current opening, all visitor facilities or the full description.</x:v>
      </x:c>
      <x:c r="AK179" s="117" t="str">
        <x:v>Not independently confirmed</x:v>
      </x:c>
      <x:c r="AL179" s="117" t="str">
        <x:v>Primary accessibility evidence reviewed</x:v>
      </x:c>
      <x:c r="AM179" s="117" t="str">
        <x:v>2026-09-08</x:v>
      </x:c>
      <x:c r="AN179" s="117"/>
      <x:c r="AO179" s="117"/>
      <x:c r="AP179" s="117" t="str">
        <x:v>No usable pair located; image research pending</x:v>
      </x:c>
      <x:c r="AQ179" s="117"/>
    </x:row>
    <x:row r="180" ht="66" customHeight="1">
      <x:c r="A180" s="117" t="str">
        <x:v>MC0177</x:v>
      </x:c>
      <x:c r="B180" s="117" t="str">
        <x:v>ESCAPE Penang</x:v>
      </x:c>
      <x:c r="C180" s="117" t="str">
        <x:v>Penang</x:v>
      </x:c>
      <x:c r="D180" s="117" t="str">
        <x:v>Teluk Bahang</x:v>
      </x:c>
      <x:c r="E180" s="117" t="str">
        <x:v>Theme Park</x:v>
      </x:c>
      <x:c r="F180" s="117" t="str">
        <x:v>Unclassified</x:v>
      </x:c>
      <x:c r="G180" s="117" t="str">
        <x:v>Outdoor</x:v>
      </x:c>
      <x:c r="H180" s="117" t="str">
        <x:v>theme park; adventure; family; water park; outdoor activities</x:v>
      </x:c>
      <x:c r="I180" s="117" t="str">
        <x:v>An outdoor adventure theme park in Teluk Bahang, Penang, with obstacle courses and a water park.</x:v>
      </x:c>
      <x:c r="J180" s="117" t="str">
        <x:v>https://www.google.com/maps/search/?api=1&amp;query=ESCAPE%20Penang%2C%20Penang%2C%20Malaysia
https://www.escape.my/pg/activities</x:v>
      </x:c>
      <x:c r="K180" s="117" t="str">
        <x:v>https://ebrochures.malaysia.travel/en/malaysia-travel-guide/penang/</x:v>
      </x:c>
      <x:c r="L180" s="117" t="str">
        <x:v>Previous workbook candidate/source lead</x:v>
      </x:c>
      <x:c r="M180" s="117" t="str">
        <x:v>Previous workbook seed</x:v>
      </x:c>
      <x:c r="N180" s="117" t="str">
        <x:v>A086</x:v>
      </x:c>
      <x:c r="O180" s="117" t="str">
        <x:v>2026-08-15 00:00:00</x:v>
      </x:c>
      <x:c r="P180" s="117" t="str">
        <x:v>Complete</x:v>
      </x:c>
      <x:c r="Q180" s="117"/>
      <x:c r="R180" s="117" t="str">
        <x:f t="shared" si="2">IF(J180="","Missing Link",IF(AND(ISNUMBER(SEARCH("google.com/maps",J180)),ISERROR(SEARCH(";",J180))),"Discovery Link Only","Source Link Present"))</x:f>
        <x:v>Discovery Link Only</x:v>
      </x:c>
      <x:c r="S180" s="117" t="str">
        <x:v>Unknown</x:v>
      </x:c>
      <x:c r="T180" s="117" t="str">
        <x:v>Unknown</x:v>
      </x:c>
      <x:c r="U180" s="117" t="str">
        <x:v>Unknown</x:v>
      </x:c>
      <x:c r="V180" s="117" t="str">
        <x:v>Unknown</x:v>
      </x:c>
      <x:c r="W180" s="117" t="str">
        <x:v>Unknown</x:v>
      </x:c>
      <x:c r="X180" s="117" t="str">
        <x:v>Unknown</x:v>
      </x:c>
      <x:c r="Y180" s="117" t="str">
        <x:v>Unknown</x:v>
      </x:c>
      <x:c r="Z180" s="117"/>
      <x:c r="AA180" s="117" t="str">
        <x:v>Pending evidence</x:v>
      </x:c>
      <x:c r="AB180" s="117"/>
      <x:c r="AC180" s="117" t="str">
        <x:v>No qualifying accessibility conclusion established from the screened sources. This is unknown, not evidence that the attraction is inaccessible.</x:v>
      </x:c>
      <x:c r="AD180" s="117" t="str">
        <x:v>2026-09-08</x:v>
      </x:c>
      <x:c r="AE180" s="117" t="str">
        <x:v>MC0177</x:v>
      </x:c>
      <x:c r="AF180" s="117" t="str">
        <x:v>Distinct candidate</x:v>
      </x:c>
      <x:c r="AG180" s="117" t="str"/>
      <x:c r="AH180" s="117" t="str">
        <x:v>Name corroborated in source</x:v>
      </x:c>
      <x:c r="AI180" s="117" t="str">
        <x:v>https://www.escape.my/pg/activities</x:v>
      </x:c>
      <x:c r="AJ180" s="117" t="str">
        <x:v>Place name or established alias matched in the cited source. This is not confirmation of current opening, all visitor facilities or the full description.</x:v>
      </x:c>
      <x:c r="AK180" s="117" t="str">
        <x:v>Not independently confirmed</x:v>
      </x:c>
      <x:c r="AL180" s="117" t="str">
        <x:v>Screened sources; accessibility unresolved</x:v>
      </x:c>
      <x:c r="AM180" s="117" t="str">
        <x:v>2026-09-08</x:v>
      </x:c>
      <x:c r="AN180" s="117"/>
      <x:c r="AO180" s="117"/>
      <x:c r="AP180" s="117" t="str">
        <x:v>No usable pair located; image research pending</x:v>
      </x:c>
      <x:c r="AQ180" s="117"/>
    </x:row>
    <x:row r="181" ht="66" customHeight="1">
      <x:c r="A181" s="117" t="str">
        <x:v>MC0178</x:v>
      </x:c>
      <x:c r="B181" s="117" t="str">
        <x:v>Batu Ferringhi Beach</x:v>
      </x:c>
      <x:c r="C181" s="117" t="str">
        <x:v>Penang</x:v>
      </x:c>
      <x:c r="D181" s="117" t="str">
        <x:v>Batu Ferringhi</x:v>
      </x:c>
      <x:c r="E181" s="117" t="str">
        <x:v>Beach and Island</x:v>
      </x:c>
      <x:c r="F181" s="117" t="str">
        <x:v>Unclassified</x:v>
      </x:c>
      <x:c r="G181" s="117" t="str">
        <x:v>Outdoor</x:v>
      </x:c>
      <x:c r="H181" s="117" t="str">
        <x:v>beach; relaxation; water sports; food; shopping</x:v>
      </x:c>
      <x:c r="I181" s="117" t="str">
        <x:v>Penang's main resort beach strip, known for its hotels, night market and water sports.</x:v>
      </x:c>
      <x:c r="J181" s="117" t="str">
        <x:v>https://www.google.com/maps/search/?api=1&amp;query=Batu%20Ferringhi%20Beach%2C%20Penang%2C%20Malaysia</x:v>
      </x:c>
      <x:c r="K181" s="117" t="str">
        <x:v>https://ebrochures.malaysia.travel/en/malaysia-travel-guide/penang/</x:v>
      </x:c>
      <x:c r="L181" s="117" t="str">
        <x:v>Previous workbook candidate/source lead</x:v>
      </x:c>
      <x:c r="M181" s="117" t="str">
        <x:v>Previous workbook seed</x:v>
      </x:c>
      <x:c r="N181" s="117" t="str">
        <x:v>A087</x:v>
      </x:c>
      <x:c r="O181" s="117" t="str">
        <x:v>2026-08-15 00:00:00</x:v>
      </x:c>
      <x:c r="P181" s="117" t="str">
        <x:v>Complete</x:v>
      </x:c>
      <x:c r="Q181" s="117" t="str">
        <x:v>Identity and Malaysian location verified in second-pass review on 2026-09-08.</x:v>
      </x:c>
      <x:c r="R181" s="117" t="str">
        <x:f t="shared" si="2">IF(J181="","Missing Link",IF(AND(ISNUMBER(SEARCH("google.com/maps",J181)),ISERROR(SEARCH(";",J181))),"Discovery Link Only","Source Link Present"))</x:f>
        <x:v>Discovery Link Only</x:v>
      </x:c>
      <x:c r="S181" s="117" t="str">
        <x:v>Unknown</x:v>
      </x:c>
      <x:c r="T181" s="117" t="str">
        <x:v>Unknown</x:v>
      </x:c>
      <x:c r="U181" s="117" t="str">
        <x:v>Unknown</x:v>
      </x:c>
      <x:c r="V181" s="117" t="str">
        <x:v>Unknown</x:v>
      </x:c>
      <x:c r="W181" s="117" t="str">
        <x:v>Unknown</x:v>
      </x:c>
      <x:c r="X181" s="117" t="str">
        <x:v>Unknown</x:v>
      </x:c>
      <x:c r="Y181" s="117" t="str">
        <x:v>Unknown</x:v>
      </x:c>
      <x:c r="Z181" s="117"/>
      <x:c r="AA181" s="117" t="str">
        <x:v>Pending evidence</x:v>
      </x:c>
      <x:c r="AB181" s="117"/>
      <x:c r="AC181" s="117" t="str">
        <x:v>No qualifying accessibility conclusion established from the screened sources. This is unknown, not evidence that the attraction is inaccessible.</x:v>
      </x:c>
      <x:c r="AD181" s="117" t="str">
        <x:v>2026-09-08</x:v>
      </x:c>
      <x:c r="AE181" s="117" t="str">
        <x:v>MC0178</x:v>
      </x:c>
      <x:c r="AF181" s="117" t="str">
        <x:v>Distinct candidate</x:v>
      </x:c>
      <x:c r="AG181" s="117" t="str"/>
      <x:c r="AH181" s="117" t="str">
        <x:v>Identity and location corroborated</x:v>
      </x:c>
      <x:c r="AI181" s="117" t="str">
        <x:v>https://www.visitpenang.com/attractions/batu-ferringhi-beach</x:v>
      </x:c>
      <x:c r="AJ181" s="117" t="str">
        <x:v>Official destination source matches the attraction name or established alias and the stated Malaysian location. This verifies identity/location only; confirm current opening and accessibility separately.</x:v>
      </x:c>
      <x:c r="AK181" s="117" t="str">
        <x:v>Not independently confirmed</x:v>
      </x:c>
      <x:c r="AL181" s="117" t="str">
        <x:v>Screened sources; accessibility unresolved</x:v>
      </x:c>
      <x:c r="AM181" s="117" t="str">
        <x:v>2026-09-08</x:v>
      </x:c>
      <x:c r="AN181" s="117"/>
      <x:c r="AO181" s="117"/>
      <x:c r="AP181" s="117" t="str">
        <x:v>No usable pair located; image research pending</x:v>
      </x:c>
      <x:c r="AQ181" s="117"/>
    </x:row>
    <x:row r="182" ht="66" customHeight="1">
      <x:c r="A182" s="117" t="str">
        <x:v>MC0179</x:v>
      </x:c>
      <x:c r="B182" s="117" t="str">
        <x:v>Penang Botanic Gardens</x:v>
      </x:c>
      <x:c r="C182" s="117" t="str">
        <x:v>Penang</x:v>
      </x:c>
      <x:c r="D182" s="117" t="str">
        <x:v>George Town</x:v>
      </x:c>
      <x:c r="E182" s="117" t="str">
        <x:v>Park and Recreation</x:v>
      </x:c>
      <x:c r="F182" s="117" t="str">
        <x:v>Unclassified</x:v>
      </x:c>
      <x:c r="G182" s="117" t="str">
        <x:v>Outdoor</x:v>
      </x:c>
      <x:c r="H182" s="117" t="str">
        <x:v>garden; walking; nature; relaxation; wildlife</x:v>
      </x:c>
      <x:c r="I182" s="117" t="str">
        <x:v>A colonial-era botanical garden in George Town, also known as the Waterfall Gardens.</x:v>
      </x:c>
      <x:c r="J182" s="117" t="str">
        <x:v>https://www.google.com/maps/search/?api=1&amp;query=Penang%20Botanic%20Gardens%2C%20Penang%2C%20Malaysia
https://botanicalgardens.penang.gov.my/index.php/en/visitors-info/place-to-visit</x:v>
      </x:c>
      <x:c r="K182" s="117" t="str">
        <x:v>https://ebrochures.malaysia.travel/en/malaysia-travel-guide/penang/</x:v>
      </x:c>
      <x:c r="L182" s="117" t="str">
        <x:v>Previous workbook candidate/source lead</x:v>
      </x:c>
      <x:c r="M182" s="117" t="str">
        <x:v>Previous workbook seed</x:v>
      </x:c>
      <x:c r="N182" s="117" t="str">
        <x:v>A088</x:v>
      </x:c>
      <x:c r="O182" s="117" t="str">
        <x:v>2026-08-15 00:00:00</x:v>
      </x:c>
      <x:c r="P182" s="117" t="str">
        <x:v>Complete</x:v>
      </x:c>
      <x:c r="Q182" s="117"/>
      <x:c r="R182" s="117" t="str">
        <x:f t="shared" si="2">IF(J182="","Missing Link",IF(AND(ISNUMBER(SEARCH("google.com/maps",J182)),ISERROR(SEARCH(";",J182))),"Discovery Link Only","Source Link Present"))</x:f>
        <x:v>Discovery Link Only</x:v>
      </x:c>
      <x:c r="S182" s="117" t="str">
        <x:v>Not measured</x:v>
      </x:c>
      <x:c r="T182" s="117" t="str">
        <x:v>Partial - main visitor areas</x:v>
      </x:c>
      <x:c r="U182" s="117" t="str">
        <x:v>Unknown</x:v>
      </x:c>
      <x:c r="V182" s="117" t="str">
        <x:v>Unknown</x:v>
      </x:c>
      <x:c r="W182" s="117" t="str">
        <x:v>Unknown</x:v>
      </x:c>
      <x:c r="X182" s="117" t="str">
        <x:v>Yes - gazebos</x:v>
      </x:c>
      <x:c r="Y182" s="117" t="str">
        <x:v>Conditional on mobility and route</x:v>
      </x:c>
      <x:c r="Z182" s="117" t="str">
        <x:v>The official garden page lists wheelchair access and gazebos. Route gradients vary; tram boarding accessibility is not documented. Do not infer that forest trails are wheelchair accessible.</x:v>
      </x:c>
      <x:c r="AA182" s="117" t="str">
        <x:v>Documented support - conditional</x:v>
      </x:c>
      <x:c r="AB182" s="117" t="str">
        <x:v>https://botanicalgardens.penang.gov.my/index.php/en/visitors-info/place-to-visit</x:v>
      </x:c>
      <x:c r="AC182" s="117" t="str">
        <x:v>Main garden visitor areas; forest trails unconfirmed</x:v>
      </x:c>
      <x:c r="AD182" s="117" t="str">
        <x:v>2026-09-08</x:v>
      </x:c>
      <x:c r="AE182" s="117" t="str">
        <x:v>MC0179</x:v>
      </x:c>
      <x:c r="AF182" s="117" t="str">
        <x:v>Distinct candidate</x:v>
      </x:c>
      <x:c r="AG182" s="117" t="str"/>
      <x:c r="AH182" s="117" t="str">
        <x:v>Venue-specific source reviewed</x:v>
      </x:c>
      <x:c r="AI182" s="117" t="str">
        <x:v>https://botanicalgardens.penang.gov.my/index.php/en/visitors-info/place-to-visit</x:v>
      </x:c>
      <x:c r="AJ182" s="117" t="str">
        <x:v>Place name or established alias matched in the cited source. This is not confirmation of current opening, all visitor facilities or the full description.</x:v>
      </x:c>
      <x:c r="AK182" s="117" t="str">
        <x:v>Not independently confirmed</x:v>
      </x:c>
      <x:c r="AL182" s="117" t="str">
        <x:v>Primary accessibility evidence reviewed</x:v>
      </x:c>
      <x:c r="AM182" s="117" t="str">
        <x:v>2026-09-08</x:v>
      </x:c>
      <x:c r="AN182" s="117" t="str">
        <x:v>https://thumb.wikimedia.org/wikipedia/commons/thumb/f/f9/Pg_botanic_gardens_trees.JPG/1280px-Pg_botanic_gardens_trees.JPG?utm_source=commons.wikimedia.org&amp;utm_campaign=imageinfo&amp;utm_content=thumbnail</x:v>
      </x:c>
      <x:c r="AO182" s="117" t="str">
        <x:v>https://thumb.wikimedia.org/wikipedia/commons/thumb/5/5d/The_famous_cannonball_tree_at_Penang_Botanic_Gardens.jpg/1280px-The_famous_cannonball_tree_at_Penang_Botanic_Gardens.jpg?utm_source=commons.wikimedia.org&amp;utm_campaign=imageinfo&amp;utm_content=thumbnail</x:v>
      </x:c>
      <x:c r="AP182" s="117" t="str">
        <x:v>2 metadata-matched images; visual review pending</x:v>
      </x:c>
      <x:c r="AQ182" s="117"/>
    </x:row>
    <x:row r="183" ht="66" customHeight="1">
      <x:c r="A183" s="117" t="str">
        <x:v>MC0180</x:v>
      </x:c>
      <x:c r="B183" s="117" t="str">
        <x:v>Pinang Peranakan Mansion</x:v>
      </x:c>
      <x:c r="C183" s="117" t="str">
        <x:v>Penang</x:v>
      </x:c>
      <x:c r="D183" s="117" t="str">
        <x:v>George Town</x:v>
      </x:c>
      <x:c r="E183" s="117" t="str">
        <x:v>Museum and Gallery</x:v>
      </x:c>
      <x:c r="F183" s="117" t="str">
        <x:v>Popular</x:v>
      </x:c>
      <x:c r="G183" s="117" t="str">
        <x:v>Indoor</x:v>
      </x:c>
      <x:c r="H183" s="117" t="str">
        <x:v>Peranakan; mansion; museum</x:v>
      </x:c>
      <x:c r="I183" s="117" t="str">
        <x:v>A restored 19th-century mansion museum in George Town showcasing opulent Straits Chinese (Peranakan) heritage and antiques.</x:v>
      </x:c>
      <x:c r="J183" s="117" t="str">
        <x:v>https://www.google.com/maps/search/?api=1&amp;query=Pinang%20Peranakan%20Mansion%2C%20Penang%2C%20Malaysia
https://www.visitpenang.com/attractions/pinang-peranakan-mansion</x:v>
      </x:c>
      <x:c r="K183" s="117" t="str">
        <x:v>https://ebrochures.malaysia.travel/en/malaysia-travel-guide/penang/</x:v>
      </x:c>
      <x:c r="L183" s="117" t="str">
        <x:v>Tourism Malaysia state guide plus map discovery link</x:v>
      </x:c>
      <x:c r="M183" s="117" t="str">
        <x:v>Penang expansion batch</x:v>
      </x:c>
      <x:c r="N183" s="117"/>
      <x:c r="O183" s="117" t="str">
        <x:v>2026-08-15 00:00:00</x:v>
      </x:c>
      <x:c r="P183" s="117" t="str">
        <x:v>Complete</x:v>
      </x:c>
      <x:c r="Q183" s="117"/>
      <x:c r="R183" s="117" t="str">
        <x:f t="shared" si="2">IF(J183="","Missing Link",IF(AND(ISNUMBER(SEARCH("google.com/maps",J183)),ISERROR(SEARCH(";",J183))),"Discovery Link Only","Source Link Present"))</x:f>
        <x:v>Discovery Link Only</x:v>
      </x:c>
      <x:c r="S183" s="117" t="str">
        <x:v>Not measured</x:v>
      </x:c>
      <x:c r="T183" s="117" t="str">
        <x:v>Restricted - reported</x:v>
      </x:c>
      <x:c r="U183" s="117" t="str">
        <x:v>Unknown</x:v>
      </x:c>
      <x:c r="V183" s="117" t="str">
        <x:v>Unknown</x:v>
      </x:c>
      <x:c r="W183" s="117" t="str">
        <x:v>Unknown</x:v>
      </x:c>
      <x:c r="X183" s="117" t="str">
        <x:v>Unknown</x:v>
      </x:c>
      <x:c r="Y183" s="117" t="str">
        <x:v>Not recommended for stated route</x:v>
      </x:c>
      <x:c r="Z183" s="117" t="str">
        <x:v>The original positive partial-access label is not sufficient for recommending the full museum to a wheelchair user. A travel guide describes substantial barriers beyond the entrance.</x:v>
      </x:c>
      <x:c r="AA183" s="117" t="str">
        <x:v>Restricted route</x:v>
      </x:c>
      <x:c r="AB183" s="117" t="str">
        <x:v>https://www.visitpenang.com/attractions/pinang-peranakan-mansion</x:v>
      </x:c>
      <x:c r="AC183" s="117" t="str">
        <x:v>Access restrictions inside mansion</x:v>
      </x:c>
      <x:c r="AD183" s="117" t="str">
        <x:v>2026-09-08</x:v>
      </x:c>
      <x:c r="AE183" s="117" t="str">
        <x:v>MC0180</x:v>
      </x:c>
      <x:c r="AF183" s="117" t="str">
        <x:v>Distinct candidate</x:v>
      </x:c>
      <x:c r="AG183" s="117" t="str"/>
      <x:c r="AH183" s="117" t="str">
        <x:v>Venue-specific source reviewed</x:v>
      </x:c>
      <x:c r="AI183" s="117" t="str">
        <x:v>https://www.visitpenang.com/attractions/pinang-peranakan-mansion</x:v>
      </x:c>
      <x:c r="AJ183" s="117" t="str">
        <x:v>Place name or established alias matched in the cited source. This is not confirmation of current opening, all visitor facilities or the full description.</x:v>
      </x:c>
      <x:c r="AK183" s="117" t="str">
        <x:v>Not independently confirmed</x:v>
      </x:c>
      <x:c r="AL183" s="117" t="str">
        <x:v>Access restriction documented</x:v>
      </x:c>
      <x:c r="AM183" s="117" t="str">
        <x:v>2026-09-08</x:v>
      </x:c>
      <x:c r="AN183" s="117" t="str">
        <x:v>https://thumb.wikimedia.org/wikipedia/commons/thumb/9/92/Pinang_Peranakan_Mansion%2C_George_Town%2C_Penang.jpg/1280px-Pinang_Peranakan_Mansion%2C_George_Town%2C_Penang.jpg?utm_source=commons.wikimedia.org&amp;utm_campaign=imageinfo&amp;utm_content=thumbnail</x:v>
      </x:c>
      <x:c r="AO183" s="117" t="str">
        <x:v>https://thumb.wikimedia.org/wikipedia/commons/thumb/4/4f/Pinang_Peranakan_Mansion.JPG/1280px-Pinang_Peranakan_Mansion.JPG?utm_source=commons.wikimedia.org&amp;utm_campaign=imageinfo&amp;utm_content=thumbnail</x:v>
      </x:c>
      <x:c r="AP183" s="117" t="str">
        <x:v>2 metadata-matched images; visual review pending</x:v>
      </x:c>
      <x:c r="AQ183" s="117"/>
    </x:row>
    <x:row r="184" ht="66" customHeight="1">
      <x:c r="A184" s="117" t="str">
        <x:v>MC0181</x:v>
      </x:c>
      <x:c r="B184" s="117" t="str">
        <x:v>Khoo Kongsi</x:v>
      </x:c>
      <x:c r="C184" s="117" t="str">
        <x:v>Penang</x:v>
      </x:c>
      <x:c r="D184" s="117" t="str">
        <x:v>George Town</x:v>
      </x:c>
      <x:c r="E184" s="117" t="str">
        <x:v>Heritage and History</x:v>
      </x:c>
      <x:c r="F184" s="117" t="str">
        <x:v>Popular</x:v>
      </x:c>
      <x:c r="G184" s="117" t="str">
        <x:v>Both</x:v>
      </x:c>
      <x:c r="H184" s="117" t="str">
        <x:v>clan house; architecture; culture</x:v>
      </x:c>
      <x:c r="I184" s="117" t="str">
        <x:v>An elaborately decorated clan temple and clanhouse complex in George Town built by the Khoo family.</x:v>
      </x:c>
      <x:c r="J184" s="117" t="str">
        <x:v>https://www.google.com/maps/search/?api=1&amp;query=Khoo%20Kongsi%2C%20Penang%2C%20Malaysia</x:v>
      </x:c>
      <x:c r="K184" s="117" t="str">
        <x:v>https://ebrochures.malaysia.travel/en/malaysia-travel-guide/penang/</x:v>
      </x:c>
      <x:c r="L184" s="117" t="str">
        <x:v>Tourism Malaysia state guide plus map discovery link</x:v>
      </x:c>
      <x:c r="M184" s="117" t="str">
        <x:v>Penang expansion batch</x:v>
      </x:c>
      <x:c r="N184" s="117"/>
      <x:c r="O184" s="117" t="str">
        <x:v>2026-08-15 00:00:00</x:v>
      </x:c>
      <x:c r="P184" s="117" t="str">
        <x:v>Complete</x:v>
      </x:c>
      <x:c r="Q184" s="117" t="str">
        <x:v>Identity and Malaysian location verified in second-pass review on 2026-09-08.</x:v>
      </x:c>
      <x:c r="R184" s="117" t="str">
        <x:f t="shared" si="2">IF(J184="","Missing Link",IF(AND(ISNUMBER(SEARCH("google.com/maps",J184)),ISERROR(SEARCH(";",J184))),"Discovery Link Only","Source Link Present"))</x:f>
        <x:v>Discovery Link Only</x:v>
      </x:c>
      <x:c r="S184" s="117" t="str">
        <x:v>Unknown</x:v>
      </x:c>
      <x:c r="T184" s="117" t="str">
        <x:v>Unknown</x:v>
      </x:c>
      <x:c r="U184" s="117" t="str">
        <x:v>Unknown</x:v>
      </x:c>
      <x:c r="V184" s="117" t="str">
        <x:v>Unknown</x:v>
      </x:c>
      <x:c r="W184" s="117" t="str">
        <x:v>Unknown</x:v>
      </x:c>
      <x:c r="X184" s="117" t="str">
        <x:v>Unknown</x:v>
      </x:c>
      <x:c r="Y184" s="117" t="str">
        <x:v>Unknown</x:v>
      </x:c>
      <x:c r="Z184" s="117"/>
      <x:c r="AA184" s="117" t="str">
        <x:v>Pending evidence</x:v>
      </x:c>
      <x:c r="AB184" s="117"/>
      <x:c r="AC184" s="117" t="str">
        <x:v>No qualifying accessibility conclusion established from the screened sources. This is unknown, not evidence that the attraction is inaccessible.</x:v>
      </x:c>
      <x:c r="AD184" s="117" t="str">
        <x:v>2026-09-08</x:v>
      </x:c>
      <x:c r="AE184" s="117" t="str">
        <x:v>MC0181</x:v>
      </x:c>
      <x:c r="AF184" s="117" t="str">
        <x:v>Distinct candidate</x:v>
      </x:c>
      <x:c r="AG184" s="117" t="str"/>
      <x:c r="AH184" s="117" t="str">
        <x:v>Identity and location corroborated</x:v>
      </x:c>
      <x:c r="AI184" s="117" t="str">
        <x:v>https://en.wikipedia.org/wiki/Khoo_Kongsi</x:v>
      </x:c>
      <x:c r="AJ184" s="117" t="str">
        <x:v>Encyclopedic source matches the attraction name or established alias and the stated Malaysian location. This verifies identity/location only; confirm current opening and accessibility separately.</x:v>
      </x:c>
      <x:c r="AK184" s="117" t="str">
        <x:v>Not independently confirmed</x:v>
      </x:c>
      <x:c r="AL184" s="117" t="str">
        <x:v>Screened sources; accessibility unresolved</x:v>
      </x:c>
      <x:c r="AM184" s="117" t="str">
        <x:v>2026-09-08</x:v>
      </x:c>
      <x:c r="AN184" s="117" t="str">
        <x:v>https://thumb.wikimedia.org/wikipedia/commons/thumb/7/78/Khoo_Kongsi_Penang_Dec_2006_020.jpg/1280px-Khoo_Kongsi_Penang_Dec_2006_020.jpg?utm_source=commons.wikimedia.org&amp;utm_campaign=imageinfo&amp;utm_content=thumbnail</x:v>
      </x:c>
      <x:c r="AO184" s="117" t="str">
        <x:v>https://thumb.wikimedia.org/wikipedia/commons/thumb/d/d9/Khoo_Kongsi_illuminated_for_Chinese_New_Year_2024.jpg/1280px-Khoo_Kongsi_illuminated_for_Chinese_New_Year_2024.jpg?utm_source=commons.wikimedia.org&amp;utm_campaign=imageinfo&amp;utm_content=thumbnail</x:v>
      </x:c>
      <x:c r="AP184" s="117" t="str">
        <x:v>2 metadata-matched images; visual review pending</x:v>
      </x:c>
      <x:c r="AQ184" s="117"/>
    </x:row>
    <x:row r="185" ht="66" customHeight="1">
      <x:c r="A185" s="117" t="str">
        <x:v>MC0182</x:v>
      </x:c>
      <x:c r="B185" s="117" t="str">
        <x:v>Cheong Fatt Tze Mansion</x:v>
      </x:c>
      <x:c r="C185" s="117" t="str">
        <x:v>Penang</x:v>
      </x:c>
      <x:c r="D185" s="117" t="str">
        <x:v>George Town</x:v>
      </x:c>
      <x:c r="E185" s="117" t="str">
        <x:v>Heritage and History</x:v>
      </x:c>
      <x:c r="F185" s="117" t="str">
        <x:v>Popular</x:v>
      </x:c>
      <x:c r="G185" s="117" t="str">
        <x:v>Both</x:v>
      </x:c>
      <x:c r="H185" s="117" t="str">
        <x:v>mansion; architecture; history</x:v>
      </x:c>
      <x:c r="I185" s="117" t="str">
        <x:v>An indigo-blue heritage mansion in George Town, known as the Blue Mansion, built by a 19th-century Chinese business magnate.</x:v>
      </x:c>
      <x:c r="J185" s="117" t="str">
        <x:v>https://www.google.com/maps/search/?api=1&amp;query=Cheong%20Fatt%20Tze%20Mansion%2C%20Penang%2C%20Malaysia</x:v>
      </x:c>
      <x:c r="K185" s="117" t="str">
        <x:v>https://ebrochures.malaysia.travel/en/malaysia-travel-guide/penang/</x:v>
      </x:c>
      <x:c r="L185" s="117" t="str">
        <x:v>Tourism Malaysia state guide plus map discovery link</x:v>
      </x:c>
      <x:c r="M185" s="117" t="str">
        <x:v>Penang expansion batch</x:v>
      </x:c>
      <x:c r="N185" s="117"/>
      <x:c r="O185" s="117" t="str">
        <x:v>2026-08-15 00:00:00</x:v>
      </x:c>
      <x:c r="P185" s="117" t="str">
        <x:v>Complete</x:v>
      </x:c>
      <x:c r="Q185" s="117" t="str">
        <x:v>Identity and Malaysian location verified in second-pass review on 2026-09-08.</x:v>
      </x:c>
      <x:c r="R185" s="117" t="str">
        <x:f t="shared" si="2">IF(J185="","Missing Link",IF(AND(ISNUMBER(SEARCH("google.com/maps",J185)),ISERROR(SEARCH(";",J185))),"Discovery Link Only","Source Link Present"))</x:f>
        <x:v>Discovery Link Only</x:v>
      </x:c>
      <x:c r="S185" s="117" t="str">
        <x:v>Unknown</x:v>
      </x:c>
      <x:c r="T185" s="117" t="str">
        <x:v>Unknown</x:v>
      </x:c>
      <x:c r="U185" s="117" t="str">
        <x:v>Unknown</x:v>
      </x:c>
      <x:c r="V185" s="117" t="str">
        <x:v>Unknown</x:v>
      </x:c>
      <x:c r="W185" s="117" t="str">
        <x:v>Unknown</x:v>
      </x:c>
      <x:c r="X185" s="117" t="str">
        <x:v>Unknown</x:v>
      </x:c>
      <x:c r="Y185" s="117" t="str">
        <x:v>Not recommended for stated route</x:v>
      </x:c>
      <x:c r="Z185" s="117" t="str">
        <x:v>Uneven/cobblestone and gravel surfaces; wheelchair access reported as limited or unavailable</x:v>
      </x:c>
      <x:c r="AA185" s="117" t="str">
        <x:v>Documented restriction</x:v>
      </x:c>
      <x:c r="AB185" s="117" t="str">
        <x:v>https://www.openstreetmap.org/way/247175848
https://www.accesstravel.com/index/ViatorAttraction/Index/339/1664</x:v>
      </x:c>
      <x:c r="AC185" s="117" t="str">
        <x:v>Historic mansion visitor route; assistance may be required</x:v>
      </x:c>
      <x:c r="AD185" s="117" t="str">
        <x:v>2026-09-08</x:v>
      </x:c>
      <x:c r="AE185" s="117" t="str">
        <x:v>MC0182</x:v>
      </x:c>
      <x:c r="AF185" s="117" t="str">
        <x:v>Distinct candidate</x:v>
      </x:c>
      <x:c r="AG185" s="117" t="str"/>
      <x:c r="AH185" s="117" t="str">
        <x:v>Identity and location corroborated</x:v>
      </x:c>
      <x:c r="AI185" s="117" t="str">
        <x:v>https://en.wikipedia.org/wiki/Cheong_Fatt_Tze_Mansion</x:v>
      </x:c>
      <x:c r="AJ185" s="117" t="str">
        <x:v>Encyclopedic source matches the attraction name or established alias and the stated Malaysian location. This verifies identity/location only; confirm current opening and accessibility separately.</x:v>
      </x:c>
      <x:c r="AK185" s="117" t="str">
        <x:v>Not independently confirmed</x:v>
      </x:c>
      <x:c r="AL185" s="117" t="str">
        <x:v>Secondary restriction evidence reviewed</x:v>
      </x:c>
      <x:c r="AM185" s="117" t="str">
        <x:v>2026-09-08</x:v>
      </x:c>
      <x:c r="AN185" s="117" t="str">
        <x:v>https://upload.wikimedia.org/wikipedia/commons/7/74/Exterior_view_of_the_mansion.jpg?utm_source=commons.wikimedia.org&amp;utm_campaign=imageinfo&amp;utm_content=thumbnail_unscaled</x:v>
      </x:c>
      <x:c r="AO185" s="117" t="str">
        <x:v>https://thumb.wikimedia.org/wikipedia/commons/thumb/a/aa/Penang_Malaysia-_Cheong-Fatt-Tze-Mansion-06.jpg/1280px-Penang_Malaysia-_Cheong-Fatt-Tze-Mansion-06.jpg?utm_source=commons.wikimedia.org&amp;utm_campaign=imageinfo&amp;utm_content=thumbnail</x:v>
      </x:c>
      <x:c r="AP185" s="117" t="str">
        <x:v>2 metadata-matched images; visual review pending</x:v>
      </x:c>
      <x:c r="AQ185" s="117"/>
    </x:row>
    <x:row r="186" ht="66" customHeight="1">
      <x:c r="A186" s="117" t="str">
        <x:v>MC0183</x:v>
      </x:c>
      <x:c r="B186" s="117" t="str">
        <x:v>Fort Cornwallis</x:v>
      </x:c>
      <x:c r="C186" s="117" t="str">
        <x:v>Penang</x:v>
      </x:c>
      <x:c r="D186" s="117" t="str">
        <x:v>George Town</x:v>
      </x:c>
      <x:c r="E186" s="117" t="str">
        <x:v>Heritage and History</x:v>
      </x:c>
      <x:c r="F186" s="117" t="str">
        <x:v>Popular</x:v>
      </x:c>
      <x:c r="G186" s="117" t="str">
        <x:v>Both</x:v>
      </x:c>
      <x:c r="H186" s="117" t="str">
        <x:v>fort; colonial history; landmark</x:v>
      </x:c>
      <x:c r="I186" s="117" t="str">
        <x:v>A star-shaped fort in George Town built by the British East India Company, marking the founding site of the city.</x:v>
      </x:c>
      <x:c r="J186" s="117" t="str">
        <x:v>https://www.google.com/maps/search/?api=1&amp;query=Fort%20Cornwallis%2C%20Penang%2C%20Malaysia</x:v>
      </x:c>
      <x:c r="K186" s="117" t="str">
        <x:v>https://ebrochures.malaysia.travel/en/malaysia-travel-guide/penang/</x:v>
      </x:c>
      <x:c r="L186" s="117" t="str">
        <x:v>Tourism Malaysia state guide plus map discovery link</x:v>
      </x:c>
      <x:c r="M186" s="117" t="str">
        <x:v>Penang expansion batch</x:v>
      </x:c>
      <x:c r="N186" s="117"/>
      <x:c r="O186" s="117" t="str">
        <x:v>2026-08-15 00:00:00</x:v>
      </x:c>
      <x:c r="P186" s="117" t="str">
        <x:v>Complete</x:v>
      </x:c>
      <x:c r="Q186" s="117" t="str">
        <x:v>Identity and Malaysian location verified in second-pass review on 2026-09-08.</x:v>
      </x:c>
      <x:c r="R186" s="117" t="str">
        <x:f t="shared" si="2">IF(J186="","Missing Link",IF(AND(ISNUMBER(SEARCH("google.com/maps",J186)),ISERROR(SEARCH(";",J186))),"Discovery Link Only","Source Link Present"))</x:f>
        <x:v>Discovery Link Only</x:v>
      </x:c>
      <x:c r="S186" s="117" t="str">
        <x:v>Unknown</x:v>
      </x:c>
      <x:c r="T186" s="117" t="str">
        <x:v>Unknown</x:v>
      </x:c>
      <x:c r="U186" s="117" t="str">
        <x:v>Unknown</x:v>
      </x:c>
      <x:c r="V186" s="117" t="str">
        <x:v>Unknown</x:v>
      </x:c>
      <x:c r="W186" s="117" t="str">
        <x:v>Unknown</x:v>
      </x:c>
      <x:c r="X186" s="117" t="str">
        <x:v>Unknown</x:v>
      </x:c>
      <x:c r="Y186" s="117" t="str">
        <x:v>Not recommended for stated route</x:v>
      </x:c>
      <x:c r="Z186" s="117" t="str">
        <x:v>Only the central part of the fort is reported accessible; roadside approach may be blocked and sandy</x:v>
      </x:c>
      <x:c r="AA186" s="117" t="str">
        <x:v>Documented restriction</x:v>
      </x:c>
      <x:c r="AB186" s="117" t="str">
        <x:v>https://www.openstreetmap.org/relation/5827552</x:v>
      </x:c>
      <x:c r="AC186" s="117" t="str">
        <x:v>Fort centre and entrance approach</x:v>
      </x:c>
      <x:c r="AD186" s="117" t="str">
        <x:v>2026-09-08</x:v>
      </x:c>
      <x:c r="AE186" s="117" t="str">
        <x:v>MC0183</x:v>
      </x:c>
      <x:c r="AF186" s="117" t="str">
        <x:v>Distinct candidate</x:v>
      </x:c>
      <x:c r="AG186" s="117" t="str"/>
      <x:c r="AH186" s="117" t="str">
        <x:v>Identity and location corroborated</x:v>
      </x:c>
      <x:c r="AI186" s="117" t="str">
        <x:v>https://en.wikipedia.org/wiki/Fort_Cornwallis</x:v>
      </x:c>
      <x:c r="AJ186" s="117" t="str">
        <x:v>Encyclopedic source matches the attraction name or established alias and the stated Malaysian location. This verifies identity/location only; confirm current opening and accessibility separately.</x:v>
      </x:c>
      <x:c r="AK186" s="117" t="str">
        <x:v>Not independently confirmed</x:v>
      </x:c>
      <x:c r="AL186" s="117" t="str">
        <x:v>Secondary restriction evidence reviewed</x:v>
      </x:c>
      <x:c r="AM186" s="117" t="str">
        <x:v>2026-09-08</x:v>
      </x:c>
      <x:c r="AN186" s="117" t="str">
        <x:v>https://thumb.wikimedia.org/wikipedia/commons/thumb/0/0c/Fort_Cornwallis_Penang_Dec_2006_005.jpg/1280px-Fort_Cornwallis_Penang_Dec_2006_005.jpg?utm_source=commons.wikimedia.org&amp;utm_campaign=imageinfo&amp;utm_content=thumbnail</x:v>
      </x:c>
      <x:c r="AO186" s="117" t="str">
        <x:v>https://thumb.wikimedia.org/wikipedia/commons/thumb/b/bc/Fort_Cornwallis_moat_2025_02.jpg/1280px-Fort_Cornwallis_moat_2025_02.jpg?utm_source=commons.wikimedia.org&amp;utm_campaign=imageinfo&amp;utm_content=thumbnail</x:v>
      </x:c>
      <x:c r="AP186" s="117" t="str">
        <x:v>2 metadata-matched images; visual review pending</x:v>
      </x:c>
      <x:c r="AQ186" s="117"/>
    </x:row>
    <x:row r="187" ht="66" customHeight="1">
      <x:c r="A187" s="117" t="str">
        <x:v>MC0184</x:v>
      </x:c>
      <x:c r="B187" s="117" t="str">
        <x:v>Penang State Museum and Art Gallery</x:v>
      </x:c>
      <x:c r="C187" s="117" t="str">
        <x:v>Penang</x:v>
      </x:c>
      <x:c r="D187" s="117" t="str">
        <x:v>George Town</x:v>
      </x:c>
      <x:c r="E187" s="117" t="str">
        <x:v>Museum and Gallery</x:v>
      </x:c>
      <x:c r="F187" s="117" t="str">
        <x:v>Local</x:v>
      </x:c>
      <x:c r="G187" s="117" t="str">
        <x:v>Indoor</x:v>
      </x:c>
      <x:c r="H187" s="117" t="str">
        <x:v>state history; art; museum</x:v>
      </x:c>
      <x:c r="I187" s="117" t="str">
        <x:v>A museum in George Town documenting Penang's multicultural history and communities.</x:v>
      </x:c>
      <x:c r="J187" s="117" t="str">
        <x:v>https://www.google.com/maps/search/?api=1&amp;query=Penang%20State%20Museum%20and%20Art%20Gallery%2C%20Penang%2C%20Malaysia</x:v>
      </x:c>
      <x:c r="K187" s="117" t="str">
        <x:v>https://ebrochures.malaysia.travel/en/malaysia-travel-guide/penang/</x:v>
      </x:c>
      <x:c r="L187" s="117" t="str">
        <x:v>Tourism Malaysia state guide plus map discovery link</x:v>
      </x:c>
      <x:c r="M187" s="117" t="str">
        <x:v>Penang expansion batch</x:v>
      </x:c>
      <x:c r="N187" s="117"/>
      <x:c r="O187" s="117" t="str">
        <x:v>2026-08-15 00:00:00</x:v>
      </x:c>
      <x:c r="P187" s="117" t="str">
        <x:v>Complete</x:v>
      </x:c>
      <x:c r="Q187" s="117"/>
      <x:c r="R187" s="117" t="str">
        <x:f t="shared" si="2">IF(J187="","Missing Link",IF(AND(ISNUMBER(SEARCH("google.com/maps",J187)),ISERROR(SEARCH(";",J187))),"Discovery Link Only","Source Link Present"))</x:f>
        <x:v>Discovery Link Only</x:v>
      </x:c>
      <x:c r="S187" s="117" t="str">
        <x:v>Unknown</x:v>
      </x:c>
      <x:c r="T187" s="117" t="str">
        <x:v>Unknown</x:v>
      </x:c>
      <x:c r="U187" s="117" t="str">
        <x:v>Unknown</x:v>
      </x:c>
      <x:c r="V187" s="117" t="str">
        <x:v>Unknown</x:v>
      </x:c>
      <x:c r="W187" s="117" t="str">
        <x:v>Unknown</x:v>
      </x:c>
      <x:c r="X187" s="117" t="str">
        <x:v>Unknown</x:v>
      </x:c>
      <x:c r="Y187" s="117" t="str">
        <x:v>Unknown</x:v>
      </x:c>
      <x:c r="Z187" s="117"/>
      <x:c r="AA187" s="117" t="str">
        <x:v>Pending evidence</x:v>
      </x:c>
      <x:c r="AB187" s="117"/>
      <x:c r="AC187" s="117" t="str">
        <x:v>No qualifying accessibility conclusion established from the screened sources. This is unknown, not evidence that the attraction is inaccessible.</x:v>
      </x:c>
      <x:c r="AD187" s="117" t="str">
        <x:v>2026-09-08</x:v>
      </x:c>
      <x:c r="AE187" s="117" t="str">
        <x:v>MC0184</x:v>
      </x:c>
      <x:c r="AF187" s="117" t="str">
        <x:v>Distinct candidate</x:v>
      </x:c>
      <x:c r="AG187" s="117" t="str"/>
      <x:c r="AH187" s="117" t="str">
        <x:v>Name corroborated in source</x:v>
      </x:c>
      <x:c r="AI187" s="117" t="str">
        <x:v>https://ebrochures.malaysia.travel/en/malaysia-travel-guide/penang/</x:v>
      </x:c>
      <x:c r="AJ187" s="117" t="str">
        <x:v>Place name or established alias matched in the cited source. This is not confirmation of current opening, all visitor facilities or the full description.</x:v>
      </x:c>
      <x:c r="AK187" s="117" t="str">
        <x:v>Not independently confirmed</x:v>
      </x:c>
      <x:c r="AL187" s="117" t="str">
        <x:v>Screened sources; accessibility unresolved</x:v>
      </x:c>
      <x:c r="AM187" s="117" t="str">
        <x:v>2026-09-08</x:v>
      </x:c>
      <x:c r="AN187" s="117" t="str">
        <x:v>https://upload.wikimedia.org/wikipedia/commons/0/0f/Penang_State_Museum%2C_Georgetown%2C_Penang%2C_Malaysia.JPG?utm_source=commons.wikimedia.org&amp;utm_campaign=imageinfo&amp;utm_content=thumbnail_unscaled</x:v>
      </x:c>
      <x:c r="AO187" s="117" t="str">
        <x:v>https://thumb.wikimedia.org/wikipedia/commons/thumb/f/fc/Penang_State_Museum_%2829.07.2026%29_02.jpg/1280px-Penang_State_Museum_%2829.07.2026%29_02.jpg?utm_source=commons.wikimedia.org&amp;utm_campaign=imageinfo&amp;utm_content=thumbnail</x:v>
      </x:c>
      <x:c r="AP187" s="117" t="str">
        <x:v>2 metadata-matched images; visual review pending</x:v>
      </x:c>
      <x:c r="AQ187" s="117"/>
    </x:row>
    <x:row r="188" ht="66" customHeight="1">
      <x:c r="A188" s="117" t="str">
        <x:v>MC0185</x:v>
      </x:c>
      <x:c r="B188" s="117" t="str">
        <x:v>Clan Jetties</x:v>
      </x:c>
      <x:c r="C188" s="117" t="str">
        <x:v>Penang</x:v>
      </x:c>
      <x:c r="D188" s="117" t="str">
        <x:v>George Town</x:v>
      </x:c>
      <x:c r="E188" s="117" t="str">
        <x:v>Culture</x:v>
      </x:c>
      <x:c r="F188" s="117" t="str">
        <x:v>Popular</x:v>
      </x:c>
      <x:c r="G188" s="117" t="str">
        <x:v>Both</x:v>
      </x:c>
      <x:c r="H188" s="117" t="str">
        <x:v>water village; heritage; community</x:v>
      </x:c>
      <x:c r="I188" s="117" t="str">
        <x:v>Waterfront settlements built on stilts by Chinese clan communities in George Town, the best known being Chew Jetty.</x:v>
      </x:c>
      <x:c r="J188" s="117" t="str">
        <x:v>https://www.google.com/maps/search/?api=1&amp;query=Clan%20Jetties%2C%20Penang%2C%20Malaysia</x:v>
      </x:c>
      <x:c r="K188" s="117" t="str">
        <x:v>https://ebrochures.malaysia.travel/en/malaysia-travel-guide/penang/</x:v>
      </x:c>
      <x:c r="L188" s="117" t="str">
        <x:v>Tourism Malaysia state guide plus map discovery link</x:v>
      </x:c>
      <x:c r="M188" s="117" t="str">
        <x:v>Penang expansion batch</x:v>
      </x:c>
      <x:c r="N188" s="117"/>
      <x:c r="O188" s="117" t="str">
        <x:v>2026-08-15 00:00:00</x:v>
      </x:c>
      <x:c r="P188" s="117" t="str">
        <x:v>Complete</x:v>
      </x:c>
      <x:c r="Q188" s="117"/>
      <x:c r="R188" s="117" t="str">
        <x:f t="shared" si="2">IF(J188="","Missing Link",IF(AND(ISNUMBER(SEARCH("google.com/maps",J188)),ISERROR(SEARCH(";",J188))),"Discovery Link Only","Source Link Present"))</x:f>
        <x:v>Discovery Link Only</x:v>
      </x:c>
      <x:c r="S188" s="117" t="str">
        <x:v>Not measured</x:v>
      </x:c>
      <x:c r="T188" s="117" t="str">
        <x:v>Partial - reported</x:v>
      </x:c>
      <x:c r="U188" s="117" t="str">
        <x:v>Unknown</x:v>
      </x:c>
      <x:c r="V188" s="117" t="str">
        <x:v>Unknown</x:v>
      </x:c>
      <x:c r="W188" s="117" t="str">
        <x:v>Unknown</x:v>
      </x:c>
      <x:c r="X188" s="117" t="str">
        <x:v>Unknown</x:v>
      </x:c>
      <x:c r="Y188" s="117" t="str">
        <x:v>Conditional on mobility and route</x:v>
      </x:c>
      <x:c r="Z188" s="117" t="str">
        <x:v>The firsthand guide supports a possible assisted visit. Do not describe all clan jetties as smooth or level; confirm the chosen jetty and route.</x:v>
      </x:c>
      <x:c r="AA188" s="117" t="str">
        <x:v>Reported support - confirm</x:v>
      </x:c>
      <x:c r="AB188" s="117" t="str">
        <x:v>https://onpenang.com/wheelchair-access-in-penang/</x:v>
      </x:c>
      <x:c r="AC188" s="117" t="str">
        <x:v>Selected jetty boardwalks only</x:v>
      </x:c>
      <x:c r="AD188" s="117" t="str">
        <x:v>2026-09-08</x:v>
      </x:c>
      <x:c r="AE188" s="117" t="str">
        <x:v>MC0185</x:v>
      </x:c>
      <x:c r="AF188" s="117" t="str">
        <x:v>Distinct candidate</x:v>
      </x:c>
      <x:c r="AG188" s="117" t="str"/>
      <x:c r="AH188" s="117" t="str">
        <x:v>Venue-specific source reviewed</x:v>
      </x:c>
      <x:c r="AI188" s="117" t="str">
        <x:v>https://onpenang.com/wheelchair-access-in-penang/</x:v>
      </x:c>
      <x:c r="AJ188" s="117" t="str">
        <x:v>Place name or established alias matched in the cited source. This is not confirmation of current opening, all visitor facilities or the full description.</x:v>
      </x:c>
      <x:c r="AK188" s="117" t="str">
        <x:v>Not independently confirmed</x:v>
      </x:c>
      <x:c r="AL188" s="117" t="str">
        <x:v>Secondary accessibility evidence reviewed</x:v>
      </x:c>
      <x:c r="AM188" s="117" t="str">
        <x:v>2026-09-08</x:v>
      </x:c>
      <x:c r="AN188" s="117" t="str">
        <x:v>https://thumb.wikimedia.org/wikipedia/commons/thumb/e/e0/Lim_Jetty_in_George_Town%2C_Penang.jpg/1280px-Lim_Jetty_in_George_Town%2C_Penang.jpg?utm_source=commons.wikimedia.org&amp;utm_campaign=imageinfo&amp;utm_content=thumbnail</x:v>
      </x:c>
      <x:c r="AO188" s="117"/>
      <x:c r="AP188" s="117" t="str">
        <x:v>1 metadata-matched images; visual review pending</x:v>
      </x:c>
      <x:c r="AQ188" s="117"/>
    </x:row>
    <x:row r="189" ht="66" customHeight="1">
      <x:c r="A189" s="117" t="str">
        <x:v>MC0186</x:v>
      </x:c>
      <x:c r="B189" s="117" t="str">
        <x:v>Hin Bus Depot</x:v>
      </x:c>
      <x:c r="C189" s="117" t="str">
        <x:v>Penang</x:v>
      </x:c>
      <x:c r="D189" s="117" t="str">
        <x:v>George Town</x:v>
      </x:c>
      <x:c r="E189" s="117" t="str">
        <x:v>Culture</x:v>
      </x:c>
      <x:c r="F189" s="117" t="str">
        <x:v>Local</x:v>
      </x:c>
      <x:c r="G189" s="117" t="str">
        <x:v>Both</x:v>
      </x:c>
      <x:c r="H189" s="117" t="str">
        <x:v>art; creative space; market</x:v>
      </x:c>
      <x:c r="I189" s="117" t="str">
        <x:v>A converted former bus depot in George Town, now an arts and events space known for murals and exhibitions.</x:v>
      </x:c>
      <x:c r="J189" s="117" t="str">
        <x:v>https://www.google.com/maps/search/?api=1&amp;query=Hin%20Bus%20Depot%2C%20Penang%2C%20Malaysia</x:v>
      </x:c>
      <x:c r="K189" s="117" t="str">
        <x:v>https://ebrochures.malaysia.travel/en/malaysia-travel-guide/penang/</x:v>
      </x:c>
      <x:c r="L189" s="117" t="str">
        <x:v>Tourism Malaysia state guide plus map discovery link</x:v>
      </x:c>
      <x:c r="M189" s="117" t="str">
        <x:v>Penang expansion batch</x:v>
      </x:c>
      <x:c r="N189" s="117"/>
      <x:c r="O189" s="117" t="str">
        <x:v>2026-08-15 00:00:00</x:v>
      </x:c>
      <x:c r="P189" s="117" t="str">
        <x:v>Complete</x:v>
      </x:c>
      <x:c r="Q189" s="117" t="str">
        <x:v>Identity and Malaysian location verified in second-pass review on 2026-09-08.</x:v>
      </x:c>
      <x:c r="R189" s="117" t="str">
        <x:f t="shared" si="2">IF(J189="","Missing Link",IF(AND(ISNUMBER(SEARCH("google.com/maps",J189)),ISERROR(SEARCH(";",J189))),"Discovery Link Only","Source Link Present"))</x:f>
        <x:v>Discovery Link Only</x:v>
      </x:c>
      <x:c r="S189" s="117" t="str">
        <x:v>Not measured</x:v>
      </x:c>
      <x:c r="T189" s="117" t="str">
        <x:v>Reported</x:v>
      </x:c>
      <x:c r="U189" s="117" t="str">
        <x:v>Some event seating; confirm</x:v>
      </x:c>
      <x:c r="V189" s="117" t="str">
        <x:v>Toilets present; accessibility unconfirmed</x:v>
      </x:c>
      <x:c r="W189" s="117" t="str">
        <x:v>Unknown</x:v>
      </x:c>
      <x:c r="X189" s="117" t="str">
        <x:v>Partial</x:v>
      </x:c>
      <x:c r="Y189" s="117" t="str">
        <x:v>Conditional on event layout</x:v>
      </x:c>
      <x:c r="Z189" s="117" t="str">
        <x:v>A British Council cultural profile labels the creative hub wheelchair friendly and mapped data reports wheelchair access. Temporary markets/events can add crowds, cables and uneven surfaces.</x:v>
      </x:c>
      <x:c r="AA189" s="117" t="str">
        <x:v>Reported support - confirm</x:v>
      </x:c>
      <x:c r="AB189" s="117" t="str">
        <x:v>https://www.britishcouncil.my/sites/default/files/malaysia_cultural_cities_profile_george_town_penang.pdf
https://www.openstreetmap.org/way/1073004859</x:v>
      </x:c>
      <x:c r="AC189" s="117" t="str">
        <x:v>Main creative-hub campus; event layouts vary</x:v>
      </x:c>
      <x:c r="AD189" s="117" t="str">
        <x:v>2026-09-08</x:v>
      </x:c>
      <x:c r="AE189" s="117" t="str">
        <x:v>MC0186</x:v>
      </x:c>
      <x:c r="AF189" s="117" t="str">
        <x:v>Distinct candidate</x:v>
      </x:c>
      <x:c r="AG189" s="117" t="str"/>
      <x:c r="AH189" s="117" t="str">
        <x:v>Identity and location corroborated</x:v>
      </x:c>
      <x:c r="AI189" s="117" t="str">
        <x:v>https://en.wikipedia.org/wiki/Hin_Bus_Depot</x:v>
      </x:c>
      <x:c r="AJ189" s="117" t="str">
        <x:v>Encyclopedic source matches the attraction name or established alias and the stated Malaysian location. This verifies identity/location only; confirm current opening and accessibility separately.</x:v>
      </x:c>
      <x:c r="AK189" s="117" t="str">
        <x:v>Not independently confirmed</x:v>
      </x:c>
      <x:c r="AL189" s="117" t="str">
        <x:v>Secondary institutional and mapped evidence</x:v>
      </x:c>
      <x:c r="AM189" s="117" t="str">
        <x:v>2026-09-08</x:v>
      </x:c>
      <x:c r="AN189" s="117" t="str">
        <x:v>https://upload.wikimedia.org/wikipedia/commons/8/8f/Cmglee_Penang_Hin_Bus_Depot_entrance.jpg?utm_source=commons.wikimedia.org&amp;utm_campaign=imageinfo&amp;utm_content=thumbnail_unscaled</x:v>
      </x:c>
      <x:c r="AO189" s="117" t="str">
        <x:v>https://thumb.wikimedia.org/wikipedia/commons/thumb/4/40/Cmglee_Penang_Hin_Bus_Depot_interior.jpg/1280px-Cmglee_Penang_Hin_Bus_Depot_interior.jpg?utm_source=commons.wikimedia.org&amp;utm_campaign=imageinfo&amp;utm_content=thumbnail</x:v>
      </x:c>
      <x:c r="AP189" s="117" t="str">
        <x:v>2 metadata-matched images; visual review pending</x:v>
      </x:c>
      <x:c r="AQ189" s="117"/>
    </x:row>
    <x:row r="190" ht="66" customHeight="1">
      <x:c r="A190" s="117" t="str">
        <x:v>MC0187</x:v>
      </x:c>
      <x:c r="B190" s="117" t="str">
        <x:v>Air Itam Market</x:v>
      </x:c>
      <x:c r="C190" s="117" t="str">
        <x:v>Penang</x:v>
      </x:c>
      <x:c r="D190" s="117" t="str">
        <x:v>Air Itam</x:v>
      </x:c>
      <x:c r="E190" s="117" t="str">
        <x:v>Food</x:v>
      </x:c>
      <x:c r="F190" s="117" t="str">
        <x:v>Local</x:v>
      </x:c>
      <x:c r="G190" s="117" t="str">
        <x:v>Both</x:v>
      </x:c>
      <x:c r="H190" s="117" t="str">
        <x:v>market; local food; neighbourhood</x:v>
      </x:c>
      <x:c r="I190" s="117" t="str">
        <x:v>A wet market and food hub near Kek Lok Si Temple in Air Itam, Penang.</x:v>
      </x:c>
      <x:c r="J190" s="117" t="str">
        <x:v>https://www.google.com/maps/search/?api=1&amp;query=Air%20Itam%20Market%2C%20Penang%2C%20Malaysia</x:v>
      </x:c>
      <x:c r="K190" s="117" t="str">
        <x:v>https://ebrochures.malaysia.travel/en/malaysia-travel-guide/penang/</x:v>
      </x:c>
      <x:c r="L190" s="117" t="str">
        <x:v>Tourism Malaysia state guide plus map discovery link</x:v>
      </x:c>
      <x:c r="M190" s="117" t="str">
        <x:v>Penang expansion batch</x:v>
      </x:c>
      <x:c r="N190" s="117"/>
      <x:c r="O190" s="117" t="str">
        <x:v>2026-08-15 00:00:00</x:v>
      </x:c>
      <x:c r="P190" s="117" t="str">
        <x:v>Complete</x:v>
      </x:c>
      <x:c r="Q190" s="117" t="str">
        <x:v>Identity and Malaysian location verified in second-pass review on 2026-09-08.</x:v>
      </x:c>
      <x:c r="R190" s="117" t="str">
        <x:f t="shared" si="2">IF(J190="","Missing Link",IF(AND(ISNUMBER(SEARCH("google.com/maps",J190)),ISERROR(SEARCH(";",J190))),"Discovery Link Only","Source Link Present"))</x:f>
        <x:v>Discovery Link Only</x:v>
      </x:c>
      <x:c r="S190" s="117" t="str">
        <x:v>Unknown</x:v>
      </x:c>
      <x:c r="T190" s="117" t="str">
        <x:v>Unknown</x:v>
      </x:c>
      <x:c r="U190" s="117" t="str">
        <x:v>Unknown</x:v>
      </x:c>
      <x:c r="V190" s="117" t="str">
        <x:v>Unknown</x:v>
      </x:c>
      <x:c r="W190" s="117" t="str">
        <x:v>Unknown</x:v>
      </x:c>
      <x:c r="X190" s="117" t="str">
        <x:v>Unknown</x:v>
      </x:c>
      <x:c r="Y190" s="117" t="str">
        <x:v>Unknown</x:v>
      </x:c>
      <x:c r="Z190" s="117"/>
      <x:c r="AA190" s="117" t="str">
        <x:v>Pending evidence</x:v>
      </x:c>
      <x:c r="AB190" s="117"/>
      <x:c r="AC190" s="117" t="str">
        <x:v>No qualifying accessibility conclusion established from the screened sources. This is unknown, not evidence that the attraction is inaccessible.</x:v>
      </x:c>
      <x:c r="AD190" s="117" t="str">
        <x:v>2026-09-08</x:v>
      </x:c>
      <x:c r="AE190" s="117" t="str">
        <x:v>MC0187</x:v>
      </x:c>
      <x:c r="AF190" s="117" t="str">
        <x:v>Distinct candidate</x:v>
      </x:c>
      <x:c r="AG190" s="117" t="str"/>
      <x:c r="AH190" s="117" t="str">
        <x:v>Identity and location corroborated</x:v>
      </x:c>
      <x:c r="AI190" s="117" t="str">
        <x:v>https://www.openstreetmap.org/way/276694685</x:v>
      </x:c>
      <x:c r="AJ190" s="117" t="str">
        <x:v>Mapped source matches the attraction name or established alias and the stated Malaysian location. This verifies identity/location only; confirm current opening and accessibility separately.</x:v>
      </x:c>
      <x:c r="AK190" s="117" t="str">
        <x:v>Not independently confirmed</x:v>
      </x:c>
      <x:c r="AL190" s="117" t="str">
        <x:v>Screened sources; accessibility unresolved</x:v>
      </x:c>
      <x:c r="AM190" s="117" t="str">
        <x:v>2026-09-08</x:v>
      </x:c>
      <x:c r="AN190" s="117"/>
      <x:c r="AO190" s="117"/>
      <x:c r="AP190" s="117" t="str">
        <x:v>No usable pair located; image research pending</x:v>
      </x:c>
      <x:c r="AQ190" s="117"/>
    </x:row>
    <x:row r="191" ht="66" customHeight="1">
      <x:c r="A191" s="117" t="str">
        <x:v>MC0188</x:v>
      </x:c>
      <x:c r="B191" s="117" t="str">
        <x:v>Saanen Dairy Goat Farm</x:v>
      </x:c>
      <x:c r="C191" s="117" t="str">
        <x:v>Penang</x:v>
      </x:c>
      <x:c r="D191" s="117" t="str">
        <x:v>Balik Pulau</x:v>
      </x:c>
      <x:c r="E191" s="117" t="str">
        <x:v>Food</x:v>
      </x:c>
      <x:c r="F191" s="117" t="str">
        <x:v>Local</x:v>
      </x:c>
      <x:c r="G191" s="117" t="str">
        <x:v>Both</x:v>
      </x:c>
      <x:c r="H191" s="117" t="str">
        <x:v>farm; dairy; rural</x:v>
      </x:c>
      <x:c r="I191" s="117" t="str">
        <x:v>A goat dairy farm in Balik Pulau, Penang, open for visits and fresh dairy products.</x:v>
      </x:c>
      <x:c r="J191" s="117" t="str">
        <x:v>https://www.google.com/maps/search/?api=1&amp;query=Saanen%20Dairy%20Goat%20Farm%2C%20Penang%2C%20Malaysia</x:v>
      </x:c>
      <x:c r="K191" s="117" t="str">
        <x:v>https://ebrochures.malaysia.travel/en/malaysia-travel-guide/penang/</x:v>
      </x:c>
      <x:c r="L191" s="117" t="str">
        <x:v>Tourism Malaysia state guide plus map discovery link</x:v>
      </x:c>
      <x:c r="M191" s="117" t="str">
        <x:v>Penang expansion batch</x:v>
      </x:c>
      <x:c r="N191" s="117"/>
      <x:c r="O191" s="117" t="str">
        <x:v>2026-08-15 00:00:00</x:v>
      </x:c>
      <x:c r="P191" s="117" t="str">
        <x:v>Complete</x:v>
      </x:c>
      <x:c r="Q191" s="117" t="str">
        <x:v>Identity and Malaysian location verified in second-pass review on 2026-09-08.</x:v>
      </x:c>
      <x:c r="R191" s="117" t="str">
        <x:f t="shared" si="2">IF(J191="","Missing Link",IF(AND(ISNUMBER(SEARCH("google.com/maps",J191)),ISERROR(SEARCH(";",J191))),"Discovery Link Only","Source Link Present"))</x:f>
        <x:v>Discovery Link Only</x:v>
      </x:c>
      <x:c r="S191" s="117" t="str">
        <x:v>Unknown</x:v>
      </x:c>
      <x:c r="T191" s="117" t="str">
        <x:v>Unknown</x:v>
      </x:c>
      <x:c r="U191" s="117" t="str">
        <x:v>Unknown</x:v>
      </x:c>
      <x:c r="V191" s="117" t="str">
        <x:v>Unknown</x:v>
      </x:c>
      <x:c r="W191" s="117" t="str">
        <x:v>Unknown</x:v>
      </x:c>
      <x:c r="X191" s="117" t="str">
        <x:v>Unknown</x:v>
      </x:c>
      <x:c r="Y191" s="117" t="str">
        <x:v>Unknown</x:v>
      </x:c>
      <x:c r="Z191" s="117"/>
      <x:c r="AA191" s="117" t="str">
        <x:v>Pending evidence</x:v>
      </x:c>
      <x:c r="AB191" s="117"/>
      <x:c r="AC191" s="117" t="str">
        <x:v>No qualifying accessibility conclusion established from the screened sources. This is unknown, not evidence that the attraction is inaccessible.</x:v>
      </x:c>
      <x:c r="AD191" s="117" t="str">
        <x:v>2026-09-08</x:v>
      </x:c>
      <x:c r="AE191" s="117" t="str">
        <x:v>MC0188</x:v>
      </x:c>
      <x:c r="AF191" s="117" t="str">
        <x:v>Distinct candidate</x:v>
      </x:c>
      <x:c r="AG191" s="117" t="str"/>
      <x:c r="AH191" s="117" t="str">
        <x:v>Identity and location corroborated</x:v>
      </x:c>
      <x:c r="AI191" s="117" t="str">
        <x:v>https://www.openstreetmap.org/node/4216005491</x:v>
      </x:c>
      <x:c r="AJ191" s="117" t="str">
        <x:v>Mapped source matches the attraction name or established alias and the stated Malaysian location. This verifies identity/location only; confirm current opening and accessibility separately.</x:v>
      </x:c>
      <x:c r="AK191" s="117" t="str">
        <x:v>Not independently confirmed</x:v>
      </x:c>
      <x:c r="AL191" s="117" t="str">
        <x:v>Screened sources; accessibility unresolved</x:v>
      </x:c>
      <x:c r="AM191" s="117" t="str">
        <x:v>2026-09-08</x:v>
      </x:c>
      <x:c r="AN191" s="117"/>
      <x:c r="AO191" s="117"/>
      <x:c r="AP191" s="117" t="str">
        <x:v>No usable pair located; image research pending</x:v>
      </x:c>
      <x:c r="AQ191" s="117"/>
    </x:row>
    <x:row r="192" ht="66" customHeight="1">
      <x:c r="A192" s="117" t="str">
        <x:v>MC0189</x:v>
      </x:c>
      <x:c r="B192" s="117" t="str">
        <x:v>Audi Dream Farm</x:v>
      </x:c>
      <x:c r="C192" s="117" t="str">
        <x:v>Penang</x:v>
      </x:c>
      <x:c r="D192" s="117" t="str">
        <x:v>Balik Pulau</x:v>
      </x:c>
      <x:c r="E192" s="117" t="str">
        <x:v>Food</x:v>
      </x:c>
      <x:c r="F192" s="117" t="str">
        <x:v>Local</x:v>
      </x:c>
      <x:c r="G192" s="117" t="str">
        <x:v>Both</x:v>
      </x:c>
      <x:c r="H192" s="117" t="str">
        <x:v>farm; animals; family</x:v>
      </x:c>
      <x:c r="I192" s="117" t="str">
        <x:v>A family-run farm in Balik Pulau, Penang, offering animal encounters and agro-tourism activities.</x:v>
      </x:c>
      <x:c r="J192" s="117" t="str">
        <x:v>https://www.google.com/maps/search/?api=1&amp;query=Audi%20Dream%20Farm%2C%20Penang%2C%20Malaysia</x:v>
      </x:c>
      <x:c r="K192" s="117" t="str">
        <x:v>https://ebrochures.malaysia.travel/en/malaysia-travel-guide/penang/</x:v>
      </x:c>
      <x:c r="L192" s="117" t="str">
        <x:v>Tourism Malaysia state guide plus map discovery link</x:v>
      </x:c>
      <x:c r="M192" s="117" t="str">
        <x:v>Penang expansion batch</x:v>
      </x:c>
      <x:c r="N192" s="117"/>
      <x:c r="O192" s="117" t="str">
        <x:v>2026-08-15 00:00:00</x:v>
      </x:c>
      <x:c r="P192" s="117" t="str">
        <x:v>Complete</x:v>
      </x:c>
      <x:c r="Q192" s="117"/>
      <x:c r="R192" s="117" t="str">
        <x:f t="shared" si="2">IF(J192="","Missing Link",IF(AND(ISNUMBER(SEARCH("google.com/maps",J192)),ISERROR(SEARCH(";",J192))),"Discovery Link Only","Source Link Present"))</x:f>
        <x:v>Discovery Link Only</x:v>
      </x:c>
      <x:c r="S192" s="117" t="str">
        <x:v>Unknown</x:v>
      </x:c>
      <x:c r="T192" s="117" t="str">
        <x:v>Unknown</x:v>
      </x:c>
      <x:c r="U192" s="117" t="str">
        <x:v>Unknown</x:v>
      </x:c>
      <x:c r="V192" s="117" t="str">
        <x:v>Unknown</x:v>
      </x:c>
      <x:c r="W192" s="117" t="str">
        <x:v>Unknown</x:v>
      </x:c>
      <x:c r="X192" s="117" t="str">
        <x:v>Unknown</x:v>
      </x:c>
      <x:c r="Y192" s="117" t="str">
        <x:v>Unknown</x:v>
      </x:c>
      <x:c r="Z192" s="117"/>
      <x:c r="AA192" s="117" t="str">
        <x:v>Pending evidence</x:v>
      </x:c>
      <x:c r="AB192" s="117"/>
      <x:c r="AC192" s="117" t="str">
        <x:v>No qualifying accessibility conclusion established from the screened sources. This is unknown, not evidence that the attraction is inaccessible.</x:v>
      </x:c>
      <x:c r="AD192" s="117" t="str">
        <x:v>2026-09-08</x:v>
      </x:c>
      <x:c r="AE192" s="117" t="str">
        <x:v>MC0189</x:v>
      </x:c>
      <x:c r="AF192" s="117" t="str">
        <x:v>Distinct candidate</x:v>
      </x:c>
      <x:c r="AG192" s="117" t="str"/>
      <x:c r="AH192" s="117" t="str">
        <x:v>Name corroborated in source</x:v>
      </x:c>
      <x:c r="AI192" s="117" t="str">
        <x:v>https://ebrochures.malaysia.travel/en/malaysia-travel-guide/penang/</x:v>
      </x:c>
      <x:c r="AJ192" s="117" t="str">
        <x:v>Place name or established alias matched in the cited source. This is not confirmation of current opening, all visitor facilities or the full description.</x:v>
      </x:c>
      <x:c r="AK192" s="117" t="str">
        <x:v>Not independently confirmed</x:v>
      </x:c>
      <x:c r="AL192" s="117" t="str">
        <x:v>Screened sources; accessibility unresolved</x:v>
      </x:c>
      <x:c r="AM192" s="117" t="str">
        <x:v>2026-09-08</x:v>
      </x:c>
      <x:c r="AN192" s="117" t="str">
        <x:v>https://thumb.wikimedia.org/wikipedia/commons/thumb/6/66/Audi_Dream_Farm.jpg/1280px-Audi_Dream_Farm.jpg?utm_source=commons.wikimedia.org&amp;utm_campaign=imageinfo&amp;utm_content=thumbnail</x:v>
      </x:c>
      <x:c r="AO192" s="117"/>
      <x:c r="AP192" s="117" t="str">
        <x:v>1 metadata-matched images; visual review pending</x:v>
      </x:c>
      <x:c r="AQ192" s="117"/>
    </x:row>
    <x:row r="193" ht="66" customHeight="1">
      <x:c r="A193" s="117" t="str">
        <x:v>MC0190</x:v>
      </x:c>
      <x:c r="B193" s="117" t="str">
        <x:v>Penang War Museum</x:v>
      </x:c>
      <x:c r="C193" s="117" t="str">
        <x:v>Penang</x:v>
      </x:c>
      <x:c r="D193" s="117" t="str">
        <x:v>Bayan Lepas</x:v>
      </x:c>
      <x:c r="E193" s="117" t="str">
        <x:v>Museum and Gallery</x:v>
      </x:c>
      <x:c r="F193" s="117" t="str">
        <x:v>Popular</x:v>
      </x:c>
      <x:c r="G193" s="117" t="str">
        <x:v>Indoor</x:v>
      </x:c>
      <x:c r="H193" s="117" t="str">
        <x:v>war history; fort; museum</x:v>
      </x:c>
      <x:c r="I193" s="117" t="str">
        <x:v>A former British military fort in Bayan Lepas, Penang, now a museum documenting the Second World War in the region.</x:v>
      </x:c>
      <x:c r="J193" s="117" t="str">
        <x:v>https://www.google.com/maps/search/?api=1&amp;query=Penang%20War%20Museum%2C%20Penang%2C%20Malaysia</x:v>
      </x:c>
      <x:c r="K193" s="117" t="str">
        <x:v>https://ebrochures.malaysia.travel/en/malaysia-travel-guide/penang/</x:v>
      </x:c>
      <x:c r="L193" s="117" t="str">
        <x:v>Tourism Malaysia state guide plus map discovery link</x:v>
      </x:c>
      <x:c r="M193" s="117" t="str">
        <x:v>Penang expansion batch</x:v>
      </x:c>
      <x:c r="N193" s="117"/>
      <x:c r="O193" s="117" t="str">
        <x:v>2026-08-15 00:00:00</x:v>
      </x:c>
      <x:c r="P193" s="117" t="str">
        <x:v>Complete</x:v>
      </x:c>
      <x:c r="Q193" s="117" t="str">
        <x:v>Identity and Malaysian location verified in second-pass review on 2026-09-08.</x:v>
      </x:c>
      <x:c r="R193" s="117" t="str">
        <x:f t="shared" si="2">IF(J193="","Missing Link",IF(AND(ISNUMBER(SEARCH("google.com/maps",J193)),ISERROR(SEARCH(";",J193))),"Discovery Link Only","Source Link Present"))</x:f>
        <x:v>Discovery Link Only</x:v>
      </x:c>
      <x:c r="S193" s="117" t="str">
        <x:v>Unknown</x:v>
      </x:c>
      <x:c r="T193" s="117" t="str">
        <x:v>Unknown</x:v>
      </x:c>
      <x:c r="U193" s="117" t="str">
        <x:v>Unknown</x:v>
      </x:c>
      <x:c r="V193" s="117" t="str">
        <x:v>Unknown</x:v>
      </x:c>
      <x:c r="W193" s="117" t="str">
        <x:v>Unknown</x:v>
      </x:c>
      <x:c r="X193" s="117" t="str">
        <x:v>Unknown</x:v>
      </x:c>
      <x:c r="Y193" s="117" t="str">
        <x:v>Not recommended for stated route</x:v>
      </x:c>
      <x:c r="Z193" s="117" t="str">
        <x:v>Mapped data reports wheelchair access and wheelchair-accessible toilets as unavailable</x:v>
      </x:c>
      <x:c r="AA193" s="117" t="str">
        <x:v>Documented restriction</x:v>
      </x:c>
      <x:c r="AB193" s="117" t="str">
        <x:v>https://www.openstreetmap.org/node/1928907661</x:v>
      </x:c>
      <x:c r="AC193" s="117" t="str">
        <x:v>Museum visitor route</x:v>
      </x:c>
      <x:c r="AD193" s="117" t="str">
        <x:v>2026-09-08</x:v>
      </x:c>
      <x:c r="AE193" s="117" t="str">
        <x:v>MC0190</x:v>
      </x:c>
      <x:c r="AF193" s="117" t="str">
        <x:v>Distinct candidate</x:v>
      </x:c>
      <x:c r="AG193" s="117" t="str"/>
      <x:c r="AH193" s="117" t="str">
        <x:v>Identity and location corroborated</x:v>
      </x:c>
      <x:c r="AI193" s="117" t="str">
        <x:v>https://www.openstreetmap.org/node/1928907661</x:v>
      </x:c>
      <x:c r="AJ193" s="117" t="str">
        <x:v>Mapped source matches the attraction name or established alias and the stated Malaysian location. This verifies identity/location only; confirm current opening and accessibility separately.</x:v>
      </x:c>
      <x:c r="AK193" s="117" t="str">
        <x:v>Not independently confirmed</x:v>
      </x:c>
      <x:c r="AL193" s="117" t="str">
        <x:v>Secondary restriction evidence reviewed</x:v>
      </x:c>
      <x:c r="AM193" s="117" t="str">
        <x:v>2026-09-08</x:v>
      </x:c>
      <x:c r="AN193" s="117" t="str">
        <x:v>https://thumb.wikimedia.org/wikipedia/commons/thumb/f/f0/Penang_War_Museum.jpg/1280px-Penang_War_Museum.jpg?utm_source=commons.wikimedia.org&amp;utm_campaign=imageinfo&amp;utm_content=thumbnail</x:v>
      </x:c>
      <x:c r="AO193" s="117" t="str">
        <x:v>https://thumb.wikimedia.org/wikipedia/commons/thumb/6/67/Penang_War_Museum_022.jpg/1280px-Penang_War_Museum_022.jpg?utm_source=commons.wikimedia.org&amp;utm_campaign=imageinfo&amp;utm_content=thumbnail</x:v>
      </x:c>
      <x:c r="AP193" s="117" t="str">
        <x:v>2 metadata-matched images; visual review pending</x:v>
      </x:c>
      <x:c r="AQ193" s="117"/>
    </x:row>
    <x:row r="194" ht="66" customHeight="1">
      <x:c r="A194" s="117" t="str">
        <x:v>MC0191</x:v>
      </x:c>
      <x:c r="B194" s="117" t="str">
        <x:v>Snake Temple</x:v>
      </x:c>
      <x:c r="C194" s="117" t="str">
        <x:v>Penang</x:v>
      </x:c>
      <x:c r="D194" s="117" t="str">
        <x:v>Bayan Lepas</x:v>
      </x:c>
      <x:c r="E194" s="117" t="str">
        <x:v>Religious Site</x:v>
      </x:c>
      <x:c r="F194" s="117" t="str">
        <x:v>Popular</x:v>
      </x:c>
      <x:c r="G194" s="117" t="str">
        <x:v>Both</x:v>
      </x:c>
      <x:c r="H194" s="117" t="str">
        <x:v>temple; snakes; culture</x:v>
      </x:c>
      <x:c r="I194" s="117" t="str">
        <x:v>A Chinese temple in Bayan Lepas, Penang, historically known for housing live pit vipers among its altars.</x:v>
      </x:c>
      <x:c r="J194" s="117" t="str">
        <x:v>https://www.google.com/maps/search/?api=1&amp;query=Snake%20Temple%2C%20Penang%2C%20Malaysia</x:v>
      </x:c>
      <x:c r="K194" s="117" t="str">
        <x:v>https://ebrochures.malaysia.travel/en/malaysia-travel-guide/penang/</x:v>
      </x:c>
      <x:c r="L194" s="117" t="str">
        <x:v>Tourism Malaysia state guide plus map discovery link</x:v>
      </x:c>
      <x:c r="M194" s="117" t="str">
        <x:v>Penang expansion batch</x:v>
      </x:c>
      <x:c r="N194" s="117"/>
      <x:c r="O194" s="117" t="str">
        <x:v>2026-08-15 00:00:00</x:v>
      </x:c>
      <x:c r="P194" s="117" t="str">
        <x:v>Complete</x:v>
      </x:c>
      <x:c r="Q194" s="117" t="str">
        <x:v>Identity and Malaysian location verified in second-pass review on 2026-09-08.</x:v>
      </x:c>
      <x:c r="R194" s="117" t="str">
        <x:f t="shared" si="2">IF(J194="","Missing Link",IF(AND(ISNUMBER(SEARCH("google.com/maps",J194)),ISERROR(SEARCH(";",J194))),"Discovery Link Only","Source Link Present"))</x:f>
        <x:v>Discovery Link Only</x:v>
      </x:c>
      <x:c r="S194" s="117" t="str">
        <x:v>Unknown</x:v>
      </x:c>
      <x:c r="T194" s="117" t="str">
        <x:v>Unknown</x:v>
      </x:c>
      <x:c r="U194" s="117" t="str">
        <x:v>Unknown</x:v>
      </x:c>
      <x:c r="V194" s="117" t="str">
        <x:v>Unknown</x:v>
      </x:c>
      <x:c r="W194" s="117" t="str">
        <x:v>Unknown</x:v>
      </x:c>
      <x:c r="X194" s="117" t="str">
        <x:v>Unknown</x:v>
      </x:c>
      <x:c r="Y194" s="117" t="str">
        <x:v>Not recommended for stated route</x:v>
      </x:c>
      <x:c r="Z194" s="117" t="str">
        <x:v>Steep slope and entrance step; wheelchair access limited; accessible toilet reported unavailable</x:v>
      </x:c>
      <x:c r="AA194" s="117" t="str">
        <x:v>Documented restriction</x:v>
      </x:c>
      <x:c r="AB194" s="117" t="str">
        <x:v>https://www.openstreetmap.org/way/274727706</x:v>
      </x:c>
      <x:c r="AC194" s="117" t="str">
        <x:v>Temple entrance route</x:v>
      </x:c>
      <x:c r="AD194" s="117" t="str">
        <x:v>2026-09-08</x:v>
      </x:c>
      <x:c r="AE194" s="117" t="str">
        <x:v>MC0191</x:v>
      </x:c>
      <x:c r="AF194" s="117" t="str">
        <x:v>Distinct candidate</x:v>
      </x:c>
      <x:c r="AG194" s="117" t="str"/>
      <x:c r="AH194" s="117" t="str">
        <x:v>Identity and location corroborated</x:v>
      </x:c>
      <x:c r="AI194" s="117" t="str">
        <x:v>https://en.wikipedia.org/wiki/Snake_Temple</x:v>
      </x:c>
      <x:c r="AJ194" s="117" t="str">
        <x:v>Encyclopedic source matches the attraction name or established alias and the stated Malaysian location. This verifies identity/location only; confirm current opening and accessibility separately.</x:v>
      </x:c>
      <x:c r="AK194" s="117" t="str">
        <x:v>Not independently confirmed</x:v>
      </x:c>
      <x:c r="AL194" s="117" t="str">
        <x:v>Secondary restriction evidence reviewed</x:v>
      </x:c>
      <x:c r="AM194" s="117" t="str">
        <x:v>2026-09-08</x:v>
      </x:c>
      <x:c r="AN194" s="117" t="str">
        <x:v>https://upload.wikimedia.org/wikipedia/commons/b/b3/Snake_Temple%2C_Penang.jpg?utm_source=commons.wikimedia.org&amp;utm_campaign=imageinfo&amp;utm_content=thumbnail_unscaled</x:v>
      </x:c>
      <x:c r="AO194" s="117" t="str">
        <x:v>https://thumb.wikimedia.org/wikipedia/commons/thumb/7/75/%E7%99%BD%E8%9B%87%E5%BB%9F2.jpg/1280px-%E7%99%BD%E8%9B%87%E5%BB%9F2.jpg?utm_source=commons.wikimedia.org&amp;utm_campaign=imageinfo&amp;utm_content=thumbnail</x:v>
      </x:c>
      <x:c r="AP194" s="117" t="str">
        <x:v>2 metadata-matched images; visual review pending</x:v>
      </x:c>
      <x:c r="AQ194" s="117"/>
    </x:row>
    <x:row r="195" ht="66" customHeight="1">
      <x:c r="A195" s="117" t="str">
        <x:v>MC0192</x:v>
      </x:c>
      <x:c r="B195" s="117" t="str">
        <x:v>St Anne's Church</x:v>
      </x:c>
      <x:c r="C195" s="117" t="str">
        <x:v>Penang</x:v>
      </x:c>
      <x:c r="D195" s="117" t="str">
        <x:v>Bukit Mertajam</x:v>
      </x:c>
      <x:c r="E195" s="117" t="str">
        <x:v>Religious Site</x:v>
      </x:c>
      <x:c r="F195" s="117" t="str">
        <x:v>Popular</x:v>
      </x:c>
      <x:c r="G195" s="117" t="str">
        <x:v>Both</x:v>
      </x:c>
      <x:c r="H195" s="117" t="str">
        <x:v>church; pilgrimage; heritage</x:v>
      </x:c>
      <x:c r="I195" s="117" t="str">
        <x:v>A Catholic church in Bukit Mertajam, Penang, known for its annual pilgrimage feast day drawing large crowds.</x:v>
      </x:c>
      <x:c r="J195" s="117" t="str">
        <x:v>https://www.google.com/maps/search/?api=1&amp;query=St%20Anne's%20Church%2C%20Penang%2C%20Malaysia</x:v>
      </x:c>
      <x:c r="K195" s="117" t="str">
        <x:v>https://ebrochures.malaysia.travel/en/malaysia-travel-guide/penang/</x:v>
      </x:c>
      <x:c r="L195" s="117" t="str">
        <x:v>Tourism Malaysia state guide plus map discovery link</x:v>
      </x:c>
      <x:c r="M195" s="117" t="str">
        <x:v>Penang expansion batch</x:v>
      </x:c>
      <x:c r="N195" s="117"/>
      <x:c r="O195" s="117" t="str">
        <x:v>2026-08-15 00:00:00</x:v>
      </x:c>
      <x:c r="P195" s="117" t="str">
        <x:v>Complete</x:v>
      </x:c>
      <x:c r="Q195" s="117"/>
      <x:c r="R195" s="117" t="str">
        <x:f t="shared" si="2">IF(J195="","Missing Link",IF(AND(ISNUMBER(SEARCH("google.com/maps",J195)),ISERROR(SEARCH(";",J195))),"Discovery Link Only","Source Link Present"))</x:f>
        <x:v>Discovery Link Only</x:v>
      </x:c>
      <x:c r="S195" s="117" t="str">
        <x:v>Unknown</x:v>
      </x:c>
      <x:c r="T195" s="117" t="str">
        <x:v>Unknown</x:v>
      </x:c>
      <x:c r="U195" s="117" t="str">
        <x:v>Unknown</x:v>
      </x:c>
      <x:c r="V195" s="117" t="str">
        <x:v>Unknown</x:v>
      </x:c>
      <x:c r="W195" s="117" t="str">
        <x:v>Unknown</x:v>
      </x:c>
      <x:c r="X195" s="117" t="str">
        <x:v>Unknown</x:v>
      </x:c>
      <x:c r="Y195" s="117" t="str">
        <x:v>Unknown</x:v>
      </x:c>
      <x:c r="Z195" s="117"/>
      <x:c r="AA195" s="117" t="str">
        <x:v>Pending evidence</x:v>
      </x:c>
      <x:c r="AB195" s="117"/>
      <x:c r="AC195" s="117" t="str">
        <x:v>No qualifying accessibility conclusion established from the screened sources. This is unknown, not evidence that the attraction is inaccessible.</x:v>
      </x:c>
      <x:c r="AD195" s="117" t="str">
        <x:v>2026-09-08</x:v>
      </x:c>
      <x:c r="AE195" s="117" t="str">
        <x:v>MC0192</x:v>
      </x:c>
      <x:c r="AF195" s="117" t="str">
        <x:v>Distinct candidate</x:v>
      </x:c>
      <x:c r="AG195" s="117" t="str"/>
      <x:c r="AH195" s="117" t="str">
        <x:v>Name corroborated in source</x:v>
      </x:c>
      <x:c r="AI195" s="117" t="str">
        <x:v>https://ebrochures.malaysia.travel/en/malaysia-travel-guide/penang/</x:v>
      </x:c>
      <x:c r="AJ195" s="117" t="str">
        <x:v>Place name or established alias matched in the cited source. This is not confirmation of current opening, all visitor facilities or the full description.</x:v>
      </x:c>
      <x:c r="AK195" s="117" t="str">
        <x:v>Not independently confirmed</x:v>
      </x:c>
      <x:c r="AL195" s="117" t="str">
        <x:v>Screened sources; accessibility unresolved</x:v>
      </x:c>
      <x:c r="AM195" s="117" t="str">
        <x:v>2026-09-08</x:v>
      </x:c>
      <x:c r="AN195" s="117" t="str">
        <x:v>https://upload.wikimedia.org/wikipedia/commons/1/17/St_annes_soho_1.jpg?utm_source=commons.wikimedia.org&amp;utm_campaign=imageinfo&amp;utm_content=thumbnail_unscaled</x:v>
      </x:c>
      <x:c r="AO195" s="117"/>
      <x:c r="AP195" s="117" t="str">
        <x:v>1 metadata-matched images; visual review pending</x:v>
      </x:c>
      <x:c r="AQ195" s="117"/>
    </x:row>
    <x:row r="196" ht="66" customHeight="1">
      <x:c r="A196" s="117" t="str">
        <x:v>MC0193</x:v>
      </x:c>
      <x:c r="B196" s="117" t="str">
        <x:v>Mengkuang Dam</x:v>
      </x:c>
      <x:c r="C196" s="117" t="str">
        <x:v>Penang</x:v>
      </x:c>
      <x:c r="D196" s="117" t="str">
        <x:v>Seberang Perai</x:v>
      </x:c>
      <x:c r="E196" s="117" t="str">
        <x:v>Nature</x:v>
      </x:c>
      <x:c r="F196" s="117" t="str">
        <x:v>Local</x:v>
      </x:c>
      <x:c r="G196" s="117" t="str">
        <x:v>Outdoor</x:v>
      </x:c>
      <x:c r="H196" s="117" t="str">
        <x:v>reservoir; walking; scenery</x:v>
      </x:c>
      <x:c r="I196" s="117" t="str">
        <x:v>A reservoir dam in Seberang Perai, Penang, popular for scenic drives and photography.</x:v>
      </x:c>
      <x:c r="J196" s="117" t="str">
        <x:v>https://www.google.com/maps/search/?api=1&amp;query=Mengkuang%20Dam%2C%20Penang%2C%20Malaysia</x:v>
      </x:c>
      <x:c r="K196" s="117" t="str">
        <x:v>https://ebrochures.malaysia.travel/en/malaysia-travel-guide/penang/</x:v>
      </x:c>
      <x:c r="L196" s="117" t="str">
        <x:v>Tourism Malaysia state guide plus map discovery link</x:v>
      </x:c>
      <x:c r="M196" s="117" t="str">
        <x:v>Penang expansion batch</x:v>
      </x:c>
      <x:c r="N196" s="117"/>
      <x:c r="O196" s="117" t="str">
        <x:v>2026-08-15 00:00:00</x:v>
      </x:c>
      <x:c r="P196" s="117" t="str">
        <x:v>Complete</x:v>
      </x:c>
      <x:c r="Q196" s="117" t="str">
        <x:v>Identity and Malaysian location verified in second-pass review on 2026-09-08.</x:v>
      </x:c>
      <x:c r="R196" s="117" t="str">
        <x:f t="shared" ref="R196:R259" si="3">IF(J196="","Missing Link",IF(AND(ISNUMBER(SEARCH("google.com/maps",J196)),ISERROR(SEARCH(";",J196))),"Discovery Link Only","Source Link Present"))</x:f>
        <x:v>Discovery Link Only</x:v>
      </x:c>
      <x:c r="S196" s="117" t="str">
        <x:v>Unknown</x:v>
      </x:c>
      <x:c r="T196" s="117" t="str">
        <x:v>Unknown</x:v>
      </x:c>
      <x:c r="U196" s="117" t="str">
        <x:v>Unknown</x:v>
      </x:c>
      <x:c r="V196" s="117" t="str">
        <x:v>Unknown</x:v>
      </x:c>
      <x:c r="W196" s="117" t="str">
        <x:v>Unknown</x:v>
      </x:c>
      <x:c r="X196" s="117" t="str">
        <x:v>Unknown</x:v>
      </x:c>
      <x:c r="Y196" s="117" t="str">
        <x:v>Unknown</x:v>
      </x:c>
      <x:c r="Z196" s="117"/>
      <x:c r="AA196" s="117" t="str">
        <x:v>Pending evidence</x:v>
      </x:c>
      <x:c r="AB196" s="117"/>
      <x:c r="AC196" s="117" t="str">
        <x:v>No qualifying accessibility conclusion established from the screened sources. This is unknown, not evidence that the attraction is inaccessible.</x:v>
      </x:c>
      <x:c r="AD196" s="117" t="str">
        <x:v>2026-09-08</x:v>
      </x:c>
      <x:c r="AE196" s="117" t="str">
        <x:v>MC0193</x:v>
      </x:c>
      <x:c r="AF196" s="117" t="str">
        <x:v>Distinct candidate</x:v>
      </x:c>
      <x:c r="AG196" s="117" t="str"/>
      <x:c r="AH196" s="117" t="str">
        <x:v>Identity and location corroborated</x:v>
      </x:c>
      <x:c r="AI196" s="117" t="str">
        <x:v>https://en.wikipedia.org/wiki/Mengkuang_Dam</x:v>
      </x:c>
      <x:c r="AJ196" s="117" t="str">
        <x:v>Encyclopedic source matches the attraction name or established alias and the stated Malaysian location. This verifies identity/location only; confirm current opening and accessibility separately.</x:v>
      </x:c>
      <x:c r="AK196" s="117" t="str">
        <x:v>Not independently confirmed</x:v>
      </x:c>
      <x:c r="AL196" s="117" t="str">
        <x:v>Screened sources; accessibility unresolved</x:v>
      </x:c>
      <x:c r="AM196" s="117" t="str">
        <x:v>2026-09-08</x:v>
      </x:c>
      <x:c r="AN196" s="117" t="str">
        <x:v>https://thumb.wikimedia.org/wikipedia/commons/thumb/6/6f/Mengkuang_Dam_view_%28240225%29_03.jpg/1280px-Mengkuang_Dam_view_%28240225%29_03.jpg?utm_source=commons.wikimedia.org&amp;utm_campaign=imageinfo&amp;utm_content=thumbnail</x:v>
      </x:c>
      <x:c r="AO196" s="117" t="str">
        <x:v>https://thumb.wikimedia.org/wikipedia/commons/thumb/a/ac/Mengkuang_Dam_04.jpg/1280px-Mengkuang_Dam_04.jpg?utm_source=commons.wikimedia.org&amp;utm_campaign=imageinfo&amp;utm_content=thumbnail</x:v>
      </x:c>
      <x:c r="AP196" s="117" t="str">
        <x:v>2 metadata-matched images; visual review pending</x:v>
      </x:c>
      <x:c r="AQ196" s="117"/>
    </x:row>
    <x:row r="197" ht="66" customHeight="1">
      <x:c r="A197" s="117" t="str">
        <x:v>MC0194</x:v>
      </x:c>
      <x:c r="B197" s="117" t="str">
        <x:v>Penang Bird Park</x:v>
      </x:c>
      <x:c r="C197" s="117" t="str">
        <x:v>Penang</x:v>
      </x:c>
      <x:c r="D197" s="117" t="str">
        <x:v>Seberang Perai</x:v>
      </x:c>
      <x:c r="E197" s="117" t="str">
        <x:v>Wildlife</x:v>
      </x:c>
      <x:c r="F197" s="117" t="str">
        <x:v>Local</x:v>
      </x:c>
      <x:c r="G197" s="117" t="str">
        <x:v>Outdoor</x:v>
      </x:c>
      <x:c r="H197" s="117" t="str">
        <x:v>birds; family; gardens</x:v>
      </x:c>
      <x:c r="I197" s="117" t="str">
        <x:v>A bird park in Seberang Perai, Penang, with walk-in aviaries of various bird species.</x:v>
      </x:c>
      <x:c r="J197" s="117" t="str">
        <x:v>https://www.google.com/maps/search/?api=1&amp;query=Penang%20Bird%20Park%2C%20Penang%2C%20Malaysia
https://www.penangbirdpark.com.my/about.php</x:v>
      </x:c>
      <x:c r="K197" s="117" t="str">
        <x:v>https://ebrochures.malaysia.travel/en/malaysia-travel-guide/penang/</x:v>
      </x:c>
      <x:c r="L197" s="117" t="str">
        <x:v>Tourism Malaysia state guide plus map discovery link</x:v>
      </x:c>
      <x:c r="M197" s="117" t="str">
        <x:v>Penang expansion batch</x:v>
      </x:c>
      <x:c r="N197" s="117"/>
      <x:c r="O197" s="117" t="str">
        <x:v>2026-08-15 00:00:00</x:v>
      </x:c>
      <x:c r="P197" s="117" t="str">
        <x:v>Complete</x:v>
      </x:c>
      <x:c r="Q197" s="117"/>
      <x:c r="R197" s="117" t="str">
        <x:f t="shared" si="3">IF(J197="","Missing Link",IF(AND(ISNUMBER(SEARCH("google.com/maps",J197)),ISERROR(SEARCH(";",J197))),"Discovery Link Only","Source Link Present"))</x:f>
        <x:v>Discovery Link Only</x:v>
      </x:c>
      <x:c r="S197" s="117" t="str">
        <x:v>Not measured</x:v>
      </x:c>
      <x:c r="T197" s="117" t="str">
        <x:v>Unknown</x:v>
      </x:c>
      <x:c r="U197" s="117" t="str">
        <x:v>Unknown</x:v>
      </x:c>
      <x:c r="V197" s="117" t="str">
        <x:v>Unknown</x:v>
      </x:c>
      <x:c r="W197" s="117" t="str">
        <x:v>Unknown</x:v>
      </x:c>
      <x:c r="X197" s="117" t="str">
        <x:v>Yes - huts and restaurant</x:v>
      </x:c>
      <x:c r="Y197" s="117" t="str">
        <x:v>Conditional on mobility and route</x:v>
      </x:c>
      <x:c r="Z197" s="117" t="str">
        <x:v>The operator documents rest huts and a restaurant. Bridges and aviaries are also described, but wheelchair access and accessible toilets are not documented.</x:v>
      </x:c>
      <x:c r="AA197" s="117" t="str">
        <x:v>Documented support - conditional</x:v>
      </x:c>
      <x:c r="AB197" s="117" t="str">
        <x:v>https://www.penangbirdpark.com.my/about.php</x:v>
      </x:c>
      <x:c r="AC197" s="117" t="str">
        <x:v>Rest opportunities within the bird park</x:v>
      </x:c>
      <x:c r="AD197" s="117" t="str">
        <x:v>2026-09-08</x:v>
      </x:c>
      <x:c r="AE197" s="117" t="str">
        <x:v>MC0194</x:v>
      </x:c>
      <x:c r="AF197" s="117" t="str">
        <x:v>Distinct candidate</x:v>
      </x:c>
      <x:c r="AG197" s="117" t="str"/>
      <x:c r="AH197" s="117" t="str">
        <x:v>Venue-specific source reviewed</x:v>
      </x:c>
      <x:c r="AI197" s="117" t="str">
        <x:v>https://www.penangbirdpark.com.my/about.php</x:v>
      </x:c>
      <x:c r="AJ197" s="117" t="str">
        <x:v>Place name or established alias matched in the cited source. This is not confirmation of current opening, all visitor facilities or the full description.</x:v>
      </x:c>
      <x:c r="AK197" s="117" t="str">
        <x:v>Not independently confirmed</x:v>
      </x:c>
      <x:c r="AL197" s="117" t="str">
        <x:v>Primary accessibility evidence reviewed</x:v>
      </x:c>
      <x:c r="AM197" s="117" t="str">
        <x:v>2026-09-08</x:v>
      </x:c>
      <x:c r="AN197" s="117"/>
      <x:c r="AO197" s="117"/>
      <x:c r="AP197" s="117" t="str">
        <x:v>No usable pair located; image research pending</x:v>
      </x:c>
      <x:c r="AQ197" s="117"/>
    </x:row>
    <x:row r="198" ht="66" customHeight="1">
      <x:c r="A198" s="117" t="str">
        <x:v>MC0195</x:v>
      </x:c>
      <x:c r="B198" s="117" t="str">
        <x:v>Pangkor Island</x:v>
      </x:c>
      <x:c r="C198" s="117" t="str">
        <x:v>Perak</x:v>
      </x:c>
      <x:c r="D198" s="117" t="str">
        <x:v>Manjung</x:v>
      </x:c>
      <x:c r="E198" s="117" t="str">
        <x:v>Beach and Island</x:v>
      </x:c>
      <x:c r="F198" s="117" t="str">
        <x:v>Local</x:v>
      </x:c>
      <x:c r="G198" s="117" t="str">
        <x:v>Outdoor</x:v>
      </x:c>
      <x:c r="H198" s="117" t="str">
        <x:v>Beach; island; relaxation; snorkelling; kayaking; jet skiing; island hopping; jungle trekking; hornbill feeding; wildlife; fishing villages; seafood; heritage; Dutch Fort; temples; mosques; sunset; duty-free shopping</x:v>
      </x:c>
      <x:c r="I198" s="117" t="str">
        <x:v>Perak's popular tropical island getaway in the Manjung district, known for beaches, fishing villages, seafood, wildlife and heritage sites. Visitors can combine water activities with jungle trekking, hornbill feeding, temple and mosque visits, and exploration of the Dutch Fort.</x:v>
      </x:c>
      <x:c r="J198" s="117" t="str">
        <x:v>https://www.tourismperakmalaysia.com/pangkor-island/ ; https://www.malaysia.travel/explore/pangkor-island</x:v>
      </x:c>
      <x:c r="K198" s="117" t="str">
        <x:v>https://ebrochures.malaysia.travel/en/malaysia-travel-guide/perak/</x:v>
      </x:c>
      <x:c r="L198" s="117" t="str">
        <x:v>Previous workbook candidate/source lead</x:v>
      </x:c>
      <x:c r="M198" s="117" t="str">
        <x:v>Previous workbook seed</x:v>
      </x:c>
      <x:c r="N198" s="117" t="str">
        <x:v>A003</x:v>
      </x:c>
      <x:c r="O198" s="117" t="str">
        <x:v>2026-08-15 00:00:00</x:v>
      </x:c>
      <x:c r="P198" s="117" t="str">
        <x:v>Complete</x:v>
      </x:c>
      <x:c r="Q198" s="117"/>
      <x:c r="R198" s="117" t="str">
        <x:f t="shared" si="3">IF(J198="","Missing Link",IF(AND(ISNUMBER(SEARCH("google.com/maps",J198)),ISERROR(SEARCH(";",J198))),"Discovery Link Only","Source Link Present"))</x:f>
        <x:v>Source Link Present</x:v>
      </x:c>
      <x:c r="S198" s="117" t="str">
        <x:v>Unknown</x:v>
      </x:c>
      <x:c r="T198" s="117" t="str">
        <x:v>Unknown</x:v>
      </x:c>
      <x:c r="U198" s="117" t="str">
        <x:v>Unknown</x:v>
      </x:c>
      <x:c r="V198" s="117" t="str">
        <x:v>Unknown</x:v>
      </x:c>
      <x:c r="W198" s="117" t="str">
        <x:v>Unknown</x:v>
      </x:c>
      <x:c r="X198" s="117" t="str">
        <x:v>Unknown</x:v>
      </x:c>
      <x:c r="Y198" s="117" t="str">
        <x:v>Unknown</x:v>
      </x:c>
      <x:c r="Z198" s="117"/>
      <x:c r="AA198" s="117" t="str">
        <x:v>Pending evidence</x:v>
      </x:c>
      <x:c r="AB198" s="117"/>
      <x:c r="AC198" s="117" t="str">
        <x:v>No qualifying accessibility conclusion established from the screened sources. This is unknown, not evidence that the attraction is inaccessible.</x:v>
      </x:c>
      <x:c r="AD198" s="117" t="str">
        <x:v>2026-09-08</x:v>
      </x:c>
      <x:c r="AE198" s="117" t="str">
        <x:v>MC0195</x:v>
      </x:c>
      <x:c r="AF198" s="117" t="str">
        <x:v>Distinct candidate</x:v>
      </x:c>
      <x:c r="AG198" s="117" t="str"/>
      <x:c r="AH198" s="117" t="str">
        <x:v>Name corroborated in source</x:v>
      </x:c>
      <x:c r="AI198" s="117" t="str">
        <x:v>https://www.tourismperakmalaysia.com/pangkor-island/</x:v>
      </x:c>
      <x:c r="AJ198" s="117" t="str">
        <x:v>Place name or established alias matched in the cited source. This is not confirmation of current opening, all visitor facilities or the full description.</x:v>
      </x:c>
      <x:c r="AK198" s="117" t="str">
        <x:v>Not independently confirmed</x:v>
      </x:c>
      <x:c r="AL198" s="117" t="str">
        <x:v>Screened sources; accessibility unresolved</x:v>
      </x:c>
      <x:c r="AM198" s="117" t="str">
        <x:v>2026-09-08</x:v>
      </x:c>
      <x:c r="AN198" s="117" t="str">
        <x:v>https://thumb.wikimedia.org/wikipedia/commons/thumb/8/85/Cmglee_Malaysia_Pangkor_Island_and_Lumut.jpg/1280px-Cmglee_Malaysia_Pangkor_Island_and_Lumut.jpg?utm_source=commons.wikimedia.org&amp;utm_campaign=imageinfo&amp;utm_content=thumbnail</x:v>
      </x:c>
      <x:c r="AO198" s="117" t="str">
        <x:v>https://thumb.wikimedia.org/wikipedia/commons/thumb/3/31/Sunset_over_Pangkor_Island.jpg/1280px-Sunset_over_Pangkor_Island.jpg?utm_source=commons.wikimedia.org&amp;utm_campaign=imageinfo&amp;utm_content=thumbnail</x:v>
      </x:c>
      <x:c r="AP198" s="117" t="str">
        <x:v>2 metadata-matched images; visual review pending</x:v>
      </x:c>
      <x:c r="AQ198" s="117"/>
    </x:row>
    <x:row r="199" ht="66" customHeight="1">
      <x:c r="A199" s="117" t="str">
        <x:v>MC0196</x:v>
      </x:c>
      <x:c r="B199" s="117" t="str">
        <x:v>Sungai Klah Hot Springs</x:v>
      </x:c>
      <x:c r="C199" s="117" t="str">
        <x:v>Perak</x:v>
      </x:c>
      <x:c r="D199" s="117" t="str">
        <x:v>Sungkai</x:v>
      </x:c>
      <x:c r="E199" s="117" t="str">
        <x:v>Wellness and Relaxation</x:v>
      </x:c>
      <x:c r="F199" s="117" t="str">
        <x:v>Unclassified</x:v>
      </x:c>
      <x:c r="G199" s="117" t="str">
        <x:v>Outdoor</x:v>
      </x:c>
      <x:c r="H199" s="117" t="str">
        <x:v>Hot springs; relaxation; wellness; spa; swimming; water park; private jacuzzi; water reflexology; egg boiling; water slides; forest; family recreation</x:v>
      </x:c>
      <x:c r="I199" s="117" t="str">
        <x:v>A managed natural hot-springs park near Sungkai at the foothills of the Titiwangsa Range. Its forest setting combines hot-spring bathing and swimming with spa-style and family activities such as private jacuzzis, water reflexology, egg boiling and water slides.</x:v>
      </x:c>
      <x:c r="J199" s="117" t="str">
        <x:v>https://www.tourismperakmalaysia.com/sungai-klah-hot-springs/ ; https://www.feldaresidences.com/hot-spring-water-park/ ; https://www.malaysia.travel/explore/perak-s-top-10-activities-from-the-thrilling-to-relaxing</x:v>
      </x:c>
      <x:c r="K199" s="117" t="str">
        <x:v>https://ebrochures.malaysia.travel/en/malaysia-travel-guide/perak/</x:v>
      </x:c>
      <x:c r="L199" s="117" t="str">
        <x:v>Previous workbook candidate/source lead</x:v>
      </x:c>
      <x:c r="M199" s="117" t="str">
        <x:v>Previous workbook seed</x:v>
      </x:c>
      <x:c r="N199" s="117" t="str">
        <x:v>A004</x:v>
      </x:c>
      <x:c r="O199" s="117" t="str">
        <x:v>2026-08-15 00:00:00</x:v>
      </x:c>
      <x:c r="P199" s="117" t="str">
        <x:v>Complete</x:v>
      </x:c>
      <x:c r="Q199" s="117"/>
      <x:c r="R199" s="117" t="str">
        <x:f t="shared" si="3">IF(J199="","Missing Link",IF(AND(ISNUMBER(SEARCH("google.com/maps",J199)),ISERROR(SEARCH(";",J199))),"Discovery Link Only","Source Link Present"))</x:f>
        <x:v>Source Link Present</x:v>
      </x:c>
      <x:c r="S199" s="117" t="str">
        <x:v>Unknown</x:v>
      </x:c>
      <x:c r="T199" s="117" t="str">
        <x:v>Unknown</x:v>
      </x:c>
      <x:c r="U199" s="117" t="str">
        <x:v>Unknown</x:v>
      </x:c>
      <x:c r="V199" s="117" t="str">
        <x:v>Unknown</x:v>
      </x:c>
      <x:c r="W199" s="117" t="str">
        <x:v>Unknown</x:v>
      </x:c>
      <x:c r="X199" s="117" t="str">
        <x:v>Unknown</x:v>
      </x:c>
      <x:c r="Y199" s="117" t="str">
        <x:v>Unknown</x:v>
      </x:c>
      <x:c r="Z199" s="117"/>
      <x:c r="AA199" s="117" t="str">
        <x:v>Pending evidence</x:v>
      </x:c>
      <x:c r="AB199" s="117"/>
      <x:c r="AC199" s="117" t="str">
        <x:v>No qualifying accessibility conclusion established from the screened sources. This is unknown, not evidence that the attraction is inaccessible.</x:v>
      </x:c>
      <x:c r="AD199" s="117" t="str">
        <x:v>2026-09-08</x:v>
      </x:c>
      <x:c r="AE199" s="117" t="str">
        <x:v>MC0196</x:v>
      </x:c>
      <x:c r="AF199" s="117" t="str">
        <x:v>Distinct candidate</x:v>
      </x:c>
      <x:c r="AG199" s="117" t="str"/>
      <x:c r="AH199" s="117" t="str">
        <x:v>Name corroborated in source</x:v>
      </x:c>
      <x:c r="AI199" s="117" t="str">
        <x:v>https://www.tourismperakmalaysia.com/sungai-klah-hot-springs/</x:v>
      </x:c>
      <x:c r="AJ199" s="117" t="str">
        <x:v>Place name or established alias matched in the cited source. This is not confirmation of current opening, all visitor facilities or the full description.</x:v>
      </x:c>
      <x:c r="AK199" s="117" t="str">
        <x:v>Not independently confirmed</x:v>
      </x:c>
      <x:c r="AL199" s="117" t="str">
        <x:v>Screened sources; accessibility unresolved</x:v>
      </x:c>
      <x:c r="AM199" s="117" t="str">
        <x:v>2026-09-08</x:v>
      </x:c>
      <x:c r="AN199" s="117"/>
      <x:c r="AO199" s="117"/>
      <x:c r="AP199" s="117" t="str">
        <x:v>No usable pair located; image research pending</x:v>
      </x:c>
      <x:c r="AQ199" s="117"/>
    </x:row>
    <x:row r="200" ht="66" customHeight="1">
      <x:c r="A200" s="117" t="str">
        <x:v>MC0197</x:v>
      </x:c>
      <x:c r="B200" s="117" t="str">
        <x:v>Lost World of Tambun</x:v>
      </x:c>
      <x:c r="C200" s="117" t="str">
        <x:v>Perak</x:v>
      </x:c>
      <x:c r="D200" s="117" t="str">
        <x:v>Ipoh</x:v>
      </x:c>
      <x:c r="E200" s="117" t="str">
        <x:v>Theme Park</x:v>
      </x:c>
      <x:c r="F200" s="117" t="str">
        <x:v>Unclassified</x:v>
      </x:c>
      <x:c r="G200" s="117" t="str">
        <x:v>Both</x:v>
      </x:c>
      <x:c r="H200" s="117" t="str">
        <x:v>theme park; hot springs; relaxation; family; water park</x:v>
      </x:c>
      <x:c r="I200" s="117" t="str">
        <x:v>A theme park in Ipoh combining water rides, wildlife encounters and hot springs set against limestone hills.</x:v>
      </x:c>
      <x:c r="J200" s="117" t="str">
        <x:v>https://www.google.com/maps/search/?api=1&amp;query=Lost%20World%20of%20Tambun%2C%20Perak%2C%20Malaysia</x:v>
      </x:c>
      <x:c r="K200" s="117" t="str">
        <x:v>https://ebrochures.malaysia.travel/en/malaysia-travel-guide/perak/</x:v>
      </x:c>
      <x:c r="L200" s="117" t="str">
        <x:v>Previous workbook candidate/source lead</x:v>
      </x:c>
      <x:c r="M200" s="117" t="str">
        <x:v>Previous workbook seed</x:v>
      </x:c>
      <x:c r="N200" s="117" t="str">
        <x:v>A089</x:v>
      </x:c>
      <x:c r="O200" s="117" t="str">
        <x:v>2026-08-15 00:00:00</x:v>
      </x:c>
      <x:c r="P200" s="117" t="str">
        <x:v>Complete</x:v>
      </x:c>
      <x:c r="Q200" s="117"/>
      <x:c r="R200" s="117" t="str">
        <x:f t="shared" si="3">IF(J200="","Missing Link",IF(AND(ISNUMBER(SEARCH("google.com/maps",J200)),ISERROR(SEARCH(";",J200))),"Discovery Link Only","Source Link Present"))</x:f>
        <x:v>Discovery Link Only</x:v>
      </x:c>
      <x:c r="S200" s="117" t="str">
        <x:v>Unknown</x:v>
      </x:c>
      <x:c r="T200" s="117" t="str">
        <x:v>Unknown</x:v>
      </x:c>
      <x:c r="U200" s="117" t="str">
        <x:v>Unknown</x:v>
      </x:c>
      <x:c r="V200" s="117" t="str">
        <x:v>Unknown</x:v>
      </x:c>
      <x:c r="W200" s="117" t="str">
        <x:v>Unknown</x:v>
      </x:c>
      <x:c r="X200" s="117" t="str">
        <x:v>Unknown</x:v>
      </x:c>
      <x:c r="Y200" s="117" t="str">
        <x:v>Unknown</x:v>
      </x:c>
      <x:c r="Z200" s="117"/>
      <x:c r="AA200" s="117" t="str">
        <x:v>Pending evidence</x:v>
      </x:c>
      <x:c r="AB200" s="117"/>
      <x:c r="AC200" s="117" t="str">
        <x:v>No qualifying accessibility conclusion established from the screened sources. This is unknown, not evidence that the attraction is inaccessible.</x:v>
      </x:c>
      <x:c r="AD200" s="117" t="str">
        <x:v>2026-09-08</x:v>
      </x:c>
      <x:c r="AE200" s="117" t="str">
        <x:v>MC0197</x:v>
      </x:c>
      <x:c r="AF200" s="117" t="str">
        <x:v>Distinct candidate</x:v>
      </x:c>
      <x:c r="AG200" s="117" t="str"/>
      <x:c r="AH200" s="117" t="str">
        <x:v>Name corroborated in source</x:v>
      </x:c>
      <x:c r="AI200" s="117" t="str">
        <x:v>https://ebrochures.malaysia.travel/en/malaysia-travel-guide/perak/</x:v>
      </x:c>
      <x:c r="AJ200" s="117" t="str">
        <x:v>Place name or established alias matched in the cited source. This is not confirmation of current opening, all visitor facilities or the full description.</x:v>
      </x:c>
      <x:c r="AK200" s="117" t="str">
        <x:v>Not independently confirmed</x:v>
      </x:c>
      <x:c r="AL200" s="117" t="str">
        <x:v>Screened sources; accessibility unresolved</x:v>
      </x:c>
      <x:c r="AM200" s="117" t="str">
        <x:v>2026-09-08</x:v>
      </x:c>
      <x:c r="AN200" s="117" t="str">
        <x:v>https://thumb.wikimedia.org/wikipedia/commons/thumb/5/5e/Lost_Word_of_Tambun_Main_Entrance.JPG/1280px-Lost_Word_of_Tambun_Main_Entrance.JPG?utm_source=commons.wikimedia.org&amp;utm_campaign=imageinfo&amp;utm_content=thumbnail</x:v>
      </x:c>
      <x:c r="AO200" s="117" t="str">
        <x:v>https://thumb.wikimedia.org/wikipedia/commons/thumb/b/b1/Lost_World_Petting_Zoo_Albino-Phyton.JPG/1280px-Lost_World_Petting_Zoo_Albino-Phyton.JPG?utm_source=commons.wikimedia.org&amp;utm_campaign=imageinfo&amp;utm_content=thumbnail</x:v>
      </x:c>
      <x:c r="AP200" s="117" t="str">
        <x:v>2 metadata-matched images; visual review pending</x:v>
      </x:c>
      <x:c r="AQ200" s="117"/>
    </x:row>
    <x:row r="201" ht="66" customHeight="1">
      <x:c r="A201" s="117" t="str">
        <x:v>MC0198</x:v>
      </x:c>
      <x:c r="B201" s="117" t="str">
        <x:v>Kellie's Castle</x:v>
      </x:c>
      <x:c r="C201" s="117" t="str">
        <x:v>Perak</x:v>
      </x:c>
      <x:c r="D201" s="117" t="str">
        <x:v>Batu Gajah</x:v>
      </x:c>
      <x:c r="E201" s="117" t="str">
        <x:v>Heritage and History</x:v>
      </x:c>
      <x:c r="F201" s="117" t="str">
        <x:v>Unclassified</x:v>
      </x:c>
      <x:c r="G201" s="117" t="str">
        <x:v>Both</x:v>
      </x:c>
      <x:c r="H201" s="117" t="str">
        <x:v>castle; heritage; history; architecture; photography</x:v>
      </x:c>
      <x:c r="I201" s="117" t="str">
        <x:v>An unfinished early-20th-century mansion in Batu Gajah, Perak, built by Scottish planter William Kellie Smith and known for its unusual architecture and legends.</x:v>
      </x:c>
      <x:c r="J201" s="117" t="str">
        <x:v>https://www.google.com/maps/search/?api=1&amp;query=Kellie's%20Castle%2C%20Perak%2C%20Malaysia</x:v>
      </x:c>
      <x:c r="K201" s="117" t="str">
        <x:v>https://ebrochures.malaysia.travel/en/malaysia-travel-guide/perak/</x:v>
      </x:c>
      <x:c r="L201" s="117" t="str">
        <x:v>Previous workbook candidate/source lead</x:v>
      </x:c>
      <x:c r="M201" s="117" t="str">
        <x:v>Previous workbook seed</x:v>
      </x:c>
      <x:c r="N201" s="117" t="str">
        <x:v>A090</x:v>
      </x:c>
      <x:c r="O201" s="117" t="str">
        <x:v>2026-08-15 00:00:00</x:v>
      </x:c>
      <x:c r="P201" s="117" t="str">
        <x:v>Complete</x:v>
      </x:c>
      <x:c r="Q201" s="117"/>
      <x:c r="R201" s="117" t="str">
        <x:f t="shared" si="3">IF(J201="","Missing Link",IF(AND(ISNUMBER(SEARCH("google.com/maps",J201)),ISERROR(SEARCH(";",J201))),"Discovery Link Only","Source Link Present"))</x:f>
        <x:v>Discovery Link Only</x:v>
      </x:c>
      <x:c r="S201" s="117" t="str">
        <x:v>Unknown</x:v>
      </x:c>
      <x:c r="T201" s="117" t="str">
        <x:v>Unknown</x:v>
      </x:c>
      <x:c r="U201" s="117" t="str">
        <x:v>Unknown</x:v>
      </x:c>
      <x:c r="V201" s="117" t="str">
        <x:v>Unknown</x:v>
      </x:c>
      <x:c r="W201" s="117" t="str">
        <x:v>Unknown</x:v>
      </x:c>
      <x:c r="X201" s="117" t="str">
        <x:v>Unknown</x:v>
      </x:c>
      <x:c r="Y201" s="117" t="str">
        <x:v>Unknown</x:v>
      </x:c>
      <x:c r="Z201" s="117"/>
      <x:c r="AA201" s="117" t="str">
        <x:v>Pending evidence</x:v>
      </x:c>
      <x:c r="AB201" s="117"/>
      <x:c r="AC201" s="117" t="str">
        <x:v>No qualifying accessibility conclusion established from the screened sources. This is unknown, not evidence that the attraction is inaccessible.</x:v>
      </x:c>
      <x:c r="AD201" s="117" t="str">
        <x:v>2026-09-08</x:v>
      </x:c>
      <x:c r="AE201" s="117" t="str">
        <x:v>MC0198</x:v>
      </x:c>
      <x:c r="AF201" s="117" t="str">
        <x:v>Distinct candidate</x:v>
      </x:c>
      <x:c r="AG201" s="117" t="str"/>
      <x:c r="AH201" s="117" t="str">
        <x:v>Name corroborated in source</x:v>
      </x:c>
      <x:c r="AI201" s="117" t="str">
        <x:v>https://ebrochures.malaysia.travel/en/malaysia-travel-guide/perak/</x:v>
      </x:c>
      <x:c r="AJ201" s="117" t="str">
        <x:v>Place name or established alias matched in the cited source. This is not confirmation of current opening, all visitor facilities or the full description.</x:v>
      </x:c>
      <x:c r="AK201" s="117" t="str">
        <x:v>Not independently confirmed</x:v>
      </x:c>
      <x:c r="AL201" s="117" t="str">
        <x:v>Screened sources; accessibility unresolved</x:v>
      </x:c>
      <x:c r="AM201" s="117" t="str">
        <x:v>2026-09-08</x:v>
      </x:c>
      <x:c r="AN201" s="117" t="str">
        <x:v>https://thumb.wikimedia.org/wikipedia/commons/thumb/6/68/Kellie%27s_Castle.jpg/1280px-Kellie%27s_Castle.jpg?utm_source=commons.wikimedia.org&amp;utm_campaign=imageinfo&amp;utm_content=thumbnail</x:v>
      </x:c>
      <x:c r="AO201" s="117" t="str">
        <x:v>https://thumb.wikimedia.org/wikipedia/commons/thumb/6/65/Ghostly_Cloister_Balcony_2.png/1280px-Ghostly_Cloister_Balcony_2.png?utm_source=commons.wikimedia.org&amp;utm_campaign=imageinfo&amp;utm_content=thumbnail</x:v>
      </x:c>
      <x:c r="AP201" s="117" t="str">
        <x:v>2 metadata-matched images; visual review pending</x:v>
      </x:c>
      <x:c r="AQ201" s="117"/>
    </x:row>
    <x:row r="202" ht="66" customHeight="1">
      <x:c r="A202" s="117" t="str">
        <x:v>MC0199</x:v>
      </x:c>
      <x:c r="B202" s="117" t="str">
        <x:v>Ipoh Old Town</x:v>
      </x:c>
      <x:c r="C202" s="117" t="str">
        <x:v>Perak</x:v>
      </x:c>
      <x:c r="D202" s="117" t="str">
        <x:v>Ipoh</x:v>
      </x:c>
      <x:c r="E202" s="117" t="str">
        <x:v>Urban Attraction</x:v>
      </x:c>
      <x:c r="F202" s="117" t="str">
        <x:v>Local</x:v>
      </x:c>
      <x:c r="G202" s="117" t="str">
        <x:v>Outdoor</x:v>
      </x:c>
      <x:c r="H202" s="117" t="str">
        <x:v>heritage; street art; local food; history; walking</x:v>
      </x:c>
      <x:c r="I202" s="117" t="str">
        <x:v>Ipoh's historic core, known for well-preserved colonial shophouses, street art and famous local food.</x:v>
      </x:c>
      <x:c r="J202" s="117" t="str">
        <x:v>https://www.google.com/maps/search/?api=1&amp;query=Ipoh%20Old%20Town%2C%20Perak%2C%20Malaysia</x:v>
      </x:c>
      <x:c r="K202" s="117" t="str">
        <x:v>https://ebrochures.malaysia.travel/en/malaysia-travel-guide/perak/</x:v>
      </x:c>
      <x:c r="L202" s="117" t="str">
        <x:v>Previous workbook candidate/source lead</x:v>
      </x:c>
      <x:c r="M202" s="117" t="str">
        <x:v>Previous workbook seed</x:v>
      </x:c>
      <x:c r="N202" s="117" t="str">
        <x:v>A091</x:v>
      </x:c>
      <x:c r="O202" s="117" t="str">
        <x:v>2026-08-15 00:00:00</x:v>
      </x:c>
      <x:c r="P202" s="117" t="str">
        <x:v>Complete</x:v>
      </x:c>
      <x:c r="Q202" s="117" t="str">
        <x:v>Identity and Malaysian location verified in second-pass review on 2026-09-08.</x:v>
      </x:c>
      <x:c r="R202" s="117" t="str">
        <x:f t="shared" si="3">IF(J202="","Missing Link",IF(AND(ISNUMBER(SEARCH("google.com/maps",J202)),ISERROR(SEARCH(";",J202))),"Discovery Link Only","Source Link Present"))</x:f>
        <x:v>Discovery Link Only</x:v>
      </x:c>
      <x:c r="S202" s="117" t="str">
        <x:v>Unknown</x:v>
      </x:c>
      <x:c r="T202" s="117" t="str">
        <x:v>Unknown</x:v>
      </x:c>
      <x:c r="U202" s="117" t="str">
        <x:v>Unknown</x:v>
      </x:c>
      <x:c r="V202" s="117" t="str">
        <x:v>Unknown</x:v>
      </x:c>
      <x:c r="W202" s="117" t="str">
        <x:v>Unknown</x:v>
      </x:c>
      <x:c r="X202" s="117" t="str">
        <x:v>Unknown</x:v>
      </x:c>
      <x:c r="Y202" s="117" t="str">
        <x:v>Unknown</x:v>
      </x:c>
      <x:c r="Z202" s="117"/>
      <x:c r="AA202" s="117" t="str">
        <x:v>Pending evidence</x:v>
      </x:c>
      <x:c r="AB202" s="117"/>
      <x:c r="AC202" s="117" t="str">
        <x:v>No qualifying accessibility conclusion established from the screened sources. This is unknown, not evidence that the attraction is inaccessible.</x:v>
      </x:c>
      <x:c r="AD202" s="117" t="str">
        <x:v>2026-09-08</x:v>
      </x:c>
      <x:c r="AE202" s="117" t="str">
        <x:v>MC0199</x:v>
      </x:c>
      <x:c r="AF202" s="117" t="str">
        <x:v>Distinct candidate</x:v>
      </x:c>
      <x:c r="AG202" s="117" t="str"/>
      <x:c r="AH202" s="117" t="str">
        <x:v>Identity and location corroborated</x:v>
      </x:c>
      <x:c r="AI202" s="117" t="str">
        <x:v>https://www.openstreetmap.org/way/788092915</x:v>
      </x:c>
      <x:c r="AJ202" s="117" t="str">
        <x:v>Mapped source matches the attraction name or established alias and the stated Malaysian location. This verifies identity/location only; confirm current opening and accessibility separately.</x:v>
      </x:c>
      <x:c r="AK202" s="117" t="str">
        <x:v>Not independently confirmed</x:v>
      </x:c>
      <x:c r="AL202" s="117" t="str">
        <x:v>Screened sources; accessibility unresolved</x:v>
      </x:c>
      <x:c r="AM202" s="117" t="str">
        <x:v>2026-09-08</x:v>
      </x:c>
      <x:c r="AN202" s="117"/>
      <x:c r="AO202" s="117"/>
      <x:c r="AP202" s="117" t="str">
        <x:v>No usable pair located; image research pending</x:v>
      </x:c>
      <x:c r="AQ202" s="117"/>
    </x:row>
    <x:row r="203" ht="66" customHeight="1">
      <x:c r="A203" s="117" t="str">
        <x:v>MC0200</x:v>
      </x:c>
      <x:c r="B203" s="117" t="str">
        <x:v>Royal Belum State Park</x:v>
      </x:c>
      <x:c r="C203" s="117" t="str">
        <x:v>Perak</x:v>
      </x:c>
      <x:c r="D203" s="117" t="str">
        <x:v>Gerik</x:v>
      </x:c>
      <x:c r="E203" s="117" t="str">
        <x:v>Nature</x:v>
      </x:c>
      <x:c r="F203" s="117" t="str">
        <x:v>Unclassified</x:v>
      </x:c>
      <x:c r="G203" s="117" t="str">
        <x:v>Outdoor</x:v>
      </x:c>
      <x:c r="H203" s="117" t="str">
        <x:v>rainforest; wildlife; boat trip; nature; adventure</x:v>
      </x:c>
      <x:c r="I203" s="117" t="str">
        <x:v>A vast ancient rainforest in Gerik district, Perak, among the world's oldest rainforests, known for wildlife and Orang Asli communities.</x:v>
      </x:c>
      <x:c r="J203" s="117" t="str">
        <x:v>https://www.google.com/maps/search/?api=1&amp;query=Royal%20Belum%20State%20Park%2C%20Perak%2C%20Malaysia</x:v>
      </x:c>
      <x:c r="K203" s="117" t="str">
        <x:v>https://ebrochures.malaysia.travel/en/malaysia-travel-guide/perak/</x:v>
      </x:c>
      <x:c r="L203" s="117" t="str">
        <x:v>Previous workbook candidate/source lead</x:v>
      </x:c>
      <x:c r="M203" s="117" t="str">
        <x:v>Previous workbook seed</x:v>
      </x:c>
      <x:c r="N203" s="117" t="str">
        <x:v>A092</x:v>
      </x:c>
      <x:c r="O203" s="117" t="str">
        <x:v>2026-08-15 00:00:00</x:v>
      </x:c>
      <x:c r="P203" s="117" t="str">
        <x:v>Complete</x:v>
      </x:c>
      <x:c r="Q203" s="117"/>
      <x:c r="R203" s="117" t="str">
        <x:f t="shared" si="3">IF(J203="","Missing Link",IF(AND(ISNUMBER(SEARCH("google.com/maps",J203)),ISERROR(SEARCH(";",J203))),"Discovery Link Only","Source Link Present"))</x:f>
        <x:v>Discovery Link Only</x:v>
      </x:c>
      <x:c r="S203" s="117" t="str">
        <x:v>Unknown</x:v>
      </x:c>
      <x:c r="T203" s="117" t="str">
        <x:v>Unknown</x:v>
      </x:c>
      <x:c r="U203" s="117" t="str">
        <x:v>Unknown</x:v>
      </x:c>
      <x:c r="V203" s="117" t="str">
        <x:v>Unknown</x:v>
      </x:c>
      <x:c r="W203" s="117" t="str">
        <x:v>Unknown</x:v>
      </x:c>
      <x:c r="X203" s="117" t="str">
        <x:v>Unknown</x:v>
      </x:c>
      <x:c r="Y203" s="117" t="str">
        <x:v>Unknown</x:v>
      </x:c>
      <x:c r="Z203" s="117"/>
      <x:c r="AA203" s="117" t="str">
        <x:v>Pending evidence</x:v>
      </x:c>
      <x:c r="AB203" s="117"/>
      <x:c r="AC203" s="117" t="str">
        <x:v>No qualifying accessibility conclusion established from the screened sources. This is unknown, not evidence that the attraction is inaccessible.</x:v>
      </x:c>
      <x:c r="AD203" s="117" t="str">
        <x:v>2026-09-08</x:v>
      </x:c>
      <x:c r="AE203" s="117" t="str">
        <x:v>MC0200</x:v>
      </x:c>
      <x:c r="AF203" s="117" t="str">
        <x:v>Distinct candidate</x:v>
      </x:c>
      <x:c r="AG203" s="117" t="str"/>
      <x:c r="AH203" s="117" t="str">
        <x:v>Name corroborated in source</x:v>
      </x:c>
      <x:c r="AI203" s="117" t="str">
        <x:v>https://ebrochures.malaysia.travel/en/malaysia-travel-guide/perak/</x:v>
      </x:c>
      <x:c r="AJ203" s="117" t="str">
        <x:v>Place name or established alias matched in the cited source. This is not confirmation of current opening, all visitor facilities or the full description.</x:v>
      </x:c>
      <x:c r="AK203" s="117" t="str">
        <x:v>Not independently confirmed</x:v>
      </x:c>
      <x:c r="AL203" s="117" t="str">
        <x:v>Screened sources; accessibility unresolved</x:v>
      </x:c>
      <x:c r="AM203" s="117" t="str">
        <x:v>2026-09-08</x:v>
      </x:c>
      <x:c r="AN203" s="117" t="str">
        <x:v>https://thumb.wikimedia.org/wikipedia/commons/thumb/2/2b/Royal_Belum_State_Park.jpg/1280px-Royal_Belum_State_Park.jpg?utm_source=commons.wikimedia.org&amp;utm_campaign=imageinfo&amp;utm_content=thumbnail</x:v>
      </x:c>
      <x:c r="AO203" s="117"/>
      <x:c r="AP203" s="117" t="str">
        <x:v>1 metadata-matched images; visual review pending</x:v>
      </x:c>
      <x:c r="AQ203" s="117"/>
    </x:row>
    <x:row r="204" ht="66" customHeight="1">
      <x:c r="A204" s="117" t="str">
        <x:v>MC0201</x:v>
      </x:c>
      <x:c r="B204" s="117" t="str">
        <x:v>Taiping Lake Gardens</x:v>
      </x:c>
      <x:c r="C204" s="117" t="str">
        <x:v>Perak</x:v>
      </x:c>
      <x:c r="D204" s="117" t="str">
        <x:v>Taiping</x:v>
      </x:c>
      <x:c r="E204" s="117" t="str">
        <x:v>Park and Recreation</x:v>
      </x:c>
      <x:c r="F204" s="117" t="str">
        <x:v>Unclassified</x:v>
      </x:c>
      <x:c r="G204" s="117" t="str">
        <x:v>Outdoor</x:v>
      </x:c>
      <x:c r="H204" s="117" t="str">
        <x:v>lake; garden; walking; relaxation; family</x:v>
      </x:c>
      <x:c r="I204" s="117" t="str">
        <x:v>A landscaped garden built on former tin-mining pools in Taiping, considered one of Malaysia's earliest and most scenic public parks.</x:v>
      </x:c>
      <x:c r="J204" s="117" t="str">
        <x:v>https://www.google.com/maps/search/?api=1&amp;query=Taiping%20Lake%20Gardens%2C%20Perak%2C%20Malaysia</x:v>
      </x:c>
      <x:c r="K204" s="117" t="str">
        <x:v>https://ebrochures.malaysia.travel/en/malaysia-travel-guide/perak/</x:v>
      </x:c>
      <x:c r="L204" s="117" t="str">
        <x:v>Previous workbook candidate/source lead</x:v>
      </x:c>
      <x:c r="M204" s="117" t="str">
        <x:v>Previous workbook seed</x:v>
      </x:c>
      <x:c r="N204" s="117" t="str">
        <x:v>A093</x:v>
      </x:c>
      <x:c r="O204" s="117" t="str">
        <x:v>2026-08-15 00:00:00</x:v>
      </x:c>
      <x:c r="P204" s="117" t="str">
        <x:v>Complete</x:v>
      </x:c>
      <x:c r="Q204" s="117"/>
      <x:c r="R204" s="117" t="str">
        <x:f t="shared" si="3">IF(J204="","Missing Link",IF(AND(ISNUMBER(SEARCH("google.com/maps",J204)),ISERROR(SEARCH(";",J204))),"Discovery Link Only","Source Link Present"))</x:f>
        <x:v>Discovery Link Only</x:v>
      </x:c>
      <x:c r="S204" s="117" t="str">
        <x:v>Unknown</x:v>
      </x:c>
      <x:c r="T204" s="117" t="str">
        <x:v>Unknown</x:v>
      </x:c>
      <x:c r="U204" s="117" t="str">
        <x:v>Unknown</x:v>
      </x:c>
      <x:c r="V204" s="117" t="str">
        <x:v>Unknown</x:v>
      </x:c>
      <x:c r="W204" s="117" t="str">
        <x:v>Unknown</x:v>
      </x:c>
      <x:c r="X204" s="117" t="str">
        <x:v>Unknown</x:v>
      </x:c>
      <x:c r="Y204" s="117" t="str">
        <x:v>Unknown</x:v>
      </x:c>
      <x:c r="Z204" s="117"/>
      <x:c r="AA204" s="117" t="str">
        <x:v>Pending evidence</x:v>
      </x:c>
      <x:c r="AB204" s="117"/>
      <x:c r="AC204" s="117" t="str">
        <x:v>No qualifying accessibility conclusion established from the screened sources. This is unknown, not evidence that the attraction is inaccessible.</x:v>
      </x:c>
      <x:c r="AD204" s="117" t="str">
        <x:v>2026-09-08</x:v>
      </x:c>
      <x:c r="AE204" s="117" t="str">
        <x:v>MC0201</x:v>
      </x:c>
      <x:c r="AF204" s="117" t="str">
        <x:v>Distinct candidate</x:v>
      </x:c>
      <x:c r="AG204" s="117" t="str"/>
      <x:c r="AH204" s="117" t="str">
        <x:v>Name corroborated in source</x:v>
      </x:c>
      <x:c r="AI204" s="117" t="str">
        <x:v>https://ebrochures.malaysia.travel/en/malaysia-travel-guide/perak/</x:v>
      </x:c>
      <x:c r="AJ204" s="117" t="str">
        <x:v>Place name or established alias matched in the cited source. This is not confirmation of current opening, all visitor facilities or the full description.</x:v>
      </x:c>
      <x:c r="AK204" s="117" t="str">
        <x:v>Not independently confirmed</x:v>
      </x:c>
      <x:c r="AL204" s="117" t="str">
        <x:v>Screened sources; accessibility unresolved</x:v>
      </x:c>
      <x:c r="AM204" s="117" t="str">
        <x:v>2026-09-08</x:v>
      </x:c>
      <x:c r="AN204" s="117" t="str">
        <x:v>https://upload.wikimedia.org/wikipedia/commons/5/5e/Wohin_auswandern_malaysia_Taiping_Lake_Gardens_4.jpg?utm_source=commons.wikimedia.org&amp;utm_campaign=imageinfo&amp;utm_content=thumbnail_unscaled</x:v>
      </x:c>
      <x:c r="AO204" s="117" t="str">
        <x:v>https://thumb.wikimedia.org/wikipedia/commons/thumb/7/75/Taiping_-_Taman_Tasik_sign_blue_hour_with_reflections_-_Jun_2024.jpg/1280px-Taiping_-_Taman_Tasik_sign_blue_hour_with_reflections_-_Jun_2024.jpg?utm_source=commons.wikimedia.org&amp;utm_campaign=imageinfo&amp;utm_content=thumbnail</x:v>
      </x:c>
      <x:c r="AP204" s="117" t="str">
        <x:v>2 metadata-matched images; visual review pending</x:v>
      </x:c>
      <x:c r="AQ204" s="117"/>
    </x:row>
    <x:row r="205" ht="66" customHeight="1">
      <x:c r="A205" s="117" t="str">
        <x:v>MC0202</x:v>
      </x:c>
      <x:c r="B205" s="117" t="str">
        <x:v>Perak Cave Temple</x:v>
      </x:c>
      <x:c r="C205" s="117" t="str">
        <x:v>Perak</x:v>
      </x:c>
      <x:c r="D205" s="117" t="str">
        <x:v>Ipoh</x:v>
      </x:c>
      <x:c r="E205" s="117" t="str">
        <x:v>Religious Site</x:v>
      </x:c>
      <x:c r="F205" s="117" t="str">
        <x:v>Unclassified</x:v>
      </x:c>
      <x:c r="G205" s="117" t="str">
        <x:v>Both</x:v>
      </x:c>
      <x:c r="H205" s="117" t="str">
        <x:v>cave temple; culture; architecture; religion; scenery</x:v>
      </x:c>
      <x:c r="I205" s="117" t="str">
        <x:v>A Chinese Buddhist cave temple in Ipoh built into a limestone hill, with murals and a hilltop viewpoint.</x:v>
      </x:c>
      <x:c r="J205" s="117" t="str">
        <x:v>https://www.google.com/maps/search/?api=1&amp;query=Perak%20Cave%20Temple%2C%20Perak%2C%20Malaysia</x:v>
      </x:c>
      <x:c r="K205" s="117" t="str">
        <x:v>https://ebrochures.malaysia.travel/en/malaysia-travel-guide/perak/</x:v>
      </x:c>
      <x:c r="L205" s="117" t="str">
        <x:v>Previous workbook candidate/source lead</x:v>
      </x:c>
      <x:c r="M205" s="117" t="str">
        <x:v>Previous workbook seed</x:v>
      </x:c>
      <x:c r="N205" s="117" t="str">
        <x:v>A094</x:v>
      </x:c>
      <x:c r="O205" s="117" t="str">
        <x:v>2026-08-15 00:00:00</x:v>
      </x:c>
      <x:c r="P205" s="117" t="str">
        <x:v>Complete</x:v>
      </x:c>
      <x:c r="Q205" s="117" t="str">
        <x:v>Identity and Malaysian location verified in second-pass review on 2026-09-08.</x:v>
      </x:c>
      <x:c r="R205" s="117" t="str">
        <x:f t="shared" si="3">IF(J205="","Missing Link",IF(AND(ISNUMBER(SEARCH("google.com/maps",J205)),ISERROR(SEARCH(";",J205))),"Discovery Link Only","Source Link Present"))</x:f>
        <x:v>Discovery Link Only</x:v>
      </x:c>
      <x:c r="S205" s="117" t="str">
        <x:v>Unknown</x:v>
      </x:c>
      <x:c r="T205" s="117" t="str">
        <x:v>Unknown</x:v>
      </x:c>
      <x:c r="U205" s="117" t="str">
        <x:v>Unknown</x:v>
      </x:c>
      <x:c r="V205" s="117" t="str">
        <x:v>Unknown</x:v>
      </x:c>
      <x:c r="W205" s="117" t="str">
        <x:v>Unknown</x:v>
      </x:c>
      <x:c r="X205" s="117" t="str">
        <x:v>Unknown</x:v>
      </x:c>
      <x:c r="Y205" s="117" t="str">
        <x:v>Unknown</x:v>
      </x:c>
      <x:c r="Z205" s="117"/>
      <x:c r="AA205" s="117" t="str">
        <x:v>Pending evidence</x:v>
      </x:c>
      <x:c r="AB205" s="117"/>
      <x:c r="AC205" s="117" t="str">
        <x:v>No qualifying accessibility conclusion established from the screened sources. This is unknown, not evidence that the attraction is inaccessible.</x:v>
      </x:c>
      <x:c r="AD205" s="117" t="str">
        <x:v>2026-09-08</x:v>
      </x:c>
      <x:c r="AE205" s="117" t="str">
        <x:v>MC0202</x:v>
      </x:c>
      <x:c r="AF205" s="117" t="str">
        <x:v>Distinct candidate</x:v>
      </x:c>
      <x:c r="AG205" s="117" t="str"/>
      <x:c r="AH205" s="117" t="str">
        <x:v>Identity and location corroborated</x:v>
      </x:c>
      <x:c r="AI205" s="117" t="str">
        <x:v>https://www.openstreetmap.org/node/13565867819</x:v>
      </x:c>
      <x:c r="AJ205" s="117" t="str">
        <x:v>Mapped source matches the attraction name or established alias and the stated Malaysian location. This verifies identity/location only; confirm current opening and accessibility separately.</x:v>
      </x:c>
      <x:c r="AK205" s="117" t="str">
        <x:v>Not independently confirmed</x:v>
      </x:c>
      <x:c r="AL205" s="117" t="str">
        <x:v>Screened sources; accessibility unresolved</x:v>
      </x:c>
      <x:c r="AM205" s="117" t="str">
        <x:v>2026-09-08</x:v>
      </x:c>
      <x:c r="AN205" s="117"/>
      <x:c r="AO205" s="117"/>
      <x:c r="AP205" s="117" t="str">
        <x:v>No usable pair located; image research pending</x:v>
      </x:c>
      <x:c r="AQ205" s="117"/>
    </x:row>
    <x:row r="206" ht="66" customHeight="1">
      <x:c r="A206" s="117" t="str">
        <x:v>MC0203</x:v>
      </x:c>
      <x:c r="B206" s="117" t="str">
        <x:v>Matang Mangrove Forest Reserve</x:v>
      </x:c>
      <x:c r="C206" s="117" t="str">
        <x:v>Perak</x:v>
      </x:c>
      <x:c r="D206" s="117" t="str">
        <x:v>Kuala Sepetang</x:v>
      </x:c>
      <x:c r="E206" s="117" t="str">
        <x:v>Nature</x:v>
      </x:c>
      <x:c r="F206" s="117" t="str">
        <x:v>Unclassified</x:v>
      </x:c>
      <x:c r="G206" s="117" t="str">
        <x:v>Outdoor</x:v>
      </x:c>
      <x:c r="H206" s="117" t="str">
        <x:v>mangrove; nature; wildlife; education; river</x:v>
      </x:c>
      <x:c r="I206" s="117" t="str">
        <x:v>One of the best-managed mangrove forest reserves in Asia, near Kuala Sepetang, Perak, known for sustainable charcoal production and wildlife.</x:v>
      </x:c>
      <x:c r="J206" s="117" t="str">
        <x:v>https://www.google.com/maps/search/?api=1&amp;query=Matang%20Mangrove%20Forest%20Reserve%2C%20Perak%2C%20Malaysia</x:v>
      </x:c>
      <x:c r="K206" s="117" t="str">
        <x:v>https://ebrochures.malaysia.travel/en/malaysia-travel-guide/perak/</x:v>
      </x:c>
      <x:c r="L206" s="117" t="str">
        <x:v>Previous workbook candidate/source lead</x:v>
      </x:c>
      <x:c r="M206" s="117" t="str">
        <x:v>Previous workbook seed</x:v>
      </x:c>
      <x:c r="N206" s="117" t="str">
        <x:v>A095</x:v>
      </x:c>
      <x:c r="O206" s="117" t="str">
        <x:v>2026-08-15 00:00:00</x:v>
      </x:c>
      <x:c r="P206" s="117" t="str">
        <x:v>Complete</x:v>
      </x:c>
      <x:c r="Q206" s="117"/>
      <x:c r="R206" s="117" t="str">
        <x:f t="shared" si="3">IF(J206="","Missing Link",IF(AND(ISNUMBER(SEARCH("google.com/maps",J206)),ISERROR(SEARCH(";",J206))),"Discovery Link Only","Source Link Present"))</x:f>
        <x:v>Discovery Link Only</x:v>
      </x:c>
      <x:c r="S206" s="117" t="str">
        <x:v>Unknown</x:v>
      </x:c>
      <x:c r="T206" s="117" t="str">
        <x:v>Unknown</x:v>
      </x:c>
      <x:c r="U206" s="117" t="str">
        <x:v>Unknown</x:v>
      </x:c>
      <x:c r="V206" s="117" t="str">
        <x:v>Unknown</x:v>
      </x:c>
      <x:c r="W206" s="117" t="str">
        <x:v>Unknown</x:v>
      </x:c>
      <x:c r="X206" s="117" t="str">
        <x:v>Unknown</x:v>
      </x:c>
      <x:c r="Y206" s="117" t="str">
        <x:v>Unknown</x:v>
      </x:c>
      <x:c r="Z206" s="117"/>
      <x:c r="AA206" s="117" t="str">
        <x:v>Pending evidence</x:v>
      </x:c>
      <x:c r="AB206" s="117"/>
      <x:c r="AC206" s="117" t="str">
        <x:v>No qualifying accessibility conclusion established from the screened sources. This is unknown, not evidence that the attraction is inaccessible.</x:v>
      </x:c>
      <x:c r="AD206" s="117" t="str">
        <x:v>2026-09-08</x:v>
      </x:c>
      <x:c r="AE206" s="117" t="str">
        <x:v>MC0203</x:v>
      </x:c>
      <x:c r="AF206" s="117" t="str">
        <x:v>Distinct candidate</x:v>
      </x:c>
      <x:c r="AG206" s="117" t="str"/>
      <x:c r="AH206" s="117" t="str">
        <x:v>Name corroborated in source</x:v>
      </x:c>
      <x:c r="AI206" s="117" t="str">
        <x:v>https://ebrochures.malaysia.travel/en/malaysia-travel-guide/perak/</x:v>
      </x:c>
      <x:c r="AJ206" s="117" t="str">
        <x:v>Place name or established alias matched in the cited source. This is not confirmation of current opening, all visitor facilities or the full description.</x:v>
      </x:c>
      <x:c r="AK206" s="117" t="str">
        <x:v>Not independently confirmed</x:v>
      </x:c>
      <x:c r="AL206" s="117" t="str">
        <x:v>Screened sources; accessibility unresolved</x:v>
      </x:c>
      <x:c r="AM206" s="117" t="str">
        <x:v>2026-09-08</x:v>
      </x:c>
      <x:c r="AN206" s="117"/>
      <x:c r="AO206" s="117"/>
      <x:c r="AP206" s="117" t="str">
        <x:v>No usable pair located; image research pending</x:v>
      </x:c>
      <x:c r="AQ206" s="117"/>
    </x:row>
    <x:row r="207" ht="66" customHeight="1">
      <x:c r="A207" s="117" t="str">
        <x:v>MC0204</x:v>
      </x:c>
      <x:c r="B207" s="117" t="str">
        <x:v>Gua Tempurung</x:v>
      </x:c>
      <x:c r="C207" s="117" t="str">
        <x:v>Perak</x:v>
      </x:c>
      <x:c r="D207" s="117" t="str">
        <x:v>Gopeng</x:v>
      </x:c>
      <x:c r="E207" s="117" t="str">
        <x:v>Adventure</x:v>
      </x:c>
      <x:c r="F207" s="117" t="str">
        <x:v>Unclassified</x:v>
      </x:c>
      <x:c r="G207" s="117" t="str">
        <x:v>Outdoor</x:v>
      </x:c>
      <x:c r="H207" s="117" t="str">
        <x:v>cave; adventure; geology; hiking; nature</x:v>
      </x:c>
      <x:c r="I207" s="117" t="str">
        <x:v>One of Peninsular Malaysia's largest limestone cave systems, in Gopeng, offering guided cave tours and adventure caving routes.</x:v>
      </x:c>
      <x:c r="J207" s="117" t="str">
        <x:v>https://www.google.com/maps/search/?api=1&amp;query=Gua%20Tempurung%2C%20Perak%2C%20Malaysia</x:v>
      </x:c>
      <x:c r="K207" s="117" t="str">
        <x:v>https://ebrochures.malaysia.travel/en/malaysia-travel-guide/perak/</x:v>
      </x:c>
      <x:c r="L207" s="117" t="str">
        <x:v>Previous workbook candidate/source lead</x:v>
      </x:c>
      <x:c r="M207" s="117" t="str">
        <x:v>Previous workbook seed</x:v>
      </x:c>
      <x:c r="N207" s="117" t="str">
        <x:v>A096</x:v>
      </x:c>
      <x:c r="O207" s="117" t="str">
        <x:v>2026-08-15 00:00:00</x:v>
      </x:c>
      <x:c r="P207" s="117" t="str">
        <x:v>Complete</x:v>
      </x:c>
      <x:c r="Q207" s="117"/>
      <x:c r="R207" s="117" t="str">
        <x:f t="shared" si="3">IF(J207="","Missing Link",IF(AND(ISNUMBER(SEARCH("google.com/maps",J207)),ISERROR(SEARCH(";",J207))),"Discovery Link Only","Source Link Present"))</x:f>
        <x:v>Discovery Link Only</x:v>
      </x:c>
      <x:c r="S207" s="117" t="str">
        <x:v>Unknown</x:v>
      </x:c>
      <x:c r="T207" s="117" t="str">
        <x:v>Unknown</x:v>
      </x:c>
      <x:c r="U207" s="117" t="str">
        <x:v>Unknown</x:v>
      </x:c>
      <x:c r="V207" s="117" t="str">
        <x:v>Unknown</x:v>
      </x:c>
      <x:c r="W207" s="117" t="str">
        <x:v>Unknown</x:v>
      </x:c>
      <x:c r="X207" s="117" t="str">
        <x:v>Unknown</x:v>
      </x:c>
      <x:c r="Y207" s="117" t="str">
        <x:v>Unknown</x:v>
      </x:c>
      <x:c r="Z207" s="117"/>
      <x:c r="AA207" s="117" t="str">
        <x:v>Pending evidence</x:v>
      </x:c>
      <x:c r="AB207" s="117"/>
      <x:c r="AC207" s="117" t="str">
        <x:v>No qualifying accessibility conclusion established from the screened sources. This is unknown, not evidence that the attraction is inaccessible.</x:v>
      </x:c>
      <x:c r="AD207" s="117" t="str">
        <x:v>2026-09-08</x:v>
      </x:c>
      <x:c r="AE207" s="117" t="str">
        <x:v>MC0204</x:v>
      </x:c>
      <x:c r="AF207" s="117" t="str">
        <x:v>Distinct candidate</x:v>
      </x:c>
      <x:c r="AG207" s="117" t="str"/>
      <x:c r="AH207" s="117" t="str">
        <x:v>Name corroborated in source</x:v>
      </x:c>
      <x:c r="AI207" s="117" t="str">
        <x:v>https://ebrochures.malaysia.travel/en/malaysia-travel-guide/perak/</x:v>
      </x:c>
      <x:c r="AJ207" s="117" t="str">
        <x:v>Place name or established alias matched in the cited source. This is not confirmation of current opening, all visitor facilities or the full description.</x:v>
      </x:c>
      <x:c r="AK207" s="117" t="str">
        <x:v>Not independently confirmed</x:v>
      </x:c>
      <x:c r="AL207" s="117" t="str">
        <x:v>Screened sources; accessibility unresolved</x:v>
      </x:c>
      <x:c r="AM207" s="117" t="str">
        <x:v>2026-09-08</x:v>
      </x:c>
      <x:c r="AN207" s="117" t="str">
        <x:v>https://thumb.wikimedia.org/wikipedia/commons/thumb/e/e9/Gua_Tempurung.jpg/1280px-Gua_Tempurung.jpg?utm_source=commons.wikimedia.org&amp;utm_campaign=imageinfo&amp;utm_content=thumbnail</x:v>
      </x:c>
      <x:c r="AO207" s="117" t="str">
        <x:v>https://upload.wikimedia.org/wikipedia/commons/0/02/E1%2C_Hentian_Sebelah_Gua_Tempurung_Arah_Selatan_02.jpg?utm_source=commons.wikimedia.org&amp;utm_campaign=imageinfo&amp;utm_content=thumbnail_unscaled</x:v>
      </x:c>
      <x:c r="AP207" s="117" t="str">
        <x:v>2 metadata-matched images; visual review pending</x:v>
      </x:c>
      <x:c r="AQ207" s="117"/>
    </x:row>
    <x:row r="208" ht="66" customHeight="1">
      <x:c r="A208" s="117" t="str">
        <x:v>MC0205</x:v>
      </x:c>
      <x:c r="B208" s="117" t="str">
        <x:v>Ipoh Old Town Heritage Trail</x:v>
      </x:c>
      <x:c r="C208" s="117" t="str">
        <x:v>Perak</x:v>
      </x:c>
      <x:c r="D208" s="117" t="str">
        <x:v>Ipoh</x:v>
      </x:c>
      <x:c r="E208" s="117" t="str">
        <x:v>Heritage and History</x:v>
      </x:c>
      <x:c r="F208" s="117" t="str">
        <x:v>Popular</x:v>
      </x:c>
      <x:c r="G208" s="117" t="str">
        <x:v>Both</x:v>
      </x:c>
      <x:c r="H208" s="117" t="str">
        <x:v>heritage; street art; food</x:v>
      </x:c>
      <x:c r="I208" s="117" t="str">
        <x:v>A self-guided walking trail through Ipoh's colonial-era heritage buildings and street art.</x:v>
      </x:c>
      <x:c r="J208" s="117" t="str">
        <x:v>https://www.google.com/maps/search/?api=1&amp;query=Ipoh%20Old%20Town%20Heritage%20Trail%2C%20Perak%2C%20Malaysia</x:v>
      </x:c>
      <x:c r="K208" s="117" t="str">
        <x:v>https://ebrochures.malaysia.travel/en/malaysia-travel-guide/perak/</x:v>
      </x:c>
      <x:c r="L208" s="117" t="str">
        <x:v>Tourism Malaysia state guide plus map discovery link</x:v>
      </x:c>
      <x:c r="M208" s="117" t="str">
        <x:v>Perak expansion batch</x:v>
      </x:c>
      <x:c r="N208" s="117"/>
      <x:c r="O208" s="117" t="str">
        <x:v>2026-08-15 00:00:00</x:v>
      </x:c>
      <x:c r="P208" s="117" t="str">
        <x:v>Complete</x:v>
      </x:c>
      <x:c r="Q208" s="117" t="str">
        <x:v>Identity and Malaysian location verified in second-pass review on 2026-09-08.</x:v>
      </x:c>
      <x:c r="R208" s="117" t="str">
        <x:f t="shared" si="3">IF(J208="","Missing Link",IF(AND(ISNUMBER(SEARCH("google.com/maps",J208)),ISERROR(SEARCH(";",J208))),"Discovery Link Only","Source Link Present"))</x:f>
        <x:v>Discovery Link Only</x:v>
      </x:c>
      <x:c r="S208" s="117" t="str">
        <x:v>Unknown</x:v>
      </x:c>
      <x:c r="T208" s="117" t="str">
        <x:v>Unknown</x:v>
      </x:c>
      <x:c r="U208" s="117" t="str">
        <x:v>Unknown</x:v>
      </x:c>
      <x:c r="V208" s="117" t="str">
        <x:v>Unknown</x:v>
      </x:c>
      <x:c r="W208" s="117" t="str">
        <x:v>Unknown</x:v>
      </x:c>
      <x:c r="X208" s="117" t="str">
        <x:v>Unknown</x:v>
      </x:c>
      <x:c r="Y208" s="117" t="str">
        <x:v>Unknown</x:v>
      </x:c>
      <x:c r="Z208" s="117"/>
      <x:c r="AA208" s="117" t="str">
        <x:v>Pending evidence</x:v>
      </x:c>
      <x:c r="AB208" s="117"/>
      <x:c r="AC208" s="117" t="str">
        <x:v>No qualifying accessibility conclusion established from the screened sources. This is unknown, not evidence that the attraction is inaccessible.</x:v>
      </x:c>
      <x:c r="AD208" s="117" t="str">
        <x:v>2026-09-08</x:v>
      </x:c>
      <x:c r="AE208" s="117" t="str">
        <x:v>MC0205</x:v>
      </x:c>
      <x:c r="AF208" s="117" t="str">
        <x:v>Related site or component</x:v>
      </x:c>
      <x:c r="AG208" s="117" t="str">
        <x:v>MC0199</x:v>
      </x:c>
      <x:c r="AH208" s="117" t="str">
        <x:v>Identity and location corroborated</x:v>
      </x:c>
      <x:c r="AI208" s="117" t="str">
        <x:v>https://db.ipohworld.org/photo/pdf/3875_pt1kj140616.pdf</x:v>
      </x:c>
      <x:c r="AJ208" s="117" t="str">
        <x:v>Local heritage database matches the attraction name or established alias and the stated Malaysian location. This verifies identity/location only; confirm current opening and accessibility separately.</x:v>
      </x:c>
      <x:c r="AK208" s="117" t="str">
        <x:v>Not independently confirmed</x:v>
      </x:c>
      <x:c r="AL208" s="117" t="str">
        <x:v>Screened sources; accessibility unresolved</x:v>
      </x:c>
      <x:c r="AM208" s="117" t="str">
        <x:v>2026-09-08</x:v>
      </x:c>
      <x:c r="AN208" s="117"/>
      <x:c r="AO208" s="117"/>
      <x:c r="AP208" s="117" t="str">
        <x:v>No usable pair located; image research pending</x:v>
      </x:c>
      <x:c r="AQ208" s="117"/>
    </x:row>
    <x:row r="209" ht="66" customHeight="1">
      <x:c r="A209" s="117" t="str">
        <x:v>MC0206</x:v>
      </x:c>
      <x:c r="B209" s="117" t="str">
        <x:v>Han Chin Pet Soo</x:v>
      </x:c>
      <x:c r="C209" s="117" t="str">
        <x:v>Perak</x:v>
      </x:c>
      <x:c r="D209" s="117" t="str">
        <x:v>Ipoh</x:v>
      </x:c>
      <x:c r="E209" s="117" t="str">
        <x:v>Museum and Gallery</x:v>
      </x:c>
      <x:c r="F209" s="117" t="str">
        <x:v>Popular</x:v>
      </x:c>
      <x:c r="G209" s="117" t="str">
        <x:v>Indoor</x:v>
      </x:c>
      <x:c r="H209" s="117" t="str">
        <x:v>tin mining; museum; heritage</x:v>
      </x:c>
      <x:c r="I209" s="117" t="str">
        <x:v>A former Hakka tin-miners' clan clubhouse in Ipoh, now a museum on the region's tin-mining Chinese community.</x:v>
      </x:c>
      <x:c r="J209" s="117" t="str">
        <x:v>https://www.google.com/maps/search/?api=1&amp;query=Han%20Chin%20Pet%20Soo%2C%20Perak%2C%20Malaysia</x:v>
      </x:c>
      <x:c r="K209" s="117" t="str">
        <x:v>https://ebrochures.malaysia.travel/en/malaysia-travel-guide/perak/</x:v>
      </x:c>
      <x:c r="L209" s="117" t="str">
        <x:v>Tourism Malaysia state guide plus map discovery link</x:v>
      </x:c>
      <x:c r="M209" s="117" t="str">
        <x:v>Perak expansion batch</x:v>
      </x:c>
      <x:c r="N209" s="117"/>
      <x:c r="O209" s="117" t="str">
        <x:v>2026-08-15 00:00:00</x:v>
      </x:c>
      <x:c r="P209" s="117" t="str">
        <x:v>Complete</x:v>
      </x:c>
      <x:c r="Q209" s="117" t="str">
        <x:v>Identity and Malaysian location verified in second-pass review on 2026-09-08.</x:v>
      </x:c>
      <x:c r="R209" s="117" t="str">
        <x:f t="shared" si="3">IF(J209="","Missing Link",IF(AND(ISNUMBER(SEARCH("google.com/maps",J209)),ISERROR(SEARCH(";",J209))),"Discovery Link Only","Source Link Present"))</x:f>
        <x:v>Discovery Link Only</x:v>
      </x:c>
      <x:c r="S209" s="117" t="str">
        <x:v>Unknown</x:v>
      </x:c>
      <x:c r="T209" s="117" t="str">
        <x:v>Unknown</x:v>
      </x:c>
      <x:c r="U209" s="117" t="str">
        <x:v>Unknown</x:v>
      </x:c>
      <x:c r="V209" s="117" t="str">
        <x:v>Unknown</x:v>
      </x:c>
      <x:c r="W209" s="117" t="str">
        <x:v>Unknown</x:v>
      </x:c>
      <x:c r="X209" s="117" t="str">
        <x:v>Unknown</x:v>
      </x:c>
      <x:c r="Y209" s="117" t="str">
        <x:v>Unknown</x:v>
      </x:c>
      <x:c r="Z209" s="117"/>
      <x:c r="AA209" s="117" t="str">
        <x:v>Pending evidence</x:v>
      </x:c>
      <x:c r="AB209" s="117"/>
      <x:c r="AC209" s="117" t="str">
        <x:v>No qualifying accessibility conclusion established from the screened sources. This is unknown, not evidence that the attraction is inaccessible.</x:v>
      </x:c>
      <x:c r="AD209" s="117" t="str">
        <x:v>2026-09-08</x:v>
      </x:c>
      <x:c r="AE209" s="117" t="str">
        <x:v>MC0206</x:v>
      </x:c>
      <x:c r="AF209" s="117" t="str">
        <x:v>Distinct candidate</x:v>
      </x:c>
      <x:c r="AG209" s="117" t="str"/>
      <x:c r="AH209" s="117" t="str">
        <x:v>Identity and location corroborated</x:v>
      </x:c>
      <x:c r="AI209" s="117" t="str">
        <x:v>https://en.wikipedia.org/wiki/Han_Chin_Pet_Soo</x:v>
      </x:c>
      <x:c r="AJ209" s="117" t="str">
        <x:v>Encyclopedic source matches the attraction name or established alias and the stated Malaysian location. This verifies identity/location only; confirm current opening and accessibility separately.</x:v>
      </x:c>
      <x:c r="AK209" s="117" t="str">
        <x:v>Not independently confirmed</x:v>
      </x:c>
      <x:c r="AL209" s="117" t="str">
        <x:v>Screened sources; accessibility unresolved</x:v>
      </x:c>
      <x:c r="AM209" s="117" t="str">
        <x:v>2026-09-08</x:v>
      </x:c>
      <x:c r="AN209" s="117" t="str">
        <x:v>https://upload.wikimedia.org/wikipedia/commons/d/d8/HCPS_Dining_hall.jpg?utm_source=commons.wikimedia.org&amp;utm_campaign=imageinfo&amp;utm_content=thumbnail_unscaled</x:v>
      </x:c>
      <x:c r="AO209" s="117" t="str">
        <x:v>https://upload.wikimedia.org/wikipedia/commons/0/07/HCPS_coolie.jpg?utm_source=commons.wikimedia.org&amp;utm_campaign=imageinfo&amp;utm_content=thumbnail_unscaled</x:v>
      </x:c>
      <x:c r="AP209" s="117" t="str">
        <x:v>2 metadata-matched images; visual review pending</x:v>
      </x:c>
      <x:c r="AQ209" s="117"/>
    </x:row>
    <x:row r="210" ht="66" customHeight="1">
      <x:c r="A210" s="117" t="str">
        <x:v>MC0207</x:v>
      </x:c>
      <x:c r="B210" s="117" t="str">
        <x:v>Ho Yan Hor Museum</x:v>
      </x:c>
      <x:c r="C210" s="117" t="str">
        <x:v>Perak</x:v>
      </x:c>
      <x:c r="D210" s="117" t="str">
        <x:v>Ipoh</x:v>
      </x:c>
      <x:c r="E210" s="117" t="str">
        <x:v>Museum and Gallery</x:v>
      </x:c>
      <x:c r="F210" s="117" t="str">
        <x:v>Local</x:v>
      </x:c>
      <x:c r="G210" s="117" t="str">
        <x:v>Indoor</x:v>
      </x:c>
      <x:c r="H210" s="117" t="str">
        <x:v>heritage house; tea; museum</x:v>
      </x:c>
      <x:c r="I210" s="117" t="str">
        <x:v>A museum in Ipoh dedicated to the history of the Ho Yan Hor herbal tea brand and its founder.</x:v>
      </x:c>
      <x:c r="J210" s="117" t="str">
        <x:v>https://www.google.com/maps/search/?api=1&amp;query=Ho%20Yan%20Hor%20Museum%2C%20Perak%2C%20Malaysia</x:v>
      </x:c>
      <x:c r="K210" s="117" t="str">
        <x:v>https://ebrochures.malaysia.travel/en/malaysia-travel-guide/perak/</x:v>
      </x:c>
      <x:c r="L210" s="117" t="str">
        <x:v>Tourism Malaysia state guide plus map discovery link</x:v>
      </x:c>
      <x:c r="M210" s="117" t="str">
        <x:v>Perak expansion batch</x:v>
      </x:c>
      <x:c r="N210" s="117"/>
      <x:c r="O210" s="117" t="str">
        <x:v>2026-08-15 00:00:00</x:v>
      </x:c>
      <x:c r="P210" s="117" t="str">
        <x:v>Complete</x:v>
      </x:c>
      <x:c r="Q210" s="117" t="str">
        <x:v>Identity and Malaysian location verified in second-pass review on 2026-09-08.</x:v>
      </x:c>
      <x:c r="R210" s="117" t="str">
        <x:f t="shared" si="3">IF(J210="","Missing Link",IF(AND(ISNUMBER(SEARCH("google.com/maps",J210)),ISERROR(SEARCH(";",J210))),"Discovery Link Only","Source Link Present"))</x:f>
        <x:v>Discovery Link Only</x:v>
      </x:c>
      <x:c r="S210" s="117" t="str">
        <x:v>Unknown</x:v>
      </x:c>
      <x:c r="T210" s="117" t="str">
        <x:v>Unknown</x:v>
      </x:c>
      <x:c r="U210" s="117" t="str">
        <x:v>Unknown</x:v>
      </x:c>
      <x:c r="V210" s="117" t="str">
        <x:v>Unknown</x:v>
      </x:c>
      <x:c r="W210" s="117" t="str">
        <x:v>Unknown</x:v>
      </x:c>
      <x:c r="X210" s="117" t="str">
        <x:v>Unknown</x:v>
      </x:c>
      <x:c r="Y210" s="117" t="str">
        <x:v>Unknown</x:v>
      </x:c>
      <x:c r="Z210" s="117"/>
      <x:c r="AA210" s="117" t="str">
        <x:v>Pending evidence</x:v>
      </x:c>
      <x:c r="AB210" s="117"/>
      <x:c r="AC210" s="117" t="str">
        <x:v>No qualifying accessibility conclusion established from the screened sources. This is unknown, not evidence that the attraction is inaccessible.</x:v>
      </x:c>
      <x:c r="AD210" s="117" t="str">
        <x:v>2026-09-08</x:v>
      </x:c>
      <x:c r="AE210" s="117" t="str">
        <x:v>MC0207</x:v>
      </x:c>
      <x:c r="AF210" s="117" t="str">
        <x:v>Distinct candidate</x:v>
      </x:c>
      <x:c r="AG210" s="117" t="str"/>
      <x:c r="AH210" s="117" t="str">
        <x:v>Identity and location corroborated</x:v>
      </x:c>
      <x:c r="AI210" s="117" t="str">
        <x:v>https://hyhmuseum.com/</x:v>
      </x:c>
      <x:c r="AJ210" s="117" t="str">
        <x:v>Venue/operator source matches the attraction name or established alias and the stated Malaysian location. This verifies identity/location only; confirm current opening and accessibility separately.</x:v>
      </x:c>
      <x:c r="AK210" s="117" t="str">
        <x:v>Not independently confirmed</x:v>
      </x:c>
      <x:c r="AL210" s="117" t="str">
        <x:v>Screened sources; accessibility unresolved</x:v>
      </x:c>
      <x:c r="AM210" s="117" t="str">
        <x:v>2026-09-08</x:v>
      </x:c>
      <x:c r="AN210" s="117" t="str">
        <x:v>https://thumb.wikimedia.org/wikipedia/commons/thumb/c/c6/Ho_Yan_Hor_Museum_1.jpg/1280px-Ho_Yan_Hor_Museum_1.jpg?utm_source=commons.wikimedia.org&amp;utm_campaign=imageinfo&amp;utm_content=thumbnail</x:v>
      </x:c>
      <x:c r="AO210" s="117"/>
      <x:c r="AP210" s="117" t="str">
        <x:v>1 metadata-matched images; visual review pending</x:v>
      </x:c>
      <x:c r="AQ210" s="117"/>
    </x:row>
    <x:row r="211" ht="66" customHeight="1">
      <x:c r="A211" s="117" t="str">
        <x:v>MC0208</x:v>
      </x:c>
      <x:c r="B211" s="117" t="str">
        <x:v>Kek Lok Tong Cave Temple</x:v>
      </x:c>
      <x:c r="C211" s="117" t="str">
        <x:v>Perak</x:v>
      </x:c>
      <x:c r="D211" s="117" t="str">
        <x:v>Ipoh</x:v>
      </x:c>
      <x:c r="E211" s="117" t="str">
        <x:v>Religious Site</x:v>
      </x:c>
      <x:c r="F211" s="117" t="str">
        <x:v>Popular</x:v>
      </x:c>
      <x:c r="G211" s="117" t="str">
        <x:v>Both</x:v>
      </x:c>
      <x:c r="H211" s="117" t="str">
        <x:v>cave temple; garden; limestone</x:v>
      </x:c>
      <x:c r="I211" s="117" t="str">
        <x:v>A Buddhist cave temple in Ipoh set within a limestone cavern, with a garden and reflective pool at its rear entrance.</x:v>
      </x:c>
      <x:c r="J211" s="117" t="str">
        <x:v>https://www.google.com/maps/search/?api=1&amp;query=Kek%20Lok%20Tong%20Cave%20Temple%2C%20Perak%2C%20Malaysia</x:v>
      </x:c>
      <x:c r="K211" s="117" t="str">
        <x:v>https://ebrochures.malaysia.travel/en/malaysia-travel-guide/perak/</x:v>
      </x:c>
      <x:c r="L211" s="117" t="str">
        <x:v>Tourism Malaysia state guide plus map discovery link</x:v>
      </x:c>
      <x:c r="M211" s="117" t="str">
        <x:v>Perak expansion batch</x:v>
      </x:c>
      <x:c r="N211" s="117"/>
      <x:c r="O211" s="117" t="str">
        <x:v>2026-08-15 00:00:00</x:v>
      </x:c>
      <x:c r="P211" s="117" t="str">
        <x:v>Complete</x:v>
      </x:c>
      <x:c r="Q211" s="117"/>
      <x:c r="R211" s="117" t="str">
        <x:f t="shared" si="3">IF(J211="","Missing Link",IF(AND(ISNUMBER(SEARCH("google.com/maps",J211)),ISERROR(SEARCH(";",J211))),"Discovery Link Only","Source Link Present"))</x:f>
        <x:v>Discovery Link Only</x:v>
      </x:c>
      <x:c r="S211" s="117" t="str">
        <x:v>Unknown</x:v>
      </x:c>
      <x:c r="T211" s="117" t="str">
        <x:v>Unknown</x:v>
      </x:c>
      <x:c r="U211" s="117" t="str">
        <x:v>Unknown</x:v>
      </x:c>
      <x:c r="V211" s="117" t="str">
        <x:v>Unknown</x:v>
      </x:c>
      <x:c r="W211" s="117" t="str">
        <x:v>Unknown</x:v>
      </x:c>
      <x:c r="X211" s="117" t="str">
        <x:v>Unknown</x:v>
      </x:c>
      <x:c r="Y211" s="117" t="str">
        <x:v>Unknown</x:v>
      </x:c>
      <x:c r="Z211" s="117"/>
      <x:c r="AA211" s="117" t="str">
        <x:v>Pending evidence</x:v>
      </x:c>
      <x:c r="AB211" s="117"/>
      <x:c r="AC211" s="117" t="str">
        <x:v>No qualifying accessibility conclusion established from the screened sources. This is unknown, not evidence that the attraction is inaccessible.</x:v>
      </x:c>
      <x:c r="AD211" s="117" t="str">
        <x:v>2026-09-08</x:v>
      </x:c>
      <x:c r="AE211" s="117" t="str">
        <x:v>MC0208</x:v>
      </x:c>
      <x:c r="AF211" s="117" t="str">
        <x:v>Distinct candidate</x:v>
      </x:c>
      <x:c r="AG211" s="117" t="str"/>
      <x:c r="AH211" s="117" t="str">
        <x:v>Name corroborated in source</x:v>
      </x:c>
      <x:c r="AI211" s="117" t="str">
        <x:v>https://ebrochures.malaysia.travel/en/malaysia-travel-guide/perak/</x:v>
      </x:c>
      <x:c r="AJ211" s="117" t="str">
        <x:v>Place name or established alias matched in the cited source. This is not confirmation of current opening, all visitor facilities or the full description.</x:v>
      </x:c>
      <x:c r="AK211" s="117" t="str">
        <x:v>Not independently confirmed</x:v>
      </x:c>
      <x:c r="AL211" s="117" t="str">
        <x:v>Screened sources; accessibility unresolved</x:v>
      </x:c>
      <x:c r="AM211" s="117" t="str">
        <x:v>2026-09-08</x:v>
      </x:c>
      <x:c r="AN211" s="117"/>
      <x:c r="AO211" s="117"/>
      <x:c r="AP211" s="117" t="str">
        <x:v>No usable pair located; image research pending</x:v>
      </x:c>
      <x:c r="AQ211" s="117"/>
    </x:row>
    <x:row r="212" ht="66" customHeight="1">
      <x:c r="A212" s="117" t="str">
        <x:v>MC0209</x:v>
      </x:c>
      <x:c r="B212" s="117" t="str">
        <x:v>Sam Poh Tong Temple</x:v>
      </x:c>
      <x:c r="C212" s="117" t="str">
        <x:v>Perak</x:v>
      </x:c>
      <x:c r="D212" s="117" t="str">
        <x:v>Ipoh</x:v>
      </x:c>
      <x:c r="E212" s="117" t="str">
        <x:v>Religious Site</x:v>
      </x:c>
      <x:c r="F212" s="117" t="str">
        <x:v>Popular</x:v>
      </x:c>
      <x:c r="G212" s="117" t="str">
        <x:v>Both</x:v>
      </x:c>
      <x:c r="H212" s="117" t="str">
        <x:v>cave temple; architecture; culture</x:v>
      </x:c>
      <x:c r="I212" s="117" t="str">
        <x:v>A Buddhist cave temple in Ipoh built into a limestone outcrop, with a turtle pond and landscaped garden.</x:v>
      </x:c>
      <x:c r="J212" s="117" t="str">
        <x:v>https://www.google.com/maps/search/?api=1&amp;query=Sam%20Poh%20Tong%20Temple%2C%20Perak%2C%20Malaysia</x:v>
      </x:c>
      <x:c r="K212" s="117" t="str">
        <x:v>https://ebrochures.malaysia.travel/en/malaysia-travel-guide/perak/</x:v>
      </x:c>
      <x:c r="L212" s="117" t="str">
        <x:v>Tourism Malaysia state guide plus map discovery link</x:v>
      </x:c>
      <x:c r="M212" s="117" t="str">
        <x:v>Perak expansion batch</x:v>
      </x:c>
      <x:c r="N212" s="117"/>
      <x:c r="O212" s="117" t="str">
        <x:v>2026-08-15 00:00:00</x:v>
      </x:c>
      <x:c r="P212" s="117" t="str">
        <x:v>Complete</x:v>
      </x:c>
      <x:c r="Q212" s="117"/>
      <x:c r="R212" s="117" t="str">
        <x:f t="shared" si="3">IF(J212="","Missing Link",IF(AND(ISNUMBER(SEARCH("google.com/maps",J212)),ISERROR(SEARCH(";",J212))),"Discovery Link Only","Source Link Present"))</x:f>
        <x:v>Discovery Link Only</x:v>
      </x:c>
      <x:c r="S212" s="117" t="str">
        <x:v>Unknown</x:v>
      </x:c>
      <x:c r="T212" s="117" t="str">
        <x:v>Unknown</x:v>
      </x:c>
      <x:c r="U212" s="117" t="str">
        <x:v>Unknown</x:v>
      </x:c>
      <x:c r="V212" s="117" t="str">
        <x:v>Unknown</x:v>
      </x:c>
      <x:c r="W212" s="117" t="str">
        <x:v>Unknown</x:v>
      </x:c>
      <x:c r="X212" s="117" t="str">
        <x:v>Unknown</x:v>
      </x:c>
      <x:c r="Y212" s="117" t="str">
        <x:v>Unknown</x:v>
      </x:c>
      <x:c r="Z212" s="117"/>
      <x:c r="AA212" s="117" t="str">
        <x:v>Pending evidence</x:v>
      </x:c>
      <x:c r="AB212" s="117"/>
      <x:c r="AC212" s="117" t="str">
        <x:v>No qualifying accessibility conclusion established from the screened sources. This is unknown, not evidence that the attraction is inaccessible.</x:v>
      </x:c>
      <x:c r="AD212" s="117" t="str">
        <x:v>2026-09-08</x:v>
      </x:c>
      <x:c r="AE212" s="117" t="str">
        <x:v>MC0209</x:v>
      </x:c>
      <x:c r="AF212" s="117" t="str">
        <x:v>Distinct candidate</x:v>
      </x:c>
      <x:c r="AG212" s="117" t="str"/>
      <x:c r="AH212" s="117" t="str">
        <x:v>Name corroborated in source</x:v>
      </x:c>
      <x:c r="AI212" s="117" t="str">
        <x:v>https://ebrochures.malaysia.travel/en/malaysia-travel-guide/perak/</x:v>
      </x:c>
      <x:c r="AJ212" s="117" t="str">
        <x:v>Place name or established alias matched in the cited source. This is not confirmation of current opening, all visitor facilities or the full description.</x:v>
      </x:c>
      <x:c r="AK212" s="117" t="str">
        <x:v>Not independently confirmed</x:v>
      </x:c>
      <x:c r="AL212" s="117" t="str">
        <x:v>Screened sources; accessibility unresolved</x:v>
      </x:c>
      <x:c r="AM212" s="117" t="str">
        <x:v>2026-09-08</x:v>
      </x:c>
      <x:c r="AN212" s="117" t="str">
        <x:v>https://thumb.wikimedia.org/wikipedia/commons/thumb/7/72/Sam_Poh_Tong_Temple.jpg/1280px-Sam_Poh_Tong_Temple.jpg?utm_source=commons.wikimedia.org&amp;utm_campaign=imageinfo&amp;utm_content=thumbnail</x:v>
      </x:c>
      <x:c r="AO212" s="117" t="str">
        <x:v>https://thumb.wikimedia.org/wikipedia/commons/thumb/3/32/Divine_prayers.png/1280px-Divine_prayers.png?utm_source=commons.wikimedia.org&amp;utm_campaign=imageinfo&amp;utm_content=thumbnail</x:v>
      </x:c>
      <x:c r="AP212" s="117" t="str">
        <x:v>2 metadata-matched images; visual review pending</x:v>
      </x:c>
      <x:c r="AQ212" s="117"/>
    </x:row>
    <x:row r="213" ht="66" customHeight="1">
      <x:c r="A213" s="117" t="str">
        <x:v>MC0210</x:v>
      </x:c>
      <x:c r="B213" s="117" t="str">
        <x:v>Gunung Lang Recreational Park</x:v>
      </x:c>
      <x:c r="C213" s="117" t="str">
        <x:v>Perak</x:v>
      </x:c>
      <x:c r="D213" s="117" t="str">
        <x:v>Ipoh</x:v>
      </x:c>
      <x:c r="E213" s="117" t="str">
        <x:v>Park and Recreation</x:v>
      </x:c>
      <x:c r="F213" s="117" t="str">
        <x:v>Local</x:v>
      </x:c>
      <x:c r="G213" s="117" t="str">
        <x:v>Outdoor</x:v>
      </x:c>
      <x:c r="H213" s="117" t="str">
        <x:v>lake; limestone; family</x:v>
      </x:c>
      <x:c r="I213" s="117" t="str">
        <x:v>A scenic lakeside park in Ipoh set against limestone cliffs, popular for kayaking and photography.</x:v>
      </x:c>
      <x:c r="J213" s="117" t="str">
        <x:v>https://www.google.com/maps/search/?api=1&amp;query=Gunung%20Lang%20Recreational%20Park%2C%20Perak%2C%20Malaysia</x:v>
      </x:c>
      <x:c r="K213" s="117" t="str">
        <x:v>https://ebrochures.malaysia.travel/en/malaysia-travel-guide/perak/</x:v>
      </x:c>
      <x:c r="L213" s="117" t="str">
        <x:v>Tourism Malaysia state guide plus map discovery link</x:v>
      </x:c>
      <x:c r="M213" s="117" t="str">
        <x:v>Perak expansion batch</x:v>
      </x:c>
      <x:c r="N213" s="117"/>
      <x:c r="O213" s="117" t="str">
        <x:v>2026-08-15 00:00:00</x:v>
      </x:c>
      <x:c r="P213" s="117" t="str">
        <x:v>Complete</x:v>
      </x:c>
      <x:c r="Q213" s="117"/>
      <x:c r="R213" s="117" t="str">
        <x:f t="shared" si="3">IF(J213="","Missing Link",IF(AND(ISNUMBER(SEARCH("google.com/maps",J213)),ISERROR(SEARCH(";",J213))),"Discovery Link Only","Source Link Present"))</x:f>
        <x:v>Discovery Link Only</x:v>
      </x:c>
      <x:c r="S213" s="117" t="str">
        <x:v>Unknown</x:v>
      </x:c>
      <x:c r="T213" s="117" t="str">
        <x:v>Unknown</x:v>
      </x:c>
      <x:c r="U213" s="117" t="str">
        <x:v>Unknown</x:v>
      </x:c>
      <x:c r="V213" s="117" t="str">
        <x:v>Unknown</x:v>
      </x:c>
      <x:c r="W213" s="117" t="str">
        <x:v>Unknown</x:v>
      </x:c>
      <x:c r="X213" s="117" t="str">
        <x:v>Unknown</x:v>
      </x:c>
      <x:c r="Y213" s="117" t="str">
        <x:v>Unknown</x:v>
      </x:c>
      <x:c r="Z213" s="117"/>
      <x:c r="AA213" s="117" t="str">
        <x:v>Pending evidence</x:v>
      </x:c>
      <x:c r="AB213" s="117"/>
      <x:c r="AC213" s="117" t="str">
        <x:v>No qualifying accessibility conclusion established from the screened sources. This is unknown, not evidence that the attraction is inaccessible.</x:v>
      </x:c>
      <x:c r="AD213" s="117" t="str">
        <x:v>2026-09-08</x:v>
      </x:c>
      <x:c r="AE213" s="117" t="str">
        <x:v>MC0210</x:v>
      </x:c>
      <x:c r="AF213" s="117" t="str">
        <x:v>Distinct candidate</x:v>
      </x:c>
      <x:c r="AG213" s="117" t="str"/>
      <x:c r="AH213" s="117" t="str">
        <x:v>Name corroborated in source</x:v>
      </x:c>
      <x:c r="AI213" s="117" t="str">
        <x:v>https://ebrochures.malaysia.travel/en/malaysia-travel-guide/perak/</x:v>
      </x:c>
      <x:c r="AJ213" s="117" t="str">
        <x:v>Place name or established alias matched in the cited source. This is not confirmation of current opening, all visitor facilities or the full description.</x:v>
      </x:c>
      <x:c r="AK213" s="117" t="str">
        <x:v>Not independently confirmed</x:v>
      </x:c>
      <x:c r="AL213" s="117" t="str">
        <x:v>Screened sources; accessibility unresolved</x:v>
      </x:c>
      <x:c r="AM213" s="117" t="str">
        <x:v>2026-09-08</x:v>
      </x:c>
      <x:c r="AN213" s="117" t="str">
        <x:v>https://thumb.wikimedia.org/wikipedia/commons/thumb/0/0f/Panorama_at_Gunung_Lang_Recreational_Park.jpg/1280px-Panorama_at_Gunung_Lang_Recreational_Park.jpg?utm_source=commons.wikimedia.org&amp;utm_campaign=imageinfo&amp;utm_content=thumbnail</x:v>
      </x:c>
      <x:c r="AO213" s="117" t="str">
        <x:v>https://thumb.wikimedia.org/wikipedia/commons/thumb/5/5c/Taman_Gunung_Lang.jpg/1280px-Taman_Gunung_Lang.jpg?utm_source=commons.wikimedia.org&amp;utm_campaign=imageinfo&amp;utm_content=thumbnail</x:v>
      </x:c>
      <x:c r="AP213" s="117" t="str">
        <x:v>2 metadata-matched images; visual review pending</x:v>
      </x:c>
      <x:c r="AQ213" s="117"/>
    </x:row>
    <x:row r="214" ht="66" customHeight="1">
      <x:c r="A214" s="117" t="str">
        <x:v>MC0211</x:v>
      </x:c>
      <x:c r="B214" s="117" t="str">
        <x:v>Ubudiah Mosque</x:v>
      </x:c>
      <x:c r="C214" s="117" t="str">
        <x:v>Perak</x:v>
      </x:c>
      <x:c r="D214" s="117" t="str">
        <x:v>Kuala Kangsar</x:v>
      </x:c>
      <x:c r="E214" s="117" t="str">
        <x:v>Religious Site</x:v>
      </x:c>
      <x:c r="F214" s="117" t="str">
        <x:v>Popular</x:v>
      </x:c>
      <x:c r="G214" s="117" t="str">
        <x:v>Both</x:v>
      </x:c>
      <x:c r="H214" s="117" t="str">
        <x:v>mosque; architecture; royal town</x:v>
      </x:c>
      <x:c r="I214" s="117" t="str">
        <x:v>An ornate gold-domed mosque in Kuala Kangsar, the royal town of Perak, completed in 1917.</x:v>
      </x:c>
      <x:c r="J214" s="117" t="str">
        <x:v>https://www.google.com/maps/search/?api=1&amp;query=Ubudiah%20Mosque%2C%20Perak%2C%20Malaysia</x:v>
      </x:c>
      <x:c r="K214" s="117" t="str">
        <x:v>https://ebrochures.malaysia.travel/en/malaysia-travel-guide/perak/</x:v>
      </x:c>
      <x:c r="L214" s="117" t="str">
        <x:v>Tourism Malaysia state guide plus map discovery link</x:v>
      </x:c>
      <x:c r="M214" s="117" t="str">
        <x:v>Perak expansion batch</x:v>
      </x:c>
      <x:c r="N214" s="117"/>
      <x:c r="O214" s="117" t="str">
        <x:v>2026-08-15 00:00:00</x:v>
      </x:c>
      <x:c r="P214" s="117" t="str">
        <x:v>Complete</x:v>
      </x:c>
      <x:c r="Q214" s="117"/>
      <x:c r="R214" s="117" t="str">
        <x:f t="shared" si="3">IF(J214="","Missing Link",IF(AND(ISNUMBER(SEARCH("google.com/maps",J214)),ISERROR(SEARCH(";",J214))),"Discovery Link Only","Source Link Present"))</x:f>
        <x:v>Discovery Link Only</x:v>
      </x:c>
      <x:c r="S214" s="117" t="str">
        <x:v>Unknown</x:v>
      </x:c>
      <x:c r="T214" s="117" t="str">
        <x:v>Unknown</x:v>
      </x:c>
      <x:c r="U214" s="117" t="str">
        <x:v>Unknown</x:v>
      </x:c>
      <x:c r="V214" s="117" t="str">
        <x:v>Unknown</x:v>
      </x:c>
      <x:c r="W214" s="117" t="str">
        <x:v>Unknown</x:v>
      </x:c>
      <x:c r="X214" s="117" t="str">
        <x:v>Unknown</x:v>
      </x:c>
      <x:c r="Y214" s="117" t="str">
        <x:v>Unknown</x:v>
      </x:c>
      <x:c r="Z214" s="117"/>
      <x:c r="AA214" s="117" t="str">
        <x:v>Pending evidence</x:v>
      </x:c>
      <x:c r="AB214" s="117"/>
      <x:c r="AC214" s="117" t="str">
        <x:v>No qualifying accessibility conclusion established from the screened sources. This is unknown, not evidence that the attraction is inaccessible.</x:v>
      </x:c>
      <x:c r="AD214" s="117" t="str">
        <x:v>2026-09-08</x:v>
      </x:c>
      <x:c r="AE214" s="117" t="str">
        <x:v>MC0211</x:v>
      </x:c>
      <x:c r="AF214" s="117" t="str">
        <x:v>Distinct candidate</x:v>
      </x:c>
      <x:c r="AG214" s="117" t="str"/>
      <x:c r="AH214" s="117" t="str">
        <x:v>Name corroborated in source</x:v>
      </x:c>
      <x:c r="AI214" s="117" t="str">
        <x:v>https://ebrochures.malaysia.travel/en/malaysia-travel-guide/perak/</x:v>
      </x:c>
      <x:c r="AJ214" s="117" t="str">
        <x:v>Place name or established alias matched in the cited source. This is not confirmation of current opening, all visitor facilities or the full description.</x:v>
      </x:c>
      <x:c r="AK214" s="117" t="str">
        <x:v>Not independently confirmed</x:v>
      </x:c>
      <x:c r="AL214" s="117" t="str">
        <x:v>Screened sources; accessibility unresolved</x:v>
      </x:c>
      <x:c r="AM214" s="117" t="str">
        <x:v>2026-09-08</x:v>
      </x:c>
      <x:c r="AN214" s="117" t="str">
        <x:v>https://upload.wikimedia.org/wikipedia/commons/1/10/Masjid_Ubudiah.jpg?utm_source=commons.wikimedia.org&amp;utm_campaign=imageinfo&amp;utm_content=thumbnail_unscaled</x:v>
      </x:c>
      <x:c r="AO214" s="117" t="str">
        <x:v>https://thumb.wikimedia.org/wikipedia/commons/thumb/e/e3/Ubudiah_Mosque%2C_circa_2023.jpg/1280px-Ubudiah_Mosque%2C_circa_2023.jpg?utm_source=commons.wikimedia.org&amp;utm_campaign=imageinfo&amp;utm_content=thumbnail</x:v>
      </x:c>
      <x:c r="AP214" s="117" t="str">
        <x:v>2 metadata-matched images; visual review pending</x:v>
      </x:c>
      <x:c r="AQ214" s="117"/>
    </x:row>
    <x:row r="215" ht="66" customHeight="1">
      <x:c r="A215" s="117" t="str">
        <x:v>MC0212</x:v>
      </x:c>
      <x:c r="B215" s="117" t="str">
        <x:v>Royal Museum of Perak</x:v>
      </x:c>
      <x:c r="C215" s="117" t="str">
        <x:v>Perak</x:v>
      </x:c>
      <x:c r="D215" s="117" t="str">
        <x:v>Kuala Kangsar</x:v>
      </x:c>
      <x:c r="E215" s="117" t="str">
        <x:v>Museum and Gallery</x:v>
      </x:c>
      <x:c r="F215" s="117" t="str">
        <x:v>Popular</x:v>
      </x:c>
      <x:c r="G215" s="117" t="str">
        <x:v>Indoor</x:v>
      </x:c>
      <x:c r="H215" s="117" t="str">
        <x:v>royal heritage; palace; museum</x:v>
      </x:c>
      <x:c r="I215" s="117" t="str">
        <x:v>A former royal palace in Kuala Kangsar, Istana Kenangan, now housing exhibits on Perak's royal history.</x:v>
      </x:c>
      <x:c r="J215" s="117" t="str">
        <x:v>https://www.google.com/maps/search/?api=1&amp;query=Royal%20Museum%20of%20Perak%2C%20Perak%2C%20Malaysia</x:v>
      </x:c>
      <x:c r="K215" s="117" t="str">
        <x:v>https://ebrochures.malaysia.travel/en/malaysia-travel-guide/perak/</x:v>
      </x:c>
      <x:c r="L215" s="117" t="str">
        <x:v>Tourism Malaysia state guide plus map discovery link</x:v>
      </x:c>
      <x:c r="M215" s="117" t="str">
        <x:v>Perak expansion batch</x:v>
      </x:c>
      <x:c r="N215" s="117"/>
      <x:c r="O215" s="117" t="str">
        <x:v>2026-08-15 00:00:00</x:v>
      </x:c>
      <x:c r="P215" s="117" t="str">
        <x:v>Complete</x:v>
      </x:c>
      <x:c r="Q215" s="117"/>
      <x:c r="R215" s="117" t="str">
        <x:f t="shared" si="3">IF(J215="","Missing Link",IF(AND(ISNUMBER(SEARCH("google.com/maps",J215)),ISERROR(SEARCH(";",J215))),"Discovery Link Only","Source Link Present"))</x:f>
        <x:v>Discovery Link Only</x:v>
      </x:c>
      <x:c r="S215" s="117" t="str">
        <x:v>Unknown</x:v>
      </x:c>
      <x:c r="T215" s="117" t="str">
        <x:v>Unknown</x:v>
      </x:c>
      <x:c r="U215" s="117" t="str">
        <x:v>Unknown</x:v>
      </x:c>
      <x:c r="V215" s="117" t="str">
        <x:v>Unknown</x:v>
      </x:c>
      <x:c r="W215" s="117" t="str">
        <x:v>Unknown</x:v>
      </x:c>
      <x:c r="X215" s="117" t="str">
        <x:v>Unknown</x:v>
      </x:c>
      <x:c r="Y215" s="117" t="str">
        <x:v>Unknown</x:v>
      </x:c>
      <x:c r="Z215" s="117"/>
      <x:c r="AA215" s="117" t="str">
        <x:v>Pending evidence</x:v>
      </x:c>
      <x:c r="AB215" s="117"/>
      <x:c r="AC215" s="117" t="str">
        <x:v>No qualifying accessibility conclusion established from the screened sources. This is unknown, not evidence that the attraction is inaccessible.</x:v>
      </x:c>
      <x:c r="AD215" s="117" t="str">
        <x:v>2026-09-08</x:v>
      </x:c>
      <x:c r="AE215" s="117" t="str">
        <x:v>MC0212</x:v>
      </x:c>
      <x:c r="AF215" s="117" t="str">
        <x:v>Distinct candidate</x:v>
      </x:c>
      <x:c r="AG215" s="117" t="str"/>
      <x:c r="AH215" s="117" t="str">
        <x:v>Name corroborated in source</x:v>
      </x:c>
      <x:c r="AI215" s="117" t="str">
        <x:v>https://ebrochures.malaysia.travel/en/malaysia-travel-guide/perak/</x:v>
      </x:c>
      <x:c r="AJ215" s="117" t="str">
        <x:v>Place name or established alias matched in the cited source. This is not confirmation of current opening, all visitor facilities or the full description.</x:v>
      </x:c>
      <x:c r="AK215" s="117" t="str">
        <x:v>Not independently confirmed</x:v>
      </x:c>
      <x:c r="AL215" s="117" t="str">
        <x:v>Screened sources; accessibility unresolved</x:v>
      </x:c>
      <x:c r="AM215" s="117" t="str">
        <x:v>2026-09-08</x:v>
      </x:c>
      <x:c r="AN215" s="117"/>
      <x:c r="AO215" s="117"/>
      <x:c r="AP215" s="117" t="str">
        <x:v>No usable pair located; image research pending</x:v>
      </x:c>
      <x:c r="AQ215" s="117"/>
    </x:row>
    <x:row r="216" ht="66" customHeight="1">
      <x:c r="A216" s="117" t="str">
        <x:v>MC0213</x:v>
      </x:c>
      <x:c r="B216" s="117" t="str">
        <x:v>Victoria Bridge</x:v>
      </x:c>
      <x:c r="C216" s="117" t="str">
        <x:v>Perak</x:v>
      </x:c>
      <x:c r="D216" s="117" t="str">
        <x:v>Kuala Kangsar</x:v>
      </x:c>
      <x:c r="E216" s="117" t="str">
        <x:v>Heritage and History</x:v>
      </x:c>
      <x:c r="F216" s="117" t="str">
        <x:v>Underrated</x:v>
      </x:c>
      <x:c r="G216" s="117" t="str">
        <x:v>Both</x:v>
      </x:c>
      <x:c r="H216" s="117" t="str">
        <x:v>railway bridge; photography; history</x:v>
      </x:c>
      <x:c r="I216" s="117" t="str">
        <x:v>A historic railway bridge in Kuala Kangsar, Perak, built during the British colonial era.</x:v>
      </x:c>
      <x:c r="J216" s="117" t="str">
        <x:v>https://www.google.com/maps/search/?api=1&amp;query=Victoria%20Bridge%2C%20Perak%2C%20Malaysia</x:v>
      </x:c>
      <x:c r="K216" s="117" t="str">
        <x:v>https://ebrochures.malaysia.travel/en/malaysia-travel-guide/perak/</x:v>
      </x:c>
      <x:c r="L216" s="117" t="str">
        <x:v>Tourism Malaysia state guide plus map discovery link</x:v>
      </x:c>
      <x:c r="M216" s="117" t="str">
        <x:v>Perak expansion batch</x:v>
      </x:c>
      <x:c r="N216" s="117"/>
      <x:c r="O216" s="117" t="str">
        <x:v>2026-08-15 00:00:00</x:v>
      </x:c>
      <x:c r="P216" s="117" t="str">
        <x:v>Complete</x:v>
      </x:c>
      <x:c r="Q216" s="117"/>
      <x:c r="R216" s="117" t="str">
        <x:f t="shared" si="3">IF(J216="","Missing Link",IF(AND(ISNUMBER(SEARCH("google.com/maps",J216)),ISERROR(SEARCH(";",J216))),"Discovery Link Only","Source Link Present"))</x:f>
        <x:v>Discovery Link Only</x:v>
      </x:c>
      <x:c r="S216" s="117" t="str">
        <x:v>Unknown</x:v>
      </x:c>
      <x:c r="T216" s="117" t="str">
        <x:v>Unknown</x:v>
      </x:c>
      <x:c r="U216" s="117" t="str">
        <x:v>Unknown</x:v>
      </x:c>
      <x:c r="V216" s="117" t="str">
        <x:v>Unknown</x:v>
      </x:c>
      <x:c r="W216" s="117" t="str">
        <x:v>Unknown</x:v>
      </x:c>
      <x:c r="X216" s="117" t="str">
        <x:v>Unknown</x:v>
      </x:c>
      <x:c r="Y216" s="117" t="str">
        <x:v>Unknown</x:v>
      </x:c>
      <x:c r="Z216" s="117"/>
      <x:c r="AA216" s="117" t="str">
        <x:v>Pending evidence</x:v>
      </x:c>
      <x:c r="AB216" s="117"/>
      <x:c r="AC216" s="117" t="str">
        <x:v>No qualifying accessibility conclusion established from the screened sources. This is unknown, not evidence that the attraction is inaccessible.</x:v>
      </x:c>
      <x:c r="AD216" s="117" t="str">
        <x:v>2026-09-08</x:v>
      </x:c>
      <x:c r="AE216" s="117" t="str">
        <x:v>MC0213</x:v>
      </x:c>
      <x:c r="AF216" s="117" t="str">
        <x:v>Distinct candidate</x:v>
      </x:c>
      <x:c r="AG216" s="117" t="str"/>
      <x:c r="AH216" s="117" t="str">
        <x:v>Name corroborated in source</x:v>
      </x:c>
      <x:c r="AI216" s="117" t="str">
        <x:v>https://ebrochures.malaysia.travel/en/malaysia-travel-guide/perak/</x:v>
      </x:c>
      <x:c r="AJ216" s="117" t="str">
        <x:v>Place name or established alias matched in the cited source. This is not confirmation of current opening, all visitor facilities or the full description.</x:v>
      </x:c>
      <x:c r="AK216" s="117" t="str">
        <x:v>Not independently confirmed</x:v>
      </x:c>
      <x:c r="AL216" s="117" t="str">
        <x:v>Screened sources; accessibility unresolved</x:v>
      </x:c>
      <x:c r="AM216" s="117" t="str">
        <x:v>2026-09-08</x:v>
      </x:c>
      <x:c r="AN216" s="117" t="str">
        <x:v>https://thumb.wikimedia.org/wikipedia/commons/thumb/d/d1/Victoria_Bridge%2C_Manchester.jpg/1280px-Victoria_Bridge%2C_Manchester.jpg?utm_source=commons.wikimedia.org&amp;utm_campaign=imageinfo&amp;utm_content=thumbnail</x:v>
      </x:c>
      <x:c r="AO216" s="117" t="str">
        <x:v>https://upload.wikimedia.org/wikipedia/commons/d/dd/Irwell_Victoria_Bridge_4527.JPG?utm_source=commons.wikimedia.org&amp;utm_campaign=imageinfo&amp;utm_content=thumbnail_unscaled</x:v>
      </x:c>
      <x:c r="AP216" s="117" t="str">
        <x:v>2 metadata-matched images; visual review pending</x:v>
      </x:c>
      <x:c r="AQ216" s="117"/>
    </x:row>
    <x:row r="217" ht="66" customHeight="1">
      <x:c r="A217" s="117" t="str">
        <x:v>MC0214</x:v>
      </x:c>
      <x:c r="B217" s="117" t="str">
        <x:v>Perak Museum</x:v>
      </x:c>
      <x:c r="C217" s="117" t="str">
        <x:v>Perak</x:v>
      </x:c>
      <x:c r="D217" s="117" t="str">
        <x:v>Taiping</x:v>
      </x:c>
      <x:c r="E217" s="117" t="str">
        <x:v>Museum and Gallery</x:v>
      </x:c>
      <x:c r="F217" s="117" t="str">
        <x:v>Popular</x:v>
      </x:c>
      <x:c r="G217" s="117" t="str">
        <x:v>Indoor</x:v>
      </x:c>
      <x:c r="H217" s="117" t="str">
        <x:v>natural history; museum; heritage</x:v>
      </x:c>
      <x:c r="I217" s="117" t="str">
        <x:v>Malaysia's oldest museum, established in Taiping in 1883, covering natural history and regional culture.</x:v>
      </x:c>
      <x:c r="J217" s="117" t="str">
        <x:v>https://www.google.com/maps/search/?api=1&amp;query=Perak%20Museum%2C%20Perak%2C%20Malaysia</x:v>
      </x:c>
      <x:c r="K217" s="117" t="str">
        <x:v>https://ebrochures.malaysia.travel/en/malaysia-travel-guide/perak/</x:v>
      </x:c>
      <x:c r="L217" s="117" t="str">
        <x:v>Tourism Malaysia state guide plus map discovery link</x:v>
      </x:c>
      <x:c r="M217" s="117" t="str">
        <x:v>Perak expansion batch</x:v>
      </x:c>
      <x:c r="N217" s="117"/>
      <x:c r="O217" s="117" t="str">
        <x:v>2026-08-15 00:00:00</x:v>
      </x:c>
      <x:c r="P217" s="117" t="str">
        <x:v>Complete</x:v>
      </x:c>
      <x:c r="Q217" s="117"/>
      <x:c r="R217" s="117" t="str">
        <x:f t="shared" si="3">IF(J217="","Missing Link",IF(AND(ISNUMBER(SEARCH("google.com/maps",J217)),ISERROR(SEARCH(";",J217))),"Discovery Link Only","Source Link Present"))</x:f>
        <x:v>Discovery Link Only</x:v>
      </x:c>
      <x:c r="S217" s="117" t="str">
        <x:v>Unknown</x:v>
      </x:c>
      <x:c r="T217" s="117" t="str">
        <x:v>Unknown</x:v>
      </x:c>
      <x:c r="U217" s="117" t="str">
        <x:v>Unknown</x:v>
      </x:c>
      <x:c r="V217" s="117" t="str">
        <x:v>Unknown</x:v>
      </x:c>
      <x:c r="W217" s="117" t="str">
        <x:v>Unknown</x:v>
      </x:c>
      <x:c r="X217" s="117" t="str">
        <x:v>Unknown</x:v>
      </x:c>
      <x:c r="Y217" s="117" t="str">
        <x:v>Unknown</x:v>
      </x:c>
      <x:c r="Z217" s="117"/>
      <x:c r="AA217" s="117" t="str">
        <x:v>Pending evidence</x:v>
      </x:c>
      <x:c r="AB217" s="117"/>
      <x:c r="AC217" s="117" t="str">
        <x:v>No qualifying accessibility conclusion established from the screened sources. This is unknown, not evidence that the attraction is inaccessible.</x:v>
      </x:c>
      <x:c r="AD217" s="117" t="str">
        <x:v>2026-09-08</x:v>
      </x:c>
      <x:c r="AE217" s="117" t="str">
        <x:v>MC0214</x:v>
      </x:c>
      <x:c r="AF217" s="117" t="str">
        <x:v>Distinct candidate</x:v>
      </x:c>
      <x:c r="AG217" s="117" t="str"/>
      <x:c r="AH217" s="117" t="str">
        <x:v>Name corroborated in source</x:v>
      </x:c>
      <x:c r="AI217" s="117" t="str">
        <x:v>https://ebrochures.malaysia.travel/en/malaysia-travel-guide/perak/</x:v>
      </x:c>
      <x:c r="AJ217" s="117" t="str">
        <x:v>Place name or established alias matched in the cited source. This is not confirmation of current opening, all visitor facilities or the full description.</x:v>
      </x:c>
      <x:c r="AK217" s="117" t="str">
        <x:v>Not independently confirmed</x:v>
      </x:c>
      <x:c r="AL217" s="117" t="str">
        <x:v>Screened sources; accessibility unresolved</x:v>
      </x:c>
      <x:c r="AM217" s="117" t="str">
        <x:v>2026-09-08</x:v>
      </x:c>
      <x:c r="AN217" s="117" t="str">
        <x:v>https://thumb.wikimedia.org/wikipedia/commons/thumb/1/18/Museum_Perak_Taiping.jpg/1280px-Museum_Perak_Taiping.jpg?utm_source=commons.wikimedia.org&amp;utm_campaign=imageinfo&amp;utm_content=thumbnail</x:v>
      </x:c>
      <x:c r="AO217" s="117" t="str">
        <x:v>https://thumb.wikimedia.org/wikipedia/commons/thumb/b/b2/20060415DSC_0200_%282643387861%29.jpg/1280px-20060415DSC_0200_%282643387861%29.jpg?utm_source=commons.wikimedia.org&amp;utm_campaign=imageinfo&amp;utm_content=thumbnail</x:v>
      </x:c>
      <x:c r="AP217" s="117" t="str">
        <x:v>2 metadata-matched images; visual review pending</x:v>
      </x:c>
      <x:c r="AQ217" s="117"/>
    </x:row>
    <x:row r="218" ht="66" customHeight="1">
      <x:c r="A218" s="117" t="str">
        <x:v>MC0215</x:v>
      </x:c>
      <x:c r="B218" s="117" t="str">
        <x:v>Bukit Larut</x:v>
      </x:c>
      <x:c r="C218" s="117" t="str">
        <x:v>Perak</x:v>
      </x:c>
      <x:c r="D218" s="117" t="str">
        <x:v>Taiping</x:v>
      </x:c>
      <x:c r="E218" s="117" t="str">
        <x:v>Nature</x:v>
      </x:c>
      <x:c r="F218" s="117" t="str">
        <x:v>Popular</x:v>
      </x:c>
      <x:c r="G218" s="117" t="str">
        <x:v>Outdoor</x:v>
      </x:c>
      <x:c r="H218" s="117" t="str">
        <x:v>highland; forest; viewpoint</x:v>
      </x:c>
      <x:c r="I218" s="117" t="str">
        <x:v>Formerly Maxwell Hill, a hill station above Taiping reached by Land Rover, known for its cool climate and heavy rainfall.</x:v>
      </x:c>
      <x:c r="J218" s="117" t="str">
        <x:v>https://www.google.com/maps/search/?api=1&amp;query=Bukit%20Larut%2C%20Perak%2C%20Malaysia</x:v>
      </x:c>
      <x:c r="K218" s="117" t="str">
        <x:v>https://ebrochures.malaysia.travel/en/malaysia-travel-guide/perak/</x:v>
      </x:c>
      <x:c r="L218" s="117" t="str">
        <x:v>Tourism Malaysia state guide plus map discovery link</x:v>
      </x:c>
      <x:c r="M218" s="117" t="str">
        <x:v>Perak expansion batch</x:v>
      </x:c>
      <x:c r="N218" s="117"/>
      <x:c r="O218" s="117" t="str">
        <x:v>2026-08-15 00:00:00</x:v>
      </x:c>
      <x:c r="P218" s="117" t="str">
        <x:v>Complete</x:v>
      </x:c>
      <x:c r="Q218" s="117"/>
      <x:c r="R218" s="117" t="str">
        <x:f t="shared" si="3">IF(J218="","Missing Link",IF(AND(ISNUMBER(SEARCH("google.com/maps",J218)),ISERROR(SEARCH(";",J218))),"Discovery Link Only","Source Link Present"))</x:f>
        <x:v>Discovery Link Only</x:v>
      </x:c>
      <x:c r="S218" s="117" t="str">
        <x:v>Unknown</x:v>
      </x:c>
      <x:c r="T218" s="117" t="str">
        <x:v>Unknown</x:v>
      </x:c>
      <x:c r="U218" s="117" t="str">
        <x:v>Unknown</x:v>
      </x:c>
      <x:c r="V218" s="117" t="str">
        <x:v>Unknown</x:v>
      </x:c>
      <x:c r="W218" s="117" t="str">
        <x:v>Unknown</x:v>
      </x:c>
      <x:c r="X218" s="117" t="str">
        <x:v>Unknown</x:v>
      </x:c>
      <x:c r="Y218" s="117" t="str">
        <x:v>Unknown</x:v>
      </x:c>
      <x:c r="Z218" s="117"/>
      <x:c r="AA218" s="117" t="str">
        <x:v>Pending evidence</x:v>
      </x:c>
      <x:c r="AB218" s="117"/>
      <x:c r="AC218" s="117" t="str">
        <x:v>No qualifying accessibility conclusion established from the screened sources. This is unknown, not evidence that the attraction is inaccessible.</x:v>
      </x:c>
      <x:c r="AD218" s="117" t="str">
        <x:v>2026-09-08</x:v>
      </x:c>
      <x:c r="AE218" s="117" t="str">
        <x:v>MC0215</x:v>
      </x:c>
      <x:c r="AF218" s="117" t="str">
        <x:v>Distinct candidate</x:v>
      </x:c>
      <x:c r="AG218" s="117" t="str"/>
      <x:c r="AH218" s="117" t="str">
        <x:v>Name corroborated in source</x:v>
      </x:c>
      <x:c r="AI218" s="117" t="str">
        <x:v>https://ebrochures.malaysia.travel/en/malaysia-travel-guide/perak/</x:v>
      </x:c>
      <x:c r="AJ218" s="117" t="str">
        <x:v>Place name or established alias matched in the cited source. This is not confirmation of current opening, all visitor facilities or the full description.</x:v>
      </x:c>
      <x:c r="AK218" s="117" t="str">
        <x:v>Not independently confirmed</x:v>
      </x:c>
      <x:c r="AL218" s="117" t="str">
        <x:v>Screened sources; accessibility unresolved</x:v>
      </x:c>
      <x:c r="AM218" s="117" t="str">
        <x:v>2026-09-08</x:v>
      </x:c>
      <x:c r="AN218" s="117" t="str">
        <x:v>https://upload.wikimedia.org/wikipedia/commons/7/7a/MaxwellSignboard.jpg?utm_source=commons.wikimedia.org&amp;utm_campaign=imageinfo&amp;utm_content=thumbnail_unscaled</x:v>
      </x:c>
      <x:c r="AO218" s="117" t="str">
        <x:v>https://thumb.wikimedia.org/wikipedia/commons/thumb/9/90/Giganteopalpus_mirabilis_MHNT_CUT_2010_0_27_Bukit_Larut_Malaysia_ventral.jpg/1280px-Giganteopalpus_mirabilis_MHNT_CUT_2010_0_27_Bukit_Larut_Malaysia_ventral.jpg?utm_source=commons.wikimedia.org&amp;utm_campaign=imageinfo&amp;utm_content=thumbnail</x:v>
      </x:c>
      <x:c r="AP218" s="117" t="str">
        <x:v>2 metadata-matched images; visual review pending</x:v>
      </x:c>
      <x:c r="AQ218" s="117"/>
    </x:row>
    <x:row r="219" ht="66" customHeight="1">
      <x:c r="A219" s="117" t="str">
        <x:v>MC0216</x:v>
      </x:c>
      <x:c r="B219" s="117" t="str">
        <x:v>Kuala Sepetang Charcoal Factory</x:v>
      </x:c>
      <x:c r="C219" s="117" t="str">
        <x:v>Perak</x:v>
      </x:c>
      <x:c r="D219" s="117" t="str">
        <x:v>Kuala Sepetang</x:v>
      </x:c>
      <x:c r="E219" s="117" t="str">
        <x:v>Culture</x:v>
      </x:c>
      <x:c r="F219" s="117" t="str">
        <x:v>Local</x:v>
      </x:c>
      <x:c r="G219" s="117" t="str">
        <x:v>Both</x:v>
      </x:c>
      <x:c r="H219" s="117" t="str">
        <x:v>charcoal; industry; mangrove</x:v>
      </x:c>
      <x:c r="I219" s="117" t="str">
        <x:v>A traditional mangrove-wood charcoal production site near Kuala Sepetang, Perak, open to visitors.</x:v>
      </x:c>
      <x:c r="J219" s="117" t="str">
        <x:v>https://www.google.com/maps/search/?api=1&amp;query=Kuala%20Sepetang%20Charcoal%20Factory%2C%20Perak%2C%20Malaysia</x:v>
      </x:c>
      <x:c r="K219" s="117" t="str">
        <x:v>https://ebrochures.malaysia.travel/en/malaysia-travel-guide/perak/</x:v>
      </x:c>
      <x:c r="L219" s="117" t="str">
        <x:v>Tourism Malaysia state guide plus map discovery link</x:v>
      </x:c>
      <x:c r="M219" s="117" t="str">
        <x:v>Perak expansion batch</x:v>
      </x:c>
      <x:c r="N219" s="117"/>
      <x:c r="O219" s="117" t="str">
        <x:v>2026-08-15 00:00:00</x:v>
      </x:c>
      <x:c r="P219" s="117" t="str">
        <x:v>Complete</x:v>
      </x:c>
      <x:c r="Q219" s="117"/>
      <x:c r="R219" s="117" t="str">
        <x:f t="shared" si="3">IF(J219="","Missing Link",IF(AND(ISNUMBER(SEARCH("google.com/maps",J219)),ISERROR(SEARCH(";",J219))),"Discovery Link Only","Source Link Present"))</x:f>
        <x:v>Discovery Link Only</x:v>
      </x:c>
      <x:c r="S219" s="117" t="str">
        <x:v>Unknown</x:v>
      </x:c>
      <x:c r="T219" s="117" t="str">
        <x:v>Unknown</x:v>
      </x:c>
      <x:c r="U219" s="117" t="str">
        <x:v>Unknown</x:v>
      </x:c>
      <x:c r="V219" s="117" t="str">
        <x:v>Unknown</x:v>
      </x:c>
      <x:c r="W219" s="117" t="str">
        <x:v>Unknown</x:v>
      </x:c>
      <x:c r="X219" s="117" t="str">
        <x:v>Unknown</x:v>
      </x:c>
      <x:c r="Y219" s="117" t="str">
        <x:v>Unknown</x:v>
      </x:c>
      <x:c r="Z219" s="117"/>
      <x:c r="AA219" s="117" t="str">
        <x:v>Pending evidence</x:v>
      </x:c>
      <x:c r="AB219" s="117"/>
      <x:c r="AC219" s="117" t="str">
        <x:v>No qualifying accessibility conclusion established from the screened sources. This is unknown, not evidence that the attraction is inaccessible.</x:v>
      </x:c>
      <x:c r="AD219" s="117" t="str">
        <x:v>2026-09-08</x:v>
      </x:c>
      <x:c r="AE219" s="117" t="str">
        <x:v>MC0216</x:v>
      </x:c>
      <x:c r="AF219" s="117" t="str">
        <x:v>Distinct candidate</x:v>
      </x:c>
      <x:c r="AG219" s="117" t="str"/>
      <x:c r="AH219" s="117" t="str">
        <x:v>Name corroborated in source</x:v>
      </x:c>
      <x:c r="AI219" s="117" t="str">
        <x:v>https://ebrochures.malaysia.travel/en/malaysia-travel-guide/perak/</x:v>
      </x:c>
      <x:c r="AJ219" s="117" t="str">
        <x:v>Place name or established alias matched in the cited source. This is not confirmation of current opening, all visitor facilities or the full description.</x:v>
      </x:c>
      <x:c r="AK219" s="117" t="str">
        <x:v>Not independently confirmed</x:v>
      </x:c>
      <x:c r="AL219" s="117" t="str">
        <x:v>Screened sources; accessibility unresolved</x:v>
      </x:c>
      <x:c r="AM219" s="117" t="str">
        <x:v>2026-09-08</x:v>
      </x:c>
      <x:c r="AN219" s="117" t="str">
        <x:v>https://thumb.wikimedia.org/wikipedia/commons/thumb/3/31/Charcoal_factory%2C_Kuala_Sepetang_%286134069135%29.jpg/1280px-Charcoal_factory%2C_Kuala_Sepetang_%286134069135%29.jpg?utm_source=commons.wikimedia.org&amp;utm_campaign=imageinfo&amp;utm_content=thumbnail</x:v>
      </x:c>
      <x:c r="AO219" s="117" t="str">
        <x:v>https://thumb.wikimedia.org/wikipedia/commons/thumb/3/39/UDE_7602_%286116328128%29.jpg/1280px-UDE_7602_%286116328128%29.jpg?utm_source=commons.wikimedia.org&amp;utm_campaign=imageinfo&amp;utm_content=thumbnail</x:v>
      </x:c>
      <x:c r="AP219" s="117" t="str">
        <x:v>2 metadata-matched images; visual review pending</x:v>
      </x:c>
      <x:c r="AQ219" s="117"/>
    </x:row>
    <x:row r="220" ht="66" customHeight="1">
      <x:c r="A220" s="117" t="str">
        <x:v>MC0217</x:v>
      </x:c>
      <x:c r="B220" s="117" t="str">
        <x:v>Kinta Tin Mining Museum</x:v>
      </x:c>
      <x:c r="C220" s="117" t="str">
        <x:v>Perak</x:v>
      </x:c>
      <x:c r="D220" s="117" t="str">
        <x:v>Kampar</x:v>
      </x:c>
      <x:c r="E220" s="117" t="str">
        <x:v>Museum and Gallery</x:v>
      </x:c>
      <x:c r="F220" s="117" t="str">
        <x:v>Local</x:v>
      </x:c>
      <x:c r="G220" s="117" t="str">
        <x:v>Indoor</x:v>
      </x:c>
      <x:c r="H220" s="117" t="str">
        <x:v>tin mining; history; museum</x:v>
      </x:c>
      <x:c r="I220" s="117" t="str">
        <x:v>A museum in Kampar, Perak, documenting the Kinta Valley's tin-mining heritage.</x:v>
      </x:c>
      <x:c r="J220" s="117" t="str">
        <x:v>https://www.google.com/maps/search/?api=1&amp;query=Kinta%20Tin%20Mining%20Museum%2C%20Perak%2C%20Malaysia</x:v>
      </x:c>
      <x:c r="K220" s="117" t="str">
        <x:v>https://ebrochures.malaysia.travel/en/malaysia-travel-guide/perak/</x:v>
      </x:c>
      <x:c r="L220" s="117" t="str">
        <x:v>Tourism Malaysia state guide plus map discovery link</x:v>
      </x:c>
      <x:c r="M220" s="117" t="str">
        <x:v>Perak expansion batch</x:v>
      </x:c>
      <x:c r="N220" s="117"/>
      <x:c r="O220" s="117" t="str">
        <x:v>2026-08-15 00:00:00</x:v>
      </x:c>
      <x:c r="P220" s="117" t="str">
        <x:v>Complete</x:v>
      </x:c>
      <x:c r="Q220" s="117"/>
      <x:c r="R220" s="117" t="str">
        <x:f t="shared" si="3">IF(J220="","Missing Link",IF(AND(ISNUMBER(SEARCH("google.com/maps",J220)),ISERROR(SEARCH(";",J220))),"Discovery Link Only","Source Link Present"))</x:f>
        <x:v>Discovery Link Only</x:v>
      </x:c>
      <x:c r="S220" s="117" t="str">
        <x:v>Unknown</x:v>
      </x:c>
      <x:c r="T220" s="117" t="str">
        <x:v>Unknown</x:v>
      </x:c>
      <x:c r="U220" s="117" t="str">
        <x:v>Unknown</x:v>
      </x:c>
      <x:c r="V220" s="117" t="str">
        <x:v>Unknown</x:v>
      </x:c>
      <x:c r="W220" s="117" t="str">
        <x:v>Unknown</x:v>
      </x:c>
      <x:c r="X220" s="117" t="str">
        <x:v>Unknown</x:v>
      </x:c>
      <x:c r="Y220" s="117" t="str">
        <x:v>Unknown</x:v>
      </x:c>
      <x:c r="Z220" s="117"/>
      <x:c r="AA220" s="117" t="str">
        <x:v>Pending evidence</x:v>
      </x:c>
      <x:c r="AB220" s="117"/>
      <x:c r="AC220" s="117" t="str">
        <x:v>No qualifying accessibility conclusion established from the screened sources. This is unknown, not evidence that the attraction is inaccessible.</x:v>
      </x:c>
      <x:c r="AD220" s="117" t="str">
        <x:v>2026-09-08</x:v>
      </x:c>
      <x:c r="AE220" s="117" t="str">
        <x:v>MC0217</x:v>
      </x:c>
      <x:c r="AF220" s="117" t="str">
        <x:v>Distinct candidate</x:v>
      </x:c>
      <x:c r="AG220" s="117" t="str"/>
      <x:c r="AH220" s="117" t="str">
        <x:v>Name corroborated in source</x:v>
      </x:c>
      <x:c r="AI220" s="117" t="str">
        <x:v>https://ebrochures.malaysia.travel/en/malaysia-travel-guide/perak/</x:v>
      </x:c>
      <x:c r="AJ220" s="117" t="str">
        <x:v>Place name or established alias matched in the cited source. This is not confirmation of current opening, all visitor facilities or the full description.</x:v>
      </x:c>
      <x:c r="AK220" s="117" t="str">
        <x:v>Not independently confirmed</x:v>
      </x:c>
      <x:c r="AL220" s="117" t="str">
        <x:v>Screened sources; accessibility unresolved</x:v>
      </x:c>
      <x:c r="AM220" s="117" t="str">
        <x:v>2026-09-08</x:v>
      </x:c>
      <x:c r="AN220" s="117"/>
      <x:c r="AO220" s="117"/>
      <x:c r="AP220" s="117" t="str">
        <x:v>No usable pair located; image research pending</x:v>
      </x:c>
      <x:c r="AQ220" s="117"/>
    </x:row>
    <x:row r="221" ht="66" customHeight="1">
      <x:c r="A221" s="117" t="str">
        <x:v>MC0218</x:v>
      </x:c>
      <x:c r="B221" s="117" t="str">
        <x:v>Ulu Geroh Rafflesia Trail</x:v>
      </x:c>
      <x:c r="C221" s="117" t="str">
        <x:v>Perak</x:v>
      </x:c>
      <x:c r="D221" s="117" t="str">
        <x:v>Gopeng</x:v>
      </x:c>
      <x:c r="E221" s="117" t="str">
        <x:v>Nature</x:v>
      </x:c>
      <x:c r="F221" s="117" t="str">
        <x:v>Rural</x:v>
      </x:c>
      <x:c r="G221" s="117" t="str">
        <x:v>Outdoor</x:v>
      </x:c>
      <x:c r="H221" s="117" t="str">
        <x:v>rafflesia; village guide; hiking</x:v>
      </x:c>
      <x:c r="I221" s="117" t="str">
        <x:v>A jungle trail near Gopeng, run with the local Orang Asli community, offering seasonal viewings of the giant Rafflesia flower.</x:v>
      </x:c>
      <x:c r="J221" s="117" t="str">
        <x:v>https://www.google.com/maps/search/?api=1&amp;query=Ulu%20Geroh%20Rafflesia%20Trail%2C%20Perak%2C%20Malaysia</x:v>
      </x:c>
      <x:c r="K221" s="117" t="str">
        <x:v>https://ebrochures.malaysia.travel/en/malaysia-travel-guide/perak/</x:v>
      </x:c>
      <x:c r="L221" s="117" t="str">
        <x:v>Tourism Malaysia state guide plus map discovery link</x:v>
      </x:c>
      <x:c r="M221" s="117" t="str">
        <x:v>Perak expansion batch</x:v>
      </x:c>
      <x:c r="N221" s="117"/>
      <x:c r="O221" s="117" t="str">
        <x:v>2026-08-15 00:00:00</x:v>
      </x:c>
      <x:c r="P221" s="117" t="str">
        <x:v>Complete</x:v>
      </x:c>
      <x:c r="Q221" s="117" t="str">
        <x:v>Identity and Malaysian location verified in second-pass review on 2026-09-08.</x:v>
      </x:c>
      <x:c r="R221" s="117" t="str">
        <x:f t="shared" si="3">IF(J221="","Missing Link",IF(AND(ISNUMBER(SEARCH("google.com/maps",J221)),ISERROR(SEARCH(";",J221))),"Discovery Link Only","Source Link Present"))</x:f>
        <x:v>Discovery Link Only</x:v>
      </x:c>
      <x:c r="S221" s="117" t="str">
        <x:v>Unknown</x:v>
      </x:c>
      <x:c r="T221" s="117" t="str">
        <x:v>Unknown</x:v>
      </x:c>
      <x:c r="U221" s="117" t="str">
        <x:v>Unknown</x:v>
      </x:c>
      <x:c r="V221" s="117" t="str">
        <x:v>Unknown</x:v>
      </x:c>
      <x:c r="W221" s="117" t="str">
        <x:v>Unknown</x:v>
      </x:c>
      <x:c r="X221" s="117" t="str">
        <x:v>Unknown</x:v>
      </x:c>
      <x:c r="Y221" s="117" t="str">
        <x:v>Unknown</x:v>
      </x:c>
      <x:c r="Z221" s="117"/>
      <x:c r="AA221" s="117" t="str">
        <x:v>Pending evidence</x:v>
      </x:c>
      <x:c r="AB221" s="117"/>
      <x:c r="AC221" s="117" t="str">
        <x:v>No qualifying accessibility conclusion established from the screened sources. This is unknown, not evidence that the attraction is inaccessible.</x:v>
      </x:c>
      <x:c r="AD221" s="117" t="str">
        <x:v>2026-09-08</x:v>
      </x:c>
      <x:c r="AE221" s="117" t="str">
        <x:v>MC0218</x:v>
      </x:c>
      <x:c r="AF221" s="117" t="str">
        <x:v>Distinct candidate</x:v>
      </x:c>
      <x:c r="AG221" s="117" t="str"/>
      <x:c r="AH221" s="117" t="str">
        <x:v>Identity and location corroborated</x:v>
      </x:c>
      <x:c r="AI221" s="117" t="str">
        <x:v>https://www.journeymalaysia.com/raingopengrafflesiatrek.htm</x:v>
      </x:c>
      <x:c r="AJ221" s="117" t="str">
        <x:v>Independent destination source matches the attraction name or established alias and the stated Malaysian location. This verifies identity/location only; confirm current opening and accessibility separately.</x:v>
      </x:c>
      <x:c r="AK221" s="117" t="str">
        <x:v>Not independently confirmed</x:v>
      </x:c>
      <x:c r="AL221" s="117" t="str">
        <x:v>Screened sources; accessibility unresolved</x:v>
      </x:c>
      <x:c r="AM221" s="117" t="str">
        <x:v>2026-09-08</x:v>
      </x:c>
      <x:c r="AN221" s="117"/>
      <x:c r="AO221" s="117"/>
      <x:c r="AP221" s="117" t="str">
        <x:v>No usable pair located; image research pending</x:v>
      </x:c>
      <x:c r="AQ221" s="117"/>
    </x:row>
    <x:row r="222" ht="66" customHeight="1">
      <x:c r="A222" s="117" t="str">
        <x:v>MC0219</x:v>
      </x:c>
      <x:c r="B222" s="117" t="str">
        <x:v>Lenggong Valley Archaeological Gallery</x:v>
      </x:c>
      <x:c r="C222" s="117" t="str">
        <x:v>Perak</x:v>
      </x:c>
      <x:c r="D222" s="117" t="str">
        <x:v>Lenggong</x:v>
      </x:c>
      <x:c r="E222" s="117" t="str">
        <x:v>Museum and Gallery</x:v>
      </x:c>
      <x:c r="F222" s="117" t="str">
        <x:v>Popular</x:v>
      </x:c>
      <x:c r="G222" s="117" t="str">
        <x:v>Indoor</x:v>
      </x:c>
      <x:c r="H222" s="117" t="str">
        <x:v>archaeology; UNESCO; museum</x:v>
      </x:c>
      <x:c r="I222" s="117" t="str">
        <x:v>A gallery near the UNESCO-listed Lenggong Valley showcasing prehistoric archaeological finds, including ancient stone tools.</x:v>
      </x:c>
      <x:c r="J222" s="117" t="str">
        <x:v>https://www.google.com/maps/search/?api=1&amp;query=Lenggong%20Valley%20Archaeological%20Gallery%2C%20Perak%2C%20Malaysia</x:v>
      </x:c>
      <x:c r="K222" s="117" t="str">
        <x:v>https://ebrochures.malaysia.travel/en/malaysia-travel-guide/perak/</x:v>
      </x:c>
      <x:c r="L222" s="117" t="str">
        <x:v>Tourism Malaysia state guide plus map discovery link</x:v>
      </x:c>
      <x:c r="M222" s="117" t="str">
        <x:v>Perak expansion batch</x:v>
      </x:c>
      <x:c r="N222" s="117"/>
      <x:c r="O222" s="117" t="str">
        <x:v>2026-08-15 00:00:00</x:v>
      </x:c>
      <x:c r="P222" s="117" t="str">
        <x:v>Complete</x:v>
      </x:c>
      <x:c r="Q222" s="117"/>
      <x:c r="R222" s="117" t="str">
        <x:f t="shared" si="3">IF(J222="","Missing Link",IF(AND(ISNUMBER(SEARCH("google.com/maps",J222)),ISERROR(SEARCH(";",J222))),"Discovery Link Only","Source Link Present"))</x:f>
        <x:v>Discovery Link Only</x:v>
      </x:c>
      <x:c r="S222" s="117" t="str">
        <x:v>Unknown</x:v>
      </x:c>
      <x:c r="T222" s="117" t="str">
        <x:v>Unknown</x:v>
      </x:c>
      <x:c r="U222" s="117" t="str">
        <x:v>Unknown</x:v>
      </x:c>
      <x:c r="V222" s="117" t="str">
        <x:v>Unknown</x:v>
      </x:c>
      <x:c r="W222" s="117" t="str">
        <x:v>Unknown</x:v>
      </x:c>
      <x:c r="X222" s="117" t="str">
        <x:v>Unknown</x:v>
      </x:c>
      <x:c r="Y222" s="117" t="str">
        <x:v>Unknown</x:v>
      </x:c>
      <x:c r="Z222" s="117"/>
      <x:c r="AA222" s="117" t="str">
        <x:v>Pending evidence</x:v>
      </x:c>
      <x:c r="AB222" s="117"/>
      <x:c r="AC222" s="117" t="str">
        <x:v>No qualifying accessibility conclusion established from the screened sources. This is unknown, not evidence that the attraction is inaccessible.</x:v>
      </x:c>
      <x:c r="AD222" s="117" t="str">
        <x:v>2026-09-08</x:v>
      </x:c>
      <x:c r="AE222" s="117" t="str">
        <x:v>MC0219</x:v>
      </x:c>
      <x:c r="AF222" s="117" t="str">
        <x:v>Distinct candidate</x:v>
      </x:c>
      <x:c r="AG222" s="117" t="str"/>
      <x:c r="AH222" s="117" t="str">
        <x:v>Name corroborated in source</x:v>
      </x:c>
      <x:c r="AI222" s="117" t="str">
        <x:v>https://ebrochures.malaysia.travel/en/malaysia-travel-guide/perak/</x:v>
      </x:c>
      <x:c r="AJ222" s="117" t="str">
        <x:v>Place name or established alias matched in the cited source. This is not confirmation of current opening, all visitor facilities or the full description.</x:v>
      </x:c>
      <x:c r="AK222" s="117" t="str">
        <x:v>Not independently confirmed</x:v>
      </x:c>
      <x:c r="AL222" s="117" t="str">
        <x:v>Screened sources; accessibility unresolved</x:v>
      </x:c>
      <x:c r="AM222" s="117" t="str">
        <x:v>2026-09-08</x:v>
      </x:c>
      <x:c r="AN222" s="117"/>
      <x:c r="AO222" s="117"/>
      <x:c r="AP222" s="117" t="str">
        <x:v>No usable pair located; image research pending</x:v>
      </x:c>
      <x:c r="AQ222" s="117"/>
    </x:row>
    <x:row r="223" ht="66" customHeight="1">
      <x:c r="A223" s="117" t="str">
        <x:v>MC0220</x:v>
      </x:c>
      <x:c r="B223" s="117" t="str">
        <x:v>Temengor Lake</x:v>
      </x:c>
      <x:c r="C223" s="117" t="str">
        <x:v>Perak</x:v>
      </x:c>
      <x:c r="D223" s="117" t="str">
        <x:v>Gerik</x:v>
      </x:c>
      <x:c r="E223" s="117" t="str">
        <x:v>Nature</x:v>
      </x:c>
      <x:c r="F223" s="117" t="str">
        <x:v>Rural</x:v>
      </x:c>
      <x:c r="G223" s="117" t="str">
        <x:v>Outdoor</x:v>
      </x:c>
      <x:c r="H223" s="117" t="str">
        <x:v>lake; rainforest; boating</x:v>
      </x:c>
      <x:c r="I223" s="117" t="str">
        <x:v>A large reservoir lake near Gerik, Perak, surrounded by rainforest and known for fishing and hornbill-watching.</x:v>
      </x:c>
      <x:c r="J223" s="117" t="str">
        <x:v>https://www.google.com/maps/search/?api=1&amp;query=Temengor%20Lake%2C%20Perak%2C%20Malaysia</x:v>
      </x:c>
      <x:c r="K223" s="117" t="str">
        <x:v>https://ebrochures.malaysia.travel/en/malaysia-travel-guide/perak/</x:v>
      </x:c>
      <x:c r="L223" s="117" t="str">
        <x:v>Tourism Malaysia state guide plus map discovery link</x:v>
      </x:c>
      <x:c r="M223" s="117" t="str">
        <x:v>Perak expansion batch</x:v>
      </x:c>
      <x:c r="N223" s="117"/>
      <x:c r="O223" s="117" t="str">
        <x:v>2026-08-15 00:00:00</x:v>
      </x:c>
      <x:c r="P223" s="117" t="str">
        <x:v>Complete</x:v>
      </x:c>
      <x:c r="Q223" s="117" t="str">
        <x:v>Identity and Malaysian location verified in second-pass review on 2026-09-08.</x:v>
      </x:c>
      <x:c r="R223" s="117" t="str">
        <x:f t="shared" si="3">IF(J223="","Missing Link",IF(AND(ISNUMBER(SEARCH("google.com/maps",J223)),ISERROR(SEARCH(";",J223))),"Discovery Link Only","Source Link Present"))</x:f>
        <x:v>Discovery Link Only</x:v>
      </x:c>
      <x:c r="S223" s="117" t="str">
        <x:v>Unknown</x:v>
      </x:c>
      <x:c r="T223" s="117" t="str">
        <x:v>Unknown</x:v>
      </x:c>
      <x:c r="U223" s="117" t="str">
        <x:v>Unknown</x:v>
      </x:c>
      <x:c r="V223" s="117" t="str">
        <x:v>Unknown</x:v>
      </x:c>
      <x:c r="W223" s="117" t="str">
        <x:v>Unknown</x:v>
      </x:c>
      <x:c r="X223" s="117" t="str">
        <x:v>Unknown</x:v>
      </x:c>
      <x:c r="Y223" s="117" t="str">
        <x:v>Unknown</x:v>
      </x:c>
      <x:c r="Z223" s="117"/>
      <x:c r="AA223" s="117" t="str">
        <x:v>Pending evidence</x:v>
      </x:c>
      <x:c r="AB223" s="117"/>
      <x:c r="AC223" s="117" t="str">
        <x:v>No qualifying accessibility conclusion established from the screened sources. This is unknown, not evidence that the attraction is inaccessible.</x:v>
      </x:c>
      <x:c r="AD223" s="117" t="str">
        <x:v>2026-09-08</x:v>
      </x:c>
      <x:c r="AE223" s="117" t="str">
        <x:v>MC0220</x:v>
      </x:c>
      <x:c r="AF223" s="117" t="str">
        <x:v>Distinct candidate</x:v>
      </x:c>
      <x:c r="AG223" s="117" t="str"/>
      <x:c r="AH223" s="117" t="str">
        <x:v>Identity and location corroborated</x:v>
      </x:c>
      <x:c r="AI223" s="117" t="str">
        <x:v>https://www.openstreetmap.org/relation/1166452</x:v>
      </x:c>
      <x:c r="AJ223" s="117" t="str">
        <x:v>Mapped source matches the attraction name or established alias and the stated Malaysian location. This verifies identity/location only; confirm current opening and accessibility separately.</x:v>
      </x:c>
      <x:c r="AK223" s="117" t="str">
        <x:v>Not independently confirmed</x:v>
      </x:c>
      <x:c r="AL223" s="117" t="str">
        <x:v>Screened sources; accessibility unresolved</x:v>
      </x:c>
      <x:c r="AM223" s="117" t="str">
        <x:v>2026-09-08</x:v>
      </x:c>
      <x:c r="AN223" s="117" t="str">
        <x:v>https://upload.wikimedia.org/wikipedia/commons/1/1a/Temengor_Lake_-_panoramio.jpg?utm_source=commons.wikimedia.org&amp;utm_campaign=imageinfo&amp;utm_content=thumbnail_unscaled</x:v>
      </x:c>
      <x:c r="AO223" s="117"/>
      <x:c r="AP223" s="117" t="str">
        <x:v>1 metadata-matched images; visual review pending</x:v>
      </x:c>
      <x:c r="AQ223" s="117"/>
    </x:row>
    <x:row r="224" ht="66" customHeight="1">
      <x:c r="A224" s="117" t="str">
        <x:v>MC0221</x:v>
      </x:c>
      <x:c r="B224" s="117" t="str">
        <x:v>Leaning Tower of Teluk Intan</x:v>
      </x:c>
      <x:c r="C224" s="117" t="str">
        <x:v>Perak</x:v>
      </x:c>
      <x:c r="D224" s="117" t="str">
        <x:v>Teluk Intan</x:v>
      </x:c>
      <x:c r="E224" s="117" t="str">
        <x:v>Heritage and History</x:v>
      </x:c>
      <x:c r="F224" s="117" t="str">
        <x:v>Popular</x:v>
      </x:c>
      <x:c r="G224" s="117" t="str">
        <x:v>Both</x:v>
      </x:c>
      <x:c r="H224" s="117" t="str">
        <x:v>tower; landmark; history</x:v>
      </x:c>
      <x:c r="I224" s="117" t="str">
        <x:v>A distinctive leaning clock tower in Teluk Intan, built in 1885 and often compared to the Leaning Tower of Pisa.</x:v>
      </x:c>
      <x:c r="J224" s="117" t="str">
        <x:v>https://www.google.com/maps/search/?api=1&amp;query=Leaning%20Tower%20of%20Teluk%20Intan%2C%20Perak%2C%20Malaysia</x:v>
      </x:c>
      <x:c r="K224" s="117" t="str">
        <x:v>https://ebrochures.malaysia.travel/en/malaysia-travel-guide/perak/</x:v>
      </x:c>
      <x:c r="L224" s="117" t="str">
        <x:v>Tourism Malaysia state guide plus map discovery link</x:v>
      </x:c>
      <x:c r="M224" s="117" t="str">
        <x:v>Perak expansion batch</x:v>
      </x:c>
      <x:c r="N224" s="117"/>
      <x:c r="O224" s="117" t="str">
        <x:v>2026-08-15 00:00:00</x:v>
      </x:c>
      <x:c r="P224" s="117" t="str">
        <x:v>Complete</x:v>
      </x:c>
      <x:c r="Q224" s="117"/>
      <x:c r="R224" s="117" t="str">
        <x:f t="shared" si="3">IF(J224="","Missing Link",IF(AND(ISNUMBER(SEARCH("google.com/maps",J224)),ISERROR(SEARCH(";",J224))),"Discovery Link Only","Source Link Present"))</x:f>
        <x:v>Discovery Link Only</x:v>
      </x:c>
      <x:c r="S224" s="117" t="str">
        <x:v>Unknown</x:v>
      </x:c>
      <x:c r="T224" s="117" t="str">
        <x:v>Unknown</x:v>
      </x:c>
      <x:c r="U224" s="117" t="str">
        <x:v>Unknown</x:v>
      </x:c>
      <x:c r="V224" s="117" t="str">
        <x:v>Unknown</x:v>
      </x:c>
      <x:c r="W224" s="117" t="str">
        <x:v>Unknown</x:v>
      </x:c>
      <x:c r="X224" s="117" t="str">
        <x:v>Unknown</x:v>
      </x:c>
      <x:c r="Y224" s="117" t="str">
        <x:v>Unknown</x:v>
      </x:c>
      <x:c r="Z224" s="117"/>
      <x:c r="AA224" s="117" t="str">
        <x:v>Pending evidence</x:v>
      </x:c>
      <x:c r="AB224" s="117"/>
      <x:c r="AC224" s="117" t="str">
        <x:v>No qualifying accessibility conclusion established from the screened sources. This is unknown, not evidence that the attraction is inaccessible.</x:v>
      </x:c>
      <x:c r="AD224" s="117" t="str">
        <x:v>2026-09-08</x:v>
      </x:c>
      <x:c r="AE224" s="117" t="str">
        <x:v>MC0221</x:v>
      </x:c>
      <x:c r="AF224" s="117" t="str">
        <x:v>Distinct candidate</x:v>
      </x:c>
      <x:c r="AG224" s="117" t="str"/>
      <x:c r="AH224" s="117" t="str">
        <x:v>Name corroborated in source</x:v>
      </x:c>
      <x:c r="AI224" s="117" t="str">
        <x:v>https://ebrochures.malaysia.travel/en/malaysia-travel-guide/perak/</x:v>
      </x:c>
      <x:c r="AJ224" s="117" t="str">
        <x:v>Place name or established alias matched in the cited source. This is not confirmation of current opening, all visitor facilities or the full description.</x:v>
      </x:c>
      <x:c r="AK224" s="117" t="str">
        <x:v>Not independently confirmed</x:v>
      </x:c>
      <x:c r="AL224" s="117" t="str">
        <x:v>Screened sources; accessibility unresolved</x:v>
      </x:c>
      <x:c r="AM224" s="117" t="str">
        <x:v>2026-09-08</x:v>
      </x:c>
      <x:c r="AN224" s="117" t="str">
        <x:v>https://thumb.wikimedia.org/wikipedia/commons/thumb/b/bc/Menara_Condong_Teluk_Intan.JPG/1280px-Menara_Condong_Teluk_Intan.JPG?utm_source=commons.wikimedia.org&amp;utm_campaign=imageinfo&amp;utm_content=thumbnail</x:v>
      </x:c>
      <x:c r="AO224" s="117" t="str">
        <x:v>https://thumb.wikimedia.org/wikipedia/commons/thumb/f/fe/Menara_Condong_Teluk_Intan_-_panoramio.jpg/1280px-Menara_Condong_Teluk_Intan_-_panoramio.jpg?utm_source=commons.wikimedia.org&amp;utm_campaign=imageinfo&amp;utm_content=thumbnail</x:v>
      </x:c>
      <x:c r="AP224" s="117" t="str">
        <x:v>2 metadata-matched images; visual review pending</x:v>
      </x:c>
      <x:c r="AQ224" s="117"/>
    </x:row>
    <x:row r="225" ht="66" customHeight="1">
      <x:c r="A225" s="117" t="str">
        <x:v>MC0222</x:v>
      </x:c>
      <x:c r="B225" s="117" t="str">
        <x:v>Dutch Fort Pangkor</x:v>
      </x:c>
      <x:c r="C225" s="117" t="str">
        <x:v>Perak</x:v>
      </x:c>
      <x:c r="D225" s="117" t="str">
        <x:v>Manjung</x:v>
      </x:c>
      <x:c r="E225" s="117" t="str">
        <x:v>Heritage and History</x:v>
      </x:c>
      <x:c r="F225" s="117" t="str">
        <x:v>Local</x:v>
      </x:c>
      <x:c r="G225" s="117" t="str">
        <x:v>Both</x:v>
      </x:c>
      <x:c r="H225" s="117" t="str">
        <x:v>fort; island; history</x:v>
      </x:c>
      <x:c r="I225" s="117" t="str">
        <x:v>A small 17th-century Dutch fort ruin on the Perak mainland opposite Pangkor Island.</x:v>
      </x:c>
      <x:c r="J225" s="117" t="str">
        <x:v>https://www.google.com/maps/search/?api=1&amp;query=Dutch%20Fort%20Pangkor%2C%20Perak%2C%20Malaysia</x:v>
      </x:c>
      <x:c r="K225" s="117" t="str">
        <x:v>https://ebrochures.malaysia.travel/en/malaysia-travel-guide/perak/</x:v>
      </x:c>
      <x:c r="L225" s="117" t="str">
        <x:v>Tourism Malaysia state guide plus map discovery link</x:v>
      </x:c>
      <x:c r="M225" s="117" t="str">
        <x:v>Perak expansion batch</x:v>
      </x:c>
      <x:c r="N225" s="117"/>
      <x:c r="O225" s="117" t="str">
        <x:v>2026-08-15 00:00:00</x:v>
      </x:c>
      <x:c r="P225" s="117" t="str">
        <x:v>Complete</x:v>
      </x:c>
      <x:c r="Q225" s="117" t="str">
        <x:v>Identity and Malaysian location verified in second-pass review on 2026-09-08.</x:v>
      </x:c>
      <x:c r="R225" s="117" t="str">
        <x:f t="shared" si="3">IF(J225="","Missing Link",IF(AND(ISNUMBER(SEARCH("google.com/maps",J225)),ISERROR(SEARCH(";",J225))),"Discovery Link Only","Source Link Present"))</x:f>
        <x:v>Discovery Link Only</x:v>
      </x:c>
      <x:c r="S225" s="117" t="str">
        <x:v>Unknown</x:v>
      </x:c>
      <x:c r="T225" s="117" t="str">
        <x:v>Unknown</x:v>
      </x:c>
      <x:c r="U225" s="117" t="str">
        <x:v>Unknown</x:v>
      </x:c>
      <x:c r="V225" s="117" t="str">
        <x:v>Unknown</x:v>
      </x:c>
      <x:c r="W225" s="117" t="str">
        <x:v>Unknown</x:v>
      </x:c>
      <x:c r="X225" s="117" t="str">
        <x:v>Unknown</x:v>
      </x:c>
      <x:c r="Y225" s="117" t="str">
        <x:v>Unknown</x:v>
      </x:c>
      <x:c r="Z225" s="117"/>
      <x:c r="AA225" s="117" t="str">
        <x:v>Pending evidence</x:v>
      </x:c>
      <x:c r="AB225" s="117"/>
      <x:c r="AC225" s="117" t="str">
        <x:v>No qualifying accessibility conclusion established from the screened sources. This is unknown, not evidence that the attraction is inaccessible.</x:v>
      </x:c>
      <x:c r="AD225" s="117" t="str">
        <x:v>2026-09-08</x:v>
      </x:c>
      <x:c r="AE225" s="117" t="str">
        <x:v>MC0222</x:v>
      </x:c>
      <x:c r="AF225" s="117" t="str">
        <x:v>Distinct candidate</x:v>
      </x:c>
      <x:c r="AG225" s="117" t="str"/>
      <x:c r="AH225" s="117" t="str">
        <x:v>Identity and location corroborated</x:v>
      </x:c>
      <x:c r="AI225" s="117" t="str">
        <x:v>https://www.openstreetmap.org/way/559410700</x:v>
      </x:c>
      <x:c r="AJ225" s="117" t="str">
        <x:v>Mapped source matches the attraction name or established alias and the stated Malaysian location. This verifies identity/location only; confirm current opening and accessibility separately.</x:v>
      </x:c>
      <x:c r="AK225" s="117" t="str">
        <x:v>Not independently confirmed</x:v>
      </x:c>
      <x:c r="AL225" s="117" t="str">
        <x:v>Screened sources; accessibility unresolved</x:v>
      </x:c>
      <x:c r="AM225" s="117" t="str">
        <x:v>2026-09-08</x:v>
      </x:c>
      <x:c r="AN225" s="117" t="str">
        <x:v>https://thumb.wikimedia.org/wikipedia/commons/thumb/4/4c/Dutch_Fort_Pulau_Pangkor_2007_024_pano.jpg/1280px-Dutch_Fort_Pulau_Pangkor_2007_024_pano.jpg?utm_source=commons.wikimedia.org&amp;utm_campaign=imageinfo&amp;utm_content=thumbnail</x:v>
      </x:c>
      <x:c r="AO225" s="117" t="str">
        <x:v>https://thumb.wikimedia.org/wikipedia/commons/thumb/1/1f/Dutch_Fort_Interior.jpg/1280px-Dutch_Fort_Interior.jpg?utm_source=commons.wikimedia.org&amp;utm_campaign=imageinfo&amp;utm_content=thumbnail</x:v>
      </x:c>
      <x:c r="AP225" s="117" t="str">
        <x:v>2 metadata-matched images; visual review pending</x:v>
      </x:c>
      <x:c r="AQ225" s="117"/>
    </x:row>
    <x:row r="226" ht="66" customHeight="1">
      <x:c r="A226" s="117" t="str">
        <x:v>MC0223</x:v>
      </x:c>
      <x:c r="B226" s="117" t="str">
        <x:v>Tanjung Tualang Tin Dredge No. 5</x:v>
      </x:c>
      <x:c r="C226" s="117" t="str">
        <x:v>Perak</x:v>
      </x:c>
      <x:c r="D226" s="117" t="str">
        <x:v>Tanjung Tualang</x:v>
      </x:c>
      <x:c r="E226" s="117" t="str">
        <x:v>Museum and Gallery</x:v>
      </x:c>
      <x:c r="F226" s="117" t="str">
        <x:v>Popular</x:v>
      </x:c>
      <x:c r="G226" s="117" t="str">
        <x:v>Indoor</x:v>
      </x:c>
      <x:c r="H226" s="117" t="str">
        <x:v>industrial heritage; mining; museum</x:v>
      </x:c>
      <x:c r="I226" s="117" t="str">
        <x:v>A preserved historic tin dredge, now a museum illustrating Malaysia's tin-mining industry, near Tanjung Tualang, Perak.</x:v>
      </x:c>
      <x:c r="J226" s="117" t="str">
        <x:v>https://www.google.com/maps/search/?api=1&amp;query=Tanjung%20Tualang%20Tin%20Dredge%20No.%205%2C%20Perak%2C%20Malaysia</x:v>
      </x:c>
      <x:c r="K226" s="117" t="str">
        <x:v>https://ebrochures.malaysia.travel/en/malaysia-travel-guide/perak/</x:v>
      </x:c>
      <x:c r="L226" s="117" t="str">
        <x:v>Tourism Malaysia state guide plus map discovery link</x:v>
      </x:c>
      <x:c r="M226" s="117" t="str">
        <x:v>Perak expansion batch</x:v>
      </x:c>
      <x:c r="N226" s="117"/>
      <x:c r="O226" s="117" t="str">
        <x:v>2026-08-15 00:00:00</x:v>
      </x:c>
      <x:c r="P226" s="117" t="str">
        <x:v>Complete</x:v>
      </x:c>
      <x:c r="Q226" s="117"/>
      <x:c r="R226" s="117" t="str">
        <x:f t="shared" si="3">IF(J226="","Missing Link",IF(AND(ISNUMBER(SEARCH("google.com/maps",J226)),ISERROR(SEARCH(";",J226))),"Discovery Link Only","Source Link Present"))</x:f>
        <x:v>Discovery Link Only</x:v>
      </x:c>
      <x:c r="S226" s="117" t="str">
        <x:v>Unknown</x:v>
      </x:c>
      <x:c r="T226" s="117" t="str">
        <x:v>Unknown</x:v>
      </x:c>
      <x:c r="U226" s="117" t="str">
        <x:v>Unknown</x:v>
      </x:c>
      <x:c r="V226" s="117" t="str">
        <x:v>Unknown</x:v>
      </x:c>
      <x:c r="W226" s="117" t="str">
        <x:v>Unknown</x:v>
      </x:c>
      <x:c r="X226" s="117" t="str">
        <x:v>Unknown</x:v>
      </x:c>
      <x:c r="Y226" s="117" t="str">
        <x:v>Unknown</x:v>
      </x:c>
      <x:c r="Z226" s="117"/>
      <x:c r="AA226" s="117" t="str">
        <x:v>Pending evidence</x:v>
      </x:c>
      <x:c r="AB226" s="117"/>
      <x:c r="AC226" s="117" t="str">
        <x:v>No qualifying accessibility conclusion established from the screened sources. This is unknown, not evidence that the attraction is inaccessible.</x:v>
      </x:c>
      <x:c r="AD226" s="117" t="str">
        <x:v>2026-09-08</x:v>
      </x:c>
      <x:c r="AE226" s="117" t="str">
        <x:v>MC0223</x:v>
      </x:c>
      <x:c r="AF226" s="117" t="str">
        <x:v>Distinct candidate</x:v>
      </x:c>
      <x:c r="AG226" s="117" t="str"/>
      <x:c r="AH226" s="117" t="str">
        <x:v>Name corroborated in source</x:v>
      </x:c>
      <x:c r="AI226" s="117" t="str">
        <x:v>https://ebrochures.malaysia.travel/en/malaysia-travel-guide/perak/</x:v>
      </x:c>
      <x:c r="AJ226" s="117" t="str">
        <x:v>Place name or established alias matched in the cited source. This is not confirmation of current opening, all visitor facilities or the full description.</x:v>
      </x:c>
      <x:c r="AK226" s="117" t="str">
        <x:v>Not independently confirmed</x:v>
      </x:c>
      <x:c r="AL226" s="117" t="str">
        <x:v>Screened sources; accessibility unresolved</x:v>
      </x:c>
      <x:c r="AM226" s="117" t="str">
        <x:v>2026-09-08</x:v>
      </x:c>
      <x:c r="AN226" s="117" t="str">
        <x:v>https://upload.wikimedia.org/wikipedia/commons/4/40/TT5_Tin_Dredge_-_panoramio_%284%29.jpg?utm_source=commons.wikimedia.org&amp;utm_campaign=imageinfo&amp;utm_content=thumbnail_unscaled</x:v>
      </x:c>
      <x:c r="AO226" s="117" t="str">
        <x:v>https://upload.wikimedia.org/wikipedia/commons/5/55/TT5_Tin_Dredge_-_panoramio_%283%29.jpg?utm_source=commons.wikimedia.org&amp;utm_campaign=imageinfo&amp;utm_content=thumbnail_unscaled</x:v>
      </x:c>
      <x:c r="AP226" s="117" t="str">
        <x:v>2 metadata-matched images; visual review pending</x:v>
      </x:c>
      <x:c r="AQ226" s="117"/>
    </x:row>
    <x:row r="227" ht="66" customHeight="1">
      <x:c r="A227" s="117" t="str">
        <x:v>MC0224</x:v>
      </x:c>
      <x:c r="B227" s="117" t="str">
        <x:v>Gua Kelam Recreational Park</x:v>
      </x:c>
      <x:c r="C227" s="117" t="str">
        <x:v>Perlis</x:v>
      </x:c>
      <x:c r="D227" s="117" t="str">
        <x:v>Kaki Bukit</x:v>
      </x:c>
      <x:c r="E227" s="117" t="str">
        <x:v>Nature</x:v>
      </x:c>
      <x:c r="F227" s="117" t="str">
        <x:v>Unclassified</x:v>
      </x:c>
      <x:c r="G227" s="117" t="str">
        <x:v>Both</x:v>
      </x:c>
      <x:c r="H227" s="117" t="str">
        <x:v>Limestone cave; show cave; cave exploration; geology; rock formations; bats; tin-mining heritage; suspension bridge; wooden walkway; underground stream; river; swimming; wet trail; dry trail; caving; adventure; photography; gallery; virtual reality; ATV; camping; nature education; family recreation</x:v>
      </x:c>
      <x:c r="I227" s="117" t="str">
        <x:v>A limestone-cave and ecotourism complex near Kaki Bukit, centred on the 370-metre Gua Kelam 1 showcave. A lit wooden suspension walkway follows an underground stream past cave formations, bats and remnants of historic tin mining, while Gua Kelam 2 offers more demanding guided dry and wet caving experiences.</x:v>
      </x:c>
      <x:c r="J227" s="117" t="str">
        <x:v>https://www.malaysia.travel/explore/gua-kelam-recreational-park ; https://www.forestry.gov.my/en/semenanjung-malaysia/taman-negeri-perlis ; https://forestry.perlis.gov.my/eko-pelancongan/gua-kelam ; https://explore.perlis.gov.my/bm/Destination/View/r4Hnz ; https://geopark.perlis.gov.my/tour-item/lombong-gua-kelam/ ; https://ebrochures.malaysia.travel/en/malaysia-travel-guide/perlis/ ; https://www.malaysia.travel/explore/3d2n-in-perlis-a-weekend-guide</x:v>
      </x:c>
      <x:c r="K227" s="117" t="str">
        <x:v>https://ebrochures.malaysia.travel/en/malaysia-travel-guide/perlis/</x:v>
      </x:c>
      <x:c r="L227" s="117" t="str">
        <x:v>Previous workbook candidate/source lead</x:v>
      </x:c>
      <x:c r="M227" s="117" t="str">
        <x:v>Previous workbook seed</x:v>
      </x:c>
      <x:c r="N227" s="117" t="str">
        <x:v>A017</x:v>
      </x:c>
      <x:c r="O227" s="117" t="str">
        <x:v>2026-08-15 00:00:00</x:v>
      </x:c>
      <x:c r="P227" s="117" t="str">
        <x:v>Complete</x:v>
      </x:c>
      <x:c r="Q227" s="117"/>
      <x:c r="R227" s="117" t="str">
        <x:f t="shared" si="3">IF(J227="","Missing Link",IF(AND(ISNUMBER(SEARCH("google.com/maps",J227)),ISERROR(SEARCH(";",J227))),"Discovery Link Only","Source Link Present"))</x:f>
        <x:v>Source Link Present</x:v>
      </x:c>
      <x:c r="S227" s="117" t="str">
        <x:v>Not measured</x:v>
      </x:c>
      <x:c r="T227" s="117" t="str">
        <x:v>Unknown</x:v>
      </x:c>
      <x:c r="U227" s="117" t="str">
        <x:v>Unknown</x:v>
      </x:c>
      <x:c r="V227" s="117" t="str">
        <x:v>Unknown</x:v>
      </x:c>
      <x:c r="W227" s="117" t="str">
        <x:v>Unknown</x:v>
      </x:c>
      <x:c r="X227" s="117" t="str">
        <x:v>Unknown</x:v>
      </x:c>
      <x:c r="Y227" s="117" t="str">
        <x:v>Conditional on mobility and route</x:v>
      </x:c>
      <x:c r="Z227" s="117" t="str">
        <x:v>Tourism Malaysia describes the walkway. Continuous step-free access, ramp gradients and wheelchair turning space are unconfirmed. The old OKU facility and VR claims could not be revalidated from the blocked sources.</x:v>
      </x:c>
      <x:c r="AA227" s="117" t="str">
        <x:v>Documented support - conditional</x:v>
      </x:c>
      <x:c r="AB227" s="117" t="str">
        <x:v>https://www.malaysia.travel/explore/gua-kelam-recreational-park</x:v>
      </x:c>
      <x:c r="AC227" s="117" t="str">
        <x:v>Gua Kelam 1 walkway; other caves excluded</x:v>
      </x:c>
      <x:c r="AD227" s="117" t="str">
        <x:v>2026-09-08</x:v>
      </x:c>
      <x:c r="AE227" s="117" t="str">
        <x:v>MC0224</x:v>
      </x:c>
      <x:c r="AF227" s="117" t="str">
        <x:v>Distinct candidate</x:v>
      </x:c>
      <x:c r="AG227" s="117" t="str"/>
      <x:c r="AH227" s="117" t="str">
        <x:v>Venue-specific source reviewed</x:v>
      </x:c>
      <x:c r="AI227" s="117" t="str">
        <x:v>https://www.malaysia.travel/explore/gua-kelam-recreational-park</x:v>
      </x:c>
      <x:c r="AJ227" s="117" t="str">
        <x:v>Place name or established alias matched in the cited source. This is not confirmation of current opening, all visitor facilities or the full description.</x:v>
      </x:c>
      <x:c r="AK227" s="117" t="str">
        <x:v>Not independently confirmed</x:v>
      </x:c>
      <x:c r="AL227" s="117" t="str">
        <x:v>Primary accessibility evidence reviewed</x:v>
      </x:c>
      <x:c r="AM227" s="117" t="str">
        <x:v>2026-09-08</x:v>
      </x:c>
      <x:c r="AN227" s="117"/>
      <x:c r="AO227" s="117"/>
      <x:c r="AP227" s="117" t="str">
        <x:v>No usable pair located; image research pending</x:v>
      </x:c>
      <x:c r="AQ227" s="117"/>
    </x:row>
    <x:row r="228" ht="66" customHeight="1">
      <x:c r="A228" s="117" t="str">
        <x:v>MC0225</x:v>
      </x:c>
      <x:c r="B228" s="117" t="str">
        <x:v>Timah Tasoh Lake</x:v>
      </x:c>
      <x:c r="C228" s="117" t="str">
        <x:v>Perlis</x:v>
      </x:c>
      <x:c r="D228" s="117" t="str">
        <x:v>Beseri</x:v>
      </x:c>
      <x:c r="E228" s="117" t="str">
        <x:v>Nature</x:v>
      </x:c>
      <x:c r="F228" s="117" t="str">
        <x:v>Unclassified</x:v>
      </x:c>
      <x:c r="G228" s="117" t="str">
        <x:v>Outdoor</x:v>
      </x:c>
      <x:c r="H228" s="117" t="str">
        <x:v>Lake; reservoir; dam; water catchment; sunset; scenic view; mountains; birdwatching; migratory birds; wetland; wildlife; fishing; freshwater fish; aquaculture; photography; relaxation; picnicking; camping; boating; boat cruise; kayaking; sailing; water sports; orchards; rural tourism</x:v>
      </x:c>
      <x:c r="I228" s="117" t="str">
        <x:v>A large man-made reservoir near Beseri in northern Perlis, formed where Sungai Timah and Sungai Tasoh meet. Surrounded by hills and greenery, the lake is known for sunset views, migratory birds, freshwater fishing and peaceful lakeside recreation, with selected tourism and water activities around the wider reservoir area.</x:v>
      </x:c>
      <x:c r="J228" s="117" t="str">
        <x:v>https://www.malaysia.travel/explore/timah-tasoh-lake ; https://www.malaysia.travel/index.php/explore/timah-tasoh-lake ; https://tourism.perlis.gov.my/tour-item/tasik-timah-tasoh/ ; https://explore.perlis.gov.my/Destination/view/OJkEf ; https://explore.perlis.gov.my/Destination/view/KNZl3 ; https://ebrochures.malaysia.travel/en/birdwatching-paradise/perlis/ ; https://jps.perlis.gov.my/index.php/galeri/arkib-berita/339-pembukaan-pintu-alur-limpah-barat-empangan-timah-tasoh-2</x:v>
      </x:c>
      <x:c r="K228" s="117" t="str">
        <x:v>https://ebrochures.malaysia.travel/en/malaysia-travel-guide/perlis/</x:v>
      </x:c>
      <x:c r="L228" s="117" t="str">
        <x:v>Previous workbook candidate/source lead</x:v>
      </x:c>
      <x:c r="M228" s="117" t="str">
        <x:v>Previous workbook seed</x:v>
      </x:c>
      <x:c r="N228" s="117" t="str">
        <x:v>A018</x:v>
      </x:c>
      <x:c r="O228" s="117" t="str">
        <x:v>2026-08-15 00:00:00</x:v>
      </x:c>
      <x:c r="P228" s="117" t="str">
        <x:v>Complete</x:v>
      </x:c>
      <x:c r="Q228" s="117"/>
      <x:c r="R228" s="117" t="str">
        <x:f t="shared" si="3">IF(J228="","Missing Link",IF(AND(ISNUMBER(SEARCH("google.com/maps",J228)),ISERROR(SEARCH(";",J228))),"Discovery Link Only","Source Link Present"))</x:f>
        <x:v>Source Link Present</x:v>
      </x:c>
      <x:c r="S228" s="117" t="str">
        <x:v>Unknown</x:v>
      </x:c>
      <x:c r="T228" s="117" t="str">
        <x:v>Unknown</x:v>
      </x:c>
      <x:c r="U228" s="117" t="str">
        <x:v>Unknown</x:v>
      </x:c>
      <x:c r="V228" s="117" t="str">
        <x:v>Unknown</x:v>
      </x:c>
      <x:c r="W228" s="117" t="str">
        <x:v>Unknown</x:v>
      </x:c>
      <x:c r="X228" s="117" t="str">
        <x:v>Unknown</x:v>
      </x:c>
      <x:c r="Y228" s="117" t="str">
        <x:v>Unknown</x:v>
      </x:c>
      <x:c r="Z228" s="117"/>
      <x:c r="AA228" s="117" t="str">
        <x:v>Pending evidence</x:v>
      </x:c>
      <x:c r="AB228" s="117"/>
      <x:c r="AC228" s="117" t="str">
        <x:v>No qualifying accessibility conclusion established from the screened sources. This is unknown, not evidence that the attraction is inaccessible.</x:v>
      </x:c>
      <x:c r="AD228" s="117" t="str">
        <x:v>2026-09-08</x:v>
      </x:c>
      <x:c r="AE228" s="117" t="str">
        <x:v>MC0225</x:v>
      </x:c>
      <x:c r="AF228" s="117" t="str">
        <x:v>Distinct candidate</x:v>
      </x:c>
      <x:c r="AG228" s="117" t="str"/>
      <x:c r="AH228" s="117" t="str">
        <x:v>Name corroborated in source</x:v>
      </x:c>
      <x:c r="AI228" s="117" t="str">
        <x:v>https://www.malaysia.travel/explore/timah-tasoh-lake</x:v>
      </x:c>
      <x:c r="AJ228" s="117" t="str">
        <x:v>Place name or established alias matched in the cited source. This is not confirmation of current opening, all visitor facilities or the full description.</x:v>
      </x:c>
      <x:c r="AK228" s="117" t="str">
        <x:v>Not independently confirmed</x:v>
      </x:c>
      <x:c r="AL228" s="117" t="str">
        <x:v>Screened sources; accessibility unresolved</x:v>
      </x:c>
      <x:c r="AM228" s="117" t="str">
        <x:v>2026-09-08</x:v>
      </x:c>
      <x:c r="AN228" s="117"/>
      <x:c r="AO228" s="117"/>
      <x:c r="AP228" s="117" t="str">
        <x:v>No usable pair located; image research pending</x:v>
      </x:c>
      <x:c r="AQ228" s="117"/>
    </x:row>
    <x:row r="229" ht="66" customHeight="1">
      <x:c r="A229" s="117" t="str">
        <x:v>MC0226</x:v>
      </x:c>
      <x:c r="B229" s="117" t="str">
        <x:v>Wang Kelian Viewpoint</x:v>
      </x:c>
      <x:c r="C229" s="117" t="str">
        <x:v>Perlis</x:v>
      </x:c>
      <x:c r="D229" s="117" t="str">
        <x:v>Wang Kelian</x:v>
      </x:c>
      <x:c r="E229" s="117" t="str">
        <x:v>Nature</x:v>
      </x:c>
      <x:c r="F229" s="117" t="str">
        <x:v>Unclassified</x:v>
      </x:c>
      <x:c r="G229" s="117" t="str">
        <x:v>Outdoor</x:v>
      </x:c>
      <x:c r="H229" s="117" t="str">
        <x:v>viewpoint; scenery; sunrise; nature; photography</x:v>
      </x:c>
      <x:c r="I229" s="117" t="str">
        <x:v>A scenic viewpoint near the Malaysia-Thailand border within Perlis State Park.</x:v>
      </x:c>
      <x:c r="J229" s="117" t="str">
        <x:v>https://www.google.com/maps/search/?api=1&amp;query=Wang%20Kelian%20View%20Point%2C%20Perlis%2C%20Malaysia</x:v>
      </x:c>
      <x:c r="K229" s="117" t="str">
        <x:v>https://ebrochures.malaysia.travel/en/malaysia-travel-guide/perlis/</x:v>
      </x:c>
      <x:c r="L229" s="117" t="str">
        <x:v>Previous workbook candidate/source lead</x:v>
      </x:c>
      <x:c r="M229" s="117" t="str">
        <x:v>Previous workbook seed</x:v>
      </x:c>
      <x:c r="N229" s="117" t="str">
        <x:v>A097</x:v>
      </x:c>
      <x:c r="O229" s="117" t="str">
        <x:v>2026-08-15 00:00:00</x:v>
      </x:c>
      <x:c r="P229" s="117" t="str">
        <x:v>Complete</x:v>
      </x:c>
      <x:c r="Q229" s="117" t="str">
        <x:v>Identity and Malaysian location verified in second-pass review on 2026-09-08.</x:v>
      </x:c>
      <x:c r="R229" s="117" t="str">
        <x:f t="shared" si="3">IF(J229="","Missing Link",IF(AND(ISNUMBER(SEARCH("google.com/maps",J229)),ISERROR(SEARCH(";",J229))),"Discovery Link Only","Source Link Present"))</x:f>
        <x:v>Discovery Link Only</x:v>
      </x:c>
      <x:c r="S229" s="117" t="str">
        <x:v>Unknown</x:v>
      </x:c>
      <x:c r="T229" s="117" t="str">
        <x:v>Unknown</x:v>
      </x:c>
      <x:c r="U229" s="117" t="str">
        <x:v>Unknown</x:v>
      </x:c>
      <x:c r="V229" s="117" t="str">
        <x:v>Unknown</x:v>
      </x:c>
      <x:c r="W229" s="117" t="str">
        <x:v>Unknown</x:v>
      </x:c>
      <x:c r="X229" s="117" t="str">
        <x:v>Unknown</x:v>
      </x:c>
      <x:c r="Y229" s="117" t="str">
        <x:v>Unknown</x:v>
      </x:c>
      <x:c r="Z229" s="117"/>
      <x:c r="AA229" s="117" t="str">
        <x:v>Pending evidence</x:v>
      </x:c>
      <x:c r="AB229" s="117"/>
      <x:c r="AC229" s="117" t="str">
        <x:v>No qualifying accessibility conclusion established from the screened sources. This is unknown, not evidence that the attraction is inaccessible.</x:v>
      </x:c>
      <x:c r="AD229" s="117" t="str">
        <x:v>2026-09-08</x:v>
      </x:c>
      <x:c r="AE229" s="117" t="str">
        <x:v>MC0226</x:v>
      </x:c>
      <x:c r="AF229" s="117" t="str">
        <x:v>Distinct candidate</x:v>
      </x:c>
      <x:c r="AG229" s="117" t="str"/>
      <x:c r="AH229" s="117" t="str">
        <x:v>Identity and location corroborated</x:v>
      </x:c>
      <x:c r="AI229" s="117" t="str">
        <x:v>https://www.malaysia.travel/explore/wang-kelian</x:v>
      </x:c>
      <x:c r="AJ229" s="117" t="str">
        <x:v>Tourism Malaysia matches the attraction name or established alias and the stated Malaysian location. This verifies identity/location only; confirm current opening and accessibility separately.</x:v>
      </x:c>
      <x:c r="AK229" s="117" t="str">
        <x:v>Not independently confirmed</x:v>
      </x:c>
      <x:c r="AL229" s="117" t="str">
        <x:v>Screened sources; accessibility unresolved</x:v>
      </x:c>
      <x:c r="AM229" s="117" t="str">
        <x:v>2026-09-08</x:v>
      </x:c>
      <x:c r="AN229" s="117"/>
      <x:c r="AO229" s="117"/>
      <x:c r="AP229" s="117" t="str">
        <x:v>No usable pair located; image research pending</x:v>
      </x:c>
      <x:c r="AQ229" s="117"/>
    </x:row>
    <x:row r="230" ht="66" customHeight="1">
      <x:c r="A230" s="117" t="str">
        <x:v>MC0227</x:v>
      </x:c>
      <x:c r="B230" s="117" t="str">
        <x:v>Perlis State Park</x:v>
      </x:c>
      <x:c r="C230" s="117" t="str">
        <x:v>Perlis</x:v>
      </x:c>
      <x:c r="D230" s="117" t="str">
        <x:v>Wang Kelian</x:v>
      </x:c>
      <x:c r="E230" s="117" t="str">
        <x:v>Adventure</x:v>
      </x:c>
      <x:c r="F230" s="117" t="str">
        <x:v>Unclassified</x:v>
      </x:c>
      <x:c r="G230" s="117" t="str">
        <x:v>Outdoor</x:v>
      </x:c>
      <x:c r="H230" s="117" t="str">
        <x:v>forest; hiking; caves; wildlife; nature</x:v>
      </x:c>
      <x:c r="I230" s="117" t="str">
        <x:v>Malaysia's smallest state park, a limestone forest reserve near Wang Kelian known for caves and hiking trails.</x:v>
      </x:c>
      <x:c r="J230" s="117" t="str">
        <x:v>https://www.google.com/maps/search/?api=1&amp;query=Perlis%20State%20Park%2C%20Perlis%2C%20Malaysia</x:v>
      </x:c>
      <x:c r="K230" s="117" t="str">
        <x:v>https://ebrochures.malaysia.travel/en/malaysia-travel-guide/perlis/</x:v>
      </x:c>
      <x:c r="L230" s="117" t="str">
        <x:v>Previous workbook candidate/source lead</x:v>
      </x:c>
      <x:c r="M230" s="117" t="str">
        <x:v>Previous workbook seed</x:v>
      </x:c>
      <x:c r="N230" s="117" t="str">
        <x:v>A098</x:v>
      </x:c>
      <x:c r="O230" s="117" t="str">
        <x:v>2026-08-15 00:00:00</x:v>
      </x:c>
      <x:c r="P230" s="117" t="str">
        <x:v>Complete</x:v>
      </x:c>
      <x:c r="Q230" s="117"/>
      <x:c r="R230" s="117" t="str">
        <x:f t="shared" si="3">IF(J230="","Missing Link",IF(AND(ISNUMBER(SEARCH("google.com/maps",J230)),ISERROR(SEARCH(";",J230))),"Discovery Link Only","Source Link Present"))</x:f>
        <x:v>Discovery Link Only</x:v>
      </x:c>
      <x:c r="S230" s="117" t="str">
        <x:v>Unknown</x:v>
      </x:c>
      <x:c r="T230" s="117" t="str">
        <x:v>Unknown</x:v>
      </x:c>
      <x:c r="U230" s="117" t="str">
        <x:v>Unknown</x:v>
      </x:c>
      <x:c r="V230" s="117" t="str">
        <x:v>Unknown</x:v>
      </x:c>
      <x:c r="W230" s="117" t="str">
        <x:v>Unknown</x:v>
      </x:c>
      <x:c r="X230" s="117" t="str">
        <x:v>Unknown</x:v>
      </x:c>
      <x:c r="Y230" s="117" t="str">
        <x:v>Unknown</x:v>
      </x:c>
      <x:c r="Z230" s="117"/>
      <x:c r="AA230" s="117" t="str">
        <x:v>Pending evidence</x:v>
      </x:c>
      <x:c r="AB230" s="117"/>
      <x:c r="AC230" s="117" t="str">
        <x:v>No qualifying accessibility conclusion established from the screened sources. This is unknown, not evidence that the attraction is inaccessible.</x:v>
      </x:c>
      <x:c r="AD230" s="117" t="str">
        <x:v>2026-09-08</x:v>
      </x:c>
      <x:c r="AE230" s="117" t="str">
        <x:v>MC0227</x:v>
      </x:c>
      <x:c r="AF230" s="117" t="str">
        <x:v>Distinct candidate</x:v>
      </x:c>
      <x:c r="AG230" s="117" t="str"/>
      <x:c r="AH230" s="117" t="str">
        <x:v>Name corroborated in source</x:v>
      </x:c>
      <x:c r="AI230" s="117" t="str">
        <x:v>https://ebrochures.malaysia.travel/en/malaysia-travel-guide/perlis/</x:v>
      </x:c>
      <x:c r="AJ230" s="117" t="str">
        <x:v>Place name or established alias matched in the cited source. This is not confirmation of current opening, all visitor facilities or the full description.</x:v>
      </x:c>
      <x:c r="AK230" s="117" t="str">
        <x:v>Not independently confirmed</x:v>
      </x:c>
      <x:c r="AL230" s="117" t="str">
        <x:v>Screened sources; accessibility unresolved</x:v>
      </x:c>
      <x:c r="AM230" s="117" t="str">
        <x:v>2026-09-08</x:v>
      </x:c>
      <x:c r="AN230" s="117"/>
      <x:c r="AO230" s="117"/>
      <x:c r="AP230" s="117" t="str">
        <x:v>No usable pair located; image research pending</x:v>
      </x:c>
      <x:c r="AQ230" s="117"/>
    </x:row>
    <x:row r="231" ht="66" customHeight="1">
      <x:c r="A231" s="117" t="str">
        <x:v>MC0228</x:v>
      </x:c>
      <x:c r="B231" s="117" t="str">
        <x:v>Padang Besar Market</x:v>
      </x:c>
      <x:c r="C231" s="117" t="str">
        <x:v>Perlis</x:v>
      </x:c>
      <x:c r="D231" s="117" t="str">
        <x:v>Padang Besar</x:v>
      </x:c>
      <x:c r="E231" s="117" t="str">
        <x:v>Shopping</x:v>
      </x:c>
      <x:c r="F231" s="117" t="str">
        <x:v>Local</x:v>
      </x:c>
      <x:c r="G231" s="117" t="str">
        <x:v>Both</x:v>
      </x:c>
      <x:c r="H231" s="117" t="str">
        <x:v>market; shopping; local food; border town; culture</x:v>
      </x:c>
      <x:c r="I231" s="117" t="str">
        <x:v>A cross-border market town at the Malaysia-Thailand border known for duty-free shopping.</x:v>
      </x:c>
      <x:c r="J231" s="117" t="str">
        <x:v>https://www.google.com/maps/search/?api=1&amp;query=Padang%20Besar%20Market%2C%20Perlis%2C%20Malaysia</x:v>
      </x:c>
      <x:c r="K231" s="117" t="str">
        <x:v>https://ebrochures.malaysia.travel/en/malaysia-travel-guide/perlis/</x:v>
      </x:c>
      <x:c r="L231" s="117" t="str">
        <x:v>Previous workbook candidate/source lead</x:v>
      </x:c>
      <x:c r="M231" s="117" t="str">
        <x:v>Previous workbook seed</x:v>
      </x:c>
      <x:c r="N231" s="117" t="str">
        <x:v>A099</x:v>
      </x:c>
      <x:c r="O231" s="117" t="str">
        <x:v>2026-08-15 00:00:00</x:v>
      </x:c>
      <x:c r="P231" s="117" t="str">
        <x:v>Complete</x:v>
      </x:c>
      <x:c r="Q231" s="117" t="str">
        <x:v>Identity and Malaysian location verified in second-pass review on 2026-09-08.</x:v>
      </x:c>
      <x:c r="R231" s="117" t="str">
        <x:f t="shared" si="3">IF(J231="","Missing Link",IF(AND(ISNUMBER(SEARCH("google.com/maps",J231)),ISERROR(SEARCH(";",J231))),"Discovery Link Only","Source Link Present"))</x:f>
        <x:v>Discovery Link Only</x:v>
      </x:c>
      <x:c r="S231" s="117" t="str">
        <x:v>Unknown</x:v>
      </x:c>
      <x:c r="T231" s="117" t="str">
        <x:v>Unknown</x:v>
      </x:c>
      <x:c r="U231" s="117" t="str">
        <x:v>Unknown</x:v>
      </x:c>
      <x:c r="V231" s="117" t="str">
        <x:v>Unknown</x:v>
      </x:c>
      <x:c r="W231" s="117" t="str">
        <x:v>Unknown</x:v>
      </x:c>
      <x:c r="X231" s="117" t="str">
        <x:v>Unknown</x:v>
      </x:c>
      <x:c r="Y231" s="117" t="str">
        <x:v>Unknown</x:v>
      </x:c>
      <x:c r="Z231" s="117"/>
      <x:c r="AA231" s="117" t="str">
        <x:v>Pending evidence</x:v>
      </x:c>
      <x:c r="AB231" s="117"/>
      <x:c r="AC231" s="117" t="str">
        <x:v>No qualifying accessibility conclusion established from the screened sources. This is unknown, not evidence that the attraction is inaccessible.</x:v>
      </x:c>
      <x:c r="AD231" s="117" t="str">
        <x:v>2026-09-08</x:v>
      </x:c>
      <x:c r="AE231" s="117" t="str">
        <x:v>MC0228</x:v>
      </x:c>
      <x:c r="AF231" s="117" t="str">
        <x:v>Distinct candidate</x:v>
      </x:c>
      <x:c r="AG231" s="117" t="str"/>
      <x:c r="AH231" s="117" t="str">
        <x:v>Identity and location corroborated</x:v>
      </x:c>
      <x:c r="AI231" s="117" t="str">
        <x:v>https://www.malaysia.travel/explore/shopping-at-local-market-in-perlis</x:v>
      </x:c>
      <x:c r="AJ231" s="117" t="str">
        <x:v>Tourism Malaysia matches the attraction name or established alias and the stated Malaysian location. This verifies identity/location only; confirm current opening and accessibility separately.</x:v>
      </x:c>
      <x:c r="AK231" s="117" t="str">
        <x:v>Not independently confirmed</x:v>
      </x:c>
      <x:c r="AL231" s="117" t="str">
        <x:v>Screened sources; accessibility unresolved</x:v>
      </x:c>
      <x:c r="AM231" s="117" t="str">
        <x:v>2026-09-08</x:v>
      </x:c>
      <x:c r="AN231" s="117"/>
      <x:c r="AO231" s="117"/>
      <x:c r="AP231" s="117" t="str">
        <x:v>No usable pair located; image research pending</x:v>
      </x:c>
      <x:c r="AQ231" s="117"/>
    </x:row>
    <x:row r="232" ht="66" customHeight="1">
      <x:c r="A232" s="117" t="str">
        <x:v>MC0229</x:v>
      </x:c>
      <x:c r="B232" s="117" t="str">
        <x:v>Kota Kayang Museum</x:v>
      </x:c>
      <x:c r="C232" s="117" t="str">
        <x:v>Perlis</x:v>
      </x:c>
      <x:c r="D232" s="117" t="str">
        <x:v>Kuala Perlis</x:v>
      </x:c>
      <x:c r="E232" s="117" t="str">
        <x:v>Museum and Gallery</x:v>
      </x:c>
      <x:c r="F232" s="117" t="str">
        <x:v>Unclassified</x:v>
      </x:c>
      <x:c r="G232" s="117" t="str">
        <x:v>Both</x:v>
      </x:c>
      <x:c r="H232" s="117" t="str">
        <x:v>museum; history; archaeology; heritage; culture</x:v>
      </x:c>
      <x:c r="I232" s="117" t="str">
        <x:v>A small archaeological and historical museum in Kuala Perlis.</x:v>
      </x:c>
      <x:c r="J232" s="117" t="str">
        <x:v>https://www.google.com/maps/search/?api=1&amp;query=Kota%20Kayang%20Museum%2C%20Perlis%2C%20Malaysia</x:v>
      </x:c>
      <x:c r="K232" s="117" t="str">
        <x:v>https://ebrochures.malaysia.travel/en/malaysia-travel-guide/perlis/</x:v>
      </x:c>
      <x:c r="L232" s="117" t="str">
        <x:v>Previous workbook candidate/source lead</x:v>
      </x:c>
      <x:c r="M232" s="117" t="str">
        <x:v>Previous workbook seed</x:v>
      </x:c>
      <x:c r="N232" s="117" t="str">
        <x:v>A100</x:v>
      </x:c>
      <x:c r="O232" s="117" t="str">
        <x:v>2026-08-15 00:00:00</x:v>
      </x:c>
      <x:c r="P232" s="117" t="str">
        <x:v>Complete</x:v>
      </x:c>
      <x:c r="Q232" s="117"/>
      <x:c r="R232" s="117" t="str">
        <x:f t="shared" si="3">IF(J232="","Missing Link",IF(AND(ISNUMBER(SEARCH("google.com/maps",J232)),ISERROR(SEARCH(";",J232))),"Discovery Link Only","Source Link Present"))</x:f>
        <x:v>Discovery Link Only</x:v>
      </x:c>
      <x:c r="S232" s="117" t="str">
        <x:v>Unknown</x:v>
      </x:c>
      <x:c r="T232" s="117" t="str">
        <x:v>Unknown</x:v>
      </x:c>
      <x:c r="U232" s="117" t="str">
        <x:v>Unknown</x:v>
      </x:c>
      <x:c r="V232" s="117" t="str">
        <x:v>Unknown</x:v>
      </x:c>
      <x:c r="W232" s="117" t="str">
        <x:v>Unknown</x:v>
      </x:c>
      <x:c r="X232" s="117" t="str">
        <x:v>Unknown</x:v>
      </x:c>
      <x:c r="Y232" s="117" t="str">
        <x:v>Unknown</x:v>
      </x:c>
      <x:c r="Z232" s="117"/>
      <x:c r="AA232" s="117" t="str">
        <x:v>Pending evidence</x:v>
      </x:c>
      <x:c r="AB232" s="117"/>
      <x:c r="AC232" s="117" t="str">
        <x:v>No qualifying accessibility conclusion established from the screened sources. This is unknown, not evidence that the attraction is inaccessible.</x:v>
      </x:c>
      <x:c r="AD232" s="117" t="str">
        <x:v>2026-09-08</x:v>
      </x:c>
      <x:c r="AE232" s="117" t="str">
        <x:v>MC0229</x:v>
      </x:c>
      <x:c r="AF232" s="117" t="str">
        <x:v>Distinct candidate</x:v>
      </x:c>
      <x:c r="AG232" s="117" t="str"/>
      <x:c r="AH232" s="117" t="str">
        <x:v>Name corroborated in source</x:v>
      </x:c>
      <x:c r="AI232" s="117" t="str">
        <x:v>https://ebrochures.malaysia.travel/en/malaysia-travel-guide/perlis/</x:v>
      </x:c>
      <x:c r="AJ232" s="117" t="str">
        <x:v>Place name or established alias matched in the cited source. This is not confirmation of current opening, all visitor facilities or the full description.</x:v>
      </x:c>
      <x:c r="AK232" s="117" t="str">
        <x:v>Not independently confirmed</x:v>
      </x:c>
      <x:c r="AL232" s="117" t="str">
        <x:v>Screened sources; accessibility unresolved</x:v>
      </x:c>
      <x:c r="AM232" s="117" t="str">
        <x:v>2026-09-08</x:v>
      </x:c>
      <x:c r="AN232" s="117"/>
      <x:c r="AO232" s="117"/>
      <x:c r="AP232" s="117" t="str">
        <x:v>No usable pair located; image research pending</x:v>
      </x:c>
      <x:c r="AQ232" s="117"/>
    </x:row>
    <x:row r="233" ht="66" customHeight="1">
      <x:c r="A233" s="117" t="str">
        <x:v>MC0230</x:v>
      </x:c>
      <x:c r="B233" s="117" t="str">
        <x:v>Tasik Melati Recreational Park</x:v>
      </x:c>
      <x:c r="C233" s="117" t="str">
        <x:v>Perlis</x:v>
      </x:c>
      <x:c r="D233" s="117" t="str">
        <x:v>Kangar</x:v>
      </x:c>
      <x:c r="E233" s="117" t="str">
        <x:v>Park and Recreation</x:v>
      </x:c>
      <x:c r="F233" s="117" t="str">
        <x:v>Unclassified</x:v>
      </x:c>
      <x:c r="G233" s="117" t="str">
        <x:v>Outdoor</x:v>
      </x:c>
      <x:c r="H233" s="117" t="str">
        <x:v>lake; walking; relaxation; family; nature</x:v>
      </x:c>
      <x:c r="I233" s="117" t="str">
        <x:v>A lake recreational park near Kangar, Perlis, with boating and a small zoo.</x:v>
      </x:c>
      <x:c r="J233" s="117" t="str">
        <x:v>https://www.google.com/maps/search/?api=1&amp;query=Tasik%20Melati%20Recreational%20Park%2C%20Perlis%2C%20Malaysia</x:v>
      </x:c>
      <x:c r="K233" s="117" t="str">
        <x:v>https://ebrochures.malaysia.travel/en/malaysia-travel-guide/perlis/</x:v>
      </x:c>
      <x:c r="L233" s="117" t="str">
        <x:v>Previous workbook candidate/source lead</x:v>
      </x:c>
      <x:c r="M233" s="117" t="str">
        <x:v>Previous workbook seed</x:v>
      </x:c>
      <x:c r="N233" s="117" t="str">
        <x:v>A101</x:v>
      </x:c>
      <x:c r="O233" s="117" t="str">
        <x:v>2026-08-15 00:00:00</x:v>
      </x:c>
      <x:c r="P233" s="117" t="str">
        <x:v>Complete</x:v>
      </x:c>
      <x:c r="Q233" s="117"/>
      <x:c r="R233" s="117" t="str">
        <x:f t="shared" si="3">IF(J233="","Missing Link",IF(AND(ISNUMBER(SEARCH("google.com/maps",J233)),ISERROR(SEARCH(";",J233))),"Discovery Link Only","Source Link Present"))</x:f>
        <x:v>Discovery Link Only</x:v>
      </x:c>
      <x:c r="S233" s="117" t="str">
        <x:v>Unknown</x:v>
      </x:c>
      <x:c r="T233" s="117" t="str">
        <x:v>Unknown</x:v>
      </x:c>
      <x:c r="U233" s="117" t="str">
        <x:v>Unknown</x:v>
      </x:c>
      <x:c r="V233" s="117" t="str">
        <x:v>Unknown</x:v>
      </x:c>
      <x:c r="W233" s="117" t="str">
        <x:v>Unknown</x:v>
      </x:c>
      <x:c r="X233" s="117" t="str">
        <x:v>Unknown</x:v>
      </x:c>
      <x:c r="Y233" s="117" t="str">
        <x:v>Unknown</x:v>
      </x:c>
      <x:c r="Z233" s="117"/>
      <x:c r="AA233" s="117" t="str">
        <x:v>Pending evidence</x:v>
      </x:c>
      <x:c r="AB233" s="117"/>
      <x:c r="AC233" s="117" t="str">
        <x:v>No qualifying accessibility conclusion established from the screened sources. This is unknown, not evidence that the attraction is inaccessible.</x:v>
      </x:c>
      <x:c r="AD233" s="117" t="str">
        <x:v>2026-09-08</x:v>
      </x:c>
      <x:c r="AE233" s="117" t="str">
        <x:v>MC0230</x:v>
      </x:c>
      <x:c r="AF233" s="117" t="str">
        <x:v>Distinct candidate</x:v>
      </x:c>
      <x:c r="AG233" s="117" t="str"/>
      <x:c r="AH233" s="117" t="str">
        <x:v>Name corroborated in source</x:v>
      </x:c>
      <x:c r="AI233" s="117" t="str">
        <x:v>https://ebrochures.malaysia.travel/en/malaysia-travel-guide/perlis/</x:v>
      </x:c>
      <x:c r="AJ233" s="117" t="str">
        <x:v>Place name or established alias matched in the cited source. This is not confirmation of current opening, all visitor facilities or the full description.</x:v>
      </x:c>
      <x:c r="AK233" s="117" t="str">
        <x:v>Not independently confirmed</x:v>
      </x:c>
      <x:c r="AL233" s="117" t="str">
        <x:v>Screened sources; accessibility unresolved</x:v>
      </x:c>
      <x:c r="AM233" s="117" t="str">
        <x:v>2026-09-08</x:v>
      </x:c>
      <x:c r="AN233" s="117"/>
      <x:c r="AO233" s="117"/>
      <x:c r="AP233" s="117" t="str">
        <x:v>No usable pair located; image research pending</x:v>
      </x:c>
      <x:c r="AQ233" s="117"/>
    </x:row>
    <x:row r="234" ht="66" customHeight="1">
      <x:c r="A234" s="117" t="str">
        <x:v>MC0231</x:v>
      </x:c>
      <x:c r="B234" s="117" t="str">
        <x:v>Perlis Snake and Reptile Farm</x:v>
      </x:c>
      <x:c r="C234" s="117" t="str">
        <x:v>Perlis</x:v>
      </x:c>
      <x:c r="D234" s="117" t="str">
        <x:v>Sungai Batu Pahat</x:v>
      </x:c>
      <x:c r="E234" s="117" t="str">
        <x:v>Wildlife</x:v>
      </x:c>
      <x:c r="F234" s="117" t="str">
        <x:v>Unclassified</x:v>
      </x:c>
      <x:c r="G234" s="117" t="str">
        <x:v>Both</x:v>
      </x:c>
      <x:c r="H234" s="117" t="str">
        <x:v>reptiles; snakes; family; education; wildlife</x:v>
      </x:c>
      <x:c r="I234" s="117" t="str">
        <x:v>A reptile park in Sungai Batu Pahat district, Perlis, showcasing snakes and other reptiles.</x:v>
      </x:c>
      <x:c r="J234" s="117" t="str">
        <x:v>https://www.google.com/maps/search/?api=1&amp;query=Perlis%20Snake%20and%20Reptile%20Farm%2C%20Perlis%2C%20Malaysia</x:v>
      </x:c>
      <x:c r="K234" s="117" t="str">
        <x:v>https://ebrochures.malaysia.travel/en/malaysia-travel-guide/perlis/</x:v>
      </x:c>
      <x:c r="L234" s="117" t="str">
        <x:v>Previous workbook candidate/source lead</x:v>
      </x:c>
      <x:c r="M234" s="117" t="str">
        <x:v>Previous workbook seed</x:v>
      </x:c>
      <x:c r="N234" s="117" t="str">
        <x:v>A102</x:v>
      </x:c>
      <x:c r="O234" s="117" t="str">
        <x:v>2026-08-15 00:00:00</x:v>
      </x:c>
      <x:c r="P234" s="117" t="str">
        <x:v>Complete</x:v>
      </x:c>
      <x:c r="Q234" s="117"/>
      <x:c r="R234" s="117" t="str">
        <x:f t="shared" si="3">IF(J234="","Missing Link",IF(AND(ISNUMBER(SEARCH("google.com/maps",J234)),ISERROR(SEARCH(";",J234))),"Discovery Link Only","Source Link Present"))</x:f>
        <x:v>Discovery Link Only</x:v>
      </x:c>
      <x:c r="S234" s="117" t="str">
        <x:v>Unknown</x:v>
      </x:c>
      <x:c r="T234" s="117" t="str">
        <x:v>Unknown</x:v>
      </x:c>
      <x:c r="U234" s="117" t="str">
        <x:v>Unknown</x:v>
      </x:c>
      <x:c r="V234" s="117" t="str">
        <x:v>Unknown</x:v>
      </x:c>
      <x:c r="W234" s="117" t="str">
        <x:v>Unknown</x:v>
      </x:c>
      <x:c r="X234" s="117" t="str">
        <x:v>Unknown</x:v>
      </x:c>
      <x:c r="Y234" s="117" t="str">
        <x:v>Unknown</x:v>
      </x:c>
      <x:c r="Z234" s="117"/>
      <x:c r="AA234" s="117" t="str">
        <x:v>Pending evidence</x:v>
      </x:c>
      <x:c r="AB234" s="117"/>
      <x:c r="AC234" s="117" t="str">
        <x:v>No qualifying accessibility conclusion established from the screened sources. This is unknown, not evidence that the attraction is inaccessible.</x:v>
      </x:c>
      <x:c r="AD234" s="117" t="str">
        <x:v>2026-09-08</x:v>
      </x:c>
      <x:c r="AE234" s="117" t="str">
        <x:v>MC0231</x:v>
      </x:c>
      <x:c r="AF234" s="117" t="str">
        <x:v>Distinct candidate</x:v>
      </x:c>
      <x:c r="AG234" s="117" t="str"/>
      <x:c r="AH234" s="117" t="str">
        <x:v>Name corroborated in source</x:v>
      </x:c>
      <x:c r="AI234" s="117" t="str">
        <x:v>https://ebrochures.malaysia.travel/en/malaysia-travel-guide/perlis/</x:v>
      </x:c>
      <x:c r="AJ234" s="117" t="str">
        <x:v>Place name or established alias matched in the cited source. This is not confirmation of current opening, all visitor facilities or the full description.</x:v>
      </x:c>
      <x:c r="AK234" s="117" t="str">
        <x:v>Not independently confirmed</x:v>
      </x:c>
      <x:c r="AL234" s="117" t="str">
        <x:v>Screened sources; accessibility unresolved</x:v>
      </x:c>
      <x:c r="AM234" s="117" t="str">
        <x:v>2026-09-08</x:v>
      </x:c>
      <x:c r="AN234" s="117"/>
      <x:c r="AO234" s="117"/>
      <x:c r="AP234" s="117" t="str">
        <x:v>No usable pair located; image research pending</x:v>
      </x:c>
      <x:c r="AQ234" s="117"/>
    </x:row>
    <x:row r="235" ht="66" customHeight="1">
      <x:c r="A235" s="117" t="str">
        <x:v>MC0232</x:v>
      </x:c>
      <x:c r="B235" s="117" t="str">
        <x:v>Al-Hussain Mosque</x:v>
      </x:c>
      <x:c r="C235" s="117" t="str">
        <x:v>Perlis</x:v>
      </x:c>
      <x:c r="D235" s="117" t="str">
        <x:v>Kuala Perlis</x:v>
      </x:c>
      <x:c r="E235" s="117" t="str">
        <x:v>Religious Site</x:v>
      </x:c>
      <x:c r="F235" s="117" t="str">
        <x:v>Unclassified</x:v>
      </x:c>
      <x:c r="G235" s="117" t="str">
        <x:v>Both</x:v>
      </x:c>
      <x:c r="H235" s="117" t="str">
        <x:v>mosque; architecture; religion; sunset; photography</x:v>
      </x:c>
      <x:c r="I235" s="117" t="str">
        <x:v>A landmark mosque in Kuala Perlis built on stilts over the water, giving it a floating appearance.</x:v>
      </x:c>
      <x:c r="J235" s="117" t="str">
        <x:v>https://www.google.com/maps/search/?api=1&amp;query=Al-Hussain%20Mosque%2C%20Perlis%2C%20Malaysia</x:v>
      </x:c>
      <x:c r="K235" s="117" t="str">
        <x:v>https://ebrochures.malaysia.travel/en/malaysia-travel-guide/perlis/</x:v>
      </x:c>
      <x:c r="L235" s="117" t="str">
        <x:v>Previous workbook candidate/source lead</x:v>
      </x:c>
      <x:c r="M235" s="117" t="str">
        <x:v>Previous workbook seed</x:v>
      </x:c>
      <x:c r="N235" s="117" t="str">
        <x:v>A103</x:v>
      </x:c>
      <x:c r="O235" s="117" t="str">
        <x:v>2026-08-15 00:00:00</x:v>
      </x:c>
      <x:c r="P235" s="117" t="str">
        <x:v>Complete</x:v>
      </x:c>
      <x:c r="Q235" s="117"/>
      <x:c r="R235" s="117" t="str">
        <x:f t="shared" si="3">IF(J235="","Missing Link",IF(AND(ISNUMBER(SEARCH("google.com/maps",J235)),ISERROR(SEARCH(";",J235))),"Discovery Link Only","Source Link Present"))</x:f>
        <x:v>Discovery Link Only</x:v>
      </x:c>
      <x:c r="S235" s="117" t="str">
        <x:v>Unknown</x:v>
      </x:c>
      <x:c r="T235" s="117" t="str">
        <x:v>Unknown</x:v>
      </x:c>
      <x:c r="U235" s="117" t="str">
        <x:v>Unknown</x:v>
      </x:c>
      <x:c r="V235" s="117" t="str">
        <x:v>Unknown</x:v>
      </x:c>
      <x:c r="W235" s="117" t="str">
        <x:v>Unknown</x:v>
      </x:c>
      <x:c r="X235" s="117" t="str">
        <x:v>Unknown</x:v>
      </x:c>
      <x:c r="Y235" s="117" t="str">
        <x:v>Unknown</x:v>
      </x:c>
      <x:c r="Z235" s="117"/>
      <x:c r="AA235" s="117" t="str">
        <x:v>Pending evidence</x:v>
      </x:c>
      <x:c r="AB235" s="117"/>
      <x:c r="AC235" s="117" t="str">
        <x:v>No qualifying accessibility conclusion established from the screened sources. This is unknown, not evidence that the attraction is inaccessible.</x:v>
      </x:c>
      <x:c r="AD235" s="117" t="str">
        <x:v>2026-09-08</x:v>
      </x:c>
      <x:c r="AE235" s="117" t="str">
        <x:v>MC0232</x:v>
      </x:c>
      <x:c r="AF235" s="117" t="str">
        <x:v>Distinct candidate</x:v>
      </x:c>
      <x:c r="AG235" s="117" t="str"/>
      <x:c r="AH235" s="117" t="str">
        <x:v>Name corroborated in source</x:v>
      </x:c>
      <x:c r="AI235" s="117" t="str">
        <x:v>https://ebrochures.malaysia.travel/en/malaysia-travel-guide/perlis/</x:v>
      </x:c>
      <x:c r="AJ235" s="117" t="str">
        <x:v>Place name or established alias matched in the cited source. This is not confirmation of current opening, all visitor facilities or the full description.</x:v>
      </x:c>
      <x:c r="AK235" s="117" t="str">
        <x:v>Not independently confirmed</x:v>
      </x:c>
      <x:c r="AL235" s="117" t="str">
        <x:v>Screened sources; accessibility unresolved</x:v>
      </x:c>
      <x:c r="AM235" s="117" t="str">
        <x:v>2026-09-08</x:v>
      </x:c>
      <x:c r="AN235" s="117" t="str">
        <x:v>https://thumb.wikimedia.org/wikipedia/commons/thumb/c/cc/Sunset_at_Al-Hussain_Floating_Mosque.jpg/1280px-Sunset_at_Al-Hussain_Floating_Mosque.jpg?utm_source=commons.wikimedia.org&amp;utm_campaign=imageinfo&amp;utm_content=thumbnail</x:v>
      </x:c>
      <x:c r="AO235" s="117" t="str">
        <x:v>https://thumb.wikimedia.org/wikipedia/commons/thumb/3/34/Al_Hassan_and_Al_Hussain_Mosque_%28kasserine%29_06.jpg/1280px-Al_Hassan_and_Al_Hussain_Mosque_%28kasserine%29_06.jpg?utm_source=commons.wikimedia.org&amp;utm_campaign=imageinfo&amp;utm_content=thumbnail</x:v>
      </x:c>
      <x:c r="AP235" s="117" t="str">
        <x:v>2 metadata-matched images; visual review pending</x:v>
      </x:c>
      <x:c r="AQ235" s="117"/>
    </x:row>
    <x:row r="236" ht="66" customHeight="1">
      <x:c r="A236" s="117" t="str">
        <x:v>MC0233</x:v>
      </x:c>
      <x:c r="B236" s="117" t="str">
        <x:v>Bukit Ayer Recreational Forest</x:v>
      </x:c>
      <x:c r="C236" s="117" t="str">
        <x:v>Perlis</x:v>
      </x:c>
      <x:c r="D236" s="117" t="str">
        <x:v>Sungai Batu Pahat</x:v>
      </x:c>
      <x:c r="E236" s="117" t="str">
        <x:v>Nature</x:v>
      </x:c>
      <x:c r="F236" s="117" t="str">
        <x:v>Unclassified</x:v>
      </x:c>
      <x:c r="G236" s="117" t="str">
        <x:v>Outdoor</x:v>
      </x:c>
      <x:c r="H236" s="117" t="str">
        <x:v>forest; waterfall; picnic; relaxation; family</x:v>
      </x:c>
      <x:c r="I236" s="117" t="str">
        <x:v>A forest recreation area in Sungai Batu Pahat district, Perlis, with waterfalls.</x:v>
      </x:c>
      <x:c r="J236" s="117" t="str">
        <x:v>https://www.google.com/maps/search/?api=1&amp;query=Bukit%20Ayer%20Recreational%20Forest%2C%20Perlis%2C%20Malaysia</x:v>
      </x:c>
      <x:c r="K236" s="117" t="str">
        <x:v>https://ebrochures.malaysia.travel/en/malaysia-travel-guide/perlis/</x:v>
      </x:c>
      <x:c r="L236" s="117" t="str">
        <x:v>Previous workbook candidate/source lead</x:v>
      </x:c>
      <x:c r="M236" s="117" t="str">
        <x:v>Previous workbook seed</x:v>
      </x:c>
      <x:c r="N236" s="117" t="str">
        <x:v>A104</x:v>
      </x:c>
      <x:c r="O236" s="117" t="str">
        <x:v>2026-08-15 00:00:00</x:v>
      </x:c>
      <x:c r="P236" s="117" t="str">
        <x:v>Complete</x:v>
      </x:c>
      <x:c r="Q236" s="117" t="str">
        <x:v>Identity and Malaysian location verified in second-pass review on 2026-09-08.</x:v>
      </x:c>
      <x:c r="R236" s="117" t="str">
        <x:f t="shared" si="3">IF(J236="","Missing Link",IF(AND(ISNUMBER(SEARCH("google.com/maps",J236)),ISERROR(SEARCH(";",J236))),"Discovery Link Only","Source Link Present"))</x:f>
        <x:v>Discovery Link Only</x:v>
      </x:c>
      <x:c r="S236" s="117" t="str">
        <x:v>Unknown</x:v>
      </x:c>
      <x:c r="T236" s="117" t="str">
        <x:v>Unknown</x:v>
      </x:c>
      <x:c r="U236" s="117" t="str">
        <x:v>Unknown</x:v>
      </x:c>
      <x:c r="V236" s="117" t="str">
        <x:v>Unknown</x:v>
      </x:c>
      <x:c r="W236" s="117" t="str">
        <x:v>Unknown</x:v>
      </x:c>
      <x:c r="X236" s="117" t="str">
        <x:v>Unknown</x:v>
      </x:c>
      <x:c r="Y236" s="117" t="str">
        <x:v>Unknown</x:v>
      </x:c>
      <x:c r="Z236" s="117"/>
      <x:c r="AA236" s="117" t="str">
        <x:v>Pending evidence</x:v>
      </x:c>
      <x:c r="AB236" s="117"/>
      <x:c r="AC236" s="117" t="str">
        <x:v>No qualifying accessibility conclusion established from the screened sources. This is unknown, not evidence that the attraction is inaccessible.</x:v>
      </x:c>
      <x:c r="AD236" s="117" t="str">
        <x:v>2026-09-08</x:v>
      </x:c>
      <x:c r="AE236" s="117" t="str">
        <x:v>MC0233</x:v>
      </x:c>
      <x:c r="AF236" s="117" t="str">
        <x:v>Distinct candidate</x:v>
      </x:c>
      <x:c r="AG236" s="117" t="str"/>
      <x:c r="AH236" s="117" t="str">
        <x:v>Identity and location corroborated</x:v>
      </x:c>
      <x:c r="AI236" s="117" t="str">
        <x:v>https://www.forestry.gov.my/index.php/en/2016-06-07-02-31-39/2016-06-07-02-35-17/amenity-forests-state-park-forests</x:v>
      </x:c>
      <x:c r="AJ236" s="117" t="str">
        <x:v>Official forestry source matches the attraction name or established alias and the stated Malaysian location. This verifies identity/location only; confirm current opening and accessibility separately.</x:v>
      </x:c>
      <x:c r="AK236" s="117" t="str">
        <x:v>Not independently confirmed</x:v>
      </x:c>
      <x:c r="AL236" s="117" t="str">
        <x:v>Screened sources; accessibility unresolved</x:v>
      </x:c>
      <x:c r="AM236" s="117" t="str">
        <x:v>2026-09-08</x:v>
      </x:c>
      <x:c r="AN236" s="117"/>
      <x:c r="AO236" s="117"/>
      <x:c r="AP236" s="117" t="str">
        <x:v>No usable pair located; image research pending</x:v>
      </x:c>
      <x:c r="AQ236" s="117"/>
    </x:row>
    <x:row r="237" ht="66" customHeight="1">
      <x:c r="A237" s="117" t="str">
        <x:v>MC0234</x:v>
      </x:c>
      <x:c r="B237" s="117" t="str">
        <x:v>Wang Kelian Viewpoint</x:v>
      </x:c>
      <x:c r="C237" s="117" t="str">
        <x:v>Perlis</x:v>
      </x:c>
      <x:c r="D237" s="117" t="str">
        <x:v>Wang Kelian</x:v>
      </x:c>
      <x:c r="E237" s="117" t="str">
        <x:v>Nature</x:v>
      </x:c>
      <x:c r="F237" s="117" t="str">
        <x:v>Popular</x:v>
      </x:c>
      <x:c r="G237" s="117" t="str">
        <x:v>Outdoor</x:v>
      </x:c>
      <x:c r="H237" s="117" t="str">
        <x:v>viewpoint; sunrise; countryside</x:v>
      </x:c>
      <x:c r="I237" s="117" t="str">
        <x:v>A scenic border viewpoint within Perlis State Park near Wang Kelian.</x:v>
      </x:c>
      <x:c r="J237" s="117" t="str">
        <x:v>https://www.google.com/maps/search/?api=1&amp;query=Wang%20Kelian%20Viewpoint%2C%20Perlis%2C%20Malaysia</x:v>
      </x:c>
      <x:c r="K237" s="117" t="str">
        <x:v>https://ebrochures.malaysia.travel/en/malaysia-travel-guide/perlis/</x:v>
      </x:c>
      <x:c r="L237" s="117" t="str">
        <x:v>Tourism Malaysia state guide plus map discovery link</x:v>
      </x:c>
      <x:c r="M237" s="117" t="str">
        <x:v>Perlis expansion batch</x:v>
      </x:c>
      <x:c r="N237" s="117"/>
      <x:c r="O237" s="117" t="str">
        <x:v>2026-08-15 00:00:00</x:v>
      </x:c>
      <x:c r="P237" s="117" t="str">
        <x:v>Complete</x:v>
      </x:c>
      <x:c r="Q237" s="117" t="str">
        <x:v>Duplicate alias: use MC0226 Identity and Malaysian location verified in second-pass review on 2026-09-08.</x:v>
      </x:c>
      <x:c r="R237" s="117" t="str">
        <x:f t="shared" si="3">IF(J237="","Missing Link",IF(AND(ISNUMBER(SEARCH("google.com/maps",J237)),ISERROR(SEARCH(";",J237))),"Discovery Link Only","Source Link Present"))</x:f>
        <x:v>Discovery Link Only</x:v>
      </x:c>
      <x:c r="S237" s="117" t="str">
        <x:v>Unknown</x:v>
      </x:c>
      <x:c r="T237" s="117" t="str">
        <x:v>Unknown</x:v>
      </x:c>
      <x:c r="U237" s="117" t="str">
        <x:v>Unknown</x:v>
      </x:c>
      <x:c r="V237" s="117" t="str">
        <x:v>Unknown</x:v>
      </x:c>
      <x:c r="W237" s="117" t="str">
        <x:v>Unknown</x:v>
      </x:c>
      <x:c r="X237" s="117" t="str">
        <x:v>Unknown</x:v>
      </x:c>
      <x:c r="Y237" s="117" t="str">
        <x:v>Unknown</x:v>
      </x:c>
      <x:c r="Z237" s="117"/>
      <x:c r="AA237" s="117" t="str">
        <x:v>Duplicate - use canonical ID</x:v>
      </x:c>
      <x:c r="AB237" s="117"/>
      <x:c r="AC237" s="117" t="str">
        <x:v>No qualifying accessibility conclusion established from the screened sources. This is unknown, not evidence that the attraction is inaccessible.</x:v>
      </x:c>
      <x:c r="AD237" s="117" t="str">
        <x:v>2026-09-08</x:v>
      </x:c>
      <x:c r="AE237" s="117" t="str">
        <x:v>MC0226</x:v>
      </x:c>
      <x:c r="AF237" s="117" t="str">
        <x:v>Duplicate alias</x:v>
      </x:c>
      <x:c r="AG237" s="117" t="str"/>
      <x:c r="AH237" s="117" t="str">
        <x:v>Identity and location corroborated</x:v>
      </x:c>
      <x:c r="AI237" s="117" t="str">
        <x:v>https://www.malaysia.travel/explore/wang-kelian</x:v>
      </x:c>
      <x:c r="AJ237" s="117" t="str">
        <x:v>Tourism Malaysia matches the attraction name or established alias and the stated Malaysian location. This verifies identity/location only; confirm current opening and accessibility separately.</x:v>
      </x:c>
      <x:c r="AK237" s="117" t="str">
        <x:v>Not independently confirmed</x:v>
      </x:c>
      <x:c r="AL237" s="117" t="str">
        <x:v>Screened sources; accessibility unresolved</x:v>
      </x:c>
      <x:c r="AM237" s="117" t="str">
        <x:v>2026-09-08</x:v>
      </x:c>
      <x:c r="AN237" s="117"/>
      <x:c r="AO237" s="117"/>
      <x:c r="AP237" s="117" t="str">
        <x:v>No usable pair located; image research pending</x:v>
      </x:c>
      <x:c r="AQ237" s="117"/>
    </x:row>
    <x:row r="238" ht="66" customHeight="1">
      <x:c r="A238" s="117" t="str">
        <x:v>MC0235</x:v>
      </x:c>
      <x:c r="B238" s="117" t="str">
        <x:v>Tasik Melati</x:v>
      </x:c>
      <x:c r="C238" s="117" t="str">
        <x:v>Perlis</x:v>
      </x:c>
      <x:c r="D238" s="117" t="str">
        <x:v>Beseri</x:v>
      </x:c>
      <x:c r="E238" s="117" t="str">
        <x:v>Nature</x:v>
      </x:c>
      <x:c r="F238" s="117" t="str">
        <x:v>Local</x:v>
      </x:c>
      <x:c r="G238" s="117" t="str">
        <x:v>Outdoor</x:v>
      </x:c>
      <x:c r="H238" s="117" t="str">
        <x:v>lake; wetland; boardwalk</x:v>
      </x:c>
      <x:c r="I238" s="117" t="str">
        <x:v>A lake recreational park in Beseri district near Kangar, popular for boating and picnics.</x:v>
      </x:c>
      <x:c r="J238" s="117" t="str">
        <x:v>https://www.google.com/maps/search/?api=1&amp;query=Tasik%20Melati%2C%20Perlis%2C%20Malaysia</x:v>
      </x:c>
      <x:c r="K238" s="117" t="str">
        <x:v>https://ebrochures.malaysia.travel/en/malaysia-travel-guide/perlis/</x:v>
      </x:c>
      <x:c r="L238" s="117" t="str">
        <x:v>Tourism Malaysia state guide plus map discovery link</x:v>
      </x:c>
      <x:c r="M238" s="117" t="str">
        <x:v>Perlis expansion batch</x:v>
      </x:c>
      <x:c r="N238" s="117"/>
      <x:c r="O238" s="117" t="str">
        <x:v>2026-08-15 00:00:00</x:v>
      </x:c>
      <x:c r="P238" s="117" t="str">
        <x:v>Complete</x:v>
      </x:c>
      <x:c r="Q238" s="117" t="str">
        <x:v>Duplicate alias: use MC0230</x:v>
      </x:c>
      <x:c r="R238" s="117" t="str">
        <x:f t="shared" si="3">IF(J238="","Missing Link",IF(AND(ISNUMBER(SEARCH("google.com/maps",J238)),ISERROR(SEARCH(";",J238))),"Discovery Link Only","Source Link Present"))</x:f>
        <x:v>Discovery Link Only</x:v>
      </x:c>
      <x:c r="S238" s="117" t="str">
        <x:v>Unknown</x:v>
      </x:c>
      <x:c r="T238" s="117" t="str">
        <x:v>Unknown</x:v>
      </x:c>
      <x:c r="U238" s="117" t="str">
        <x:v>Unknown</x:v>
      </x:c>
      <x:c r="V238" s="117" t="str">
        <x:v>Unknown</x:v>
      </x:c>
      <x:c r="W238" s="117" t="str">
        <x:v>Unknown</x:v>
      </x:c>
      <x:c r="X238" s="117" t="str">
        <x:v>Unknown</x:v>
      </x:c>
      <x:c r="Y238" s="117" t="str">
        <x:v>Unknown</x:v>
      </x:c>
      <x:c r="Z238" s="117"/>
      <x:c r="AA238" s="117" t="str">
        <x:v>Duplicate - use canonical ID</x:v>
      </x:c>
      <x:c r="AB238" s="117"/>
      <x:c r="AC238" s="117" t="str">
        <x:v>No qualifying accessibility conclusion established from the screened sources. This is unknown, not evidence that the attraction is inaccessible.</x:v>
      </x:c>
      <x:c r="AD238" s="117" t="str">
        <x:v>2026-09-08</x:v>
      </x:c>
      <x:c r="AE238" s="117" t="str">
        <x:v>MC0230</x:v>
      </x:c>
      <x:c r="AF238" s="117" t="str">
        <x:v>Duplicate alias</x:v>
      </x:c>
      <x:c r="AG238" s="117" t="str"/>
      <x:c r="AH238" s="117" t="str">
        <x:v>Name corroborated in source</x:v>
      </x:c>
      <x:c r="AI238" s="117" t="str">
        <x:v>https://ebrochures.malaysia.travel/en/malaysia-travel-guide/perlis/</x:v>
      </x:c>
      <x:c r="AJ238" s="117" t="str">
        <x:v>Place name or established alias matched in the cited source. This is not confirmation of current opening, all visitor facilities or the full description.</x:v>
      </x:c>
      <x:c r="AK238" s="117" t="str">
        <x:v>Not independently confirmed</x:v>
      </x:c>
      <x:c r="AL238" s="117" t="str">
        <x:v>Screened sources; accessibility unresolved</x:v>
      </x:c>
      <x:c r="AM238" s="117" t="str">
        <x:v>2026-09-08</x:v>
      </x:c>
      <x:c r="AN238" s="117"/>
      <x:c r="AO238" s="117"/>
      <x:c r="AP238" s="117" t="str">
        <x:v>No usable pair located; image research pending</x:v>
      </x:c>
      <x:c r="AQ238" s="117"/>
    </x:row>
    <x:row r="239" ht="66" customHeight="1">
      <x:c r="A239" s="117" t="str">
        <x:v>MC0236</x:v>
      </x:c>
      <x:c r="B239" s="117" t="str">
        <x:v>Kuala Perlis Waterfront</x:v>
      </x:c>
      <x:c r="C239" s="117" t="str">
        <x:v>Perlis</x:v>
      </x:c>
      <x:c r="D239" s="117" t="str">
        <x:v>Kuala Perlis</x:v>
      </x:c>
      <x:c r="E239" s="117" t="str">
        <x:v>Urban Attraction</x:v>
      </x:c>
      <x:c r="F239" s="117" t="str">
        <x:v>Local</x:v>
      </x:c>
      <x:c r="G239" s="117" t="str">
        <x:v>Both</x:v>
      </x:c>
      <x:c r="H239" s="117" t="str">
        <x:v>seafood; sunset; waterfront</x:v>
      </x:c>
      <x:c r="I239" s="117" t="str">
        <x:v>A waterfront promenade in Kuala Perlis known for seafood restaurants and ferry connections to Langkawi.</x:v>
      </x:c>
      <x:c r="J239" s="117" t="str">
        <x:v>https://www.google.com/maps/search/?api=1&amp;query=Kuala%20Perlis%20Waterfront%2C%20Perlis%2C%20Malaysia</x:v>
      </x:c>
      <x:c r="K239" s="117" t="str">
        <x:v>https://ebrochures.malaysia.travel/en/malaysia-travel-guide/perlis/</x:v>
      </x:c>
      <x:c r="L239" s="117" t="str">
        <x:v>Tourism Malaysia state guide plus map discovery link</x:v>
      </x:c>
      <x:c r="M239" s="117" t="str">
        <x:v>Perlis expansion batch</x:v>
      </x:c>
      <x:c r="N239" s="117"/>
      <x:c r="O239" s="117" t="str">
        <x:v>2026-08-15 00:00:00</x:v>
      </x:c>
      <x:c r="P239" s="117" t="str">
        <x:v>Complete</x:v>
      </x:c>
      <x:c r="Q239" s="117" t="str">
        <x:v>Identity and Malaysian location verified in second-pass review on 2026-09-08.</x:v>
      </x:c>
      <x:c r="R239" s="117" t="str">
        <x:f t="shared" si="3">IF(J239="","Missing Link",IF(AND(ISNUMBER(SEARCH("google.com/maps",J239)),ISERROR(SEARCH(";",J239))),"Discovery Link Only","Source Link Present"))</x:f>
        <x:v>Discovery Link Only</x:v>
      </x:c>
      <x:c r="S239" s="117" t="str">
        <x:v>Unknown</x:v>
      </x:c>
      <x:c r="T239" s="117" t="str">
        <x:v>Unknown</x:v>
      </x:c>
      <x:c r="U239" s="117" t="str">
        <x:v>Unknown</x:v>
      </x:c>
      <x:c r="V239" s="117" t="str">
        <x:v>Unknown</x:v>
      </x:c>
      <x:c r="W239" s="117" t="str">
        <x:v>Unknown</x:v>
      </x:c>
      <x:c r="X239" s="117" t="str">
        <x:v>Unknown</x:v>
      </x:c>
      <x:c r="Y239" s="117" t="str">
        <x:v>Unknown</x:v>
      </x:c>
      <x:c r="Z239" s="117"/>
      <x:c r="AA239" s="117" t="str">
        <x:v>Pending evidence</x:v>
      </x:c>
      <x:c r="AB239" s="117"/>
      <x:c r="AC239" s="117" t="str">
        <x:v>No qualifying accessibility conclusion established from the screened sources. This is unknown, not evidence that the attraction is inaccessible.</x:v>
      </x:c>
      <x:c r="AD239" s="117" t="str">
        <x:v>2026-09-08</x:v>
      </x:c>
      <x:c r="AE239" s="117" t="str">
        <x:v>MC0236</x:v>
      </x:c>
      <x:c r="AF239" s="117" t="str">
        <x:v>Distinct candidate</x:v>
      </x:c>
      <x:c r="AG239" s="117" t="str"/>
      <x:c r="AH239" s="117" t="str">
        <x:v>Identity and location corroborated</x:v>
      </x:c>
      <x:c r="AI239" s="117" t="str">
        <x:v>https://www.planmalaysia.gov.my/planmalaysia/resources/epublisiti/turun/rt_perbandarankangar_perlis2035/ringkasan.pdf</x:v>
      </x:c>
      <x:c r="AJ239" s="117" t="str">
        <x:v>Official planning source; identity only matches the attraction name or established alias and the stated Malaysian location. This verifies identity/location only; confirm current opening and accessibility separately. The source does not establish current visitor operation.</x:v>
      </x:c>
      <x:c r="AK239" s="117" t="str">
        <x:v>Not independently confirmed</x:v>
      </x:c>
      <x:c r="AL239" s="117" t="str">
        <x:v>Screened sources; accessibility unresolved</x:v>
      </x:c>
      <x:c r="AM239" s="117" t="str">
        <x:v>2026-09-08</x:v>
      </x:c>
      <x:c r="AN239" s="117"/>
      <x:c r="AO239" s="117"/>
      <x:c r="AP239" s="117" t="str">
        <x:v>No usable pair located; image research pending</x:v>
      </x:c>
      <x:c r="AQ239" s="117"/>
    </x:row>
    <x:row r="240" ht="66" customHeight="1">
      <x:c r="A240" s="117" t="str">
        <x:v>MC0237</x:v>
      </x:c>
      <x:c r="B240" s="117" t="str">
        <x:v>Perlis Royal Gallery</x:v>
      </x:c>
      <x:c r="C240" s="117" t="str">
        <x:v>Perlis</x:v>
      </x:c>
      <x:c r="D240" s="117" t="str">
        <x:v>Arau</x:v>
      </x:c>
      <x:c r="E240" s="117" t="str">
        <x:v>Museum and Gallery</x:v>
      </x:c>
      <x:c r="F240" s="117" t="str">
        <x:v>Local</x:v>
      </x:c>
      <x:c r="G240" s="117" t="str">
        <x:v>Indoor</x:v>
      </x:c>
      <x:c r="H240" s="117" t="str">
        <x:v>royal history; gallery; heritage</x:v>
      </x:c>
      <x:c r="I240" s="117" t="str">
        <x:v>A museum in Arau, Perlis, showcasing the state's royal family history and regalia.</x:v>
      </x:c>
      <x:c r="J240" s="117" t="str">
        <x:v>https://www.google.com/maps/search/?api=1&amp;query=Perlis%20Royal%20Gallery%2C%20Perlis%2C%20Malaysia</x:v>
      </x:c>
      <x:c r="K240" s="117" t="str">
        <x:v>https://ebrochures.malaysia.travel/en/malaysia-travel-guide/perlis/</x:v>
      </x:c>
      <x:c r="L240" s="117" t="str">
        <x:v>Tourism Malaysia state guide plus map discovery link</x:v>
      </x:c>
      <x:c r="M240" s="117" t="str">
        <x:v>Perlis expansion batch</x:v>
      </x:c>
      <x:c r="N240" s="117"/>
      <x:c r="O240" s="117" t="str">
        <x:v>2026-08-15 00:00:00</x:v>
      </x:c>
      <x:c r="P240" s="117" t="str">
        <x:v>Complete</x:v>
      </x:c>
      <x:c r="Q240" s="117"/>
      <x:c r="R240" s="117" t="str">
        <x:f t="shared" si="3">IF(J240="","Missing Link",IF(AND(ISNUMBER(SEARCH("google.com/maps",J240)),ISERROR(SEARCH(";",J240))),"Discovery Link Only","Source Link Present"))</x:f>
        <x:v>Discovery Link Only</x:v>
      </x:c>
      <x:c r="S240" s="117" t="str">
        <x:v>Unknown</x:v>
      </x:c>
      <x:c r="T240" s="117" t="str">
        <x:v>Unknown</x:v>
      </x:c>
      <x:c r="U240" s="117" t="str">
        <x:v>Unknown</x:v>
      </x:c>
      <x:c r="V240" s="117" t="str">
        <x:v>Unknown</x:v>
      </x:c>
      <x:c r="W240" s="117" t="str">
        <x:v>Unknown</x:v>
      </x:c>
      <x:c r="X240" s="117" t="str">
        <x:v>Unknown</x:v>
      </x:c>
      <x:c r="Y240" s="117" t="str">
        <x:v>Unknown</x:v>
      </x:c>
      <x:c r="Z240" s="117"/>
      <x:c r="AA240" s="117" t="str">
        <x:v>Pending evidence</x:v>
      </x:c>
      <x:c r="AB240" s="117"/>
      <x:c r="AC240" s="117" t="str">
        <x:v>No qualifying accessibility conclusion established from the screened sources. This is unknown, not evidence that the attraction is inaccessible.</x:v>
      </x:c>
      <x:c r="AD240" s="117" t="str">
        <x:v>2026-09-08</x:v>
      </x:c>
      <x:c r="AE240" s="117" t="str">
        <x:v>MC0237</x:v>
      </x:c>
      <x:c r="AF240" s="117" t="str">
        <x:v>Distinct candidate</x:v>
      </x:c>
      <x:c r="AG240" s="117" t="str"/>
      <x:c r="AH240" s="117" t="str">
        <x:v>Name corroborated in source</x:v>
      </x:c>
      <x:c r="AI240" s="117" t="str">
        <x:v>https://ebrochures.malaysia.travel/en/malaysia-travel-guide/perlis/</x:v>
      </x:c>
      <x:c r="AJ240" s="117" t="str">
        <x:v>Place name or established alias matched in the cited source. This is not confirmation of current opening, all visitor facilities or the full description.</x:v>
      </x:c>
      <x:c r="AK240" s="117" t="str">
        <x:v>Not independently confirmed</x:v>
      </x:c>
      <x:c r="AL240" s="117" t="str">
        <x:v>Screened sources; accessibility unresolved</x:v>
      </x:c>
      <x:c r="AM240" s="117" t="str">
        <x:v>2026-09-08</x:v>
      </x:c>
      <x:c r="AN240" s="117"/>
      <x:c r="AO240" s="117"/>
      <x:c r="AP240" s="117" t="str">
        <x:v>No usable pair located; image research pending</x:v>
      </x:c>
      <x:c r="AQ240" s="117"/>
    </x:row>
    <x:row r="241" ht="66" customHeight="1">
      <x:c r="A241" s="117" t="str">
        <x:v>MC0238</x:v>
      </x:c>
      <x:c r="B241" s="117" t="str">
        <x:v>Arau Palace Grounds</x:v>
      </x:c>
      <x:c r="C241" s="117" t="str">
        <x:v>Perlis</x:v>
      </x:c>
      <x:c r="D241" s="117" t="str">
        <x:v>Arau</x:v>
      </x:c>
      <x:c r="E241" s="117" t="str">
        <x:v>Heritage and History</x:v>
      </x:c>
      <x:c r="F241" s="117" t="str">
        <x:v>Underrated</x:v>
      </x:c>
      <x:c r="G241" s="117" t="str">
        <x:v>Both</x:v>
      </x:c>
      <x:c r="H241" s="117" t="str">
        <x:v>royal town; architecture; landmark</x:v>
      </x:c>
      <x:c r="I241" s="117" t="str">
        <x:v>The royal town of Arau, home to Istana Arau, the official palace of the Raja of Perlis.</x:v>
      </x:c>
      <x:c r="J241" s="117" t="str">
        <x:v>https://www.google.com/maps/search/?api=1&amp;query=Arau%20Palace%20Grounds%2C%20Perlis%2C%20Malaysia</x:v>
      </x:c>
      <x:c r="K241" s="117" t="str">
        <x:v>https://ebrochures.malaysia.travel/en/malaysia-travel-guide/perlis/</x:v>
      </x:c>
      <x:c r="L241" s="117" t="str">
        <x:v>Tourism Malaysia state guide plus map discovery link</x:v>
      </x:c>
      <x:c r="M241" s="117" t="str">
        <x:v>Perlis expansion batch</x:v>
      </x:c>
      <x:c r="N241" s="117"/>
      <x:c r="O241" s="117" t="str">
        <x:v>2026-08-15 00:00:00</x:v>
      </x:c>
      <x:c r="P241" s="117" t="str">
        <x:v>Complete</x:v>
      </x:c>
      <x:c r="Q241" s="117" t="str">
        <x:v>Identity and Malaysian location verified in second-pass review on 2026-09-08.</x:v>
      </x:c>
      <x:c r="R241" s="117" t="str">
        <x:f t="shared" si="3">IF(J241="","Missing Link",IF(AND(ISNUMBER(SEARCH("google.com/maps",J241)),ISERROR(SEARCH(";",J241))),"Discovery Link Only","Source Link Present"))</x:f>
        <x:v>Discovery Link Only</x:v>
      </x:c>
      <x:c r="S241" s="117" t="str">
        <x:v>Unknown</x:v>
      </x:c>
      <x:c r="T241" s="117" t="str">
        <x:v>Unknown</x:v>
      </x:c>
      <x:c r="U241" s="117" t="str">
        <x:v>Unknown</x:v>
      </x:c>
      <x:c r="V241" s="117" t="str">
        <x:v>Unknown</x:v>
      </x:c>
      <x:c r="W241" s="117" t="str">
        <x:v>Unknown</x:v>
      </x:c>
      <x:c r="X241" s="117" t="str">
        <x:v>Unknown</x:v>
      </x:c>
      <x:c r="Y241" s="117" t="str">
        <x:v>Unknown</x:v>
      </x:c>
      <x:c r="Z241" s="117"/>
      <x:c r="AA241" s="117" t="str">
        <x:v>Pending evidence</x:v>
      </x:c>
      <x:c r="AB241" s="117"/>
      <x:c r="AC241" s="117" t="str">
        <x:v>No qualifying accessibility conclusion established from the screened sources. This is unknown, not evidence that the attraction is inaccessible.</x:v>
      </x:c>
      <x:c r="AD241" s="117" t="str">
        <x:v>2026-09-08</x:v>
      </x:c>
      <x:c r="AE241" s="117" t="str">
        <x:v>MC0238</x:v>
      </x:c>
      <x:c r="AF241" s="117" t="str">
        <x:v>Distinct candidate</x:v>
      </x:c>
      <x:c r="AG241" s="117" t="str"/>
      <x:c r="AH241" s="117" t="str">
        <x:v>Identity and location corroborated</x:v>
      </x:c>
      <x:c r="AI241" s="117" t="str">
        <x:v>https://www.bernama.com/en/news.php?id=2559743</x:v>
      </x:c>
      <x:c r="AJ241" s="117" t="str">
        <x:v>National news agency; event-only public access matches the attraction name or established alias and the stated Malaysian location. This verifies identity/location only; confirm current opening and accessibility separately. Public access described by the source is tied to a specific event, so do not recommend it as a routinely open attraction.</x:v>
      </x:c>
      <x:c r="AK241" s="117" t="str">
        <x:v>Not independently confirmed</x:v>
      </x:c>
      <x:c r="AL241" s="117" t="str">
        <x:v>Screened sources; accessibility unresolved</x:v>
      </x:c>
      <x:c r="AM241" s="117" t="str">
        <x:v>2026-09-08</x:v>
      </x:c>
      <x:c r="AN241" s="117"/>
      <x:c r="AO241" s="117"/>
      <x:c r="AP241" s="117" t="str">
        <x:v>No usable pair located; image research pending</x:v>
      </x:c>
      <x:c r="AQ241" s="117"/>
    </x:row>
    <x:row r="242" ht="66" customHeight="1">
      <x:c r="A242" s="117" t="str">
        <x:v>MC0239</x:v>
      </x:c>
      <x:c r="B242" s="117" t="str">
        <x:v>Syed Alwi Mosque</x:v>
      </x:c>
      <x:c r="C242" s="117" t="str">
        <x:v>Perlis</x:v>
      </x:c>
      <x:c r="D242" s="117" t="str">
        <x:v>Kangar</x:v>
      </x:c>
      <x:c r="E242" s="117" t="str">
        <x:v>Religious Site</x:v>
      </x:c>
      <x:c r="F242" s="117" t="str">
        <x:v>Local</x:v>
      </x:c>
      <x:c r="G242" s="117" t="str">
        <x:v>Both</x:v>
      </x:c>
      <x:c r="H242" s="117" t="str">
        <x:v>mosque; heritage; architecture</x:v>
      </x:c>
      <x:c r="I242" s="117" t="str">
        <x:v>A mosque in Kangar, Perlis, named after a former Raja of Perlis.</x:v>
      </x:c>
      <x:c r="J242" s="117" t="str">
        <x:v>https://www.google.com/maps/search/?api=1&amp;query=Syed%20Alwi%20Mosque%2C%20Perlis%2C%20Malaysia</x:v>
      </x:c>
      <x:c r="K242" s="117" t="str">
        <x:v>https://ebrochures.malaysia.travel/en/malaysia-travel-guide/perlis/</x:v>
      </x:c>
      <x:c r="L242" s="117" t="str">
        <x:v>Tourism Malaysia state guide plus map discovery link</x:v>
      </x:c>
      <x:c r="M242" s="117" t="str">
        <x:v>Perlis expansion batch</x:v>
      </x:c>
      <x:c r="N242" s="117"/>
      <x:c r="O242" s="117" t="str">
        <x:v>2026-08-15 00:00:00</x:v>
      </x:c>
      <x:c r="P242" s="117" t="str">
        <x:v>Complete</x:v>
      </x:c>
      <x:c r="Q242" s="117"/>
      <x:c r="R242" s="117" t="str">
        <x:f t="shared" si="3">IF(J242="","Missing Link",IF(AND(ISNUMBER(SEARCH("google.com/maps",J242)),ISERROR(SEARCH(";",J242))),"Discovery Link Only","Source Link Present"))</x:f>
        <x:v>Discovery Link Only</x:v>
      </x:c>
      <x:c r="S242" s="117" t="str">
        <x:v>Unknown</x:v>
      </x:c>
      <x:c r="T242" s="117" t="str">
        <x:v>Unknown</x:v>
      </x:c>
      <x:c r="U242" s="117" t="str">
        <x:v>Unknown</x:v>
      </x:c>
      <x:c r="V242" s="117" t="str">
        <x:v>Unknown</x:v>
      </x:c>
      <x:c r="W242" s="117" t="str">
        <x:v>Unknown</x:v>
      </x:c>
      <x:c r="X242" s="117" t="str">
        <x:v>Unknown</x:v>
      </x:c>
      <x:c r="Y242" s="117" t="str">
        <x:v>Unknown</x:v>
      </x:c>
      <x:c r="Z242" s="117"/>
      <x:c r="AA242" s="117" t="str">
        <x:v>Pending evidence</x:v>
      </x:c>
      <x:c r="AB242" s="117"/>
      <x:c r="AC242" s="117" t="str">
        <x:v>No qualifying accessibility conclusion established from the screened sources. This is unknown, not evidence that the attraction is inaccessible.</x:v>
      </x:c>
      <x:c r="AD242" s="117" t="str">
        <x:v>2026-09-08</x:v>
      </x:c>
      <x:c r="AE242" s="117" t="str">
        <x:v>MC0239</x:v>
      </x:c>
      <x:c r="AF242" s="117" t="str">
        <x:v>Distinct candidate</x:v>
      </x:c>
      <x:c r="AG242" s="117" t="str"/>
      <x:c r="AH242" s="117" t="str">
        <x:v>Name corroborated in source</x:v>
      </x:c>
      <x:c r="AI242" s="117" t="str">
        <x:v>https://ebrochures.malaysia.travel/en/malaysia-travel-guide/perlis/</x:v>
      </x:c>
      <x:c r="AJ242" s="117" t="str">
        <x:v>Place name or established alias matched in the cited source. This is not confirmation of current opening, all visitor facilities or the full description.</x:v>
      </x:c>
      <x:c r="AK242" s="117" t="str">
        <x:v>Not independently confirmed</x:v>
      </x:c>
      <x:c r="AL242" s="117" t="str">
        <x:v>Screened sources; accessibility unresolved</x:v>
      </x:c>
      <x:c r="AM242" s="117" t="str">
        <x:v>2026-09-08</x:v>
      </x:c>
      <x:c r="AN242" s="117" t="str">
        <x:v>https://thumb.wikimedia.org/wikipedia/commons/thumb/0/0d/Syed_Alwi_Mosque_at_night.jpg/1280px-Syed_Alwi_Mosque_at_night.jpg?utm_source=commons.wikimedia.org&amp;utm_campaign=imageinfo&amp;utm_content=thumbnail</x:v>
      </x:c>
      <x:c r="AO242" s="117" t="str">
        <x:v>https://thumb.wikimedia.org/wikipedia/commons/thumb/8/8a/Masjid_Syed_Alwi.JPG/1280px-Masjid_Syed_Alwi.JPG?utm_source=commons.wikimedia.org&amp;utm_campaign=imageinfo&amp;utm_content=thumbnail</x:v>
      </x:c>
      <x:c r="AP242" s="117" t="str">
        <x:v>2 metadata-matched images; visual review pending</x:v>
      </x:c>
      <x:c r="AQ242" s="117"/>
    </x:row>
    <x:row r="243" ht="66" customHeight="1">
      <x:c r="A243" s="117" t="str">
        <x:v>MC0240</x:v>
      </x:c>
      <x:c r="B243" s="117" t="str">
        <x:v>Taman Rekreasi Sungai Batu Pahat</x:v>
      </x:c>
      <x:c r="C243" s="117" t="str">
        <x:v>Perlis</x:v>
      </x:c>
      <x:c r="D243" s="117" t="str">
        <x:v>Kangar</x:v>
      </x:c>
      <x:c r="E243" s="117" t="str">
        <x:v>Park and Recreation</x:v>
      </x:c>
      <x:c r="F243" s="117" t="str">
        <x:v>Local</x:v>
      </x:c>
      <x:c r="G243" s="117" t="str">
        <x:v>Outdoor</x:v>
      </x:c>
      <x:c r="H243" s="117" t="str">
        <x:v>park; river; family</x:v>
      </x:c>
      <x:c r="I243" s="117" t="str">
        <x:v>A river recreational park in Kangar district, Perlis.</x:v>
      </x:c>
      <x:c r="J243" s="117" t="str">
        <x:v>https://www.google.com/maps/search/?api=1&amp;query=Taman%20Rekreasi%20Sungai%20Batu%20Pahat%2C%20Perlis%2C%20Malaysia</x:v>
      </x:c>
      <x:c r="K243" s="117" t="str">
        <x:v>https://ebrochures.malaysia.travel/en/malaysia-travel-guide/perlis/</x:v>
      </x:c>
      <x:c r="L243" s="117" t="str">
        <x:v>Tourism Malaysia state guide plus map discovery link</x:v>
      </x:c>
      <x:c r="M243" s="117" t="str">
        <x:v>Perlis expansion batch</x:v>
      </x:c>
      <x:c r="N243" s="117"/>
      <x:c r="O243" s="117" t="str">
        <x:v>2026-08-15 00:00:00</x:v>
      </x:c>
      <x:c r="P243" s="117" t="str">
        <x:v>Complete</x:v>
      </x:c>
      <x:c r="Q243" s="117" t="str">
        <x:v>Identity and Malaysian location verified in second-pass review on 2026-09-08.</x:v>
      </x:c>
      <x:c r="R243" s="117" t="str">
        <x:f t="shared" si="3">IF(J243="","Missing Link",IF(AND(ISNUMBER(SEARCH("google.com/maps",J243)),ISERROR(SEARCH(";",J243))),"Discovery Link Only","Source Link Present"))</x:f>
        <x:v>Discovery Link Only</x:v>
      </x:c>
      <x:c r="S243" s="117" t="str">
        <x:v>Unknown</x:v>
      </x:c>
      <x:c r="T243" s="117" t="str">
        <x:v>Unknown</x:v>
      </x:c>
      <x:c r="U243" s="117" t="str">
        <x:v>Unknown</x:v>
      </x:c>
      <x:c r="V243" s="117" t="str">
        <x:v>Unknown</x:v>
      </x:c>
      <x:c r="W243" s="117" t="str">
        <x:v>Unknown</x:v>
      </x:c>
      <x:c r="X243" s="117" t="str">
        <x:v>Unknown</x:v>
      </x:c>
      <x:c r="Y243" s="117" t="str">
        <x:v>Unknown</x:v>
      </x:c>
      <x:c r="Z243" s="117"/>
      <x:c r="AA243" s="117" t="str">
        <x:v>Pending evidence</x:v>
      </x:c>
      <x:c r="AB243" s="117"/>
      <x:c r="AC243" s="117" t="str">
        <x:v>No qualifying accessibility conclusion established from the screened sources. This is unknown, not evidence that the attraction is inaccessible.</x:v>
      </x:c>
      <x:c r="AD243" s="117" t="str">
        <x:v>2026-09-08</x:v>
      </x:c>
      <x:c r="AE243" s="117" t="str">
        <x:v>MC0240</x:v>
      </x:c>
      <x:c r="AF243" s="117" t="str">
        <x:v>Distinct candidate</x:v>
      </x:c>
      <x:c r="AG243" s="117" t="str"/>
      <x:c r="AH243" s="117" t="str">
        <x:v>Identity and location corroborated</x:v>
      </x:c>
      <x:c r="AI243" s="117" t="str">
        <x:v>https://www.openstreetmap.org/way/1317429017</x:v>
      </x:c>
      <x:c r="AJ243" s="117" t="str">
        <x:v>Mapped source matches the attraction name or established alias and the stated Malaysian location. This verifies identity/location only; confirm current opening and accessibility separately.</x:v>
      </x:c>
      <x:c r="AK243" s="117" t="str">
        <x:v>Not independently confirmed</x:v>
      </x:c>
      <x:c r="AL243" s="117" t="str">
        <x:v>Screened sources; accessibility unresolved</x:v>
      </x:c>
      <x:c r="AM243" s="117" t="str">
        <x:v>2026-09-08</x:v>
      </x:c>
      <x:c r="AN243" s="117"/>
      <x:c r="AO243" s="117"/>
      <x:c r="AP243" s="117" t="str">
        <x:v>No usable pair located; image research pending</x:v>
      </x:c>
      <x:c r="AQ243" s="117"/>
    </x:row>
    <x:row r="244" ht="66" customHeight="1">
      <x:c r="A244" s="117" t="str">
        <x:v>MC0241</x:v>
      </x:c>
      <x:c r="B244" s="117" t="str">
        <x:v>Bukit Keteri</x:v>
      </x:c>
      <x:c r="C244" s="117" t="str">
        <x:v>Perlis</x:v>
      </x:c>
      <x:c r="D244" s="117" t="str">
        <x:v>Chuping</x:v>
      </x:c>
      <x:c r="E244" s="117" t="str">
        <x:v>Adventure</x:v>
      </x:c>
      <x:c r="F244" s="117" t="str">
        <x:v>Popular</x:v>
      </x:c>
      <x:c r="G244" s="117" t="str">
        <x:v>Outdoor</x:v>
      </x:c>
      <x:c r="H244" s="117" t="str">
        <x:v>rock climbing; limestone; viewpoint</x:v>
      </x:c>
      <x:c r="I244" s="117" t="str">
        <x:v>A hiking hill in Chuping district, Perlis, known for a nearby blue lake view.</x:v>
      </x:c>
      <x:c r="J244" s="117" t="str">
        <x:v>https://www.google.com/maps/search/?api=1&amp;query=Bukit%20Keteri%2C%20Perlis%2C%20Malaysia</x:v>
      </x:c>
      <x:c r="K244" s="117" t="str">
        <x:v>https://ebrochures.malaysia.travel/en/malaysia-travel-guide/perlis/</x:v>
      </x:c>
      <x:c r="L244" s="117" t="str">
        <x:v>Tourism Malaysia state guide plus map discovery link</x:v>
      </x:c>
      <x:c r="M244" s="117" t="str">
        <x:v>Perlis expansion batch</x:v>
      </x:c>
      <x:c r="N244" s="117"/>
      <x:c r="O244" s="117" t="str">
        <x:v>2026-08-15 00:00:00</x:v>
      </x:c>
      <x:c r="P244" s="117" t="str">
        <x:v>Complete</x:v>
      </x:c>
      <x:c r="Q244" s="117"/>
      <x:c r="R244" s="117" t="str">
        <x:f t="shared" si="3">IF(J244="","Missing Link",IF(AND(ISNUMBER(SEARCH("google.com/maps",J244)),ISERROR(SEARCH(";",J244))),"Discovery Link Only","Source Link Present"))</x:f>
        <x:v>Discovery Link Only</x:v>
      </x:c>
      <x:c r="S244" s="117" t="str">
        <x:v>Unknown</x:v>
      </x:c>
      <x:c r="T244" s="117" t="str">
        <x:v>Unknown</x:v>
      </x:c>
      <x:c r="U244" s="117" t="str">
        <x:v>Unknown</x:v>
      </x:c>
      <x:c r="V244" s="117" t="str">
        <x:v>Unknown</x:v>
      </x:c>
      <x:c r="W244" s="117" t="str">
        <x:v>Unknown</x:v>
      </x:c>
      <x:c r="X244" s="117" t="str">
        <x:v>Unknown</x:v>
      </x:c>
      <x:c r="Y244" s="117" t="str">
        <x:v>Unknown</x:v>
      </x:c>
      <x:c r="Z244" s="117"/>
      <x:c r="AA244" s="117" t="str">
        <x:v>Pending evidence</x:v>
      </x:c>
      <x:c r="AB244" s="117"/>
      <x:c r="AC244" s="117" t="str">
        <x:v>No qualifying accessibility conclusion established from the screened sources. This is unknown, not evidence that the attraction is inaccessible.</x:v>
      </x:c>
      <x:c r="AD244" s="117" t="str">
        <x:v>2026-09-08</x:v>
      </x:c>
      <x:c r="AE244" s="117" t="str">
        <x:v>MC0241</x:v>
      </x:c>
      <x:c r="AF244" s="117" t="str">
        <x:v>Distinct candidate</x:v>
      </x:c>
      <x:c r="AG244" s="117" t="str"/>
      <x:c r="AH244" s="117" t="str">
        <x:v>Name corroborated in source</x:v>
      </x:c>
      <x:c r="AI244" s="117" t="str">
        <x:v>https://ebrochures.malaysia.travel/en/malaysia-travel-guide/perlis/</x:v>
      </x:c>
      <x:c r="AJ244" s="117" t="str">
        <x:v>Place name or established alias matched in the cited source. This is not confirmation of current opening, all visitor facilities or the full description.</x:v>
      </x:c>
      <x:c r="AK244" s="117" t="str">
        <x:v>Not independently confirmed</x:v>
      </x:c>
      <x:c r="AL244" s="117" t="str">
        <x:v>Screened sources; accessibility unresolved</x:v>
      </x:c>
      <x:c r="AM244" s="117" t="str">
        <x:v>2026-09-08</x:v>
      </x:c>
      <x:c r="AN244" s="117"/>
      <x:c r="AO244" s="117"/>
      <x:c r="AP244" s="117" t="str">
        <x:v>No usable pair located; image research pending</x:v>
      </x:c>
      <x:c r="AQ244" s="117"/>
    </x:row>
    <x:row r="245" ht="66" customHeight="1">
      <x:c r="A245" s="117" t="str">
        <x:v>MC0242</x:v>
      </x:c>
      <x:c r="B245" s="117" t="str">
        <x:v>Bukit Chabang</x:v>
      </x:c>
      <x:c r="C245" s="117" t="str">
        <x:v>Perlis</x:v>
      </x:c>
      <x:c r="D245" s="117" t="str">
        <x:v>Chuping</x:v>
      </x:c>
      <x:c r="E245" s="117" t="str">
        <x:v>Adventure</x:v>
      </x:c>
      <x:c r="F245" s="117" t="str">
        <x:v>Underrated</x:v>
      </x:c>
      <x:c r="G245" s="117" t="str">
        <x:v>Outdoor</x:v>
      </x:c>
      <x:c r="H245" s="117" t="str">
        <x:v>hiking; twin peaks; countryside</x:v>
      </x:c>
      <x:c r="I245" s="117" t="str">
        <x:v>A hiking spot in Chuping district, Perlis, near the Thai border.</x:v>
      </x:c>
      <x:c r="J245" s="117" t="str">
        <x:v>https://www.google.com/maps/search/?api=1&amp;query=Bukit%20Chabang%2C%20Perlis%2C%20Malaysia</x:v>
      </x:c>
      <x:c r="K245" s="117" t="str">
        <x:v>https://ebrochures.malaysia.travel/en/malaysia-travel-guide/perlis/</x:v>
      </x:c>
      <x:c r="L245" s="117" t="str">
        <x:v>Tourism Malaysia state guide plus map discovery link</x:v>
      </x:c>
      <x:c r="M245" s="117" t="str">
        <x:v>Perlis expansion batch</x:v>
      </x:c>
      <x:c r="N245" s="117"/>
      <x:c r="O245" s="117" t="str">
        <x:v>2026-08-15 00:00:00</x:v>
      </x:c>
      <x:c r="P245" s="117" t="str">
        <x:v>Complete</x:v>
      </x:c>
      <x:c r="Q245" s="117" t="str">
        <x:v>Identity and Malaysian location verified in second-pass review on 2026-09-08.</x:v>
      </x:c>
      <x:c r="R245" s="117" t="str">
        <x:f t="shared" si="3">IF(J245="","Missing Link",IF(AND(ISNUMBER(SEARCH("google.com/maps",J245)),ISERROR(SEARCH(";",J245))),"Discovery Link Only","Source Link Present"))</x:f>
        <x:v>Discovery Link Only</x:v>
      </x:c>
      <x:c r="S245" s="117" t="str">
        <x:v>Unknown</x:v>
      </x:c>
      <x:c r="T245" s="117" t="str">
        <x:v>Unknown</x:v>
      </x:c>
      <x:c r="U245" s="117" t="str">
        <x:v>Unknown</x:v>
      </x:c>
      <x:c r="V245" s="117" t="str">
        <x:v>Unknown</x:v>
      </x:c>
      <x:c r="W245" s="117" t="str">
        <x:v>Unknown</x:v>
      </x:c>
      <x:c r="X245" s="117" t="str">
        <x:v>Unknown</x:v>
      </x:c>
      <x:c r="Y245" s="117" t="str">
        <x:v>Unknown</x:v>
      </x:c>
      <x:c r="Z245" s="117"/>
      <x:c r="AA245" s="117" t="str">
        <x:v>Pending evidence</x:v>
      </x:c>
      <x:c r="AB245" s="117"/>
      <x:c r="AC245" s="117" t="str">
        <x:v>No qualifying accessibility conclusion established from the screened sources. This is unknown, not evidence that the attraction is inaccessible.</x:v>
      </x:c>
      <x:c r="AD245" s="117" t="str">
        <x:v>2026-09-08</x:v>
      </x:c>
      <x:c r="AE245" s="117" t="str">
        <x:v>MC0242</x:v>
      </x:c>
      <x:c r="AF245" s="117" t="str">
        <x:v>Distinct candidate</x:v>
      </x:c>
      <x:c r="AG245" s="117" t="str"/>
      <x:c r="AH245" s="117" t="str">
        <x:v>Identity and location corroborated</x:v>
      </x:c>
      <x:c r="AI245" s="117" t="str">
        <x:v>https://www.openstreetmap.org/node/12184644071</x:v>
      </x:c>
      <x:c r="AJ245" s="117" t="str">
        <x:v>Mapped source matches the attraction name or established alias and the stated Malaysian location. This verifies identity/location only; confirm current opening and accessibility separately.</x:v>
      </x:c>
      <x:c r="AK245" s="117" t="str">
        <x:v>Not independently confirmed</x:v>
      </x:c>
      <x:c r="AL245" s="117" t="str">
        <x:v>Screened sources; accessibility unresolved</x:v>
      </x:c>
      <x:c r="AM245" s="117" t="str">
        <x:v>2026-09-08</x:v>
      </x:c>
      <x:c r="AN245" s="117"/>
      <x:c r="AO245" s="117"/>
      <x:c r="AP245" s="117" t="str">
        <x:v>No usable pair located; image research pending</x:v>
      </x:c>
      <x:c r="AQ245" s="117"/>
    </x:row>
    <x:row r="246" ht="66" customHeight="1">
      <x:c r="A246" s="117" t="str">
        <x:v>MC0243</x:v>
      </x:c>
      <x:c r="B246" s="117" t="str">
        <x:v>Ladang Nipah Kipli</x:v>
      </x:c>
      <x:c r="C246" s="117" t="str">
        <x:v>Perlis</x:v>
      </x:c>
      <x:c r="D246" s="117" t="str">
        <x:v>Kuala Sanglang</x:v>
      </x:c>
      <x:c r="E246" s="117" t="str">
        <x:v>Food</x:v>
      </x:c>
      <x:c r="F246" s="117" t="str">
        <x:v>Rural</x:v>
      </x:c>
      <x:c r="G246" s="117" t="str">
        <x:v>Both</x:v>
      </x:c>
      <x:c r="H246" s="117" t="str">
        <x:v>nipah farm; local food; village</x:v>
      </x:c>
      <x:c r="I246" s="117" t="str">
        <x:v>A nipah palm plantation and agro-tourism site in Kuala Sanglang, Perlis.</x:v>
      </x:c>
      <x:c r="J246" s="117" t="str">
        <x:v>https://www.google.com/maps/search/?api=1&amp;query=Ladang%20Nipah%20Kipli%2C%20Perlis%2C%20Malaysia</x:v>
      </x:c>
      <x:c r="K246" s="117" t="str">
        <x:v>https://ebrochures.malaysia.travel/en/malaysia-travel-guide/perlis/</x:v>
      </x:c>
      <x:c r="L246" s="117" t="str">
        <x:v>Tourism Malaysia state guide plus map discovery link</x:v>
      </x:c>
      <x:c r="M246" s="117" t="str">
        <x:v>Perlis expansion batch</x:v>
      </x:c>
      <x:c r="N246" s="117"/>
      <x:c r="O246" s="117" t="str">
        <x:v>2026-08-15 00:00:00</x:v>
      </x:c>
      <x:c r="P246" s="117" t="str">
        <x:v>Complete</x:v>
      </x:c>
      <x:c r="Q246" s="117"/>
      <x:c r="R246" s="117" t="str">
        <x:f t="shared" si="3">IF(J246="","Missing Link",IF(AND(ISNUMBER(SEARCH("google.com/maps",J246)),ISERROR(SEARCH(";",J246))),"Discovery Link Only","Source Link Present"))</x:f>
        <x:v>Discovery Link Only</x:v>
      </x:c>
      <x:c r="S246" s="117" t="str">
        <x:v>Unknown</x:v>
      </x:c>
      <x:c r="T246" s="117" t="str">
        <x:v>Unknown</x:v>
      </x:c>
      <x:c r="U246" s="117" t="str">
        <x:v>Unknown</x:v>
      </x:c>
      <x:c r="V246" s="117" t="str">
        <x:v>Unknown</x:v>
      </x:c>
      <x:c r="W246" s="117" t="str">
        <x:v>Unknown</x:v>
      </x:c>
      <x:c r="X246" s="117" t="str">
        <x:v>Unknown</x:v>
      </x:c>
      <x:c r="Y246" s="117" t="str">
        <x:v>Unknown</x:v>
      </x:c>
      <x:c r="Z246" s="117"/>
      <x:c r="AA246" s="117" t="str">
        <x:v>Pending evidence</x:v>
      </x:c>
      <x:c r="AB246" s="117"/>
      <x:c r="AC246" s="117" t="str">
        <x:v>No qualifying accessibility conclusion established from the screened sources. This is unknown, not evidence that the attraction is inaccessible.</x:v>
      </x:c>
      <x:c r="AD246" s="117" t="str">
        <x:v>2026-09-08</x:v>
      </x:c>
      <x:c r="AE246" s="117" t="str">
        <x:v>MC0243</x:v>
      </x:c>
      <x:c r="AF246" s="117" t="str">
        <x:v>Distinct candidate</x:v>
      </x:c>
      <x:c r="AG246" s="117" t="str"/>
      <x:c r="AH246" s="117" t="str">
        <x:v>Name corroborated in source</x:v>
      </x:c>
      <x:c r="AI246" s="117" t="str">
        <x:v>https://ebrochures.malaysia.travel/en/malaysia-travel-guide/perlis/</x:v>
      </x:c>
      <x:c r="AJ246" s="117" t="str">
        <x:v>Place name or established alias matched in the cited source. This is not confirmation of current opening, all visitor facilities or the full description.</x:v>
      </x:c>
      <x:c r="AK246" s="117" t="str">
        <x:v>Not independently confirmed</x:v>
      </x:c>
      <x:c r="AL246" s="117" t="str">
        <x:v>Screened sources; accessibility unresolved</x:v>
      </x:c>
      <x:c r="AM246" s="117" t="str">
        <x:v>2026-09-08</x:v>
      </x:c>
      <x:c r="AN246" s="117"/>
      <x:c r="AO246" s="117"/>
      <x:c r="AP246" s="117" t="str">
        <x:v>No usable pair located; image research pending</x:v>
      </x:c>
      <x:c r="AQ246" s="117"/>
    </x:row>
    <x:row r="247" ht="66" customHeight="1">
      <x:c r="A247" s="117" t="str">
        <x:v>MC0244</x:v>
      </x:c>
      <x:c r="B247" s="117" t="str">
        <x:v>Harumanis Mango Plantation Experience</x:v>
      </x:c>
      <x:c r="C247" s="117" t="str">
        <x:v>Perlis</x:v>
      </x:c>
      <x:c r="D247" s="117" t="str">
        <x:v>Simpang Empat</x:v>
      </x:c>
      <x:c r="E247" s="117" t="str">
        <x:v>Food</x:v>
      </x:c>
      <x:c r="F247" s="117" t="str">
        <x:v>Seasonal</x:v>
      </x:c>
      <x:c r="G247" s="117" t="str">
        <x:v>Both</x:v>
      </x:c>
      <x:c r="H247" s="117" t="str">
        <x:v>mango; orchard; agrotourism</x:v>
      </x:c>
      <x:c r="I247" s="117" t="str">
        <x:v>An orchard tour experience in Simpang Empat, Perlis, showcasing the state's famous Harumanis mango variety, best visited during the seasonal harvest.</x:v>
      </x:c>
      <x:c r="J247" s="117" t="str">
        <x:v>https://www.google.com/maps/search/?api=1&amp;query=Harumanis%20Mango%20Plantation%20Experience%2C%20Perlis%2C%20Malaysia</x:v>
      </x:c>
      <x:c r="K247" s="117" t="str">
        <x:v>https://ebrochures.malaysia.travel/en/malaysia-travel-guide/perlis/</x:v>
      </x:c>
      <x:c r="L247" s="117" t="str">
        <x:v>Tourism Malaysia state guide plus map discovery link</x:v>
      </x:c>
      <x:c r="M247" s="117" t="str">
        <x:v>Perlis expansion batch</x:v>
      </x:c>
      <x:c r="N247" s="117"/>
      <x:c r="O247" s="117" t="str">
        <x:v>2026-08-15 00:00:00</x:v>
      </x:c>
      <x:c r="P247" s="117" t="str">
        <x:v>Complete</x:v>
      </x:c>
      <x:c r="Q247" s="117"/>
      <x:c r="R247" s="117" t="str">
        <x:f t="shared" si="3">IF(J247="","Missing Link",IF(AND(ISNUMBER(SEARCH("google.com/maps",J247)),ISERROR(SEARCH(";",J247))),"Discovery Link Only","Source Link Present"))</x:f>
        <x:v>Discovery Link Only</x:v>
      </x:c>
      <x:c r="S247" s="117" t="str">
        <x:v>Unknown</x:v>
      </x:c>
      <x:c r="T247" s="117" t="str">
        <x:v>Unknown</x:v>
      </x:c>
      <x:c r="U247" s="117" t="str">
        <x:v>Unknown</x:v>
      </x:c>
      <x:c r="V247" s="117" t="str">
        <x:v>Unknown</x:v>
      </x:c>
      <x:c r="W247" s="117" t="str">
        <x:v>Unknown</x:v>
      </x:c>
      <x:c r="X247" s="117" t="str">
        <x:v>Unknown</x:v>
      </x:c>
      <x:c r="Y247" s="117" t="str">
        <x:v>Unknown</x:v>
      </x:c>
      <x:c r="Z247" s="117"/>
      <x:c r="AA247" s="117" t="str">
        <x:v>Pending evidence</x:v>
      </x:c>
      <x:c r="AB247" s="117"/>
      <x:c r="AC247" s="117" t="str">
        <x:v>No qualifying accessibility conclusion established from the screened sources. This is unknown, not evidence that the attraction is inaccessible.</x:v>
      </x:c>
      <x:c r="AD247" s="117" t="str">
        <x:v>2026-09-08</x:v>
      </x:c>
      <x:c r="AE247" s="117" t="str">
        <x:v>MC0244</x:v>
      </x:c>
      <x:c r="AF247" s="117" t="str">
        <x:v>Distinct candidate</x:v>
      </x:c>
      <x:c r="AG247" s="117" t="str"/>
      <x:c r="AH247" s="117" t="str">
        <x:v>Name corroborated in source</x:v>
      </x:c>
      <x:c r="AI247" s="117" t="str">
        <x:v>https://ebrochures.malaysia.travel/en/malaysia-travel-guide/perlis/</x:v>
      </x:c>
      <x:c r="AJ247" s="117" t="str">
        <x:v>Place name or established alias matched in the cited source. This is not confirmation of current opening, all visitor facilities or the full description.</x:v>
      </x:c>
      <x:c r="AK247" s="117" t="str">
        <x:v>Not independently confirmed</x:v>
      </x:c>
      <x:c r="AL247" s="117" t="str">
        <x:v>Screened sources; accessibility unresolved</x:v>
      </x:c>
      <x:c r="AM247" s="117" t="str">
        <x:v>2026-09-08</x:v>
      </x:c>
      <x:c r="AN247" s="117"/>
      <x:c r="AO247" s="117"/>
      <x:c r="AP247" s="117" t="str">
        <x:v>No usable pair located; image research pending</x:v>
      </x:c>
      <x:c r="AQ247" s="117"/>
    </x:row>
    <x:row r="248" ht="66" customHeight="1">
      <x:c r="A248" s="117" t="str">
        <x:v>MC0245</x:v>
      </x:c>
      <x:c r="B248" s="117" t="str">
        <x:v>Kinabalu Park</x:v>
      </x:c>
      <x:c r="C248" s="117" t="str">
        <x:v>Sabah</x:v>
      </x:c>
      <x:c r="D248" s="117" t="str">
        <x:v>Ranau / Kota Belud / Kota Marudu</x:v>
      </x:c>
      <x:c r="E248" s="117" t="str">
        <x:v>Nature</x:v>
      </x:c>
      <x:c r="F248" s="117" t="str">
        <x:v>Unclassified</x:v>
      </x:c>
      <x:c r="G248" s="117" t="str">
        <x:v>Both</x:v>
      </x:c>
      <x:c r="H248" s="117" t="str">
        <x:v>UNESCO World Heritage Site; UNESCO Global Geopark; Mount Kinabalu; rainforest; montane forest; subalpine habitat; biodiversity; endemic flora; wildlife; birdwatching; hiking; jungle trekking; nature trails; botanical garden; mountain climbing; sunrise; waterfalls; hot springs; canopy walkway; photography; geology; conservation; research; nature education; camping</x:v>
      </x:c>
      <x:c r="I248" s="117" t="str">
        <x:v>Malaysia's first UNESCO World Heritage Site is a 754-square-kilometre protected mountain landscape centred on Mount Kinabalu. From its highland headquarters, visitors can explore botanical gardens, forest trails, galleries and exceptional biodiversity, while separately booked climbers can attempt the 4,095.2-metre summit.</x:v>
      </x:c>
      <x:c r="J248" s="117" t="str">
        <x:v>https://www.malaysia.travel/explore/kinabalu-park ; https://www.malaysia.travel/index.php/explore/kinabalu-park ; https://www.sabahparks.org.my/kinabalu-park ; https://sabahparks.org.my/index.php/kinabalu-park/mount-kinabalu ; https://reservation.sabahparks.org.my/mountain-climbing/tickets ; https://www.sabahparks.org.my/index.php/services/mount-kinabalu-climbing ; https://ebrochures.malaysia.travel/en/cool-highlands/kinabalu-park/ ; https://ebrochures.malaysia.travel/en/birdwatching-paradise/sabah/</x:v>
      </x:c>
      <x:c r="K248" s="117" t="str">
        <x:v>https://ebrochures.malaysia.travel/en/malaysia-travel-guide/sabah/</x:v>
      </x:c>
      <x:c r="L248" s="117" t="str">
        <x:v>Previous workbook candidate/source lead</x:v>
      </x:c>
      <x:c r="M248" s="117" t="str">
        <x:v>Previous workbook seed</x:v>
      </x:c>
      <x:c r="N248" s="117" t="str">
        <x:v>A019</x:v>
      </x:c>
      <x:c r="O248" s="117" t="str">
        <x:v>2026-08-15 00:00:00</x:v>
      </x:c>
      <x:c r="P248" s="117" t="str">
        <x:v>Complete</x:v>
      </x:c>
      <x:c r="Q248" s="117"/>
      <x:c r="R248" s="117" t="str">
        <x:f t="shared" si="3">IF(J248="","Missing Link",IF(AND(ISNUMBER(SEARCH("google.com/maps",J248)),ISERROR(SEARCH(";",J248))),"Discovery Link Only","Source Link Present"))</x:f>
        <x:v>Source Link Present</x:v>
      </x:c>
      <x:c r="S248" s="117" t="str">
        <x:v>Unknown</x:v>
      </x:c>
      <x:c r="T248" s="117" t="str">
        <x:v>Unknown</x:v>
      </x:c>
      <x:c r="U248" s="117" t="str">
        <x:v>Unknown</x:v>
      </x:c>
      <x:c r="V248" s="117" t="str">
        <x:v>Unknown</x:v>
      </x:c>
      <x:c r="W248" s="117" t="str">
        <x:v>Unknown</x:v>
      </x:c>
      <x:c r="X248" s="117" t="str">
        <x:v>Unknown</x:v>
      </x:c>
      <x:c r="Y248" s="117" t="str">
        <x:v>Unknown</x:v>
      </x:c>
      <x:c r="Z248" s="117"/>
      <x:c r="AA248" s="117" t="str">
        <x:v>Pending evidence</x:v>
      </x:c>
      <x:c r="AB248" s="117"/>
      <x:c r="AC248" s="117" t="str">
        <x:v>No qualifying accessibility conclusion established from the screened sources. This is unknown, not evidence that the attraction is inaccessible.</x:v>
      </x:c>
      <x:c r="AD248" s="117" t="str">
        <x:v>2026-09-08</x:v>
      </x:c>
      <x:c r="AE248" s="117" t="str">
        <x:v>MC0245</x:v>
      </x:c>
      <x:c r="AF248" s="117" t="str">
        <x:v>Distinct candidate</x:v>
      </x:c>
      <x:c r="AG248" s="117" t="str"/>
      <x:c r="AH248" s="117" t="str">
        <x:v>Name corroborated in source</x:v>
      </x:c>
      <x:c r="AI248" s="117" t="str">
        <x:v>https://www.malaysia.travel/explore/kinabalu-park</x:v>
      </x:c>
      <x:c r="AJ248" s="117" t="str">
        <x:v>Place name or established alias matched in the cited source. This is not confirmation of current opening, all visitor facilities or the full description.</x:v>
      </x:c>
      <x:c r="AK248" s="117" t="str">
        <x:v>Not independently confirmed</x:v>
      </x:c>
      <x:c r="AL248" s="117" t="str">
        <x:v>Screened sources; accessibility unresolved</x:v>
      </x:c>
      <x:c r="AM248" s="117" t="str">
        <x:v>2026-09-08</x:v>
      </x:c>
      <x:c r="AN248" s="117" t="str">
        <x:v>https://thumb.wikimedia.org/wikipedia/commons/thumb/1/15/Borneo_rainforest.jpg/1280px-Borneo_rainforest.jpg?utm_source=commons.wikimedia.org&amp;utm_campaign=imageinfo&amp;utm_content=thumbnail</x:v>
      </x:c>
      <x:c r="AO248" s="117" t="str">
        <x:v>https://thumb.wikimedia.org/wikipedia/commons/thumb/2/29/Kinabalu_park_road_signboard.JPG/1280px-Kinabalu_park_road_signboard.JPG?utm_source=commons.wikimedia.org&amp;utm_campaign=imageinfo&amp;utm_content=thumbnail</x:v>
      </x:c>
      <x:c r="AP248" s="117" t="str">
        <x:v>2 metadata-matched images; visual review pending</x:v>
      </x:c>
      <x:c r="AQ248" s="117"/>
    </x:row>
    <x:row r="249" ht="66" customHeight="1">
      <x:c r="A249" s="117" t="str">
        <x:v>MC0246</x:v>
      </x:c>
      <x:c r="B249" s="117" t="str">
        <x:v>Bohey Dulang Island</x:v>
      </x:c>
      <x:c r="C249" s="117" t="str">
        <x:v>Sabah</x:v>
      </x:c>
      <x:c r="D249" s="117" t="str">
        <x:v>Semporna</x:v>
      </x:c>
      <x:c r="E249" s="117" t="str">
        <x:v>Beach and Island</x:v>
      </x:c>
      <x:c r="F249" s="117" t="str">
        <x:v>Unclassified</x:v>
      </x:c>
      <x:c r="G249" s="117" t="str">
        <x:v>Outdoor</x:v>
      </x:c>
      <x:c r="H249" s="117" t="str">
        <x:v>Island; marine park; volcanic island; crater lagoon; panoramic viewpoint; hiking; jungle trekking; nature trail; forest; birdwatching; hornbills; wildlife; coral reef; marine life; snorkelling; scuba diving; giant clam hatchery; seaweed farming; island hopping; boating; photography; geology; conservation; Bajau Laut culture; honeymoon</x:v>
      </x:c>
      <x:c r="I249" s="117" t="str">
        <x:v>A 313-hectare volcanic island in Tun Sakaran Marine Park, reached by speedboat from Semporna. Its challenging forest trail climbs to a 353-metre peak overlooking the crater lagoon and surrounding reefs, while nearby waters support snorkelling, diving and rich marine life.</x:v>
      </x:c>
      <x:c r="J249" s="117" t="str">
        <x:v>https://www.malaysia.travel/explore/bohey-dulang-island ; https://sabahtourism.com/destination/bohey-dulang/ ; https://www.sabahparks.org.my/tun-sakaran-marine-park ; https://sabahparks.org.my/tun-sakaran-marine-park/activities-facilities ; https://sabahtourism.com/destination/tun-sakaran-marine-park/ ; https://mdsemporna.sabah.gov.my/2025/01/01/bohey-dulang/ ; https://mapcarta.com/15813028</x:v>
      </x:c>
      <x:c r="K249" s="117" t="str">
        <x:v>https://ebrochures.malaysia.travel/en/malaysia-travel-guide/sabah/</x:v>
      </x:c>
      <x:c r="L249" s="117" t="str">
        <x:v>Previous workbook candidate/source lead</x:v>
      </x:c>
      <x:c r="M249" s="117" t="str">
        <x:v>Previous workbook seed</x:v>
      </x:c>
      <x:c r="N249" s="117" t="str">
        <x:v>A020</x:v>
      </x:c>
      <x:c r="O249" s="117" t="str">
        <x:v>2026-08-15 00:00:00</x:v>
      </x:c>
      <x:c r="P249" s="117" t="str">
        <x:v>Complete</x:v>
      </x:c>
      <x:c r="Q249" s="117"/>
      <x:c r="R249" s="117" t="str">
        <x:f t="shared" si="3">IF(J249="","Missing Link",IF(AND(ISNUMBER(SEARCH("google.com/maps",J249)),ISERROR(SEARCH(";",J249))),"Discovery Link Only","Source Link Present"))</x:f>
        <x:v>Source Link Present</x:v>
      </x:c>
      <x:c r="S249" s="117" t="str">
        <x:v>Unknown</x:v>
      </x:c>
      <x:c r="T249" s="117" t="str">
        <x:v>Unknown</x:v>
      </x:c>
      <x:c r="U249" s="117" t="str">
        <x:v>Unknown</x:v>
      </x:c>
      <x:c r="V249" s="117" t="str">
        <x:v>Unknown</x:v>
      </x:c>
      <x:c r="W249" s="117" t="str">
        <x:v>Unknown</x:v>
      </x:c>
      <x:c r="X249" s="117" t="str">
        <x:v>Unknown</x:v>
      </x:c>
      <x:c r="Y249" s="117" t="str">
        <x:v>Unknown</x:v>
      </x:c>
      <x:c r="Z249" s="117"/>
      <x:c r="AA249" s="117" t="str">
        <x:v>Pending evidence</x:v>
      </x:c>
      <x:c r="AB249" s="117"/>
      <x:c r="AC249" s="117" t="str">
        <x:v>No qualifying accessibility conclusion established from the screened sources. This is unknown, not evidence that the attraction is inaccessible.</x:v>
      </x:c>
      <x:c r="AD249" s="117" t="str">
        <x:v>2026-09-08</x:v>
      </x:c>
      <x:c r="AE249" s="117" t="str">
        <x:v>MC0246</x:v>
      </x:c>
      <x:c r="AF249" s="117" t="str">
        <x:v>Distinct candidate</x:v>
      </x:c>
      <x:c r="AG249" s="117" t="str"/>
      <x:c r="AH249" s="117" t="str">
        <x:v>Name corroborated in source</x:v>
      </x:c>
      <x:c r="AI249" s="117" t="str">
        <x:v>https://www.malaysia.travel/explore/bohey-dulang-island</x:v>
      </x:c>
      <x:c r="AJ249" s="117" t="str">
        <x:v>Place name or established alias matched in the cited source. This is not confirmation of current opening, all visitor facilities or the full description.</x:v>
      </x:c>
      <x:c r="AK249" s="117" t="str">
        <x:v>Not independently confirmed</x:v>
      </x:c>
      <x:c r="AL249" s="117" t="str">
        <x:v>Screened sources; accessibility unresolved</x:v>
      </x:c>
      <x:c r="AM249" s="117" t="str">
        <x:v>2026-09-08</x:v>
      </x:c>
      <x:c r="AN249" s="117"/>
      <x:c r="AO249" s="117"/>
      <x:c r="AP249" s="117" t="str">
        <x:v>No usable pair located; image research pending</x:v>
      </x:c>
      <x:c r="AQ249" s="117"/>
    </x:row>
    <x:row r="250" ht="66" customHeight="1">
      <x:c r="A250" s="117" t="str">
        <x:v>MC0247</x:v>
      </x:c>
      <x:c r="B250" s="117" t="str">
        <x:v>Tunku Abdul Rahman Park</x:v>
      </x:c>
      <x:c r="C250" s="117" t="str">
        <x:v>Sabah</x:v>
      </x:c>
      <x:c r="D250" s="117" t="str">
        <x:v>Kota Kinabalu</x:v>
      </x:c>
      <x:c r="E250" s="117" t="str">
        <x:v>Beach and Island</x:v>
      </x:c>
      <x:c r="F250" s="117" t="str">
        <x:v>Unclassified</x:v>
      </x:c>
      <x:c r="G250" s="117" t="str">
        <x:v>Outdoor</x:v>
      </x:c>
      <x:c r="H250" s="117" t="str">
        <x:v>island; beach; snorkelling; relaxation; marine life</x:v>
      </x:c>
      <x:c r="I250" s="117" t="str">
        <x:v>A marine park of five islands off Kota Kinabalu, popular for snorkelling, diving and beach day trips.</x:v>
      </x:c>
      <x:c r="J250" s="117" t="str">
        <x:v>https://www.google.com/maps/search/?api=1&amp;query=Tunku%20Abdul%20Rahman%20Park%2C%20Sabah%2C%20Malaysia</x:v>
      </x:c>
      <x:c r="K250" s="117" t="str">
        <x:v>https://ebrochures.malaysia.travel/en/malaysia-travel-guide/sabah/</x:v>
      </x:c>
      <x:c r="L250" s="117" t="str">
        <x:v>Previous workbook candidate/source lead</x:v>
      </x:c>
      <x:c r="M250" s="117" t="str">
        <x:v>Previous workbook seed</x:v>
      </x:c>
      <x:c r="N250" s="117" t="str">
        <x:v>A105</x:v>
      </x:c>
      <x:c r="O250" s="117" t="str">
        <x:v>2026-08-15 00:00:00</x:v>
      </x:c>
      <x:c r="P250" s="117" t="str">
        <x:v>Complete</x:v>
      </x:c>
      <x:c r="Q250" s="117"/>
      <x:c r="R250" s="117" t="str">
        <x:f t="shared" si="3">IF(J250="","Missing Link",IF(AND(ISNUMBER(SEARCH("google.com/maps",J250)),ISERROR(SEARCH(";",J250))),"Discovery Link Only","Source Link Present"))</x:f>
        <x:v>Discovery Link Only</x:v>
      </x:c>
      <x:c r="S250" s="117" t="str">
        <x:v>Unknown</x:v>
      </x:c>
      <x:c r="T250" s="117" t="str">
        <x:v>Unknown</x:v>
      </x:c>
      <x:c r="U250" s="117" t="str">
        <x:v>Unknown</x:v>
      </x:c>
      <x:c r="V250" s="117" t="str">
        <x:v>Unknown</x:v>
      </x:c>
      <x:c r="W250" s="117" t="str">
        <x:v>Unknown</x:v>
      </x:c>
      <x:c r="X250" s="117" t="str">
        <x:v>Unknown</x:v>
      </x:c>
      <x:c r="Y250" s="117" t="str">
        <x:v>Unknown</x:v>
      </x:c>
      <x:c r="Z250" s="117"/>
      <x:c r="AA250" s="117" t="str">
        <x:v>Pending evidence</x:v>
      </x:c>
      <x:c r="AB250" s="117"/>
      <x:c r="AC250" s="117" t="str">
        <x:v>No qualifying accessibility conclusion established from the screened sources. This is unknown, not evidence that the attraction is inaccessible.</x:v>
      </x:c>
      <x:c r="AD250" s="117" t="str">
        <x:v>2026-09-08</x:v>
      </x:c>
      <x:c r="AE250" s="117" t="str">
        <x:v>MC0247</x:v>
      </x:c>
      <x:c r="AF250" s="117" t="str">
        <x:v>Distinct candidate</x:v>
      </x:c>
      <x:c r="AG250" s="117" t="str"/>
      <x:c r="AH250" s="117" t="str">
        <x:v>Name corroborated in source</x:v>
      </x:c>
      <x:c r="AI250" s="117" t="str">
        <x:v>https://ebrochures.malaysia.travel/en/malaysia-travel-guide/sabah/</x:v>
      </x:c>
      <x:c r="AJ250" s="117" t="str">
        <x:v>Place name or established alias matched in the cited source. This is not confirmation of current opening, all visitor facilities or the full description.</x:v>
      </x:c>
      <x:c r="AK250" s="117" t="str">
        <x:v>Not independently confirmed</x:v>
      </x:c>
      <x:c r="AL250" s="117" t="str">
        <x:v>Screened sources; accessibility unresolved</x:v>
      </x:c>
      <x:c r="AM250" s="117" t="str">
        <x:v>2026-09-08</x:v>
      </x:c>
      <x:c r="AN250" s="117" t="str">
        <x:v>https://upload.wikimedia.org/wikipedia/commons/5/5f/Manukan%2C_Mamutik_%26_Sulug_-_Happy_Islands_retouched.jpg?utm_source=commons.wikimedia.org&amp;utm_campaign=imageinfo&amp;utm_content=thumbnail_unscaled</x:v>
      </x:c>
      <x:c r="AO250" s="117" t="str">
        <x:v>https://thumb.wikimedia.org/wikipedia/commons/thumb/e/e3/Tunku_Abdul_Rahman_National_Park.jpg/1280px-Tunku_Abdul_Rahman_National_Park.jpg?utm_source=commons.wikimedia.org&amp;utm_campaign=imageinfo&amp;utm_content=thumbnail</x:v>
      </x:c>
      <x:c r="AP250" s="117" t="str">
        <x:v>2 metadata-matched images; visual review pending</x:v>
      </x:c>
      <x:c r="AQ250" s="117"/>
    </x:row>
    <x:row r="251" ht="66" customHeight="1">
      <x:c r="A251" s="117" t="str">
        <x:v>MC0248</x:v>
      </x:c>
      <x:c r="B251" s="117" t="str">
        <x:v>Sepilok Orangutan Rehabilitation Centre</x:v>
      </x:c>
      <x:c r="C251" s="117" t="str">
        <x:v>Sabah</x:v>
      </x:c>
      <x:c r="D251" s="117" t="str">
        <x:v>Sandakan</x:v>
      </x:c>
      <x:c r="E251" s="117" t="str">
        <x:v>Wildlife</x:v>
      </x:c>
      <x:c r="F251" s="117" t="str">
        <x:v>Unclassified</x:v>
      </x:c>
      <x:c r="G251" s="117" t="str">
        <x:v>Both</x:v>
      </x:c>
      <x:c r="H251" s="117" t="str">
        <x:v>orangutan; primate; primates; rehabilitation; rehabilitated wildlife; conservation; protected sanctuary; wildlife; education; nature</x:v>
      </x:c>
      <x:c r="I251" s="117" t="str">
        <x:v>A protected wildlife rehabilitation centre near Sandakan that cares for orphaned and injured orangutans, which are primates, before preparing them for release into the wild.</x:v>
      </x:c>
      <x:c r="J251" s="117" t="str">
        <x:v>https://www.google.com/maps/search/?api=1&amp;query=Sepilok%20Orangutan%20Rehabilitation%20Centre%2C%20Sabah%2C%20Malaysia</x:v>
      </x:c>
      <x:c r="K251" s="117" t="str">
        <x:v>https://ebrochures.malaysia.travel/en/malaysia-travel-guide/sabah/</x:v>
      </x:c>
      <x:c r="L251" s="117" t="str">
        <x:v>Previous workbook candidate/source lead</x:v>
      </x:c>
      <x:c r="M251" s="117" t="str">
        <x:v>Previous workbook seed</x:v>
      </x:c>
      <x:c r="N251" s="117" t="str">
        <x:v>A106</x:v>
      </x:c>
      <x:c r="O251" s="117" t="str">
        <x:v>2026-08-15 00:00:00</x:v>
      </x:c>
      <x:c r="P251" s="117" t="str">
        <x:v>Complete</x:v>
      </x:c>
      <x:c r="Q251" s="117"/>
      <x:c r="R251" s="117" t="str">
        <x:f t="shared" si="3">IF(J251="","Missing Link",IF(AND(ISNUMBER(SEARCH("google.com/maps",J251)),ISERROR(SEARCH(";",J251))),"Discovery Link Only","Source Link Present"))</x:f>
        <x:v>Discovery Link Only</x:v>
      </x:c>
      <x:c r="S251" s="117" t="str">
        <x:v>Unknown</x:v>
      </x:c>
      <x:c r="T251" s="117" t="str">
        <x:v>Unknown</x:v>
      </x:c>
      <x:c r="U251" s="117" t="str">
        <x:v>Unknown</x:v>
      </x:c>
      <x:c r="V251" s="117" t="str">
        <x:v>Unknown</x:v>
      </x:c>
      <x:c r="W251" s="117" t="str">
        <x:v>Unknown</x:v>
      </x:c>
      <x:c r="X251" s="117" t="str">
        <x:v>Unknown</x:v>
      </x:c>
      <x:c r="Y251" s="117" t="str">
        <x:v>Unknown</x:v>
      </x:c>
      <x:c r="Z251" s="117"/>
      <x:c r="AA251" s="117" t="str">
        <x:v>Pending evidence</x:v>
      </x:c>
      <x:c r="AB251" s="117"/>
      <x:c r="AC251" s="117" t="str">
        <x:v>No qualifying accessibility conclusion established from the screened sources. This is unknown, not evidence that the attraction is inaccessible.</x:v>
      </x:c>
      <x:c r="AD251" s="117" t="str">
        <x:v>2026-09-08</x:v>
      </x:c>
      <x:c r="AE251" s="117" t="str">
        <x:v>MC0248</x:v>
      </x:c>
      <x:c r="AF251" s="117" t="str">
        <x:v>Distinct candidate</x:v>
      </x:c>
      <x:c r="AG251" s="117" t="str"/>
      <x:c r="AH251" s="117" t="str">
        <x:v>Name corroborated in source</x:v>
      </x:c>
      <x:c r="AI251" s="117" t="str">
        <x:v>https://ebrochures.malaysia.travel/en/malaysia-travel-guide/sabah/</x:v>
      </x:c>
      <x:c r="AJ251" s="117" t="str">
        <x:v>Place name or established alias matched in the cited source. This is not confirmation of current opening, all visitor facilities or the full description.</x:v>
      </x:c>
      <x:c r="AK251" s="117" t="str">
        <x:v>Not independently confirmed</x:v>
      </x:c>
      <x:c r="AL251" s="117" t="str">
        <x:v>Screened sources; accessibility unresolved</x:v>
      </x:c>
      <x:c r="AM251" s="117" t="str">
        <x:v>2026-09-08</x:v>
      </x:c>
      <x:c r="AN251" s="117" t="str">
        <x:v>https://thumb.wikimedia.org/wikipedia/commons/thumb/c/c2/Sandakan_Sabah_Sepilok-Orangutan-Rehabilitation-Centre-02.jpg/1280px-Sandakan_Sabah_Sepilok-Orangutan-Rehabilitation-Centre-02.jpg?utm_source=commons.wikimedia.org&amp;utm_campaign=imageinfo&amp;utm_content=thumbnail</x:v>
      </x:c>
      <x:c r="AO251" s="117" t="str">
        <x:v>https://upload.wikimedia.org/wikipedia/commons/5/53/Orangutan_in_Sepilok_Orangutan_Rehabilitation_Centre.jpg?utm_source=commons.wikimedia.org&amp;utm_campaign=imageinfo&amp;utm_content=thumbnail_unscaled</x:v>
      </x:c>
      <x:c r="AP251" s="117" t="str">
        <x:v>2 metadata-matched images; visual review pending</x:v>
      </x:c>
      <x:c r="AQ251" s="117"/>
    </x:row>
    <x:row r="252" ht="66" customHeight="1">
      <x:c r="A252" s="117" t="str">
        <x:v>MC0249</x:v>
      </x:c>
      <x:c r="B252" s="117" t="str">
        <x:v>Sabah State Museum</x:v>
      </x:c>
      <x:c r="C252" s="117" t="str">
        <x:v>Sabah</x:v>
      </x:c>
      <x:c r="D252" s="117" t="str">
        <x:v>Kota Kinabalu</x:v>
      </x:c>
      <x:c r="E252" s="117" t="str">
        <x:v>Museum and Gallery</x:v>
      </x:c>
      <x:c r="F252" s="117" t="str">
        <x:v>Unclassified</x:v>
      </x:c>
      <x:c r="G252" s="117" t="str">
        <x:v>Both</x:v>
      </x:c>
      <x:c r="H252" s="117" t="str">
        <x:v>museum; history; culture; heritage; indoor</x:v>
      </x:c>
      <x:c r="I252" s="117" t="str">
        <x:v>A museum in Kota Kinabalu covering Sabah's natural history, ethnography and colonial past.</x:v>
      </x:c>
      <x:c r="J252" s="117" t="str">
        <x:v>https://www.google.com/maps/search/?api=1&amp;query=Sabah%20State%20Museum%2C%20Sabah%2C%20Malaysia</x:v>
      </x:c>
      <x:c r="K252" s="117" t="str">
        <x:v>https://ebrochures.malaysia.travel/en/malaysia-travel-guide/sabah/</x:v>
      </x:c>
      <x:c r="L252" s="117" t="str">
        <x:v>Previous workbook candidate/source lead</x:v>
      </x:c>
      <x:c r="M252" s="117" t="str">
        <x:v>Previous workbook seed</x:v>
      </x:c>
      <x:c r="N252" s="117" t="str">
        <x:v>A107</x:v>
      </x:c>
      <x:c r="O252" s="117" t="str">
        <x:v>2026-08-15 00:00:00</x:v>
      </x:c>
      <x:c r="P252" s="117" t="str">
        <x:v>Complete</x:v>
      </x:c>
      <x:c r="Q252" s="117"/>
      <x:c r="R252" s="117" t="str">
        <x:f t="shared" si="3">IF(J252="","Missing Link",IF(AND(ISNUMBER(SEARCH("google.com/maps",J252)),ISERROR(SEARCH(";",J252))),"Discovery Link Only","Source Link Present"))</x:f>
        <x:v>Discovery Link Only</x:v>
      </x:c>
      <x:c r="S252" s="117" t="str">
        <x:v>Unknown</x:v>
      </x:c>
      <x:c r="T252" s="117" t="str">
        <x:v>Unknown</x:v>
      </x:c>
      <x:c r="U252" s="117" t="str">
        <x:v>Unknown</x:v>
      </x:c>
      <x:c r="V252" s="117" t="str">
        <x:v>Unknown</x:v>
      </x:c>
      <x:c r="W252" s="117" t="str">
        <x:v>Unknown</x:v>
      </x:c>
      <x:c r="X252" s="117" t="str">
        <x:v>Unknown</x:v>
      </x:c>
      <x:c r="Y252" s="117" t="str">
        <x:v>Unknown</x:v>
      </x:c>
      <x:c r="Z252" s="117"/>
      <x:c r="AA252" s="117" t="str">
        <x:v>Pending evidence</x:v>
      </x:c>
      <x:c r="AB252" s="117"/>
      <x:c r="AC252" s="117" t="str">
        <x:v>No qualifying accessibility conclusion established from the screened sources. This is unknown, not evidence that the attraction is inaccessible.</x:v>
      </x:c>
      <x:c r="AD252" s="117" t="str">
        <x:v>2026-09-08</x:v>
      </x:c>
      <x:c r="AE252" s="117" t="str">
        <x:v>MC0249</x:v>
      </x:c>
      <x:c r="AF252" s="117" t="str">
        <x:v>Distinct candidate</x:v>
      </x:c>
      <x:c r="AG252" s="117" t="str"/>
      <x:c r="AH252" s="117" t="str">
        <x:v>Name corroborated in source</x:v>
      </x:c>
      <x:c r="AI252" s="117" t="str">
        <x:v>https://ebrochures.malaysia.travel/en/malaysia-travel-guide/sabah/</x:v>
      </x:c>
      <x:c r="AJ252" s="117" t="str">
        <x:v>Place name or established alias matched in the cited source. This is not confirmation of current opening, all visitor facilities or the full description.</x:v>
      </x:c>
      <x:c r="AK252" s="117" t="str">
        <x:v>Not independently confirmed</x:v>
      </x:c>
      <x:c r="AL252" s="117" t="str">
        <x:v>Screened sources; accessibility unresolved</x:v>
      </x:c>
      <x:c r="AM252" s="117" t="str">
        <x:v>2026-09-08</x:v>
      </x:c>
      <x:c r="AN252" s="117" t="str">
        <x:v>https://thumb.wikimedia.org/wikipedia/commons/thumb/6/6b/KotaKinabalu_Sabah_Sabah-State-Museum-01.jpg/1280px-KotaKinabalu_Sabah_Sabah-State-Museum-01.jpg?utm_source=commons.wikimedia.org&amp;utm_campaign=imageinfo&amp;utm_content=thumbnail</x:v>
      </x:c>
      <x:c r="AO252" s="117" t="str">
        <x:v>https://thumb.wikimedia.org/wikipedia/commons/thumb/4/48/Photowalk_at_Sabah_State_Museum%2C_Kota_Kinabalu_208.jpg/1280px-Photowalk_at_Sabah_State_Museum%2C_Kota_Kinabalu_208.jpg?utm_source=commons.wikimedia.org&amp;utm_campaign=imageinfo&amp;utm_content=thumbnail</x:v>
      </x:c>
      <x:c r="AP252" s="117" t="str">
        <x:v>2 metadata-matched images; visual review pending</x:v>
      </x:c>
      <x:c r="AQ252" s="117"/>
    </x:row>
    <x:row r="253" ht="66" customHeight="1">
      <x:c r="A253" s="117" t="str">
        <x:v>MC0250</x:v>
      </x:c>
      <x:c r="B253" s="117" t="str">
        <x:v>Mari Mari Cultural Village</x:v>
      </x:c>
      <x:c r="C253" s="117" t="str">
        <x:v>Sabah</x:v>
      </x:c>
      <x:c r="D253" s="117" t="str">
        <x:v>Kota Kinabalu</x:v>
      </x:c>
      <x:c r="E253" s="117" t="str">
        <x:v>Culture</x:v>
      </x:c>
      <x:c r="F253" s="117" t="str">
        <x:v>Local</x:v>
      </x:c>
      <x:c r="G253" s="117" t="str">
        <x:v>Both</x:v>
      </x:c>
      <x:c r="H253" s="117" t="str">
        <x:v>indigenous culture; heritage; performance; food; education</x:v>
      </x:c>
      <x:c r="I253" s="117" t="str">
        <x:v>A living cultural village near Kota Kinabalu showcasing the traditions of Sabah's indigenous ethnic groups.</x:v>
      </x:c>
      <x:c r="J253" s="117" t="str">
        <x:v>https://www.google.com/maps/search/?api=1&amp;query=Mari%20Mari%20Cultural%20Village%2C%20Sabah%2C%20Malaysia</x:v>
      </x:c>
      <x:c r="K253" s="117" t="str">
        <x:v>https://ebrochures.malaysia.travel/en/malaysia-travel-guide/sabah/</x:v>
      </x:c>
      <x:c r="L253" s="117" t="str">
        <x:v>Previous workbook candidate/source lead</x:v>
      </x:c>
      <x:c r="M253" s="117" t="str">
        <x:v>Previous workbook seed</x:v>
      </x:c>
      <x:c r="N253" s="117" t="str">
        <x:v>A108</x:v>
      </x:c>
      <x:c r="O253" s="117" t="str">
        <x:v>2026-08-15 00:00:00</x:v>
      </x:c>
      <x:c r="P253" s="117" t="str">
        <x:v>Complete</x:v>
      </x:c>
      <x:c r="Q253" s="117"/>
      <x:c r="R253" s="117" t="str">
        <x:f t="shared" si="3">IF(J253="","Missing Link",IF(AND(ISNUMBER(SEARCH("google.com/maps",J253)),ISERROR(SEARCH(";",J253))),"Discovery Link Only","Source Link Present"))</x:f>
        <x:v>Discovery Link Only</x:v>
      </x:c>
      <x:c r="S253" s="117" t="str">
        <x:v>Unknown</x:v>
      </x:c>
      <x:c r="T253" s="117" t="str">
        <x:v>Unknown</x:v>
      </x:c>
      <x:c r="U253" s="117" t="str">
        <x:v>Unknown</x:v>
      </x:c>
      <x:c r="V253" s="117" t="str">
        <x:v>Unknown</x:v>
      </x:c>
      <x:c r="W253" s="117" t="str">
        <x:v>Unknown</x:v>
      </x:c>
      <x:c r="X253" s="117" t="str">
        <x:v>Unknown</x:v>
      </x:c>
      <x:c r="Y253" s="117" t="str">
        <x:v>Unknown</x:v>
      </x:c>
      <x:c r="Z253" s="117"/>
      <x:c r="AA253" s="117" t="str">
        <x:v>Pending evidence</x:v>
      </x:c>
      <x:c r="AB253" s="117"/>
      <x:c r="AC253" s="117" t="str">
        <x:v>No qualifying accessibility conclusion established from the screened sources. This is unknown, not evidence that the attraction is inaccessible.</x:v>
      </x:c>
      <x:c r="AD253" s="117" t="str">
        <x:v>2026-09-08</x:v>
      </x:c>
      <x:c r="AE253" s="117" t="str">
        <x:v>MC0250</x:v>
      </x:c>
      <x:c r="AF253" s="117" t="str">
        <x:v>Distinct candidate</x:v>
      </x:c>
      <x:c r="AG253" s="117" t="str"/>
      <x:c r="AH253" s="117" t="str">
        <x:v>Name corroborated in source</x:v>
      </x:c>
      <x:c r="AI253" s="117" t="str">
        <x:v>https://ebrochures.malaysia.travel/en/malaysia-travel-guide/sabah/</x:v>
      </x:c>
      <x:c r="AJ253" s="117" t="str">
        <x:v>Place name or established alias matched in the cited source. This is not confirmation of current opening, all visitor facilities or the full description.</x:v>
      </x:c>
      <x:c r="AK253" s="117" t="str">
        <x:v>Not independently confirmed</x:v>
      </x:c>
      <x:c r="AL253" s="117" t="str">
        <x:v>Screened sources; accessibility unresolved</x:v>
      </x:c>
      <x:c r="AM253" s="117" t="str">
        <x:v>2026-09-08</x:v>
      </x:c>
      <x:c r="AN253" s="117" t="str">
        <x:v>https://thumb.wikimedia.org/wikipedia/commons/thumb/5/58/ESEAP_Conference_2024_Mari_Mari_Cultural_Village_Trip_-_12.jpg/1280px-ESEAP_Conference_2024_Mari_Mari_Cultural_Village_Trip_-_12.jpg?utm_source=commons.wikimedia.org&amp;utm_campaign=imageinfo&amp;utm_content=thumbnail</x:v>
      </x:c>
      <x:c r="AO253" s="117"/>
      <x:c r="AP253" s="117" t="str">
        <x:v>1 metadata-matched images; visual review pending</x:v>
      </x:c>
      <x:c r="AQ253" s="117"/>
    </x:row>
    <x:row r="254" ht="66" customHeight="1">
      <x:c r="A254" s="117" t="str">
        <x:v>MC0251</x:v>
      </x:c>
      <x:c r="B254" s="117" t="str">
        <x:v>Poring Hot Spring</x:v>
      </x:c>
      <x:c r="C254" s="117" t="str">
        <x:v>Sabah</x:v>
      </x:c>
      <x:c r="D254" s="117" t="str">
        <x:v>Ranau</x:v>
      </x:c>
      <x:c r="E254" s="117" t="str">
        <x:v>Wellness and Relaxation</x:v>
      </x:c>
      <x:c r="F254" s="117" t="str">
        <x:v>Unclassified</x:v>
      </x:c>
      <x:c r="G254" s="117" t="str">
        <x:v>Outdoor</x:v>
      </x:c>
      <x:c r="H254" s="117" t="str">
        <x:v>hot springs; relaxation; nature; canopy walk; wellness</x:v>
      </x:c>
      <x:c r="I254" s="117" t="str">
        <x:v>A hot spring and canopy walkway attraction within Kinabalu Park in Ranau district, Sabah.</x:v>
      </x:c>
      <x:c r="J254" s="117" t="str">
        <x:v>https://www.google.com/maps/search/?api=1&amp;query=Poring%20Hot%20Spring%2C%20Sabah%2C%20Malaysia</x:v>
      </x:c>
      <x:c r="K254" s="117" t="str">
        <x:v>https://ebrochures.malaysia.travel/en/malaysia-travel-guide/sabah/</x:v>
      </x:c>
      <x:c r="L254" s="117" t="str">
        <x:v>Previous workbook candidate/source lead</x:v>
      </x:c>
      <x:c r="M254" s="117" t="str">
        <x:v>Previous workbook seed</x:v>
      </x:c>
      <x:c r="N254" s="117" t="str">
        <x:v>A109</x:v>
      </x:c>
      <x:c r="O254" s="117" t="str">
        <x:v>2026-08-15 00:00:00</x:v>
      </x:c>
      <x:c r="P254" s="117" t="str">
        <x:v>Complete</x:v>
      </x:c>
      <x:c r="Q254" s="117"/>
      <x:c r="R254" s="117" t="str">
        <x:f t="shared" si="3">IF(J254="","Missing Link",IF(AND(ISNUMBER(SEARCH("google.com/maps",J254)),ISERROR(SEARCH(";",J254))),"Discovery Link Only","Source Link Present"))</x:f>
        <x:v>Discovery Link Only</x:v>
      </x:c>
      <x:c r="S254" s="117" t="str">
        <x:v>Unknown</x:v>
      </x:c>
      <x:c r="T254" s="117" t="str">
        <x:v>Unknown</x:v>
      </x:c>
      <x:c r="U254" s="117" t="str">
        <x:v>Unknown</x:v>
      </x:c>
      <x:c r="V254" s="117" t="str">
        <x:v>Unknown</x:v>
      </x:c>
      <x:c r="W254" s="117" t="str">
        <x:v>Unknown</x:v>
      </x:c>
      <x:c r="X254" s="117" t="str">
        <x:v>Unknown</x:v>
      </x:c>
      <x:c r="Y254" s="117" t="str">
        <x:v>Unknown</x:v>
      </x:c>
      <x:c r="Z254" s="117"/>
      <x:c r="AA254" s="117" t="str">
        <x:v>Pending evidence</x:v>
      </x:c>
      <x:c r="AB254" s="117"/>
      <x:c r="AC254" s="117" t="str">
        <x:v>No qualifying accessibility conclusion established from the screened sources. This is unknown, not evidence that the attraction is inaccessible.</x:v>
      </x:c>
      <x:c r="AD254" s="117" t="str">
        <x:v>2026-09-08</x:v>
      </x:c>
      <x:c r="AE254" s="117" t="str">
        <x:v>MC0251</x:v>
      </x:c>
      <x:c r="AF254" s="117" t="str">
        <x:v>Distinct candidate</x:v>
      </x:c>
      <x:c r="AG254" s="117" t="str"/>
      <x:c r="AH254" s="117" t="str">
        <x:v>Name corroborated in source</x:v>
      </x:c>
      <x:c r="AI254" s="117" t="str">
        <x:v>https://ebrochures.malaysia.travel/en/malaysia-travel-guide/sabah/</x:v>
      </x:c>
      <x:c r="AJ254" s="117" t="str">
        <x:v>Place name or established alias matched in the cited source. This is not confirmation of current opening, all visitor facilities or the full description.</x:v>
      </x:c>
      <x:c r="AK254" s="117" t="str">
        <x:v>Not independently confirmed</x:v>
      </x:c>
      <x:c r="AL254" s="117" t="str">
        <x:v>Screened sources; accessibility unresolved</x:v>
      </x:c>
      <x:c r="AM254" s="117" t="str">
        <x:v>2026-09-08</x:v>
      </x:c>
      <x:c r="AN254" s="117" t="str">
        <x:v>https://upload.wikimedia.org/wikipedia/commons/7/73/Poring_-_Hot_Springs_0012.JPG?utm_source=commons.wikimedia.org&amp;utm_campaign=imageinfo&amp;utm_content=thumbnail_unscaled</x:v>
      </x:c>
      <x:c r="AO254" s="117"/>
      <x:c r="AP254" s="117" t="str">
        <x:v>1 metadata-matched images; visual review pending</x:v>
      </x:c>
      <x:c r="AQ254" s="117"/>
    </x:row>
    <x:row r="255" ht="66" customHeight="1">
      <x:c r="A255" s="117" t="str">
        <x:v>MC0252</x:v>
      </x:c>
      <x:c r="B255" s="117" t="str">
        <x:v>Danum Valley Conservation Area</x:v>
      </x:c>
      <x:c r="C255" s="117" t="str">
        <x:v>Sabah</x:v>
      </x:c>
      <x:c r="D255" s="117" t="str">
        <x:v>Lahad Datu</x:v>
      </x:c>
      <x:c r="E255" s="117" t="str">
        <x:v>Nature</x:v>
      </x:c>
      <x:c r="F255" s="117" t="str">
        <x:v>Unclassified</x:v>
      </x:c>
      <x:c r="G255" s="117" t="str">
        <x:v>Outdoor</x:v>
      </x:c>
      <x:c r="H255" s="117" t="str">
        <x:v>rainforest; wildlife; conservation; hiking; nature</x:v>
      </x:c>
      <x:c r="I255" s="117" t="str">
        <x:v>One of the world's most pristine lowland rainforests, in Lahad Datu district, Sabah, known for wildlife research and eco-tourism.</x:v>
      </x:c>
      <x:c r="J255" s="117" t="str">
        <x:v>https://www.google.com/maps/search/?api=1&amp;query=Danum%20Valley%20Conservation%20Area%2C%20Sabah%2C%20Malaysia</x:v>
      </x:c>
      <x:c r="K255" s="117" t="str">
        <x:v>https://ebrochures.malaysia.travel/en/malaysia-travel-guide/sabah/</x:v>
      </x:c>
      <x:c r="L255" s="117" t="str">
        <x:v>Previous workbook candidate/source lead</x:v>
      </x:c>
      <x:c r="M255" s="117" t="str">
        <x:v>Previous workbook seed</x:v>
      </x:c>
      <x:c r="N255" s="117" t="str">
        <x:v>A110</x:v>
      </x:c>
      <x:c r="O255" s="117" t="str">
        <x:v>2026-08-15 00:00:00</x:v>
      </x:c>
      <x:c r="P255" s="117" t="str">
        <x:v>Complete</x:v>
      </x:c>
      <x:c r="Q255" s="117" t="str">
        <x:v>Identity and Malaysian location verified in second-pass review on 2026-09-08.</x:v>
      </x:c>
      <x:c r="R255" s="117" t="str">
        <x:f t="shared" si="3">IF(J255="","Missing Link",IF(AND(ISNUMBER(SEARCH("google.com/maps",J255)),ISERROR(SEARCH(";",J255))),"Discovery Link Only","Source Link Present"))</x:f>
        <x:v>Discovery Link Only</x:v>
      </x:c>
      <x:c r="S255" s="117" t="str">
        <x:v>Unknown</x:v>
      </x:c>
      <x:c r="T255" s="117" t="str">
        <x:v>Unknown</x:v>
      </x:c>
      <x:c r="U255" s="117" t="str">
        <x:v>Unknown</x:v>
      </x:c>
      <x:c r="V255" s="117" t="str">
        <x:v>Unknown</x:v>
      </x:c>
      <x:c r="W255" s="117" t="str">
        <x:v>Unknown</x:v>
      </x:c>
      <x:c r="X255" s="117" t="str">
        <x:v>Unknown</x:v>
      </x:c>
      <x:c r="Y255" s="117" t="str">
        <x:v>Unknown</x:v>
      </x:c>
      <x:c r="Z255" s="117"/>
      <x:c r="AA255" s="117" t="str">
        <x:v>Pending evidence</x:v>
      </x:c>
      <x:c r="AB255" s="117"/>
      <x:c r="AC255" s="117" t="str">
        <x:v>No qualifying accessibility conclusion established from the screened sources. This is unknown, not evidence that the attraction is inaccessible.</x:v>
      </x:c>
      <x:c r="AD255" s="117" t="str">
        <x:v>2026-09-08</x:v>
      </x:c>
      <x:c r="AE255" s="117" t="str">
        <x:v>MC0252</x:v>
      </x:c>
      <x:c r="AF255" s="117" t="str">
        <x:v>Distinct candidate</x:v>
      </x:c>
      <x:c r="AG255" s="117" t="str"/>
      <x:c r="AH255" s="117" t="str">
        <x:v>Identity and location corroborated</x:v>
      </x:c>
      <x:c r="AI255" s="117" t="str">
        <x:v>https://en.wikipedia.org/wiki/Danum_Valley_Conservation_Area</x:v>
      </x:c>
      <x:c r="AJ255" s="117" t="str">
        <x:v>Encyclopedic source matches the attraction name or established alias and the stated Malaysian location. This verifies identity/location only; confirm current opening and accessibility separately.</x:v>
      </x:c>
      <x:c r="AK255" s="117" t="str">
        <x:v>Not independently confirmed</x:v>
      </x:c>
      <x:c r="AL255" s="117" t="str">
        <x:v>Screened sources; accessibility unresolved</x:v>
      </x:c>
      <x:c r="AM255" s="117" t="str">
        <x:v>2026-09-08</x:v>
      </x:c>
      <x:c r="AN255" s="117" t="str">
        <x:v>https://thumb.wikimedia.org/wikipedia/commons/thumb/f/f4/Morning_fog_over_Danum_Valley_%2827329938517%29.jpg/1280px-Morning_fog_over_Danum_Valley_%2827329938517%29.jpg?utm_source=commons.wikimedia.org&amp;utm_campaign=imageinfo&amp;utm_content=thumbnail</x:v>
      </x:c>
      <x:c r="AO255" s="117" t="str">
        <x:v>https://thumb.wikimedia.org/wikipedia/commons/thumb/f/f2/Bridge_to_the_rainforest.jpg/1280px-Bridge_to_the_rainforest.jpg?utm_source=commons.wikimedia.org&amp;utm_campaign=imageinfo&amp;utm_content=thumbnail</x:v>
      </x:c>
      <x:c r="AP255" s="117" t="str">
        <x:v>2 metadata-matched images; visual review pending</x:v>
      </x:c>
      <x:c r="AQ255" s="117"/>
    </x:row>
    <x:row r="256" ht="66" customHeight="1">
      <x:c r="A256" s="117" t="str">
        <x:v>MC0253</x:v>
      </x:c>
      <x:c r="B256" s="117" t="str">
        <x:v>Tip of Borneo</x:v>
      </x:c>
      <x:c r="C256" s="117" t="str">
        <x:v>Sabah</x:v>
      </x:c>
      <x:c r="D256" s="117" t="str">
        <x:v>Kudat</x:v>
      </x:c>
      <x:c r="E256" s="117" t="str">
        <x:v>Nature</x:v>
      </x:c>
      <x:c r="F256" s="117" t="str">
        <x:v>Unclassified</x:v>
      </x:c>
      <x:c r="G256" s="117" t="str">
        <x:v>Outdoor</x:v>
      </x:c>
      <x:c r="H256" s="117" t="str">
        <x:v>coast; scenery; sunset; photography; relaxation</x:v>
      </x:c>
      <x:c r="I256" s="117" t="str">
        <x:v>The northernmost point of Borneo island, in Kudat district, Sabah, known for its dramatic coastal viewpoint.</x:v>
      </x:c>
      <x:c r="J256" s="117" t="str">
        <x:v>https://www.google.com/maps/search/?api=1&amp;query=Tip%20of%20Borneo%2C%20Sabah%2C%20Malaysia</x:v>
      </x:c>
      <x:c r="K256" s="117" t="str">
        <x:v>https://ebrochures.malaysia.travel/en/malaysia-travel-guide/sabah/</x:v>
      </x:c>
      <x:c r="L256" s="117" t="str">
        <x:v>Previous workbook candidate/source lead</x:v>
      </x:c>
      <x:c r="M256" s="117" t="str">
        <x:v>Previous workbook seed</x:v>
      </x:c>
      <x:c r="N256" s="117" t="str">
        <x:v>A111</x:v>
      </x:c>
      <x:c r="O256" s="117" t="str">
        <x:v>2026-08-15 00:00:00</x:v>
      </x:c>
      <x:c r="P256" s="117" t="str">
        <x:v>Complete</x:v>
      </x:c>
      <x:c r="Q256" s="117"/>
      <x:c r="R256" s="117" t="str">
        <x:f t="shared" si="3">IF(J256="","Missing Link",IF(AND(ISNUMBER(SEARCH("google.com/maps",J256)),ISERROR(SEARCH(";",J256))),"Discovery Link Only","Source Link Present"))</x:f>
        <x:v>Discovery Link Only</x:v>
      </x:c>
      <x:c r="S256" s="117" t="str">
        <x:v>Unknown</x:v>
      </x:c>
      <x:c r="T256" s="117" t="str">
        <x:v>Unknown</x:v>
      </x:c>
      <x:c r="U256" s="117" t="str">
        <x:v>Unknown</x:v>
      </x:c>
      <x:c r="V256" s="117" t="str">
        <x:v>Unknown</x:v>
      </x:c>
      <x:c r="W256" s="117" t="str">
        <x:v>Unknown</x:v>
      </x:c>
      <x:c r="X256" s="117" t="str">
        <x:v>Unknown</x:v>
      </x:c>
      <x:c r="Y256" s="117" t="str">
        <x:v>Unknown</x:v>
      </x:c>
      <x:c r="Z256" s="117"/>
      <x:c r="AA256" s="117" t="str">
        <x:v>Pending evidence</x:v>
      </x:c>
      <x:c r="AB256" s="117"/>
      <x:c r="AC256" s="117" t="str">
        <x:v>No qualifying accessibility conclusion established from the screened sources. This is unknown, not evidence that the attraction is inaccessible.</x:v>
      </x:c>
      <x:c r="AD256" s="117" t="str">
        <x:v>2026-09-08</x:v>
      </x:c>
      <x:c r="AE256" s="117" t="str">
        <x:v>MC0253</x:v>
      </x:c>
      <x:c r="AF256" s="117" t="str">
        <x:v>Distinct candidate</x:v>
      </x:c>
      <x:c r="AG256" s="117" t="str"/>
      <x:c r="AH256" s="117" t="str">
        <x:v>Name corroborated in source</x:v>
      </x:c>
      <x:c r="AI256" s="117" t="str">
        <x:v>https://ebrochures.malaysia.travel/en/malaysia-travel-guide/sabah/</x:v>
      </x:c>
      <x:c r="AJ256" s="117" t="str">
        <x:v>Place name or established alias matched in the cited source. This is not confirmation of current opening, all visitor facilities or the full description.</x:v>
      </x:c>
      <x:c r="AK256" s="117" t="str">
        <x:v>Not independently confirmed</x:v>
      </x:c>
      <x:c r="AL256" s="117" t="str">
        <x:v>Screened sources; accessibility unresolved</x:v>
      </x:c>
      <x:c r="AM256" s="117" t="str">
        <x:v>2026-09-08</x:v>
      </x:c>
      <x:c r="AN256" s="117" t="str">
        <x:v>https://thumb.wikimedia.org/wikipedia/commons/thumb/7/71/Kudat_Sabah_Tanjung_Simpang_Mengayau-21.jpg/1280px-Kudat_Sabah_Tanjung_Simpang_Mengayau-21.jpg?utm_source=commons.wikimedia.org&amp;utm_campaign=imageinfo&amp;utm_content=thumbnail</x:v>
      </x:c>
      <x:c r="AO256" s="117" t="str">
        <x:v>https://thumb.wikimedia.org/wikipedia/commons/thumb/a/ad/Kudat_Sabah_Tanjung_Simpang_Mengayau-01.jpg/1280px-Kudat_Sabah_Tanjung_Simpang_Mengayau-01.jpg?utm_source=commons.wikimedia.org&amp;utm_campaign=imageinfo&amp;utm_content=thumbnail</x:v>
      </x:c>
      <x:c r="AP256" s="117" t="str">
        <x:v>2 metadata-matched images; visual review pending</x:v>
      </x:c>
      <x:c r="AQ256" s="117"/>
    </x:row>
    <x:row r="257" ht="66" customHeight="1">
      <x:c r="A257" s="117" t="str">
        <x:v>MC0254</x:v>
      </x:c>
      <x:c r="B257" s="117" t="str">
        <x:v>Lok Kawi Wildlife Park</x:v>
      </x:c>
      <x:c r="C257" s="117" t="str">
        <x:v>Sabah</x:v>
      </x:c>
      <x:c r="D257" s="117" t="str">
        <x:v>Penampang</x:v>
      </x:c>
      <x:c r="E257" s="117" t="str">
        <x:v>Wildlife</x:v>
      </x:c>
      <x:c r="F257" s="117" t="str">
        <x:v>Unclassified</x:v>
      </x:c>
      <x:c r="G257" s="117" t="str">
        <x:v>Outdoor</x:v>
      </x:c>
      <x:c r="H257" s="117" t="str">
        <x:v>wildlife; animals; family; children; education</x:v>
      </x:c>
      <x:c r="I257" s="117" t="str">
        <x:v>A zoo and wildlife park near Penampang, Sabah, housing Bornean species including orangutans and elephants.</x:v>
      </x:c>
      <x:c r="J257" s="117" t="str">
        <x:v>https://www.google.com/maps/search/?api=1&amp;query=Lok%20Kawi%20Wildlife%20Park%2C%20Sabah%2C%20Malaysia</x:v>
      </x:c>
      <x:c r="K257" s="117" t="str">
        <x:v>https://ebrochures.malaysia.travel/en/malaysia-travel-guide/sabah/</x:v>
      </x:c>
      <x:c r="L257" s="117" t="str">
        <x:v>Previous workbook candidate/source lead</x:v>
      </x:c>
      <x:c r="M257" s="117" t="str">
        <x:v>Previous workbook seed</x:v>
      </x:c>
      <x:c r="N257" s="117" t="str">
        <x:v>A112</x:v>
      </x:c>
      <x:c r="O257" s="117" t="str">
        <x:v>2026-08-15 00:00:00</x:v>
      </x:c>
      <x:c r="P257" s="117" t="str">
        <x:v>Complete</x:v>
      </x:c>
      <x:c r="Q257" s="117"/>
      <x:c r="R257" s="117" t="str">
        <x:f t="shared" si="3">IF(J257="","Missing Link",IF(AND(ISNUMBER(SEARCH("google.com/maps",J257)),ISERROR(SEARCH(";",J257))),"Discovery Link Only","Source Link Present"))</x:f>
        <x:v>Discovery Link Only</x:v>
      </x:c>
      <x:c r="S257" s="117" t="str">
        <x:v>Unknown</x:v>
      </x:c>
      <x:c r="T257" s="117" t="str">
        <x:v>Unknown</x:v>
      </x:c>
      <x:c r="U257" s="117" t="str">
        <x:v>Unknown</x:v>
      </x:c>
      <x:c r="V257" s="117" t="str">
        <x:v>Unknown</x:v>
      </x:c>
      <x:c r="W257" s="117" t="str">
        <x:v>Unknown</x:v>
      </x:c>
      <x:c r="X257" s="117" t="str">
        <x:v>Unknown</x:v>
      </x:c>
      <x:c r="Y257" s="117" t="str">
        <x:v>Unknown</x:v>
      </x:c>
      <x:c r="Z257" s="117"/>
      <x:c r="AA257" s="117" t="str">
        <x:v>Pending evidence</x:v>
      </x:c>
      <x:c r="AB257" s="117"/>
      <x:c r="AC257" s="117" t="str">
        <x:v>No qualifying accessibility conclusion established from the screened sources. This is unknown, not evidence that the attraction is inaccessible.</x:v>
      </x:c>
      <x:c r="AD257" s="117" t="str">
        <x:v>2026-09-08</x:v>
      </x:c>
      <x:c r="AE257" s="117" t="str">
        <x:v>MC0254</x:v>
      </x:c>
      <x:c r="AF257" s="117" t="str">
        <x:v>Distinct candidate</x:v>
      </x:c>
      <x:c r="AG257" s="117" t="str"/>
      <x:c r="AH257" s="117" t="str">
        <x:v>Name corroborated in source</x:v>
      </x:c>
      <x:c r="AI257" s="117" t="str">
        <x:v>https://ebrochures.malaysia.travel/en/malaysia-travel-guide/sabah/</x:v>
      </x:c>
      <x:c r="AJ257" s="117" t="str">
        <x:v>Place name or established alias matched in the cited source. This is not confirmation of current opening, all visitor facilities or the full description.</x:v>
      </x:c>
      <x:c r="AK257" s="117" t="str">
        <x:v>Not independently confirmed</x:v>
      </x:c>
      <x:c r="AL257" s="117" t="str">
        <x:v>Screened sources; accessibility unresolved</x:v>
      </x:c>
      <x:c r="AM257" s="117" t="str">
        <x:v>2026-09-08</x:v>
      </x:c>
      <x:c r="AN257" s="117" t="str">
        <x:v>https://thumb.wikimedia.org/wikipedia/commons/thumb/5/56/Putatan_Sabah_LokKawiWildlifePark-03.jpg/1280px-Putatan_Sabah_LokKawiWildlifePark-03.jpg?utm_source=commons.wikimedia.org&amp;utm_campaign=imageinfo&amp;utm_content=thumbnail</x:v>
      </x:c>
      <x:c r="AO257" s="117"/>
      <x:c r="AP257" s="117" t="str">
        <x:v>1 metadata-matched images; visual review pending</x:v>
      </x:c>
      <x:c r="AQ257" s="117"/>
    </x:row>
    <x:row r="258" ht="66" customHeight="1">
      <x:c r="A258" s="117" t="str">
        <x:v>MC0255</x:v>
      </x:c>
      <x:c r="B258" s="117" t="str">
        <x:v>Signal Hill Observatory Platform</x:v>
      </x:c>
      <x:c r="C258" s="117" t="str">
        <x:v>Sabah</x:v>
      </x:c>
      <x:c r="D258" s="117" t="str">
        <x:v>Kota Kinabalu</x:v>
      </x:c>
      <x:c r="E258" s="117" t="str">
        <x:v>Urban Attraction</x:v>
      </x:c>
      <x:c r="F258" s="117" t="str">
        <x:v>Popular</x:v>
      </x:c>
      <x:c r="G258" s="117" t="str">
        <x:v>Both</x:v>
      </x:c>
      <x:c r="H258" s="117" t="str">
        <x:v>viewpoint; city; sunset</x:v>
      </x:c>
      <x:c r="I258" s="117" t="str">
        <x:v>A hilltop viewpoint in Kota Kinabalu offering panoramic city and harbour views.</x:v>
      </x:c>
      <x:c r="J258" s="117" t="str">
        <x:v>https://www.google.com/maps/search/?api=1&amp;query=Signal%20Hill%20Observatory%20Platform%2C%20Sabah%2C%20Malaysia</x:v>
      </x:c>
      <x:c r="K258" s="117" t="str">
        <x:v>https://ebrochures.malaysia.travel/en/malaysia-travel-guide/sabah/</x:v>
      </x:c>
      <x:c r="L258" s="117" t="str">
        <x:v>Tourism Malaysia state guide plus map discovery link</x:v>
      </x:c>
      <x:c r="M258" s="117" t="str">
        <x:v>Sabah expansion batch</x:v>
      </x:c>
      <x:c r="N258" s="117"/>
      <x:c r="O258" s="117" t="str">
        <x:v>2026-08-15 00:00:00</x:v>
      </x:c>
      <x:c r="P258" s="117" t="str">
        <x:v>Complete</x:v>
      </x:c>
      <x:c r="Q258" s="117"/>
      <x:c r="R258" s="117" t="str">
        <x:f t="shared" si="3">IF(J258="","Missing Link",IF(AND(ISNUMBER(SEARCH("google.com/maps",J258)),ISERROR(SEARCH(";",J258))),"Discovery Link Only","Source Link Present"))</x:f>
        <x:v>Discovery Link Only</x:v>
      </x:c>
      <x:c r="S258" s="117" t="str">
        <x:v>Unknown</x:v>
      </x:c>
      <x:c r="T258" s="117" t="str">
        <x:v>Unknown</x:v>
      </x:c>
      <x:c r="U258" s="117" t="str">
        <x:v>Unknown</x:v>
      </x:c>
      <x:c r="V258" s="117" t="str">
        <x:v>Unknown</x:v>
      </x:c>
      <x:c r="W258" s="117" t="str">
        <x:v>Unknown</x:v>
      </x:c>
      <x:c r="X258" s="117" t="str">
        <x:v>Unknown</x:v>
      </x:c>
      <x:c r="Y258" s="117" t="str">
        <x:v>Unknown</x:v>
      </x:c>
      <x:c r="Z258" s="117"/>
      <x:c r="AA258" s="117" t="str">
        <x:v>Pending evidence</x:v>
      </x:c>
      <x:c r="AB258" s="117"/>
      <x:c r="AC258" s="117" t="str">
        <x:v>No qualifying accessibility conclusion established from the screened sources. This is unknown, not evidence that the attraction is inaccessible.</x:v>
      </x:c>
      <x:c r="AD258" s="117" t="str">
        <x:v>2026-09-08</x:v>
      </x:c>
      <x:c r="AE258" s="117" t="str">
        <x:v>MC0255</x:v>
      </x:c>
      <x:c r="AF258" s="117" t="str">
        <x:v>Distinct candidate</x:v>
      </x:c>
      <x:c r="AG258" s="117" t="str"/>
      <x:c r="AH258" s="117" t="str">
        <x:v>Name corroborated in source</x:v>
      </x:c>
      <x:c r="AI258" s="117" t="str">
        <x:v>https://ebrochures.malaysia.travel/en/malaysia-travel-guide/sabah/</x:v>
      </x:c>
      <x:c r="AJ258" s="117" t="str">
        <x:v>Place name or established alias matched in the cited source. This is not confirmation of current opening, all visitor facilities or the full description.</x:v>
      </x:c>
      <x:c r="AK258" s="117" t="str">
        <x:v>Not independently confirmed</x:v>
      </x:c>
      <x:c r="AL258" s="117" t="str">
        <x:v>Screened sources; accessibility unresolved</x:v>
      </x:c>
      <x:c r="AM258" s="117" t="str">
        <x:v>2026-09-08</x:v>
      </x:c>
      <x:c r="AN258" s="117"/>
      <x:c r="AO258" s="117"/>
      <x:c r="AP258" s="117" t="str">
        <x:v>No usable pair located; image research pending</x:v>
      </x:c>
      <x:c r="AQ258" s="117"/>
    </x:row>
    <x:row r="259" ht="66" customHeight="1">
      <x:c r="A259" s="117" t="str">
        <x:v>MC0256</x:v>
      </x:c>
      <x:c r="B259" s="117" t="str">
        <x:v>Kota Kinabalu City Mosque</x:v>
      </x:c>
      <x:c r="C259" s="117" t="str">
        <x:v>Sabah</x:v>
      </x:c>
      <x:c r="D259" s="117" t="str">
        <x:v>Kota Kinabalu</x:v>
      </x:c>
      <x:c r="E259" s="117" t="str">
        <x:v>Religious Site</x:v>
      </x:c>
      <x:c r="F259" s="117" t="str">
        <x:v>Popular</x:v>
      </x:c>
      <x:c r="G259" s="117" t="str">
        <x:v>Both</x:v>
      </x:c>
      <x:c r="H259" s="117" t="str">
        <x:v>mosque; lagoon; architecture</x:v>
      </x:c>
      <x:c r="I259" s="117" t="str">
        <x:v>A large waterfront mosque in Kota Kinabalu known as the floating mosque for its reflection in a surrounding lagoon.</x:v>
      </x:c>
      <x:c r="J259" s="117" t="str">
        <x:v>https://www.google.com/maps/search/?api=1&amp;query=Kota%20Kinabalu%20City%20Mosque%2C%20Sabah%2C%20Malaysia</x:v>
      </x:c>
      <x:c r="K259" s="117" t="str">
        <x:v>https://ebrochures.malaysia.travel/en/malaysia-travel-guide/sabah/</x:v>
      </x:c>
      <x:c r="L259" s="117" t="str">
        <x:v>Tourism Malaysia state guide plus map discovery link</x:v>
      </x:c>
      <x:c r="M259" s="117" t="str">
        <x:v>Sabah expansion batch</x:v>
      </x:c>
      <x:c r="N259" s="117"/>
      <x:c r="O259" s="117" t="str">
        <x:v>2026-08-15 00:00:00</x:v>
      </x:c>
      <x:c r="P259" s="117" t="str">
        <x:v>Complete</x:v>
      </x:c>
      <x:c r="Q259" s="117"/>
      <x:c r="R259" s="117" t="str">
        <x:f t="shared" si="3">IF(J259="","Missing Link",IF(AND(ISNUMBER(SEARCH("google.com/maps",J259)),ISERROR(SEARCH(";",J259))),"Discovery Link Only","Source Link Present"))</x:f>
        <x:v>Discovery Link Only</x:v>
      </x:c>
      <x:c r="S259" s="117" t="str">
        <x:v>Unknown</x:v>
      </x:c>
      <x:c r="T259" s="117" t="str">
        <x:v>Unknown</x:v>
      </x:c>
      <x:c r="U259" s="117" t="str">
        <x:v>Unknown</x:v>
      </x:c>
      <x:c r="V259" s="117" t="str">
        <x:v>Unknown</x:v>
      </x:c>
      <x:c r="W259" s="117" t="str">
        <x:v>Unknown</x:v>
      </x:c>
      <x:c r="X259" s="117" t="str">
        <x:v>Unknown</x:v>
      </x:c>
      <x:c r="Y259" s="117" t="str">
        <x:v>Unknown</x:v>
      </x:c>
      <x:c r="Z259" s="117"/>
      <x:c r="AA259" s="117" t="str">
        <x:v>Pending evidence</x:v>
      </x:c>
      <x:c r="AB259" s="117"/>
      <x:c r="AC259" s="117" t="str">
        <x:v>No qualifying accessibility conclusion established from the screened sources. This is unknown, not evidence that the attraction is inaccessible.</x:v>
      </x:c>
      <x:c r="AD259" s="117" t="str">
        <x:v>2026-09-08</x:v>
      </x:c>
      <x:c r="AE259" s="117" t="str">
        <x:v>MC0256</x:v>
      </x:c>
      <x:c r="AF259" s="117" t="str">
        <x:v>Distinct candidate</x:v>
      </x:c>
      <x:c r="AG259" s="117" t="str"/>
      <x:c r="AH259" s="117" t="str">
        <x:v>Name corroborated in source</x:v>
      </x:c>
      <x:c r="AI259" s="117" t="str">
        <x:v>https://ebrochures.malaysia.travel/en/malaysia-travel-guide/sabah/</x:v>
      </x:c>
      <x:c r="AJ259" s="117" t="str">
        <x:v>Place name or established alias matched in the cited source. This is not confirmation of current opening, all visitor facilities or the full description.</x:v>
      </x:c>
      <x:c r="AK259" s="117" t="str">
        <x:v>Not independently confirmed</x:v>
      </x:c>
      <x:c r="AL259" s="117" t="str">
        <x:v>Screened sources; accessibility unresolved</x:v>
      </x:c>
      <x:c r="AM259" s="117" t="str">
        <x:v>2026-09-08</x:v>
      </x:c>
      <x:c r="AN259" s="117" t="str">
        <x:v>https://thumb.wikimedia.org/wikipedia/commons/thumb/9/90/KotaKinabalu_Sabah_CityMosque-08.jpg/1280px-KotaKinabalu_Sabah_CityMosque-08.jpg?utm_source=commons.wikimedia.org&amp;utm_campaign=imageinfo&amp;utm_content=thumbnail</x:v>
      </x:c>
      <x:c r="AO259" s="117" t="str">
        <x:v>https://thumb.wikimedia.org/wikipedia/commons/thumb/3/35/KotaKinabalu_Sabah_CityMosque-07.jpg/1280px-KotaKinabalu_Sabah_CityMosque-07.jpg?utm_source=commons.wikimedia.org&amp;utm_campaign=imageinfo&amp;utm_content=thumbnail</x:v>
      </x:c>
      <x:c r="AP259" s="117" t="str">
        <x:v>2 metadata-matched images; visual review pending</x:v>
      </x:c>
      <x:c r="AQ259" s="117"/>
    </x:row>
    <x:row r="260" ht="66" customHeight="1">
      <x:c r="A260" s="117" t="str">
        <x:v>MC0257</x:v>
      </x:c>
      <x:c r="B260" s="117" t="str">
        <x:v>Gaya Street Sunday Market</x:v>
      </x:c>
      <x:c r="C260" s="117" t="str">
        <x:v>Sabah</x:v>
      </x:c>
      <x:c r="D260" s="117" t="str">
        <x:v>Kota Kinabalu</x:v>
      </x:c>
      <x:c r="E260" s="117" t="str">
        <x:v>Shopping</x:v>
      </x:c>
      <x:c r="F260" s="117" t="str">
        <x:v>Local</x:v>
      </x:c>
      <x:c r="G260" s="117" t="str">
        <x:v>Indoor</x:v>
      </x:c>
      <x:c r="H260" s="117" t="str">
        <x:v>market; crafts; food</x:v>
      </x:c>
      <x:c r="I260" s="117" t="str">
        <x:v>A popular weekly street market in Kota Kinabalu selling local produce, crafts and food.</x:v>
      </x:c>
      <x:c r="J260" s="117" t="str">
        <x:v>https://www.google.com/maps/search/?api=1&amp;query=Gaya%20Street%20Sunday%20Market%2C%20Sabah%2C%20Malaysia</x:v>
      </x:c>
      <x:c r="K260" s="117" t="str">
        <x:v>https://ebrochures.malaysia.travel/en/malaysia-travel-guide/sabah/</x:v>
      </x:c>
      <x:c r="L260" s="117" t="str">
        <x:v>Tourism Malaysia state guide plus map discovery link</x:v>
      </x:c>
      <x:c r="M260" s="117" t="str">
        <x:v>Sabah expansion batch</x:v>
      </x:c>
      <x:c r="N260" s="117"/>
      <x:c r="O260" s="117" t="str">
        <x:v>2026-08-15 00:00:00</x:v>
      </x:c>
      <x:c r="P260" s="117" t="str">
        <x:v>Complete</x:v>
      </x:c>
      <x:c r="Q260" s="117" t="str">
        <x:v>Identity and Malaysian location verified in second-pass review on 2026-09-08.</x:v>
      </x:c>
      <x:c r="R260" s="117" t="str">
        <x:f t="shared" ref="R260:R323" si="4">IF(J260="","Missing Link",IF(AND(ISNUMBER(SEARCH("google.com/maps",J260)),ISERROR(SEARCH(";",J260))),"Discovery Link Only","Source Link Present"))</x:f>
        <x:v>Discovery Link Only</x:v>
      </x:c>
      <x:c r="S260" s="117" t="str">
        <x:v>Unknown</x:v>
      </x:c>
      <x:c r="T260" s="117" t="str">
        <x:v>Unknown</x:v>
      </x:c>
      <x:c r="U260" s="117" t="str">
        <x:v>Unknown</x:v>
      </x:c>
      <x:c r="V260" s="117" t="str">
        <x:v>Unknown</x:v>
      </x:c>
      <x:c r="W260" s="117" t="str">
        <x:v>Unknown</x:v>
      </x:c>
      <x:c r="X260" s="117" t="str">
        <x:v>Unknown</x:v>
      </x:c>
      <x:c r="Y260" s="117" t="str">
        <x:v>Unknown</x:v>
      </x:c>
      <x:c r="Z260" s="117"/>
      <x:c r="AA260" s="117" t="str">
        <x:v>Pending evidence</x:v>
      </x:c>
      <x:c r="AB260" s="117"/>
      <x:c r="AC260" s="117" t="str">
        <x:v>No qualifying accessibility conclusion established from the screened sources. This is unknown, not evidence that the attraction is inaccessible.</x:v>
      </x:c>
      <x:c r="AD260" s="117" t="str">
        <x:v>2026-09-08</x:v>
      </x:c>
      <x:c r="AE260" s="117" t="str">
        <x:v>MC0257</x:v>
      </x:c>
      <x:c r="AF260" s="117" t="str">
        <x:v>Distinct candidate</x:v>
      </x:c>
      <x:c r="AG260" s="117" t="str"/>
      <x:c r="AH260" s="117" t="str">
        <x:v>Identity and location corroborated</x:v>
      </x:c>
      <x:c r="AI260" s="117" t="str">
        <x:v>https://www.openstreetmap.org/node/9906350513</x:v>
      </x:c>
      <x:c r="AJ260" s="117" t="str">
        <x:v>Mapped source matches the attraction name or established alias and the stated Malaysian location. This verifies identity/location only; confirm current opening and accessibility separately.</x:v>
      </x:c>
      <x:c r="AK260" s="117" t="str">
        <x:v>Not independently confirmed</x:v>
      </x:c>
      <x:c r="AL260" s="117" t="str">
        <x:v>Screened sources; accessibility unresolved</x:v>
      </x:c>
      <x:c r="AM260" s="117" t="str">
        <x:v>2026-09-08</x:v>
      </x:c>
      <x:c r="AN260" s="117" t="str">
        <x:v>https://thumb.wikimedia.org/wikipedia/commons/thumb/0/0b/KotaKinabalu_Sabah_Gaya-Street-Sunday-Market-12.jpg/1280px-KotaKinabalu_Sabah_Gaya-Street-Sunday-Market-12.jpg?utm_source=commons.wikimedia.org&amp;utm_campaign=imageinfo&amp;utm_content=thumbnail</x:v>
      </x:c>
      <x:c r="AO260" s="117" t="str">
        <x:v>https://upload.wikimedia.org/wikipedia/commons/2/26/Sunday_Market%2C_Kota_Kinabalu%2C_Malaysia.JPG?utm_source=commons.wikimedia.org&amp;utm_campaign=imageinfo&amp;utm_content=thumbnail_unscaled</x:v>
      </x:c>
      <x:c r="AP260" s="117" t="str">
        <x:v>2 metadata-matched images; visual review pending</x:v>
      </x:c>
      <x:c r="AQ260" s="117"/>
    </x:row>
    <x:row r="261" ht="66" customHeight="1">
      <x:c r="A261" s="117" t="str">
        <x:v>MC0258</x:v>
      </x:c>
      <x:c r="B261" s="117" t="str">
        <x:v>Tanjung Aru Beach</x:v>
      </x:c>
      <x:c r="C261" s="117" t="str">
        <x:v>Sabah</x:v>
      </x:c>
      <x:c r="D261" s="117" t="str">
        <x:v>Kota Kinabalu</x:v>
      </x:c>
      <x:c r="E261" s="117" t="str">
        <x:v>Beach and Island</x:v>
      </x:c>
      <x:c r="F261" s="117" t="str">
        <x:v>Popular</x:v>
      </x:c>
      <x:c r="G261" s="117" t="str">
        <x:v>Outdoor</x:v>
      </x:c>
      <x:c r="H261" s="117" t="str">
        <x:v>beach; sunset; local food</x:v>
      </x:c>
      <x:c r="I261" s="117" t="str">
        <x:v>A beach in Kota Kinabalu known for its sunset views and seafood stalls.</x:v>
      </x:c>
      <x:c r="J261" s="117" t="str">
        <x:v>https://www.google.com/maps/search/?api=1&amp;query=Tanjung%20Aru%20Beach%2C%20Sabah%2C%20Malaysia</x:v>
      </x:c>
      <x:c r="K261" s="117" t="str">
        <x:v>https://ebrochures.malaysia.travel/en/malaysia-travel-guide/sabah/</x:v>
      </x:c>
      <x:c r="L261" s="117" t="str">
        <x:v>Tourism Malaysia state guide plus map discovery link</x:v>
      </x:c>
      <x:c r="M261" s="117" t="str">
        <x:v>Sabah expansion batch</x:v>
      </x:c>
      <x:c r="N261" s="117"/>
      <x:c r="O261" s="117" t="str">
        <x:v>2026-08-15 00:00:00</x:v>
      </x:c>
      <x:c r="P261" s="117" t="str">
        <x:v>Complete</x:v>
      </x:c>
      <x:c r="Q261" s="117"/>
      <x:c r="R261" s="117" t="str">
        <x:f t="shared" si="4">IF(J261="","Missing Link",IF(AND(ISNUMBER(SEARCH("google.com/maps",J261)),ISERROR(SEARCH(";",J261))),"Discovery Link Only","Source Link Present"))</x:f>
        <x:v>Discovery Link Only</x:v>
      </x:c>
      <x:c r="S261" s="117" t="str">
        <x:v>Unknown</x:v>
      </x:c>
      <x:c r="T261" s="117" t="str">
        <x:v>Unknown</x:v>
      </x:c>
      <x:c r="U261" s="117" t="str">
        <x:v>Unknown</x:v>
      </x:c>
      <x:c r="V261" s="117" t="str">
        <x:v>Unknown</x:v>
      </x:c>
      <x:c r="W261" s="117" t="str">
        <x:v>Unknown</x:v>
      </x:c>
      <x:c r="X261" s="117" t="str">
        <x:v>Unknown</x:v>
      </x:c>
      <x:c r="Y261" s="117" t="str">
        <x:v>Unknown</x:v>
      </x:c>
      <x:c r="Z261" s="117"/>
      <x:c r="AA261" s="117" t="str">
        <x:v>Pending evidence</x:v>
      </x:c>
      <x:c r="AB261" s="117"/>
      <x:c r="AC261" s="117" t="str">
        <x:v>No qualifying accessibility conclusion established from the screened sources. This is unknown, not evidence that the attraction is inaccessible.</x:v>
      </x:c>
      <x:c r="AD261" s="117" t="str">
        <x:v>2026-09-08</x:v>
      </x:c>
      <x:c r="AE261" s="117" t="str">
        <x:v>MC0258</x:v>
      </x:c>
      <x:c r="AF261" s="117" t="str">
        <x:v>Distinct candidate</x:v>
      </x:c>
      <x:c r="AG261" s="117" t="str"/>
      <x:c r="AH261" s="117" t="str">
        <x:v>Name corroborated in source</x:v>
      </x:c>
      <x:c r="AI261" s="117" t="str">
        <x:v>https://ebrochures.malaysia.travel/en/malaysia-travel-guide/sabah/</x:v>
      </x:c>
      <x:c r="AJ261" s="117" t="str">
        <x:v>Place name or established alias matched in the cited source. This is not confirmation of current opening, all visitor facilities or the full description.</x:v>
      </x:c>
      <x:c r="AK261" s="117" t="str">
        <x:v>Not independently confirmed</x:v>
      </x:c>
      <x:c r="AL261" s="117" t="str">
        <x:v>Screened sources; accessibility unresolved</x:v>
      </x:c>
      <x:c r="AM261" s="117" t="str">
        <x:v>2026-09-08</x:v>
      </x:c>
      <x:c r="AN261" s="117" t="str">
        <x:v>https://upload.wikimedia.org/wikipedia/commons/a/a1/Kota_Kinabalu_Tanjung_Aru_Beach_0002.jpg?utm_source=commons.wikimedia.org&amp;utm_campaign=imageinfo&amp;utm_content=thumbnail_unscaled</x:v>
      </x:c>
      <x:c r="AO261" s="117" t="str">
        <x:v>https://thumb.wikimedia.org/wikipedia/commons/thumb/e/e3/Sunset_Tanjung_Aru.jpg/1280px-Sunset_Tanjung_Aru.jpg?utm_source=commons.wikimedia.org&amp;utm_campaign=imageinfo&amp;utm_content=thumbnail</x:v>
      </x:c>
      <x:c r="AP261" s="117" t="str">
        <x:v>2 metadata-matched images; visual review pending</x:v>
      </x:c>
      <x:c r="AQ261" s="117"/>
    </x:row>
    <x:row r="262" ht="66" customHeight="1">
      <x:c r="A262" s="117" t="str">
        <x:v>MC0259</x:v>
      </x:c>
      <x:c r="B262" s="117" t="str">
        <x:v>Monsopiad Heritage Village</x:v>
      </x:c>
      <x:c r="C262" s="117" t="str">
        <x:v>Sabah</x:v>
      </x:c>
      <x:c r="D262" s="117" t="str">
        <x:v>Penampang</x:v>
      </x:c>
      <x:c r="E262" s="117" t="str">
        <x:v>Culture</x:v>
      </x:c>
      <x:c r="F262" s="117" t="str">
        <x:v>Popular</x:v>
      </x:c>
      <x:c r="G262" s="117" t="str">
        <x:v>Both</x:v>
      </x:c>
      <x:c r="H262" s="117" t="str">
        <x:v>Kadazan culture; heritage; village</x:v>
      </x:c>
      <x:c r="I262" s="117" t="str">
        <x:v>A cultural village in Penampang, Sabah, dedicated to Kadazan warrior heritage and traditions.</x:v>
      </x:c>
      <x:c r="J262" s="117" t="str">
        <x:v>https://www.google.com/maps/search/?api=1&amp;query=Monsopiad%20Heritage%20Village%2C%20Sabah%2C%20Malaysia</x:v>
      </x:c>
      <x:c r="K262" s="117" t="str">
        <x:v>https://ebrochures.malaysia.travel/en/malaysia-travel-guide/sabah/</x:v>
      </x:c>
      <x:c r="L262" s="117" t="str">
        <x:v>Tourism Malaysia state guide plus map discovery link</x:v>
      </x:c>
      <x:c r="M262" s="117" t="str">
        <x:v>Sabah expansion batch</x:v>
      </x:c>
      <x:c r="N262" s="117"/>
      <x:c r="O262" s="117" t="str">
        <x:v>2026-08-15 00:00:00</x:v>
      </x:c>
      <x:c r="P262" s="117" t="str">
        <x:v>Complete</x:v>
      </x:c>
      <x:c r="Q262" s="117"/>
      <x:c r="R262" s="117" t="str">
        <x:f t="shared" si="4">IF(J262="","Missing Link",IF(AND(ISNUMBER(SEARCH("google.com/maps",J262)),ISERROR(SEARCH(";",J262))),"Discovery Link Only","Source Link Present"))</x:f>
        <x:v>Discovery Link Only</x:v>
      </x:c>
      <x:c r="S262" s="117" t="str">
        <x:v>Unknown</x:v>
      </x:c>
      <x:c r="T262" s="117" t="str">
        <x:v>Unknown</x:v>
      </x:c>
      <x:c r="U262" s="117" t="str">
        <x:v>Unknown</x:v>
      </x:c>
      <x:c r="V262" s="117" t="str">
        <x:v>Unknown</x:v>
      </x:c>
      <x:c r="W262" s="117" t="str">
        <x:v>Unknown</x:v>
      </x:c>
      <x:c r="X262" s="117" t="str">
        <x:v>Unknown</x:v>
      </x:c>
      <x:c r="Y262" s="117" t="str">
        <x:v>Unknown</x:v>
      </x:c>
      <x:c r="Z262" s="117"/>
      <x:c r="AA262" s="117" t="str">
        <x:v>Pending evidence</x:v>
      </x:c>
      <x:c r="AB262" s="117"/>
      <x:c r="AC262" s="117" t="str">
        <x:v>No qualifying accessibility conclusion established from the screened sources. This is unknown, not evidence that the attraction is inaccessible.</x:v>
      </x:c>
      <x:c r="AD262" s="117" t="str">
        <x:v>2026-09-08</x:v>
      </x:c>
      <x:c r="AE262" s="117" t="str">
        <x:v>MC0259</x:v>
      </x:c>
      <x:c r="AF262" s="117" t="str">
        <x:v>Distinct candidate</x:v>
      </x:c>
      <x:c r="AG262" s="117" t="str"/>
      <x:c r="AH262" s="117" t="str">
        <x:v>Name corroborated in source</x:v>
      </x:c>
      <x:c r="AI262" s="117" t="str">
        <x:v>https://ebrochures.malaysia.travel/en/malaysia-travel-guide/sabah/</x:v>
      </x:c>
      <x:c r="AJ262" s="117" t="str">
        <x:v>Place name or established alias matched in the cited source. This is not confirmation of current opening, all visitor facilities or the full description.</x:v>
      </x:c>
      <x:c r="AK262" s="117" t="str">
        <x:v>Not independently confirmed</x:v>
      </x:c>
      <x:c r="AL262" s="117" t="str">
        <x:v>Screened sources; accessibility unresolved</x:v>
      </x:c>
      <x:c r="AM262" s="117" t="str">
        <x:v>2026-09-08</x:v>
      </x:c>
      <x:c r="AN262" s="117"/>
      <x:c r="AO262" s="117"/>
      <x:c r="AP262" s="117" t="str">
        <x:v>No usable pair located; image research pending</x:v>
      </x:c>
      <x:c r="AQ262" s="117"/>
    </x:row>
    <x:row r="263" ht="66" customHeight="1">
      <x:c r="A263" s="117" t="str">
        <x:v>MC0260</x:v>
      </x:c>
      <x:c r="B263" s="117" t="str">
        <x:v>Kiulu River</x:v>
      </x:c>
      <x:c r="C263" s="117" t="str">
        <x:v>Sabah</x:v>
      </x:c>
      <x:c r="D263" s="117" t="str">
        <x:v>Tamparuli</x:v>
      </x:c>
      <x:c r="E263" s="117" t="str">
        <x:v>Adventure</x:v>
      </x:c>
      <x:c r="F263" s="117" t="str">
        <x:v>Popular</x:v>
      </x:c>
      <x:c r="G263" s="117" t="str">
        <x:v>Outdoor</x:v>
      </x:c>
      <x:c r="H263" s="117" t="str">
        <x:v>rafting; countryside; river</x:v>
      </x:c>
      <x:c r="I263" s="117" t="str">
        <x:v>A river in Tamparuli district, Sabah, popular for white-water rafting and tubing.</x:v>
      </x:c>
      <x:c r="J263" s="117" t="str">
        <x:v>https://www.google.com/maps/search/?api=1&amp;query=Kiulu%20River%2C%20Sabah%2C%20Malaysia</x:v>
      </x:c>
      <x:c r="K263" s="117" t="str">
        <x:v>https://ebrochures.malaysia.travel/en/malaysia-travel-guide/sabah/</x:v>
      </x:c>
      <x:c r="L263" s="117" t="str">
        <x:v>Tourism Malaysia state guide plus map discovery link</x:v>
      </x:c>
      <x:c r="M263" s="117" t="str">
        <x:v>Sabah expansion batch</x:v>
      </x:c>
      <x:c r="N263" s="117"/>
      <x:c r="O263" s="117" t="str">
        <x:v>2026-08-15 00:00:00</x:v>
      </x:c>
      <x:c r="P263" s="117" t="str">
        <x:v>Complete</x:v>
      </x:c>
      <x:c r="Q263" s="117" t="str">
        <x:v>Identity and Malaysian location verified in second-pass review on 2026-09-08.</x:v>
      </x:c>
      <x:c r="R263" s="117" t="str">
        <x:f t="shared" si="4">IF(J263="","Missing Link",IF(AND(ISNUMBER(SEARCH("google.com/maps",J263)),ISERROR(SEARCH(";",J263))),"Discovery Link Only","Source Link Present"))</x:f>
        <x:v>Discovery Link Only</x:v>
      </x:c>
      <x:c r="S263" s="117" t="str">
        <x:v>Unknown</x:v>
      </x:c>
      <x:c r="T263" s="117" t="str">
        <x:v>Unknown</x:v>
      </x:c>
      <x:c r="U263" s="117" t="str">
        <x:v>Unknown</x:v>
      </x:c>
      <x:c r="V263" s="117" t="str">
        <x:v>Unknown</x:v>
      </x:c>
      <x:c r="W263" s="117" t="str">
        <x:v>Unknown</x:v>
      </x:c>
      <x:c r="X263" s="117" t="str">
        <x:v>Unknown</x:v>
      </x:c>
      <x:c r="Y263" s="117" t="str">
        <x:v>Unknown</x:v>
      </x:c>
      <x:c r="Z263" s="117"/>
      <x:c r="AA263" s="117" t="str">
        <x:v>Pending evidence</x:v>
      </x:c>
      <x:c r="AB263" s="117"/>
      <x:c r="AC263" s="117" t="str">
        <x:v>No qualifying accessibility conclusion established from the screened sources. This is unknown, not evidence that the attraction is inaccessible.</x:v>
      </x:c>
      <x:c r="AD263" s="117" t="str">
        <x:v>2026-09-08</x:v>
      </x:c>
      <x:c r="AE263" s="117" t="str">
        <x:v>MC0260</x:v>
      </x:c>
      <x:c r="AF263" s="117" t="str">
        <x:v>Distinct candidate</x:v>
      </x:c>
      <x:c r="AG263" s="117" t="str"/>
      <x:c r="AH263" s="117" t="str">
        <x:v>Identity and location corroborated</x:v>
      </x:c>
      <x:c r="AI263" s="117" t="str">
        <x:v>https://www.openstreetmap.org/node/5864917286</x:v>
      </x:c>
      <x:c r="AJ263" s="117" t="str">
        <x:v>Mapped source matches the attraction name or established alias and the stated Malaysian location. This verifies identity/location only; confirm current opening and accessibility separately.</x:v>
      </x:c>
      <x:c r="AK263" s="117" t="str">
        <x:v>Not independently confirmed</x:v>
      </x:c>
      <x:c r="AL263" s="117" t="str">
        <x:v>Screened sources; accessibility unresolved</x:v>
      </x:c>
      <x:c r="AM263" s="117" t="str">
        <x:v>2026-09-08</x:v>
      </x:c>
      <x:c r="AN263" s="117"/>
      <x:c r="AO263" s="117"/>
      <x:c r="AP263" s="117" t="str">
        <x:v>No usable pair located; image research pending</x:v>
      </x:c>
      <x:c r="AQ263" s="117"/>
    </x:row>
    <x:row r="264" ht="66" customHeight="1">
      <x:c r="A264" s="117" t="str">
        <x:v>MC0261</x:v>
      </x:c>
      <x:c r="B264" s="117" t="str">
        <x:v>Upside Down House Sabah</x:v>
      </x:c>
      <x:c r="C264" s="117" t="str">
        <x:v>Sabah</x:v>
      </x:c>
      <x:c r="D264" s="117" t="str">
        <x:v>Tuaran</x:v>
      </x:c>
      <x:c r="E264" s="117" t="str">
        <x:v>Family Attraction</x:v>
      </x:c>
      <x:c r="F264" s="117" t="str">
        <x:v>Local</x:v>
      </x:c>
      <x:c r="G264" s="117" t="str">
        <x:v>Both</x:v>
      </x:c>
      <x:c r="H264" s="117" t="str">
        <x:v>family; photography; novelty</x:v>
      </x:c>
      <x:c r="I264" s="117" t="str">
        <x:v>A novelty attraction house in Tuaran, Sabah, built entirely inverted.</x:v>
      </x:c>
      <x:c r="J264" s="117" t="str">
        <x:v>https://www.google.com/maps/search/?api=1&amp;query=Upside%20Down%20House%20Sabah%2C%20Sabah%2C%20Malaysia</x:v>
      </x:c>
      <x:c r="K264" s="117" t="str">
        <x:v>https://ebrochures.malaysia.travel/en/malaysia-travel-guide/sabah/</x:v>
      </x:c>
      <x:c r="L264" s="117" t="str">
        <x:v>Tourism Malaysia state guide plus map discovery link</x:v>
      </x:c>
      <x:c r="M264" s="117" t="str">
        <x:v>Sabah expansion batch</x:v>
      </x:c>
      <x:c r="N264" s="117"/>
      <x:c r="O264" s="117" t="str">
        <x:v>2026-08-15 00:00:00</x:v>
      </x:c>
      <x:c r="P264" s="117" t="str">
        <x:v>Complete</x:v>
      </x:c>
      <x:c r="Q264" s="117" t="str">
        <x:v>Identity and Malaysian location verified in second-pass review on 2026-09-08.</x:v>
      </x:c>
      <x:c r="R264" s="117" t="str">
        <x:f t="shared" si="4">IF(J264="","Missing Link",IF(AND(ISNUMBER(SEARCH("google.com/maps",J264)),ISERROR(SEARCH(";",J264))),"Discovery Link Only","Source Link Present"))</x:f>
        <x:v>Discovery Link Only</x:v>
      </x:c>
      <x:c r="S264" s="117" t="str">
        <x:v>Unknown</x:v>
      </x:c>
      <x:c r="T264" s="117" t="str">
        <x:v>Unknown</x:v>
      </x:c>
      <x:c r="U264" s="117" t="str">
        <x:v>Unknown</x:v>
      </x:c>
      <x:c r="V264" s="117" t="str">
        <x:v>Unknown</x:v>
      </x:c>
      <x:c r="W264" s="117" t="str">
        <x:v>Unknown</x:v>
      </x:c>
      <x:c r="X264" s="117" t="str">
        <x:v>Unknown</x:v>
      </x:c>
      <x:c r="Y264" s="117" t="str">
        <x:v>Unknown</x:v>
      </x:c>
      <x:c r="Z264" s="117"/>
      <x:c r="AA264" s="117" t="str">
        <x:v>Pending evidence</x:v>
      </x:c>
      <x:c r="AB264" s="117"/>
      <x:c r="AC264" s="117" t="str">
        <x:v>No qualifying accessibility conclusion established from the screened sources. This is unknown, not evidence that the attraction is inaccessible.</x:v>
      </x:c>
      <x:c r="AD264" s="117" t="str">
        <x:v>2026-09-08</x:v>
      </x:c>
      <x:c r="AE264" s="117" t="str">
        <x:v>MC0261</x:v>
      </x:c>
      <x:c r="AF264" s="117" t="str">
        <x:v>Distinct candidate</x:v>
      </x:c>
      <x:c r="AG264" s="117" t="str"/>
      <x:c r="AH264" s="117" t="str">
        <x:v>Identity and location corroborated</x:v>
      </x:c>
      <x:c r="AI264" s="117" t="str">
        <x:v>https://www.openstreetmap.org/node/2105153639</x:v>
      </x:c>
      <x:c r="AJ264" s="117" t="str">
        <x:v>Mapped source matches the attraction name or established alias and the stated Malaysian location. This verifies identity/location only; confirm current opening and accessibility separately.</x:v>
      </x:c>
      <x:c r="AK264" s="117" t="str">
        <x:v>Not independently confirmed</x:v>
      </x:c>
      <x:c r="AL264" s="117" t="str">
        <x:v>Screened sources; accessibility unresolved</x:v>
      </x:c>
      <x:c r="AM264" s="117" t="str">
        <x:v>2026-09-08</x:v>
      </x:c>
      <x:c r="AN264" s="117"/>
      <x:c r="AO264" s="117"/>
      <x:c r="AP264" s="117" t="str">
        <x:v>No usable pair located; image research pending</x:v>
      </x:c>
      <x:c r="AQ264" s="117"/>
    </x:row>
    <x:row r="265" ht="66" customHeight="1">
      <x:c r="A265" s="117" t="str">
        <x:v>MC0262</x:v>
      </x:c>
      <x:c r="B265" s="117" t="str">
        <x:v>Mantanani Islands</x:v>
      </x:c>
      <x:c r="C265" s="117" t="str">
        <x:v>Sabah</x:v>
      </x:c>
      <x:c r="D265" s="117" t="str">
        <x:v>Kota Belud</x:v>
      </x:c>
      <x:c r="E265" s="117" t="str">
        <x:v>Beach and Island</x:v>
      </x:c>
      <x:c r="F265" s="117" t="str">
        <x:v>Popular</x:v>
      </x:c>
      <x:c r="G265" s="117" t="str">
        <x:v>Outdoor</x:v>
      </x:c>
      <x:c r="H265" s="117" t="str">
        <x:v>island; diving; beach</x:v>
      </x:c>
      <x:c r="I265" s="117" t="str">
        <x:v>A group of islands off Kota Belud, Sabah, known for clear waters, coral reefs and turtle sightings.</x:v>
      </x:c>
      <x:c r="J265" s="117" t="str">
        <x:v>https://www.google.com/maps/search/?api=1&amp;query=Mantanani%20Islands%2C%20Sabah%2C%20Malaysia</x:v>
      </x:c>
      <x:c r="K265" s="117" t="str">
        <x:v>https://ebrochures.malaysia.travel/en/malaysia-travel-guide/sabah/</x:v>
      </x:c>
      <x:c r="L265" s="117" t="str">
        <x:v>Tourism Malaysia state guide plus map discovery link</x:v>
      </x:c>
      <x:c r="M265" s="117" t="str">
        <x:v>Sabah expansion batch</x:v>
      </x:c>
      <x:c r="N265" s="117"/>
      <x:c r="O265" s="117" t="str">
        <x:v>2026-08-15 00:00:00</x:v>
      </x:c>
      <x:c r="P265" s="117" t="str">
        <x:v>Complete</x:v>
      </x:c>
      <x:c r="Q265" s="117" t="str">
        <x:v>Identity and Malaysian location verified in second-pass review on 2026-09-08.</x:v>
      </x:c>
      <x:c r="R265" s="117" t="str">
        <x:f t="shared" si="4">IF(J265="","Missing Link",IF(AND(ISNUMBER(SEARCH("google.com/maps",J265)),ISERROR(SEARCH(";",J265))),"Discovery Link Only","Source Link Present"))</x:f>
        <x:v>Discovery Link Only</x:v>
      </x:c>
      <x:c r="S265" s="117" t="str">
        <x:v>Unknown</x:v>
      </x:c>
      <x:c r="T265" s="117" t="str">
        <x:v>Unknown</x:v>
      </x:c>
      <x:c r="U265" s="117" t="str">
        <x:v>Unknown</x:v>
      </x:c>
      <x:c r="V265" s="117" t="str">
        <x:v>Unknown</x:v>
      </x:c>
      <x:c r="W265" s="117" t="str">
        <x:v>Unknown</x:v>
      </x:c>
      <x:c r="X265" s="117" t="str">
        <x:v>Unknown</x:v>
      </x:c>
      <x:c r="Y265" s="117" t="str">
        <x:v>Unknown</x:v>
      </x:c>
      <x:c r="Z265" s="117"/>
      <x:c r="AA265" s="117" t="str">
        <x:v>Pending evidence</x:v>
      </x:c>
      <x:c r="AB265" s="117"/>
      <x:c r="AC265" s="117" t="str">
        <x:v>No qualifying accessibility conclusion established from the screened sources. This is unknown, not evidence that the attraction is inaccessible.</x:v>
      </x:c>
      <x:c r="AD265" s="117" t="str">
        <x:v>2026-09-08</x:v>
      </x:c>
      <x:c r="AE265" s="117" t="str">
        <x:v>MC0262</x:v>
      </x:c>
      <x:c r="AF265" s="117" t="str">
        <x:v>Distinct candidate</x:v>
      </x:c>
      <x:c r="AG265" s="117" t="str"/>
      <x:c r="AH265" s="117" t="str">
        <x:v>Identity and location corroborated</x:v>
      </x:c>
      <x:c r="AI265" s="117" t="str">
        <x:v>https://en.wikipedia.org/wiki/Mantanani_Islands</x:v>
      </x:c>
      <x:c r="AJ265" s="117" t="str">
        <x:v>Encyclopedic source matches the attraction name or established alias and the stated Malaysian location. This verifies identity/location only; confirm current opening and accessibility separately.</x:v>
      </x:c>
      <x:c r="AK265" s="117" t="str">
        <x:v>Not independently confirmed</x:v>
      </x:c>
      <x:c r="AL265" s="117" t="str">
        <x:v>Screened sources; accessibility unresolved</x:v>
      </x:c>
      <x:c r="AM265" s="117" t="str">
        <x:v>2026-09-08</x:v>
      </x:c>
      <x:c r="AN265" s="117" t="str">
        <x:v>https://thumb.wikimedia.org/wikipedia/commons/thumb/3/32/Admiralty_Chart_No_3728_Mantanani_Islands_to_Banggi_Island%2C_Published_1964.jpg/1280px-Admiralty_Chart_No_3728_Mantanani_Islands_to_Banggi_Island%2C_Published_1964.jpg?utm_source=commons.wikimedia.org&amp;utm_campaign=imageinfo&amp;utm_content=thumbnail</x:v>
      </x:c>
      <x:c r="AO265" s="117" t="str">
        <x:v>https://thumb.wikimedia.org/wikipedia/commons/thumb/b/b0/Mantanani_Island_Sabah_Borneo_%2832199873233%29.jpg/1280px-Mantanani_Island_Sabah_Borneo_%2832199873233%29.jpg?utm_source=commons.wikimedia.org&amp;utm_campaign=imageinfo&amp;utm_content=thumbnail</x:v>
      </x:c>
      <x:c r="AP265" s="117" t="str">
        <x:v>2 metadata-matched images; visual review pending</x:v>
      </x:c>
      <x:c r="AQ265" s="117"/>
    </x:row>
    <x:row r="266" ht="66" customHeight="1">
      <x:c r="A266" s="117" t="str">
        <x:v>MC0263</x:v>
      </x:c>
      <x:c r="B266" s="117" t="str">
        <x:v>Kota Belud Tamu</x:v>
      </x:c>
      <x:c r="C266" s="117" t="str">
        <x:v>Sabah</x:v>
      </x:c>
      <x:c r="D266" s="117" t="str">
        <x:v>Kota Belud</x:v>
      </x:c>
      <x:c r="E266" s="117" t="str">
        <x:v>Shopping</x:v>
      </x:c>
      <x:c r="F266" s="117" t="str">
        <x:v>Local</x:v>
      </x:c>
      <x:c r="G266" s="117" t="str">
        <x:v>Indoor</x:v>
      </x:c>
      <x:c r="H266" s="117" t="str">
        <x:v>weekly market; culture; local food</x:v>
      </x:c>
      <x:c r="I266" s="117" t="str">
        <x:v>A weekly open-air market in Kota Belud, Sabah, known for its Bajau traders and local produce.</x:v>
      </x:c>
      <x:c r="J266" s="117" t="str">
        <x:v>https://www.google.com/maps/search/?api=1&amp;query=Kota%20Belud%20Tamu%2C%20Sabah%2C%20Malaysia</x:v>
      </x:c>
      <x:c r="K266" s="117" t="str">
        <x:v>https://ebrochures.malaysia.travel/en/malaysia-travel-guide/sabah/</x:v>
      </x:c>
      <x:c r="L266" s="117" t="str">
        <x:v>Tourism Malaysia state guide plus map discovery link</x:v>
      </x:c>
      <x:c r="M266" s="117" t="str">
        <x:v>Sabah expansion batch</x:v>
      </x:c>
      <x:c r="N266" s="117"/>
      <x:c r="O266" s="117" t="str">
        <x:v>2026-08-15 00:00:00</x:v>
      </x:c>
      <x:c r="P266" s="117" t="str">
        <x:v>Complete</x:v>
      </x:c>
      <x:c r="Q266" s="117" t="str">
        <x:v>Identity and Malaysian location verified in second-pass review on 2026-09-08.</x:v>
      </x:c>
      <x:c r="R266" s="117" t="str">
        <x:f t="shared" si="4">IF(J266="","Missing Link",IF(AND(ISNUMBER(SEARCH("google.com/maps",J266)),ISERROR(SEARCH(";",J266))),"Discovery Link Only","Source Link Present"))</x:f>
        <x:v>Discovery Link Only</x:v>
      </x:c>
      <x:c r="S266" s="117" t="str">
        <x:v>Unknown</x:v>
      </x:c>
      <x:c r="T266" s="117" t="str">
        <x:v>Unknown</x:v>
      </x:c>
      <x:c r="U266" s="117" t="str">
        <x:v>Unknown</x:v>
      </x:c>
      <x:c r="V266" s="117" t="str">
        <x:v>Unknown</x:v>
      </x:c>
      <x:c r="W266" s="117" t="str">
        <x:v>Unknown</x:v>
      </x:c>
      <x:c r="X266" s="117" t="str">
        <x:v>Unknown</x:v>
      </x:c>
      <x:c r="Y266" s="117" t="str">
        <x:v>Unknown</x:v>
      </x:c>
      <x:c r="Z266" s="117"/>
      <x:c r="AA266" s="117" t="str">
        <x:v>Pending evidence</x:v>
      </x:c>
      <x:c r="AB266" s="117"/>
      <x:c r="AC266" s="117" t="str">
        <x:v>No qualifying accessibility conclusion established from the screened sources. This is unknown, not evidence that the attraction is inaccessible.</x:v>
      </x:c>
      <x:c r="AD266" s="117" t="str">
        <x:v>2026-09-08</x:v>
      </x:c>
      <x:c r="AE266" s="117" t="str">
        <x:v>MC0263</x:v>
      </x:c>
      <x:c r="AF266" s="117" t="str">
        <x:v>Distinct candidate</x:v>
      </x:c>
      <x:c r="AG266" s="117" t="str"/>
      <x:c r="AH266" s="117" t="str">
        <x:v>Identity and location corroborated</x:v>
      </x:c>
      <x:c r="AI266" s="117" t="str">
        <x:v>https://pdkotabelud.sabah.gov.my/profile-daerah/</x:v>
      </x:c>
      <x:c r="AJ266" s="117" t="str">
        <x:v>Official district source matches the attraction name or established alias and the stated Malaysian location. This verifies identity/location only; confirm current opening and accessibility separately.</x:v>
      </x:c>
      <x:c r="AK266" s="117" t="str">
        <x:v>Not independently confirmed</x:v>
      </x:c>
      <x:c r="AL266" s="117" t="str">
        <x:v>Screened sources; accessibility unresolved</x:v>
      </x:c>
      <x:c r="AM266" s="117" t="str">
        <x:v>2026-09-08</x:v>
      </x:c>
      <x:c r="AN266" s="117"/>
      <x:c r="AO266" s="117"/>
      <x:c r="AP266" s="117" t="str">
        <x:v>No usable pair located; image research pending</x:v>
      </x:c>
      <x:c r="AQ266" s="117"/>
    </x:row>
    <x:row r="267" ht="66" customHeight="1">
      <x:c r="A267" s="117" t="str">
        <x:v>MC0264</x:v>
      </x:c>
      <x:c r="B267" s="117" t="str">
        <x:v>Kundasang War Memorial</x:v>
      </x:c>
      <x:c r="C267" s="117" t="str">
        <x:v>Sabah</x:v>
      </x:c>
      <x:c r="D267" s="117" t="str">
        <x:v>Kundasang</x:v>
      </x:c>
      <x:c r="E267" s="117" t="str">
        <x:v>Heritage and History</x:v>
      </x:c>
      <x:c r="F267" s="117" t="str">
        <x:v>Popular</x:v>
      </x:c>
      <x:c r="G267" s="117" t="str">
        <x:v>Both</x:v>
      </x:c>
      <x:c r="H267" s="117" t="str">
        <x:v>war memorial; gardens; history</x:v>
      </x:c>
      <x:c r="I267" s="117" t="str">
        <x:v>A memorial garden in Kundasang, Sabah, honouring Allied soldiers and Sandakan-Ranau Death March victims of the Second World War.</x:v>
      </x:c>
      <x:c r="J267" s="117" t="str">
        <x:v>https://www.google.com/maps/search/?api=1&amp;query=Kundasang%20War%20Memorial%2C%20Sabah%2C%20Malaysia</x:v>
      </x:c>
      <x:c r="K267" s="117" t="str">
        <x:v>https://ebrochures.malaysia.travel/en/malaysia-travel-guide/sabah/</x:v>
      </x:c>
      <x:c r="L267" s="117" t="str">
        <x:v>Tourism Malaysia state guide plus map discovery link</x:v>
      </x:c>
      <x:c r="M267" s="117" t="str">
        <x:v>Sabah expansion batch</x:v>
      </x:c>
      <x:c r="N267" s="117"/>
      <x:c r="O267" s="117" t="str">
        <x:v>2026-08-15 00:00:00</x:v>
      </x:c>
      <x:c r="P267" s="117" t="str">
        <x:v>Complete</x:v>
      </x:c>
      <x:c r="Q267" s="117"/>
      <x:c r="R267" s="117" t="str">
        <x:f t="shared" si="4">IF(J267="","Missing Link",IF(AND(ISNUMBER(SEARCH("google.com/maps",J267)),ISERROR(SEARCH(";",J267))),"Discovery Link Only","Source Link Present"))</x:f>
        <x:v>Discovery Link Only</x:v>
      </x:c>
      <x:c r="S267" s="117" t="str">
        <x:v>Unknown</x:v>
      </x:c>
      <x:c r="T267" s="117" t="str">
        <x:v>Unknown</x:v>
      </x:c>
      <x:c r="U267" s="117" t="str">
        <x:v>Unknown</x:v>
      </x:c>
      <x:c r="V267" s="117" t="str">
        <x:v>Unknown</x:v>
      </x:c>
      <x:c r="W267" s="117" t="str">
        <x:v>Unknown</x:v>
      </x:c>
      <x:c r="X267" s="117" t="str">
        <x:v>Unknown</x:v>
      </x:c>
      <x:c r="Y267" s="117" t="str">
        <x:v>Unknown</x:v>
      </x:c>
      <x:c r="Z267" s="117"/>
      <x:c r="AA267" s="117" t="str">
        <x:v>Pending evidence</x:v>
      </x:c>
      <x:c r="AB267" s="117"/>
      <x:c r="AC267" s="117" t="str">
        <x:v>No qualifying accessibility conclusion established from the screened sources. This is unknown, not evidence that the attraction is inaccessible.</x:v>
      </x:c>
      <x:c r="AD267" s="117" t="str">
        <x:v>2026-09-08</x:v>
      </x:c>
      <x:c r="AE267" s="117" t="str">
        <x:v>MC0264</x:v>
      </x:c>
      <x:c r="AF267" s="117" t="str">
        <x:v>Distinct candidate</x:v>
      </x:c>
      <x:c r="AG267" s="117" t="str"/>
      <x:c r="AH267" s="117" t="str">
        <x:v>Name corroborated in source</x:v>
      </x:c>
      <x:c r="AI267" s="117" t="str">
        <x:v>https://ebrochures.malaysia.travel/en/malaysia-travel-guide/sabah/</x:v>
      </x:c>
      <x:c r="AJ267" s="117" t="str">
        <x:v>Place name or established alias matched in the cited source. This is not confirmation of current opening, all visitor facilities or the full description.</x:v>
      </x:c>
      <x:c r="AK267" s="117" t="str">
        <x:v>Not independently confirmed</x:v>
      </x:c>
      <x:c r="AL267" s="117" t="str">
        <x:v>Screened sources; accessibility unresolved</x:v>
      </x:c>
      <x:c r="AM267" s="117" t="str">
        <x:v>2026-09-08</x:v>
      </x:c>
      <x:c r="AN267" s="117" t="str">
        <x:v>https://thumb.wikimedia.org/wikipedia/commons/thumb/8/89/Kundasang_Sabah_WarMemorial-01.jpg/1280px-Kundasang_Sabah_WarMemorial-01.jpg?utm_source=commons.wikimedia.org&amp;utm_campaign=imageinfo&amp;utm_content=thumbnail</x:v>
      </x:c>
      <x:c r="AO267" s="117" t="str">
        <x:v>https://thumb.wikimedia.org/wikipedia/commons/thumb/9/98/Kundasang_War_Memorial_28_December_2023_22.jpg/1280px-Kundasang_War_Memorial_28_December_2023_22.jpg?utm_source=commons.wikimedia.org&amp;utm_campaign=imageinfo&amp;utm_content=thumbnail</x:v>
      </x:c>
      <x:c r="AP267" s="117" t="str">
        <x:v>2 metadata-matched images; visual review pending</x:v>
      </x:c>
      <x:c r="AQ267" s="117"/>
    </x:row>
    <x:row r="268" ht="66" customHeight="1">
      <x:c r="A268" s="117" t="str">
        <x:v>MC0265</x:v>
      </x:c>
      <x:c r="B268" s="117" t="str">
        <x:v>Desa Cattle Dairy Farm</x:v>
      </x:c>
      <x:c r="C268" s="117" t="str">
        <x:v>Sabah</x:v>
      </x:c>
      <x:c r="D268" s="117" t="str">
        <x:v>Kundasang</x:v>
      </x:c>
      <x:c r="E268" s="117" t="str">
        <x:v>Food</x:v>
      </x:c>
      <x:c r="F268" s="117" t="str">
        <x:v>Popular</x:v>
      </x:c>
      <x:c r="G268" s="117" t="str">
        <x:v>Both</x:v>
      </x:c>
      <x:c r="H268" s="117" t="str">
        <x:v>dairy farm; scenery; family</x:v>
      </x:c>
      <x:c r="I268" s="117" t="str">
        <x:v>A highland dairy farm in Kundasang, Sabah, popular for scenic views and fresh dairy products.</x:v>
      </x:c>
      <x:c r="J268" s="117" t="str">
        <x:v>https://www.google.com/maps/search/?api=1&amp;query=Desa%20Cattle%20Dairy%20Farm%2C%20Sabah%2C%20Malaysia</x:v>
      </x:c>
      <x:c r="K268" s="117" t="str">
        <x:v>https://ebrochures.malaysia.travel/en/malaysia-travel-guide/sabah/</x:v>
      </x:c>
      <x:c r="L268" s="117" t="str">
        <x:v>Tourism Malaysia state guide plus map discovery link</x:v>
      </x:c>
      <x:c r="M268" s="117" t="str">
        <x:v>Sabah expansion batch</x:v>
      </x:c>
      <x:c r="N268" s="117"/>
      <x:c r="O268" s="117" t="str">
        <x:v>2026-08-15 00:00:00</x:v>
      </x:c>
      <x:c r="P268" s="117" t="str">
        <x:v>Complete</x:v>
      </x:c>
      <x:c r="Q268" s="117"/>
      <x:c r="R268" s="117" t="str">
        <x:f t="shared" si="4">IF(J268="","Missing Link",IF(AND(ISNUMBER(SEARCH("google.com/maps",J268)),ISERROR(SEARCH(";",J268))),"Discovery Link Only","Source Link Present"))</x:f>
        <x:v>Discovery Link Only</x:v>
      </x:c>
      <x:c r="S268" s="117" t="str">
        <x:v>Unknown</x:v>
      </x:c>
      <x:c r="T268" s="117" t="str">
        <x:v>Unknown</x:v>
      </x:c>
      <x:c r="U268" s="117" t="str">
        <x:v>Unknown</x:v>
      </x:c>
      <x:c r="V268" s="117" t="str">
        <x:v>Unknown</x:v>
      </x:c>
      <x:c r="W268" s="117" t="str">
        <x:v>Unknown</x:v>
      </x:c>
      <x:c r="X268" s="117" t="str">
        <x:v>Unknown</x:v>
      </x:c>
      <x:c r="Y268" s="117" t="str">
        <x:v>Unknown</x:v>
      </x:c>
      <x:c r="Z268" s="117"/>
      <x:c r="AA268" s="117" t="str">
        <x:v>Pending evidence</x:v>
      </x:c>
      <x:c r="AB268" s="117"/>
      <x:c r="AC268" s="117" t="str">
        <x:v>No qualifying accessibility conclusion established from the screened sources. This is unknown, not evidence that the attraction is inaccessible.</x:v>
      </x:c>
      <x:c r="AD268" s="117" t="str">
        <x:v>2026-09-08</x:v>
      </x:c>
      <x:c r="AE268" s="117" t="str">
        <x:v>MC0265</x:v>
      </x:c>
      <x:c r="AF268" s="117" t="str">
        <x:v>Distinct candidate</x:v>
      </x:c>
      <x:c r="AG268" s="117" t="str"/>
      <x:c r="AH268" s="117" t="str">
        <x:v>Name corroborated in source</x:v>
      </x:c>
      <x:c r="AI268" s="117" t="str">
        <x:v>https://ebrochures.malaysia.travel/en/malaysia-travel-guide/sabah/</x:v>
      </x:c>
      <x:c r="AJ268" s="117" t="str">
        <x:v>Place name or established alias matched in the cited source. This is not confirmation of current opening, all visitor facilities or the full description.</x:v>
      </x:c>
      <x:c r="AK268" s="117" t="str">
        <x:v>Not independently confirmed</x:v>
      </x:c>
      <x:c r="AL268" s="117" t="str">
        <x:v>Screened sources; accessibility unresolved</x:v>
      </x:c>
      <x:c r="AM268" s="117" t="str">
        <x:v>2026-09-08</x:v>
      </x:c>
      <x:c r="AN268" s="117"/>
      <x:c r="AO268" s="117"/>
      <x:c r="AP268" s="117" t="str">
        <x:v>No usable pair located; image research pending</x:v>
      </x:c>
      <x:c r="AQ268" s="117"/>
    </x:row>
    <x:row r="269" ht="66" customHeight="1">
      <x:c r="A269" s="117" t="str">
        <x:v>MC0266</x:v>
      </x:c>
      <x:c r="B269" s="117" t="str">
        <x:v>Sabah Tea Garden</x:v>
      </x:c>
      <x:c r="C269" s="117" t="str">
        <x:v>Sabah</x:v>
      </x:c>
      <x:c r="D269" s="117" t="str">
        <x:v>Ranau</x:v>
      </x:c>
      <x:c r="E269" s="117" t="str">
        <x:v>Food</x:v>
      </x:c>
      <x:c r="F269" s="117" t="str">
        <x:v>Local</x:v>
      </x:c>
      <x:c r="G269" s="117" t="str">
        <x:v>Both</x:v>
      </x:c>
      <x:c r="H269" s="117" t="str">
        <x:v>tea plantation; highland; cafe</x:v>
      </x:c>
      <x:c r="I269" s="117" t="str">
        <x:v>A working tea plantation in Ranau district, Sabah, near Mount Kinabalu, open for tours and stays.</x:v>
      </x:c>
      <x:c r="J269" s="117" t="str">
        <x:v>https://www.google.com/maps/search/?api=1&amp;query=Sabah%20Tea%20Garden%2C%20Sabah%2C%20Malaysia</x:v>
      </x:c>
      <x:c r="K269" s="117" t="str">
        <x:v>https://ebrochures.malaysia.travel/en/malaysia-travel-guide/sabah/</x:v>
      </x:c>
      <x:c r="L269" s="117" t="str">
        <x:v>Tourism Malaysia state guide plus map discovery link</x:v>
      </x:c>
      <x:c r="M269" s="117" t="str">
        <x:v>Sabah expansion batch</x:v>
      </x:c>
      <x:c r="N269" s="117"/>
      <x:c r="O269" s="117" t="str">
        <x:v>2026-08-15 00:00:00</x:v>
      </x:c>
      <x:c r="P269" s="117" t="str">
        <x:v>Complete</x:v>
      </x:c>
      <x:c r="Q269" s="117"/>
      <x:c r="R269" s="117" t="str">
        <x:f t="shared" si="4">IF(J269="","Missing Link",IF(AND(ISNUMBER(SEARCH("google.com/maps",J269)),ISERROR(SEARCH(";",J269))),"Discovery Link Only","Source Link Present"))</x:f>
        <x:v>Discovery Link Only</x:v>
      </x:c>
      <x:c r="S269" s="117" t="str">
        <x:v>Unknown</x:v>
      </x:c>
      <x:c r="T269" s="117" t="str">
        <x:v>Unknown</x:v>
      </x:c>
      <x:c r="U269" s="117" t="str">
        <x:v>Unknown</x:v>
      </x:c>
      <x:c r="V269" s="117" t="str">
        <x:v>Unknown</x:v>
      </x:c>
      <x:c r="W269" s="117" t="str">
        <x:v>Unknown</x:v>
      </x:c>
      <x:c r="X269" s="117" t="str">
        <x:v>Unknown</x:v>
      </x:c>
      <x:c r="Y269" s="117" t="str">
        <x:v>Unknown</x:v>
      </x:c>
      <x:c r="Z269" s="117"/>
      <x:c r="AA269" s="117" t="str">
        <x:v>Pending evidence</x:v>
      </x:c>
      <x:c r="AB269" s="117"/>
      <x:c r="AC269" s="117" t="str">
        <x:v>No qualifying accessibility conclusion established from the screened sources. This is unknown, not evidence that the attraction is inaccessible.</x:v>
      </x:c>
      <x:c r="AD269" s="117" t="str">
        <x:v>2026-09-08</x:v>
      </x:c>
      <x:c r="AE269" s="117" t="str">
        <x:v>MC0266</x:v>
      </x:c>
      <x:c r="AF269" s="117" t="str">
        <x:v>Distinct candidate</x:v>
      </x:c>
      <x:c r="AG269" s="117" t="str"/>
      <x:c r="AH269" s="117" t="str">
        <x:v>Name corroborated in source</x:v>
      </x:c>
      <x:c r="AI269" s="117" t="str">
        <x:v>https://ebrochures.malaysia.travel/en/malaysia-travel-guide/sabah/</x:v>
      </x:c>
      <x:c r="AJ269" s="117" t="str">
        <x:v>Place name or established alias matched in the cited source. This is not confirmation of current opening, all visitor facilities or the full description.</x:v>
      </x:c>
      <x:c r="AK269" s="117" t="str">
        <x:v>Not independently confirmed</x:v>
      </x:c>
      <x:c r="AL269" s="117" t="str">
        <x:v>Screened sources; accessibility unresolved</x:v>
      </x:c>
      <x:c r="AM269" s="117" t="str">
        <x:v>2026-09-08</x:v>
      </x:c>
      <x:c r="AN269" s="117"/>
      <x:c r="AO269" s="117"/>
      <x:c r="AP269" s="117" t="str">
        <x:v>No usable pair located; image research pending</x:v>
      </x:c>
      <x:c r="AQ269" s="117"/>
    </x:row>
    <x:row r="270" ht="66" customHeight="1">
      <x:c r="A270" s="117" t="str">
        <x:v>MC0267</x:v>
      </x:c>
      <x:c r="B270" s="117" t="str">
        <x:v>Gombizau Honey Bee Farm</x:v>
      </x:c>
      <x:c r="C270" s="117" t="str">
        <x:v>Sabah</x:v>
      </x:c>
      <x:c r="D270" s="117" t="str">
        <x:v>Kudat</x:v>
      </x:c>
      <x:c r="E270" s="117" t="str">
        <x:v>Food</x:v>
      </x:c>
      <x:c r="F270" s="117" t="str">
        <x:v>Rural</x:v>
      </x:c>
      <x:c r="G270" s="117" t="str">
        <x:v>Both</x:v>
      </x:c>
      <x:c r="H270" s="117" t="str">
        <x:v>honey; village; agrotourism</x:v>
      </x:c>
      <x:c r="I270" s="117" t="str">
        <x:v>A stingless bee farm in Kudat district, Sabah, showcasing local honey production.</x:v>
      </x:c>
      <x:c r="J270" s="117" t="str">
        <x:v>https://www.google.com/maps/search/?api=1&amp;query=Gombizau%20Honey%20Bee%20Farm%2C%20Sabah%2C%20Malaysia</x:v>
      </x:c>
      <x:c r="K270" s="117" t="str">
        <x:v>https://ebrochures.malaysia.travel/en/malaysia-travel-guide/sabah/</x:v>
      </x:c>
      <x:c r="L270" s="117" t="str">
        <x:v>Tourism Malaysia state guide plus map discovery link</x:v>
      </x:c>
      <x:c r="M270" s="117" t="str">
        <x:v>Sabah expansion batch</x:v>
      </x:c>
      <x:c r="N270" s="117"/>
      <x:c r="O270" s="117" t="str">
        <x:v>2026-08-15 00:00:00</x:v>
      </x:c>
      <x:c r="P270" s="117" t="str">
        <x:v>Complete</x:v>
      </x:c>
      <x:c r="Q270" s="117"/>
      <x:c r="R270" s="117" t="str">
        <x:f t="shared" si="4">IF(J270="","Missing Link",IF(AND(ISNUMBER(SEARCH("google.com/maps",J270)),ISERROR(SEARCH(";",J270))),"Discovery Link Only","Source Link Present"))</x:f>
        <x:v>Discovery Link Only</x:v>
      </x:c>
      <x:c r="S270" s="117" t="str">
        <x:v>Unknown</x:v>
      </x:c>
      <x:c r="T270" s="117" t="str">
        <x:v>Unknown</x:v>
      </x:c>
      <x:c r="U270" s="117" t="str">
        <x:v>Unknown</x:v>
      </x:c>
      <x:c r="V270" s="117" t="str">
        <x:v>Unknown</x:v>
      </x:c>
      <x:c r="W270" s="117" t="str">
        <x:v>Unknown</x:v>
      </x:c>
      <x:c r="X270" s="117" t="str">
        <x:v>Unknown</x:v>
      </x:c>
      <x:c r="Y270" s="117" t="str">
        <x:v>Unknown</x:v>
      </x:c>
      <x:c r="Z270" s="117"/>
      <x:c r="AA270" s="117" t="str">
        <x:v>Pending evidence</x:v>
      </x:c>
      <x:c r="AB270" s="117"/>
      <x:c r="AC270" s="117" t="str">
        <x:v>No qualifying accessibility conclusion established from the screened sources. This is unknown, not evidence that the attraction is inaccessible.</x:v>
      </x:c>
      <x:c r="AD270" s="117" t="str">
        <x:v>2026-09-08</x:v>
      </x:c>
      <x:c r="AE270" s="117" t="str">
        <x:v>MC0267</x:v>
      </x:c>
      <x:c r="AF270" s="117" t="str">
        <x:v>Distinct candidate</x:v>
      </x:c>
      <x:c r="AG270" s="117" t="str"/>
      <x:c r="AH270" s="117" t="str">
        <x:v>Name corroborated in source</x:v>
      </x:c>
      <x:c r="AI270" s="117" t="str">
        <x:v>https://ebrochures.malaysia.travel/en/malaysia-travel-guide/sabah/</x:v>
      </x:c>
      <x:c r="AJ270" s="117" t="str">
        <x:v>Place name or established alias matched in the cited source. This is not confirmation of current opening, all visitor facilities or the full description.</x:v>
      </x:c>
      <x:c r="AK270" s="117" t="str">
        <x:v>Not independently confirmed</x:v>
      </x:c>
      <x:c r="AL270" s="117" t="str">
        <x:v>Screened sources; accessibility unresolved</x:v>
      </x:c>
      <x:c r="AM270" s="117" t="str">
        <x:v>2026-09-08</x:v>
      </x:c>
      <x:c r="AN270" s="117"/>
      <x:c r="AO270" s="117"/>
      <x:c r="AP270" s="117" t="str">
        <x:v>No usable pair located; image research pending</x:v>
      </x:c>
      <x:c r="AQ270" s="117"/>
    </x:row>
    <x:row r="271" ht="66" customHeight="1">
      <x:c r="A271" s="117" t="str">
        <x:v>MC0268</x:v>
      </x:c>
      <x:c r="B271" s="117" t="str">
        <x:v>Sumangkap Gong Making Village</x:v>
      </x:c>
      <x:c r="C271" s="117" t="str">
        <x:v>Sabah</x:v>
      </x:c>
      <x:c r="D271" s="117" t="str">
        <x:v>Kudat</x:v>
      </x:c>
      <x:c r="E271" s="117" t="str">
        <x:v>Culture</x:v>
      </x:c>
      <x:c r="F271" s="117" t="str">
        <x:v>Rural</x:v>
      </x:c>
      <x:c r="G271" s="117" t="str">
        <x:v>Both</x:v>
      </x:c>
      <x:c r="H271" s="117" t="str">
        <x:v>gong making; crafts; village</x:v>
      </x:c>
      <x:c r="I271" s="117" t="str">
        <x:v>A village in Kudat district, Sabah, known for traditional handmade brass gong craftsmanship.</x:v>
      </x:c>
      <x:c r="J271" s="117" t="str">
        <x:v>https://www.google.com/maps/search/?api=1&amp;query=Sumangkap%20Gong%20Making%20Village%2C%20Sabah%2C%20Malaysia</x:v>
      </x:c>
      <x:c r="K271" s="117" t="str">
        <x:v>https://ebrochures.malaysia.travel/en/malaysia-travel-guide/sabah/</x:v>
      </x:c>
      <x:c r="L271" s="117" t="str">
        <x:v>Tourism Malaysia state guide plus map discovery link</x:v>
      </x:c>
      <x:c r="M271" s="117" t="str">
        <x:v>Sabah expansion batch</x:v>
      </x:c>
      <x:c r="N271" s="117"/>
      <x:c r="O271" s="117" t="str">
        <x:v>2026-08-15 00:00:00</x:v>
      </x:c>
      <x:c r="P271" s="117" t="str">
        <x:v>Complete</x:v>
      </x:c>
      <x:c r="Q271" s="117"/>
      <x:c r="R271" s="117" t="str">
        <x:f t="shared" si="4">IF(J271="","Missing Link",IF(AND(ISNUMBER(SEARCH("google.com/maps",J271)),ISERROR(SEARCH(";",J271))),"Discovery Link Only","Source Link Present"))</x:f>
        <x:v>Discovery Link Only</x:v>
      </x:c>
      <x:c r="S271" s="117" t="str">
        <x:v>Unknown</x:v>
      </x:c>
      <x:c r="T271" s="117" t="str">
        <x:v>Unknown</x:v>
      </x:c>
      <x:c r="U271" s="117" t="str">
        <x:v>Unknown</x:v>
      </x:c>
      <x:c r="V271" s="117" t="str">
        <x:v>Unknown</x:v>
      </x:c>
      <x:c r="W271" s="117" t="str">
        <x:v>Unknown</x:v>
      </x:c>
      <x:c r="X271" s="117" t="str">
        <x:v>Unknown</x:v>
      </x:c>
      <x:c r="Y271" s="117" t="str">
        <x:v>Unknown</x:v>
      </x:c>
      <x:c r="Z271" s="117"/>
      <x:c r="AA271" s="117" t="str">
        <x:v>Pending evidence</x:v>
      </x:c>
      <x:c r="AB271" s="117"/>
      <x:c r="AC271" s="117" t="str">
        <x:v>No qualifying accessibility conclusion established from the screened sources. This is unknown, not evidence that the attraction is inaccessible.</x:v>
      </x:c>
      <x:c r="AD271" s="117" t="str">
        <x:v>2026-09-08</x:v>
      </x:c>
      <x:c r="AE271" s="117" t="str">
        <x:v>MC0268</x:v>
      </x:c>
      <x:c r="AF271" s="117" t="str">
        <x:v>Distinct candidate</x:v>
      </x:c>
      <x:c r="AG271" s="117" t="str"/>
      <x:c r="AH271" s="117" t="str">
        <x:v>Name corroborated in source</x:v>
      </x:c>
      <x:c r="AI271" s="117" t="str">
        <x:v>https://ebrochures.malaysia.travel/en/malaysia-travel-guide/sabah/</x:v>
      </x:c>
      <x:c r="AJ271" s="117" t="str">
        <x:v>Place name or established alias matched in the cited source. This is not confirmation of current opening, all visitor facilities or the full description.</x:v>
      </x:c>
      <x:c r="AK271" s="117" t="str">
        <x:v>Not independently confirmed</x:v>
      </x:c>
      <x:c r="AL271" s="117" t="str">
        <x:v>Screened sources; accessibility unresolved</x:v>
      </x:c>
      <x:c r="AM271" s="117" t="str">
        <x:v>2026-09-08</x:v>
      </x:c>
      <x:c r="AN271" s="117"/>
      <x:c r="AO271" s="117"/>
      <x:c r="AP271" s="117" t="str">
        <x:v>No usable pair located; image research pending</x:v>
      </x:c>
      <x:c r="AQ271" s="117"/>
    </x:row>
    <x:row r="272" ht="66" customHeight="1">
      <x:c r="A272" s="117" t="str">
        <x:v>MC0269</x:v>
      </x:c>
      <x:c r="B272" s="117" t="str">
        <x:v>Bornean Sun Bear Conservation Centre</x:v>
      </x:c>
      <x:c r="C272" s="117" t="str">
        <x:v>Sabah</x:v>
      </x:c>
      <x:c r="D272" s="117" t="str">
        <x:v>Sandakan</x:v>
      </x:c>
      <x:c r="E272" s="117" t="str">
        <x:v>Wildlife</x:v>
      </x:c>
      <x:c r="F272" s="117" t="str">
        <x:v>Popular</x:v>
      </x:c>
      <x:c r="G272" s="117" t="str">
        <x:v>Outdoor</x:v>
      </x:c>
      <x:c r="H272" s="117" t="str">
        <x:v>sun bear; conservation; education</x:v>
      </x:c>
      <x:c r="I272" s="117" t="str">
        <x:v>A conservation centre near Sandakan dedicated to the rescue and rehabilitation of Bornean sun bears.</x:v>
      </x:c>
      <x:c r="J272" s="117" t="str">
        <x:v>https://www.google.com/maps/search/?api=1&amp;query=Bornean%20Sun%20Bear%20Conservation%20Centre%2C%20Sabah%2C%20Malaysia</x:v>
      </x:c>
      <x:c r="K272" s="117" t="str">
        <x:v>https://ebrochures.malaysia.travel/en/malaysia-travel-guide/sabah/</x:v>
      </x:c>
      <x:c r="L272" s="117" t="str">
        <x:v>Tourism Malaysia state guide plus map discovery link</x:v>
      </x:c>
      <x:c r="M272" s="117" t="str">
        <x:v>Sabah expansion batch</x:v>
      </x:c>
      <x:c r="N272" s="117"/>
      <x:c r="O272" s="117" t="str">
        <x:v>2026-08-15 00:00:00</x:v>
      </x:c>
      <x:c r="P272" s="117" t="str">
        <x:v>Complete</x:v>
      </x:c>
      <x:c r="Q272" s="117"/>
      <x:c r="R272" s="117" t="str">
        <x:f t="shared" si="4">IF(J272="","Missing Link",IF(AND(ISNUMBER(SEARCH("google.com/maps",J272)),ISERROR(SEARCH(";",J272))),"Discovery Link Only","Source Link Present"))</x:f>
        <x:v>Discovery Link Only</x:v>
      </x:c>
      <x:c r="S272" s="117" t="str">
        <x:v>Unknown</x:v>
      </x:c>
      <x:c r="T272" s="117" t="str">
        <x:v>Unknown</x:v>
      </x:c>
      <x:c r="U272" s="117" t="str">
        <x:v>Unknown</x:v>
      </x:c>
      <x:c r="V272" s="117" t="str">
        <x:v>Unknown</x:v>
      </x:c>
      <x:c r="W272" s="117" t="str">
        <x:v>Unknown</x:v>
      </x:c>
      <x:c r="X272" s="117" t="str">
        <x:v>Unknown</x:v>
      </x:c>
      <x:c r="Y272" s="117" t="str">
        <x:v>Unknown</x:v>
      </x:c>
      <x:c r="Z272" s="117"/>
      <x:c r="AA272" s="117" t="str">
        <x:v>Pending evidence</x:v>
      </x:c>
      <x:c r="AB272" s="117"/>
      <x:c r="AC272" s="117" t="str">
        <x:v>No qualifying accessibility conclusion established from the screened sources. This is unknown, not evidence that the attraction is inaccessible.</x:v>
      </x:c>
      <x:c r="AD272" s="117" t="str">
        <x:v>2026-09-08</x:v>
      </x:c>
      <x:c r="AE272" s="117" t="str">
        <x:v>MC0269</x:v>
      </x:c>
      <x:c r="AF272" s="117" t="str">
        <x:v>Distinct candidate</x:v>
      </x:c>
      <x:c r="AG272" s="117" t="str"/>
      <x:c r="AH272" s="117" t="str">
        <x:v>Name corroborated in source</x:v>
      </x:c>
      <x:c r="AI272" s="117" t="str">
        <x:v>https://ebrochures.malaysia.travel/en/malaysia-travel-guide/sabah/</x:v>
      </x:c>
      <x:c r="AJ272" s="117" t="str">
        <x:v>Place name or established alias matched in the cited source. This is not confirmation of current opening, all visitor facilities or the full description.</x:v>
      </x:c>
      <x:c r="AK272" s="117" t="str">
        <x:v>Not independently confirmed</x:v>
      </x:c>
      <x:c r="AL272" s="117" t="str">
        <x:v>Screened sources; accessibility unresolved</x:v>
      </x:c>
      <x:c r="AM272" s="117" t="str">
        <x:v>2026-09-08</x:v>
      </x:c>
      <x:c r="AN272" s="117" t="str">
        <x:v>https://thumb.wikimedia.org/wikipedia/commons/thumb/6/60/Sepilok_Sabah_BSBCC-photos-by-Wong-Siew-Te-02.jpg/1280px-Sepilok_Sabah_BSBCC-photos-by-Wong-Siew-Te-02.jpg?utm_source=commons.wikimedia.org&amp;utm_campaign=imageinfo&amp;utm_content=thumbnail</x:v>
      </x:c>
      <x:c r="AO272" s="117" t="str">
        <x:v>https://thumb.wikimedia.org/wikipedia/commons/thumb/4/40/Scarlet_basker_%28Urothemis_signata_insignata%29_male.jpg/1280px-Scarlet_basker_%28Urothemis_signata_insignata%29_male.jpg?utm_source=commons.wikimedia.org&amp;utm_campaign=imageinfo&amp;utm_content=thumbnail</x:v>
      </x:c>
      <x:c r="AP272" s="117" t="str">
        <x:v>2 metadata-matched images; visual review pending</x:v>
      </x:c>
      <x:c r="AQ272" s="117"/>
    </x:row>
    <x:row r="273" ht="66" customHeight="1">
      <x:c r="A273" s="117" t="str">
        <x:v>MC0270</x:v>
      </x:c>
      <x:c r="B273" s="117" t="str">
        <x:v>Rainforest Discovery Centre</x:v>
      </x:c>
      <x:c r="C273" s="117" t="str">
        <x:v>Sabah</x:v>
      </x:c>
      <x:c r="D273" s="117" t="str">
        <x:v>Sandakan</x:v>
      </x:c>
      <x:c r="E273" s="117" t="str">
        <x:v>Nature</x:v>
      </x:c>
      <x:c r="F273" s="117" t="str">
        <x:v>Popular</x:v>
      </x:c>
      <x:c r="G273" s="117" t="str">
        <x:v>Outdoor</x:v>
      </x:c>
      <x:c r="H273" s="117" t="str">
        <x:v>canopy walk; birdwatching; rainforest</x:v>
      </x:c>
      <x:c r="I273" s="117" t="str">
        <x:v>A nature education centre near Sandakan with a canopy walkway through lowland rainforest.</x:v>
      </x:c>
      <x:c r="J273" s="117" t="str">
        <x:v>https://www.google.com/maps/search/?api=1&amp;query=Rainforest%20Discovery%20Centre%2C%20Sabah%2C%20Malaysia</x:v>
      </x:c>
      <x:c r="K273" s="117" t="str">
        <x:v>https://ebrochures.malaysia.travel/en/malaysia-travel-guide/sabah/</x:v>
      </x:c>
      <x:c r="L273" s="117" t="str">
        <x:v>Tourism Malaysia state guide plus map discovery link</x:v>
      </x:c>
      <x:c r="M273" s="117" t="str">
        <x:v>Sabah expansion batch</x:v>
      </x:c>
      <x:c r="N273" s="117"/>
      <x:c r="O273" s="117" t="str">
        <x:v>2026-08-15 00:00:00</x:v>
      </x:c>
      <x:c r="P273" s="117" t="str">
        <x:v>Complete</x:v>
      </x:c>
      <x:c r="Q273" s="117"/>
      <x:c r="R273" s="117" t="str">
        <x:f t="shared" si="4">IF(J273="","Missing Link",IF(AND(ISNUMBER(SEARCH("google.com/maps",J273)),ISERROR(SEARCH(";",J273))),"Discovery Link Only","Source Link Present"))</x:f>
        <x:v>Discovery Link Only</x:v>
      </x:c>
      <x:c r="S273" s="117" t="str">
        <x:v>Unknown</x:v>
      </x:c>
      <x:c r="T273" s="117" t="str">
        <x:v>Unknown</x:v>
      </x:c>
      <x:c r="U273" s="117" t="str">
        <x:v>Unknown</x:v>
      </x:c>
      <x:c r="V273" s="117" t="str">
        <x:v>Unknown</x:v>
      </x:c>
      <x:c r="W273" s="117" t="str">
        <x:v>Unknown</x:v>
      </x:c>
      <x:c r="X273" s="117" t="str">
        <x:v>Unknown</x:v>
      </x:c>
      <x:c r="Y273" s="117" t="str">
        <x:v>Unknown</x:v>
      </x:c>
      <x:c r="Z273" s="117"/>
      <x:c r="AA273" s="117" t="str">
        <x:v>Pending evidence</x:v>
      </x:c>
      <x:c r="AB273" s="117"/>
      <x:c r="AC273" s="117" t="str">
        <x:v>No qualifying accessibility conclusion established from the screened sources. This is unknown, not evidence that the attraction is inaccessible.</x:v>
      </x:c>
      <x:c r="AD273" s="117" t="str">
        <x:v>2026-09-08</x:v>
      </x:c>
      <x:c r="AE273" s="117" t="str">
        <x:v>MC0270</x:v>
      </x:c>
      <x:c r="AF273" s="117" t="str">
        <x:v>Distinct candidate</x:v>
      </x:c>
      <x:c r="AG273" s="117" t="str"/>
      <x:c r="AH273" s="117" t="str">
        <x:v>Name corroborated in source</x:v>
      </x:c>
      <x:c r="AI273" s="117" t="str">
        <x:v>https://ebrochures.malaysia.travel/en/malaysia-travel-guide/sabah/</x:v>
      </x:c>
      <x:c r="AJ273" s="117" t="str">
        <x:v>Place name or established alias matched in the cited source. This is not confirmation of current opening, all visitor facilities or the full description.</x:v>
      </x:c>
      <x:c r="AK273" s="117" t="str">
        <x:v>Not independently confirmed</x:v>
      </x:c>
      <x:c r="AL273" s="117" t="str">
        <x:v>Screened sources; accessibility unresolved</x:v>
      </x:c>
      <x:c r="AM273" s="117" t="str">
        <x:v>2026-09-08</x:v>
      </x:c>
      <x:c r="AN273" s="117" t="str">
        <x:v>https://thumb.wikimedia.org/wikipedia/commons/thumb/3/32/Rainforest_Discovery_Centre_Sepilok_20190706_154021.jpg/1280px-Rainforest_Discovery_Centre_Sepilok_20190706_154021.jpg?utm_source=commons.wikimedia.org&amp;utm_campaign=imageinfo&amp;utm_content=thumbnail</x:v>
      </x:c>
      <x:c r="AO273" s="117" t="str">
        <x:v>https://thumb.wikimedia.org/wikipedia/commons/thumb/7/7c/Prevost%27s_squirrel_%28Callosciurus_prevostii%29_at_Rainforest_Discovery_Centre_Sepilok%2C_April_2026_01.jpg/1280px-Prevost%27s_squirrel_%28Callosciurus_prevostii%29_at_Rainforest_Discovery_Centre_Sepilok%2C_April_2026_01.jpg?utm_source=commons.wikimedia.org&amp;utm_campaign=imageinfo&amp;utm_content=thumbnail</x:v>
      </x:c>
      <x:c r="AP273" s="117" t="str">
        <x:v>2 metadata-matched images; visual review pending</x:v>
      </x:c>
      <x:c r="AQ273" s="117"/>
    </x:row>
    <x:row r="274" ht="66" customHeight="1">
      <x:c r="A274" s="117" t="str">
        <x:v>MC0271</x:v>
      </x:c>
      <x:c r="B274" s="117" t="str">
        <x:v>Sandakan Memorial Park</x:v>
      </x:c>
      <x:c r="C274" s="117" t="str">
        <x:v>Sabah</x:v>
      </x:c>
      <x:c r="D274" s="117" t="str">
        <x:v>Sandakan</x:v>
      </x:c>
      <x:c r="E274" s="117" t="str">
        <x:v>Heritage and History</x:v>
      </x:c>
      <x:c r="F274" s="117" t="str">
        <x:v>Popular</x:v>
      </x:c>
      <x:c r="G274" s="117" t="str">
        <x:v>Both</x:v>
      </x:c>
      <x:c r="H274" s="117" t="str">
        <x:v>war history; memorial; park</x:v>
      </x:c>
      <x:c r="I274" s="117" t="str">
        <x:v>A memorial park in Sandakan on the site of a former Second World War POW camp, honouring Death March victims.</x:v>
      </x:c>
      <x:c r="J274" s="117" t="str">
        <x:v>https://www.google.com/maps/search/?api=1&amp;query=Sandakan%20Memorial%20Park%2C%20Sabah%2C%20Malaysia</x:v>
      </x:c>
      <x:c r="K274" s="117" t="str">
        <x:v>https://ebrochures.malaysia.travel/en/malaysia-travel-guide/sabah/</x:v>
      </x:c>
      <x:c r="L274" s="117" t="str">
        <x:v>Tourism Malaysia state guide plus map discovery link</x:v>
      </x:c>
      <x:c r="M274" s="117" t="str">
        <x:v>Sabah expansion batch</x:v>
      </x:c>
      <x:c r="N274" s="117"/>
      <x:c r="O274" s="117" t="str">
        <x:v>2026-08-15 00:00:00</x:v>
      </x:c>
      <x:c r="P274" s="117" t="str">
        <x:v>Complete</x:v>
      </x:c>
      <x:c r="Q274" s="117"/>
      <x:c r="R274" s="117" t="str">
        <x:f t="shared" si="4">IF(J274="","Missing Link",IF(AND(ISNUMBER(SEARCH("google.com/maps",J274)),ISERROR(SEARCH(";",J274))),"Discovery Link Only","Source Link Present"))</x:f>
        <x:v>Discovery Link Only</x:v>
      </x:c>
      <x:c r="S274" s="117" t="str">
        <x:v>Unknown</x:v>
      </x:c>
      <x:c r="T274" s="117" t="str">
        <x:v>Unknown</x:v>
      </x:c>
      <x:c r="U274" s="117" t="str">
        <x:v>Unknown</x:v>
      </x:c>
      <x:c r="V274" s="117" t="str">
        <x:v>Unknown</x:v>
      </x:c>
      <x:c r="W274" s="117" t="str">
        <x:v>Unknown</x:v>
      </x:c>
      <x:c r="X274" s="117" t="str">
        <x:v>Unknown</x:v>
      </x:c>
      <x:c r="Y274" s="117" t="str">
        <x:v>Unknown</x:v>
      </x:c>
      <x:c r="Z274" s="117"/>
      <x:c r="AA274" s="117" t="str">
        <x:v>Pending evidence</x:v>
      </x:c>
      <x:c r="AB274" s="117"/>
      <x:c r="AC274" s="117" t="str">
        <x:v>No qualifying accessibility conclusion established from the screened sources. This is unknown, not evidence that the attraction is inaccessible.</x:v>
      </x:c>
      <x:c r="AD274" s="117" t="str">
        <x:v>2026-09-08</x:v>
      </x:c>
      <x:c r="AE274" s="117" t="str">
        <x:v>MC0271</x:v>
      </x:c>
      <x:c r="AF274" s="117" t="str">
        <x:v>Distinct candidate</x:v>
      </x:c>
      <x:c r="AG274" s="117" t="str"/>
      <x:c r="AH274" s="117" t="str">
        <x:v>Name corroborated in source</x:v>
      </x:c>
      <x:c r="AI274" s="117" t="str">
        <x:v>https://ebrochures.malaysia.travel/en/malaysia-travel-guide/sabah/</x:v>
      </x:c>
      <x:c r="AJ274" s="117" t="str">
        <x:v>Place name or established alias matched in the cited source. This is not confirmation of current opening, all visitor facilities or the full description.</x:v>
      </x:c>
      <x:c r="AK274" s="117" t="str">
        <x:v>Not independently confirmed</x:v>
      </x:c>
      <x:c r="AL274" s="117" t="str">
        <x:v>Screened sources; accessibility unresolved</x:v>
      </x:c>
      <x:c r="AM274" s="117" t="str">
        <x:v>2026-09-08</x:v>
      </x:c>
      <x:c r="AN274" s="117" t="str">
        <x:v>https://thumb.wikimedia.org/wikipedia/commons/thumb/7/71/Sandakan_Sabah_SandakanMemorialPark-01.jpg/1280px-Sandakan_Sabah_SandakanMemorialPark-01.jpg?utm_source=commons.wikimedia.org&amp;utm_campaign=imageinfo&amp;utm_content=thumbnail</x:v>
      </x:c>
      <x:c r="AO274" s="117" t="str">
        <x:v>https://thumb.wikimedia.org/wikipedia/commons/thumb/9/9e/KWK_Wikiwalk_at_Memorial_Park_Sandakan_25.jpg/1280px-KWK_Wikiwalk_at_Memorial_Park_Sandakan_25.jpg?utm_source=commons.wikimedia.org&amp;utm_campaign=imageinfo&amp;utm_content=thumbnail</x:v>
      </x:c>
      <x:c r="AP274" s="117" t="str">
        <x:v>2 metadata-matched images; visual review pending</x:v>
      </x:c>
      <x:c r="AQ274" s="117"/>
    </x:row>
    <x:row r="275" ht="66" customHeight="1">
      <x:c r="A275" s="117" t="str">
        <x:v>MC0272</x:v>
      </x:c>
      <x:c r="B275" s="117" t="str">
        <x:v>Kinabatangan River</x:v>
      </x:c>
      <x:c r="C275" s="117" t="str">
        <x:v>Sabah</x:v>
      </x:c>
      <x:c r="D275" s="117" t="str">
        <x:v>Kinabatangan</x:v>
      </x:c>
      <x:c r="E275" s="117" t="str">
        <x:v>Wildlife</x:v>
      </x:c>
      <x:c r="F275" s="117" t="str">
        <x:v>Popular</x:v>
      </x:c>
      <x:c r="G275" s="117" t="str">
        <x:v>Outdoor</x:v>
      </x:c>
      <x:c r="H275" s="117" t="str">
        <x:v>river cruise; wildlife; rainforest</x:v>
      </x:c>
      <x:c r="I275" s="117" t="str">
        <x:v>Sabah's longest river, renowned for wildlife river cruises spotting proboscis monkeys, orangutans and pygmy elephants.</x:v>
      </x:c>
      <x:c r="J275" s="117" t="str">
        <x:v>https://www.google.com/maps/search/?api=1&amp;query=Kinabatangan%20River%2C%20Sabah%2C%20Malaysia</x:v>
      </x:c>
      <x:c r="K275" s="117" t="str">
        <x:v>https://ebrochures.malaysia.travel/en/malaysia-travel-guide/sabah/</x:v>
      </x:c>
      <x:c r="L275" s="117" t="str">
        <x:v>Tourism Malaysia state guide plus map discovery link</x:v>
      </x:c>
      <x:c r="M275" s="117" t="str">
        <x:v>Sabah expansion batch</x:v>
      </x:c>
      <x:c r="N275" s="117"/>
      <x:c r="O275" s="117" t="str">
        <x:v>2026-08-15 00:00:00</x:v>
      </x:c>
      <x:c r="P275" s="117" t="str">
        <x:v>Complete</x:v>
      </x:c>
      <x:c r="Q275" s="117"/>
      <x:c r="R275" s="117" t="str">
        <x:f t="shared" si="4">IF(J275="","Missing Link",IF(AND(ISNUMBER(SEARCH("google.com/maps",J275)),ISERROR(SEARCH(";",J275))),"Discovery Link Only","Source Link Present"))</x:f>
        <x:v>Discovery Link Only</x:v>
      </x:c>
      <x:c r="S275" s="117" t="str">
        <x:v>Unknown</x:v>
      </x:c>
      <x:c r="T275" s="117" t="str">
        <x:v>Unknown</x:v>
      </x:c>
      <x:c r="U275" s="117" t="str">
        <x:v>Unknown</x:v>
      </x:c>
      <x:c r="V275" s="117" t="str">
        <x:v>Unknown</x:v>
      </x:c>
      <x:c r="W275" s="117" t="str">
        <x:v>Unknown</x:v>
      </x:c>
      <x:c r="X275" s="117" t="str">
        <x:v>Unknown</x:v>
      </x:c>
      <x:c r="Y275" s="117" t="str">
        <x:v>Unknown</x:v>
      </x:c>
      <x:c r="Z275" s="117"/>
      <x:c r="AA275" s="117" t="str">
        <x:v>Pending evidence</x:v>
      </x:c>
      <x:c r="AB275" s="117"/>
      <x:c r="AC275" s="117" t="str">
        <x:v>No qualifying accessibility conclusion established from the screened sources. This is unknown, not evidence that the attraction is inaccessible.</x:v>
      </x:c>
      <x:c r="AD275" s="117" t="str">
        <x:v>2026-09-08</x:v>
      </x:c>
      <x:c r="AE275" s="117" t="str">
        <x:v>MC0272</x:v>
      </x:c>
      <x:c r="AF275" s="117" t="str">
        <x:v>Distinct candidate</x:v>
      </x:c>
      <x:c r="AG275" s="117" t="str"/>
      <x:c r="AH275" s="117" t="str">
        <x:v>Name corroborated in source</x:v>
      </x:c>
      <x:c r="AI275" s="117" t="str">
        <x:v>https://ebrochures.malaysia.travel/en/malaysia-travel-guide/sabah/</x:v>
      </x:c>
      <x:c r="AJ275" s="117" t="str">
        <x:v>Place name or established alias matched in the cited source. This is not confirmation of current opening, all visitor facilities or the full description.</x:v>
      </x:c>
      <x:c r="AK275" s="117" t="str">
        <x:v>Not independently confirmed</x:v>
      </x:c>
      <x:c r="AL275" s="117" t="str">
        <x:v>Screened sources; accessibility unresolved</x:v>
      </x:c>
      <x:c r="AM275" s="117" t="str">
        <x:v>2026-09-08</x:v>
      </x:c>
      <x:c r="AN275" s="117" t="str">
        <x:v>https://thumb.wikimedia.org/wikipedia/commons/thumb/3/33/Mangrove_snake_%28Boiga_dendrophila%29_at_the_shore_of_the_Kinabatangan_River%2C_April_2025_01.jpg/1280px-Mangrove_snake_%28Boiga_dendrophila%29_at_the_shore_of_the_Kinabatangan_River%2C_April_2025_01.jpg?utm_source=commons.wikimedia.org&amp;utm_campaign=imageinfo&amp;utm_content=thumbnail</x:v>
      </x:c>
      <x:c r="AO275" s="117" t="str">
        <x:v>https://thumb.wikimedia.org/wikipedia/commons/thumb/0/0b/Mangrove_snake_%28Boiga_dendrophila%29_at_the_shore_of_the_Kinabatangan_River%2C_April_2025_02.jpg/1280px-Mangrove_snake_%28Boiga_dendrophila%29_at_the_shore_of_the_Kinabatangan_River%2C_April_2025_02.jpg?utm_source=commons.wikimedia.org&amp;utm_campaign=imageinfo&amp;utm_content=thumbnail</x:v>
      </x:c>
      <x:c r="AP275" s="117" t="str">
        <x:v>2 metadata-matched images; visual review pending</x:v>
      </x:c>
      <x:c r="AQ275" s="117"/>
    </x:row>
    <x:row r="276" ht="66" customHeight="1">
      <x:c r="A276" s="117" t="str">
        <x:v>MC0273</x:v>
      </x:c>
      <x:c r="B276" s="117" t="str">
        <x:v>Tabin Wildlife Reserve</x:v>
      </x:c>
      <x:c r="C276" s="117" t="str">
        <x:v>Sabah</x:v>
      </x:c>
      <x:c r="D276" s="117" t="str">
        <x:v>Lahad Datu</x:v>
      </x:c>
      <x:c r="E276" s="117" t="str">
        <x:v>Wildlife</x:v>
      </x:c>
      <x:c r="F276" s="117" t="str">
        <x:v>Popular</x:v>
      </x:c>
      <x:c r="G276" s="117" t="str">
        <x:v>Outdoor</x:v>
      </x:c>
      <x:c r="H276" s="117" t="str">
        <x:v>wildlife; rainforest; mud volcano</x:v>
      </x:c>
      <x:c r="I276" s="117" t="str">
        <x:v>A large wildlife reserve in Lahad Datu district, Sabah, known for its mud volcano and diverse rainforest fauna.</x:v>
      </x:c>
      <x:c r="J276" s="117" t="str">
        <x:v>https://www.google.com/maps/search/?api=1&amp;query=Tabin%20Wildlife%20Reserve%2C%20Sabah%2C%20Malaysia</x:v>
      </x:c>
      <x:c r="K276" s="117" t="str">
        <x:v>https://ebrochures.malaysia.travel/en/malaysia-travel-guide/sabah/</x:v>
      </x:c>
      <x:c r="L276" s="117" t="str">
        <x:v>Tourism Malaysia state guide plus map discovery link</x:v>
      </x:c>
      <x:c r="M276" s="117" t="str">
        <x:v>Sabah expansion batch</x:v>
      </x:c>
      <x:c r="N276" s="117"/>
      <x:c r="O276" s="117" t="str">
        <x:v>2026-08-15 00:00:00</x:v>
      </x:c>
      <x:c r="P276" s="117" t="str">
        <x:v>Complete</x:v>
      </x:c>
      <x:c r="Q276" s="117" t="str">
        <x:v>Identity and Malaysian location verified in second-pass review on 2026-09-08.</x:v>
      </x:c>
      <x:c r="R276" s="117" t="str">
        <x:f t="shared" si="4">IF(J276="","Missing Link",IF(AND(ISNUMBER(SEARCH("google.com/maps",J276)),ISERROR(SEARCH(";",J276))),"Discovery Link Only","Source Link Present"))</x:f>
        <x:v>Discovery Link Only</x:v>
      </x:c>
      <x:c r="S276" s="117" t="str">
        <x:v>Unknown</x:v>
      </x:c>
      <x:c r="T276" s="117" t="str">
        <x:v>Unknown</x:v>
      </x:c>
      <x:c r="U276" s="117" t="str">
        <x:v>Unknown</x:v>
      </x:c>
      <x:c r="V276" s="117" t="str">
        <x:v>Unknown</x:v>
      </x:c>
      <x:c r="W276" s="117" t="str">
        <x:v>Unknown</x:v>
      </x:c>
      <x:c r="X276" s="117" t="str">
        <x:v>Unknown</x:v>
      </x:c>
      <x:c r="Y276" s="117" t="str">
        <x:v>Unknown</x:v>
      </x:c>
      <x:c r="Z276" s="117"/>
      <x:c r="AA276" s="117" t="str">
        <x:v>Pending evidence</x:v>
      </x:c>
      <x:c r="AB276" s="117"/>
      <x:c r="AC276" s="117" t="str">
        <x:v>No qualifying accessibility conclusion established from the screened sources. This is unknown, not evidence that the attraction is inaccessible.</x:v>
      </x:c>
      <x:c r="AD276" s="117" t="str">
        <x:v>2026-09-08</x:v>
      </x:c>
      <x:c r="AE276" s="117" t="str">
        <x:v>MC0273</x:v>
      </x:c>
      <x:c r="AF276" s="117" t="str">
        <x:v>Distinct candidate</x:v>
      </x:c>
      <x:c r="AG276" s="117" t="str"/>
      <x:c r="AH276" s="117" t="str">
        <x:v>Identity and location corroborated</x:v>
      </x:c>
      <x:c r="AI276" s="117" t="str">
        <x:v>https://en.wikipedia.org/wiki/Tabin_Wildlife_Reserve</x:v>
      </x:c>
      <x:c r="AJ276" s="117" t="str">
        <x:v>Encyclopedic source matches the attraction name or established alias and the stated Malaysian location. This verifies identity/location only; confirm current opening and accessibility separately.</x:v>
      </x:c>
      <x:c r="AK276" s="117" t="str">
        <x:v>Not independently confirmed</x:v>
      </x:c>
      <x:c r="AL276" s="117" t="str">
        <x:v>Screened sources; accessibility unresolved</x:v>
      </x:c>
      <x:c r="AM276" s="117" t="str">
        <x:v>2026-09-08</x:v>
      </x:c>
      <x:c r="AN276" s="117" t="str">
        <x:v>https://thumb.wikimedia.org/wikipedia/commons/thumb/f/f5/Tabin_Wildlife_Reserve_%2814839986368%29.jpg/1280px-Tabin_Wildlife_Reserve_%2814839986368%29.jpg?utm_source=commons.wikimedia.org&amp;utm_campaign=imageinfo&amp;utm_content=thumbnail</x:v>
      </x:c>
      <x:c r="AO276" s="117" t="str">
        <x:v>https://thumb.wikimedia.org/wikipedia/commons/thumb/9/99/Leopard_Cat_%2814839635578%29.jpg/1280px-Leopard_Cat_%2814839635578%29.jpg?utm_source=commons.wikimedia.org&amp;utm_campaign=imageinfo&amp;utm_content=thumbnail</x:v>
      </x:c>
      <x:c r="AP276" s="117" t="str">
        <x:v>2 metadata-matched images; visual review pending</x:v>
      </x:c>
      <x:c r="AQ276" s="117"/>
    </x:row>
    <x:row r="277" ht="66" customHeight="1">
      <x:c r="A277" s="117" t="str">
        <x:v>MC0274</x:v>
      </x:c>
      <x:c r="B277" s="117" t="str">
        <x:v>Tun Sakaran Marine Park</x:v>
      </x:c>
      <x:c r="C277" s="117" t="str">
        <x:v>Sabah</x:v>
      </x:c>
      <x:c r="D277" s="117" t="str">
        <x:v>Semporna</x:v>
      </x:c>
      <x:c r="E277" s="117" t="str">
        <x:v>Beach and Island</x:v>
      </x:c>
      <x:c r="F277" s="117" t="str">
        <x:v>Popular</x:v>
      </x:c>
      <x:c r="G277" s="117" t="str">
        <x:v>Outdoor</x:v>
      </x:c>
      <x:c r="H277" s="117" t="str">
        <x:v>marine park; islands; diving</x:v>
      </x:c>
      <x:c r="I277" s="117" t="str">
        <x:v>A marine park off Semporna, Sabah, comprising several islands known for coral reefs and diving.</x:v>
      </x:c>
      <x:c r="J277" s="117" t="str">
        <x:v>https://www.google.com/maps/search/?api=1&amp;query=Tun%20Sakaran%20Marine%20Park%2C%20Sabah%2C%20Malaysia</x:v>
      </x:c>
      <x:c r="K277" s="117" t="str">
        <x:v>https://ebrochures.malaysia.travel/en/malaysia-travel-guide/sabah/</x:v>
      </x:c>
      <x:c r="L277" s="117" t="str">
        <x:v>Tourism Malaysia state guide plus map discovery link</x:v>
      </x:c>
      <x:c r="M277" s="117" t="str">
        <x:v>Sabah expansion batch</x:v>
      </x:c>
      <x:c r="N277" s="117"/>
      <x:c r="O277" s="117" t="str">
        <x:v>2026-08-15 00:00:00</x:v>
      </x:c>
      <x:c r="P277" s="117" t="str">
        <x:v>Complete</x:v>
      </x:c>
      <x:c r="Q277" s="117"/>
      <x:c r="R277" s="117" t="str">
        <x:f t="shared" si="4">IF(J277="","Missing Link",IF(AND(ISNUMBER(SEARCH("google.com/maps",J277)),ISERROR(SEARCH(";",J277))),"Discovery Link Only","Source Link Present"))</x:f>
        <x:v>Discovery Link Only</x:v>
      </x:c>
      <x:c r="S277" s="117" t="str">
        <x:v>Unknown</x:v>
      </x:c>
      <x:c r="T277" s="117" t="str">
        <x:v>Unknown</x:v>
      </x:c>
      <x:c r="U277" s="117" t="str">
        <x:v>Unknown</x:v>
      </x:c>
      <x:c r="V277" s="117" t="str">
        <x:v>Unknown</x:v>
      </x:c>
      <x:c r="W277" s="117" t="str">
        <x:v>Unknown</x:v>
      </x:c>
      <x:c r="X277" s="117" t="str">
        <x:v>Unknown</x:v>
      </x:c>
      <x:c r="Y277" s="117" t="str">
        <x:v>Unknown</x:v>
      </x:c>
      <x:c r="Z277" s="117"/>
      <x:c r="AA277" s="117" t="str">
        <x:v>Pending evidence</x:v>
      </x:c>
      <x:c r="AB277" s="117"/>
      <x:c r="AC277" s="117" t="str">
        <x:v>No qualifying accessibility conclusion established from the screened sources. This is unknown, not evidence that the attraction is inaccessible.</x:v>
      </x:c>
      <x:c r="AD277" s="117" t="str">
        <x:v>2026-09-08</x:v>
      </x:c>
      <x:c r="AE277" s="117" t="str">
        <x:v>MC0274</x:v>
      </x:c>
      <x:c r="AF277" s="117" t="str">
        <x:v>Distinct candidate</x:v>
      </x:c>
      <x:c r="AG277" s="117" t="str"/>
      <x:c r="AH277" s="117" t="str">
        <x:v>Name corroborated in source</x:v>
      </x:c>
      <x:c r="AI277" s="117" t="str">
        <x:v>https://ebrochures.malaysia.travel/en/malaysia-travel-guide/sabah/</x:v>
      </x:c>
      <x:c r="AJ277" s="117" t="str">
        <x:v>Place name or established alias matched in the cited source. This is not confirmation of current opening, all visitor facilities or the full description.</x:v>
      </x:c>
      <x:c r="AK277" s="117" t="str">
        <x:v>Not independently confirmed</x:v>
      </x:c>
      <x:c r="AL277" s="117" t="str">
        <x:v>Screened sources; accessibility unresolved</x:v>
      </x:c>
      <x:c r="AM277" s="117" t="str">
        <x:v>2026-09-08</x:v>
      </x:c>
      <x:c r="AN277" s="117"/>
      <x:c r="AO277" s="117"/>
      <x:c r="AP277" s="117" t="str">
        <x:v>No usable pair located; image research pending</x:v>
      </x:c>
      <x:c r="AQ277" s="117"/>
    </x:row>
    <x:row r="278" ht="66" customHeight="1">
      <x:c r="A278" s="117" t="str">
        <x:v>MC0275</x:v>
      </x:c>
      <x:c r="B278" s="117" t="str">
        <x:v>Tawau Hills Park</x:v>
      </x:c>
      <x:c r="C278" s="117" t="str">
        <x:v>Sabah</x:v>
      </x:c>
      <x:c r="D278" s="117" t="str">
        <x:v>Tawau</x:v>
      </x:c>
      <x:c r="E278" s="117" t="str">
        <x:v>Nature</x:v>
      </x:c>
      <x:c r="F278" s="117" t="str">
        <x:v>Local</x:v>
      </x:c>
      <x:c r="G278" s="117" t="str">
        <x:v>Outdoor</x:v>
      </x:c>
      <x:c r="H278" s="117" t="str">
        <x:v>rainforest; waterfall; hiking</x:v>
      </x:c>
      <x:c r="I278" s="117" t="str">
        <x:v>A rainforest park near Tawau town, Sabah, with hot springs and Malaysia's tallest tropical tree.</x:v>
      </x:c>
      <x:c r="J278" s="117" t="str">
        <x:v>https://www.google.com/maps/search/?api=1&amp;query=Tawau%20Hills%20Park%2C%20Sabah%2C%20Malaysia</x:v>
      </x:c>
      <x:c r="K278" s="117" t="str">
        <x:v>https://ebrochures.malaysia.travel/en/malaysia-travel-guide/sabah/</x:v>
      </x:c>
      <x:c r="L278" s="117" t="str">
        <x:v>Tourism Malaysia state guide plus map discovery link</x:v>
      </x:c>
      <x:c r="M278" s="117" t="str">
        <x:v>Sabah expansion batch</x:v>
      </x:c>
      <x:c r="N278" s="117"/>
      <x:c r="O278" s="117" t="str">
        <x:v>2026-08-15 00:00:00</x:v>
      </x:c>
      <x:c r="P278" s="117" t="str">
        <x:v>Complete</x:v>
      </x:c>
      <x:c r="Q278" s="117"/>
      <x:c r="R278" s="117" t="str">
        <x:f t="shared" si="4">IF(J278="","Missing Link",IF(AND(ISNUMBER(SEARCH("google.com/maps",J278)),ISERROR(SEARCH(";",J278))),"Discovery Link Only","Source Link Present"))</x:f>
        <x:v>Discovery Link Only</x:v>
      </x:c>
      <x:c r="S278" s="117" t="str">
        <x:v>Unknown</x:v>
      </x:c>
      <x:c r="T278" s="117" t="str">
        <x:v>Unknown</x:v>
      </x:c>
      <x:c r="U278" s="117" t="str">
        <x:v>Unknown</x:v>
      </x:c>
      <x:c r="V278" s="117" t="str">
        <x:v>Unknown</x:v>
      </x:c>
      <x:c r="W278" s="117" t="str">
        <x:v>Unknown</x:v>
      </x:c>
      <x:c r="X278" s="117" t="str">
        <x:v>Unknown</x:v>
      </x:c>
      <x:c r="Y278" s="117" t="str">
        <x:v>Unknown</x:v>
      </x:c>
      <x:c r="Z278" s="117"/>
      <x:c r="AA278" s="117" t="str">
        <x:v>Pending evidence</x:v>
      </x:c>
      <x:c r="AB278" s="117"/>
      <x:c r="AC278" s="117" t="str">
        <x:v>No qualifying accessibility conclusion established from the screened sources. This is unknown, not evidence that the attraction is inaccessible.</x:v>
      </x:c>
      <x:c r="AD278" s="117" t="str">
        <x:v>2026-09-08</x:v>
      </x:c>
      <x:c r="AE278" s="117" t="str">
        <x:v>MC0275</x:v>
      </x:c>
      <x:c r="AF278" s="117" t="str">
        <x:v>Distinct candidate</x:v>
      </x:c>
      <x:c r="AG278" s="117" t="str"/>
      <x:c r="AH278" s="117" t="str">
        <x:v>Name corroborated in source</x:v>
      </x:c>
      <x:c r="AI278" s="117" t="str">
        <x:v>https://ebrochures.malaysia.travel/en/malaysia-travel-guide/sabah/</x:v>
      </x:c>
      <x:c r="AJ278" s="117" t="str">
        <x:v>Place name or established alias matched in the cited source. This is not confirmation of current opening, all visitor facilities or the full description.</x:v>
      </x:c>
      <x:c r="AK278" s="117" t="str">
        <x:v>Not independently confirmed</x:v>
      </x:c>
      <x:c r="AL278" s="117" t="str">
        <x:v>Screened sources; accessibility unresolved</x:v>
      </x:c>
      <x:c r="AM278" s="117" t="str">
        <x:v>2026-09-08</x:v>
      </x:c>
      <x:c r="AN278" s="117" t="str">
        <x:v>https://thumb.wikimedia.org/wikipedia/commons/thumb/e/e5/Table_Waterfall_at_Tawau_Hills_Park_-_panoramio.jpg/1280px-Table_Waterfall_at_Tawau_Hills_Park_-_panoramio.jpg?utm_source=commons.wikimedia.org&amp;utm_campaign=imageinfo&amp;utm_content=thumbnail</x:v>
      </x:c>
      <x:c r="AO278" s="117" t="str">
        <x:v>https://thumb.wikimedia.org/wikipedia/commons/thumb/a/ae/2014-01-28_Podoserpula_D.A._Reid_426854.jpg/1280px-2014-01-28_Podoserpula_D.A._Reid_426854.jpg?utm_source=commons.wikimedia.org&amp;utm_campaign=imageinfo&amp;utm_content=thumbnail</x:v>
      </x:c>
      <x:c r="AP278" s="117" t="str">
        <x:v>2 metadata-matched images; visual review pending</x:v>
      </x:c>
      <x:c r="AQ278" s="117"/>
    </x:row>
    <x:row r="279" ht="66" customHeight="1">
      <x:c r="A279" s="117" t="str">
        <x:v>MC0276</x:v>
      </x:c>
      <x:c r="B279" s="117" t="str">
        <x:v>Sabah Agriculture Park</x:v>
      </x:c>
      <x:c r="C279" s="117" t="str">
        <x:v>Sabah</x:v>
      </x:c>
      <x:c r="D279" s="117" t="str">
        <x:v>Tenom</x:v>
      </x:c>
      <x:c r="E279" s="117" t="str">
        <x:v>Food</x:v>
      </x:c>
      <x:c r="F279" s="117" t="str">
        <x:v>Local</x:v>
      </x:c>
      <x:c r="G279" s="117" t="str">
        <x:v>Both</x:v>
      </x:c>
      <x:c r="H279" s="117" t="str">
        <x:v>agriculture; gardens; education</x:v>
      </x:c>
      <x:c r="I279" s="117" t="str">
        <x:v>An agricultural showcase park in Tenom, Sabah, featuring plantations and demonstration farms.</x:v>
      </x:c>
      <x:c r="J279" s="117" t="str">
        <x:v>https://www.google.com/maps/search/?api=1&amp;query=Sabah%20Agriculture%20Park%2C%20Sabah%2C%20Malaysia</x:v>
      </x:c>
      <x:c r="K279" s="117" t="str">
        <x:v>https://ebrochures.malaysia.travel/en/malaysia-travel-guide/sabah/</x:v>
      </x:c>
      <x:c r="L279" s="117" t="str">
        <x:v>Tourism Malaysia state guide plus map discovery link</x:v>
      </x:c>
      <x:c r="M279" s="117" t="str">
        <x:v>Sabah expansion batch</x:v>
      </x:c>
      <x:c r="N279" s="117"/>
      <x:c r="O279" s="117" t="str">
        <x:v>2026-08-15 00:00:00</x:v>
      </x:c>
      <x:c r="P279" s="117" t="str">
        <x:v>Complete</x:v>
      </x:c>
      <x:c r="Q279" s="117"/>
      <x:c r="R279" s="117" t="str">
        <x:f t="shared" si="4">IF(J279="","Missing Link",IF(AND(ISNUMBER(SEARCH("google.com/maps",J279)),ISERROR(SEARCH(";",J279))),"Discovery Link Only","Source Link Present"))</x:f>
        <x:v>Discovery Link Only</x:v>
      </x:c>
      <x:c r="S279" s="117" t="str">
        <x:v>Unknown</x:v>
      </x:c>
      <x:c r="T279" s="117" t="str">
        <x:v>Unknown</x:v>
      </x:c>
      <x:c r="U279" s="117" t="str">
        <x:v>Unknown</x:v>
      </x:c>
      <x:c r="V279" s="117" t="str">
        <x:v>Unknown</x:v>
      </x:c>
      <x:c r="W279" s="117" t="str">
        <x:v>Unknown</x:v>
      </x:c>
      <x:c r="X279" s="117" t="str">
        <x:v>Unknown</x:v>
      </x:c>
      <x:c r="Y279" s="117" t="str">
        <x:v>Unknown</x:v>
      </x:c>
      <x:c r="Z279" s="117"/>
      <x:c r="AA279" s="117" t="str">
        <x:v>Pending evidence</x:v>
      </x:c>
      <x:c r="AB279" s="117"/>
      <x:c r="AC279" s="117" t="str">
        <x:v>No qualifying accessibility conclusion established from the screened sources. This is unknown, not evidence that the attraction is inaccessible.</x:v>
      </x:c>
      <x:c r="AD279" s="117" t="str">
        <x:v>2026-09-08</x:v>
      </x:c>
      <x:c r="AE279" s="117" t="str">
        <x:v>MC0276</x:v>
      </x:c>
      <x:c r="AF279" s="117" t="str">
        <x:v>Distinct candidate</x:v>
      </x:c>
      <x:c r="AG279" s="117" t="str"/>
      <x:c r="AH279" s="117" t="str">
        <x:v>Name corroborated in source</x:v>
      </x:c>
      <x:c r="AI279" s="117" t="str">
        <x:v>https://ebrochures.malaysia.travel/en/malaysia-travel-guide/sabah/</x:v>
      </x:c>
      <x:c r="AJ279" s="117" t="str">
        <x:v>Place name or established alias matched in the cited source. This is not confirmation of current opening, all visitor facilities or the full description.</x:v>
      </x:c>
      <x:c r="AK279" s="117" t="str">
        <x:v>Not independently confirmed</x:v>
      </x:c>
      <x:c r="AL279" s="117" t="str">
        <x:v>Screened sources; accessibility unresolved</x:v>
      </x:c>
      <x:c r="AM279" s="117" t="str">
        <x:v>2026-09-08</x:v>
      </x:c>
      <x:c r="AN279" s="117"/>
      <x:c r="AO279" s="117"/>
      <x:c r="AP279" s="117" t="str">
        <x:v>No usable pair located; image research pending</x:v>
      </x:c>
      <x:c r="AQ279" s="117"/>
    </x:row>
    <x:row r="280" ht="66" customHeight="1">
      <x:c r="A280" s="117" t="str">
        <x:v>MC0277</x:v>
      </x:c>
      <x:c r="B280" s="117" t="str">
        <x:v>Batu Sumpah Keningau</x:v>
      </x:c>
      <x:c r="C280" s="117" t="str">
        <x:v>Sabah</x:v>
      </x:c>
      <x:c r="D280" s="117" t="str">
        <x:v>Keningau</x:v>
      </x:c>
      <x:c r="E280" s="117" t="str">
        <x:v>Heritage and History</x:v>
      </x:c>
      <x:c r="F280" s="117" t="str">
        <x:v>Underrated</x:v>
      </x:c>
      <x:c r="G280" s="117" t="str">
        <x:v>Both</x:v>
      </x:c>
      <x:c r="H280" s="117" t="str">
        <x:v>historic monument; civic history; landmark</x:v>
      </x:c>
      <x:c r="I280" s="117" t="str">
        <x:v>A historic monument in Keningau, Sabah, marking the 1964 Sabah Oath Stone agreement among native leaders.</x:v>
      </x:c>
      <x:c r="J280" s="117" t="str">
        <x:v>https://www.google.com/maps/search/?api=1&amp;query=Batu%20Sumpah%20Keningau%2C%20Sabah%2C%20Malaysia</x:v>
      </x:c>
      <x:c r="K280" s="117" t="str">
        <x:v>https://ebrochures.malaysia.travel/en/malaysia-travel-guide/sabah/</x:v>
      </x:c>
      <x:c r="L280" s="117" t="str">
        <x:v>Tourism Malaysia state guide plus map discovery link</x:v>
      </x:c>
      <x:c r="M280" s="117" t="str">
        <x:v>Sabah expansion batch</x:v>
      </x:c>
      <x:c r="N280" s="117"/>
      <x:c r="O280" s="117" t="str">
        <x:v>2026-08-15 00:00:00</x:v>
      </x:c>
      <x:c r="P280" s="117" t="str">
        <x:v>Complete</x:v>
      </x:c>
      <x:c r="Q280" s="117" t="str">
        <x:v>Identity and Malaysian location verified in second-pass review on 2026-09-08.</x:v>
      </x:c>
      <x:c r="R280" s="117" t="str">
        <x:f t="shared" si="4">IF(J280="","Missing Link",IF(AND(ISNUMBER(SEARCH("google.com/maps",J280)),ISERROR(SEARCH(";",J280))),"Discovery Link Only","Source Link Present"))</x:f>
        <x:v>Discovery Link Only</x:v>
      </x:c>
      <x:c r="S280" s="117" t="str">
        <x:v>Unknown</x:v>
      </x:c>
      <x:c r="T280" s="117" t="str">
        <x:v>Unknown</x:v>
      </x:c>
      <x:c r="U280" s="117" t="str">
        <x:v>Unknown</x:v>
      </x:c>
      <x:c r="V280" s="117" t="str">
        <x:v>Unknown</x:v>
      </x:c>
      <x:c r="W280" s="117" t="str">
        <x:v>Unknown</x:v>
      </x:c>
      <x:c r="X280" s="117" t="str">
        <x:v>Unknown</x:v>
      </x:c>
      <x:c r="Y280" s="117" t="str">
        <x:v>Unknown</x:v>
      </x:c>
      <x:c r="Z280" s="117"/>
      <x:c r="AA280" s="117" t="str">
        <x:v>Pending evidence</x:v>
      </x:c>
      <x:c r="AB280" s="117"/>
      <x:c r="AC280" s="117" t="str">
        <x:v>No qualifying accessibility conclusion established from the screened sources. This is unknown, not evidence that the attraction is inaccessible.</x:v>
      </x:c>
      <x:c r="AD280" s="117" t="str">
        <x:v>2026-09-08</x:v>
      </x:c>
      <x:c r="AE280" s="117" t="str">
        <x:v>MC0277</x:v>
      </x:c>
      <x:c r="AF280" s="117" t="str">
        <x:v>Distinct candidate</x:v>
      </x:c>
      <x:c r="AG280" s="117" t="str"/>
      <x:c r="AH280" s="117" t="str">
        <x:v>Identity and location corroborated</x:v>
      </x:c>
      <x:c r="AI280" s="117" t="str">
        <x:v>https://ms.wikipedia.org/wiki/Batu_Sumpah_Keningau</x:v>
      </x:c>
      <x:c r="AJ280" s="117" t="str">
        <x:v>Encyclopedic source matches the attraction name or established alias and the stated Malaysian location. This verifies identity/location only; confirm current opening and accessibility separately.</x:v>
      </x:c>
      <x:c r="AK280" s="117" t="str">
        <x:v>Not independently confirmed</x:v>
      </x:c>
      <x:c r="AL280" s="117" t="str">
        <x:v>Screened sources; accessibility unresolved</x:v>
      </x:c>
      <x:c r="AM280" s="117" t="str">
        <x:v>2026-09-08</x:v>
      </x:c>
      <x:c r="AN280" s="117" t="str">
        <x:v>https://thumb.wikimedia.org/wikipedia/commons/thumb/5/5b/Keningau_Sabah_BatuSumpahKeningau-01.jpg/1280px-Keningau_Sabah_BatuSumpahKeningau-01.jpg?utm_source=commons.wikimedia.org&amp;utm_campaign=imageinfo&amp;utm_content=thumbnail</x:v>
      </x:c>
      <x:c r="AO280" s="117" t="str">
        <x:v>https://thumb.wikimedia.org/wikipedia/commons/thumb/1/1c/Keningau_Sabah_BatuSumpahKeningau-02.jpg/1280px-Keningau_Sabah_BatuSumpahKeningau-02.jpg?utm_source=commons.wikimedia.org&amp;utm_campaign=imageinfo&amp;utm_content=thumbnail</x:v>
      </x:c>
      <x:c r="AP280" s="117" t="str">
        <x:v>2 metadata-matched images; visual review pending</x:v>
      </x:c>
      <x:c r="AQ280" s="117"/>
    </x:row>
    <x:row r="281" ht="66" customHeight="1">
      <x:c r="A281" s="117" t="str">
        <x:v>MC0278</x:v>
      </x:c>
      <x:c r="B281" s="117" t="str">
        <x:v>Bako National Park</x:v>
      </x:c>
      <x:c r="C281" s="117" t="str">
        <x:v>Sarawak</x:v>
      </x:c>
      <x:c r="D281" s="117" t="str">
        <x:v>Kuching</x:v>
      </x:c>
      <x:c r="E281" s="117" t="str">
        <x:v>Nature</x:v>
      </x:c>
      <x:c r="F281" s="117" t="str">
        <x:v>Unclassified</x:v>
      </x:c>
      <x:c r="G281" s="117" t="str">
        <x:v>Outdoor</x:v>
      </x:c>
      <x:c r="H281" s="117" t="str">
        <x:v>ASEAN Heritage Park; national park; rainforest; mangrove; peat swamp; kerangas heath forest; dipterocarp forest; coastal cliffs; beaches; sea stacks; rock formations; jungle trekking; hiking; nature trails; wildlife; proboscis monkey; silvered langur; long-tailed macaque; bearded pig; monitor lizard; birdwatching; pitcher plants; night walk; photography; geology; conservation; nature education; camping; boat ride</x:v>
      </x:c>
      <x:c r="I281" s="117" t="str">
        <x:v>Sarawak's oldest national park protects 2,727 hectares of rainforest, mangroves, heath forest, beaches and rugged coastal formations. Reached by boat from Kampung Bako, its 18 colour-coded trails offer wildlife watching, pitcher plants, sea-stack views and hikes ranging from gentle walks to full-day routes.</x:v>
      </x:c>
      <x:c r="J281" s="117" t="str">
        <x:v>https://www.malaysia.travel/explore/bako-national-park ; https://www.malaysia.travel/index.php/explore/bako-national-park ; https://bakonationalpark.com/ ; https://sfc.sarawak.gov.my/web/subpage/webpage_view/49 ; https://forestry.sarawak.gov.my/web/subpage/webpage_view/1024 ; https://service.sarawak.gov.my/web/web/home/sla_view/211/690/ ; https://forestry.sarawak.gov.my/web/subpage/webpage_view/1012 ; https://www.malaysia.travel/explore/exploring-sarawak-a-treasure-trove-of-natural-wonders ; https://mapcarta.com/Bako_National_Park</x:v>
      </x:c>
      <x:c r="K281" s="117" t="str">
        <x:v>https://ebrochures.malaysia.travel/en/malaysia-travel-guide/sarawak/</x:v>
      </x:c>
      <x:c r="L281" s="117" t="str">
        <x:v>Previous workbook candidate/source lead</x:v>
      </x:c>
      <x:c r="M281" s="117" t="str">
        <x:v>Previous workbook seed</x:v>
      </x:c>
      <x:c r="N281" s="117" t="str">
        <x:v>A021</x:v>
      </x:c>
      <x:c r="O281" s="117" t="str">
        <x:v>2026-08-15 00:00:00</x:v>
      </x:c>
      <x:c r="P281" s="117" t="str">
        <x:v>Complete</x:v>
      </x:c>
      <x:c r="Q281" s="117"/>
      <x:c r="R281" s="117" t="str">
        <x:f t="shared" si="4">IF(J281="","Missing Link",IF(AND(ISNUMBER(SEARCH("google.com/maps",J281)),ISERROR(SEARCH(";",J281))),"Discovery Link Only","Source Link Present"))</x:f>
        <x:v>Source Link Present</x:v>
      </x:c>
      <x:c r="S281" s="117" t="str">
        <x:v>Unknown</x:v>
      </x:c>
      <x:c r="T281" s="117" t="str">
        <x:v>Unknown</x:v>
      </x:c>
      <x:c r="U281" s="117" t="str">
        <x:v>Unknown</x:v>
      </x:c>
      <x:c r="V281" s="117" t="str">
        <x:v>Unknown</x:v>
      </x:c>
      <x:c r="W281" s="117" t="str">
        <x:v>Unknown</x:v>
      </x:c>
      <x:c r="X281" s="117" t="str">
        <x:v>Unknown</x:v>
      </x:c>
      <x:c r="Y281" s="117" t="str">
        <x:v>Unknown</x:v>
      </x:c>
      <x:c r="Z281" s="117"/>
      <x:c r="AA281" s="117" t="str">
        <x:v>Pending evidence</x:v>
      </x:c>
      <x:c r="AB281" s="117"/>
      <x:c r="AC281" s="117" t="str">
        <x:v>No qualifying accessibility conclusion established from the screened sources. This is unknown, not evidence that the attraction is inaccessible.</x:v>
      </x:c>
      <x:c r="AD281" s="117" t="str">
        <x:v>2026-09-08</x:v>
      </x:c>
      <x:c r="AE281" s="117" t="str">
        <x:v>MC0278</x:v>
      </x:c>
      <x:c r="AF281" s="117" t="str">
        <x:v>Distinct candidate</x:v>
      </x:c>
      <x:c r="AG281" s="117" t="str"/>
      <x:c r="AH281" s="117" t="str">
        <x:v>Name corroborated in source</x:v>
      </x:c>
      <x:c r="AI281" s="117" t="str">
        <x:v>https://www.malaysia.travel/explore/bako-national-park</x:v>
      </x:c>
      <x:c r="AJ281" s="117" t="str">
        <x:v>Place name or established alias matched in the cited source. This is not confirmation of current opening, all visitor facilities or the full description.</x:v>
      </x:c>
      <x:c r="AK281" s="117" t="str">
        <x:v>Not independently confirmed</x:v>
      </x:c>
      <x:c r="AL281" s="117" t="str">
        <x:v>Screened sources; accessibility unresolved</x:v>
      </x:c>
      <x:c r="AM281" s="117" t="str">
        <x:v>2026-09-08</x:v>
      </x:c>
      <x:c r="AN281" s="117" t="str">
        <x:v>https://thumb.wikimedia.org/wikipedia/commons/thumb/5/5b/797_-_Bako_NationalparkPANORAMA.JPG/1280px-797_-_Bako_NationalparkPANORAMA.JPG?utm_source=commons.wikimedia.org&amp;utm_campaign=imageinfo&amp;utm_content=thumbnail</x:v>
      </x:c>
      <x:c r="AO281" s="117" t="str">
        <x:v>https://thumb.wikimedia.org/wikipedia/commons/thumb/2/26/Bako_NP.jpg/1280px-Bako_NP.jpg?utm_source=commons.wikimedia.org&amp;utm_campaign=imageinfo&amp;utm_content=thumbnail</x:v>
      </x:c>
      <x:c r="AP281" s="117" t="str">
        <x:v>2 metadata-matched images; visual review pending</x:v>
      </x:c>
      <x:c r="AQ281" s="117"/>
    </x:row>
    <x:row r="282" ht="66" customHeight="1">
      <x:c r="A282" s="117" t="str">
        <x:v>MC0279</x:v>
      </x:c>
      <x:c r="B282" s="117" t="str">
        <x:v>Gunung Mulu National Park</x:v>
      </x:c>
      <x:c r="C282" s="117" t="str">
        <x:v>Sarawak</x:v>
      </x:c>
      <x:c r="D282" s="117" t="str">
        <x:v>Miri / Mulu</x:v>
      </x:c>
      <x:c r="E282" s="117" t="str">
        <x:v>Nature</x:v>
      </x:c>
      <x:c r="F282" s="117" t="str">
        <x:v>Unclassified</x:v>
      </x:c>
      <x:c r="G282" s="117" t="str">
        <x:v>Both</x:v>
      </x:c>
      <x:c r="H282" s="117" t="str">
        <x:v>UNESCO World Heritage Site; national park; tropical rainforest; limestone karst; caves; cave exploration; show caves; adventure caving; Sarawak Chamber; Deer Cave; Lang Cave; Clearwater Cave; Cave of the Winds; Garden of Eden; underground river; bats; bat exodus; limestone pinnacles; Gunung Api; Mount Mulu; mountain climbing; jungle trekking; hiking; canopy walk; longboat; waterfalls; birdwatching; wildlife; orchids; pitcher plants; endemic species; geology; biodiversity; conservation; research; photography; Penan culture</x:v>
      </x:c>
      <x:c r="I282" s="117" t="str">
        <x:v>A remote UNESCO World Heritage Site protecting 528.64 square kilometres of equatorial rainforest, mountains, limestone pinnacles and immense cave systems. Visitors can explore show caves, watch the Deer Cave bat exodus, walk the canopy bridge or undertake demanding guided expeditions to the Pinnacles and Mount Mulu.</x:v>
      </x:c>
      <x:c r="J282" s="117" t="str">
        <x:v>https://www.malaysia.travel/explore/gunung-mulu-national-park ; https://mulupark.com/about-us/mulu-world-heritage-area/ ; https://mulupark.com/plan-your-trip/ ; https://mulupark.com/tours-activities/ ; https://mulupark.com/clearwater-winds/ ; https://www.malaysia.travel/explore/exploring-sarawak-a-treasure-trove-of-natural-wonders ; https://www.malaysia.travel/explore/echoes-of-the-past-discover-malaysia-s-unesco-world-heritage-sites ; https://ebrochures.malaysia.travel/en/birdwatching-paradise/sarawak/</x:v>
      </x:c>
      <x:c r="K282" s="117" t="str">
        <x:v>https://ebrochures.malaysia.travel/en/malaysia-travel-guide/sarawak/</x:v>
      </x:c>
      <x:c r="L282" s="117" t="str">
        <x:v>Previous workbook candidate/source lead</x:v>
      </x:c>
      <x:c r="M282" s="117" t="str">
        <x:v>Previous workbook seed</x:v>
      </x:c>
      <x:c r="N282" s="117" t="str">
        <x:v>A022</x:v>
      </x:c>
      <x:c r="O282" s="117" t="str">
        <x:v>2026-08-15 00:00:00</x:v>
      </x:c>
      <x:c r="P282" s="117" t="str">
        <x:v>Complete</x:v>
      </x:c>
      <x:c r="Q282" s="117"/>
      <x:c r="R282" s="117" t="str">
        <x:f t="shared" si="4">IF(J282="","Missing Link",IF(AND(ISNUMBER(SEARCH("google.com/maps",J282)),ISERROR(SEARCH(";",J282))),"Discovery Link Only","Source Link Present"))</x:f>
        <x:v>Source Link Present</x:v>
      </x:c>
      <x:c r="S282" s="117" t="str">
        <x:v>Unknown</x:v>
      </x:c>
      <x:c r="T282" s="117" t="str">
        <x:v>Unknown</x:v>
      </x:c>
      <x:c r="U282" s="117" t="str">
        <x:v>Unknown</x:v>
      </x:c>
      <x:c r="V282" s="117" t="str">
        <x:v>Unknown</x:v>
      </x:c>
      <x:c r="W282" s="117" t="str">
        <x:v>Unknown</x:v>
      </x:c>
      <x:c r="X282" s="117" t="str">
        <x:v>Unknown</x:v>
      </x:c>
      <x:c r="Y282" s="117" t="str">
        <x:v>Unknown</x:v>
      </x:c>
      <x:c r="Z282" s="117"/>
      <x:c r="AA282" s="117" t="str">
        <x:v>Pending evidence</x:v>
      </x:c>
      <x:c r="AB282" s="117"/>
      <x:c r="AC282" s="117" t="str">
        <x:v>No qualifying accessibility conclusion established from the screened sources. This is unknown, not evidence that the attraction is inaccessible.</x:v>
      </x:c>
      <x:c r="AD282" s="117" t="str">
        <x:v>2026-09-08</x:v>
      </x:c>
      <x:c r="AE282" s="117" t="str">
        <x:v>MC0279</x:v>
      </x:c>
      <x:c r="AF282" s="117" t="str">
        <x:v>Distinct candidate</x:v>
      </x:c>
      <x:c r="AG282" s="117" t="str"/>
      <x:c r="AH282" s="117" t="str">
        <x:v>Name corroborated in source</x:v>
      </x:c>
      <x:c r="AI282" s="117" t="str">
        <x:v>https://www.malaysia.travel/explore/gunung-mulu-national-park</x:v>
      </x:c>
      <x:c r="AJ282" s="117" t="str">
        <x:v>Place name or established alias matched in the cited source. This is not confirmation of current opening, all visitor facilities or the full description.</x:v>
      </x:c>
      <x:c r="AK282" s="117" t="str">
        <x:v>Not independently confirmed</x:v>
      </x:c>
      <x:c r="AL282" s="117" t="str">
        <x:v>Screened sources; accessibility unresolved</x:v>
      </x:c>
      <x:c r="AM282" s="117" t="str">
        <x:v>2026-09-08</x:v>
      </x:c>
      <x:c r="AN282" s="117" t="str">
        <x:v>https://thumb.wikimedia.org/wikipedia/commons/thumb/5/55/Mulu_Pinnacles.jpg/1280px-Mulu_Pinnacles.jpg?utm_source=commons.wikimedia.org&amp;utm_campaign=imageinfo&amp;utm_content=thumbnail</x:v>
      </x:c>
      <x:c r="AO282" s="117" t="str">
        <x:v>https://upload.wikimedia.org/wikipedia/commons/6/6e/Mulu.JPG?utm_source=commons.wikimedia.org&amp;utm_campaign=imageinfo&amp;utm_content=thumbnail_unscaled</x:v>
      </x:c>
      <x:c r="AP282" s="117" t="str">
        <x:v>2 metadata-matched images; visual review pending</x:v>
      </x:c>
      <x:c r="AQ282" s="117"/>
    </x:row>
    <x:row r="283" ht="66" customHeight="1">
      <x:c r="A283" s="117" t="str">
        <x:v>MC0280</x:v>
      </x:c>
      <x:c r="B283" s="117" t="str">
        <x:v>Sarawak Cultural Village</x:v>
      </x:c>
      <x:c r="C283" s="117" t="str">
        <x:v>Sarawak</x:v>
      </x:c>
      <x:c r="D283" s="117" t="str">
        <x:v>Kuching</x:v>
      </x:c>
      <x:c r="E283" s="117" t="str">
        <x:v>Culture</x:v>
      </x:c>
      <x:c r="F283" s="117" t="str">
        <x:v>Local</x:v>
      </x:c>
      <x:c r="G283" s="117" t="str">
        <x:v>Both</x:v>
      </x:c>
      <x:c r="H283" s="117" t="str">
        <x:v>culture; indigenous heritage; performance; family; education</x:v>
      </x:c>
      <x:c r="I283" s="117" t="str">
        <x:v>A living museum near Kuching showcasing the traditional houses and lifestyles of Sarawak's various ethnic groups.</x:v>
      </x:c>
      <x:c r="J283" s="117" t="str">
        <x:v>https://www.google.com/maps/search/?api=1&amp;query=Sarawak%20Cultural%20Village%2C%20Sarawak%2C%20Malaysia</x:v>
      </x:c>
      <x:c r="K283" s="117" t="str">
        <x:v>https://ebrochures.malaysia.travel/en/malaysia-travel-guide/sarawak/</x:v>
      </x:c>
      <x:c r="L283" s="117" t="str">
        <x:v>Previous workbook candidate/source lead</x:v>
      </x:c>
      <x:c r="M283" s="117" t="str">
        <x:v>Previous workbook seed</x:v>
      </x:c>
      <x:c r="N283" s="117" t="str">
        <x:v>A113</x:v>
      </x:c>
      <x:c r="O283" s="117" t="str">
        <x:v>2026-08-15 00:00:00</x:v>
      </x:c>
      <x:c r="P283" s="117" t="str">
        <x:v>Complete</x:v>
      </x:c>
      <x:c r="Q283" s="117"/>
      <x:c r="R283" s="117" t="str">
        <x:f t="shared" si="4">IF(J283="","Missing Link",IF(AND(ISNUMBER(SEARCH("google.com/maps",J283)),ISERROR(SEARCH(";",J283))),"Discovery Link Only","Source Link Present"))</x:f>
        <x:v>Discovery Link Only</x:v>
      </x:c>
      <x:c r="S283" s="117" t="str">
        <x:v>Unknown</x:v>
      </x:c>
      <x:c r="T283" s="117" t="str">
        <x:v>Unknown</x:v>
      </x:c>
      <x:c r="U283" s="117" t="str">
        <x:v>Unknown</x:v>
      </x:c>
      <x:c r="V283" s="117" t="str">
        <x:v>Unknown</x:v>
      </x:c>
      <x:c r="W283" s="117" t="str">
        <x:v>Unknown</x:v>
      </x:c>
      <x:c r="X283" s="117" t="str">
        <x:v>Unknown</x:v>
      </x:c>
      <x:c r="Y283" s="117" t="str">
        <x:v>Unknown</x:v>
      </x:c>
      <x:c r="Z283" s="117"/>
      <x:c r="AA283" s="117" t="str">
        <x:v>Pending evidence</x:v>
      </x:c>
      <x:c r="AB283" s="117"/>
      <x:c r="AC283" s="117" t="str">
        <x:v>No qualifying accessibility conclusion established from the screened sources. This is unknown, not evidence that the attraction is inaccessible.</x:v>
      </x:c>
      <x:c r="AD283" s="117" t="str">
        <x:v>2026-09-08</x:v>
      </x:c>
      <x:c r="AE283" s="117" t="str">
        <x:v>MC0280</x:v>
      </x:c>
      <x:c r="AF283" s="117" t="str">
        <x:v>Distinct candidate</x:v>
      </x:c>
      <x:c r="AG283" s="117" t="str"/>
      <x:c r="AH283" s="117" t="str">
        <x:v>Name corroborated in source</x:v>
      </x:c>
      <x:c r="AI283" s="117" t="str">
        <x:v>https://ebrochures.malaysia.travel/en/malaysia-travel-guide/sarawak/</x:v>
      </x:c>
      <x:c r="AJ283" s="117" t="str">
        <x:v>Place name or established alias matched in the cited source. This is not confirmation of current opening, all visitor facilities or the full description.</x:v>
      </x:c>
      <x:c r="AK283" s="117" t="str">
        <x:v>Not independently confirmed</x:v>
      </x:c>
      <x:c r="AL283" s="117" t="str">
        <x:v>Screened sources; accessibility unresolved</x:v>
      </x:c>
      <x:c r="AM283" s="117" t="str">
        <x:v>2026-09-08</x:v>
      </x:c>
      <x:c r="AN283" s="117"/>
      <x:c r="AO283" s="117"/>
      <x:c r="AP283" s="117" t="str">
        <x:v>No usable pair located; image research pending</x:v>
      </x:c>
      <x:c r="AQ283" s="117"/>
    </x:row>
    <x:row r="284" ht="66" customHeight="1">
      <x:c r="A284" s="117" t="str">
        <x:v>MC0281</x:v>
      </x:c>
      <x:c r="B284" s="117" t="str">
        <x:v>Semenggoh Wildlife Centre</x:v>
      </x:c>
      <x:c r="C284" s="117" t="str">
        <x:v>Sarawak</x:v>
      </x:c>
      <x:c r="D284" s="117" t="str">
        <x:v>Kuching</x:v>
      </x:c>
      <x:c r="E284" s="117" t="str">
        <x:v>Wildlife</x:v>
      </x:c>
      <x:c r="F284" s="117" t="str">
        <x:v>Unclassified</x:v>
      </x:c>
      <x:c r="G284" s="117" t="str">
        <x:v>Outdoor</x:v>
      </x:c>
      <x:c r="H284" s="117" t="str">
        <x:v>orangutan; conservation; wildlife; nature; education</x:v>
      </x:c>
      <x:c r="I284" s="117" t="str">
        <x:v>A wildlife rehabilitation centre near Kuching known for its semi-wild orangutan feeding sessions.</x:v>
      </x:c>
      <x:c r="J284" s="117" t="str">
        <x:v>https://www.google.com/maps/search/?api=1&amp;query=Semenggoh%20Wildlife%20Centre%2C%20Sarawak%2C%20Malaysia</x:v>
      </x:c>
      <x:c r="K284" s="117" t="str">
        <x:v>https://ebrochures.malaysia.travel/en/malaysia-travel-guide/sarawak/</x:v>
      </x:c>
      <x:c r="L284" s="117" t="str">
        <x:v>Previous workbook candidate/source lead</x:v>
      </x:c>
      <x:c r="M284" s="117" t="str">
        <x:v>Previous workbook seed</x:v>
      </x:c>
      <x:c r="N284" s="117" t="str">
        <x:v>A114</x:v>
      </x:c>
      <x:c r="O284" s="117" t="str">
        <x:v>2026-08-15 00:00:00</x:v>
      </x:c>
      <x:c r="P284" s="117" t="str">
        <x:v>Complete</x:v>
      </x:c>
      <x:c r="Q284" s="117"/>
      <x:c r="R284" s="117" t="str">
        <x:f t="shared" si="4">IF(J284="","Missing Link",IF(AND(ISNUMBER(SEARCH("google.com/maps",J284)),ISERROR(SEARCH(";",J284))),"Discovery Link Only","Source Link Present"))</x:f>
        <x:v>Discovery Link Only</x:v>
      </x:c>
      <x:c r="S284" s="117" t="str">
        <x:v>Unknown</x:v>
      </x:c>
      <x:c r="T284" s="117" t="str">
        <x:v>Unknown</x:v>
      </x:c>
      <x:c r="U284" s="117" t="str">
        <x:v>Unknown</x:v>
      </x:c>
      <x:c r="V284" s="117" t="str">
        <x:v>Unknown</x:v>
      </x:c>
      <x:c r="W284" s="117" t="str">
        <x:v>Unknown</x:v>
      </x:c>
      <x:c r="X284" s="117" t="str">
        <x:v>Unknown</x:v>
      </x:c>
      <x:c r="Y284" s="117" t="str">
        <x:v>Unknown</x:v>
      </x:c>
      <x:c r="Z284" s="117"/>
      <x:c r="AA284" s="117" t="str">
        <x:v>Pending evidence</x:v>
      </x:c>
      <x:c r="AB284" s="117"/>
      <x:c r="AC284" s="117" t="str">
        <x:v>No qualifying accessibility conclusion established from the screened sources. This is unknown, not evidence that the attraction is inaccessible.</x:v>
      </x:c>
      <x:c r="AD284" s="117" t="str">
        <x:v>2026-09-08</x:v>
      </x:c>
      <x:c r="AE284" s="117" t="str">
        <x:v>MC0281</x:v>
      </x:c>
      <x:c r="AF284" s="117" t="str">
        <x:v>Distinct candidate</x:v>
      </x:c>
      <x:c r="AG284" s="117" t="str"/>
      <x:c r="AH284" s="117" t="str">
        <x:v>Name corroborated in source</x:v>
      </x:c>
      <x:c r="AI284" s="117" t="str">
        <x:v>https://ebrochures.malaysia.travel/en/malaysia-travel-guide/sarawak/</x:v>
      </x:c>
      <x:c r="AJ284" s="117" t="str">
        <x:v>Place name or established alias matched in the cited source. This is not confirmation of current opening, all visitor facilities or the full description.</x:v>
      </x:c>
      <x:c r="AK284" s="117" t="str">
        <x:v>Not independently confirmed</x:v>
      </x:c>
      <x:c r="AL284" s="117" t="str">
        <x:v>Screened sources; accessibility unresolved</x:v>
      </x:c>
      <x:c r="AM284" s="117" t="str">
        <x:v>2026-09-08</x:v>
      </x:c>
      <x:c r="AN284" s="117"/>
      <x:c r="AO284" s="117"/>
      <x:c r="AP284" s="117" t="str">
        <x:v>No usable pair located; image research pending</x:v>
      </x:c>
      <x:c r="AQ284" s="117"/>
    </x:row>
    <x:row r="285" ht="66" customHeight="1">
      <x:c r="A285" s="117" t="str">
        <x:v>MC0282</x:v>
      </x:c>
      <x:c r="B285" s="117" t="str">
        <x:v>Kuching Waterfront</x:v>
      </x:c>
      <x:c r="C285" s="117" t="str">
        <x:v>Sarawak</x:v>
      </x:c>
      <x:c r="D285" s="117" t="str">
        <x:v>Kuching</x:v>
      </x:c>
      <x:c r="E285" s="117" t="str">
        <x:v>Urban Attraction</x:v>
      </x:c>
      <x:c r="F285" s="117" t="str">
        <x:v>Unclassified</x:v>
      </x:c>
      <x:c r="G285" s="117" t="str">
        <x:v>Outdoor</x:v>
      </x:c>
      <x:c r="H285" s="117" t="str">
        <x:v>waterfront; walking; relaxation; food; heritage</x:v>
      </x:c>
      <x:c r="I285" s="117" t="str">
        <x:v>A landscaped riverside promenade along the Sarawak River in central Kuching.</x:v>
      </x:c>
      <x:c r="J285" s="117" t="str">
        <x:v>https://www.google.com/maps/search/?api=1&amp;query=Kuching%20Waterfront%2C%20Sarawak%2C%20Malaysia</x:v>
      </x:c>
      <x:c r="K285" s="117" t="str">
        <x:v>https://ebrochures.malaysia.travel/en/malaysia-travel-guide/sarawak/</x:v>
      </x:c>
      <x:c r="L285" s="117" t="str">
        <x:v>Previous workbook candidate/source lead</x:v>
      </x:c>
      <x:c r="M285" s="117" t="str">
        <x:v>Previous workbook seed</x:v>
      </x:c>
      <x:c r="N285" s="117" t="str">
        <x:v>A115</x:v>
      </x:c>
      <x:c r="O285" s="117" t="str">
        <x:v>2026-08-15 00:00:00</x:v>
      </x:c>
      <x:c r="P285" s="117" t="str">
        <x:v>Complete</x:v>
      </x:c>
      <x:c r="Q285" s="117"/>
      <x:c r="R285" s="117" t="str">
        <x:f t="shared" si="4">IF(J285="","Missing Link",IF(AND(ISNUMBER(SEARCH("google.com/maps",J285)),ISERROR(SEARCH(";",J285))),"Discovery Link Only","Source Link Present"))</x:f>
        <x:v>Discovery Link Only</x:v>
      </x:c>
      <x:c r="S285" s="117" t="str">
        <x:v>Unknown</x:v>
      </x:c>
      <x:c r="T285" s="117" t="str">
        <x:v>Unknown</x:v>
      </x:c>
      <x:c r="U285" s="117" t="str">
        <x:v>Unknown</x:v>
      </x:c>
      <x:c r="V285" s="117" t="str">
        <x:v>Unknown</x:v>
      </x:c>
      <x:c r="W285" s="117" t="str">
        <x:v>Unknown</x:v>
      </x:c>
      <x:c r="X285" s="117" t="str">
        <x:v>Unknown</x:v>
      </x:c>
      <x:c r="Y285" s="117" t="str">
        <x:v>Unknown</x:v>
      </x:c>
      <x:c r="Z285" s="117"/>
      <x:c r="AA285" s="117" t="str">
        <x:v>Pending evidence</x:v>
      </x:c>
      <x:c r="AB285" s="117"/>
      <x:c r="AC285" s="117" t="str">
        <x:v>No qualifying accessibility conclusion established from the screened sources. This is unknown, not evidence that the attraction is inaccessible.</x:v>
      </x:c>
      <x:c r="AD285" s="117" t="str">
        <x:v>2026-09-08</x:v>
      </x:c>
      <x:c r="AE285" s="117" t="str">
        <x:v>MC0282</x:v>
      </x:c>
      <x:c r="AF285" s="117" t="str">
        <x:v>Distinct candidate</x:v>
      </x:c>
      <x:c r="AG285" s="117" t="str"/>
      <x:c r="AH285" s="117" t="str">
        <x:v>Name corroborated in source</x:v>
      </x:c>
      <x:c r="AI285" s="117" t="str">
        <x:v>https://ebrochures.malaysia.travel/en/malaysia-travel-guide/sarawak/</x:v>
      </x:c>
      <x:c r="AJ285" s="117" t="str">
        <x:v>Place name or established alias matched in the cited source. This is not confirmation of current opening, all visitor facilities or the full description.</x:v>
      </x:c>
      <x:c r="AK285" s="117" t="str">
        <x:v>Not independently confirmed</x:v>
      </x:c>
      <x:c r="AL285" s="117" t="str">
        <x:v>Screened sources; accessibility unresolved</x:v>
      </x:c>
      <x:c r="AM285" s="117" t="str">
        <x:v>2026-09-08</x:v>
      </x:c>
      <x:c r="AN285" s="117" t="str">
        <x:v>https://thumb.wikimedia.org/wikipedia/commons/thumb/5/51/View_of_Kuching_waterfront_from_Fort_Margherita.jpg/1280px-View_of_Kuching_waterfront_from_Fort_Margherita.jpg?utm_source=commons.wikimedia.org&amp;utm_campaign=imageinfo&amp;utm_content=thumbnail</x:v>
      </x:c>
      <x:c r="AO285" s="117"/>
      <x:c r="AP285" s="117" t="str">
        <x:v>1 metadata-matched images; visual review pending</x:v>
      </x:c>
      <x:c r="AQ285" s="117"/>
    </x:row>
    <x:row r="286" ht="66" customHeight="1">
      <x:c r="A286" s="117" t="str">
        <x:v>MC0283</x:v>
      </x:c>
      <x:c r="B286" s="117" t="str">
        <x:v>Fort Margherita</x:v>
      </x:c>
      <x:c r="C286" s="117" t="str">
        <x:v>Sarawak</x:v>
      </x:c>
      <x:c r="D286" s="117" t="str">
        <x:v>Kuching</x:v>
      </x:c>
      <x:c r="E286" s="117" t="str">
        <x:v>Heritage and History</x:v>
      </x:c>
      <x:c r="F286" s="117" t="str">
        <x:v>Unclassified</x:v>
      </x:c>
      <x:c r="G286" s="117" t="str">
        <x:v>Both</x:v>
      </x:c>
      <x:c r="H286" s="117" t="str">
        <x:v>fort; history; museum; heritage; architecture</x:v>
      </x:c>
      <x:c r="I286" s="117" t="str">
        <x:v>A 19th-century fort built by the Brooke dynasty overlooking the Sarawak River in Kuching.</x:v>
      </x:c>
      <x:c r="J286" s="117" t="str">
        <x:v>https://www.google.com/maps/search/?api=1&amp;query=Fort%20Margherita%2C%20Sarawak%2C%20Malaysia</x:v>
      </x:c>
      <x:c r="K286" s="117" t="str">
        <x:v>https://ebrochures.malaysia.travel/en/malaysia-travel-guide/sarawak/</x:v>
      </x:c>
      <x:c r="L286" s="117" t="str">
        <x:v>Previous workbook candidate/source lead</x:v>
      </x:c>
      <x:c r="M286" s="117" t="str">
        <x:v>Previous workbook seed</x:v>
      </x:c>
      <x:c r="N286" s="117" t="str">
        <x:v>A116</x:v>
      </x:c>
      <x:c r="O286" s="117" t="str">
        <x:v>2026-08-15 00:00:00</x:v>
      </x:c>
      <x:c r="P286" s="117" t="str">
        <x:v>Complete</x:v>
      </x:c>
      <x:c r="Q286" s="117"/>
      <x:c r="R286" s="117" t="str">
        <x:f t="shared" si="4">IF(J286="","Missing Link",IF(AND(ISNUMBER(SEARCH("google.com/maps",J286)),ISERROR(SEARCH(";",J286))),"Discovery Link Only","Source Link Present"))</x:f>
        <x:v>Discovery Link Only</x:v>
      </x:c>
      <x:c r="S286" s="117" t="str">
        <x:v>Unknown</x:v>
      </x:c>
      <x:c r="T286" s="117" t="str">
        <x:v>Unknown</x:v>
      </x:c>
      <x:c r="U286" s="117" t="str">
        <x:v>Unknown</x:v>
      </x:c>
      <x:c r="V286" s="117" t="str">
        <x:v>Unknown</x:v>
      </x:c>
      <x:c r="W286" s="117" t="str">
        <x:v>Unknown</x:v>
      </x:c>
      <x:c r="X286" s="117" t="str">
        <x:v>Unknown</x:v>
      </x:c>
      <x:c r="Y286" s="117" t="str">
        <x:v>Unknown</x:v>
      </x:c>
      <x:c r="Z286" s="117"/>
      <x:c r="AA286" s="117" t="str">
        <x:v>Pending evidence</x:v>
      </x:c>
      <x:c r="AB286" s="117"/>
      <x:c r="AC286" s="117" t="str">
        <x:v>No qualifying accessibility conclusion established from the screened sources. This is unknown, not evidence that the attraction is inaccessible.</x:v>
      </x:c>
      <x:c r="AD286" s="117" t="str">
        <x:v>2026-09-08</x:v>
      </x:c>
      <x:c r="AE286" s="117" t="str">
        <x:v>MC0283</x:v>
      </x:c>
      <x:c r="AF286" s="117" t="str">
        <x:v>Distinct candidate</x:v>
      </x:c>
      <x:c r="AG286" s="117" t="str"/>
      <x:c r="AH286" s="117" t="str">
        <x:v>Name corroborated in source</x:v>
      </x:c>
      <x:c r="AI286" s="117" t="str">
        <x:v>https://ebrochures.malaysia.travel/en/malaysia-travel-guide/sarawak/</x:v>
      </x:c>
      <x:c r="AJ286" s="117" t="str">
        <x:v>Place name or established alias matched in the cited source. This is not confirmation of current opening, all visitor facilities or the full description.</x:v>
      </x:c>
      <x:c r="AK286" s="117" t="str">
        <x:v>Not independently confirmed</x:v>
      </x:c>
      <x:c r="AL286" s="117" t="str">
        <x:v>Screened sources; accessibility unresolved</x:v>
      </x:c>
      <x:c r="AM286" s="117" t="str">
        <x:v>2026-09-08</x:v>
      </x:c>
      <x:c r="AN286" s="117" t="str">
        <x:v>https://thumb.wikimedia.org/wikipedia/commons/thumb/4/4f/FortMargheritaTower.jpg/1280px-FortMargheritaTower.jpg?utm_source=commons.wikimedia.org&amp;utm_campaign=imageinfo&amp;utm_content=thumbnail</x:v>
      </x:c>
      <x:c r="AO286" s="117" t="str">
        <x:v>https://thumb.wikimedia.org/wikipedia/commons/thumb/8/89/View_from_inside_Fort_Margherita.jpg/1280px-View_from_inside_Fort_Margherita.jpg?utm_source=commons.wikimedia.org&amp;utm_campaign=imageinfo&amp;utm_content=thumbnail</x:v>
      </x:c>
      <x:c r="AP286" s="117" t="str">
        <x:v>2 metadata-matched images; visual review pending</x:v>
      </x:c>
      <x:c r="AQ286" s="117"/>
    </x:row>
    <x:row r="287" ht="66" customHeight="1">
      <x:c r="A287" s="117" t="str">
        <x:v>MC0284</x:v>
      </x:c>
      <x:c r="B287" s="117" t="str">
        <x:v>Niah National Park</x:v>
      </x:c>
      <x:c r="C287" s="117" t="str">
        <x:v>Sarawak</x:v>
      </x:c>
      <x:c r="D287" s="117" t="str">
        <x:v>Miri</x:v>
      </x:c>
      <x:c r="E287" s="117" t="str">
        <x:v>Adventure</x:v>
      </x:c>
      <x:c r="F287" s="117" t="str">
        <x:v>Unclassified</x:v>
      </x:c>
      <x:c r="G287" s="117" t="str">
        <x:v>Outdoor</x:v>
      </x:c>
      <x:c r="H287" s="117" t="str">
        <x:v>cave; archaeology; hiking; rainforest; heritage</x:v>
      </x:c>
      <x:c r="I287" s="117" t="str">
        <x:v>A national park near Miri famous for its vast limestone caves with archaeological significance and swiftlet nests.</x:v>
      </x:c>
      <x:c r="J287" s="117" t="str">
        <x:v>https://www.google.com/maps/search/?api=1&amp;query=Niah%20National%20Park%2C%20Sarawak%2C%20Malaysia</x:v>
      </x:c>
      <x:c r="K287" s="117" t="str">
        <x:v>https://ebrochures.malaysia.travel/en/malaysia-travel-guide/sarawak/</x:v>
      </x:c>
      <x:c r="L287" s="117" t="str">
        <x:v>Previous workbook candidate/source lead</x:v>
      </x:c>
      <x:c r="M287" s="117" t="str">
        <x:v>Previous workbook seed</x:v>
      </x:c>
      <x:c r="N287" s="117" t="str">
        <x:v>A117</x:v>
      </x:c>
      <x:c r="O287" s="117" t="str">
        <x:v>2026-08-15 00:00:00</x:v>
      </x:c>
      <x:c r="P287" s="117" t="str">
        <x:v>Complete</x:v>
      </x:c>
      <x:c r="Q287" s="117"/>
      <x:c r="R287" s="117" t="str">
        <x:f t="shared" si="4">IF(J287="","Missing Link",IF(AND(ISNUMBER(SEARCH("google.com/maps",J287)),ISERROR(SEARCH(";",J287))),"Discovery Link Only","Source Link Present"))</x:f>
        <x:v>Discovery Link Only</x:v>
      </x:c>
      <x:c r="S287" s="117" t="str">
        <x:v>Unknown</x:v>
      </x:c>
      <x:c r="T287" s="117" t="str">
        <x:v>Unknown</x:v>
      </x:c>
      <x:c r="U287" s="117" t="str">
        <x:v>Unknown</x:v>
      </x:c>
      <x:c r="V287" s="117" t="str">
        <x:v>Unknown</x:v>
      </x:c>
      <x:c r="W287" s="117" t="str">
        <x:v>Unknown</x:v>
      </x:c>
      <x:c r="X287" s="117" t="str">
        <x:v>Unknown</x:v>
      </x:c>
      <x:c r="Y287" s="117" t="str">
        <x:v>Unknown</x:v>
      </x:c>
      <x:c r="Z287" s="117"/>
      <x:c r="AA287" s="117" t="str">
        <x:v>Pending evidence</x:v>
      </x:c>
      <x:c r="AB287" s="117"/>
      <x:c r="AC287" s="117" t="str">
        <x:v>No qualifying accessibility conclusion established from the screened sources. This is unknown, not evidence that the attraction is inaccessible.</x:v>
      </x:c>
      <x:c r="AD287" s="117" t="str">
        <x:v>2026-09-08</x:v>
      </x:c>
      <x:c r="AE287" s="117" t="str">
        <x:v>MC0284</x:v>
      </x:c>
      <x:c r="AF287" s="117" t="str">
        <x:v>Distinct candidate</x:v>
      </x:c>
      <x:c r="AG287" s="117" t="str"/>
      <x:c r="AH287" s="117" t="str">
        <x:v>Name corroborated in source</x:v>
      </x:c>
      <x:c r="AI287" s="117" t="str">
        <x:v>https://ebrochures.malaysia.travel/en/malaysia-travel-guide/sarawak/</x:v>
      </x:c>
      <x:c r="AJ287" s="117" t="str">
        <x:v>Place name or established alias matched in the cited source. This is not confirmation of current opening, all visitor facilities or the full description.</x:v>
      </x:c>
      <x:c r="AK287" s="117" t="str">
        <x:v>Not independently confirmed</x:v>
      </x:c>
      <x:c r="AL287" s="117" t="str">
        <x:v>Screened sources; accessibility unresolved</x:v>
      </x:c>
      <x:c r="AM287" s="117" t="str">
        <x:v>2026-09-08</x:v>
      </x:c>
      <x:c r="AN287" s="117" t="str">
        <x:v>https://thumb.wikimedia.org/wikipedia/commons/thumb/7/72/The_Great_Cave_of_Niah.jpg/1280px-The_Great_Cave_of_Niah.jpg?utm_source=commons.wikimedia.org&amp;utm_campaign=imageinfo&amp;utm_content=thumbnail</x:v>
      </x:c>
      <x:c r="AO287" s="117"/>
      <x:c r="AP287" s="117" t="str">
        <x:v>1 metadata-matched images; visual review pending</x:v>
      </x:c>
      <x:c r="AQ287" s="117"/>
    </x:row>
    <x:row r="288" ht="66" customHeight="1">
      <x:c r="A288" s="117" t="str">
        <x:v>MC0285</x:v>
      </x:c>
      <x:c r="B288" s="117" t="str">
        <x:v>Kubah National Park</x:v>
      </x:c>
      <x:c r="C288" s="117" t="str">
        <x:v>Sarawak</x:v>
      </x:c>
      <x:c r="D288" s="117" t="str">
        <x:v>Kuching</x:v>
      </x:c>
      <x:c r="E288" s="117" t="str">
        <x:v>Nature</x:v>
      </x:c>
      <x:c r="F288" s="117" t="str">
        <x:v>Unclassified</x:v>
      </x:c>
      <x:c r="G288" s="117" t="str">
        <x:v>Outdoor</x:v>
      </x:c>
      <x:c r="H288" s="117" t="str">
        <x:v>rainforest; hiking; waterfall; wildlife; nature</x:v>
      </x:c>
      <x:c r="I288" s="117" t="str">
        <x:v>A rainforest park near Kuching known for its palm species and waterfalls.</x:v>
      </x:c>
      <x:c r="J288" s="117" t="str">
        <x:v>https://www.google.com/maps/search/?api=1&amp;query=Kubah%20National%20Park%2C%20Sarawak%2C%20Malaysia</x:v>
      </x:c>
      <x:c r="K288" s="117" t="str">
        <x:v>https://ebrochures.malaysia.travel/en/malaysia-travel-guide/sarawak/</x:v>
      </x:c>
      <x:c r="L288" s="117" t="str">
        <x:v>Previous workbook candidate/source lead</x:v>
      </x:c>
      <x:c r="M288" s="117" t="str">
        <x:v>Previous workbook seed</x:v>
      </x:c>
      <x:c r="N288" s="117" t="str">
        <x:v>A118</x:v>
      </x:c>
      <x:c r="O288" s="117" t="str">
        <x:v>2026-08-15 00:00:00</x:v>
      </x:c>
      <x:c r="P288" s="117" t="str">
        <x:v>Complete</x:v>
      </x:c>
      <x:c r="Q288" s="117"/>
      <x:c r="R288" s="117" t="str">
        <x:f t="shared" si="4">IF(J288="","Missing Link",IF(AND(ISNUMBER(SEARCH("google.com/maps",J288)),ISERROR(SEARCH(";",J288))),"Discovery Link Only","Source Link Present"))</x:f>
        <x:v>Discovery Link Only</x:v>
      </x:c>
      <x:c r="S288" s="117" t="str">
        <x:v>Unknown</x:v>
      </x:c>
      <x:c r="T288" s="117" t="str">
        <x:v>Unknown</x:v>
      </x:c>
      <x:c r="U288" s="117" t="str">
        <x:v>Unknown</x:v>
      </x:c>
      <x:c r="V288" s="117" t="str">
        <x:v>Unknown</x:v>
      </x:c>
      <x:c r="W288" s="117" t="str">
        <x:v>Unknown</x:v>
      </x:c>
      <x:c r="X288" s="117" t="str">
        <x:v>Unknown</x:v>
      </x:c>
      <x:c r="Y288" s="117" t="str">
        <x:v>Unknown</x:v>
      </x:c>
      <x:c r="Z288" s="117"/>
      <x:c r="AA288" s="117" t="str">
        <x:v>Pending evidence</x:v>
      </x:c>
      <x:c r="AB288" s="117"/>
      <x:c r="AC288" s="117" t="str">
        <x:v>No qualifying accessibility conclusion established from the screened sources. This is unknown, not evidence that the attraction is inaccessible.</x:v>
      </x:c>
      <x:c r="AD288" s="117" t="str">
        <x:v>2026-09-08</x:v>
      </x:c>
      <x:c r="AE288" s="117" t="str">
        <x:v>MC0285</x:v>
      </x:c>
      <x:c r="AF288" s="117" t="str">
        <x:v>Distinct candidate</x:v>
      </x:c>
      <x:c r="AG288" s="117" t="str"/>
      <x:c r="AH288" s="117" t="str">
        <x:v>Name corroborated in source</x:v>
      </x:c>
      <x:c r="AI288" s="117" t="str">
        <x:v>https://ebrochures.malaysia.travel/en/malaysia-travel-guide/sarawak/</x:v>
      </x:c>
      <x:c r="AJ288" s="117" t="str">
        <x:v>Place name or established alias matched in the cited source. This is not confirmation of current opening, all visitor facilities or the full description.</x:v>
      </x:c>
      <x:c r="AK288" s="117" t="str">
        <x:v>Not independently confirmed</x:v>
      </x:c>
      <x:c r="AL288" s="117" t="str">
        <x:v>Screened sources; accessibility unresolved</x:v>
      </x:c>
      <x:c r="AM288" s="117" t="str">
        <x:v>2026-09-08</x:v>
      </x:c>
      <x:c r="AN288" s="117" t="str">
        <x:v>https://thumb.wikimedia.org/wikipedia/commons/thumb/f/fc/Kubah_waterafall_at_morning.jpg/1280px-Kubah_waterafall_at_morning.jpg?utm_source=commons.wikimedia.org&amp;utm_campaign=imageinfo&amp;utm_content=thumbnail</x:v>
      </x:c>
      <x:c r="AO288" s="117" t="str">
        <x:v>https://thumb.wikimedia.org/wikipedia/commons/thumb/0/03/Kubah_National_Park%2C_Kuching_4.jpg/1280px-Kubah_National_Park%2C_Kuching_4.jpg?utm_source=commons.wikimedia.org&amp;utm_campaign=imageinfo&amp;utm_content=thumbnail</x:v>
      </x:c>
      <x:c r="AP288" s="117" t="str">
        <x:v>2 metadata-matched images; visual review pending</x:v>
      </x:c>
      <x:c r="AQ288" s="117"/>
    </x:row>
    <x:row r="289" ht="66" customHeight="1">
      <x:c r="A289" s="117" t="str">
        <x:v>MC0286</x:v>
      </x:c>
      <x:c r="B289" s="117" t="str">
        <x:v>Fairy Cave</x:v>
      </x:c>
      <x:c r="C289" s="117" t="str">
        <x:v>Sarawak</x:v>
      </x:c>
      <x:c r="D289" s="117" t="str">
        <x:v>Bau</x:v>
      </x:c>
      <x:c r="E289" s="117" t="str">
        <x:v>Adventure</x:v>
      </x:c>
      <x:c r="F289" s="117" t="str">
        <x:v>Unclassified</x:v>
      </x:c>
      <x:c r="G289" s="117" t="str">
        <x:v>Outdoor</x:v>
      </x:c>
      <x:c r="H289" s="117" t="str">
        <x:v>cave; limestone; hiking; nature; photography</x:v>
      </x:c>
      <x:c r="I289" s="117" t="str">
        <x:v>A large limestone cave in Bau district, Sarawak, with dramatic light shafts, popular for exploration.</x:v>
      </x:c>
      <x:c r="J289" s="117" t="str">
        <x:v>https://www.google.com/maps/search/?api=1&amp;query=Fairy%20Cave%2C%20Sarawak%2C%20Malaysia</x:v>
      </x:c>
      <x:c r="K289" s="117" t="str">
        <x:v>https://ebrochures.malaysia.travel/en/malaysia-travel-guide/sarawak/</x:v>
      </x:c>
      <x:c r="L289" s="117" t="str">
        <x:v>Previous workbook candidate/source lead</x:v>
      </x:c>
      <x:c r="M289" s="117" t="str">
        <x:v>Previous workbook seed</x:v>
      </x:c>
      <x:c r="N289" s="117" t="str">
        <x:v>A119</x:v>
      </x:c>
      <x:c r="O289" s="117" t="str">
        <x:v>2026-08-15 00:00:00</x:v>
      </x:c>
      <x:c r="P289" s="117" t="str">
        <x:v>Complete</x:v>
      </x:c>
      <x:c r="Q289" s="117" t="str">
        <x:v>Identity and Malaysian location verified in second-pass review on 2026-09-08.</x:v>
      </x:c>
      <x:c r="R289" s="117" t="str">
        <x:f t="shared" si="4">IF(J289="","Missing Link",IF(AND(ISNUMBER(SEARCH("google.com/maps",J289)),ISERROR(SEARCH(";",J289))),"Discovery Link Only","Source Link Present"))</x:f>
        <x:v>Discovery Link Only</x:v>
      </x:c>
      <x:c r="S289" s="117" t="str">
        <x:v>Unknown</x:v>
      </x:c>
      <x:c r="T289" s="117" t="str">
        <x:v>Unknown</x:v>
      </x:c>
      <x:c r="U289" s="117" t="str">
        <x:v>Unknown</x:v>
      </x:c>
      <x:c r="V289" s="117" t="str">
        <x:v>Unknown</x:v>
      </x:c>
      <x:c r="W289" s="117" t="str">
        <x:v>Unknown</x:v>
      </x:c>
      <x:c r="X289" s="117" t="str">
        <x:v>Unknown</x:v>
      </x:c>
      <x:c r="Y289" s="117" t="str">
        <x:v>Unknown</x:v>
      </x:c>
      <x:c r="Z289" s="117"/>
      <x:c r="AA289" s="117" t="str">
        <x:v>Pending evidence</x:v>
      </x:c>
      <x:c r="AB289" s="117"/>
      <x:c r="AC289" s="117" t="str">
        <x:v>No qualifying accessibility conclusion established from the screened sources. This is unknown, not evidence that the attraction is inaccessible.</x:v>
      </x:c>
      <x:c r="AD289" s="117" t="str">
        <x:v>2026-09-08</x:v>
      </x:c>
      <x:c r="AE289" s="117" t="str">
        <x:v>MC0286</x:v>
      </x:c>
      <x:c r="AF289" s="117" t="str">
        <x:v>Distinct candidate</x:v>
      </x:c>
      <x:c r="AG289" s="117" t="str"/>
      <x:c r="AH289" s="117" t="str">
        <x:v>Identity and location corroborated</x:v>
      </x:c>
      <x:c r="AI289" s="117" t="str">
        <x:v>https://en.wikipedia.org/wiki/Fairy_Cave</x:v>
      </x:c>
      <x:c r="AJ289" s="117" t="str">
        <x:v>Encyclopedic source matches the attraction name or established alias and the stated Malaysian location. This verifies identity/location only; confirm current opening and accessibility separately.</x:v>
      </x:c>
      <x:c r="AK289" s="117" t="str">
        <x:v>Not independently confirmed</x:v>
      </x:c>
      <x:c r="AL289" s="117" t="str">
        <x:v>Screened sources; accessibility unresolved</x:v>
      </x:c>
      <x:c r="AM289" s="117" t="str">
        <x:v>2026-09-08</x:v>
      </x:c>
      <x:c r="AN289" s="117" t="str">
        <x:v>https://upload.wikimedia.org/wikipedia/commons/7/7d/Fairycavequarry.jpg?utm_source=commons.wikimedia.org&amp;utm_campaign=imageinfo&amp;utm_content=thumbnail_unscaled</x:v>
      </x:c>
      <x:c r="AO289" s="117" t="str">
        <x:v>https://thumb.wikimedia.org/wikipedia/commons/thumb/5/59/2022_Keelung_Fairy_Cave_TAIWAN.jpg/1280px-2022_Keelung_Fairy_Cave_TAIWAN.jpg?utm_source=commons.wikimedia.org&amp;utm_campaign=imageinfo&amp;utm_content=thumbnail</x:v>
      </x:c>
      <x:c r="AP289" s="117" t="str">
        <x:v>2 metadata-matched images; visual review pending</x:v>
      </x:c>
      <x:c r="AQ289" s="117"/>
    </x:row>
    <x:row r="290" ht="66" customHeight="1">
      <x:c r="A290" s="117" t="str">
        <x:v>MC0287</x:v>
      </x:c>
      <x:c r="B290" s="117" t="str">
        <x:v>Cat Museum</x:v>
      </x:c>
      <x:c r="C290" s="117" t="str">
        <x:v>Sarawak</x:v>
      </x:c>
      <x:c r="D290" s="117" t="str">
        <x:v>Kuching</x:v>
      </x:c>
      <x:c r="E290" s="117" t="str">
        <x:v>Museum and Gallery</x:v>
      </x:c>
      <x:c r="F290" s="117" t="str">
        <x:v>Unclassified</x:v>
      </x:c>
      <x:c r="G290" s="117" t="str">
        <x:v>Indoor</x:v>
      </x:c>
      <x:c r="H290" s="117" t="str">
        <x:v>museum; cats; family; culture; indoor</x:v>
      </x:c>
      <x:c r="I290" s="117" t="str">
        <x:v>A museum in Kuching dedicated to cat-themed exhibits, reflecting the city's name, which means cat in Malay.</x:v>
      </x:c>
      <x:c r="J290" s="117" t="str">
        <x:v>https://www.google.com/maps/search/?api=1&amp;query=Cat%20Museum%2C%20Sarawak%2C%20Malaysia</x:v>
      </x:c>
      <x:c r="K290" s="117" t="str">
        <x:v>https://ebrochures.malaysia.travel/en/malaysia-travel-guide/sarawak/</x:v>
      </x:c>
      <x:c r="L290" s="117" t="str">
        <x:v>Previous workbook candidate/source lead</x:v>
      </x:c>
      <x:c r="M290" s="117" t="str">
        <x:v>Previous workbook seed</x:v>
      </x:c>
      <x:c r="N290" s="117" t="str">
        <x:v>A120</x:v>
      </x:c>
      <x:c r="O290" s="117" t="str">
        <x:v>2026-08-15 00:00:00</x:v>
      </x:c>
      <x:c r="P290" s="117" t="str">
        <x:v>Complete</x:v>
      </x:c>
      <x:c r="Q290" s="117"/>
      <x:c r="R290" s="117" t="str">
        <x:f t="shared" si="4">IF(J290="","Missing Link",IF(AND(ISNUMBER(SEARCH("google.com/maps",J290)),ISERROR(SEARCH(";",J290))),"Discovery Link Only","Source Link Present"))</x:f>
        <x:v>Discovery Link Only</x:v>
      </x:c>
      <x:c r="S290" s="117" t="str">
        <x:v>Unknown</x:v>
      </x:c>
      <x:c r="T290" s="117" t="str">
        <x:v>Unknown</x:v>
      </x:c>
      <x:c r="U290" s="117" t="str">
        <x:v>Unknown</x:v>
      </x:c>
      <x:c r="V290" s="117" t="str">
        <x:v>Unknown</x:v>
      </x:c>
      <x:c r="W290" s="117" t="str">
        <x:v>Unknown</x:v>
      </x:c>
      <x:c r="X290" s="117" t="str">
        <x:v>Unknown</x:v>
      </x:c>
      <x:c r="Y290" s="117" t="str">
        <x:v>Unknown</x:v>
      </x:c>
      <x:c r="Z290" s="117"/>
      <x:c r="AA290" s="117" t="str">
        <x:v>Pending evidence</x:v>
      </x:c>
      <x:c r="AB290" s="117"/>
      <x:c r="AC290" s="117" t="str">
        <x:v>No qualifying accessibility conclusion established from the screened sources. This is unknown, not evidence that the attraction is inaccessible.</x:v>
      </x:c>
      <x:c r="AD290" s="117" t="str">
        <x:v>2026-09-08</x:v>
      </x:c>
      <x:c r="AE290" s="117" t="str">
        <x:v>MC0287</x:v>
      </x:c>
      <x:c r="AF290" s="117" t="str">
        <x:v>Distinct candidate</x:v>
      </x:c>
      <x:c r="AG290" s="117" t="str"/>
      <x:c r="AH290" s="117" t="str">
        <x:v>Name corroborated in source</x:v>
      </x:c>
      <x:c r="AI290" s="117" t="str">
        <x:v>https://ebrochures.malaysia.travel/en/malaysia-travel-guide/sarawak/</x:v>
      </x:c>
      <x:c r="AJ290" s="117" t="str">
        <x:v>Place name or established alias matched in the cited source. This is not confirmation of current opening, all visitor facilities or the full description.</x:v>
      </x:c>
      <x:c r="AK290" s="117" t="str">
        <x:v>Not independently confirmed</x:v>
      </x:c>
      <x:c r="AL290" s="117" t="str">
        <x:v>Screened sources; accessibility unresolved</x:v>
      </x:c>
      <x:c r="AM290" s="117" t="str">
        <x:v>2026-09-08</x:v>
      </x:c>
      <x:c r="AN290" s="117" t="str">
        <x:v>https://thumb.wikimedia.org/wikipedia/commons/thumb/1/17/The_Cat_Museum%2C_Singapore_-_20150103-05.jpg/1280px-The_Cat_Museum%2C_Singapore_-_20150103-05.jpg?utm_source=commons.wikimedia.org&amp;utm_campaign=imageinfo&amp;utm_content=thumbnail</x:v>
      </x:c>
      <x:c r="AO290" s="117" t="str">
        <x:v>https://thumb.wikimedia.org/wikipedia/commons/thumb/b/b7/The_Cat_Museum%2C_Singapore_-_20150103-09.jpg/1280px-The_Cat_Museum%2C_Singapore_-_20150103-09.jpg?utm_source=commons.wikimedia.org&amp;utm_campaign=imageinfo&amp;utm_content=thumbnail</x:v>
      </x:c>
      <x:c r="AP290" s="117" t="str">
        <x:v>2 metadata-matched images; visual review pending</x:v>
      </x:c>
      <x:c r="AQ290" s="117"/>
    </x:row>
    <x:row r="291" ht="66" customHeight="1">
      <x:c r="A291" s="117" t="str">
        <x:v>MC0288</x:v>
      </x:c>
      <x:c r="B291" s="117" t="str">
        <x:v>Sarawak Museum Complex</x:v>
      </x:c>
      <x:c r="C291" s="117" t="str">
        <x:v>Sarawak</x:v>
      </x:c>
      <x:c r="D291" s="117" t="str">
        <x:v>Kuching</x:v>
      </x:c>
      <x:c r="E291" s="117" t="str">
        <x:v>Museum and Gallery</x:v>
      </x:c>
      <x:c r="F291" s="117" t="str">
        <x:v>Popular</x:v>
      </x:c>
      <x:c r="G291" s="117" t="str">
        <x:v>Indoor</x:v>
      </x:c>
      <x:c r="H291" s="117" t="str">
        <x:v>Borneo cultures; museum; history</x:v>
      </x:c>
      <x:c r="I291" s="117" t="str">
        <x:v>Borneo's oldest museum, in Kuching, covering the region's natural history, ethnography and archaeology.</x:v>
      </x:c>
      <x:c r="J291" s="117" t="str">
        <x:v>https://www.google.com/maps/search/?api=1&amp;query=Sarawak%20Museum%20Complex%2C%20Sarawak%2C%20Malaysia</x:v>
      </x:c>
      <x:c r="K291" s="117" t="str">
        <x:v>https://ebrochures.malaysia.travel/en/malaysia-travel-guide/sarawak/</x:v>
      </x:c>
      <x:c r="L291" s="117" t="str">
        <x:v>Tourism Malaysia state guide plus map discovery link</x:v>
      </x:c>
      <x:c r="M291" s="117" t="str">
        <x:v>Sarawak expansion batch</x:v>
      </x:c>
      <x:c r="N291" s="117"/>
      <x:c r="O291" s="117" t="str">
        <x:v>2026-08-15 00:00:00</x:v>
      </x:c>
      <x:c r="P291" s="117" t="str">
        <x:v>Complete</x:v>
      </x:c>
      <x:c r="Q291" s="117"/>
      <x:c r="R291" s="117" t="str">
        <x:f t="shared" si="4">IF(J291="","Missing Link",IF(AND(ISNUMBER(SEARCH("google.com/maps",J291)),ISERROR(SEARCH(";",J291))),"Discovery Link Only","Source Link Present"))</x:f>
        <x:v>Discovery Link Only</x:v>
      </x:c>
      <x:c r="S291" s="117" t="str">
        <x:v>Not measured</x:v>
      </x:c>
      <x:c r="T291" s="117" t="str">
        <x:v>Unknown</x:v>
      </x:c>
      <x:c r="U291" s="117" t="str">
        <x:v>Unknown</x:v>
      </x:c>
      <x:c r="V291" s="117" t="str">
        <x:v>Unknown</x:v>
      </x:c>
      <x:c r="W291" s="117" t="str">
        <x:v>Unknown</x:v>
      </x:c>
      <x:c r="X291" s="117" t="str">
        <x:v>Unknown</x:v>
      </x:c>
      <x:c r="Y291" s="117" t="str">
        <x:v>Not recommended for stated route</x:v>
      </x:c>
      <x:c r="Z291" s="117" t="str">
        <x:v>The original record mixed the old museum description with accessibility claims for the modern Borneo Cultures Museum. Use MC0788 for those documented facilities.</x:v>
      </x:c>
      <x:c r="AA291" s="117" t="str">
        <x:v>Restricted route</x:v>
      </x:c>
      <x:c r="AB291" s="117" t="str">
        <x:v>https://museum.sarawak.gov.my/web/subpage/webpage_view/139</x:v>
      </x:c>
      <x:c r="AC291" s="117" t="str">
        <x:v>Do not transfer facilities to old Sarawak Museum building</x:v>
      </x:c>
      <x:c r="AD291" s="117" t="str">
        <x:v>2026-09-08</x:v>
      </x:c>
      <x:c r="AE291" s="117" t="str">
        <x:v>MC0288</x:v>
      </x:c>
      <x:c r="AF291" s="117" t="str">
        <x:v>Related site or component</x:v>
      </x:c>
      <x:c r="AG291" s="117" t="str">
        <x:v>MC0788</x:v>
      </x:c>
      <x:c r="AH291" s="117" t="str">
        <x:v>Venue-specific source reviewed</x:v>
      </x:c>
      <x:c r="AI291" s="117" t="str">
        <x:v>https://museum.sarawak.gov.my/web/subpage/webpage_view/139</x:v>
      </x:c>
      <x:c r="AJ291" s="117" t="str">
        <x:v>Place name or established alias matched in the cited source. This is not confirmation of current opening, all visitor facilities or the full description.</x:v>
      </x:c>
      <x:c r="AK291" s="117" t="str">
        <x:v>Not independently confirmed</x:v>
      </x:c>
      <x:c r="AL291" s="117" t="str">
        <x:v>Access restriction documented</x:v>
      </x:c>
      <x:c r="AM291" s="117" t="str">
        <x:v>2026-09-08</x:v>
      </x:c>
      <x:c r="AN291" s="117"/>
      <x:c r="AO291" s="117"/>
      <x:c r="AP291" s="117" t="str">
        <x:v>No usable pair located; image research pending</x:v>
      </x:c>
      <x:c r="AQ291" s="117"/>
    </x:row>
    <x:row r="292" ht="66" customHeight="1">
      <x:c r="A292" s="117" t="str">
        <x:v>MC0289</x:v>
      </x:c>
      <x:c r="B292" s="117" t="str">
        <x:v>Darul Hana Bridge</x:v>
      </x:c>
      <x:c r="C292" s="117" t="str">
        <x:v>Sarawak</x:v>
      </x:c>
      <x:c r="D292" s="117" t="str">
        <x:v>Kuching</x:v>
      </x:c>
      <x:c r="E292" s="117" t="str">
        <x:v>Urban Attraction</x:v>
      </x:c>
      <x:c r="F292" s="117" t="str">
        <x:v>Popular</x:v>
      </x:c>
      <x:c r="G292" s="117" t="str">
        <x:v>Both</x:v>
      </x:c>
      <x:c r="H292" s="117" t="str">
        <x:v>pedestrian bridge; architecture; river</x:v>
      </x:c>
      <x:c r="I292" s="117" t="str">
        <x:v>A pedestrian bridge across the Sarawak River in Kuching connecting the old town to the new waterfront.</x:v>
      </x:c>
      <x:c r="J292" s="117" t="str">
        <x:v>https://www.google.com/maps/search/?api=1&amp;query=Darul%20Hana%20Bridge%2C%20Sarawak%2C%20Malaysia</x:v>
      </x:c>
      <x:c r="K292" s="117" t="str">
        <x:v>https://ebrochures.malaysia.travel/en/malaysia-travel-guide/sarawak/</x:v>
      </x:c>
      <x:c r="L292" s="117" t="str">
        <x:v>Tourism Malaysia state guide plus map discovery link</x:v>
      </x:c>
      <x:c r="M292" s="117" t="str">
        <x:v>Sarawak expansion batch</x:v>
      </x:c>
      <x:c r="N292" s="117"/>
      <x:c r="O292" s="117" t="str">
        <x:v>2026-08-15 00:00:00</x:v>
      </x:c>
      <x:c r="P292" s="117" t="str">
        <x:v>Complete</x:v>
      </x:c>
      <x:c r="Q292" s="117"/>
      <x:c r="R292" s="117" t="str">
        <x:f t="shared" si="4">IF(J292="","Missing Link",IF(AND(ISNUMBER(SEARCH("google.com/maps",J292)),ISERROR(SEARCH(";",J292))),"Discovery Link Only","Source Link Present"))</x:f>
        <x:v>Discovery Link Only</x:v>
      </x:c>
      <x:c r="S292" s="117" t="str">
        <x:v>Unknown</x:v>
      </x:c>
      <x:c r="T292" s="117" t="str">
        <x:v>Unknown</x:v>
      </x:c>
      <x:c r="U292" s="117" t="str">
        <x:v>Unknown</x:v>
      </x:c>
      <x:c r="V292" s="117" t="str">
        <x:v>Unknown</x:v>
      </x:c>
      <x:c r="W292" s="117" t="str">
        <x:v>Unknown</x:v>
      </x:c>
      <x:c r="X292" s="117" t="str">
        <x:v>Unknown</x:v>
      </x:c>
      <x:c r="Y292" s="117" t="str">
        <x:v>Unknown</x:v>
      </x:c>
      <x:c r="Z292" s="117"/>
      <x:c r="AA292" s="117" t="str">
        <x:v>Pending evidence</x:v>
      </x:c>
      <x:c r="AB292" s="117"/>
      <x:c r="AC292" s="117" t="str">
        <x:v>No qualifying accessibility conclusion established from the screened sources. This is unknown, not evidence that the attraction is inaccessible.</x:v>
      </x:c>
      <x:c r="AD292" s="117" t="str">
        <x:v>2026-09-08</x:v>
      </x:c>
      <x:c r="AE292" s="117" t="str">
        <x:v>MC0289</x:v>
      </x:c>
      <x:c r="AF292" s="117" t="str">
        <x:v>Distinct candidate</x:v>
      </x:c>
      <x:c r="AG292" s="117" t="str"/>
      <x:c r="AH292" s="117" t="str">
        <x:v>Name corroborated in source</x:v>
      </x:c>
      <x:c r="AI292" s="117" t="str">
        <x:v>https://ebrochures.malaysia.travel/en/malaysia-travel-guide/sarawak/</x:v>
      </x:c>
      <x:c r="AJ292" s="117" t="str">
        <x:v>Place name or established alias matched in the cited source. This is not confirmation of current opening, all visitor facilities or the full description.</x:v>
      </x:c>
      <x:c r="AK292" s="117" t="str">
        <x:v>Not independently confirmed</x:v>
      </x:c>
      <x:c r="AL292" s="117" t="str">
        <x:v>Screened sources; accessibility unresolved</x:v>
      </x:c>
      <x:c r="AM292" s="117" t="str">
        <x:v>2026-09-08</x:v>
      </x:c>
      <x:c r="AN292" s="117" t="str">
        <x:v>https://thumb.wikimedia.org/wikipedia/commons/thumb/f/fb/Darul_Hana_Bridge%2C_Kuching%2C_Sarawak.jpg/1280px-Darul_Hana_Bridge%2C_Kuching%2C_Sarawak.jpg?utm_source=commons.wikimedia.org&amp;utm_campaign=imageinfo&amp;utm_content=thumbnail</x:v>
      </x:c>
      <x:c r="AO292" s="117" t="str">
        <x:v>https://thumb.wikimedia.org/wikipedia/commons/thumb/e/e4/New_Sarawak_State_Legislative_Assembly_Building_from_Darul_Hana_Bridge%2C_Kuching%2C_Sarawak_%2843429289374%29.jpg/1280px-New_Sarawak_State_Legislative_Assembly_Building_from_Darul_Hana_Bridge%2C_Kuching%2C_Sarawak_%2843429289374%29.jpg?utm_source=commons.wikimedia.org&amp;utm_campaign=imageinfo&amp;utm_content=thumbnail</x:v>
      </x:c>
      <x:c r="AP292" s="117" t="str">
        <x:v>2 metadata-matched images; visual review pending</x:v>
      </x:c>
      <x:c r="AQ292" s="117"/>
    </x:row>
    <x:row r="293" ht="66" customHeight="1">
      <x:c r="A293" s="117" t="str">
        <x:v>MC0290</x:v>
      </x:c>
      <x:c r="B293" s="117" t="str">
        <x:v>Fort Margherita and Brooke Gallery</x:v>
      </x:c>
      <x:c r="C293" s="117" t="str">
        <x:v>Sarawak</x:v>
      </x:c>
      <x:c r="D293" s="117" t="str">
        <x:v>Kuching</x:v>
      </x:c>
      <x:c r="E293" s="117" t="str">
        <x:v>Museum and Gallery</x:v>
      </x:c>
      <x:c r="F293" s="117" t="str">
        <x:v>Popular</x:v>
      </x:c>
      <x:c r="G293" s="117" t="str">
        <x:v>Indoor</x:v>
      </x:c>
      <x:c r="H293" s="117" t="str">
        <x:v>fort; Brooke history; museum</x:v>
      </x:c>
      <x:c r="I293" s="117" t="str">
        <x:v>A Brooke-era fort in Kuching, now housing a gallery on the history of the Brooke dynasty's rule over Sarawak.</x:v>
      </x:c>
      <x:c r="J293" s="117" t="str">
        <x:v>https://www.google.com/maps/search/?api=1&amp;query=Fort%20Margherita%20and%20Brooke%20Gallery%2C%20Sarawak%2C%20Malaysia</x:v>
      </x:c>
      <x:c r="K293" s="117" t="str">
        <x:v>https://ebrochures.malaysia.travel/en/malaysia-travel-guide/sarawak/</x:v>
      </x:c>
      <x:c r="L293" s="117" t="str">
        <x:v>Tourism Malaysia state guide plus map discovery link</x:v>
      </x:c>
      <x:c r="M293" s="117" t="str">
        <x:v>Sarawak expansion batch</x:v>
      </x:c>
      <x:c r="N293" s="117"/>
      <x:c r="O293" s="117" t="str">
        <x:v>2026-08-15 00:00:00</x:v>
      </x:c>
      <x:c r="P293" s="117" t="str">
        <x:v>Complete</x:v>
      </x:c>
      <x:c r="Q293" s="117"/>
      <x:c r="R293" s="117" t="str">
        <x:f t="shared" si="4">IF(J293="","Missing Link",IF(AND(ISNUMBER(SEARCH("google.com/maps",J293)),ISERROR(SEARCH(";",J293))),"Discovery Link Only","Source Link Present"))</x:f>
        <x:v>Discovery Link Only</x:v>
      </x:c>
      <x:c r="S293" s="117" t="str">
        <x:v>Unknown</x:v>
      </x:c>
      <x:c r="T293" s="117" t="str">
        <x:v>Unknown</x:v>
      </x:c>
      <x:c r="U293" s="117" t="str">
        <x:v>Unknown</x:v>
      </x:c>
      <x:c r="V293" s="117" t="str">
        <x:v>Unknown</x:v>
      </x:c>
      <x:c r="W293" s="117" t="str">
        <x:v>Unknown</x:v>
      </x:c>
      <x:c r="X293" s="117" t="str">
        <x:v>Unknown</x:v>
      </x:c>
      <x:c r="Y293" s="117" t="str">
        <x:v>Unknown</x:v>
      </x:c>
      <x:c r="Z293" s="117"/>
      <x:c r="AA293" s="117" t="str">
        <x:v>Pending evidence</x:v>
      </x:c>
      <x:c r="AB293" s="117"/>
      <x:c r="AC293" s="117" t="str">
        <x:v>No qualifying accessibility conclusion established from the screened sources. This is unknown, not evidence that the attraction is inaccessible.</x:v>
      </x:c>
      <x:c r="AD293" s="117" t="str">
        <x:v>2026-09-08</x:v>
      </x:c>
      <x:c r="AE293" s="117" t="str">
        <x:v>MC0290</x:v>
      </x:c>
      <x:c r="AF293" s="117" t="str">
        <x:v>Related site or component</x:v>
      </x:c>
      <x:c r="AG293" s="117" t="str">
        <x:v>MC0283</x:v>
      </x:c>
      <x:c r="AH293" s="117" t="str">
        <x:v>Name corroborated in source</x:v>
      </x:c>
      <x:c r="AI293" s="117" t="str">
        <x:v>https://ebrochures.malaysia.travel/en/malaysia-travel-guide/sarawak/</x:v>
      </x:c>
      <x:c r="AJ293" s="117" t="str">
        <x:v>Place name or established alias matched in the cited source. This is not confirmation of current opening, all visitor facilities or the full description.</x:v>
      </x:c>
      <x:c r="AK293" s="117" t="str">
        <x:v>Not independently confirmed</x:v>
      </x:c>
      <x:c r="AL293" s="117" t="str">
        <x:v>Screened sources; accessibility unresolved</x:v>
      </x:c>
      <x:c r="AM293" s="117" t="str">
        <x:v>2026-09-08</x:v>
      </x:c>
      <x:c r="AN293" s="117"/>
      <x:c r="AO293" s="117"/>
      <x:c r="AP293" s="117" t="str">
        <x:v>No usable pair located; image research pending</x:v>
      </x:c>
      <x:c r="AQ293" s="117"/>
    </x:row>
    <x:row r="294" ht="66" customHeight="1">
      <x:c r="A294" s="117" t="str">
        <x:v>MC0291</x:v>
      </x:c>
      <x:c r="B294" s="117" t="str">
        <x:v>Main Bazaar</x:v>
      </x:c>
      <x:c r="C294" s="117" t="str">
        <x:v>Sarawak</x:v>
      </x:c>
      <x:c r="D294" s="117" t="str">
        <x:v>Kuching</x:v>
      </x:c>
      <x:c r="E294" s="117" t="str">
        <x:v>Shopping</x:v>
      </x:c>
      <x:c r="F294" s="117" t="str">
        <x:v>Local</x:v>
      </x:c>
      <x:c r="G294" s="117" t="str">
        <x:v>Indoor</x:v>
      </x:c>
      <x:c r="H294" s="117" t="str">
        <x:v>handicrafts; heritage shops; waterfront</x:v>
      </x:c>
      <x:c r="I294" s="117" t="str">
        <x:v>Kuching's oldest street, lined with antique shops, art galleries and handicraft stores.</x:v>
      </x:c>
      <x:c r="J294" s="117" t="str">
        <x:v>https://www.google.com/maps/search/?api=1&amp;query=Main%20Bazaar%2C%20Sarawak%2C%20Malaysia</x:v>
      </x:c>
      <x:c r="K294" s="117" t="str">
        <x:v>https://ebrochures.malaysia.travel/en/malaysia-travel-guide/sarawak/</x:v>
      </x:c>
      <x:c r="L294" s="117" t="str">
        <x:v>Tourism Malaysia state guide plus map discovery link</x:v>
      </x:c>
      <x:c r="M294" s="117" t="str">
        <x:v>Sarawak expansion batch</x:v>
      </x:c>
      <x:c r="N294" s="117"/>
      <x:c r="O294" s="117" t="str">
        <x:v>2026-08-15 00:00:00</x:v>
      </x:c>
      <x:c r="P294" s="117" t="str">
        <x:v>Complete</x:v>
      </x:c>
      <x:c r="Q294" s="117"/>
      <x:c r="R294" s="117" t="str">
        <x:f t="shared" si="4">IF(J294="","Missing Link",IF(AND(ISNUMBER(SEARCH("google.com/maps",J294)),ISERROR(SEARCH(";",J294))),"Discovery Link Only","Source Link Present"))</x:f>
        <x:v>Discovery Link Only</x:v>
      </x:c>
      <x:c r="S294" s="117" t="str">
        <x:v>Unknown</x:v>
      </x:c>
      <x:c r="T294" s="117" t="str">
        <x:v>Unknown</x:v>
      </x:c>
      <x:c r="U294" s="117" t="str">
        <x:v>Unknown</x:v>
      </x:c>
      <x:c r="V294" s="117" t="str">
        <x:v>Unknown</x:v>
      </x:c>
      <x:c r="W294" s="117" t="str">
        <x:v>Unknown</x:v>
      </x:c>
      <x:c r="X294" s="117" t="str">
        <x:v>Unknown</x:v>
      </x:c>
      <x:c r="Y294" s="117" t="str">
        <x:v>Unknown</x:v>
      </x:c>
      <x:c r="Z294" s="117"/>
      <x:c r="AA294" s="117" t="str">
        <x:v>Pending evidence</x:v>
      </x:c>
      <x:c r="AB294" s="117"/>
      <x:c r="AC294" s="117" t="str">
        <x:v>No qualifying accessibility conclusion established from the screened sources. This is unknown, not evidence that the attraction is inaccessible.</x:v>
      </x:c>
      <x:c r="AD294" s="117" t="str">
        <x:v>2026-09-08</x:v>
      </x:c>
      <x:c r="AE294" s="117" t="str">
        <x:v>MC0291</x:v>
      </x:c>
      <x:c r="AF294" s="117" t="str">
        <x:v>Distinct candidate</x:v>
      </x:c>
      <x:c r="AG294" s="117" t="str"/>
      <x:c r="AH294" s="117" t="str">
        <x:v>Name corroborated in source</x:v>
      </x:c>
      <x:c r="AI294" s="117" t="str">
        <x:v>https://ebrochures.malaysia.travel/en/malaysia-travel-guide/sarawak/</x:v>
      </x:c>
      <x:c r="AJ294" s="117" t="str">
        <x:v>Place name or established alias matched in the cited source. This is not confirmation of current opening, all visitor facilities or the full description.</x:v>
      </x:c>
      <x:c r="AK294" s="117" t="str">
        <x:v>Not independently confirmed</x:v>
      </x:c>
      <x:c r="AL294" s="117" t="str">
        <x:v>Screened sources; accessibility unresolved</x:v>
      </x:c>
      <x:c r="AM294" s="117" t="str">
        <x:v>2026-09-08</x:v>
      </x:c>
      <x:c r="AN294" s="117" t="str">
        <x:v>https://thumb.wikimedia.org/wikipedia/commons/thumb/c/c4/Main_Bazaar%2C_Paharganj_2%2C_Delhi%2C_India.jpg/1280px-Main_Bazaar%2C_Paharganj_2%2C_Delhi%2C_India.jpg?utm_source=commons.wikimedia.org&amp;utm_campaign=imageinfo&amp;utm_content=thumbnail</x:v>
      </x:c>
      <x:c r="AO294" s="117" t="str">
        <x:v>https://thumb.wikimedia.org/wikipedia/commons/thumb/3/3b/Main_Bazaar%2C_Paharganj%2C_Delhi%2C_India.jpg/1280px-Main_Bazaar%2C_Paharganj%2C_Delhi%2C_India.jpg?utm_source=commons.wikimedia.org&amp;utm_campaign=imageinfo&amp;utm_content=thumbnail</x:v>
      </x:c>
      <x:c r="AP294" s="117" t="str">
        <x:v>2 metadata-matched images; visual review pending</x:v>
      </x:c>
      <x:c r="AQ294" s="117"/>
    </x:row>
    <x:row r="295" ht="66" customHeight="1">
      <x:c r="A295" s="117" t="str">
        <x:v>MC0292</x:v>
      </x:c>
      <x:c r="B295" s="117" t="str">
        <x:v>Damai Beach</x:v>
      </x:c>
      <x:c r="C295" s="117" t="str">
        <x:v>Sarawak</x:v>
      </x:c>
      <x:c r="D295" s="117" t="str">
        <x:v>Santubong</x:v>
      </x:c>
      <x:c r="E295" s="117" t="str">
        <x:v>Beach and Island</x:v>
      </x:c>
      <x:c r="F295" s="117" t="str">
        <x:v>Popular</x:v>
      </x:c>
      <x:c r="G295" s="117" t="str">
        <x:v>Outdoor</x:v>
      </x:c>
      <x:c r="H295" s="117" t="str">
        <x:v>beach; mountain; resort</x:v>
      </x:c>
      <x:c r="I295" s="117" t="str">
        <x:v>A beach resort area near Santubong, close to Kuching, popular for its mountain backdrop.</x:v>
      </x:c>
      <x:c r="J295" s="117" t="str">
        <x:v>https://www.google.com/maps/search/?api=1&amp;query=Damai%20Beach%2C%20Sarawak%2C%20Malaysia</x:v>
      </x:c>
      <x:c r="K295" s="117" t="str">
        <x:v>https://ebrochures.malaysia.travel/en/malaysia-travel-guide/sarawak/</x:v>
      </x:c>
      <x:c r="L295" s="117" t="str">
        <x:v>Tourism Malaysia state guide plus map discovery link</x:v>
      </x:c>
      <x:c r="M295" s="117" t="str">
        <x:v>Sarawak expansion batch</x:v>
      </x:c>
      <x:c r="N295" s="117"/>
      <x:c r="O295" s="117" t="str">
        <x:v>2026-08-15 00:00:00</x:v>
      </x:c>
      <x:c r="P295" s="117" t="str">
        <x:v>Complete</x:v>
      </x:c>
      <x:c r="Q295" s="117" t="str">
        <x:v>Identity and Malaysian location verified in second-pass review on 2026-09-08.</x:v>
      </x:c>
      <x:c r="R295" s="117" t="str">
        <x:f t="shared" si="4">IF(J295="","Missing Link",IF(AND(ISNUMBER(SEARCH("google.com/maps",J295)),ISERROR(SEARCH(";",J295))),"Discovery Link Only","Source Link Present"))</x:f>
        <x:v>Discovery Link Only</x:v>
      </x:c>
      <x:c r="S295" s="117" t="str">
        <x:v>Unknown</x:v>
      </x:c>
      <x:c r="T295" s="117" t="str">
        <x:v>Unknown</x:v>
      </x:c>
      <x:c r="U295" s="117" t="str">
        <x:v>Unknown</x:v>
      </x:c>
      <x:c r="V295" s="117" t="str">
        <x:v>Unknown</x:v>
      </x:c>
      <x:c r="W295" s="117" t="str">
        <x:v>Unknown</x:v>
      </x:c>
      <x:c r="X295" s="117" t="str">
        <x:v>Unknown</x:v>
      </x:c>
      <x:c r="Y295" s="117" t="str">
        <x:v>Unknown</x:v>
      </x:c>
      <x:c r="Z295" s="117"/>
      <x:c r="AA295" s="117" t="str">
        <x:v>Pending evidence</x:v>
      </x:c>
      <x:c r="AB295" s="117"/>
      <x:c r="AC295" s="117" t="str">
        <x:v>No qualifying accessibility conclusion established from the screened sources. This is unknown, not evidence that the attraction is inaccessible.</x:v>
      </x:c>
      <x:c r="AD295" s="117" t="str">
        <x:v>2026-09-08</x:v>
      </x:c>
      <x:c r="AE295" s="117" t="str">
        <x:v>MC0292</x:v>
      </x:c>
      <x:c r="AF295" s="117" t="str">
        <x:v>Distinct candidate</x:v>
      </x:c>
      <x:c r="AG295" s="117" t="str"/>
      <x:c r="AH295" s="117" t="str">
        <x:v>Identity and location corroborated</x:v>
      </x:c>
      <x:c r="AI295" s="117" t="str">
        <x:v>https://www.openstreetmap.org/way/232099227</x:v>
      </x:c>
      <x:c r="AJ295" s="117" t="str">
        <x:v>Mapped source matches the attraction name or established alias and the stated Malaysian location. This verifies identity/location only; confirm current opening and accessibility separately.</x:v>
      </x:c>
      <x:c r="AK295" s="117" t="str">
        <x:v>Not independently confirmed</x:v>
      </x:c>
      <x:c r="AL295" s="117" t="str">
        <x:v>Screened sources; accessibility unresolved</x:v>
      </x:c>
      <x:c r="AM295" s="117" t="str">
        <x:v>2026-09-08</x:v>
      </x:c>
      <x:c r="AN295" s="117" t="str">
        <x:v>https://thumb.wikimedia.org/wikipedia/commons/thumb/6/66/Jumping_Spider_%28Hasarius_adansoni%29_male_%2823917485572%29.jpg/1280px-Jumping_Spider_%28Hasarius_adansoni%29_male_%2823917485572%29.jpg?utm_source=commons.wikimedia.org&amp;utm_campaign=imageinfo&amp;utm_content=thumbnail</x:v>
      </x:c>
      <x:c r="AO295" s="117" t="str">
        <x:v>https://thumb.wikimedia.org/wikipedia/commons/thumb/0/04/Cicada_%28Id_%3F%29_%2823578563499%29.jpg/1280px-Cicada_%28Id_%3F%29_%2823578563499%29.jpg?utm_source=commons.wikimedia.org&amp;utm_campaign=imageinfo&amp;utm_content=thumbnail</x:v>
      </x:c>
      <x:c r="AP295" s="117" t="str">
        <x:v>2 metadata-matched images; visual review pending</x:v>
      </x:c>
      <x:c r="AQ295" s="117"/>
    </x:row>
    <x:row r="296" ht="66" customHeight="1">
      <x:c r="A296" s="117" t="str">
        <x:v>MC0293</x:v>
      </x:c>
      <x:c r="B296" s="117" t="str">
        <x:v>Fairy Cave Nature Reserve</x:v>
      </x:c>
      <x:c r="C296" s="117" t="str">
        <x:v>Sarawak</x:v>
      </x:c>
      <x:c r="D296" s="117" t="str">
        <x:v>Bau</x:v>
      </x:c>
      <x:c r="E296" s="117" t="str">
        <x:v>Nature</x:v>
      </x:c>
      <x:c r="F296" s="117" t="str">
        <x:v>Popular</x:v>
      </x:c>
      <x:c r="G296" s="117" t="str">
        <x:v>Outdoor</x:v>
      </x:c>
      <x:c r="H296" s="117" t="str">
        <x:v>limestone cave; hiking; viewpoint</x:v>
      </x:c>
      <x:c r="I296" s="117" t="str">
        <x:v>A limestone show cave in Bau district, Sarawak, known for its cathedral-like chambers and shafts of light.</x:v>
      </x:c>
      <x:c r="J296" s="117" t="str">
        <x:v>https://www.google.com/maps/search/?api=1&amp;query=Fairy%20Cave%20Nature%20Reserve%2C%20Sarawak%2C%20Malaysia</x:v>
      </x:c>
      <x:c r="K296" s="117" t="str">
        <x:v>https://ebrochures.malaysia.travel/en/malaysia-travel-guide/sarawak/</x:v>
      </x:c>
      <x:c r="L296" s="117" t="str">
        <x:v>Tourism Malaysia state guide plus map discovery link</x:v>
      </x:c>
      <x:c r="M296" s="117" t="str">
        <x:v>Sarawak expansion batch</x:v>
      </x:c>
      <x:c r="N296" s="117"/>
      <x:c r="O296" s="117" t="str">
        <x:v>2026-08-15 00:00:00</x:v>
      </x:c>
      <x:c r="P296" s="117" t="str">
        <x:v>Complete</x:v>
      </x:c>
      <x:c r="Q296" s="117" t="str">
        <x:v>Duplicate alias: use MC0286 Identity and Malaysian location verified in second-pass review on 2026-09-08.</x:v>
      </x:c>
      <x:c r="R296" s="117" t="str">
        <x:f t="shared" si="4">IF(J296="","Missing Link",IF(AND(ISNUMBER(SEARCH("google.com/maps",J296)),ISERROR(SEARCH(";",J296))),"Discovery Link Only","Source Link Present"))</x:f>
        <x:v>Discovery Link Only</x:v>
      </x:c>
      <x:c r="S296" s="117" t="str">
        <x:v>Unknown</x:v>
      </x:c>
      <x:c r="T296" s="117" t="str">
        <x:v>Unknown</x:v>
      </x:c>
      <x:c r="U296" s="117" t="str">
        <x:v>Unknown</x:v>
      </x:c>
      <x:c r="V296" s="117" t="str">
        <x:v>Unknown</x:v>
      </x:c>
      <x:c r="W296" s="117" t="str">
        <x:v>Unknown</x:v>
      </x:c>
      <x:c r="X296" s="117" t="str">
        <x:v>Unknown</x:v>
      </x:c>
      <x:c r="Y296" s="117" t="str">
        <x:v>Unknown</x:v>
      </x:c>
      <x:c r="Z296" s="117"/>
      <x:c r="AA296" s="117" t="str">
        <x:v>Duplicate - use canonical ID</x:v>
      </x:c>
      <x:c r="AB296" s="117"/>
      <x:c r="AC296" s="117" t="str">
        <x:v>No qualifying accessibility conclusion established from the screened sources. This is unknown, not evidence that the attraction is inaccessible.</x:v>
      </x:c>
      <x:c r="AD296" s="117" t="str">
        <x:v>2026-09-08</x:v>
      </x:c>
      <x:c r="AE296" s="117" t="str">
        <x:v>MC0286</x:v>
      </x:c>
      <x:c r="AF296" s="117" t="str">
        <x:v>Duplicate alias</x:v>
      </x:c>
      <x:c r="AG296" s="117" t="str"/>
      <x:c r="AH296" s="117" t="str">
        <x:v>Identity and location corroborated</x:v>
      </x:c>
      <x:c r="AI296" s="117" t="str">
        <x:v>https://forestry.sarawak.gov.my/web/subpage/webpage_view/1014</x:v>
      </x:c>
      <x:c r="AJ296" s="117" t="str">
        <x:v>Official forestry source matches the attraction name or established alias and the stated Malaysian location. This verifies identity/location only; confirm current opening and accessibility separately.</x:v>
      </x:c>
      <x:c r="AK296" s="117" t="str">
        <x:v>Not independently confirmed</x:v>
      </x:c>
      <x:c r="AL296" s="117" t="str">
        <x:v>Screened sources; accessibility unresolved</x:v>
      </x:c>
      <x:c r="AM296" s="117" t="str">
        <x:v>2026-09-08</x:v>
      </x:c>
      <x:c r="AN296" s="117" t="str">
        <x:v>https://upload.wikimedia.org/wikipedia/commons/7/7d/Fairycavequarry.jpg?utm_source=commons.wikimedia.org&amp;utm_campaign=imageinfo&amp;utm_content=thumbnail_unscaled</x:v>
      </x:c>
      <x:c r="AO296" s="117" t="str">
        <x:v>https://thumb.wikimedia.org/wikipedia/commons/thumb/5/59/2022_Keelung_Fairy_Cave_TAIWAN.jpg/1280px-2022_Keelung_Fairy_Cave_TAIWAN.jpg?utm_source=commons.wikimedia.org&amp;utm_campaign=imageinfo&amp;utm_content=thumbnail</x:v>
      </x:c>
      <x:c r="AP296" s="117" t="str">
        <x:v>2 metadata-matched images; visual review pending</x:v>
      </x:c>
      <x:c r="AQ296" s="117"/>
    </x:row>
    <x:row r="297" ht="66" customHeight="1">
      <x:c r="A297" s="117" t="str">
        <x:v>MC0294</x:v>
      </x:c>
      <x:c r="B297" s="117" t="str">
        <x:v>Wind Cave Nature Reserve</x:v>
      </x:c>
      <x:c r="C297" s="117" t="str">
        <x:v>Sarawak</x:v>
      </x:c>
      <x:c r="D297" s="117" t="str">
        <x:v>Bau</x:v>
      </x:c>
      <x:c r="E297" s="117" t="str">
        <x:v>Nature</x:v>
      </x:c>
      <x:c r="F297" s="117" t="str">
        <x:v>Popular</x:v>
      </x:c>
      <x:c r="G297" s="117" t="str">
        <x:v>Outdoor</x:v>
      </x:c>
      <x:c r="H297" s="117" t="str">
        <x:v>cave; bats; river</x:v>
      </x:c>
      <x:c r="I297" s="117" t="str">
        <x:v>A limestone cave system in Bau district, Sarawak, known for its bat colonies and underground river.</x:v>
      </x:c>
      <x:c r="J297" s="117" t="str">
        <x:v>https://www.google.com/maps/search/?api=1&amp;query=Wind%20Cave%20Nature%20Reserve%2C%20Sarawak%2C%20Malaysia</x:v>
      </x:c>
      <x:c r="K297" s="117" t="str">
        <x:v>https://ebrochures.malaysia.travel/en/malaysia-travel-guide/sarawak/</x:v>
      </x:c>
      <x:c r="L297" s="117" t="str">
        <x:v>Tourism Malaysia state guide plus map discovery link</x:v>
      </x:c>
      <x:c r="M297" s="117" t="str">
        <x:v>Sarawak expansion batch</x:v>
      </x:c>
      <x:c r="N297" s="117"/>
      <x:c r="O297" s="117" t="str">
        <x:v>2026-08-15 00:00:00</x:v>
      </x:c>
      <x:c r="P297" s="117" t="str">
        <x:v>Complete</x:v>
      </x:c>
      <x:c r="Q297" s="117" t="str">
        <x:v>Identity and Malaysian location verified in second-pass review on 2026-09-08.</x:v>
      </x:c>
      <x:c r="R297" s="117" t="str">
        <x:f t="shared" si="4">IF(J297="","Missing Link",IF(AND(ISNUMBER(SEARCH("google.com/maps",J297)),ISERROR(SEARCH(";",J297))),"Discovery Link Only","Source Link Present"))</x:f>
        <x:v>Discovery Link Only</x:v>
      </x:c>
      <x:c r="S297" s="117" t="str">
        <x:v>Unknown</x:v>
      </x:c>
      <x:c r="T297" s="117" t="str">
        <x:v>Unknown</x:v>
      </x:c>
      <x:c r="U297" s="117" t="str">
        <x:v>Unknown</x:v>
      </x:c>
      <x:c r="V297" s="117" t="str">
        <x:v>Unknown</x:v>
      </x:c>
      <x:c r="W297" s="117" t="str">
        <x:v>Unknown</x:v>
      </x:c>
      <x:c r="X297" s="117" t="str">
        <x:v>Unknown</x:v>
      </x:c>
      <x:c r="Y297" s="117" t="str">
        <x:v>Unknown</x:v>
      </x:c>
      <x:c r="Z297" s="117"/>
      <x:c r="AA297" s="117" t="str">
        <x:v>Pending evidence</x:v>
      </x:c>
      <x:c r="AB297" s="117"/>
      <x:c r="AC297" s="117" t="str">
        <x:v>No qualifying accessibility conclusion established from the screened sources. This is unknown, not evidence that the attraction is inaccessible.</x:v>
      </x:c>
      <x:c r="AD297" s="117" t="str">
        <x:v>2026-09-08</x:v>
      </x:c>
      <x:c r="AE297" s="117" t="str">
        <x:v>MC0294</x:v>
      </x:c>
      <x:c r="AF297" s="117" t="str">
        <x:v>Distinct candidate</x:v>
      </x:c>
      <x:c r="AG297" s="117" t="str"/>
      <x:c r="AH297" s="117" t="str">
        <x:v>Identity and location corroborated</x:v>
      </x:c>
      <x:c r="AI297" s="117" t="str">
        <x:v>https://www.sarawaktourism.com/web/places-to-visit/town-view/kuching/major-attractions/wind-cave-nature-reserve</x:v>
      </x:c>
      <x:c r="AJ297" s="117" t="str">
        <x:v>Official state tourism source matches the attraction name or established alias and the stated Malaysian location. This verifies identity/location only; confirm current opening and accessibility separately.</x:v>
      </x:c>
      <x:c r="AK297" s="117" t="str">
        <x:v>Not independently confirmed</x:v>
      </x:c>
      <x:c r="AL297" s="117" t="str">
        <x:v>Screened sources; accessibility unresolved</x:v>
      </x:c>
      <x:c r="AM297" s="117" t="str">
        <x:v>2026-09-08</x:v>
      </x:c>
      <x:c r="AN297" s="117"/>
      <x:c r="AO297" s="117"/>
      <x:c r="AP297" s="117" t="str">
        <x:v>No usable pair located; image research pending</x:v>
      </x:c>
      <x:c r="AQ297" s="117"/>
    </x:row>
    <x:row r="298" ht="66" customHeight="1">
      <x:c r="A298" s="117" t="str">
        <x:v>MC0295</x:v>
      </x:c>
      <x:c r="B298" s="117" t="str">
        <x:v>Annah Rais Longhouse</x:v>
      </x:c>
      <x:c r="C298" s="117" t="str">
        <x:v>Sarawak</x:v>
      </x:c>
      <x:c r="D298" s="117" t="str">
        <x:v>Padawan</x:v>
      </x:c>
      <x:c r="E298" s="117" t="str">
        <x:v>Culture</x:v>
      </x:c>
      <x:c r="F298" s="117" t="str">
        <x:v>Popular</x:v>
      </x:c>
      <x:c r="G298" s="117" t="str">
        <x:v>Both</x:v>
      </x:c>
      <x:c r="H298" s="117" t="str">
        <x:v>Bidayuh; longhouse; village</x:v>
      </x:c>
      <x:c r="I298" s="117" t="str">
        <x:v>A traditional Bidayuh longhouse settlement near Kuching offering cultural homestay experiences.</x:v>
      </x:c>
      <x:c r="J298" s="117" t="str">
        <x:v>https://www.google.com/maps/search/?api=1&amp;query=Annah%20Rais%20Longhouse%2C%20Sarawak%2C%20Malaysia</x:v>
      </x:c>
      <x:c r="K298" s="117" t="str">
        <x:v>https://ebrochures.malaysia.travel/en/malaysia-travel-guide/sarawak/</x:v>
      </x:c>
      <x:c r="L298" s="117" t="str">
        <x:v>Tourism Malaysia state guide plus map discovery link</x:v>
      </x:c>
      <x:c r="M298" s="117" t="str">
        <x:v>Sarawak expansion batch</x:v>
      </x:c>
      <x:c r="N298" s="117"/>
      <x:c r="O298" s="117" t="str">
        <x:v>2026-08-15 00:00:00</x:v>
      </x:c>
      <x:c r="P298" s="117" t="str">
        <x:v>Complete</x:v>
      </x:c>
      <x:c r="Q298" s="117"/>
      <x:c r="R298" s="117" t="str">
        <x:f t="shared" si="4">IF(J298="","Missing Link",IF(AND(ISNUMBER(SEARCH("google.com/maps",J298)),ISERROR(SEARCH(";",J298))),"Discovery Link Only","Source Link Present"))</x:f>
        <x:v>Discovery Link Only</x:v>
      </x:c>
      <x:c r="S298" s="117" t="str">
        <x:v>Unknown</x:v>
      </x:c>
      <x:c r="T298" s="117" t="str">
        <x:v>Unknown</x:v>
      </x:c>
      <x:c r="U298" s="117" t="str">
        <x:v>Unknown</x:v>
      </x:c>
      <x:c r="V298" s="117" t="str">
        <x:v>Unknown</x:v>
      </x:c>
      <x:c r="W298" s="117" t="str">
        <x:v>Unknown</x:v>
      </x:c>
      <x:c r="X298" s="117" t="str">
        <x:v>Unknown</x:v>
      </x:c>
      <x:c r="Y298" s="117" t="str">
        <x:v>Unknown</x:v>
      </x:c>
      <x:c r="Z298" s="117"/>
      <x:c r="AA298" s="117" t="str">
        <x:v>Pending evidence</x:v>
      </x:c>
      <x:c r="AB298" s="117"/>
      <x:c r="AC298" s="117" t="str">
        <x:v>No qualifying accessibility conclusion established from the screened sources. This is unknown, not evidence that the attraction is inaccessible.</x:v>
      </x:c>
      <x:c r="AD298" s="117" t="str">
        <x:v>2026-09-08</x:v>
      </x:c>
      <x:c r="AE298" s="117" t="str">
        <x:v>MC0295</x:v>
      </x:c>
      <x:c r="AF298" s="117" t="str">
        <x:v>Distinct candidate</x:v>
      </x:c>
      <x:c r="AG298" s="117" t="str"/>
      <x:c r="AH298" s="117" t="str">
        <x:v>Name corroborated in source</x:v>
      </x:c>
      <x:c r="AI298" s="117" t="str">
        <x:v>https://ebrochures.malaysia.travel/en/malaysia-travel-guide/sarawak/</x:v>
      </x:c>
      <x:c r="AJ298" s="117" t="str">
        <x:v>Place name or established alias matched in the cited source. This is not confirmation of current opening, all visitor facilities or the full description.</x:v>
      </x:c>
      <x:c r="AK298" s="117" t="str">
        <x:v>Not independently confirmed</x:v>
      </x:c>
      <x:c r="AL298" s="117" t="str">
        <x:v>Screened sources; accessibility unresolved</x:v>
      </x:c>
      <x:c r="AM298" s="117" t="str">
        <x:v>2026-09-08</x:v>
      </x:c>
      <x:c r="AN298" s="117"/>
      <x:c r="AO298" s="117"/>
      <x:c r="AP298" s="117" t="str">
        <x:v>No usable pair located; image research pending</x:v>
      </x:c>
      <x:c r="AQ298" s="117"/>
    </x:row>
    <x:row r="299" ht="66" customHeight="1">
      <x:c r="A299" s="117" t="str">
        <x:v>MC0296</x:v>
      </x:c>
      <x:c r="B299" s="117" t="str">
        <x:v>Gunung Gading National Park</x:v>
      </x:c>
      <x:c r="C299" s="117" t="str">
        <x:v>Sarawak</x:v>
      </x:c>
      <x:c r="D299" s="117" t="str">
        <x:v>Lundu</x:v>
      </x:c>
      <x:c r="E299" s="117" t="str">
        <x:v>Nature</x:v>
      </x:c>
      <x:c r="F299" s="117" t="str">
        <x:v>Popular</x:v>
      </x:c>
      <x:c r="G299" s="117" t="str">
        <x:v>Outdoor</x:v>
      </x:c>
      <x:c r="H299" s="117" t="str">
        <x:v>rafflesia; hiking; rainforest</x:v>
      </x:c>
      <x:c r="I299" s="117" t="str">
        <x:v>A national park in Lundu district, Sarawak, famous for seasonal Rafflesia flower sightings.</x:v>
      </x:c>
      <x:c r="J299" s="117" t="str">
        <x:v>https://www.google.com/maps/search/?api=1&amp;query=Gunung%20Gading%20National%20Park%2C%20Sarawak%2C%20Malaysia</x:v>
      </x:c>
      <x:c r="K299" s="117" t="str">
        <x:v>https://ebrochures.malaysia.travel/en/malaysia-travel-guide/sarawak/</x:v>
      </x:c>
      <x:c r="L299" s="117" t="str">
        <x:v>Tourism Malaysia state guide plus map discovery link</x:v>
      </x:c>
      <x:c r="M299" s="117" t="str">
        <x:v>Sarawak expansion batch</x:v>
      </x:c>
      <x:c r="N299" s="117"/>
      <x:c r="O299" s="117" t="str">
        <x:v>2026-08-15 00:00:00</x:v>
      </x:c>
      <x:c r="P299" s="117" t="str">
        <x:v>Complete</x:v>
      </x:c>
      <x:c r="Q299" s="117"/>
      <x:c r="R299" s="117" t="str">
        <x:f t="shared" si="4">IF(J299="","Missing Link",IF(AND(ISNUMBER(SEARCH("google.com/maps",J299)),ISERROR(SEARCH(";",J299))),"Discovery Link Only","Source Link Present"))</x:f>
        <x:v>Discovery Link Only</x:v>
      </x:c>
      <x:c r="S299" s="117" t="str">
        <x:v>Unknown</x:v>
      </x:c>
      <x:c r="T299" s="117" t="str">
        <x:v>Unknown</x:v>
      </x:c>
      <x:c r="U299" s="117" t="str">
        <x:v>Unknown</x:v>
      </x:c>
      <x:c r="V299" s="117" t="str">
        <x:v>Unknown</x:v>
      </x:c>
      <x:c r="W299" s="117" t="str">
        <x:v>Unknown</x:v>
      </x:c>
      <x:c r="X299" s="117" t="str">
        <x:v>Unknown</x:v>
      </x:c>
      <x:c r="Y299" s="117" t="str">
        <x:v>Unknown</x:v>
      </x:c>
      <x:c r="Z299" s="117"/>
      <x:c r="AA299" s="117" t="str">
        <x:v>Pending evidence</x:v>
      </x:c>
      <x:c r="AB299" s="117"/>
      <x:c r="AC299" s="117" t="str">
        <x:v>No qualifying accessibility conclusion established from the screened sources. This is unknown, not evidence that the attraction is inaccessible.</x:v>
      </x:c>
      <x:c r="AD299" s="117" t="str">
        <x:v>2026-09-08</x:v>
      </x:c>
      <x:c r="AE299" s="117" t="str">
        <x:v>MC0296</x:v>
      </x:c>
      <x:c r="AF299" s="117" t="str">
        <x:v>Distinct candidate</x:v>
      </x:c>
      <x:c r="AG299" s="117" t="str"/>
      <x:c r="AH299" s="117" t="str">
        <x:v>Name corroborated in source</x:v>
      </x:c>
      <x:c r="AI299" s="117" t="str">
        <x:v>https://ebrochures.malaysia.travel/en/malaysia-travel-guide/sarawak/</x:v>
      </x:c>
      <x:c r="AJ299" s="117" t="str">
        <x:v>Place name or established alias matched in the cited source. This is not confirmation of current opening, all visitor facilities or the full description.</x:v>
      </x:c>
      <x:c r="AK299" s="117" t="str">
        <x:v>Not independently confirmed</x:v>
      </x:c>
      <x:c r="AL299" s="117" t="str">
        <x:v>Screened sources; accessibility unresolved</x:v>
      </x:c>
      <x:c r="AM299" s="117" t="str">
        <x:v>2026-09-08</x:v>
      </x:c>
      <x:c r="AN299" s="117" t="str">
        <x:v>https://thumb.wikimedia.org/wikipedia/commons/thumb/1/14/Waterfall_in_Mt_Gading_NP_-_panoramio.jpg/1280px-Waterfall_in_Mt_Gading_NP_-_panoramio.jpg?utm_source=commons.wikimedia.org&amp;utm_campaign=imageinfo&amp;utm_content=thumbnail</x:v>
      </x:c>
      <x:c r="AO299" s="117" t="str">
        <x:v>https://thumb.wikimedia.org/wikipedia/commons/thumb/7/7c/Tree_on_a_rock_during_the_waterfall_trail.jpg/1280px-Tree_on_a_rock_during_the_waterfall_trail.jpg?utm_source=commons.wikimedia.org&amp;utm_campaign=imageinfo&amp;utm_content=thumbnail</x:v>
      </x:c>
      <x:c r="AP299" s="117" t="str">
        <x:v>2 metadata-matched images; visual review pending</x:v>
      </x:c>
      <x:c r="AQ299" s="117"/>
    </x:row>
    <x:row r="300" ht="66" customHeight="1">
      <x:c r="A300" s="117" t="str">
        <x:v>MC0297</x:v>
      </x:c>
      <x:c r="B300" s="117" t="str">
        <x:v>Tanjung Datu National Park</x:v>
      </x:c>
      <x:c r="C300" s="117" t="str">
        <x:v>Sarawak</x:v>
      </x:c>
      <x:c r="D300" s="117" t="str">
        <x:v>Lundu</x:v>
      </x:c>
      <x:c r="E300" s="117" t="str">
        <x:v>Nature</x:v>
      </x:c>
      <x:c r="F300" s="117" t="str">
        <x:v>Rural</x:v>
      </x:c>
      <x:c r="G300" s="117" t="str">
        <x:v>Outdoor</x:v>
      </x:c>
      <x:c r="H300" s="117" t="str">
        <x:v>remote coast; rainforest; turtles</x:v>
      </x:c>
      <x:c r="I300" s="117" t="str">
        <x:v>A remote coastal rainforest park in Lundu district, Sarawak, known for pristine beaches and marine life.</x:v>
      </x:c>
      <x:c r="J300" s="117" t="str">
        <x:v>https://www.google.com/maps/search/?api=1&amp;query=Tanjung%20Datu%20National%20Park%2C%20Sarawak%2C%20Malaysia</x:v>
      </x:c>
      <x:c r="K300" s="117" t="str">
        <x:v>https://ebrochures.malaysia.travel/en/malaysia-travel-guide/sarawak/</x:v>
      </x:c>
      <x:c r="L300" s="117" t="str">
        <x:v>Tourism Malaysia state guide plus map discovery link</x:v>
      </x:c>
      <x:c r="M300" s="117" t="str">
        <x:v>Sarawak expansion batch</x:v>
      </x:c>
      <x:c r="N300" s="117"/>
      <x:c r="O300" s="117" t="str">
        <x:v>2026-08-15 00:00:00</x:v>
      </x:c>
      <x:c r="P300" s="117" t="str">
        <x:v>Complete</x:v>
      </x:c>
      <x:c r="Q300" s="117"/>
      <x:c r="R300" s="117" t="str">
        <x:f t="shared" si="4">IF(J300="","Missing Link",IF(AND(ISNUMBER(SEARCH("google.com/maps",J300)),ISERROR(SEARCH(";",J300))),"Discovery Link Only","Source Link Present"))</x:f>
        <x:v>Discovery Link Only</x:v>
      </x:c>
      <x:c r="S300" s="117" t="str">
        <x:v>Unknown</x:v>
      </x:c>
      <x:c r="T300" s="117" t="str">
        <x:v>Unknown</x:v>
      </x:c>
      <x:c r="U300" s="117" t="str">
        <x:v>Unknown</x:v>
      </x:c>
      <x:c r="V300" s="117" t="str">
        <x:v>Unknown</x:v>
      </x:c>
      <x:c r="W300" s="117" t="str">
        <x:v>Unknown</x:v>
      </x:c>
      <x:c r="X300" s="117" t="str">
        <x:v>Unknown</x:v>
      </x:c>
      <x:c r="Y300" s="117" t="str">
        <x:v>Unknown</x:v>
      </x:c>
      <x:c r="Z300" s="117"/>
      <x:c r="AA300" s="117" t="str">
        <x:v>Pending evidence</x:v>
      </x:c>
      <x:c r="AB300" s="117"/>
      <x:c r="AC300" s="117" t="str">
        <x:v>No qualifying accessibility conclusion established from the screened sources. This is unknown, not evidence that the attraction is inaccessible.</x:v>
      </x:c>
      <x:c r="AD300" s="117" t="str">
        <x:v>2026-09-08</x:v>
      </x:c>
      <x:c r="AE300" s="117" t="str">
        <x:v>MC0297</x:v>
      </x:c>
      <x:c r="AF300" s="117" t="str">
        <x:v>Distinct candidate</x:v>
      </x:c>
      <x:c r="AG300" s="117" t="str"/>
      <x:c r="AH300" s="117" t="str">
        <x:v>Name corroborated in source</x:v>
      </x:c>
      <x:c r="AI300" s="117" t="str">
        <x:v>https://ebrochures.malaysia.travel/en/malaysia-travel-guide/sarawak/</x:v>
      </x:c>
      <x:c r="AJ300" s="117" t="str">
        <x:v>Place name or established alias matched in the cited source. This is not confirmation of current opening, all visitor facilities or the full description.</x:v>
      </x:c>
      <x:c r="AK300" s="117" t="str">
        <x:v>Not independently confirmed</x:v>
      </x:c>
      <x:c r="AL300" s="117" t="str">
        <x:v>Screened sources; accessibility unresolved</x:v>
      </x:c>
      <x:c r="AM300" s="117" t="str">
        <x:v>2026-09-08</x:v>
      </x:c>
      <x:c r="AN300" s="117"/>
      <x:c r="AO300" s="117"/>
      <x:c r="AP300" s="117" t="str">
        <x:v>No usable pair located; image research pending</x:v>
      </x:c>
      <x:c r="AQ300" s="117"/>
    </x:row>
    <x:row r="301" ht="66" customHeight="1">
      <x:c r="A301" s="117" t="str">
        <x:v>MC0298</x:v>
      </x:c>
      <x:c r="B301" s="117" t="str">
        <x:v>Batang Ai National Park</x:v>
      </x:c>
      <x:c r="C301" s="117" t="str">
        <x:v>Sarawak</x:v>
      </x:c>
      <x:c r="D301" s="117" t="str">
        <x:v>Sri Aman</x:v>
      </x:c>
      <x:c r="E301" s="117" t="str">
        <x:v>Nature</x:v>
      </x:c>
      <x:c r="F301" s="117" t="str">
        <x:v>Rural</x:v>
      </x:c>
      <x:c r="G301" s="117" t="str">
        <x:v>Outdoor</x:v>
      </x:c>
      <x:c r="H301" s="117" t="str">
        <x:v>rainforest; lake; Iban culture</x:v>
      </x:c>
      <x:c r="I301" s="117" t="str">
        <x:v>A rainforest park around the Batang Ai reservoir in Sri Aman, Sarawak, known for Iban longhouses and orangutan habitat.</x:v>
      </x:c>
      <x:c r="J301" s="117" t="str">
        <x:v>https://www.google.com/maps/search/?api=1&amp;query=Batang%20Ai%20National%20Park%2C%20Sarawak%2C%20Malaysia</x:v>
      </x:c>
      <x:c r="K301" s="117" t="str">
        <x:v>https://ebrochures.malaysia.travel/en/malaysia-travel-guide/sarawak/</x:v>
      </x:c>
      <x:c r="L301" s="117" t="str">
        <x:v>Tourism Malaysia state guide plus map discovery link</x:v>
      </x:c>
      <x:c r="M301" s="117" t="str">
        <x:v>Sarawak expansion batch</x:v>
      </x:c>
      <x:c r="N301" s="117"/>
      <x:c r="O301" s="117" t="str">
        <x:v>2026-08-15 00:00:00</x:v>
      </x:c>
      <x:c r="P301" s="117" t="str">
        <x:v>Complete</x:v>
      </x:c>
      <x:c r="Q301" s="117"/>
      <x:c r="R301" s="117" t="str">
        <x:f t="shared" si="4">IF(J301="","Missing Link",IF(AND(ISNUMBER(SEARCH("google.com/maps",J301)),ISERROR(SEARCH(";",J301))),"Discovery Link Only","Source Link Present"))</x:f>
        <x:v>Discovery Link Only</x:v>
      </x:c>
      <x:c r="S301" s="117" t="str">
        <x:v>Unknown</x:v>
      </x:c>
      <x:c r="T301" s="117" t="str">
        <x:v>Unknown</x:v>
      </x:c>
      <x:c r="U301" s="117" t="str">
        <x:v>Unknown</x:v>
      </x:c>
      <x:c r="V301" s="117" t="str">
        <x:v>Unknown</x:v>
      </x:c>
      <x:c r="W301" s="117" t="str">
        <x:v>Unknown</x:v>
      </x:c>
      <x:c r="X301" s="117" t="str">
        <x:v>Unknown</x:v>
      </x:c>
      <x:c r="Y301" s="117" t="str">
        <x:v>Unknown</x:v>
      </x:c>
      <x:c r="Z301" s="117"/>
      <x:c r="AA301" s="117" t="str">
        <x:v>Pending evidence</x:v>
      </x:c>
      <x:c r="AB301" s="117"/>
      <x:c r="AC301" s="117" t="str">
        <x:v>No qualifying accessibility conclusion established from the screened sources. This is unknown, not evidence that the attraction is inaccessible.</x:v>
      </x:c>
      <x:c r="AD301" s="117" t="str">
        <x:v>2026-09-08</x:v>
      </x:c>
      <x:c r="AE301" s="117" t="str">
        <x:v>MC0298</x:v>
      </x:c>
      <x:c r="AF301" s="117" t="str">
        <x:v>Distinct candidate</x:v>
      </x:c>
      <x:c r="AG301" s="117" t="str"/>
      <x:c r="AH301" s="117" t="str">
        <x:v>Name corroborated in source</x:v>
      </x:c>
      <x:c r="AI301" s="117" t="str">
        <x:v>https://ebrochures.malaysia.travel/en/malaysia-travel-guide/sarawak/</x:v>
      </x:c>
      <x:c r="AJ301" s="117" t="str">
        <x:v>Place name or established alias matched in the cited source. This is not confirmation of current opening, all visitor facilities or the full description.</x:v>
      </x:c>
      <x:c r="AK301" s="117" t="str">
        <x:v>Not independently confirmed</x:v>
      </x:c>
      <x:c r="AL301" s="117" t="str">
        <x:v>Screened sources; accessibility unresolved</x:v>
      </x:c>
      <x:c r="AM301" s="117" t="str">
        <x:v>2026-09-08</x:v>
      </x:c>
      <x:c r="AN301" s="117" t="str">
        <x:v>https://thumb.wikimedia.org/wikipedia/commons/thumb/c/cf/011173_00001_Langboote_der_Iban.jpg/1280px-011173_00001_Langboote_der_Iban.jpg?utm_source=commons.wikimedia.org&amp;utm_campaign=imageinfo&amp;utm_content=thumbnail</x:v>
      </x:c>
      <x:c r="AO301" s="117" t="str">
        <x:v>https://thumb.wikimedia.org/wikipedia/commons/thumb/0/00/011118_Langhouse_der_Iban_im_Batang_Ai_National_Park_%28Borneo%29.jpg/1280px-011118_Langhouse_der_Iban_im_Batang_Ai_National_Park_%28Borneo%29.jpg?utm_source=commons.wikimedia.org&amp;utm_campaign=imageinfo&amp;utm_content=thumbnail</x:v>
      </x:c>
      <x:c r="AP301" s="117" t="str">
        <x:v>2 metadata-matched images; visual review pending</x:v>
      </x:c>
      <x:c r="AQ301" s="117"/>
    </x:row>
    <x:row r="302" ht="66" customHeight="1">
      <x:c r="A302" s="117" t="str">
        <x:v>MC0299</x:v>
      </x:c>
      <x:c r="B302" s="117" t="str">
        <x:v>Fort Alice</x:v>
      </x:c>
      <x:c r="C302" s="117" t="str">
        <x:v>Sarawak</x:v>
      </x:c>
      <x:c r="D302" s="117" t="str">
        <x:v>Sri Aman</x:v>
      </x:c>
      <x:c r="E302" s="117" t="str">
        <x:v>Museum and Gallery</x:v>
      </x:c>
      <x:c r="F302" s="117" t="str">
        <x:v>Underrated</x:v>
      </x:c>
      <x:c r="G302" s="117" t="str">
        <x:v>Indoor</x:v>
      </x:c>
      <x:c r="H302" s="117" t="str">
        <x:v>fort; local history; museum</x:v>
      </x:c>
      <x:c r="I302" s="117" t="str">
        <x:v>A 19th-century Brooke-era fort in Sri Aman town, Sarawak.</x:v>
      </x:c>
      <x:c r="J302" s="117" t="str">
        <x:v>https://www.google.com/maps/search/?api=1&amp;query=Fort%20Alice%2C%20Sarawak%2C%20Malaysia</x:v>
      </x:c>
      <x:c r="K302" s="117" t="str">
        <x:v>https://ebrochures.malaysia.travel/en/malaysia-travel-guide/sarawak/</x:v>
      </x:c>
      <x:c r="L302" s="117" t="str">
        <x:v>Tourism Malaysia state guide plus map discovery link</x:v>
      </x:c>
      <x:c r="M302" s="117" t="str">
        <x:v>Sarawak expansion batch</x:v>
      </x:c>
      <x:c r="N302" s="117"/>
      <x:c r="O302" s="117" t="str">
        <x:v>2026-08-15 00:00:00</x:v>
      </x:c>
      <x:c r="P302" s="117" t="str">
        <x:v>Complete</x:v>
      </x:c>
      <x:c r="Q302" s="117" t="str">
        <x:v>Identity and Malaysian location verified in second-pass review on 2026-09-08.</x:v>
      </x:c>
      <x:c r="R302" s="117" t="str">
        <x:f t="shared" si="4">IF(J302="","Missing Link",IF(AND(ISNUMBER(SEARCH("google.com/maps",J302)),ISERROR(SEARCH(";",J302))),"Discovery Link Only","Source Link Present"))</x:f>
        <x:v>Discovery Link Only</x:v>
      </x:c>
      <x:c r="S302" s="117" t="str">
        <x:v>Unknown</x:v>
      </x:c>
      <x:c r="T302" s="117" t="str">
        <x:v>Unknown</x:v>
      </x:c>
      <x:c r="U302" s="117" t="str">
        <x:v>Unknown</x:v>
      </x:c>
      <x:c r="V302" s="117" t="str">
        <x:v>Unknown</x:v>
      </x:c>
      <x:c r="W302" s="117" t="str">
        <x:v>Unknown</x:v>
      </x:c>
      <x:c r="X302" s="117" t="str">
        <x:v>Unknown</x:v>
      </x:c>
      <x:c r="Y302" s="117" t="str">
        <x:v>Unknown</x:v>
      </x:c>
      <x:c r="Z302" s="117"/>
      <x:c r="AA302" s="117" t="str">
        <x:v>Pending evidence</x:v>
      </x:c>
      <x:c r="AB302" s="117"/>
      <x:c r="AC302" s="117" t="str">
        <x:v>No qualifying accessibility conclusion established from the screened sources. This is unknown, not evidence that the attraction is inaccessible.</x:v>
      </x:c>
      <x:c r="AD302" s="117" t="str">
        <x:v>2026-09-08</x:v>
      </x:c>
      <x:c r="AE302" s="117" t="str">
        <x:v>MC0299</x:v>
      </x:c>
      <x:c r="AF302" s="117" t="str">
        <x:v>Distinct candidate</x:v>
      </x:c>
      <x:c r="AG302" s="117" t="str"/>
      <x:c r="AH302" s="117" t="str">
        <x:v>Identity and location corroborated</x:v>
      </x:c>
      <x:c r="AI302" s="117" t="str">
        <x:v>https://en.wikipedia.org/wiki/Fort_Alice</x:v>
      </x:c>
      <x:c r="AJ302" s="117" t="str">
        <x:v>Encyclopedic source matches the attraction name or established alias and the stated Malaysian location. This verifies identity/location only; confirm current opening and accessibility separately.</x:v>
      </x:c>
      <x:c r="AK302" s="117" t="str">
        <x:v>Not independently confirmed</x:v>
      </x:c>
      <x:c r="AL302" s="117" t="str">
        <x:v>Screened sources; accessibility unresolved</x:v>
      </x:c>
      <x:c r="AM302" s="117" t="str">
        <x:v>2026-09-08</x:v>
      </x:c>
      <x:c r="AN302" s="117" t="str">
        <x:v>https://upload.wikimedia.org/wikipedia/commons/6/62/Fort_Alice.jpg?utm_source=commons.wikimedia.org&amp;utm_campaign=imageinfo&amp;utm_content=thumbnail_unscaled</x:v>
      </x:c>
      <x:c r="AO302" s="117" t="str">
        <x:v>https://thumb.wikimedia.org/wikipedia/commons/thumb/4/4a/The_newly_restored_Fort_Alice.jpg/1280px-The_newly_restored_Fort_Alice.jpg?utm_source=commons.wikimedia.org&amp;utm_campaign=imageinfo&amp;utm_content=thumbnail</x:v>
      </x:c>
      <x:c r="AP302" s="117" t="str">
        <x:v>2 metadata-matched images; visual review pending</x:v>
      </x:c>
      <x:c r="AQ302" s="117"/>
    </x:row>
    <x:row r="303" ht="66" customHeight="1">
      <x:c r="A303" s="117" t="str">
        <x:v>MC0300</x:v>
      </x:c>
      <x:c r="B303" s="117" t="str">
        <x:v>Sibu Central Market</x:v>
      </x:c>
      <x:c r="C303" s="117" t="str">
        <x:v>Sarawak</x:v>
      </x:c>
      <x:c r="D303" s="117" t="str">
        <x:v>Sibu</x:v>
      </x:c>
      <x:c r="E303" s="117" t="str">
        <x:v>Shopping</x:v>
      </x:c>
      <x:c r="F303" s="117" t="str">
        <x:v>Local</x:v>
      </x:c>
      <x:c r="G303" s="117" t="str">
        <x:v>Indoor</x:v>
      </x:c>
      <x:c r="H303" s="117" t="str">
        <x:v>market; local produce; food</x:v>
      </x:c>
      <x:c r="I303" s="117" t="str">
        <x:v>One of the largest markets in Sarawak, in Sibu, known for its wide range of local produce and food.</x:v>
      </x:c>
      <x:c r="J303" s="117" t="str">
        <x:v>https://www.google.com/maps/search/?api=1&amp;query=Sibu%20Central%20Market%2C%20Sarawak%2C%20Malaysia</x:v>
      </x:c>
      <x:c r="K303" s="117" t="str">
        <x:v>https://ebrochures.malaysia.travel/en/malaysia-travel-guide/sarawak/</x:v>
      </x:c>
      <x:c r="L303" s="117" t="str">
        <x:v>Tourism Malaysia state guide plus map discovery link</x:v>
      </x:c>
      <x:c r="M303" s="117" t="str">
        <x:v>Sarawak expansion batch</x:v>
      </x:c>
      <x:c r="N303" s="117"/>
      <x:c r="O303" s="117" t="str">
        <x:v>2026-08-15 00:00:00</x:v>
      </x:c>
      <x:c r="P303" s="117" t="str">
        <x:v>Complete</x:v>
      </x:c>
      <x:c r="Q303" s="117"/>
      <x:c r="R303" s="117" t="str">
        <x:f t="shared" si="4">IF(J303="","Missing Link",IF(AND(ISNUMBER(SEARCH("google.com/maps",J303)),ISERROR(SEARCH(";",J303))),"Discovery Link Only","Source Link Present"))</x:f>
        <x:v>Discovery Link Only</x:v>
      </x:c>
      <x:c r="S303" s="117" t="str">
        <x:v>Unknown</x:v>
      </x:c>
      <x:c r="T303" s="117" t="str">
        <x:v>Unknown</x:v>
      </x:c>
      <x:c r="U303" s="117" t="str">
        <x:v>Unknown</x:v>
      </x:c>
      <x:c r="V303" s="117" t="str">
        <x:v>Unknown</x:v>
      </x:c>
      <x:c r="W303" s="117" t="str">
        <x:v>Unknown</x:v>
      </x:c>
      <x:c r="X303" s="117" t="str">
        <x:v>Unknown</x:v>
      </x:c>
      <x:c r="Y303" s="117" t="str">
        <x:v>Unknown</x:v>
      </x:c>
      <x:c r="Z303" s="117"/>
      <x:c r="AA303" s="117" t="str">
        <x:v>Pending evidence</x:v>
      </x:c>
      <x:c r="AB303" s="117"/>
      <x:c r="AC303" s="117" t="str">
        <x:v>No qualifying accessibility conclusion established from the screened sources. This is unknown, not evidence that the attraction is inaccessible.</x:v>
      </x:c>
      <x:c r="AD303" s="117" t="str">
        <x:v>2026-09-08</x:v>
      </x:c>
      <x:c r="AE303" s="117" t="str">
        <x:v>MC0300</x:v>
      </x:c>
      <x:c r="AF303" s="117" t="str">
        <x:v>Distinct candidate</x:v>
      </x:c>
      <x:c r="AG303" s="117" t="str"/>
      <x:c r="AH303" s="117" t="str">
        <x:v>Name corroborated in source</x:v>
      </x:c>
      <x:c r="AI303" s="117" t="str">
        <x:v>https://ebrochures.malaysia.travel/en/malaysia-travel-guide/sarawak/</x:v>
      </x:c>
      <x:c r="AJ303" s="117" t="str">
        <x:v>Place name or established alias matched in the cited source. This is not confirmation of current opening, all visitor facilities or the full description.</x:v>
      </x:c>
      <x:c r="AK303" s="117" t="str">
        <x:v>Not independently confirmed</x:v>
      </x:c>
      <x:c r="AL303" s="117" t="str">
        <x:v>Screened sources; accessibility unresolved</x:v>
      </x:c>
      <x:c r="AM303" s="117" t="str">
        <x:v>2026-09-08</x:v>
      </x:c>
      <x:c r="AN303" s="117" t="str">
        <x:v>https://thumb.wikimedia.org/wikipedia/commons/thumb/5/5b/Sibu_Central_Market_%28230924-0816%29.jpg/1280px-Sibu_Central_Market_%28230924-0816%29.jpg?utm_source=commons.wikimedia.org&amp;utm_campaign=imageinfo&amp;utm_content=thumbnail</x:v>
      </x:c>
      <x:c r="AO303" s="117" t="str">
        <x:v>https://thumb.wikimedia.org/wikipedia/commons/thumb/f/f0/Sibu_Market_-_panoramio.jpg/1280px-Sibu_Market_-_panoramio.jpg?utm_source=commons.wikimedia.org&amp;utm_campaign=imageinfo&amp;utm_content=thumbnail</x:v>
      </x:c>
      <x:c r="AP303" s="117" t="str">
        <x:v>2 metadata-matched images; visual review pending</x:v>
      </x:c>
      <x:c r="AQ303" s="117"/>
    </x:row>
    <x:row r="304" ht="66" customHeight="1">
      <x:c r="A304" s="117" t="str">
        <x:v>MC0301</x:v>
      </x:c>
      <x:c r="B304" s="117" t="str">
        <x:v>Sibu Heritage Centre</x:v>
      </x:c>
      <x:c r="C304" s="117" t="str">
        <x:v>Sarawak</x:v>
      </x:c>
      <x:c r="D304" s="117" t="str">
        <x:v>Sibu</x:v>
      </x:c>
      <x:c r="E304" s="117" t="str">
        <x:v>Museum and Gallery</x:v>
      </x:c>
      <x:c r="F304" s="117" t="str">
        <x:v>Local</x:v>
      </x:c>
      <x:c r="G304" s="117" t="str">
        <x:v>Indoor</x:v>
      </x:c>
      <x:c r="H304" s="117" t="str">
        <x:v>town history; culture; museum</x:v>
      </x:c>
      <x:c r="I304" s="117" t="str">
        <x:v>A museum in Sibu documenting the town's Foochow Chinese settlement history.</x:v>
      </x:c>
      <x:c r="J304" s="117" t="str">
        <x:v>https://www.google.com/maps/search/?api=1&amp;query=Sibu%20Heritage%20Centre%2C%20Sarawak%2C%20Malaysia</x:v>
      </x:c>
      <x:c r="K304" s="117" t="str">
        <x:v>https://ebrochures.malaysia.travel/en/malaysia-travel-guide/sarawak/</x:v>
      </x:c>
      <x:c r="L304" s="117" t="str">
        <x:v>Tourism Malaysia state guide plus map discovery link</x:v>
      </x:c>
      <x:c r="M304" s="117" t="str">
        <x:v>Sarawak expansion batch</x:v>
      </x:c>
      <x:c r="N304" s="117"/>
      <x:c r="O304" s="117" t="str">
        <x:v>2026-08-15 00:00:00</x:v>
      </x:c>
      <x:c r="P304" s="117" t="str">
        <x:v>Complete</x:v>
      </x:c>
      <x:c r="Q304" s="117" t="str">
        <x:v>Identity and Malaysian location verified in second-pass review on 2026-09-08.</x:v>
      </x:c>
      <x:c r="R304" s="117" t="str">
        <x:f t="shared" si="4">IF(J304="","Missing Link",IF(AND(ISNUMBER(SEARCH("google.com/maps",J304)),ISERROR(SEARCH(";",J304))),"Discovery Link Only","Source Link Present"))</x:f>
        <x:v>Discovery Link Only</x:v>
      </x:c>
      <x:c r="S304" s="117" t="str">
        <x:v>Not measured</x:v>
      </x:c>
      <x:c r="T304" s="117" t="str">
        <x:v>Ramp documented; compliance unconfirmed</x:v>
      </x:c>
      <x:c r="U304" s="117" t="str">
        <x:v>Unknown</x:v>
      </x:c>
      <x:c r="V304" s="117" t="str">
        <x:v>Unknown</x:v>
      </x:c>
      <x:c r="W304" s="117" t="str">
        <x:v>Unknown</x:v>
      </x:c>
      <x:c r="X304" s="117" t="str">
        <x:v>Indoor museum</x:v>
      </x:c>
      <x:c r="Y304" s="117" t="str">
        <x:v>Conditional on ramp condition and route</x:v>
      </x:c>
      <x:c r="Z304" s="117" t="str">
        <x:v>The project architect describes a ramp to the exhibition area. Confirm its gradient, handrails, landings, entrance transitions and toilet accessibility before travel.</x:v>
      </x:c>
      <x:c r="AA304" s="117" t="str">
        <x:v>Reported support - confirm</x:v>
      </x:c>
      <x:c r="AB304" s="117" t="str">
        <x:v>https://mwaasml.com/projects/sibu-heritage-centre/</x:v>
      </x:c>
      <x:c r="AC304" s="117" t="str">
        <x:v>Ramp to exhibition area</x:v>
      </x:c>
      <x:c r="AD304" s="117" t="str">
        <x:v>2026-09-08</x:v>
      </x:c>
      <x:c r="AE304" s="117" t="str">
        <x:v>MC0301</x:v>
      </x:c>
      <x:c r="AF304" s="117" t="str">
        <x:v>Distinct candidate</x:v>
      </x:c>
      <x:c r="AG304" s="117" t="str"/>
      <x:c r="AH304" s="117" t="str">
        <x:v>Identity and location corroborated</x:v>
      </x:c>
      <x:c r="AI304" s="117" t="str">
        <x:v>https://en.wikipedia.org/wiki/Sibu_Heritage_Centre</x:v>
      </x:c>
      <x:c r="AJ304" s="117" t="str">
        <x:v>Encyclopedic source matches the attraction name or established alias and the stated Malaysian location. This verifies identity/location only; confirm current opening and accessibility separately.</x:v>
      </x:c>
      <x:c r="AK304" s="117" t="str">
        <x:v>Not independently confirmed</x:v>
      </x:c>
      <x:c r="AL304" s="117" t="str">
        <x:v>Secondary design source - route feature only</x:v>
      </x:c>
      <x:c r="AM304" s="117" t="str">
        <x:v>2026-09-08</x:v>
      </x:c>
      <x:c r="AN304" s="117" t="str">
        <x:v>https://thumb.wikimedia.org/wikipedia/commons/thumb/d/de/Sibu_Heritage_Centre.JPG/1280px-Sibu_Heritage_Centre.JPG?utm_source=commons.wikimedia.org&amp;utm_campaign=imageinfo&amp;utm_content=thumbnail</x:v>
      </x:c>
      <x:c r="AO304" s="117" t="str">
        <x:v>https://thumb.wikimedia.org/wikipedia/commons/thumb/0/03/Sibu_Cultural_Heritage_Museum.jpg/1280px-Sibu_Cultural_Heritage_Museum.jpg?utm_source=commons.wikimedia.org&amp;utm_campaign=imageinfo&amp;utm_content=thumbnail</x:v>
      </x:c>
      <x:c r="AP304" s="117" t="str">
        <x:v>2 metadata-matched images; visual review pending</x:v>
      </x:c>
      <x:c r="AQ304" s="117"/>
    </x:row>
    <x:row r="305" ht="66" customHeight="1">
      <x:c r="A305" s="117" t="str">
        <x:v>MC0302</x:v>
      </x:c>
      <x:c r="B305" s="117" t="str">
        <x:v>Lamin Dana Cultural Boutique Lodge</x:v>
      </x:c>
      <x:c r="C305" s="117" t="str">
        <x:v>Sarawak</x:v>
      </x:c>
      <x:c r="D305" s="117" t="str">
        <x:v>Mukah</x:v>
      </x:c>
      <x:c r="E305" s="117" t="str">
        <x:v>Culture</x:v>
      </x:c>
      <x:c r="F305" s="117" t="str">
        <x:v>Rural</x:v>
      </x:c>
      <x:c r="G305" s="117" t="str">
        <x:v>Both</x:v>
      </x:c>
      <x:c r="H305" s="117" t="str">
        <x:v>Melanau culture; village; crafts</x:v>
      </x:c>
      <x:c r="I305" s="117" t="str">
        <x:v>A Melanau cultural lodge in Mukah district, Sarawak.</x:v>
      </x:c>
      <x:c r="J305" s="117" t="str">
        <x:v>https://www.google.com/maps/search/?api=1&amp;query=Lamin%20Dana%20Cultural%20Boutique%20Lodge%2C%20Sarawak%2C%20Malaysia</x:v>
      </x:c>
      <x:c r="K305" s="117" t="str">
        <x:v>https://ebrochures.malaysia.travel/en/malaysia-travel-guide/sarawak/</x:v>
      </x:c>
      <x:c r="L305" s="117" t="str">
        <x:v>Tourism Malaysia state guide plus map discovery link</x:v>
      </x:c>
      <x:c r="M305" s="117" t="str">
        <x:v>Sarawak expansion batch</x:v>
      </x:c>
      <x:c r="N305" s="117"/>
      <x:c r="O305" s="117" t="str">
        <x:v>2026-08-15 00:00:00</x:v>
      </x:c>
      <x:c r="P305" s="117" t="str">
        <x:v>Complete</x:v>
      </x:c>
      <x:c r="Q305" s="117" t="str">
        <x:v>Identity and Malaysian location verified in second-pass review on 2026-09-08.</x:v>
      </x:c>
      <x:c r="R305" s="117" t="str">
        <x:f t="shared" si="4">IF(J305="","Missing Link",IF(AND(ISNUMBER(SEARCH("google.com/maps",J305)),ISERROR(SEARCH(";",J305))),"Discovery Link Only","Source Link Present"))</x:f>
        <x:v>Discovery Link Only</x:v>
      </x:c>
      <x:c r="S305" s="117" t="str">
        <x:v>Unknown</x:v>
      </x:c>
      <x:c r="T305" s="117" t="str">
        <x:v>Unknown</x:v>
      </x:c>
      <x:c r="U305" s="117" t="str">
        <x:v>Unknown</x:v>
      </x:c>
      <x:c r="V305" s="117" t="str">
        <x:v>Unknown</x:v>
      </x:c>
      <x:c r="W305" s="117" t="str">
        <x:v>Unknown</x:v>
      </x:c>
      <x:c r="X305" s="117" t="str">
        <x:v>Unknown</x:v>
      </x:c>
      <x:c r="Y305" s="117" t="str">
        <x:v>Unknown</x:v>
      </x:c>
      <x:c r="Z305" s="117"/>
      <x:c r="AA305" s="117" t="str">
        <x:v>Pending evidence</x:v>
      </x:c>
      <x:c r="AB305" s="117"/>
      <x:c r="AC305" s="117" t="str">
        <x:v>No qualifying accessibility conclusion established from the screened sources. This is unknown, not evidence that the attraction is inaccessible.</x:v>
      </x:c>
      <x:c r="AD305" s="117" t="str">
        <x:v>2026-09-08</x:v>
      </x:c>
      <x:c r="AE305" s="117" t="str">
        <x:v>MC0302</x:v>
      </x:c>
      <x:c r="AF305" s="117" t="str">
        <x:v>Distinct candidate</x:v>
      </x:c>
      <x:c r="AG305" s="117" t="str"/>
      <x:c r="AH305" s="117" t="str">
        <x:v>Identity and location corroborated</x:v>
      </x:c>
      <x:c r="AI305" s="117" t="str">
        <x:v>https://www.lamindana.com/about-us.php</x:v>
      </x:c>
      <x:c r="AJ305" s="117" t="str">
        <x:v>Venue/operator source matches the attraction name or established alias and the stated Malaysian location. This verifies identity/location only; confirm current opening and accessibility separately.</x:v>
      </x:c>
      <x:c r="AK305" s="117" t="str">
        <x:v>Not independently confirmed</x:v>
      </x:c>
      <x:c r="AL305" s="117" t="str">
        <x:v>Screened sources; accessibility unresolved</x:v>
      </x:c>
      <x:c r="AM305" s="117" t="str">
        <x:v>2026-09-08</x:v>
      </x:c>
      <x:c r="AN305" s="117"/>
      <x:c r="AO305" s="117"/>
      <x:c r="AP305" s="117" t="str">
        <x:v>No usable pair located; image research pending</x:v>
      </x:c>
      <x:c r="AQ305" s="117"/>
    </x:row>
    <x:row r="306" ht="66" customHeight="1">
      <x:c r="A306" s="117" t="str">
        <x:v>MC0303</x:v>
      </x:c>
      <x:c r="B306" s="117" t="str">
        <x:v>Similajau National Park</x:v>
      </x:c>
      <x:c r="C306" s="117" t="str">
        <x:v>Sarawak</x:v>
      </x:c>
      <x:c r="D306" s="117" t="str">
        <x:v>Bintulu</x:v>
      </x:c>
      <x:c r="E306" s="117" t="str">
        <x:v>Nature</x:v>
      </x:c>
      <x:c r="F306" s="117" t="str">
        <x:v>Popular</x:v>
      </x:c>
      <x:c r="G306" s="117" t="str">
        <x:v>Outdoor</x:v>
      </x:c>
      <x:c r="H306" s="117" t="str">
        <x:v>coast; rainforest; hiking</x:v>
      </x:c>
      <x:c r="I306" s="117" t="str">
        <x:v>A coastal rainforest park near Bintulu, Sarawak, known for its beaches and wildlife.</x:v>
      </x:c>
      <x:c r="J306" s="117" t="str">
        <x:v>https://www.google.com/maps/search/?api=1&amp;query=Similajau%20National%20Park%2C%20Sarawak%2C%20Malaysia</x:v>
      </x:c>
      <x:c r="K306" s="117" t="str">
        <x:v>https://ebrochures.malaysia.travel/en/malaysia-travel-guide/sarawak/</x:v>
      </x:c>
      <x:c r="L306" s="117" t="str">
        <x:v>Tourism Malaysia state guide plus map discovery link</x:v>
      </x:c>
      <x:c r="M306" s="117" t="str">
        <x:v>Sarawak expansion batch</x:v>
      </x:c>
      <x:c r="N306" s="117"/>
      <x:c r="O306" s="117" t="str">
        <x:v>2026-08-15 00:00:00</x:v>
      </x:c>
      <x:c r="P306" s="117" t="str">
        <x:v>Complete</x:v>
      </x:c>
      <x:c r="Q306" s="117"/>
      <x:c r="R306" s="117" t="str">
        <x:f t="shared" si="4">IF(J306="","Missing Link",IF(AND(ISNUMBER(SEARCH("google.com/maps",J306)),ISERROR(SEARCH(";",J306))),"Discovery Link Only","Source Link Present"))</x:f>
        <x:v>Discovery Link Only</x:v>
      </x:c>
      <x:c r="S306" s="117" t="str">
        <x:v>Unknown</x:v>
      </x:c>
      <x:c r="T306" s="117" t="str">
        <x:v>Unknown</x:v>
      </x:c>
      <x:c r="U306" s="117" t="str">
        <x:v>Unknown</x:v>
      </x:c>
      <x:c r="V306" s="117" t="str">
        <x:v>Unknown</x:v>
      </x:c>
      <x:c r="W306" s="117" t="str">
        <x:v>Unknown</x:v>
      </x:c>
      <x:c r="X306" s="117" t="str">
        <x:v>Unknown</x:v>
      </x:c>
      <x:c r="Y306" s="117" t="str">
        <x:v>Unknown</x:v>
      </x:c>
      <x:c r="Z306" s="117"/>
      <x:c r="AA306" s="117" t="str">
        <x:v>Pending evidence</x:v>
      </x:c>
      <x:c r="AB306" s="117"/>
      <x:c r="AC306" s="117" t="str">
        <x:v>No qualifying accessibility conclusion established from the screened sources. This is unknown, not evidence that the attraction is inaccessible.</x:v>
      </x:c>
      <x:c r="AD306" s="117" t="str">
        <x:v>2026-09-08</x:v>
      </x:c>
      <x:c r="AE306" s="117" t="str">
        <x:v>MC0303</x:v>
      </x:c>
      <x:c r="AF306" s="117" t="str">
        <x:v>Distinct candidate</x:v>
      </x:c>
      <x:c r="AG306" s="117" t="str"/>
      <x:c r="AH306" s="117" t="str">
        <x:v>Name corroborated in source</x:v>
      </x:c>
      <x:c r="AI306" s="117" t="str">
        <x:v>https://ebrochures.malaysia.travel/en/malaysia-travel-guide/sarawak/</x:v>
      </x:c>
      <x:c r="AJ306" s="117" t="str">
        <x:v>Place name or established alias matched in the cited source. This is not confirmation of current opening, all visitor facilities or the full description.</x:v>
      </x:c>
      <x:c r="AK306" s="117" t="str">
        <x:v>Not independently confirmed</x:v>
      </x:c>
      <x:c r="AL306" s="117" t="str">
        <x:v>Screened sources; accessibility unresolved</x:v>
      </x:c>
      <x:c r="AM306" s="117" t="str">
        <x:v>2026-09-08</x:v>
      </x:c>
      <x:c r="AN306" s="117" t="str">
        <x:v>https://thumb.wikimedia.org/wikipedia/commons/thumb/2/23/Long-legged_Centipede_%28Scutigeromorpha%29_%288440622595%29.jpg/1280px-Long-legged_Centipede_%28Scutigeromorpha%29_%288440622595%29.jpg?utm_source=commons.wikimedia.org&amp;utm_campaign=imageinfo&amp;utm_content=thumbnail</x:v>
      </x:c>
      <x:c r="AO306" s="117" t="str">
        <x:v>https://thumb.wikimedia.org/wikipedia/commons/thumb/6/60/Palm_Kings_%28Amathusia_phidippus%29_%286760963785%29.jpg/1280px-Palm_Kings_%28Amathusia_phidippus%29_%286760963785%29.jpg?utm_source=commons.wikimedia.org&amp;utm_campaign=imageinfo&amp;utm_content=thumbnail</x:v>
      </x:c>
      <x:c r="AP306" s="117" t="str">
        <x:v>2 metadata-matched images; visual review pending</x:v>
      </x:c>
      <x:c r="AQ306" s="117"/>
    </x:row>
    <x:row r="307" ht="66" customHeight="1">
      <x:c r="A307" s="117" t="str">
        <x:v>MC0304</x:v>
      </x:c>
      <x:c r="B307" s="117" t="str">
        <x:v>Taman Tumbina</x:v>
      </x:c>
      <x:c r="C307" s="117" t="str">
        <x:v>Sarawak</x:v>
      </x:c>
      <x:c r="D307" s="117" t="str">
        <x:v>Bintulu</x:v>
      </x:c>
      <x:c r="E307" s="117" t="str">
        <x:v>Wildlife</x:v>
      </x:c>
      <x:c r="F307" s="117" t="str">
        <x:v>Local</x:v>
      </x:c>
      <x:c r="G307" s="117" t="str">
        <x:v>Outdoor</x:v>
      </x:c>
      <x:c r="H307" s="117" t="str">
        <x:v>botanical garden; animals; family</x:v>
      </x:c>
      <x:c r="I307" s="117" t="str">
        <x:v>A wildlife and botanical park in Bintulu, Sarawak, combining a zoo and gardens.</x:v>
      </x:c>
      <x:c r="J307" s="117" t="str">
        <x:v>https://www.google.com/maps/search/?api=1&amp;query=Taman%20Tumbina%2C%20Sarawak%2C%20Malaysia</x:v>
      </x:c>
      <x:c r="K307" s="117" t="str">
        <x:v>https://ebrochures.malaysia.travel/en/malaysia-travel-guide/sarawak/</x:v>
      </x:c>
      <x:c r="L307" s="117" t="str">
        <x:v>Tourism Malaysia state guide plus map discovery link</x:v>
      </x:c>
      <x:c r="M307" s="117" t="str">
        <x:v>Sarawak expansion batch</x:v>
      </x:c>
      <x:c r="N307" s="117"/>
      <x:c r="O307" s="117" t="str">
        <x:v>2026-08-15 00:00:00</x:v>
      </x:c>
      <x:c r="P307" s="117" t="str">
        <x:v>Complete</x:v>
      </x:c>
      <x:c r="Q307" s="117"/>
      <x:c r="R307" s="117" t="str">
        <x:f t="shared" si="4">IF(J307="","Missing Link",IF(AND(ISNUMBER(SEARCH("google.com/maps",J307)),ISERROR(SEARCH(";",J307))),"Discovery Link Only","Source Link Present"))</x:f>
        <x:v>Discovery Link Only</x:v>
      </x:c>
      <x:c r="S307" s="117" t="str">
        <x:v>Unknown</x:v>
      </x:c>
      <x:c r="T307" s="117" t="str">
        <x:v>Unknown</x:v>
      </x:c>
      <x:c r="U307" s="117" t="str">
        <x:v>Unknown</x:v>
      </x:c>
      <x:c r="V307" s="117" t="str">
        <x:v>Unknown</x:v>
      </x:c>
      <x:c r="W307" s="117" t="str">
        <x:v>Unknown</x:v>
      </x:c>
      <x:c r="X307" s="117" t="str">
        <x:v>Unknown</x:v>
      </x:c>
      <x:c r="Y307" s="117" t="str">
        <x:v>Unknown</x:v>
      </x:c>
      <x:c r="Z307" s="117"/>
      <x:c r="AA307" s="117" t="str">
        <x:v>Pending evidence</x:v>
      </x:c>
      <x:c r="AB307" s="117"/>
      <x:c r="AC307" s="117" t="str">
        <x:v>No qualifying accessibility conclusion established from the screened sources. This is unknown, not evidence that the attraction is inaccessible.</x:v>
      </x:c>
      <x:c r="AD307" s="117" t="str">
        <x:v>2026-09-08</x:v>
      </x:c>
      <x:c r="AE307" s="117" t="str">
        <x:v>MC0304</x:v>
      </x:c>
      <x:c r="AF307" s="117" t="str">
        <x:v>Distinct candidate</x:v>
      </x:c>
      <x:c r="AG307" s="117" t="str"/>
      <x:c r="AH307" s="117" t="str">
        <x:v>Name corroborated in source</x:v>
      </x:c>
      <x:c r="AI307" s="117" t="str">
        <x:v>https://ebrochures.malaysia.travel/en/malaysia-travel-guide/sarawak/</x:v>
      </x:c>
      <x:c r="AJ307" s="117" t="str">
        <x:v>Place name or established alias matched in the cited source. This is not confirmation of current opening, all visitor facilities or the full description.</x:v>
      </x:c>
      <x:c r="AK307" s="117" t="str">
        <x:v>Not independently confirmed</x:v>
      </x:c>
      <x:c r="AL307" s="117" t="str">
        <x:v>Screened sources; accessibility unresolved</x:v>
      </x:c>
      <x:c r="AM307" s="117" t="str">
        <x:v>2026-09-08</x:v>
      </x:c>
      <x:c r="AN307" s="117" t="str">
        <x:v>https://upload.wikimedia.org/wikipedia/commons/c/c0/Tmn_tumbina.jpg?utm_source=commons.wikimedia.org&amp;utm_campaign=imageinfo&amp;utm_content=thumbnail_unscaled</x:v>
      </x:c>
      <x:c r="AO307" s="117"/>
      <x:c r="AP307" s="117" t="str">
        <x:v>1 metadata-matched images; visual review pending</x:v>
      </x:c>
      <x:c r="AQ307" s="117"/>
    </x:row>
    <x:row r="308" ht="66" customHeight="1">
      <x:c r="A308" s="117" t="str">
        <x:v>MC0305</x:v>
      </x:c>
      <x:c r="B308" s="117" t="str">
        <x:v>Miri-Sibuti Coral Reefs National Park</x:v>
      </x:c>
      <x:c r="C308" s="117" t="str">
        <x:v>Sarawak</x:v>
      </x:c>
      <x:c r="D308" s="117" t="str">
        <x:v>Miri</x:v>
      </x:c>
      <x:c r="E308" s="117" t="str">
        <x:v>Beach and Island</x:v>
      </x:c>
      <x:c r="F308" s="117" t="str">
        <x:v>Underrated</x:v>
      </x:c>
      <x:c r="G308" s="117" t="str">
        <x:v>Outdoor</x:v>
      </x:c>
      <x:c r="H308" s="117" t="str">
        <x:v>diving; coral reefs; marine park</x:v>
      </x:c>
      <x:c r="I308" s="117" t="str">
        <x:v>A marine park off Miri, Sarawak, protecting coral reefs and popular for diving.</x:v>
      </x:c>
      <x:c r="J308" s="117" t="str">
        <x:v>https://www.google.com/maps/search/?api=1&amp;query=Miri-Sibuti%20Coral%20Reefs%20National%20Park%2C%20Sarawak%2C%20Malaysia</x:v>
      </x:c>
      <x:c r="K308" s="117" t="str">
        <x:v>https://ebrochures.malaysia.travel/en/malaysia-travel-guide/sarawak/</x:v>
      </x:c>
      <x:c r="L308" s="117" t="str">
        <x:v>Tourism Malaysia state guide plus map discovery link</x:v>
      </x:c>
      <x:c r="M308" s="117" t="str">
        <x:v>Sarawak expansion batch</x:v>
      </x:c>
      <x:c r="N308" s="117"/>
      <x:c r="O308" s="117" t="str">
        <x:v>2026-08-15 00:00:00</x:v>
      </x:c>
      <x:c r="P308" s="117" t="str">
        <x:v>Complete</x:v>
      </x:c>
      <x:c r="Q308" s="117" t="str">
        <x:v>Identity and Malaysian location verified in second-pass review on 2026-09-08.</x:v>
      </x:c>
      <x:c r="R308" s="117" t="str">
        <x:f t="shared" si="4">IF(J308="","Missing Link",IF(AND(ISNUMBER(SEARCH("google.com/maps",J308)),ISERROR(SEARCH(";",J308))),"Discovery Link Only","Source Link Present"))</x:f>
        <x:v>Discovery Link Only</x:v>
      </x:c>
      <x:c r="S308" s="117" t="str">
        <x:v>Unknown</x:v>
      </x:c>
      <x:c r="T308" s="117" t="str">
        <x:v>Unknown</x:v>
      </x:c>
      <x:c r="U308" s="117" t="str">
        <x:v>Unknown</x:v>
      </x:c>
      <x:c r="V308" s="117" t="str">
        <x:v>Unknown</x:v>
      </x:c>
      <x:c r="W308" s="117" t="str">
        <x:v>Unknown</x:v>
      </x:c>
      <x:c r="X308" s="117" t="str">
        <x:v>Unknown</x:v>
      </x:c>
      <x:c r="Y308" s="117" t="str">
        <x:v>Unknown</x:v>
      </x:c>
      <x:c r="Z308" s="117"/>
      <x:c r="AA308" s="117" t="str">
        <x:v>Pending evidence</x:v>
      </x:c>
      <x:c r="AB308" s="117"/>
      <x:c r="AC308" s="117" t="str">
        <x:v>No qualifying accessibility conclusion established from the screened sources. This is unknown, not evidence that the attraction is inaccessible.</x:v>
      </x:c>
      <x:c r="AD308" s="117" t="str">
        <x:v>2026-09-08</x:v>
      </x:c>
      <x:c r="AE308" s="117" t="str">
        <x:v>MC0305</x:v>
      </x:c>
      <x:c r="AF308" s="117" t="str">
        <x:v>Distinct candidate</x:v>
      </x:c>
      <x:c r="AG308" s="117" t="str"/>
      <x:c r="AH308" s="117" t="str">
        <x:v>Identity and location corroborated</x:v>
      </x:c>
      <x:c r="AI308" s="117" t="str">
        <x:v>https://www.sarawaktourism.com/web/places-to-visit/town-view/miri/major-attractions/miri-sibuti-coral-reefs-national-park</x:v>
      </x:c>
      <x:c r="AJ308" s="117" t="str">
        <x:v>Official state tourism source matches the attraction name or established alias and the stated Malaysian location. This verifies identity/location only; confirm current opening and accessibility separately.</x:v>
      </x:c>
      <x:c r="AK308" s="117" t="str">
        <x:v>Not independently confirmed</x:v>
      </x:c>
      <x:c r="AL308" s="117" t="str">
        <x:v>Screened sources; accessibility unresolved</x:v>
      </x:c>
      <x:c r="AM308" s="117" t="str">
        <x:v>2026-09-08</x:v>
      </x:c>
      <x:c r="AN308" s="117"/>
      <x:c r="AO308" s="117"/>
      <x:c r="AP308" s="117" t="str">
        <x:v>No usable pair located; image research pending</x:v>
      </x:c>
      <x:c r="AQ308" s="117"/>
    </x:row>
    <x:row r="309" ht="66" customHeight="1">
      <x:c r="A309" s="117" t="str">
        <x:v>MC0306</x:v>
      </x:c>
      <x:c r="B309" s="117" t="str">
        <x:v>Canada Hill and The Grand Old Lady</x:v>
      </x:c>
      <x:c r="C309" s="117" t="str">
        <x:v>Sarawak</x:v>
      </x:c>
      <x:c r="D309" s="117" t="str">
        <x:v>Miri</x:v>
      </x:c>
      <x:c r="E309" s="117" t="str">
        <x:v>Heritage and History</x:v>
      </x:c>
      <x:c r="F309" s="117" t="str">
        <x:v>Popular</x:v>
      </x:c>
      <x:c r="G309" s="117" t="str">
        <x:v>Both</x:v>
      </x:c>
      <x:c r="H309" s="117" t="str">
        <x:v>oil history; viewpoint; museum</x:v>
      </x:c>
      <x:c r="I309" s="117" t="str">
        <x:v>A hill in Miri, Sarawak, home to the Grand Old Lady, Malaysia's first oil well, and a related petroleum museum.</x:v>
      </x:c>
      <x:c r="J309" s="117" t="str">
        <x:v>https://www.google.com/maps/search/?api=1&amp;query=Canada%20Hill%20and%20The%20Grand%20Old%20Lady%2C%20Sarawak%2C%20Malaysia</x:v>
      </x:c>
      <x:c r="K309" s="117" t="str">
        <x:v>https://ebrochures.malaysia.travel/en/malaysia-travel-guide/sarawak/</x:v>
      </x:c>
      <x:c r="L309" s="117" t="str">
        <x:v>Tourism Malaysia state guide plus map discovery link</x:v>
      </x:c>
      <x:c r="M309" s="117" t="str">
        <x:v>Sarawak expansion batch</x:v>
      </x:c>
      <x:c r="N309" s="117"/>
      <x:c r="O309" s="117" t="str">
        <x:v>2026-08-15 00:00:00</x:v>
      </x:c>
      <x:c r="P309" s="117" t="str">
        <x:v>Complete</x:v>
      </x:c>
      <x:c r="Q309" s="117"/>
      <x:c r="R309" s="117" t="str">
        <x:f t="shared" si="4">IF(J309="","Missing Link",IF(AND(ISNUMBER(SEARCH("google.com/maps",J309)),ISERROR(SEARCH(";",J309))),"Discovery Link Only","Source Link Present"))</x:f>
        <x:v>Discovery Link Only</x:v>
      </x:c>
      <x:c r="S309" s="117" t="str">
        <x:v>Unknown</x:v>
      </x:c>
      <x:c r="T309" s="117" t="str">
        <x:v>Unknown</x:v>
      </x:c>
      <x:c r="U309" s="117" t="str">
        <x:v>Unknown</x:v>
      </x:c>
      <x:c r="V309" s="117" t="str">
        <x:v>Unknown</x:v>
      </x:c>
      <x:c r="W309" s="117" t="str">
        <x:v>Unknown</x:v>
      </x:c>
      <x:c r="X309" s="117" t="str">
        <x:v>Unknown</x:v>
      </x:c>
      <x:c r="Y309" s="117" t="str">
        <x:v>Unknown</x:v>
      </x:c>
      <x:c r="Z309" s="117"/>
      <x:c r="AA309" s="117" t="str">
        <x:v>Pending evidence</x:v>
      </x:c>
      <x:c r="AB309" s="117"/>
      <x:c r="AC309" s="117" t="str">
        <x:v>No qualifying accessibility conclusion established from the screened sources. This is unknown, not evidence that the attraction is inaccessible.</x:v>
      </x:c>
      <x:c r="AD309" s="117" t="str">
        <x:v>2026-09-08</x:v>
      </x:c>
      <x:c r="AE309" s="117" t="str">
        <x:v>MC0306</x:v>
      </x:c>
      <x:c r="AF309" s="117" t="str">
        <x:v>Distinct candidate</x:v>
      </x:c>
      <x:c r="AG309" s="117" t="str"/>
      <x:c r="AH309" s="117" t="str">
        <x:v>Name corroborated in source</x:v>
      </x:c>
      <x:c r="AI309" s="117" t="str">
        <x:v>https://ebrochures.malaysia.travel/en/malaysia-travel-guide/sarawak/</x:v>
      </x:c>
      <x:c r="AJ309" s="117" t="str">
        <x:v>Place name or established alias matched in the cited source. This is not confirmation of current opening, all visitor facilities or the full description.</x:v>
      </x:c>
      <x:c r="AK309" s="117" t="str">
        <x:v>Not independently confirmed</x:v>
      </x:c>
      <x:c r="AL309" s="117" t="str">
        <x:v>Screened sources; accessibility unresolved</x:v>
      </x:c>
      <x:c r="AM309" s="117" t="str">
        <x:v>2026-09-08</x:v>
      </x:c>
      <x:c r="AN309" s="117"/>
      <x:c r="AO309" s="117"/>
      <x:c r="AP309" s="117" t="str">
        <x:v>No usable pair located; image research pending</x:v>
      </x:c>
      <x:c r="AQ309" s="117"/>
    </x:row>
    <x:row r="310" ht="66" customHeight="1">
      <x:c r="A310" s="117" t="str">
        <x:v>MC0307</x:v>
      </x:c>
      <x:c r="B310" s="117" t="str">
        <x:v>Bukit Mas</x:v>
      </x:c>
      <x:c r="C310" s="117" t="str">
        <x:v>Sarawak</x:v>
      </x:c>
      <x:c r="D310" s="117" t="str">
        <x:v>Limbang</x:v>
      </x:c>
      <x:c r="E310" s="117" t="str">
        <x:v>Nature</x:v>
      </x:c>
      <x:c r="F310" s="117" t="str">
        <x:v>Local</x:v>
      </x:c>
      <x:c r="G310" s="117" t="str">
        <x:v>Outdoor</x:v>
      </x:c>
      <x:c r="H310" s="117" t="str">
        <x:v>hill; hiking; viewpoint</x:v>
      </x:c>
      <x:c r="I310" s="117" t="str">
        <x:v>A hill and nature site in Limbang district, Sarawak.</x:v>
      </x:c>
      <x:c r="J310" s="117" t="str">
        <x:v>https://www.google.com/maps/search/?api=1&amp;query=Bukit%20Mas%2C%20Sarawak%2C%20Malaysia</x:v>
      </x:c>
      <x:c r="K310" s="117" t="str">
        <x:v>https://ebrochures.malaysia.travel/en/malaysia-travel-guide/sarawak/</x:v>
      </x:c>
      <x:c r="L310" s="117" t="str">
        <x:v>Tourism Malaysia state guide plus map discovery link</x:v>
      </x:c>
      <x:c r="M310" s="117" t="str">
        <x:v>Sarawak expansion batch</x:v>
      </x:c>
      <x:c r="N310" s="117"/>
      <x:c r="O310" s="117" t="str">
        <x:v>2026-08-15 00:00:00</x:v>
      </x:c>
      <x:c r="P310" s="117" t="str">
        <x:v>Complete</x:v>
      </x:c>
      <x:c r="Q310" s="117" t="str">
        <x:v>Identity and Malaysian location verified in second-pass review on 2026-09-08.</x:v>
      </x:c>
      <x:c r="R310" s="117" t="str">
        <x:f t="shared" si="4">IF(J310="","Missing Link",IF(AND(ISNUMBER(SEARCH("google.com/maps",J310)),ISERROR(SEARCH(";",J310))),"Discovery Link Only","Source Link Present"))</x:f>
        <x:v>Discovery Link Only</x:v>
      </x:c>
      <x:c r="S310" s="117" t="str">
        <x:v>Unknown</x:v>
      </x:c>
      <x:c r="T310" s="117" t="str">
        <x:v>Unknown</x:v>
      </x:c>
      <x:c r="U310" s="117" t="str">
        <x:v>Unknown</x:v>
      </x:c>
      <x:c r="V310" s="117" t="str">
        <x:v>Unknown</x:v>
      </x:c>
      <x:c r="W310" s="117" t="str">
        <x:v>Unknown</x:v>
      </x:c>
      <x:c r="X310" s="117" t="str">
        <x:v>Unknown</x:v>
      </x:c>
      <x:c r="Y310" s="117" t="str">
        <x:v>Unknown</x:v>
      </x:c>
      <x:c r="Z310" s="117"/>
      <x:c r="AA310" s="117" t="str">
        <x:v>Pending evidence</x:v>
      </x:c>
      <x:c r="AB310" s="117"/>
      <x:c r="AC310" s="117" t="str">
        <x:v>No qualifying accessibility conclusion established from the screened sources. This is unknown, not evidence that the attraction is inaccessible.</x:v>
      </x:c>
      <x:c r="AD310" s="117" t="str">
        <x:v>2026-09-08</x:v>
      </x:c>
      <x:c r="AE310" s="117" t="str">
        <x:v>MC0307</x:v>
      </x:c>
      <x:c r="AF310" s="117" t="str">
        <x:v>Distinct candidate</x:v>
      </x:c>
      <x:c r="AG310" s="117" t="str"/>
      <x:c r="AH310" s="117" t="str">
        <x:v>Identity and location corroborated</x:v>
      </x:c>
      <x:c r="AI310" s="117" t="str">
        <x:v>https://en.wikipedia.org/wiki/Bukit_Mas</x:v>
      </x:c>
      <x:c r="AJ310" s="117" t="str">
        <x:v>Encyclopedic source matches the attraction name or established alias and the stated Malaysian location. This verifies identity/location only; confirm current opening and accessibility separately.</x:v>
      </x:c>
      <x:c r="AK310" s="117" t="str">
        <x:v>Not independently confirmed</x:v>
      </x:c>
      <x:c r="AL310" s="117" t="str">
        <x:v>Screened sources; accessibility unresolved</x:v>
      </x:c>
      <x:c r="AM310" s="117" t="str">
        <x:v>2026-09-08</x:v>
      </x:c>
      <x:c r="AN310" s="117" t="str">
        <x:v>https://thumb.wikimedia.org/wikipedia/commons/thumb/c/cb/Sekolah_Alam_Leuser%2C_Bukit_Mas.png/1280px-Sekolah_Alam_Leuser%2C_Bukit_Mas.png?utm_source=commons.wikimedia.org&amp;utm_campaign=imageinfo&amp;utm_content=thumbnail</x:v>
      </x:c>
      <x:c r="AO310" s="117" t="str">
        <x:v>https://thumb.wikimedia.org/wikipedia/commons/thumb/2/2b/Wisata_lampung_bukit_mas.jpg/1280px-Wisata_lampung_bukit_mas.jpg?utm_source=commons.wikimedia.org&amp;utm_campaign=imageinfo&amp;utm_content=thumbnail</x:v>
      </x:c>
      <x:c r="AP310" s="117" t="str">
        <x:v>2 metadata-matched images; visual review pending</x:v>
      </x:c>
      <x:c r="AQ310" s="117"/>
    </x:row>
    <x:row r="311" ht="66" customHeight="1">
      <x:c r="A311" s="117" t="str">
        <x:v>MC0308</x:v>
      </x:c>
      <x:c r="B311" s="117" t="str">
        <x:v>Ba'kelalan Highlands</x:v>
      </x:c>
      <x:c r="C311" s="117" t="str">
        <x:v>Sarawak</x:v>
      </x:c>
      <x:c r="D311" s="117" t="str">
        <x:v>Lawas</x:v>
      </x:c>
      <x:c r="E311" s="117" t="str">
        <x:v>Culture</x:v>
      </x:c>
      <x:c r="F311" s="117" t="str">
        <x:v>Rural</x:v>
      </x:c>
      <x:c r="G311" s="117" t="str">
        <x:v>Both</x:v>
      </x:c>
      <x:c r="H311" s="117" t="str">
        <x:v>highland village; Lun Bawang; salt</x:v>
      </x:c>
      <x:c r="I311" s="117" t="str">
        <x:v>A remote highland farming community near the Kalimantan border in Lawas district, Sarawak, known for rice terraces and apple orchards.</x:v>
      </x:c>
      <x:c r="J311" s="117" t="str">
        <x:v>https://www.google.com/maps/search/?api=1&amp;query=Ba'kelalan%20Highlands%2C%20Sarawak%2C%20Malaysia</x:v>
      </x:c>
      <x:c r="K311" s="117" t="str">
        <x:v>https://ebrochures.malaysia.travel/en/malaysia-travel-guide/sarawak/</x:v>
      </x:c>
      <x:c r="L311" s="117" t="str">
        <x:v>Tourism Malaysia state guide plus map discovery link</x:v>
      </x:c>
      <x:c r="M311" s="117" t="str">
        <x:v>Sarawak expansion batch</x:v>
      </x:c>
      <x:c r="N311" s="117"/>
      <x:c r="O311" s="117" t="str">
        <x:v>2026-08-15 00:00:00</x:v>
      </x:c>
      <x:c r="P311" s="117" t="str">
        <x:v>Complete</x:v>
      </x:c>
      <x:c r="Q311" s="117"/>
      <x:c r="R311" s="117" t="str">
        <x:f t="shared" si="4">IF(J311="","Missing Link",IF(AND(ISNUMBER(SEARCH("google.com/maps",J311)),ISERROR(SEARCH(";",J311))),"Discovery Link Only","Source Link Present"))</x:f>
        <x:v>Discovery Link Only</x:v>
      </x:c>
      <x:c r="S311" s="117" t="str">
        <x:v>Unknown</x:v>
      </x:c>
      <x:c r="T311" s="117" t="str">
        <x:v>Unknown</x:v>
      </x:c>
      <x:c r="U311" s="117" t="str">
        <x:v>Unknown</x:v>
      </x:c>
      <x:c r="V311" s="117" t="str">
        <x:v>Unknown</x:v>
      </x:c>
      <x:c r="W311" s="117" t="str">
        <x:v>Unknown</x:v>
      </x:c>
      <x:c r="X311" s="117" t="str">
        <x:v>Unknown</x:v>
      </x:c>
      <x:c r="Y311" s="117" t="str">
        <x:v>Unknown</x:v>
      </x:c>
      <x:c r="Z311" s="117"/>
      <x:c r="AA311" s="117" t="str">
        <x:v>Pending evidence</x:v>
      </x:c>
      <x:c r="AB311" s="117"/>
      <x:c r="AC311" s="117" t="str">
        <x:v>No qualifying accessibility conclusion established from the screened sources. This is unknown, not evidence that the attraction is inaccessible.</x:v>
      </x:c>
      <x:c r="AD311" s="117" t="str">
        <x:v>2026-09-08</x:v>
      </x:c>
      <x:c r="AE311" s="117" t="str">
        <x:v>MC0308</x:v>
      </x:c>
      <x:c r="AF311" s="117" t="str">
        <x:v>Distinct candidate</x:v>
      </x:c>
      <x:c r="AG311" s="117" t="str"/>
      <x:c r="AH311" s="117" t="str">
        <x:v>Name corroborated in source</x:v>
      </x:c>
      <x:c r="AI311" s="117" t="str">
        <x:v>https://ebrochures.malaysia.travel/en/malaysia-travel-guide/sarawak/</x:v>
      </x:c>
      <x:c r="AJ311" s="117" t="str">
        <x:v>Place name or established alias matched in the cited source. This is not confirmation of current opening, all visitor facilities or the full description.</x:v>
      </x:c>
      <x:c r="AK311" s="117" t="str">
        <x:v>Not independently confirmed</x:v>
      </x:c>
      <x:c r="AL311" s="117" t="str">
        <x:v>Screened sources; accessibility unresolved</x:v>
      </x:c>
      <x:c r="AM311" s="117" t="str">
        <x:v>2026-09-08</x:v>
      </x:c>
      <x:c r="AN311" s="117"/>
      <x:c r="AO311" s="117"/>
      <x:c r="AP311" s="117" t="str">
        <x:v>No usable pair located; image research pending</x:v>
      </x:c>
      <x:c r="AQ311" s="117"/>
    </x:row>
    <x:row r="312" ht="66" customHeight="1">
      <x:c r="A312" s="117" t="str">
        <x:v>MC0309</x:v>
      </x:c>
      <x:c r="B312" s="117" t="str">
        <x:v>Bario Highlands</x:v>
      </x:c>
      <x:c r="C312" s="117" t="str">
        <x:v>Sarawak</x:v>
      </x:c>
      <x:c r="D312" s="117" t="str">
        <x:v>Bario</x:v>
      </x:c>
      <x:c r="E312" s="117" t="str">
        <x:v>Culture</x:v>
      </x:c>
      <x:c r="F312" s="117" t="str">
        <x:v>Rural</x:v>
      </x:c>
      <x:c r="G312" s="117" t="str">
        <x:v>Both</x:v>
      </x:c>
      <x:c r="H312" s="117" t="str">
        <x:v>Kelabit culture; highland; trekking</x:v>
      </x:c>
      <x:c r="I312" s="117" t="str">
        <x:v>A remote highland region in the Kelabit Highlands, Sarawak, accessible mainly by air, known for trekking and Kelabit longhouse culture.</x:v>
      </x:c>
      <x:c r="J312" s="117" t="str">
        <x:v>https://www.google.com/maps/search/?api=1&amp;query=Bario%20Highlands%2C%20Sarawak%2C%20Malaysia</x:v>
      </x:c>
      <x:c r="K312" s="117" t="str">
        <x:v>https://ebrochures.malaysia.travel/en/malaysia-travel-guide/sarawak/</x:v>
      </x:c>
      <x:c r="L312" s="117" t="str">
        <x:v>Tourism Malaysia state guide plus map discovery link</x:v>
      </x:c>
      <x:c r="M312" s="117" t="str">
        <x:v>Sarawak expansion batch</x:v>
      </x:c>
      <x:c r="N312" s="117"/>
      <x:c r="O312" s="117" t="str">
        <x:v>2026-08-15 00:00:00</x:v>
      </x:c>
      <x:c r="P312" s="117" t="str">
        <x:v>Complete</x:v>
      </x:c>
      <x:c r="Q312" s="117"/>
      <x:c r="R312" s="117" t="str">
        <x:f t="shared" si="4">IF(J312="","Missing Link",IF(AND(ISNUMBER(SEARCH("google.com/maps",J312)),ISERROR(SEARCH(";",J312))),"Discovery Link Only","Source Link Present"))</x:f>
        <x:v>Discovery Link Only</x:v>
      </x:c>
      <x:c r="S312" s="117" t="str">
        <x:v>Unknown</x:v>
      </x:c>
      <x:c r="T312" s="117" t="str">
        <x:v>Unknown</x:v>
      </x:c>
      <x:c r="U312" s="117" t="str">
        <x:v>Unknown</x:v>
      </x:c>
      <x:c r="V312" s="117" t="str">
        <x:v>Unknown</x:v>
      </x:c>
      <x:c r="W312" s="117" t="str">
        <x:v>Unknown</x:v>
      </x:c>
      <x:c r="X312" s="117" t="str">
        <x:v>Unknown</x:v>
      </x:c>
      <x:c r="Y312" s="117" t="str">
        <x:v>Unknown</x:v>
      </x:c>
      <x:c r="Z312" s="117"/>
      <x:c r="AA312" s="117" t="str">
        <x:v>Pending evidence</x:v>
      </x:c>
      <x:c r="AB312" s="117"/>
      <x:c r="AC312" s="117" t="str">
        <x:v>No qualifying accessibility conclusion established from the screened sources. This is unknown, not evidence that the attraction is inaccessible.</x:v>
      </x:c>
      <x:c r="AD312" s="117" t="str">
        <x:v>2026-09-08</x:v>
      </x:c>
      <x:c r="AE312" s="117" t="str">
        <x:v>MC0309</x:v>
      </x:c>
      <x:c r="AF312" s="117" t="str">
        <x:v>Distinct candidate</x:v>
      </x:c>
      <x:c r="AG312" s="117" t="str"/>
      <x:c r="AH312" s="117" t="str">
        <x:v>Name corroborated in source</x:v>
      </x:c>
      <x:c r="AI312" s="117" t="str">
        <x:v>https://ebrochures.malaysia.travel/en/malaysia-travel-guide/sarawak/</x:v>
      </x:c>
      <x:c r="AJ312" s="117" t="str">
        <x:v>Place name or established alias matched in the cited source. This is not confirmation of current opening, all visitor facilities or the full description.</x:v>
      </x:c>
      <x:c r="AK312" s="117" t="str">
        <x:v>Not independently confirmed</x:v>
      </x:c>
      <x:c r="AL312" s="117" t="str">
        <x:v>Screened sources; accessibility unresolved</x:v>
      </x:c>
      <x:c r="AM312" s="117" t="str">
        <x:v>2026-09-08</x:v>
      </x:c>
      <x:c r="AN312" s="117" t="str">
        <x:v>https://thumb.wikimedia.org/wikipedia/commons/thumb/e/e5/Bario_2014.jpg/1280px-Bario_2014.jpg?utm_source=commons.wikimedia.org&amp;utm_campaign=imageinfo&amp;utm_content=thumbnail</x:v>
      </x:c>
      <x:c r="AO312" s="117"/>
      <x:c r="AP312" s="117" t="str">
        <x:v>1 metadata-matched images; visual review pending</x:v>
      </x:c>
      <x:c r="AQ312" s="117"/>
    </x:row>
    <x:row r="313" ht="66" customHeight="1">
      <x:c r="A313" s="117" t="str">
        <x:v>MC0310</x:v>
      </x:c>
      <x:c r="B313" s="117" t="str">
        <x:v>Bakun Lake</x:v>
      </x:c>
      <x:c r="C313" s="117" t="str">
        <x:v>Sarawak</x:v>
      </x:c>
      <x:c r="D313" s="117" t="str">
        <x:v>Belaga</x:v>
      </x:c>
      <x:c r="E313" s="117" t="str">
        <x:v>Nature</x:v>
      </x:c>
      <x:c r="F313" s="117" t="str">
        <x:v>Rural</x:v>
      </x:c>
      <x:c r="G313" s="117" t="str">
        <x:v>Outdoor</x:v>
      </x:c>
      <x:c r="H313" s="117" t="str">
        <x:v>lake; interior; boating</x:v>
      </x:c>
      <x:c r="I313" s="117" t="str">
        <x:v>A large reservoir formed by the Bakun Dam in Belaga district, Sarawak.</x:v>
      </x:c>
      <x:c r="J313" s="117" t="str">
        <x:v>https://www.google.com/maps/search/?api=1&amp;query=Bakun%20Lake%2C%20Sarawak%2C%20Malaysia</x:v>
      </x:c>
      <x:c r="K313" s="117" t="str">
        <x:v>https://ebrochures.malaysia.travel/en/malaysia-travel-guide/sarawak/</x:v>
      </x:c>
      <x:c r="L313" s="117" t="str">
        <x:v>Tourism Malaysia state guide plus map discovery link</x:v>
      </x:c>
      <x:c r="M313" s="117" t="str">
        <x:v>Sarawak expansion batch</x:v>
      </x:c>
      <x:c r="N313" s="117"/>
      <x:c r="O313" s="117" t="str">
        <x:v>2026-08-15 00:00:00</x:v>
      </x:c>
      <x:c r="P313" s="117" t="str">
        <x:v>Complete</x:v>
      </x:c>
      <x:c r="Q313" s="117" t="str">
        <x:v>Identity and Malaysian location verified in second-pass review on 2026-09-08.</x:v>
      </x:c>
      <x:c r="R313" s="117" t="str">
        <x:f t="shared" si="4">IF(J313="","Missing Link",IF(AND(ISNUMBER(SEARCH("google.com/maps",J313)),ISERROR(SEARCH(";",J313))),"Discovery Link Only","Source Link Present"))</x:f>
        <x:v>Discovery Link Only</x:v>
      </x:c>
      <x:c r="S313" s="117" t="str">
        <x:v>Unknown</x:v>
      </x:c>
      <x:c r="T313" s="117" t="str">
        <x:v>Unknown</x:v>
      </x:c>
      <x:c r="U313" s="117" t="str">
        <x:v>Unknown</x:v>
      </x:c>
      <x:c r="V313" s="117" t="str">
        <x:v>Unknown</x:v>
      </x:c>
      <x:c r="W313" s="117" t="str">
        <x:v>Unknown</x:v>
      </x:c>
      <x:c r="X313" s="117" t="str">
        <x:v>Unknown</x:v>
      </x:c>
      <x:c r="Y313" s="117" t="str">
        <x:v>Unknown</x:v>
      </x:c>
      <x:c r="Z313" s="117"/>
      <x:c r="AA313" s="117" t="str">
        <x:v>Pending evidence</x:v>
      </x:c>
      <x:c r="AB313" s="117"/>
      <x:c r="AC313" s="117" t="str">
        <x:v>No qualifying accessibility conclusion established from the screened sources. This is unknown, not evidence that the attraction is inaccessible.</x:v>
      </x:c>
      <x:c r="AD313" s="117" t="str">
        <x:v>2026-09-08</x:v>
      </x:c>
      <x:c r="AE313" s="117" t="str">
        <x:v>MC0310</x:v>
      </x:c>
      <x:c r="AF313" s="117" t="str">
        <x:v>Distinct candidate</x:v>
      </x:c>
      <x:c r="AG313" s="117" t="str"/>
      <x:c r="AH313" s="117" t="str">
        <x:v>Identity and location corroborated</x:v>
      </x:c>
      <x:c r="AI313" s="117" t="str">
        <x:v>https://www.sarawaktourism.com/web/places-to-visit/town-view/kapit/major-attractions/belanum-the-floating-house-stay-bakun-lake</x:v>
      </x:c>
      <x:c r="AJ313" s="117" t="str">
        <x:v>Official state tourism source matches the attraction name or established alias and the stated Malaysian location. This verifies identity/location only; confirm current opening and accessibility separately.</x:v>
      </x:c>
      <x:c r="AK313" s="117" t="str">
        <x:v>Not independently confirmed</x:v>
      </x:c>
      <x:c r="AL313" s="117" t="str">
        <x:v>Screened sources; accessibility unresolved</x:v>
      </x:c>
      <x:c r="AM313" s="117" t="str">
        <x:v>2026-09-08</x:v>
      </x:c>
      <x:c r="AN313" s="117" t="str">
        <x:v>https://thumb.wikimedia.org/wikipedia/commons/thumb/e/e0/Bakun_Lake%2C_Sarawak.jpg/1280px-Bakun_Lake%2C_Sarawak.jpg?utm_source=commons.wikimedia.org&amp;utm_campaign=imageinfo&amp;utm_content=thumbnail</x:v>
      </x:c>
      <x:c r="AO313" s="117"/>
      <x:c r="AP313" s="117" t="str">
        <x:v>1 metadata-matched images; visual review pending</x:v>
      </x:c>
      <x:c r="AQ313" s="117"/>
    </x:row>
    <x:row r="314" ht="66" customHeight="1">
      <x:c r="A314" s="117" t="str">
        <x:v>MC0311</x:v>
      </x:c>
      <x:c r="B314" s="117" t="str">
        <x:v>Pulau Ketam</x:v>
      </x:c>
      <x:c r="C314" s="117" t="str">
        <x:v>Selangor</x:v>
      </x:c>
      <x:c r="D314" s="117" t="str">
        <x:v>Klang / Port Klang</x:v>
      </x:c>
      <x:c r="E314" s="117" t="str">
        <x:v>Beach and Island</x:v>
      </x:c>
      <x:c r="F314" s="117" t="str">
        <x:v>Local</x:v>
      </x:c>
      <x:c r="G314" s="117" t="str">
        <x:v>Both</x:v>
      </x:c>
      <x:c r="H314" s="117" t="str">
        <x:v>Island; fishing village; stilt houses; mangrove; mudflats; Chinese heritage; Hokkien culture; Teochew culture; seafood; crab; fishing; seafood processing; temples; Hock Leng Keng Temple; murals; colourful houses; boardwalk; cycling; electric scooter; walking; village life; cultural tourism; photography; boat ride; ferry; homestay; local food; car-free destination</x:v>
      </x:c>
      <x:c r="I314" s="117" t="str">
        <x:v>A car-free mangrove island off Port Klang, known for its Chinese fishing villages built on stilts above tidal mudflats. Visitors explore narrow boardwalks on foot or bicycle, observe the working fishing community, visit colourful temples and murals, and enjoy seafood—especially locally caught crab.</x:v>
      </x:c>
      <x:c r="J314" s="117" t="str">
        <x:v>https://www.malaysia.travel/explore/pulau-ketam ; https://www.pulauketam.com/v3/ferry-schedule/ ; https://selangor.travel/wp-content/uploads/2017/04/TS2025_DIRECTORY_Screen_Sp-1.pdf ; https://selangor.travel/exploring-royal-klang-a-journey-through-heritage-culture-and-flavours/ ; https://selangor.travel/wp-content/uploads/2023/03/TS_SPLENDID-SELANGOR-TRAVEL-ITINERARY_compressed.pdf ; https://www.mbdk.gov.my/en/tourism/tourist-spot ; https://mygeoname.mygeoportal.gov.my/pdf/10.pdf</x:v>
      </x:c>
      <x:c r="K314" s="117" t="str">
        <x:v>https://ebrochures.malaysia.travel/en/malaysia-travel-guide/selangor/</x:v>
      </x:c>
      <x:c r="L314" s="117" t="str">
        <x:v>Previous workbook candidate/source lead</x:v>
      </x:c>
      <x:c r="M314" s="117" t="str">
        <x:v>Previous workbook seed</x:v>
      </x:c>
      <x:c r="N314" s="117" t="str">
        <x:v>A023</x:v>
      </x:c>
      <x:c r="O314" s="117" t="str">
        <x:v>2026-08-15 00:00:00</x:v>
      </x:c>
      <x:c r="P314" s="117" t="str">
        <x:v>Complete</x:v>
      </x:c>
      <x:c r="Q314" s="117"/>
      <x:c r="R314" s="117" t="str">
        <x:f t="shared" si="4">IF(J314="","Missing Link",IF(AND(ISNUMBER(SEARCH("google.com/maps",J314)),ISERROR(SEARCH(";",J314))),"Discovery Link Only","Source Link Present"))</x:f>
        <x:v>Source Link Present</x:v>
      </x:c>
      <x:c r="S314" s="117" t="str">
        <x:v>Unknown</x:v>
      </x:c>
      <x:c r="T314" s="117" t="str">
        <x:v>Unknown</x:v>
      </x:c>
      <x:c r="U314" s="117" t="str">
        <x:v>Unknown</x:v>
      </x:c>
      <x:c r="V314" s="117" t="str">
        <x:v>Unknown</x:v>
      </x:c>
      <x:c r="W314" s="117" t="str">
        <x:v>Unknown</x:v>
      </x:c>
      <x:c r="X314" s="117" t="str">
        <x:v>Unknown</x:v>
      </x:c>
      <x:c r="Y314" s="117" t="str">
        <x:v>Unknown</x:v>
      </x:c>
      <x:c r="Z314" s="117"/>
      <x:c r="AA314" s="117" t="str">
        <x:v>Pending evidence</x:v>
      </x:c>
      <x:c r="AB314" s="117"/>
      <x:c r="AC314" s="117" t="str">
        <x:v>No qualifying accessibility conclusion established from the screened sources. This is unknown, not evidence that the attraction is inaccessible.</x:v>
      </x:c>
      <x:c r="AD314" s="117" t="str">
        <x:v>2026-09-08</x:v>
      </x:c>
      <x:c r="AE314" s="117" t="str">
        <x:v>MC0311</x:v>
      </x:c>
      <x:c r="AF314" s="117" t="str">
        <x:v>Distinct candidate</x:v>
      </x:c>
      <x:c r="AG314" s="117" t="str"/>
      <x:c r="AH314" s="117" t="str">
        <x:v>Name corroborated in source</x:v>
      </x:c>
      <x:c r="AI314" s="117" t="str">
        <x:v>https://www.malaysia.travel/explore/pulau-ketam</x:v>
      </x:c>
      <x:c r="AJ314" s="117" t="str">
        <x:v>Place name or established alias matched in the cited source. This is not confirmation of current opening, all visitor facilities or the full description.</x:v>
      </x:c>
      <x:c r="AK314" s="117" t="str">
        <x:v>Not independently confirmed</x:v>
      </x:c>
      <x:c r="AL314" s="117" t="str">
        <x:v>Screened sources; accessibility unresolved</x:v>
      </x:c>
      <x:c r="AM314" s="117" t="str">
        <x:v>2026-09-08</x:v>
      </x:c>
      <x:c r="AN314" s="117" t="str">
        <x:v>https://thumb.wikimedia.org/wikipedia/commons/thumb/6/69/View_of_Sungai_Besar_Pulau_Ketam_%28220711%29_02.jpg/1280px-View_of_Sungai_Besar_Pulau_Ketam_%28220711%29_02.jpg?utm_source=commons.wikimedia.org&amp;utm_campaign=imageinfo&amp;utm_content=thumbnail</x:v>
      </x:c>
      <x:c r="AO314" s="117" t="str">
        <x:v>https://upload.wikimedia.org/wikipedia/commons/9/98/Golden_Memory.jpg?utm_source=commons.wikimedia.org&amp;utm_campaign=imageinfo&amp;utm_content=thumbnail_unscaled</x:v>
      </x:c>
      <x:c r="AP314" s="117" t="str">
        <x:v>2 metadata-matched images; visual review pending</x:v>
      </x:c>
      <x:c r="AQ314" s="117"/>
    </x:row>
    <x:row r="315" ht="66" customHeight="1">
      <x:c r="A315" s="117" t="str">
        <x:v>MC0312</x:v>
      </x:c>
      <x:c r="B315" s="117" t="str">
        <x:v>Batu Caves</x:v>
      </x:c>
      <x:c r="C315" s="117" t="str">
        <x:v>Selangor</x:v>
      </x:c>
      <x:c r="D315" s="117" t="str">
        <x:v>Gombak / Batu Caves</x:v>
      </x:c>
      <x:c r="E315" s="117" t="str">
        <x:v>Religious Site</x:v>
      </x:c>
      <x:c r="F315" s="117" t="str">
        <x:v>Unclassified</x:v>
      </x:c>
      <x:c r="G315" s="117" t="str">
        <x:v>Both</x:v>
      </x:c>
      <x:c r="H315" s="117" t="str">
        <x:v>Hindu temple; pilgrimage; Thaipusam; Lord Murugan; Sri Subramaniar Swamy Temple; Temple Cave; Cathedral Cave; Ramayana Cave; Cave Villa; limestone cave; 272 steps; rainbow staircase; Tamil culture; Indian heritage; religious tourism; cultural tourism; architecture; geology; photography; monkeys; festival; KTM Komuter</x:v>
      </x:c>
      <x:c r="I315" s="117" t="str">
        <x:v>An important Hindu pilgrimage complex within a limestone hill in Gombak. Visitors pass the monumental golden Lord Murugan statue and climb 272 colourful steps to the Temple Cave, while the site becomes a major centre of worship and celebration during Thaipusam.</x:v>
      </x:c>
      <x:c r="J315" s="117" t="str">
        <x:v>https://www.malaysia.travel/explore/batu-caves ; https://www.malaysia.travel/explore/4-top-cultural-destinations-in-selangor ; https://selangor.travel/listing/batu-caves/ ; https://www.tourism.gov.my/media/view/vm2026-strenghtens-visibility-at-thaipusam-festival-batu-caves ; https://www.ktmb.com.my/komuter.html ; https://www.ktmb.com.my/TrainTime.html ; https://www.mps.gov.my/ms/batu-caves ; https://www.mindat.org/loc-312776.html</x:v>
      </x:c>
      <x:c r="K315" s="117" t="str">
        <x:v>https://ebrochures.malaysia.travel/en/malaysia-travel-guide/selangor/</x:v>
      </x:c>
      <x:c r="L315" s="117" t="str">
        <x:v>Previous workbook candidate/source lead</x:v>
      </x:c>
      <x:c r="M315" s="117" t="str">
        <x:v>Previous workbook seed</x:v>
      </x:c>
      <x:c r="N315" s="117" t="str">
        <x:v>A024</x:v>
      </x:c>
      <x:c r="O315" s="117" t="str">
        <x:v>2026-08-15 00:00:00</x:v>
      </x:c>
      <x:c r="P315" s="117" t="str">
        <x:v>Complete</x:v>
      </x:c>
      <x:c r="Q315" s="117"/>
      <x:c r="R315" s="117" t="str">
        <x:f t="shared" si="4">IF(J315="","Missing Link",IF(AND(ISNUMBER(SEARCH("google.com/maps",J315)),ISERROR(SEARCH(";",J315))),"Discovery Link Only","Source Link Present"))</x:f>
        <x:v>Source Link Present</x:v>
      </x:c>
      <x:c r="S315" s="117" t="str">
        <x:v>Not measured</x:v>
      </x:c>
      <x:c r="T315" s="117" t="str">
        <x:v>No - main cave staircase</x:v>
      </x:c>
      <x:c r="U315" s="117" t="str">
        <x:v>Unknown</x:v>
      </x:c>
      <x:c r="V315" s="117" t="str">
        <x:v>Unknown</x:v>
      </x:c>
      <x:c r="W315" s="117" t="str">
        <x:v>Unknown</x:v>
      </x:c>
      <x:c r="X315" s="117" t="str">
        <x:v>Unknown</x:v>
      </x:c>
      <x:c r="Y315" s="117" t="str">
        <x:v>Not recommended for stated route</x:v>
      </x:c>
      <x:c r="Z315" s="117" t="str">
        <x:v>Do not recommend the main cave route for visitors unable to climb stairs. Ground-level sightseeing is a separate possible experience whose complete accessible route remains unconfirmed.</x:v>
      </x:c>
      <x:c r="AA315" s="117" t="str">
        <x:v>Restricted route</x:v>
      </x:c>
      <x:c r="AB315" s="117" t="str">
        <x:v>https://www.malaysia.travel/explore/batu-caves</x:v>
      </x:c>
      <x:c r="AC315" s="117" t="str">
        <x:v>Main Temple Cave staircase</x:v>
      </x:c>
      <x:c r="AD315" s="117" t="str">
        <x:v>2026-09-08</x:v>
      </x:c>
      <x:c r="AE315" s="117" t="str">
        <x:v>MC0312</x:v>
      </x:c>
      <x:c r="AF315" s="117" t="str">
        <x:v>Distinct candidate</x:v>
      </x:c>
      <x:c r="AG315" s="117" t="str"/>
      <x:c r="AH315" s="117" t="str">
        <x:v>Venue-specific source reviewed</x:v>
      </x:c>
      <x:c r="AI315" s="117" t="str">
        <x:v>https://www.malaysia.travel/explore/batu-caves</x:v>
      </x:c>
      <x:c r="AJ315" s="117" t="str">
        <x:v>Place name or established alias matched in the cited source. This is not confirmation of current opening, all visitor facilities or the full description.</x:v>
      </x:c>
      <x:c r="AK315" s="117" t="str">
        <x:v>Not independently confirmed</x:v>
      </x:c>
      <x:c r="AL315" s="117" t="str">
        <x:v>Access restriction documented</x:v>
      </x:c>
      <x:c r="AM315" s="117" t="str">
        <x:v>2026-09-08</x:v>
      </x:c>
      <x:c r="AN315" s="117" t="str">
        <x:v>https://thumb.wikimedia.org/wikipedia/commons/thumb/8/80/Batu_Caves_3.jpg/1280px-Batu_Caves_3.jpg?utm_source=commons.wikimedia.org&amp;utm_campaign=imageinfo&amp;utm_content=thumbnail</x:v>
      </x:c>
      <x:c r="AO315" s="117" t="str">
        <x:v>https://thumb.wikimedia.org/wikipedia/commons/thumb/8/8f/Batu_Caves_stairs_2022-05.jpg/1280px-Batu_Caves_stairs_2022-05.jpg?utm_source=commons.wikimedia.org&amp;utm_campaign=imageinfo&amp;utm_content=thumbnail</x:v>
      </x:c>
      <x:c r="AP315" s="117" t="str">
        <x:v>2 metadata-matched images; visual review pending</x:v>
      </x:c>
      <x:c r="AQ315" s="117"/>
    </x:row>
    <x:row r="316" ht="66" customHeight="1">
      <x:c r="A316" s="117" t="str">
        <x:v>MC0313</x:v>
      </x:c>
      <x:c r="B316" s="117" t="str">
        <x:v>Sunway Lagoon</x:v>
      </x:c>
      <x:c r="C316" s="117" t="str">
        <x:v>Selangor</x:v>
      </x:c>
      <x:c r="D316" s="117" t="str">
        <x:v>Petaling Jaya / Bandar Sunway</x:v>
      </x:c>
      <x:c r="E316" s="117" t="str">
        <x:v>Theme Park</x:v>
      </x:c>
      <x:c r="F316" s="117" t="str">
        <x:v>Unclassified</x:v>
      </x:c>
      <x:c r="G316" s="117" t="str">
        <x:v>Both</x:v>
      </x:c>
      <x:c r="H316" s="117" t="str">
        <x:v>Theme park; water park; Sunway Lost Lagoon; amusement park; wildlife park; X Park; Scream Park; Captain Quack Land; Night Park; water slides; wave pool; thrill rides; roller coaster; wildlife; family attraction; children's attractions; adventure; bungy jump; flying fox; go kart; bird and animal encounters; live entertainment; swimming; photography; nightlife; shopping nearby; Sunway City</x:v>
      </x:c>
      <x:c r="I316" s="117" t="str">
        <x:v>A large multi-park attraction in Bandar Sunway combining water rides, amusement rides, wildlife encounters, adventure activities, a scare attraction and an evening park. Its seven experiences and more than 90 rides and attractions cater to families, children and thrill-seekers, subject to individual height, age, weight and health restrictions.</x:v>
      </x:c>
      <x:c r="J316" s="117" t="str">
        <x:v>https://www.malaysia.travel/explore/sunway-lagoon ; https://sunwaylagoon.com/ ; https://sunwaylagoon.com/pricing/ ; https://sunwaylagoon.com/etickets/ ; https://sunwaylagoon.com/frequently-asked-questions/ ; https://sunwaylagoon.com/park-rules/ ; https://sunwaylagoon.com/how-to-get-here/ ; https://sunwaylagoon.com/quack-xpress/</x:v>
      </x:c>
      <x:c r="K316" s="117" t="str">
        <x:v>https://ebrochures.malaysia.travel/en/malaysia-travel-guide/selangor/</x:v>
      </x:c>
      <x:c r="L316" s="117" t="str">
        <x:v>Previous workbook candidate/source lead</x:v>
      </x:c>
      <x:c r="M316" s="117" t="str">
        <x:v>Previous workbook seed</x:v>
      </x:c>
      <x:c r="N316" s="117" t="str">
        <x:v>A028</x:v>
      </x:c>
      <x:c r="O316" s="117" t="str">
        <x:v>2026-08-15 00:00:00</x:v>
      </x:c>
      <x:c r="P316" s="117" t="str">
        <x:v>Complete</x:v>
      </x:c>
      <x:c r="Q316" s="117"/>
      <x:c r="R316" s="117" t="str">
        <x:f t="shared" si="4">IF(J316="","Missing Link",IF(AND(ISNUMBER(SEARCH("google.com/maps",J316)),ISERROR(SEARCH(";",J316))),"Discovery Link Only","Source Link Present"))</x:f>
        <x:v>Source Link Present</x:v>
      </x:c>
      <x:c r="S316" s="117" t="str">
        <x:v>Unknown</x:v>
      </x:c>
      <x:c r="T316" s="117" t="str">
        <x:v>Unknown</x:v>
      </x:c>
      <x:c r="U316" s="117" t="str">
        <x:v>Unknown</x:v>
      </x:c>
      <x:c r="V316" s="117" t="str">
        <x:v>Unknown</x:v>
      </x:c>
      <x:c r="W316" s="117" t="str">
        <x:v>Unknown</x:v>
      </x:c>
      <x:c r="X316" s="117" t="str">
        <x:v>Unknown</x:v>
      </x:c>
      <x:c r="Y316" s="117" t="str">
        <x:v>Unknown</x:v>
      </x:c>
      <x:c r="Z316" s="117"/>
      <x:c r="AA316" s="117" t="str">
        <x:v>Pending evidence</x:v>
      </x:c>
      <x:c r="AB316" s="117"/>
      <x:c r="AC316" s="117" t="str">
        <x:v>No qualifying accessibility conclusion established from the screened sources. This is unknown, not evidence that the attraction is inaccessible.</x:v>
      </x:c>
      <x:c r="AD316" s="117" t="str">
        <x:v>2026-09-08</x:v>
      </x:c>
      <x:c r="AE316" s="117" t="str">
        <x:v>MC0313</x:v>
      </x:c>
      <x:c r="AF316" s="117" t="str">
        <x:v>Distinct candidate</x:v>
      </x:c>
      <x:c r="AG316" s="117" t="str"/>
      <x:c r="AH316" s="117" t="str">
        <x:v>Name corroborated in source</x:v>
      </x:c>
      <x:c r="AI316" s="117" t="str">
        <x:v>https://www.malaysia.travel/explore/sunway-lagoon</x:v>
      </x:c>
      <x:c r="AJ316" s="117" t="str">
        <x:v>Place name or established alias matched in the cited source. This is not confirmation of current opening, all visitor facilities or the full description.</x:v>
      </x:c>
      <x:c r="AK316" s="117" t="str">
        <x:v>Not independently confirmed</x:v>
      </x:c>
      <x:c r="AL316" s="117" t="str">
        <x:v>Screened sources; accessibility unresolved</x:v>
      </x:c>
      <x:c r="AM316" s="117" t="str">
        <x:v>2026-09-08</x:v>
      </x:c>
      <x:c r="AN316" s="117" t="str">
        <x:v>https://thumb.wikimedia.org/wikipedia/commons/thumb/7/7f/Sunway_Lagoon.jpg/1280px-Sunway_Lagoon.jpg?utm_source=commons.wikimedia.org&amp;utm_campaign=imageinfo&amp;utm_content=thumbnail</x:v>
      </x:c>
      <x:c r="AO316" s="117" t="str">
        <x:v>https://thumb.wikimedia.org/wikipedia/commons/thumb/9/9e/Sunway_Lagoon_%28220711%29.jpg/1280px-Sunway_Lagoon_%28220711%29.jpg?utm_source=commons.wikimedia.org&amp;utm_campaign=imageinfo&amp;utm_content=thumbnail</x:v>
      </x:c>
      <x:c r="AP316" s="117" t="str">
        <x:v>2 metadata-matched images; visual review pending</x:v>
      </x:c>
      <x:c r="AQ316" s="117"/>
    </x:row>
    <x:row r="317" ht="66" customHeight="1">
      <x:c r="A317" s="117" t="str">
        <x:v>MC0314</x:v>
      </x:c>
      <x:c r="B317" s="117" t="str">
        <x:v>i-City Theme Park</x:v>
      </x:c>
      <x:c r="C317" s="117" t="str">
        <x:v>Selangor</x:v>
      </x:c>
      <x:c r="D317" s="117" t="str">
        <x:v>Shah Alam</x:v>
      </x:c>
      <x:c r="E317" s="117" t="str">
        <x:v>Theme Park</x:v>
      </x:c>
      <x:c r="F317" s="117" t="str">
        <x:v>Unclassified</x:v>
      </x:c>
      <x:c r="G317" s="117" t="str">
        <x:v>Both</x:v>
      </x:c>
      <x:c r="H317" s="117" t="str">
        <x:v>theme park; lights; family; children; night activity</x:v>
      </x:c>
      <x:c r="I317" s="117" t="str">
        <x:v>A mixed leisure and theme park complex in Shah Alam known for its digital light displays and water park.</x:v>
      </x:c>
      <x:c r="J317" s="117" t="str">
        <x:v>https://www.google.com/maps/search/?api=1&amp;query=i-City%20Theme%20Park%2C%20Selangor%2C%20Malaysia</x:v>
      </x:c>
      <x:c r="K317" s="117" t="str">
        <x:v>https://ebrochures.malaysia.travel/en/malaysia-travel-guide/selangor/</x:v>
      </x:c>
      <x:c r="L317" s="117" t="str">
        <x:v>Previous workbook candidate/source lead</x:v>
      </x:c>
      <x:c r="M317" s="117" t="str">
        <x:v>Previous workbook seed</x:v>
      </x:c>
      <x:c r="N317" s="117" t="str">
        <x:v>A121</x:v>
      </x:c>
      <x:c r="O317" s="117" t="str">
        <x:v>2026-08-15 00:00:00</x:v>
      </x:c>
      <x:c r="P317" s="117" t="str">
        <x:v>Complete</x:v>
      </x:c>
      <x:c r="Q317" s="117" t="str">
        <x:v>Identity and Malaysian location verified in second-pass review on 2026-09-08.</x:v>
      </x:c>
      <x:c r="R317" s="117" t="str">
        <x:f t="shared" si="4">IF(J317="","Missing Link",IF(AND(ISNUMBER(SEARCH("google.com/maps",J317)),ISERROR(SEARCH(";",J317))),"Discovery Link Only","Source Link Present"))</x:f>
        <x:v>Discovery Link Only</x:v>
      </x:c>
      <x:c r="S317" s="117" t="str">
        <x:v>Not measured</x:v>
      </x:c>
      <x:c r="T317" s="117" t="str">
        <x:v>Partial</x:v>
      </x:c>
      <x:c r="U317" s="117" t="str">
        <x:v>Unknown</x:v>
      </x:c>
      <x:c r="V317" s="117" t="str">
        <x:v>Unknown</x:v>
      </x:c>
      <x:c r="W317" s="117" t="str">
        <x:v>Accessible parking reported separately</x:v>
      </x:c>
      <x:c r="X317" s="117" t="str">
        <x:v>Mixed indoor/outdoor</x:v>
      </x:c>
      <x:c r="Y317" s="117" t="str">
        <x:v>Conditional on selected attraction</x:v>
      </x:c>
      <x:c r="Z317" s="117" t="str">
        <x:v>The operator offers senior/OKU pricing but applies attraction-specific restrictions. Wheelchair users are prohibited from SnoWalk and some rides/activities; contact the park to select a suitable route.</x:v>
      </x:c>
      <x:c r="AA317" s="117" t="str">
        <x:v>Documented support - conditional</x:v>
      </x:c>
      <x:c r="AB317" s="117" t="str">
        <x:v>https://iticket.i-city.my/pages/guide-to-i-city-theme-park
https://iticket.i-city.my/pages/terms-and-conditions</x:v>
      </x:c>
      <x:c r="AC317" s="117" t="str">
        <x:v>Open public areas and individually permitted attractions</x:v>
      </x:c>
      <x:c r="AD317" s="117" t="str">
        <x:v>2026-09-08</x:v>
      </x:c>
      <x:c r="AE317" s="117" t="str">
        <x:v>MC0314</x:v>
      </x:c>
      <x:c r="AF317" s="117" t="str">
        <x:v>Distinct candidate</x:v>
      </x:c>
      <x:c r="AG317" s="117" t="str"/>
      <x:c r="AH317" s="117" t="str">
        <x:v>Identity and location corroborated</x:v>
      </x:c>
      <x:c r="AI317" s="117" t="str">
        <x:v>https://www.openstreetmap.org/way/506887386</x:v>
      </x:c>
      <x:c r="AJ317" s="117" t="str">
        <x:v>Mapped source matches the attraction name or established alias and the stated Malaysian location. This verifies identity/location only; confirm current opening and accessibility separately.</x:v>
      </x:c>
      <x:c r="AK317" s="117" t="str">
        <x:v>Not independently confirmed</x:v>
      </x:c>
      <x:c r="AL317" s="117" t="str">
        <x:v>Primary source - restrictions and senior pricing</x:v>
      </x:c>
      <x:c r="AM317" s="117" t="str">
        <x:v>2026-09-08</x:v>
      </x:c>
      <x:c r="AN317" s="117"/>
      <x:c r="AO317" s="117"/>
      <x:c r="AP317" s="117" t="str">
        <x:v>No usable pair located; image research pending</x:v>
      </x:c>
      <x:c r="AQ317" s="117"/>
    </x:row>
    <x:row r="318" ht="66" customHeight="1">
      <x:c r="A318" s="117" t="str">
        <x:v>MC0315</x:v>
      </x:c>
      <x:c r="B318" s="117" t="str">
        <x:v>Sky Mirror Kuala Selangor</x:v>
      </x:c>
      <x:c r="C318" s="117" t="str">
        <x:v>Selangor</x:v>
      </x:c>
      <x:c r="D318" s="117" t="str">
        <x:v>Kuala Selangor</x:v>
      </x:c>
      <x:c r="E318" s="117" t="str">
        <x:v>Nature</x:v>
      </x:c>
      <x:c r="F318" s="117" t="str">
        <x:v>Unclassified</x:v>
      </x:c>
      <x:c r="G318" s="117" t="str">
        <x:v>Outdoor</x:v>
      </x:c>
      <x:c r="H318" s="117" t="str">
        <x:v>sandbank; photography; boat trip; nature; scenery</x:v>
      </x:c>
      <x:c r="I318" s="117" t="str">
        <x:v>A tidal sandbank off Kuala Selangor that creates a mirror-like reflection at low tide, accessible by boat.</x:v>
      </x:c>
      <x:c r="J318" s="117" t="str">
        <x:v>https://www.google.com/maps/search/?api=1&amp;query=Sky%20Mirror%20Kuala%20Selangor%2C%20Selangor%2C%20Malaysia</x:v>
      </x:c>
      <x:c r="K318" s="117" t="str">
        <x:v>https://ebrochures.malaysia.travel/en/malaysia-travel-guide/selangor/</x:v>
      </x:c>
      <x:c r="L318" s="117" t="str">
        <x:v>Previous workbook candidate/source lead</x:v>
      </x:c>
      <x:c r="M318" s="117" t="str">
        <x:v>Previous workbook seed</x:v>
      </x:c>
      <x:c r="N318" s="117" t="str">
        <x:v>A122</x:v>
      </x:c>
      <x:c r="O318" s="117" t="str">
        <x:v>2026-08-15 00:00:00</x:v>
      </x:c>
      <x:c r="P318" s="117" t="str">
        <x:v>Complete</x:v>
      </x:c>
      <x:c r="Q318" s="117" t="str">
        <x:v>Identity and Malaysian location verified in second-pass review on 2026-09-08.</x:v>
      </x:c>
      <x:c r="R318" s="117" t="str">
        <x:f t="shared" si="4">IF(J318="","Missing Link",IF(AND(ISNUMBER(SEARCH("google.com/maps",J318)),ISERROR(SEARCH(";",J318))),"Discovery Link Only","Source Link Present"))</x:f>
        <x:v>Discovery Link Only</x:v>
      </x:c>
      <x:c r="S318" s="117" t="str">
        <x:v>Unknown</x:v>
      </x:c>
      <x:c r="T318" s="117" t="str">
        <x:v>Unknown</x:v>
      </x:c>
      <x:c r="U318" s="117" t="str">
        <x:v>Unknown</x:v>
      </x:c>
      <x:c r="V318" s="117" t="str">
        <x:v>Unknown</x:v>
      </x:c>
      <x:c r="W318" s="117" t="str">
        <x:v>Unknown</x:v>
      </x:c>
      <x:c r="X318" s="117" t="str">
        <x:v>Unknown</x:v>
      </x:c>
      <x:c r="Y318" s="117" t="str">
        <x:v>Unknown</x:v>
      </x:c>
      <x:c r="Z318" s="117"/>
      <x:c r="AA318" s="117" t="str">
        <x:v>Pending evidence</x:v>
      </x:c>
      <x:c r="AB318" s="117"/>
      <x:c r="AC318" s="117" t="str">
        <x:v>No qualifying accessibility conclusion established from the screened sources. This is unknown, not evidence that the attraction is inaccessible.</x:v>
      </x:c>
      <x:c r="AD318" s="117" t="str">
        <x:v>2026-09-08</x:v>
      </x:c>
      <x:c r="AE318" s="117" t="str">
        <x:v>MC0315</x:v>
      </x:c>
      <x:c r="AF318" s="117" t="str">
        <x:v>Distinct candidate</x:v>
      </x:c>
      <x:c r="AG318" s="117" t="str"/>
      <x:c r="AH318" s="117" t="str">
        <x:v>Identity and location corroborated</x:v>
      </x:c>
      <x:c r="AI318" s="117" t="str">
        <x:v>https://www.openstreetmap.org/way/1210719171</x:v>
      </x:c>
      <x:c r="AJ318" s="117" t="str">
        <x:v>Mapped source matches the attraction name or established alias and the stated Malaysian location. This verifies identity/location only; confirm current opening and accessibility separately.</x:v>
      </x:c>
      <x:c r="AK318" s="117" t="str">
        <x:v>Not independently confirmed</x:v>
      </x:c>
      <x:c r="AL318" s="117" t="str">
        <x:v>Screened sources; accessibility unresolved</x:v>
      </x:c>
      <x:c r="AM318" s="117" t="str">
        <x:v>2026-09-08</x:v>
      </x:c>
      <x:c r="AN318" s="117"/>
      <x:c r="AO318" s="117"/>
      <x:c r="AP318" s="117" t="str">
        <x:v>No usable pair located; image research pending</x:v>
      </x:c>
      <x:c r="AQ318" s="117"/>
    </x:row>
    <x:row r="319" ht="66" customHeight="1">
      <x:c r="A319" s="117" t="str">
        <x:v>MC0316</x:v>
      </x:c>
      <x:c r="B319" s="117" t="str">
        <x:v>Kuala Selangor Nature Park</x:v>
      </x:c>
      <x:c r="C319" s="117" t="str">
        <x:v>Selangor</x:v>
      </x:c>
      <x:c r="D319" s="117" t="str">
        <x:v>Kuala Selangor</x:v>
      </x:c>
      <x:c r="E319" s="117" t="str">
        <x:v>Nature</x:v>
      </x:c>
      <x:c r="F319" s="117" t="str">
        <x:v>Unclassified</x:v>
      </x:c>
      <x:c r="G319" s="117" t="str">
        <x:v>Outdoor</x:v>
      </x:c>
      <x:c r="H319" s="117" t="str">
        <x:v>mangrove; birdwatching; walking; wildlife; relaxation</x:v>
      </x:c>
      <x:c r="I319" s="117" t="str">
        <x:v>A mangrove nature reserve near Kuala Selangor known for silvered leaf monkeys, birdlife and nearby firefly viewing.</x:v>
      </x:c>
      <x:c r="J319" s="117" t="str">
        <x:v>https://www.google.com/maps/search/?api=1&amp;query=Kuala%20Selangor%20Nature%20Park%2C%20Selangor%2C%20Malaysia</x:v>
      </x:c>
      <x:c r="K319" s="117" t="str">
        <x:v>https://ebrochures.malaysia.travel/en/malaysia-travel-guide/selangor/</x:v>
      </x:c>
      <x:c r="L319" s="117" t="str">
        <x:v>Previous workbook candidate/source lead</x:v>
      </x:c>
      <x:c r="M319" s="117" t="str">
        <x:v>Previous workbook seed</x:v>
      </x:c>
      <x:c r="N319" s="117" t="str">
        <x:v>A123</x:v>
      </x:c>
      <x:c r="O319" s="117" t="str">
        <x:v>2026-08-15 00:00:00</x:v>
      </x:c>
      <x:c r="P319" s="117" t="str">
        <x:v>Complete</x:v>
      </x:c>
      <x:c r="Q319" s="117"/>
      <x:c r="R319" s="117" t="str">
        <x:f t="shared" si="4">IF(J319="","Missing Link",IF(AND(ISNUMBER(SEARCH("google.com/maps",J319)),ISERROR(SEARCH(";",J319))),"Discovery Link Only","Source Link Present"))</x:f>
        <x:v>Discovery Link Only</x:v>
      </x:c>
      <x:c r="S319" s="117" t="str">
        <x:v>Unknown</x:v>
      </x:c>
      <x:c r="T319" s="117" t="str">
        <x:v>Unknown</x:v>
      </x:c>
      <x:c r="U319" s="117" t="str">
        <x:v>Unknown</x:v>
      </x:c>
      <x:c r="V319" s="117" t="str">
        <x:v>Unknown</x:v>
      </x:c>
      <x:c r="W319" s="117" t="str">
        <x:v>Unknown</x:v>
      </x:c>
      <x:c r="X319" s="117" t="str">
        <x:v>Unknown</x:v>
      </x:c>
      <x:c r="Y319" s="117" t="str">
        <x:v>Unknown</x:v>
      </x:c>
      <x:c r="Z319" s="117"/>
      <x:c r="AA319" s="117" t="str">
        <x:v>Pending evidence</x:v>
      </x:c>
      <x:c r="AB319" s="117"/>
      <x:c r="AC319" s="117" t="str">
        <x:v>No qualifying accessibility conclusion established from the screened sources. This is unknown, not evidence that the attraction is inaccessible.</x:v>
      </x:c>
      <x:c r="AD319" s="117" t="str">
        <x:v>2026-09-08</x:v>
      </x:c>
      <x:c r="AE319" s="117" t="str">
        <x:v>MC0316</x:v>
      </x:c>
      <x:c r="AF319" s="117" t="str">
        <x:v>Distinct candidate</x:v>
      </x:c>
      <x:c r="AG319" s="117" t="str"/>
      <x:c r="AH319" s="117" t="str">
        <x:v>Name corroborated in source</x:v>
      </x:c>
      <x:c r="AI319" s="117" t="str">
        <x:v>https://ebrochures.malaysia.travel/en/malaysia-travel-guide/selangor/</x:v>
      </x:c>
      <x:c r="AJ319" s="117" t="str">
        <x:v>Place name or established alias matched in the cited source. This is not confirmation of current opening, all visitor facilities or the full description.</x:v>
      </x:c>
      <x:c r="AK319" s="117" t="str">
        <x:v>Not independently confirmed</x:v>
      </x:c>
      <x:c r="AL319" s="117" t="str">
        <x:v>Screened sources; accessibility unresolved</x:v>
      </x:c>
      <x:c r="AM319" s="117" t="str">
        <x:v>2026-09-08</x:v>
      </x:c>
      <x:c r="AN319" s="117" t="str">
        <x:v>https://thumb.wikimedia.org/wikipedia/commons/thumb/9/9c/Kuala_Selangor_Nature_Park_%28230319%29_01.jpg/1280px-Kuala_Selangor_Nature_Park_%28230319%29_01.jpg?utm_source=commons.wikimedia.org&amp;utm_campaign=imageinfo&amp;utm_content=thumbnail</x:v>
      </x:c>
      <x:c r="AO319" s="117" t="str">
        <x:v>https://thumb.wikimedia.org/wikipedia/commons/thumb/2/20/Kuala_Selangor_Nature_Park_mangrove_sapling.jpg/1280px-Kuala_Selangor_Nature_Park_mangrove_sapling.jpg?utm_source=commons.wikimedia.org&amp;utm_campaign=imageinfo&amp;utm_content=thumbnail</x:v>
      </x:c>
      <x:c r="AP319" s="117" t="str">
        <x:v>2 metadata-matched images; visual review pending</x:v>
      </x:c>
      <x:c r="AQ319" s="117"/>
    </x:row>
    <x:row r="320" ht="66" customHeight="1">
      <x:c r="A320" s="117" t="str">
        <x:v>MC0317</x:v>
      </x:c>
      <x:c r="B320" s="117" t="str">
        <x:v>Sekinchan Paddy Fields</x:v>
      </x:c>
      <x:c r="C320" s="117" t="str">
        <x:v>Selangor</x:v>
      </x:c>
      <x:c r="D320" s="117" t="str">
        <x:v>Sekinchan</x:v>
      </x:c>
      <x:c r="E320" s="117" t="str">
        <x:v>Nature</x:v>
      </x:c>
      <x:c r="F320" s="117" t="str">
        <x:v>Unclassified</x:v>
      </x:c>
      <x:c r="G320" s="117" t="str">
        <x:v>Outdoor</x:v>
      </x:c>
      <x:c r="H320" s="117" t="str">
        <x:v>paddy fields; scenery; photography; rural culture; relaxation</x:v>
      </x:c>
      <x:c r="I320" s="117" t="str">
        <x:v>Expansive rice paddy fields in Sekinchan, Selangor, a popular photography and agro-tourism destination.</x:v>
      </x:c>
      <x:c r="J320" s="117" t="str">
        <x:v>https://www.google.com/maps/search/?api=1&amp;query=Sekinchan%20Paddy%20Fields%2C%20Selangor%2C%20Malaysia</x:v>
      </x:c>
      <x:c r="K320" s="117" t="str">
        <x:v>https://ebrochures.malaysia.travel/en/malaysia-travel-guide/selangor/</x:v>
      </x:c>
      <x:c r="L320" s="117" t="str">
        <x:v>Previous workbook candidate/source lead</x:v>
      </x:c>
      <x:c r="M320" s="117" t="str">
        <x:v>Previous workbook seed</x:v>
      </x:c>
      <x:c r="N320" s="117" t="str">
        <x:v>A124</x:v>
      </x:c>
      <x:c r="O320" s="117" t="str">
        <x:v>2026-08-15 00:00:00</x:v>
      </x:c>
      <x:c r="P320" s="117" t="str">
        <x:v>Complete</x:v>
      </x:c>
      <x:c r="Q320" s="117" t="str">
        <x:v>Identity and Malaysian location verified in second-pass review on 2026-09-08.</x:v>
      </x:c>
      <x:c r="R320" s="117" t="str">
        <x:f t="shared" si="4">IF(J320="","Missing Link",IF(AND(ISNUMBER(SEARCH("google.com/maps",J320)),ISERROR(SEARCH(";",J320))),"Discovery Link Only","Source Link Present"))</x:f>
        <x:v>Discovery Link Only</x:v>
      </x:c>
      <x:c r="S320" s="117" t="str">
        <x:v>Unknown</x:v>
      </x:c>
      <x:c r="T320" s="117" t="str">
        <x:v>Unknown</x:v>
      </x:c>
      <x:c r="U320" s="117" t="str">
        <x:v>Unknown</x:v>
      </x:c>
      <x:c r="V320" s="117" t="str">
        <x:v>Unknown</x:v>
      </x:c>
      <x:c r="W320" s="117" t="str">
        <x:v>Unknown</x:v>
      </x:c>
      <x:c r="X320" s="117" t="str">
        <x:v>Unknown</x:v>
      </x:c>
      <x:c r="Y320" s="117" t="str">
        <x:v>Unknown</x:v>
      </x:c>
      <x:c r="Z320" s="117"/>
      <x:c r="AA320" s="117" t="str">
        <x:v>Pending evidence</x:v>
      </x:c>
      <x:c r="AB320" s="117"/>
      <x:c r="AC320" s="117" t="str">
        <x:v>No qualifying accessibility conclusion established from the screened sources. This is unknown, not evidence that the attraction is inaccessible.</x:v>
      </x:c>
      <x:c r="AD320" s="117" t="str">
        <x:v>2026-09-08</x:v>
      </x:c>
      <x:c r="AE320" s="117" t="str">
        <x:v>MC0317</x:v>
      </x:c>
      <x:c r="AF320" s="117" t="str">
        <x:v>Distinct candidate</x:v>
      </x:c>
      <x:c r="AG320" s="117" t="str"/>
      <x:c r="AH320" s="117" t="str">
        <x:v>Identity and location corroborated</x:v>
      </x:c>
      <x:c r="AI320" s="117" t="str">
        <x:v>https://selangor.travel/listing/sekinchan-paddy-field/</x:v>
      </x:c>
      <x:c r="AJ320" s="117" t="str">
        <x:v>Official state tourism source matches the attraction name or established alias and the stated Malaysian location. This verifies identity/location only; confirm current opening and accessibility separately.</x:v>
      </x:c>
      <x:c r="AK320" s="117" t="str">
        <x:v>Not independently confirmed</x:v>
      </x:c>
      <x:c r="AL320" s="117" t="str">
        <x:v>Screened sources; accessibility unresolved</x:v>
      </x:c>
      <x:c r="AM320" s="117" t="str">
        <x:v>2026-09-08</x:v>
      </x:c>
      <x:c r="AN320" s="117"/>
      <x:c r="AO320" s="117"/>
      <x:c r="AP320" s="117" t="str">
        <x:v>No usable pair located; image research pending</x:v>
      </x:c>
      <x:c r="AQ320" s="117"/>
    </x:row>
    <x:row r="321" ht="66" customHeight="1">
      <x:c r="A321" s="117" t="str">
        <x:v>MC0318</x:v>
      </x:c>
      <x:c r="B321" s="117" t="str">
        <x:v>Sultan Salahuddin Abdul Aziz Shah Mosque</x:v>
      </x:c>
      <x:c r="C321" s="117" t="str">
        <x:v>Selangor</x:v>
      </x:c>
      <x:c r="D321" s="117" t="str">
        <x:v>Shah Alam</x:v>
      </x:c>
      <x:c r="E321" s="117" t="str">
        <x:v>Religious Site</x:v>
      </x:c>
      <x:c r="F321" s="117" t="str">
        <x:v>Unclassified</x:v>
      </x:c>
      <x:c r="G321" s="117" t="str">
        <x:v>Both</x:v>
      </x:c>
      <x:c r="H321" s="117" t="str">
        <x:v>mosque; architecture; religion; photography; culture</x:v>
      </x:c>
      <x:c r="I321" s="117" t="str">
        <x:v>Selangor's state mosque in Shah Alam, one of the largest mosques in Southeast Asia, known for its large blue dome.</x:v>
      </x:c>
      <x:c r="J321" s="117" t="str">
        <x:v>https://www.google.com/maps/search/?api=1&amp;query=Sultan%20Salahuddin%20Abdul%20Aziz%20Shah%20Mosque%2C%20Selangor%2C%20Malaysia</x:v>
      </x:c>
      <x:c r="K321" s="117" t="str">
        <x:v>https://ebrochures.malaysia.travel/en/malaysia-travel-guide/selangor/</x:v>
      </x:c>
      <x:c r="L321" s="117" t="str">
        <x:v>Previous workbook candidate/source lead</x:v>
      </x:c>
      <x:c r="M321" s="117" t="str">
        <x:v>Previous workbook seed</x:v>
      </x:c>
      <x:c r="N321" s="117" t="str">
        <x:v>A125</x:v>
      </x:c>
      <x:c r="O321" s="117" t="str">
        <x:v>2026-08-15 00:00:00</x:v>
      </x:c>
      <x:c r="P321" s="117" t="str">
        <x:v>Complete</x:v>
      </x:c>
      <x:c r="Q321" s="117"/>
      <x:c r="R321" s="117" t="str">
        <x:f t="shared" si="4">IF(J321="","Missing Link",IF(AND(ISNUMBER(SEARCH("google.com/maps",J321)),ISERROR(SEARCH(";",J321))),"Discovery Link Only","Source Link Present"))</x:f>
        <x:v>Discovery Link Only</x:v>
      </x:c>
      <x:c r="S321" s="117" t="str">
        <x:v>Unknown</x:v>
      </x:c>
      <x:c r="T321" s="117" t="str">
        <x:v>Unknown</x:v>
      </x:c>
      <x:c r="U321" s="117" t="str">
        <x:v>Unknown</x:v>
      </x:c>
      <x:c r="V321" s="117" t="str">
        <x:v>Unknown</x:v>
      </x:c>
      <x:c r="W321" s="117" t="str">
        <x:v>Unknown</x:v>
      </x:c>
      <x:c r="X321" s="117" t="str">
        <x:v>Unknown</x:v>
      </x:c>
      <x:c r="Y321" s="117" t="str">
        <x:v>Unknown</x:v>
      </x:c>
      <x:c r="Z321" s="117"/>
      <x:c r="AA321" s="117" t="str">
        <x:v>Pending evidence</x:v>
      </x:c>
      <x:c r="AB321" s="117"/>
      <x:c r="AC321" s="117" t="str">
        <x:v>No qualifying accessibility conclusion established from the screened sources. This is unknown, not evidence that the attraction is inaccessible.</x:v>
      </x:c>
      <x:c r="AD321" s="117" t="str">
        <x:v>2026-09-08</x:v>
      </x:c>
      <x:c r="AE321" s="117" t="str">
        <x:v>MC0318</x:v>
      </x:c>
      <x:c r="AF321" s="117" t="str">
        <x:v>Distinct candidate</x:v>
      </x:c>
      <x:c r="AG321" s="117" t="str"/>
      <x:c r="AH321" s="117" t="str">
        <x:v>Name corroborated in source</x:v>
      </x:c>
      <x:c r="AI321" s="117" t="str">
        <x:v>https://ebrochures.malaysia.travel/en/malaysia-travel-guide/selangor/</x:v>
      </x:c>
      <x:c r="AJ321" s="117" t="str">
        <x:v>Place name or established alias matched in the cited source. This is not confirmation of current opening, all visitor facilities or the full description.</x:v>
      </x:c>
      <x:c r="AK321" s="117" t="str">
        <x:v>Not independently confirmed</x:v>
      </x:c>
      <x:c r="AL321" s="117" t="str">
        <x:v>Screened sources; accessibility unresolved</x:v>
      </x:c>
      <x:c r="AM321" s="117" t="str">
        <x:v>2026-09-08</x:v>
      </x:c>
      <x:c r="AN321" s="117" t="str">
        <x:v>https://upload.wikimedia.org/wikipedia/commons/4/4b/SA_Blue_Mosque.jpg?utm_source=commons.wikimedia.org&amp;utm_campaign=imageinfo&amp;utm_content=thumbnail_unscaled</x:v>
      </x:c>
      <x:c r="AO321" s="117" t="str">
        <x:v>https://thumb.wikimedia.org/wikipedia/commons/thumb/b/bf/Shah_Alam_Blue_mosque_at_night.jpg/1280px-Shah_Alam_Blue_mosque_at_night.jpg?utm_source=commons.wikimedia.org&amp;utm_campaign=imageinfo&amp;utm_content=thumbnail</x:v>
      </x:c>
      <x:c r="AP321" s="117" t="str">
        <x:v>2 metadata-matched images; visual review pending</x:v>
      </x:c>
      <x:c r="AQ321" s="117"/>
    </x:row>
    <x:row r="322" ht="66" customHeight="1">
      <x:c r="A322" s="117" t="str">
        <x:v>MC0319</x:v>
      </x:c>
      <x:c r="B322" s="117" t="str">
        <x:v>Farm in the City</x:v>
      </x:c>
      <x:c r="C322" s="117" t="str">
        <x:v>Selangor</x:v>
      </x:c>
      <x:c r="D322" s="117" t="str">
        <x:v>Seri Kembangan</x:v>
      </x:c>
      <x:c r="E322" s="117" t="str">
        <x:v>Family Attraction</x:v>
      </x:c>
      <x:c r="F322" s="117" t="str">
        <x:v>Unclassified</x:v>
      </x:c>
      <x:c r="G322" s="117" t="str">
        <x:v>Both</x:v>
      </x:c>
      <x:c r="H322" s="117" t="str">
        <x:v>animals; farm; family; children; education</x:v>
      </x:c>
      <x:c r="I322" s="117" t="str">
        <x:v>A family-oriented agro-tourism park in Seri Kembangan, Selangor, with farm animals and interactive activities.</x:v>
      </x:c>
      <x:c r="J322" s="117" t="str">
        <x:v>https://www.google.com/maps/search/?api=1&amp;query=Farm%20in%20the%20City%2C%20Selangor%2C%20Malaysia</x:v>
      </x:c>
      <x:c r="K322" s="117" t="str">
        <x:v>https://ebrochures.malaysia.travel/en/malaysia-travel-guide/selangor/</x:v>
      </x:c>
      <x:c r="L322" s="117" t="str">
        <x:v>Previous workbook candidate/source lead</x:v>
      </x:c>
      <x:c r="M322" s="117" t="str">
        <x:v>Previous workbook seed</x:v>
      </x:c>
      <x:c r="N322" s="117" t="str">
        <x:v>A126</x:v>
      </x:c>
      <x:c r="O322" s="117" t="str">
        <x:v>2026-08-15 00:00:00</x:v>
      </x:c>
      <x:c r="P322" s="117" t="str">
        <x:v>Complete</x:v>
      </x:c>
      <x:c r="Q322" s="117"/>
      <x:c r="R322" s="117" t="str">
        <x:f t="shared" si="4">IF(J322="","Missing Link",IF(AND(ISNUMBER(SEARCH("google.com/maps",J322)),ISERROR(SEARCH(";",J322))),"Discovery Link Only","Source Link Present"))</x:f>
        <x:v>Discovery Link Only</x:v>
      </x:c>
      <x:c r="S322" s="117" t="str">
        <x:v>Unknown</x:v>
      </x:c>
      <x:c r="T322" s="117" t="str">
        <x:v>Unknown</x:v>
      </x:c>
      <x:c r="U322" s="117" t="str">
        <x:v>Unknown</x:v>
      </x:c>
      <x:c r="V322" s="117" t="str">
        <x:v>Unknown</x:v>
      </x:c>
      <x:c r="W322" s="117" t="str">
        <x:v>Unknown</x:v>
      </x:c>
      <x:c r="X322" s="117" t="str">
        <x:v>Unknown</x:v>
      </x:c>
      <x:c r="Y322" s="117" t="str">
        <x:v>Unknown</x:v>
      </x:c>
      <x:c r="Z322" s="117"/>
      <x:c r="AA322" s="117" t="str">
        <x:v>Pending evidence</x:v>
      </x:c>
      <x:c r="AB322" s="117"/>
      <x:c r="AC322" s="117" t="str">
        <x:v>No qualifying accessibility conclusion established from the screened sources. This is unknown, not evidence that the attraction is inaccessible.</x:v>
      </x:c>
      <x:c r="AD322" s="117" t="str">
        <x:v>2026-09-08</x:v>
      </x:c>
      <x:c r="AE322" s="117" t="str">
        <x:v>MC0319</x:v>
      </x:c>
      <x:c r="AF322" s="117" t="str">
        <x:v>Distinct candidate</x:v>
      </x:c>
      <x:c r="AG322" s="117" t="str"/>
      <x:c r="AH322" s="117" t="str">
        <x:v>Name corroborated in source</x:v>
      </x:c>
      <x:c r="AI322" s="117" t="str">
        <x:v>https://ebrochures.malaysia.travel/en/malaysia-travel-guide/selangor/</x:v>
      </x:c>
      <x:c r="AJ322" s="117" t="str">
        <x:v>Place name or established alias matched in the cited source. This is not confirmation of current opening, all visitor facilities or the full description.</x:v>
      </x:c>
      <x:c r="AK322" s="117" t="str">
        <x:v>Not independently confirmed</x:v>
      </x:c>
      <x:c r="AL322" s="117" t="str">
        <x:v>Screened sources; accessibility unresolved</x:v>
      </x:c>
      <x:c r="AM322" s="117" t="str">
        <x:v>2026-09-08</x:v>
      </x:c>
      <x:c r="AN322" s="117"/>
      <x:c r="AO322" s="117"/>
      <x:c r="AP322" s="117" t="str">
        <x:v>No usable pair located; image research pending</x:v>
      </x:c>
      <x:c r="AQ322" s="117"/>
    </x:row>
    <x:row r="323" ht="66" customHeight="1">
      <x:c r="A323" s="117" t="str">
        <x:v>MC0320</x:v>
      </x:c>
      <x:c r="B323" s="117" t="str">
        <x:v>National Botanical Garden Shah Alam</x:v>
      </x:c>
      <x:c r="C323" s="117" t="str">
        <x:v>Selangor</x:v>
      </x:c>
      <x:c r="D323" s="117" t="str">
        <x:v>Shah Alam</x:v>
      </x:c>
      <x:c r="E323" s="117" t="str">
        <x:v>Park and Recreation</x:v>
      </x:c>
      <x:c r="F323" s="117" t="str">
        <x:v>Unclassified</x:v>
      </x:c>
      <x:c r="G323" s="117" t="str">
        <x:v>Outdoor</x:v>
      </x:c>
      <x:c r="H323" s="117" t="str">
        <x:v>garden; nature; walking; family; relaxation</x:v>
      </x:c>
      <x:c r="I323" s="117" t="str">
        <x:v>A large botanical garden in Shah Alam with themed plant sections and a canopy walk.</x:v>
      </x:c>
      <x:c r="J323" s="117" t="str">
        <x:v>https://www.google.com/maps/search/?api=1&amp;query=National%20Botanical%20Garden%20Shah%20Alam%2C%20Selangor%2C%20Malaysia</x:v>
      </x:c>
      <x:c r="K323" s="117" t="str">
        <x:v>https://ebrochures.malaysia.travel/en/malaysia-travel-guide/selangor/</x:v>
      </x:c>
      <x:c r="L323" s="117" t="str">
        <x:v>Previous workbook candidate/source lead</x:v>
      </x:c>
      <x:c r="M323" s="117" t="str">
        <x:v>Previous workbook seed</x:v>
      </x:c>
      <x:c r="N323" s="117" t="str">
        <x:v>A127</x:v>
      </x:c>
      <x:c r="O323" s="117" t="str">
        <x:v>2026-08-15 00:00:00</x:v>
      </x:c>
      <x:c r="P323" s="117" t="str">
        <x:v>Complete</x:v>
      </x:c>
      <x:c r="Q323" s="117"/>
      <x:c r="R323" s="117" t="str">
        <x:f t="shared" si="4">IF(J323="","Missing Link",IF(AND(ISNUMBER(SEARCH("google.com/maps",J323)),ISERROR(SEARCH(";",J323))),"Discovery Link Only","Source Link Present"))</x:f>
        <x:v>Discovery Link Only</x:v>
      </x:c>
      <x:c r="S323" s="117" t="str">
        <x:v>Unknown</x:v>
      </x:c>
      <x:c r="T323" s="117" t="str">
        <x:v>Unknown</x:v>
      </x:c>
      <x:c r="U323" s="117" t="str">
        <x:v>Unknown</x:v>
      </x:c>
      <x:c r="V323" s="117" t="str">
        <x:v>Unknown</x:v>
      </x:c>
      <x:c r="W323" s="117" t="str">
        <x:v>Unknown</x:v>
      </x:c>
      <x:c r="X323" s="117" t="str">
        <x:v>Unknown</x:v>
      </x:c>
      <x:c r="Y323" s="117" t="str">
        <x:v>Unknown</x:v>
      </x:c>
      <x:c r="Z323" s="117"/>
      <x:c r="AA323" s="117" t="str">
        <x:v>Pending evidence</x:v>
      </x:c>
      <x:c r="AB323" s="117"/>
      <x:c r="AC323" s="117" t="str">
        <x:v>No qualifying accessibility conclusion established from the screened sources. This is unknown, not evidence that the attraction is inaccessible.</x:v>
      </x:c>
      <x:c r="AD323" s="117" t="str">
        <x:v>2026-09-08</x:v>
      </x:c>
      <x:c r="AE323" s="117" t="str">
        <x:v>MC0320</x:v>
      </x:c>
      <x:c r="AF323" s="117" t="str">
        <x:v>Distinct candidate</x:v>
      </x:c>
      <x:c r="AG323" s="117" t="str"/>
      <x:c r="AH323" s="117" t="str">
        <x:v>Name corroborated in source</x:v>
      </x:c>
      <x:c r="AI323" s="117" t="str">
        <x:v>https://ebrochures.malaysia.travel/en/malaysia-travel-guide/selangor/</x:v>
      </x:c>
      <x:c r="AJ323" s="117" t="str">
        <x:v>Place name or established alias matched in the cited source. This is not confirmation of current opening, all visitor facilities or the full description.</x:v>
      </x:c>
      <x:c r="AK323" s="117" t="str">
        <x:v>Not independently confirmed</x:v>
      </x:c>
      <x:c r="AL323" s="117" t="str">
        <x:v>Screened sources; accessibility unresolved</x:v>
      </x:c>
      <x:c r="AM323" s="117" t="str">
        <x:v>2026-09-08</x:v>
      </x:c>
      <x:c r="AN323" s="117" t="str">
        <x:v>https://thumb.wikimedia.org/wikipedia/commons/thumb/5/58/Shah_Alam_National_Botanical_Park%2C_the_sculpture_of_Titan_Arum.jpg/1280px-Shah_Alam_National_Botanical_Park%2C_the_sculpture_of_Titan_Arum.jpg?utm_source=commons.wikimedia.org&amp;utm_campaign=imageinfo&amp;utm_content=thumbnail</x:v>
      </x:c>
      <x:c r="AO323" s="117" t="str">
        <x:v>https://thumb.wikimedia.org/wikipedia/commons/thumb/2/2d/Yellow_cosmos_at_National_Botanic_Gardens_Shah_Alam_%28TBNSA%29%2C_Malaysia.jpg/1280px-Yellow_cosmos_at_National_Botanic_Gardens_Shah_Alam_%28TBNSA%29%2C_Malaysia.jpg?utm_source=commons.wikimedia.org&amp;utm_campaign=imageinfo&amp;utm_content=thumbnail</x:v>
      </x:c>
      <x:c r="AP323" s="117" t="str">
        <x:v>2 metadata-matched images; visual review pending</x:v>
      </x:c>
      <x:c r="AQ323" s="117"/>
    </x:row>
    <x:row r="324" ht="66" customHeight="1">
      <x:c r="A324" s="117" t="str">
        <x:v>MC0321</x:v>
      </x:c>
      <x:c r="B324" s="117" t="str">
        <x:v>Sultan Salahuddin Abdul Aziz Mosque</x:v>
      </x:c>
      <x:c r="C324" s="117" t="str">
        <x:v>Selangor</x:v>
      </x:c>
      <x:c r="D324" s="117" t="str">
        <x:v>Shah Alam</x:v>
      </x:c>
      <x:c r="E324" s="117" t="str">
        <x:v>Religious Site</x:v>
      </x:c>
      <x:c r="F324" s="117" t="str">
        <x:v>Popular</x:v>
      </x:c>
      <x:c r="G324" s="117" t="str">
        <x:v>Both</x:v>
      </x:c>
      <x:c r="H324" s="117" t="str">
        <x:v>blue mosque; architecture; landmark</x:v>
      </x:c>
      <x:c r="I324" s="117" t="str">
        <x:v>Selangor's state mosque in Shah Alam, notable for one of the largest domes in the world and its blue-and-white architecture.</x:v>
      </x:c>
      <x:c r="J324" s="117" t="str">
        <x:v>https://www.google.com/maps/search/?api=1&amp;query=Sultan%20Salahuddin%20Abdul%20Aziz%20Mosque%2C%20Selangor%2C%20Malaysia</x:v>
      </x:c>
      <x:c r="K324" s="117" t="str">
        <x:v>https://ebrochures.malaysia.travel/en/malaysia-travel-guide/selangor/</x:v>
      </x:c>
      <x:c r="L324" s="117" t="str">
        <x:v>Tourism Malaysia state guide plus map discovery link</x:v>
      </x:c>
      <x:c r="M324" s="117" t="str">
        <x:v>Selangor expansion batch</x:v>
      </x:c>
      <x:c r="N324" s="117"/>
      <x:c r="O324" s="117" t="str">
        <x:v>2026-08-15 00:00:00</x:v>
      </x:c>
      <x:c r="P324" s="117" t="str">
        <x:v>Complete</x:v>
      </x:c>
      <x:c r="Q324" s="117" t="str">
        <x:v>Duplicate alias: use MC0318 Identity and Malaysian location verified in second-pass review on 2026-09-08.</x:v>
      </x:c>
      <x:c r="R324" s="117" t="str">
        <x:f t="shared" ref="R324:R387" si="5">IF(J324="","Missing Link",IF(AND(ISNUMBER(SEARCH("google.com/maps",J324)),ISERROR(SEARCH(";",J324))),"Discovery Link Only","Source Link Present"))</x:f>
        <x:v>Discovery Link Only</x:v>
      </x:c>
      <x:c r="S324" s="117" t="str">
        <x:v>Unknown</x:v>
      </x:c>
      <x:c r="T324" s="117" t="str">
        <x:v>Unknown</x:v>
      </x:c>
      <x:c r="U324" s="117" t="str">
        <x:v>Unknown</x:v>
      </x:c>
      <x:c r="V324" s="117" t="str">
        <x:v>Unknown</x:v>
      </x:c>
      <x:c r="W324" s="117" t="str">
        <x:v>Unknown</x:v>
      </x:c>
      <x:c r="X324" s="117" t="str">
        <x:v>Unknown</x:v>
      </x:c>
      <x:c r="Y324" s="117" t="str">
        <x:v>Unknown</x:v>
      </x:c>
      <x:c r="Z324" s="117"/>
      <x:c r="AA324" s="117" t="str">
        <x:v>Duplicate - use canonical ID</x:v>
      </x:c>
      <x:c r="AB324" s="117"/>
      <x:c r="AC324" s="117" t="str">
        <x:v>No qualifying accessibility conclusion established from the screened sources. This is unknown, not evidence that the attraction is inaccessible.</x:v>
      </x:c>
      <x:c r="AD324" s="117" t="str">
        <x:v>2026-09-08</x:v>
      </x:c>
      <x:c r="AE324" s="117" t="str">
        <x:v>MC0318</x:v>
      </x:c>
      <x:c r="AF324" s="117" t="str">
        <x:v>Duplicate alias</x:v>
      </x:c>
      <x:c r="AG324" s="117" t="str"/>
      <x:c r="AH324" s="117" t="str">
        <x:v>Identity and location corroborated</x:v>
      </x:c>
      <x:c r="AI324" s="117" t="str">
        <x:v>https://en.wikipedia.org/wiki/Sultan_Salahuddin_Abdul_Aziz_Mosque</x:v>
      </x:c>
      <x:c r="AJ324" s="117" t="str">
        <x:v>Encyclopedic source matches the attraction name or established alias and the stated Malaysian location. This verifies identity/location only; confirm current opening and accessibility separately.</x:v>
      </x:c>
      <x:c r="AK324" s="117" t="str">
        <x:v>Not independently confirmed</x:v>
      </x:c>
      <x:c r="AL324" s="117" t="str">
        <x:v>Screened sources; accessibility unresolved</x:v>
      </x:c>
      <x:c r="AM324" s="117" t="str">
        <x:v>2026-09-08</x:v>
      </x:c>
      <x:c r="AN324" s="117" t="str">
        <x:v>https://upload.wikimedia.org/wikipedia/commons/4/4b/SA_Blue_Mosque.jpg?utm_source=commons.wikimedia.org&amp;utm_campaign=imageinfo&amp;utm_content=thumbnail_unscaled</x:v>
      </x:c>
      <x:c r="AO324" s="117" t="str">
        <x:v>https://thumb.wikimedia.org/wikipedia/commons/thumb/b/bf/Shah_Alam_Blue_mosque_at_night.jpg/1280px-Shah_Alam_Blue_mosque_at_night.jpg?utm_source=commons.wikimedia.org&amp;utm_campaign=imageinfo&amp;utm_content=thumbnail</x:v>
      </x:c>
      <x:c r="AP324" s="117" t="str">
        <x:v>2 metadata-matched images; visual review pending</x:v>
      </x:c>
      <x:c r="AQ324" s="117"/>
    </x:row>
    <x:row r="325" ht="66" customHeight="1">
      <x:c r="A325" s="117" t="str">
        <x:v>MC0322</x:v>
      </x:c>
      <x:c r="B325" s="117" t="str">
        <x:v>Selangor State Museum</x:v>
      </x:c>
      <x:c r="C325" s="117" t="str">
        <x:v>Selangor</x:v>
      </x:c>
      <x:c r="D325" s="117" t="str">
        <x:v>Shah Alam</x:v>
      </x:c>
      <x:c r="E325" s="117" t="str">
        <x:v>Museum and Gallery</x:v>
      </x:c>
      <x:c r="F325" s="117" t="str">
        <x:v>Local</x:v>
      </x:c>
      <x:c r="G325" s="117" t="str">
        <x:v>Indoor</x:v>
      </x:c>
      <x:c r="H325" s="117" t="str">
        <x:v>state history; museum; culture</x:v>
      </x:c>
      <x:c r="I325" s="117" t="str">
        <x:v>A museum in Shah Alam, also known as Muzium Sultan Alam Shah, documenting Selangor's history and culture.</x:v>
      </x:c>
      <x:c r="J325" s="117" t="str">
        <x:v>https://www.google.com/maps/search/?api=1&amp;query=Selangor%20State%20Museum%2C%20Selangor%2C%20Malaysia</x:v>
      </x:c>
      <x:c r="K325" s="117" t="str">
        <x:v>https://ebrochures.malaysia.travel/en/malaysia-travel-guide/selangor/</x:v>
      </x:c>
      <x:c r="L325" s="117" t="str">
        <x:v>Tourism Malaysia state guide plus map discovery link</x:v>
      </x:c>
      <x:c r="M325" s="117" t="str">
        <x:v>Selangor expansion batch</x:v>
      </x:c>
      <x:c r="N325" s="117"/>
      <x:c r="O325" s="117" t="str">
        <x:v>2026-08-15 00:00:00</x:v>
      </x:c>
      <x:c r="P325" s="117" t="str">
        <x:v>Complete</x:v>
      </x:c>
      <x:c r="Q325" s="117"/>
      <x:c r="R325" s="117" t="str">
        <x:f t="shared" si="5">IF(J325="","Missing Link",IF(AND(ISNUMBER(SEARCH("google.com/maps",J325)),ISERROR(SEARCH(";",J325))),"Discovery Link Only","Source Link Present"))</x:f>
        <x:v>Discovery Link Only</x:v>
      </x:c>
      <x:c r="S325" s="117" t="str">
        <x:v>Unknown</x:v>
      </x:c>
      <x:c r="T325" s="117" t="str">
        <x:v>Unknown</x:v>
      </x:c>
      <x:c r="U325" s="117" t="str">
        <x:v>Unknown</x:v>
      </x:c>
      <x:c r="V325" s="117" t="str">
        <x:v>Unknown</x:v>
      </x:c>
      <x:c r="W325" s="117" t="str">
        <x:v>Unknown</x:v>
      </x:c>
      <x:c r="X325" s="117" t="str">
        <x:v>Unknown</x:v>
      </x:c>
      <x:c r="Y325" s="117" t="str">
        <x:v>Unknown</x:v>
      </x:c>
      <x:c r="Z325" s="117"/>
      <x:c r="AA325" s="117" t="str">
        <x:v>Pending evidence</x:v>
      </x:c>
      <x:c r="AB325" s="117"/>
      <x:c r="AC325" s="117" t="str">
        <x:v>No qualifying accessibility conclusion established from the screened sources. This is unknown, not evidence that the attraction is inaccessible.</x:v>
      </x:c>
      <x:c r="AD325" s="117" t="str">
        <x:v>2026-09-08</x:v>
      </x:c>
      <x:c r="AE325" s="117" t="str">
        <x:v>MC0322</x:v>
      </x:c>
      <x:c r="AF325" s="117" t="str">
        <x:v>Distinct candidate</x:v>
      </x:c>
      <x:c r="AG325" s="117" t="str"/>
      <x:c r="AH325" s="117" t="str">
        <x:v>Name corroborated in source</x:v>
      </x:c>
      <x:c r="AI325" s="117" t="str">
        <x:v>https://ebrochures.malaysia.travel/en/malaysia-travel-guide/selangor/</x:v>
      </x:c>
      <x:c r="AJ325" s="117" t="str">
        <x:v>Place name or established alias matched in the cited source. This is not confirmation of current opening, all visitor facilities or the full description.</x:v>
      </x:c>
      <x:c r="AK325" s="117" t="str">
        <x:v>Not independently confirmed</x:v>
      </x:c>
      <x:c r="AL325" s="117" t="str">
        <x:v>Screened sources; accessibility unresolved</x:v>
      </x:c>
      <x:c r="AM325" s="117" t="str">
        <x:v>2026-09-08</x:v>
      </x:c>
      <x:c r="AN325" s="117"/>
      <x:c r="AO325" s="117"/>
      <x:c r="AP325" s="117" t="str">
        <x:v>No usable pair located; image research pending</x:v>
      </x:c>
      <x:c r="AQ325" s="117"/>
    </x:row>
    <x:row r="326" ht="66" customHeight="1">
      <x:c r="A326" s="117" t="str">
        <x:v>MC0323</x:v>
      </x:c>
      <x:c r="B326" s="117" t="str">
        <x:v>National Botanic Gardens Shah Alam</x:v>
      </x:c>
      <x:c r="C326" s="117" t="str">
        <x:v>Selangor</x:v>
      </x:c>
      <x:c r="D326" s="117" t="str">
        <x:v>Shah Alam</x:v>
      </x:c>
      <x:c r="E326" s="117" t="str">
        <x:v>Nature</x:v>
      </x:c>
      <x:c r="F326" s="117" t="str">
        <x:v>Popular</x:v>
      </x:c>
      <x:c r="G326" s="117" t="str">
        <x:v>Outdoor</x:v>
      </x:c>
      <x:c r="H326" s="117" t="str">
        <x:v>botanical garden; cycling; family</x:v>
      </x:c>
      <x:c r="I326" s="117" t="str">
        <x:v>A landscaped botanical garden in Shah Alam featuring themed gardens and a canopy walkway.</x:v>
      </x:c>
      <x:c r="J326" s="117" t="str">
        <x:v>https://www.google.com/maps/search/?api=1&amp;query=National%20Botanic%20Gardens%20Shah%20Alam%2C%20Selangor%2C%20Malaysia</x:v>
      </x:c>
      <x:c r="K326" s="117" t="str">
        <x:v>https://ebrochures.malaysia.travel/en/malaysia-travel-guide/selangor/</x:v>
      </x:c>
      <x:c r="L326" s="117" t="str">
        <x:v>Tourism Malaysia state guide plus map discovery link</x:v>
      </x:c>
      <x:c r="M326" s="117" t="str">
        <x:v>Selangor expansion batch</x:v>
      </x:c>
      <x:c r="N326" s="117"/>
      <x:c r="O326" s="117" t="str">
        <x:v>2026-08-15 00:00:00</x:v>
      </x:c>
      <x:c r="P326" s="117" t="str">
        <x:v>Complete</x:v>
      </x:c>
      <x:c r="Q326" s="117" t="str">
        <x:v>Duplicate alias: use MC0320 Identity and Malaysian location verified in second-pass review on 2026-09-08.</x:v>
      </x:c>
      <x:c r="R326" s="117" t="str">
        <x:f t="shared" si="5">IF(J326="","Missing Link",IF(AND(ISNUMBER(SEARCH("google.com/maps",J326)),ISERROR(SEARCH(";",J326))),"Discovery Link Only","Source Link Present"))</x:f>
        <x:v>Discovery Link Only</x:v>
      </x:c>
      <x:c r="S326" s="117" t="str">
        <x:v>Unknown</x:v>
      </x:c>
      <x:c r="T326" s="117" t="str">
        <x:v>Unknown</x:v>
      </x:c>
      <x:c r="U326" s="117" t="str">
        <x:v>Unknown</x:v>
      </x:c>
      <x:c r="V326" s="117" t="str">
        <x:v>Unknown</x:v>
      </x:c>
      <x:c r="W326" s="117" t="str">
        <x:v>Unknown</x:v>
      </x:c>
      <x:c r="X326" s="117" t="str">
        <x:v>Unknown</x:v>
      </x:c>
      <x:c r="Y326" s="117" t="str">
        <x:v>Unknown</x:v>
      </x:c>
      <x:c r="Z326" s="117"/>
      <x:c r="AA326" s="117" t="str">
        <x:v>Duplicate - use canonical ID</x:v>
      </x:c>
      <x:c r="AB326" s="117"/>
      <x:c r="AC326" s="117" t="str">
        <x:v>No qualifying accessibility conclusion established from the screened sources. This is unknown, not evidence that the attraction is inaccessible.</x:v>
      </x:c>
      <x:c r="AD326" s="117" t="str">
        <x:v>2026-09-08</x:v>
      </x:c>
      <x:c r="AE326" s="117" t="str">
        <x:v>MC0320</x:v>
      </x:c>
      <x:c r="AF326" s="117" t="str">
        <x:v>Duplicate alias</x:v>
      </x:c>
      <x:c r="AG326" s="117" t="str"/>
      <x:c r="AH326" s="117" t="str">
        <x:v>Identity and location corroborated</x:v>
      </x:c>
      <x:c r="AI326" s="117" t="str">
        <x:v>https://en.wikipedia.org/wiki/National_Botanical_Garden_Shah_Alam</x:v>
      </x:c>
      <x:c r="AJ326" s="117" t="str">
        <x:v>Encyclopedic source matches the attraction name or established alias and the stated Malaysian location. This verifies identity/location only; confirm current opening and accessibility separately.</x:v>
      </x:c>
      <x:c r="AK326" s="117" t="str">
        <x:v>Not independently confirmed</x:v>
      </x:c>
      <x:c r="AL326" s="117" t="str">
        <x:v>Screened sources; accessibility unresolved</x:v>
      </x:c>
      <x:c r="AM326" s="117" t="str">
        <x:v>2026-09-08</x:v>
      </x:c>
      <x:c r="AN326" s="117" t="str">
        <x:v>https://thumb.wikimedia.org/wikipedia/commons/thumb/5/58/Shah_Alam_National_Botanical_Park%2C_the_sculpture_of_Titan_Arum.jpg/1280px-Shah_Alam_National_Botanical_Park%2C_the_sculpture_of_Titan_Arum.jpg?utm_source=commons.wikimedia.org&amp;utm_campaign=imageinfo&amp;utm_content=thumbnail</x:v>
      </x:c>
      <x:c r="AO326" s="117" t="str">
        <x:v>https://thumb.wikimedia.org/wikipedia/commons/thumb/2/2d/Yellow_cosmos_at_National_Botanic_Gardens_Shah_Alam_%28TBNSA%29%2C_Malaysia.jpg/1280px-Yellow_cosmos_at_National_Botanic_Gardens_Shah_Alam_%28TBNSA%29%2C_Malaysia.jpg?utm_source=commons.wikimedia.org&amp;utm_campaign=imageinfo&amp;utm_content=thumbnail</x:v>
      </x:c>
      <x:c r="AP326" s="117" t="str">
        <x:v>2 metadata-matched images; visual review pending</x:v>
      </x:c>
      <x:c r="AQ326" s="117"/>
    </x:row>
    <x:row r="327" ht="66" customHeight="1">
      <x:c r="A327" s="117" t="str">
        <x:v>MC0324</x:v>
      </x:c>
      <x:c r="B327" s="117" t="str">
        <x:v>Raja Tun Uda Library</x:v>
      </x:c>
      <x:c r="C327" s="117" t="str">
        <x:v>Selangor</x:v>
      </x:c>
      <x:c r="D327" s="117" t="str">
        <x:v>Shah Alam</x:v>
      </x:c>
      <x:c r="E327" s="117" t="str">
        <x:v>Urban Attraction</x:v>
      </x:c>
      <x:c r="F327" s="117" t="str">
        <x:v>Local</x:v>
      </x:c>
      <x:c r="G327" s="117" t="str">
        <x:v>Both</x:v>
      </x:c>
      <x:c r="H327" s="117" t="str">
        <x:v>library; family; architecture</x:v>
      </x:c>
      <x:c r="I327" s="117" t="str">
        <x:v>A public library and cultural landmark in Shah Alam known for its distinctive architecture.</x:v>
      </x:c>
      <x:c r="J327" s="117" t="str">
        <x:v>https://www.google.com/maps/search/?api=1&amp;query=Raja%20Tun%20Uda%20Library%2C%20Selangor%2C%20Malaysia</x:v>
      </x:c>
      <x:c r="K327" s="117" t="str">
        <x:v>https://ebrochures.malaysia.travel/en/malaysia-travel-guide/selangor/</x:v>
      </x:c>
      <x:c r="L327" s="117" t="str">
        <x:v>Tourism Malaysia state guide plus map discovery link</x:v>
      </x:c>
      <x:c r="M327" s="117" t="str">
        <x:v>Selangor expansion batch</x:v>
      </x:c>
      <x:c r="N327" s="117"/>
      <x:c r="O327" s="117" t="str">
        <x:v>2026-08-15 00:00:00</x:v>
      </x:c>
      <x:c r="P327" s="117" t="str">
        <x:v>Complete</x:v>
      </x:c>
      <x:c r="Q327" s="117"/>
      <x:c r="R327" s="117" t="str">
        <x:f t="shared" si="5">IF(J327="","Missing Link",IF(AND(ISNUMBER(SEARCH("google.com/maps",J327)),ISERROR(SEARCH(";",J327))),"Discovery Link Only","Source Link Present"))</x:f>
        <x:v>Discovery Link Only</x:v>
      </x:c>
      <x:c r="S327" s="117" t="str">
        <x:v>Unknown</x:v>
      </x:c>
      <x:c r="T327" s="117" t="str">
        <x:v>Unknown</x:v>
      </x:c>
      <x:c r="U327" s="117" t="str">
        <x:v>Unknown</x:v>
      </x:c>
      <x:c r="V327" s="117" t="str">
        <x:v>Unknown</x:v>
      </x:c>
      <x:c r="W327" s="117" t="str">
        <x:v>Unknown</x:v>
      </x:c>
      <x:c r="X327" s="117" t="str">
        <x:v>Unknown</x:v>
      </x:c>
      <x:c r="Y327" s="117" t="str">
        <x:v>Unknown</x:v>
      </x:c>
      <x:c r="Z327" s="117"/>
      <x:c r="AA327" s="117" t="str">
        <x:v>Pending evidence</x:v>
      </x:c>
      <x:c r="AB327" s="117"/>
      <x:c r="AC327" s="117" t="str">
        <x:v>No qualifying accessibility conclusion established from the screened sources. This is unknown, not evidence that the attraction is inaccessible.</x:v>
      </x:c>
      <x:c r="AD327" s="117" t="str">
        <x:v>2026-09-08</x:v>
      </x:c>
      <x:c r="AE327" s="117" t="str">
        <x:v>MC0324</x:v>
      </x:c>
      <x:c r="AF327" s="117" t="str">
        <x:v>Distinct candidate</x:v>
      </x:c>
      <x:c r="AG327" s="117" t="str"/>
      <x:c r="AH327" s="117" t="str">
        <x:v>Name corroborated in source</x:v>
      </x:c>
      <x:c r="AI327" s="117" t="str">
        <x:v>https://ebrochures.malaysia.travel/en/malaysia-travel-guide/selangor/</x:v>
      </x:c>
      <x:c r="AJ327" s="117" t="str">
        <x:v>Place name or established alias matched in the cited source. This is not confirmation of current opening, all visitor facilities or the full description.</x:v>
      </x:c>
      <x:c r="AK327" s="117" t="str">
        <x:v>Not independently confirmed</x:v>
      </x:c>
      <x:c r="AL327" s="117" t="str">
        <x:v>Screened sources; accessibility unresolved</x:v>
      </x:c>
      <x:c r="AM327" s="117" t="str">
        <x:v>2026-09-08</x:v>
      </x:c>
      <x:c r="AN327" s="117"/>
      <x:c r="AO327" s="117"/>
      <x:c r="AP327" s="117" t="str">
        <x:v>No usable pair located; image research pending</x:v>
      </x:c>
      <x:c r="AQ327" s="117"/>
    </x:row>
    <x:row r="328" ht="66" customHeight="1">
      <x:c r="A328" s="117" t="str">
        <x:v>MC0325</x:v>
      </x:c>
      <x:c r="B328" s="117" t="str">
        <x:v>Sultan Abdul Aziz Royal Gallery</x:v>
      </x:c>
      <x:c r="C328" s="117" t="str">
        <x:v>Selangor</x:v>
      </x:c>
      <x:c r="D328" s="117" t="str">
        <x:v>Klang</x:v>
      </x:c>
      <x:c r="E328" s="117" t="str">
        <x:v>Museum and Gallery</x:v>
      </x:c>
      <x:c r="F328" s="117" t="str">
        <x:v>Popular</x:v>
      </x:c>
      <x:c r="G328" s="117" t="str">
        <x:v>Indoor</x:v>
      </x:c>
      <x:c r="H328" s="117" t="str">
        <x:v>royal history; gallery; heritage</x:v>
      </x:c>
      <x:c r="I328" s="117" t="str">
        <x:v>A royal gallery in Klang showcasing Selangor's royal history and regalia.</x:v>
      </x:c>
      <x:c r="J328" s="117" t="str">
        <x:v>https://www.google.com/maps/search/?api=1&amp;query=Sultan%20Abdul%20Aziz%20Royal%20Gallery%2C%20Selangor%2C%20Malaysia</x:v>
      </x:c>
      <x:c r="K328" s="117" t="str">
        <x:v>https://ebrochures.malaysia.travel/en/malaysia-travel-guide/selangor/</x:v>
      </x:c>
      <x:c r="L328" s="117" t="str">
        <x:v>Tourism Malaysia state guide plus map discovery link</x:v>
      </x:c>
      <x:c r="M328" s="117" t="str">
        <x:v>Selangor expansion batch</x:v>
      </x:c>
      <x:c r="N328" s="117"/>
      <x:c r="O328" s="117" t="str">
        <x:v>2026-08-15 00:00:00</x:v>
      </x:c>
      <x:c r="P328" s="117" t="str">
        <x:v>Complete</x:v>
      </x:c>
      <x:c r="Q328" s="117" t="str">
        <x:v>Identity and Malaysian location verified in second-pass review on 2026-09-08.</x:v>
      </x:c>
      <x:c r="R328" s="117" t="str">
        <x:f t="shared" si="5">IF(J328="","Missing Link",IF(AND(ISNUMBER(SEARCH("google.com/maps",J328)),ISERROR(SEARCH(";",J328))),"Discovery Link Only","Source Link Present"))</x:f>
        <x:v>Discovery Link Only</x:v>
      </x:c>
      <x:c r="S328" s="117" t="str">
        <x:v>Unknown</x:v>
      </x:c>
      <x:c r="T328" s="117" t="str">
        <x:v>Unknown</x:v>
      </x:c>
      <x:c r="U328" s="117" t="str">
        <x:v>Unknown</x:v>
      </x:c>
      <x:c r="V328" s="117" t="str">
        <x:v>Unknown</x:v>
      </x:c>
      <x:c r="W328" s="117" t="str">
        <x:v>Unknown</x:v>
      </x:c>
      <x:c r="X328" s="117" t="str">
        <x:v>Unknown</x:v>
      </x:c>
      <x:c r="Y328" s="117" t="str">
        <x:v>Unknown</x:v>
      </x:c>
      <x:c r="Z328" s="117"/>
      <x:c r="AA328" s="117" t="str">
        <x:v>Pending evidence</x:v>
      </x:c>
      <x:c r="AB328" s="117"/>
      <x:c r="AC328" s="117" t="str">
        <x:v>No qualifying accessibility conclusion established from the screened sources. This is unknown, not evidence that the attraction is inaccessible.</x:v>
      </x:c>
      <x:c r="AD328" s="117" t="str">
        <x:v>2026-09-08</x:v>
      </x:c>
      <x:c r="AE328" s="117" t="str">
        <x:v>MC0325</x:v>
      </x:c>
      <x:c r="AF328" s="117" t="str">
        <x:v>Distinct candidate</x:v>
      </x:c>
      <x:c r="AG328" s="117" t="str"/>
      <x:c r="AH328" s="117" t="str">
        <x:v>Identity and location corroborated</x:v>
      </x:c>
      <x:c r="AI328" s="117" t="str">
        <x:v>https://en.wikipedia.org/wiki/Sultan_Abdul_Aziz_Royal_Gallery</x:v>
      </x:c>
      <x:c r="AJ328" s="117" t="str">
        <x:v>Encyclopedic source matches the attraction name or established alias and the stated Malaysian location. This verifies identity/location only; confirm current opening and accessibility separately.</x:v>
      </x:c>
      <x:c r="AK328" s="117" t="str">
        <x:v>Not independently confirmed</x:v>
      </x:c>
      <x:c r="AL328" s="117" t="str">
        <x:v>Screened sources; accessibility unresolved</x:v>
      </x:c>
      <x:c r="AM328" s="117" t="str">
        <x:v>2026-09-08</x:v>
      </x:c>
      <x:c r="AN328" s="117" t="str">
        <x:v>https://thumb.wikimedia.org/wikipedia/commons/thumb/e/ed/Sultan_Abdul_Aziz_Royal_Gallery_%28211027%29.jpg/1280px-Sultan_Abdul_Aziz_Royal_Gallery_%28211027%29.jpg?utm_source=commons.wikimedia.org&amp;utm_campaign=imageinfo&amp;utm_content=thumbnail</x:v>
      </x:c>
      <x:c r="AO328" s="117" t="str">
        <x:v>https://thumb.wikimedia.org/wikipedia/commons/thumb/d/d9/SA_Sultan_Alam_Shah_Museum.jpg/1280px-SA_Sultan_Alam_Shah_Museum.jpg?utm_source=commons.wikimedia.org&amp;utm_campaign=imageinfo&amp;utm_content=thumbnail</x:v>
      </x:c>
      <x:c r="AP328" s="117" t="str">
        <x:v>2 metadata-matched images; visual review pending</x:v>
      </x:c>
      <x:c r="AQ328" s="117"/>
    </x:row>
    <x:row r="329" ht="66" customHeight="1">
      <x:c r="A329" s="117" t="str">
        <x:v>MC0326</x:v>
      </x:c>
      <x:c r="B329" s="117" t="str">
        <x:v>Klang Heritage Walk</x:v>
      </x:c>
      <x:c r="C329" s="117" t="str">
        <x:v>Selangor</x:v>
      </x:c>
      <x:c r="D329" s="117" t="str">
        <x:v>Klang</x:v>
      </x:c>
      <x:c r="E329" s="117" t="str">
        <x:v>Heritage and History</x:v>
      </x:c>
      <x:c r="F329" s="117" t="str">
        <x:v>Local</x:v>
      </x:c>
      <x:c r="G329" s="117" t="str">
        <x:v>Both</x:v>
      </x:c>
      <x:c r="H329" s="117" t="str">
        <x:v>heritage buildings; food; walking</x:v>
      </x:c>
      <x:c r="I329" s="117" t="str">
        <x:v>A heritage trail through Klang's historic royal town, passing colonial buildings and temples.</x:v>
      </x:c>
      <x:c r="J329" s="117" t="str">
        <x:v>https://www.google.com/maps/search/?api=1&amp;query=Klang%20Heritage%20Walk%2C%20Selangor%2C%20Malaysia</x:v>
      </x:c>
      <x:c r="K329" s="117" t="str">
        <x:v>https://ebrochures.malaysia.travel/en/malaysia-travel-guide/selangor/</x:v>
      </x:c>
      <x:c r="L329" s="117" t="str">
        <x:v>Tourism Malaysia state guide plus map discovery link</x:v>
      </x:c>
      <x:c r="M329" s="117" t="str">
        <x:v>Selangor expansion batch</x:v>
      </x:c>
      <x:c r="N329" s="117"/>
      <x:c r="O329" s="117" t="str">
        <x:v>2026-08-15 00:00:00</x:v>
      </x:c>
      <x:c r="P329" s="117" t="str">
        <x:v>Complete</x:v>
      </x:c>
      <x:c r="Q329" s="117"/>
      <x:c r="R329" s="117" t="str">
        <x:f t="shared" si="5">IF(J329="","Missing Link",IF(AND(ISNUMBER(SEARCH("google.com/maps",J329)),ISERROR(SEARCH(";",J329))),"Discovery Link Only","Source Link Present"))</x:f>
        <x:v>Discovery Link Only</x:v>
      </x:c>
      <x:c r="S329" s="117" t="str">
        <x:v>Unknown</x:v>
      </x:c>
      <x:c r="T329" s="117" t="str">
        <x:v>Unknown</x:v>
      </x:c>
      <x:c r="U329" s="117" t="str">
        <x:v>Unknown</x:v>
      </x:c>
      <x:c r="V329" s="117" t="str">
        <x:v>Unknown</x:v>
      </x:c>
      <x:c r="W329" s="117" t="str">
        <x:v>Unknown</x:v>
      </x:c>
      <x:c r="X329" s="117" t="str">
        <x:v>Unknown</x:v>
      </x:c>
      <x:c r="Y329" s="117" t="str">
        <x:v>Unknown</x:v>
      </x:c>
      <x:c r="Z329" s="117"/>
      <x:c r="AA329" s="117" t="str">
        <x:v>Pending evidence</x:v>
      </x:c>
      <x:c r="AB329" s="117"/>
      <x:c r="AC329" s="117" t="str">
        <x:v>No qualifying accessibility conclusion established from the screened sources. This is unknown, not evidence that the attraction is inaccessible.</x:v>
      </x:c>
      <x:c r="AD329" s="117" t="str">
        <x:v>2026-09-08</x:v>
      </x:c>
      <x:c r="AE329" s="117" t="str">
        <x:v>MC0326</x:v>
      </x:c>
      <x:c r="AF329" s="117" t="str">
        <x:v>Distinct candidate</x:v>
      </x:c>
      <x:c r="AG329" s="117" t="str"/>
      <x:c r="AH329" s="117" t="str">
        <x:v>Name corroborated in source</x:v>
      </x:c>
      <x:c r="AI329" s="117" t="str">
        <x:v>https://ebrochures.malaysia.travel/en/malaysia-travel-guide/selangor/</x:v>
      </x:c>
      <x:c r="AJ329" s="117" t="str">
        <x:v>Place name or established alias matched in the cited source. This is not confirmation of current opening, all visitor facilities or the full description.</x:v>
      </x:c>
      <x:c r="AK329" s="117" t="str">
        <x:v>Not independently confirmed</x:v>
      </x:c>
      <x:c r="AL329" s="117" t="str">
        <x:v>Screened sources; accessibility unresolved</x:v>
      </x:c>
      <x:c r="AM329" s="117" t="str">
        <x:v>2026-09-08</x:v>
      </x:c>
      <x:c r="AN329" s="117"/>
      <x:c r="AO329" s="117"/>
      <x:c r="AP329" s="117" t="str">
        <x:v>No usable pair located; image research pending</x:v>
      </x:c>
      <x:c r="AQ329" s="117"/>
    </x:row>
    <x:row r="330" ht="66" customHeight="1">
      <x:c r="A330" s="117" t="str">
        <x:v>MC0327</x:v>
      </x:c>
      <x:c r="B330" s="117" t="str">
        <x:v>Bukit Melawati</x:v>
      </x:c>
      <x:c r="C330" s="117" t="str">
        <x:v>Selangor</x:v>
      </x:c>
      <x:c r="D330" s="117" t="str">
        <x:v>Kuala Selangor</x:v>
      </x:c>
      <x:c r="E330" s="117" t="str">
        <x:v>Heritage and History</x:v>
      </x:c>
      <x:c r="F330" s="117" t="str">
        <x:v>Popular</x:v>
      </x:c>
      <x:c r="G330" s="117" t="str">
        <x:v>Both</x:v>
      </x:c>
      <x:c r="H330" s="117" t="str">
        <x:v>fort; lighthouse; monkeys</x:v>
      </x:c>
      <x:c r="I330" s="117" t="str">
        <x:v>A historic hill in Kuala Selangor with a former fort, lighthouse and views over the river mouth.</x:v>
      </x:c>
      <x:c r="J330" s="117" t="str">
        <x:v>https://www.google.com/maps/search/?api=1&amp;query=Bukit%20Melawati%2C%20Selangor%2C%20Malaysia</x:v>
      </x:c>
      <x:c r="K330" s="117" t="str">
        <x:v>https://ebrochures.malaysia.travel/en/malaysia-travel-guide/selangor/</x:v>
      </x:c>
      <x:c r="L330" s="117" t="str">
        <x:v>Tourism Malaysia state guide plus map discovery link</x:v>
      </x:c>
      <x:c r="M330" s="117" t="str">
        <x:v>Selangor expansion batch</x:v>
      </x:c>
      <x:c r="N330" s="117"/>
      <x:c r="O330" s="117" t="str">
        <x:v>2026-08-15 00:00:00</x:v>
      </x:c>
      <x:c r="P330" s="117" t="str">
        <x:v>Complete</x:v>
      </x:c>
      <x:c r="Q330" s="117"/>
      <x:c r="R330" s="117" t="str">
        <x:f t="shared" si="5">IF(J330="","Missing Link",IF(AND(ISNUMBER(SEARCH("google.com/maps",J330)),ISERROR(SEARCH(";",J330))),"Discovery Link Only","Source Link Present"))</x:f>
        <x:v>Discovery Link Only</x:v>
      </x:c>
      <x:c r="S330" s="117" t="str">
        <x:v>Unknown</x:v>
      </x:c>
      <x:c r="T330" s="117" t="str">
        <x:v>Unknown</x:v>
      </x:c>
      <x:c r="U330" s="117" t="str">
        <x:v>Unknown</x:v>
      </x:c>
      <x:c r="V330" s="117" t="str">
        <x:v>Unknown</x:v>
      </x:c>
      <x:c r="W330" s="117" t="str">
        <x:v>Unknown</x:v>
      </x:c>
      <x:c r="X330" s="117" t="str">
        <x:v>Unknown</x:v>
      </x:c>
      <x:c r="Y330" s="117" t="str">
        <x:v>Unknown</x:v>
      </x:c>
      <x:c r="Z330" s="117"/>
      <x:c r="AA330" s="117" t="str">
        <x:v>Pending evidence</x:v>
      </x:c>
      <x:c r="AB330" s="117"/>
      <x:c r="AC330" s="117" t="str">
        <x:v>No qualifying accessibility conclusion established from the screened sources. This is unknown, not evidence that the attraction is inaccessible.</x:v>
      </x:c>
      <x:c r="AD330" s="117" t="str">
        <x:v>2026-09-08</x:v>
      </x:c>
      <x:c r="AE330" s="117" t="str">
        <x:v>MC0327</x:v>
      </x:c>
      <x:c r="AF330" s="117" t="str">
        <x:v>Distinct candidate</x:v>
      </x:c>
      <x:c r="AG330" s="117" t="str"/>
      <x:c r="AH330" s="117" t="str">
        <x:v>Name corroborated in source</x:v>
      </x:c>
      <x:c r="AI330" s="117" t="str">
        <x:v>https://ebrochures.malaysia.travel/en/malaysia-travel-guide/selangor/</x:v>
      </x:c>
      <x:c r="AJ330" s="117" t="str">
        <x:v>Place name or established alias matched in the cited source. This is not confirmation of current opening, all visitor facilities or the full description.</x:v>
      </x:c>
      <x:c r="AK330" s="117" t="str">
        <x:v>Not independently confirmed</x:v>
      </x:c>
      <x:c r="AL330" s="117" t="str">
        <x:v>Screened sources; accessibility unresolved</x:v>
      </x:c>
      <x:c r="AM330" s="117" t="str">
        <x:v>2026-09-08</x:v>
      </x:c>
      <x:c r="AN330" s="117" t="str">
        <x:v>https://thumb.wikimedia.org/wikipedia/commons/thumb/d/de/Bukit_Melawati_cannons.jpg/1280px-Bukit_Melawati_cannons.jpg?utm_source=commons.wikimedia.org&amp;utm_campaign=imageinfo&amp;utm_content=thumbnail</x:v>
      </x:c>
      <x:c r="AO330" s="117" t="str">
        <x:v>https://thumb.wikimedia.org/wikipedia/commons/thumb/8/84/Nature_%C2%B1_Bukit_Melawati_%C2%B1_Malaysia.jpg/1280px-Nature_%C2%B1_Bukit_Melawati_%C2%B1_Malaysia.jpg?utm_source=commons.wikimedia.org&amp;utm_campaign=imageinfo&amp;utm_content=thumbnail</x:v>
      </x:c>
      <x:c r="AP330" s="117" t="str">
        <x:v>2 metadata-matched images; visual review pending</x:v>
      </x:c>
      <x:c r="AQ330" s="117"/>
    </x:row>
    <x:row r="331" ht="66" customHeight="1">
      <x:c r="A331" s="117" t="str">
        <x:v>MC0328</x:v>
      </x:c>
      <x:c r="B331" s="117" t="str">
        <x:v>Kampung Kuantan Fireflies</x:v>
      </x:c>
      <x:c r="C331" s="117" t="str">
        <x:v>Selangor</x:v>
      </x:c>
      <x:c r="D331" s="117" t="str">
        <x:v>Kuala Selangor</x:v>
      </x:c>
      <x:c r="E331" s="117" t="str">
        <x:v>Wildlife</x:v>
      </x:c>
      <x:c r="F331" s="117" t="str">
        <x:v>Popular</x:v>
      </x:c>
      <x:c r="G331" s="117" t="str">
        <x:v>Outdoor</x:v>
      </x:c>
      <x:c r="H331" s="117" t="str">
        <x:v>fireflies; river; night boat</x:v>
      </x:c>
      <x:c r="I331" s="117" t="str">
        <x:v>A riverside village near Kuala Selangor famous for synchronised firefly-watching boat rides.</x:v>
      </x:c>
      <x:c r="J331" s="117" t="str">
        <x:v>https://www.google.com/maps/search/?api=1&amp;query=Kampung%20Kuantan%20Fireflies%2C%20Selangor%2C%20Malaysia</x:v>
      </x:c>
      <x:c r="K331" s="117" t="str">
        <x:v>https://ebrochures.malaysia.travel/en/malaysia-travel-guide/selangor/</x:v>
      </x:c>
      <x:c r="L331" s="117" t="str">
        <x:v>Tourism Malaysia state guide plus map discovery link</x:v>
      </x:c>
      <x:c r="M331" s="117" t="str">
        <x:v>Selangor expansion batch</x:v>
      </x:c>
      <x:c r="N331" s="117"/>
      <x:c r="O331" s="117" t="str">
        <x:v>2026-08-15 00:00:00</x:v>
      </x:c>
      <x:c r="P331" s="117" t="str">
        <x:v>Complete</x:v>
      </x:c>
      <x:c r="Q331" s="117"/>
      <x:c r="R331" s="117" t="str">
        <x:f t="shared" si="5">IF(J331="","Missing Link",IF(AND(ISNUMBER(SEARCH("google.com/maps",J331)),ISERROR(SEARCH(";",J331))),"Discovery Link Only","Source Link Present"))</x:f>
        <x:v>Discovery Link Only</x:v>
      </x:c>
      <x:c r="S331" s="117" t="str">
        <x:v>Unknown</x:v>
      </x:c>
      <x:c r="T331" s="117" t="str">
        <x:v>Unknown</x:v>
      </x:c>
      <x:c r="U331" s="117" t="str">
        <x:v>Unknown</x:v>
      </x:c>
      <x:c r="V331" s="117" t="str">
        <x:v>Unknown</x:v>
      </x:c>
      <x:c r="W331" s="117" t="str">
        <x:v>Unknown</x:v>
      </x:c>
      <x:c r="X331" s="117" t="str">
        <x:v>Unknown</x:v>
      </x:c>
      <x:c r="Y331" s="117" t="str">
        <x:v>Unknown</x:v>
      </x:c>
      <x:c r="Z331" s="117"/>
      <x:c r="AA331" s="117" t="str">
        <x:v>Pending evidence</x:v>
      </x:c>
      <x:c r="AB331" s="117"/>
      <x:c r="AC331" s="117" t="str">
        <x:v>No qualifying accessibility conclusion established from the screened sources. This is unknown, not evidence that the attraction is inaccessible.</x:v>
      </x:c>
      <x:c r="AD331" s="117" t="str">
        <x:v>2026-09-08</x:v>
      </x:c>
      <x:c r="AE331" s="117" t="str">
        <x:v>MC0328</x:v>
      </x:c>
      <x:c r="AF331" s="117" t="str">
        <x:v>Distinct candidate</x:v>
      </x:c>
      <x:c r="AG331" s="117" t="str"/>
      <x:c r="AH331" s="117" t="str">
        <x:v>Name corroborated in source</x:v>
      </x:c>
      <x:c r="AI331" s="117" t="str">
        <x:v>https://ebrochures.malaysia.travel/en/malaysia-travel-guide/selangor/</x:v>
      </x:c>
      <x:c r="AJ331" s="117" t="str">
        <x:v>Place name or established alias matched in the cited source. This is not confirmation of current opening, all visitor facilities or the full description.</x:v>
      </x:c>
      <x:c r="AK331" s="117" t="str">
        <x:v>Not independently confirmed</x:v>
      </x:c>
      <x:c r="AL331" s="117" t="str">
        <x:v>Screened sources; accessibility unresolved</x:v>
      </x:c>
      <x:c r="AM331" s="117" t="str">
        <x:v>2026-09-08</x:v>
      </x:c>
      <x:c r="AN331" s="117"/>
      <x:c r="AO331" s="117"/>
      <x:c r="AP331" s="117" t="str">
        <x:v>No usable pair located; image research pending</x:v>
      </x:c>
      <x:c r="AQ331" s="117"/>
    </x:row>
    <x:row r="332" ht="66" customHeight="1">
      <x:c r="A332" s="117" t="str">
        <x:v>MC0329</x:v>
      </x:c>
      <x:c r="B332" s="117" t="str">
        <x:v>Pantai Redang Sekinchan</x:v>
      </x:c>
      <x:c r="C332" s="117" t="str">
        <x:v>Selangor</x:v>
      </x:c>
      <x:c r="D332" s="117" t="str">
        <x:v>Sekinchan</x:v>
      </x:c>
      <x:c r="E332" s="117" t="str">
        <x:v>Beach and Island</x:v>
      </x:c>
      <x:c r="F332" s="117" t="str">
        <x:v>Local</x:v>
      </x:c>
      <x:c r="G332" s="117" t="str">
        <x:v>Outdoor</x:v>
      </x:c>
      <x:c r="H332" s="117" t="str">
        <x:v>beach; fishing village; sunset</x:v>
      </x:c>
      <x:c r="I332" s="117" t="str">
        <x:v>A coastal recreational beach area in Sekinchan, Selangor.</x:v>
      </x:c>
      <x:c r="J332" s="117" t="str">
        <x:v>https://www.google.com/maps/search/?api=1&amp;query=Pantai%20Redang%20Sekinchan%2C%20Selangor%2C%20Malaysia</x:v>
      </x:c>
      <x:c r="K332" s="117" t="str">
        <x:v>https://ebrochures.malaysia.travel/en/malaysia-travel-guide/selangor/</x:v>
      </x:c>
      <x:c r="L332" s="117" t="str">
        <x:v>Tourism Malaysia state guide plus map discovery link</x:v>
      </x:c>
      <x:c r="M332" s="117" t="str">
        <x:v>Selangor expansion batch</x:v>
      </x:c>
      <x:c r="N332" s="117"/>
      <x:c r="O332" s="117" t="str">
        <x:v>2026-08-15 00:00:00</x:v>
      </x:c>
      <x:c r="P332" s="117" t="str">
        <x:v>Complete</x:v>
      </x:c>
      <x:c r="Q332" s="117" t="str">
        <x:v>Identity and Malaysian location verified in second-pass review on 2026-09-08.</x:v>
      </x:c>
      <x:c r="R332" s="117" t="str">
        <x:f t="shared" si="5">IF(J332="","Missing Link",IF(AND(ISNUMBER(SEARCH("google.com/maps",J332)),ISERROR(SEARCH(";",J332))),"Discovery Link Only","Source Link Present"))</x:f>
        <x:v>Discovery Link Only</x:v>
      </x:c>
      <x:c r="S332" s="117" t="str">
        <x:v>Unknown</x:v>
      </x:c>
      <x:c r="T332" s="117" t="str">
        <x:v>Unknown</x:v>
      </x:c>
      <x:c r="U332" s="117" t="str">
        <x:v>Unknown</x:v>
      </x:c>
      <x:c r="V332" s="117" t="str">
        <x:v>Unknown</x:v>
      </x:c>
      <x:c r="W332" s="117" t="str">
        <x:v>Unknown</x:v>
      </x:c>
      <x:c r="X332" s="117" t="str">
        <x:v>Unknown</x:v>
      </x:c>
      <x:c r="Y332" s="117" t="str">
        <x:v>Unknown</x:v>
      </x:c>
      <x:c r="Z332" s="117"/>
      <x:c r="AA332" s="117" t="str">
        <x:v>Pending evidence</x:v>
      </x:c>
      <x:c r="AB332" s="117"/>
      <x:c r="AC332" s="117" t="str">
        <x:v>No qualifying accessibility conclusion established from the screened sources. This is unknown, not evidence that the attraction is inaccessible.</x:v>
      </x:c>
      <x:c r="AD332" s="117" t="str">
        <x:v>2026-09-08</x:v>
      </x:c>
      <x:c r="AE332" s="117" t="str">
        <x:v>MC0329</x:v>
      </x:c>
      <x:c r="AF332" s="117" t="str">
        <x:v>Distinct candidate</x:v>
      </x:c>
      <x:c r="AG332" s="117" t="str"/>
      <x:c r="AH332" s="117" t="str">
        <x:v>Identity and location corroborated</x:v>
      </x:c>
      <x:c r="AI332" s="117" t="str">
        <x:v>https://www.openstreetmap.org/way/795235671</x:v>
      </x:c>
      <x:c r="AJ332" s="117" t="str">
        <x:v>Mapped source matches the attraction name or established alias and the stated Malaysian location. This verifies identity/location only; confirm current opening and accessibility separately.</x:v>
      </x:c>
      <x:c r="AK332" s="117" t="str">
        <x:v>Not independently confirmed</x:v>
      </x:c>
      <x:c r="AL332" s="117" t="str">
        <x:v>Screened sources; accessibility unresolved</x:v>
      </x:c>
      <x:c r="AM332" s="117" t="str">
        <x:v>2026-09-08</x:v>
      </x:c>
      <x:c r="AN332" s="117"/>
      <x:c r="AO332" s="117"/>
      <x:c r="AP332" s="117" t="str">
        <x:v>No usable pair located; image research pending</x:v>
      </x:c>
      <x:c r="AQ332" s="117"/>
    </x:row>
    <x:row r="333" ht="66" customHeight="1">
      <x:c r="A333" s="117" t="str">
        <x:v>MC0330</x:v>
      </x:c>
      <x:c r="B333" s="117" t="str">
        <x:v>Sabak Bernam Museum</x:v>
      </x:c>
      <x:c r="C333" s="117" t="str">
        <x:v>Selangor</x:v>
      </x:c>
      <x:c r="D333" s="117" t="str">
        <x:v>Sabak Bernam</x:v>
      </x:c>
      <x:c r="E333" s="117" t="str">
        <x:v>Museum and Gallery</x:v>
      </x:c>
      <x:c r="F333" s="117" t="str">
        <x:v>Underrated</x:v>
      </x:c>
      <x:c r="G333" s="117" t="str">
        <x:v>Indoor</x:v>
      </x:c>
      <x:c r="H333" s="117" t="str">
        <x:v>agriculture; local history; museum</x:v>
      </x:c>
      <x:c r="I333" s="117" t="str">
        <x:v>A small district museum in Sabak Bernam, Selangor.</x:v>
      </x:c>
      <x:c r="J333" s="117" t="str">
        <x:v>https://www.google.com/maps/search/?api=1&amp;query=Sabak%20Bernam%20Museum%2C%20Selangor%2C%20Malaysia</x:v>
      </x:c>
      <x:c r="K333" s="117" t="str">
        <x:v>https://ebrochures.malaysia.travel/en/malaysia-travel-guide/selangor/</x:v>
      </x:c>
      <x:c r="L333" s="117" t="str">
        <x:v>Tourism Malaysia state guide plus map discovery link</x:v>
      </x:c>
      <x:c r="M333" s="117" t="str">
        <x:v>Selangor expansion batch</x:v>
      </x:c>
      <x:c r="N333" s="117"/>
      <x:c r="O333" s="117" t="str">
        <x:v>2026-08-15 00:00:00</x:v>
      </x:c>
      <x:c r="P333" s="117" t="str">
        <x:v>Complete</x:v>
      </x:c>
      <x:c r="Q333" s="117" t="str">
        <x:v>Identity and Malaysian location verified in second-pass review on 2026-09-08.</x:v>
      </x:c>
      <x:c r="R333" s="117" t="str">
        <x:f t="shared" si="5">IF(J333="","Missing Link",IF(AND(ISNUMBER(SEARCH("google.com/maps",J333)),ISERROR(SEARCH(";",J333))),"Discovery Link Only","Source Link Present"))</x:f>
        <x:v>Discovery Link Only</x:v>
      </x:c>
      <x:c r="S333" s="117" t="str">
        <x:v>Unknown</x:v>
      </x:c>
      <x:c r="T333" s="117" t="str">
        <x:v>Unknown</x:v>
      </x:c>
      <x:c r="U333" s="117" t="str">
        <x:v>Unknown</x:v>
      </x:c>
      <x:c r="V333" s="117" t="str">
        <x:v>Unknown</x:v>
      </x:c>
      <x:c r="W333" s="117" t="str">
        <x:v>Unknown</x:v>
      </x:c>
      <x:c r="X333" s="117" t="str">
        <x:v>Unknown</x:v>
      </x:c>
      <x:c r="Y333" s="117" t="str">
        <x:v>Unknown</x:v>
      </x:c>
      <x:c r="Z333" s="117"/>
      <x:c r="AA333" s="117" t="str">
        <x:v>Pending evidence</x:v>
      </x:c>
      <x:c r="AB333" s="117"/>
      <x:c r="AC333" s="117" t="str">
        <x:v>No qualifying accessibility conclusion established from the screened sources. This is unknown, not evidence that the attraction is inaccessible.</x:v>
      </x:c>
      <x:c r="AD333" s="117" t="str">
        <x:v>2026-09-08</x:v>
      </x:c>
      <x:c r="AE333" s="117" t="str">
        <x:v>MC0330</x:v>
      </x:c>
      <x:c r="AF333" s="117" t="str">
        <x:v>Distinct candidate</x:v>
      </x:c>
      <x:c r="AG333" s="117" t="str"/>
      <x:c r="AH333" s="117" t="str">
        <x:v>Identity and location corroborated</x:v>
      </x:c>
      <x:c r="AI333" s="117" t="str">
        <x:v>https://www.openstreetmap.org/node/4895337422</x:v>
      </x:c>
      <x:c r="AJ333" s="117" t="str">
        <x:v>Mapped source matches the attraction name or established alias and the stated Malaysian location. This verifies identity/location only; confirm current opening and accessibility separately.</x:v>
      </x:c>
      <x:c r="AK333" s="117" t="str">
        <x:v>Not independently confirmed</x:v>
      </x:c>
      <x:c r="AL333" s="117" t="str">
        <x:v>Screened sources; accessibility unresolved</x:v>
      </x:c>
      <x:c r="AM333" s="117" t="str">
        <x:v>2026-09-08</x:v>
      </x:c>
      <x:c r="AN333" s="117"/>
      <x:c r="AO333" s="117"/>
      <x:c r="AP333" s="117" t="str">
        <x:v>No usable pair located; image research pending</x:v>
      </x:c>
      <x:c r="AQ333" s="117"/>
    </x:row>
    <x:row r="334" ht="66" customHeight="1">
      <x:c r="A334" s="117" t="str">
        <x:v>MC0331</x:v>
      </x:c>
      <x:c r="B334" s="117" t="str">
        <x:v>Kuala Kubu Bharu Heritage Town</x:v>
      </x:c>
      <x:c r="C334" s="117" t="str">
        <x:v>Selangor</x:v>
      </x:c>
      <x:c r="D334" s="117" t="str">
        <x:v>Hulu Selangor</x:v>
      </x:c>
      <x:c r="E334" s="117" t="str">
        <x:v>Heritage and History</x:v>
      </x:c>
      <x:c r="F334" s="117" t="str">
        <x:v>Local</x:v>
      </x:c>
      <x:c r="G334" s="117" t="str">
        <x:v>Both</x:v>
      </x:c>
      <x:c r="H334" s="117" t="str">
        <x:v>heritage town; murals; food</x:v>
      </x:c>
      <x:c r="I334" s="117" t="str">
        <x:v>A small historic town in Hulu Selangor known for its colonial-era shophouses and nearby waterfalls.</x:v>
      </x:c>
      <x:c r="J334" s="117" t="str">
        <x:v>https://www.google.com/maps/search/?api=1&amp;query=Kuala%20Kubu%20Bharu%20Heritage%20Town%2C%20Selangor%2C%20Malaysia</x:v>
      </x:c>
      <x:c r="K334" s="117" t="str">
        <x:v>https://ebrochures.malaysia.travel/en/malaysia-travel-guide/selangor/</x:v>
      </x:c>
      <x:c r="L334" s="117" t="str">
        <x:v>Tourism Malaysia state guide plus map discovery link</x:v>
      </x:c>
      <x:c r="M334" s="117" t="str">
        <x:v>Selangor expansion batch</x:v>
      </x:c>
      <x:c r="N334" s="117"/>
      <x:c r="O334" s="117" t="str">
        <x:v>2026-08-15 00:00:00</x:v>
      </x:c>
      <x:c r="P334" s="117" t="str">
        <x:v>Complete</x:v>
      </x:c>
      <x:c r="Q334" s="117" t="str">
        <x:v>Identity and Malaysian location verified in second-pass review on 2026-09-08.</x:v>
      </x:c>
      <x:c r="R334" s="117" t="str">
        <x:f t="shared" si="5">IF(J334="","Missing Link",IF(AND(ISNUMBER(SEARCH("google.com/maps",J334)),ISERROR(SEARCH(";",J334))),"Discovery Link Only","Source Link Present"))</x:f>
        <x:v>Discovery Link Only</x:v>
      </x:c>
      <x:c r="S334" s="117" t="str">
        <x:v>Unknown</x:v>
      </x:c>
      <x:c r="T334" s="117" t="str">
        <x:v>Unknown</x:v>
      </x:c>
      <x:c r="U334" s="117" t="str">
        <x:v>Unknown</x:v>
      </x:c>
      <x:c r="V334" s="117" t="str">
        <x:v>Unknown</x:v>
      </x:c>
      <x:c r="W334" s="117" t="str">
        <x:v>Unknown</x:v>
      </x:c>
      <x:c r="X334" s="117" t="str">
        <x:v>Unknown</x:v>
      </x:c>
      <x:c r="Y334" s="117" t="str">
        <x:v>Unknown</x:v>
      </x:c>
      <x:c r="Z334" s="117"/>
      <x:c r="AA334" s="117" t="str">
        <x:v>Pending evidence</x:v>
      </x:c>
      <x:c r="AB334" s="117"/>
      <x:c r="AC334" s="117" t="str">
        <x:v>No qualifying accessibility conclusion established from the screened sources. This is unknown, not evidence that the attraction is inaccessible.</x:v>
      </x:c>
      <x:c r="AD334" s="117" t="str">
        <x:v>2026-09-08</x:v>
      </x:c>
      <x:c r="AE334" s="117" t="str">
        <x:v>MC0331</x:v>
      </x:c>
      <x:c r="AF334" s="117" t="str">
        <x:v>Distinct candidate</x:v>
      </x:c>
      <x:c r="AG334" s="117" t="str"/>
      <x:c r="AH334" s="117" t="str">
        <x:v>Identity and location corroborated</x:v>
      </x:c>
      <x:c r="AI334" s="117" t="str">
        <x:v>https://selangor.travel/wp-content/uploads/2022/03/The_Best_of_Selangor_English.pdf</x:v>
      </x:c>
      <x:c r="AJ334" s="117" t="str">
        <x:v>Official state tourism source matches the attraction name or established alias and the stated Malaysian location. This verifies identity/location only; confirm current opening and accessibility separately.</x:v>
      </x:c>
      <x:c r="AK334" s="117" t="str">
        <x:v>Not independently confirmed</x:v>
      </x:c>
      <x:c r="AL334" s="117" t="str">
        <x:v>Screened sources; accessibility unresolved</x:v>
      </x:c>
      <x:c r="AM334" s="117" t="str">
        <x:v>2026-09-08</x:v>
      </x:c>
      <x:c r="AN334" s="117"/>
      <x:c r="AO334" s="117"/>
      <x:c r="AP334" s="117" t="str">
        <x:v>No usable pair located; image research pending</x:v>
      </x:c>
      <x:c r="AQ334" s="117"/>
    </x:row>
    <x:row r="335" ht="66" customHeight="1">
      <x:c r="A335" s="117" t="str">
        <x:v>MC0332</x:v>
      </x:c>
      <x:c r="B335" s="117" t="str">
        <x:v>Sungai Chiling Waterfall</x:v>
      </x:c>
      <x:c r="C335" s="117" t="str">
        <x:v>Selangor</x:v>
      </x:c>
      <x:c r="D335" s="117" t="str">
        <x:v>Hulu Selangor</x:v>
      </x:c>
      <x:c r="E335" s="117" t="str">
        <x:v>Nature</x:v>
      </x:c>
      <x:c r="F335" s="117" t="str">
        <x:v>Popular</x:v>
      </x:c>
      <x:c r="G335" s="117" t="str">
        <x:v>Outdoor</x:v>
      </x:c>
      <x:c r="H335" s="117" t="str">
        <x:v>waterfall; hiking; river</x:v>
      </x:c>
      <x:c r="I335" s="117" t="str">
        <x:v>A popular waterfall and hiking trail in Hulu Selangor district.</x:v>
      </x:c>
      <x:c r="J335" s="117" t="str">
        <x:v>https://www.google.com/maps/search/?api=1&amp;query=Sungai%20Chiling%20Waterfall%2C%20Selangor%2C%20Malaysia</x:v>
      </x:c>
      <x:c r="K335" s="117" t="str">
        <x:v>https://ebrochures.malaysia.travel/en/malaysia-travel-guide/selangor/</x:v>
      </x:c>
      <x:c r="L335" s="117" t="str">
        <x:v>Tourism Malaysia state guide plus map discovery link</x:v>
      </x:c>
      <x:c r="M335" s="117" t="str">
        <x:v>Selangor expansion batch</x:v>
      </x:c>
      <x:c r="N335" s="117"/>
      <x:c r="O335" s="117" t="str">
        <x:v>2026-08-15 00:00:00</x:v>
      </x:c>
      <x:c r="P335" s="117" t="str">
        <x:v>Complete</x:v>
      </x:c>
      <x:c r="Q335" s="117"/>
      <x:c r="R335" s="117" t="str">
        <x:f t="shared" si="5">IF(J335="","Missing Link",IF(AND(ISNUMBER(SEARCH("google.com/maps",J335)),ISERROR(SEARCH(";",J335))),"Discovery Link Only","Source Link Present"))</x:f>
        <x:v>Discovery Link Only</x:v>
      </x:c>
      <x:c r="S335" s="117" t="str">
        <x:v>Unknown</x:v>
      </x:c>
      <x:c r="T335" s="117" t="str">
        <x:v>Unknown</x:v>
      </x:c>
      <x:c r="U335" s="117" t="str">
        <x:v>Unknown</x:v>
      </x:c>
      <x:c r="V335" s="117" t="str">
        <x:v>Unknown</x:v>
      </x:c>
      <x:c r="W335" s="117" t="str">
        <x:v>Unknown</x:v>
      </x:c>
      <x:c r="X335" s="117" t="str">
        <x:v>Unknown</x:v>
      </x:c>
      <x:c r="Y335" s="117" t="str">
        <x:v>Unknown</x:v>
      </x:c>
      <x:c r="Z335" s="117"/>
      <x:c r="AA335" s="117" t="str">
        <x:v>Pending evidence</x:v>
      </x:c>
      <x:c r="AB335" s="117"/>
      <x:c r="AC335" s="117" t="str">
        <x:v>No qualifying accessibility conclusion established from the screened sources. This is unknown, not evidence that the attraction is inaccessible.</x:v>
      </x:c>
      <x:c r="AD335" s="117" t="str">
        <x:v>2026-09-08</x:v>
      </x:c>
      <x:c r="AE335" s="117" t="str">
        <x:v>MC0332</x:v>
      </x:c>
      <x:c r="AF335" s="117" t="str">
        <x:v>Distinct candidate</x:v>
      </x:c>
      <x:c r="AG335" s="117" t="str"/>
      <x:c r="AH335" s="117" t="str">
        <x:v>Name corroborated in source</x:v>
      </x:c>
      <x:c r="AI335" s="117" t="str">
        <x:v>https://ebrochures.malaysia.travel/en/malaysia-travel-guide/selangor/</x:v>
      </x:c>
      <x:c r="AJ335" s="117" t="str">
        <x:v>Place name or established alias matched in the cited source. This is not confirmation of current opening, all visitor facilities or the full description.</x:v>
      </x:c>
      <x:c r="AK335" s="117" t="str">
        <x:v>Not independently confirmed</x:v>
      </x:c>
      <x:c r="AL335" s="117" t="str">
        <x:v>Screened sources; accessibility unresolved</x:v>
      </x:c>
      <x:c r="AM335" s="117" t="str">
        <x:v>2026-09-08</x:v>
      </x:c>
      <x:c r="AN335" s="117" t="str">
        <x:v>https://upload.wikimedia.org/wikipedia/commons/4/4e/PITCHER_PLANT_1_0334.jpg?utm_source=commons.wikimedia.org&amp;utm_campaign=imageinfo&amp;utm_content=thumbnail_unscaled</x:v>
      </x:c>
      <x:c r="AO335" s="117" t="str">
        <x:v>https://upload.wikimedia.org/wikipedia/commons/9/98/PITCHER_PLANT_2_0020.jpg?utm_source=commons.wikimedia.org&amp;utm_campaign=imageinfo&amp;utm_content=thumbnail_unscaled</x:v>
      </x:c>
      <x:c r="AP335" s="117" t="str">
        <x:v>2 metadata-matched images; visual review pending</x:v>
      </x:c>
      <x:c r="AQ335" s="117"/>
    </x:row>
    <x:row r="336" ht="66" customHeight="1">
      <x:c r="A336" s="117" t="str">
        <x:v>MC0333</x:v>
      </x:c>
      <x:c r="B336" s="117" t="str">
        <x:v>Kanching Recreational Forest</x:v>
      </x:c>
      <x:c r="C336" s="117" t="str">
        <x:v>Selangor</x:v>
      </x:c>
      <x:c r="D336" s="117" t="str">
        <x:v>Rawang</x:v>
      </x:c>
      <x:c r="E336" s="117" t="str">
        <x:v>Nature</x:v>
      </x:c>
      <x:c r="F336" s="117" t="str">
        <x:v>Popular</x:v>
      </x:c>
      <x:c r="G336" s="117" t="str">
        <x:v>Outdoor</x:v>
      </x:c>
      <x:c r="H336" s="117" t="str">
        <x:v>waterfall; forest; hiking</x:v>
      </x:c>
      <x:c r="I336" s="117" t="str">
        <x:v>A waterfall recreational forest in Rawang, Selangor, popular with hikers.</x:v>
      </x:c>
      <x:c r="J336" s="117" t="str">
        <x:v>https://www.google.com/maps/search/?api=1&amp;query=Kanching%20Recreational%20Forest%2C%20Selangor%2C%20Malaysia</x:v>
      </x:c>
      <x:c r="K336" s="117" t="str">
        <x:v>https://ebrochures.malaysia.travel/en/malaysia-travel-guide/selangor/</x:v>
      </x:c>
      <x:c r="L336" s="117" t="str">
        <x:v>Tourism Malaysia state guide plus map discovery link</x:v>
      </x:c>
      <x:c r="M336" s="117" t="str">
        <x:v>Selangor expansion batch</x:v>
      </x:c>
      <x:c r="N336" s="117"/>
      <x:c r="O336" s="117" t="str">
        <x:v>2026-08-15 00:00:00</x:v>
      </x:c>
      <x:c r="P336" s="117" t="str">
        <x:v>Complete</x:v>
      </x:c>
      <x:c r="Q336" s="117" t="str">
        <x:v>Identity and Malaysian location verified in second-pass review on 2026-09-08.</x:v>
      </x:c>
      <x:c r="R336" s="117" t="str">
        <x:f t="shared" si="5">IF(J336="","Missing Link",IF(AND(ISNUMBER(SEARCH("google.com/maps",J336)),ISERROR(SEARCH(";",J336))),"Discovery Link Only","Source Link Present"))</x:f>
        <x:v>Discovery Link Only</x:v>
      </x:c>
      <x:c r="S336" s="117" t="str">
        <x:v>Unknown</x:v>
      </x:c>
      <x:c r="T336" s="117" t="str">
        <x:v>Unknown</x:v>
      </x:c>
      <x:c r="U336" s="117" t="str">
        <x:v>Unknown</x:v>
      </x:c>
      <x:c r="V336" s="117" t="str">
        <x:v>Unknown</x:v>
      </x:c>
      <x:c r="W336" s="117" t="str">
        <x:v>Unknown</x:v>
      </x:c>
      <x:c r="X336" s="117" t="str">
        <x:v>Unknown</x:v>
      </x:c>
      <x:c r="Y336" s="117" t="str">
        <x:v>Unknown</x:v>
      </x:c>
      <x:c r="Z336" s="117"/>
      <x:c r="AA336" s="117" t="str">
        <x:v>Pending evidence</x:v>
      </x:c>
      <x:c r="AB336" s="117"/>
      <x:c r="AC336" s="117" t="str">
        <x:v>No qualifying accessibility conclusion established from the screened sources. This is unknown, not evidence that the attraction is inaccessible.</x:v>
      </x:c>
      <x:c r="AD336" s="117" t="str">
        <x:v>2026-09-08</x:v>
      </x:c>
      <x:c r="AE336" s="117" t="str">
        <x:v>MC0333</x:v>
      </x:c>
      <x:c r="AF336" s="117" t="str">
        <x:v>Distinct candidate</x:v>
      </x:c>
      <x:c r="AG336" s="117" t="str"/>
      <x:c r="AH336" s="117" t="str">
        <x:v>Identity and location corroborated</x:v>
      </x:c>
      <x:c r="AI336" s="117" t="str">
        <x:v>https://ebrochures.malaysia.travel/en/adventure-with-nature/jungle-trekking/</x:v>
      </x:c>
      <x:c r="AJ336" s="117" t="str">
        <x:v>Tourism Malaysia matches the attraction name or established alias and the stated Malaysian location. This verifies identity/location only; confirm current opening and accessibility separately.</x:v>
      </x:c>
      <x:c r="AK336" s="117" t="str">
        <x:v>Not independently confirmed</x:v>
      </x:c>
      <x:c r="AL336" s="117" t="str">
        <x:v>Screened sources; accessibility unresolved</x:v>
      </x:c>
      <x:c r="AM336" s="117" t="str">
        <x:v>2026-09-08</x:v>
      </x:c>
      <x:c r="AN336" s="117"/>
      <x:c r="AO336" s="117"/>
      <x:c r="AP336" s="117" t="str">
        <x:v>No usable pair located; image research pending</x:v>
      </x:c>
      <x:c r="AQ336" s="117"/>
    </x:row>
    <x:row r="337" ht="66" customHeight="1">
      <x:c r="A337" s="117" t="str">
        <x:v>MC0334</x:v>
      </x:c>
      <x:c r="B337" s="117" t="str">
        <x:v>FRIM Forest Skywalk</x:v>
      </x:c>
      <x:c r="C337" s="117" t="str">
        <x:v>Selangor</x:v>
      </x:c>
      <x:c r="D337" s="117" t="str">
        <x:v>Gombak</x:v>
      </x:c>
      <x:c r="E337" s="117" t="str">
        <x:v>Nature</x:v>
      </x:c>
      <x:c r="F337" s="117" t="str">
        <x:v>Popular</x:v>
      </x:c>
      <x:c r="G337" s="117" t="str">
        <x:v>Outdoor</x:v>
      </x:c>
      <x:c r="H337" s="117" t="str">
        <x:v>forest; canopy; education</x:v>
      </x:c>
      <x:c r="I337" s="117" t="str">
        <x:v>A canopy walkway within the Forest Research Institute Malaysia in Gombak, suspended above tropical rainforest.</x:v>
      </x:c>
      <x:c r="J337" s="117" t="str">
        <x:v>https://www.google.com/maps/search/?api=1&amp;query=FRIM%20Forest%20Skywalk%2C%20Selangor%2C%20Malaysia</x:v>
      </x:c>
      <x:c r="K337" s="117" t="str">
        <x:v>https://ebrochures.malaysia.travel/en/malaysia-travel-guide/selangor/</x:v>
      </x:c>
      <x:c r="L337" s="117" t="str">
        <x:v>Tourism Malaysia state guide plus map discovery link</x:v>
      </x:c>
      <x:c r="M337" s="117" t="str">
        <x:v>Selangor expansion batch</x:v>
      </x:c>
      <x:c r="N337" s="117"/>
      <x:c r="O337" s="117" t="str">
        <x:v>2026-08-15 00:00:00</x:v>
      </x:c>
      <x:c r="P337" s="117" t="str">
        <x:v>Complete</x:v>
      </x:c>
      <x:c r="Q337" s="117" t="str">
        <x:v>Identity and Malaysian location verified in second-pass review on 2026-09-08.</x:v>
      </x:c>
      <x:c r="R337" s="117" t="str">
        <x:f t="shared" si="5">IF(J337="","Missing Link",IF(AND(ISNUMBER(SEARCH("google.com/maps",J337)),ISERROR(SEARCH(";",J337))),"Discovery Link Only","Source Link Present"))</x:f>
        <x:v>Discovery Link Only</x:v>
      </x:c>
      <x:c r="S337" s="117" t="str">
        <x:v>Unknown</x:v>
      </x:c>
      <x:c r="T337" s="117" t="str">
        <x:v>Unknown</x:v>
      </x:c>
      <x:c r="U337" s="117" t="str">
        <x:v>Unknown</x:v>
      </x:c>
      <x:c r="V337" s="117" t="str">
        <x:v>Unknown</x:v>
      </x:c>
      <x:c r="W337" s="117" t="str">
        <x:v>Unknown</x:v>
      </x:c>
      <x:c r="X337" s="117" t="str">
        <x:v>Unknown</x:v>
      </x:c>
      <x:c r="Y337" s="117" t="str">
        <x:v>Unknown</x:v>
      </x:c>
      <x:c r="Z337" s="117"/>
      <x:c r="AA337" s="117" t="str">
        <x:v>Pending evidence</x:v>
      </x:c>
      <x:c r="AB337" s="117"/>
      <x:c r="AC337" s="117" t="str">
        <x:v>No qualifying accessibility conclusion established from the screened sources. This is unknown, not evidence that the attraction is inaccessible.</x:v>
      </x:c>
      <x:c r="AD337" s="117" t="str">
        <x:v>2026-09-08</x:v>
      </x:c>
      <x:c r="AE337" s="117" t="str">
        <x:v>MC0334</x:v>
      </x:c>
      <x:c r="AF337" s="117" t="str">
        <x:v>Distinct candidate</x:v>
      </x:c>
      <x:c r="AG337" s="117" t="str"/>
      <x:c r="AH337" s="117" t="str">
        <x:v>Identity and location corroborated</x:v>
      </x:c>
      <x:c r="AI337" s="117" t="str">
        <x:v>https://www.openstreetmap.org/way/1117408030</x:v>
      </x:c>
      <x:c r="AJ337" s="117" t="str">
        <x:v>Mapped source matches the attraction name or established alias and the stated Malaysian location. This verifies identity/location only; confirm current opening and accessibility separately.</x:v>
      </x:c>
      <x:c r="AK337" s="117" t="str">
        <x:v>Not independently confirmed</x:v>
      </x:c>
      <x:c r="AL337" s="117" t="str">
        <x:v>Screened sources; accessibility unresolved</x:v>
      </x:c>
      <x:c r="AM337" s="117" t="str">
        <x:v>2026-09-08</x:v>
      </x:c>
      <x:c r="AN337" s="117"/>
      <x:c r="AO337" s="117"/>
      <x:c r="AP337" s="117" t="str">
        <x:v>No usable pair located; image research pending</x:v>
      </x:c>
      <x:c r="AQ337" s="117"/>
    </x:row>
    <x:row r="338" ht="66" customHeight="1">
      <x:c r="A338" s="117" t="str">
        <x:v>MC0335</x:v>
      </x:c>
      <x:c r="B338" s="117" t="str">
        <x:v>Taman Jaya</x:v>
      </x:c>
      <x:c r="C338" s="117" t="str">
        <x:v>Selangor</x:v>
      </x:c>
      <x:c r="D338" s="117" t="str">
        <x:v>Petaling Jaya</x:v>
      </x:c>
      <x:c r="E338" s="117" t="str">
        <x:v>Park and Recreation</x:v>
      </x:c>
      <x:c r="F338" s="117" t="str">
        <x:v>Local</x:v>
      </x:c>
      <x:c r="G338" s="117" t="str">
        <x:v>Outdoor</x:v>
      </x:c>
      <x:c r="H338" s="117" t="str">
        <x:v>urban park; lake; walking</x:v>
      </x:c>
      <x:c r="I338" s="117" t="str">
        <x:v>A lake park in Petaling Jaya popular for jogging and family outings.</x:v>
      </x:c>
      <x:c r="J338" s="117" t="str">
        <x:v>https://www.google.com/maps/search/?api=1&amp;query=Taman%20Jaya%2C%20Selangor%2C%20Malaysia</x:v>
      </x:c>
      <x:c r="K338" s="117" t="str">
        <x:v>https://ebrochures.malaysia.travel/en/malaysia-travel-guide/selangor/</x:v>
      </x:c>
      <x:c r="L338" s="117" t="str">
        <x:v>Tourism Malaysia state guide plus map discovery link</x:v>
      </x:c>
      <x:c r="M338" s="117" t="str">
        <x:v>Selangor expansion batch</x:v>
      </x:c>
      <x:c r="N338" s="117"/>
      <x:c r="O338" s="117" t="str">
        <x:v>2026-08-15 00:00:00</x:v>
      </x:c>
      <x:c r="P338" s="117" t="str">
        <x:v>Complete</x:v>
      </x:c>
      <x:c r="Q338" s="117" t="str">
        <x:v>Identity and Malaysian location verified in second-pass review on 2026-09-08.</x:v>
      </x:c>
      <x:c r="R338" s="117" t="str">
        <x:f t="shared" si="5">IF(J338="","Missing Link",IF(AND(ISNUMBER(SEARCH("google.com/maps",J338)),ISERROR(SEARCH(";",J338))),"Discovery Link Only","Source Link Present"))</x:f>
        <x:v>Discovery Link Only</x:v>
      </x:c>
      <x:c r="S338" s="117" t="str">
        <x:v>Not measured</x:v>
      </x:c>
      <x:c r="T338" s="117" t="str">
        <x:v>Reported; confirm</x:v>
      </x:c>
      <x:c r="U338" s="117" t="str">
        <x:v>Unknown</x:v>
      </x:c>
      <x:c r="V338" s="117" t="str">
        <x:v>Unknown</x:v>
      </x:c>
      <x:c r="W338" s="117" t="str">
        <x:v>Unknown</x:v>
      </x:c>
      <x:c r="X338" s="117" t="str">
        <x:v>Outdoor shade varies</x:v>
      </x:c>
      <x:c r="Y338" s="117" t="str">
        <x:v>Conditional on route condition</x:v>
      </x:c>
      <x:c r="Z338" s="117" t="str">
        <x:v>Mapped data reports wheelchair access. Confirm the continuous path, slopes, seating and toilets with the park authority.</x:v>
      </x:c>
      <x:c r="AA338" s="117" t="str">
        <x:v>Reported support - confirm</x:v>
      </x:c>
      <x:c r="AB338" s="117" t="str">
        <x:v>https://www.openstreetmap.org/way/139349758</x:v>
      </x:c>
      <x:c r="AC338" s="117" t="str">
        <x:v>Park route; exact accessible loop unconfirmed</x:v>
      </x:c>
      <x:c r="AD338" s="117" t="str">
        <x:v>2026-09-08</x:v>
      </x:c>
      <x:c r="AE338" s="117" t="str">
        <x:v>MC0335</x:v>
      </x:c>
      <x:c r="AF338" s="117" t="str">
        <x:v>Distinct candidate</x:v>
      </x:c>
      <x:c r="AG338" s="117" t="str"/>
      <x:c r="AH338" s="117" t="str">
        <x:v>Identity and location corroborated</x:v>
      </x:c>
      <x:c r="AI338" s="117" t="str">
        <x:v>https://ms.wikipedia.org/wiki/Stesen_LRT_Taman_Jaya</x:v>
      </x:c>
      <x:c r="AJ338" s="117" t="str">
        <x:v>Encyclopedic source matches the attraction name or established alias and the stated Malaysian location. This verifies identity/location only; confirm current opening and accessibility separately.</x:v>
      </x:c>
      <x:c r="AK338" s="117" t="str">
        <x:v>Not independently confirmed</x:v>
      </x:c>
      <x:c r="AL338" s="117" t="str">
        <x:v>Secondary source - mapped accessibility tag</x:v>
      </x:c>
      <x:c r="AM338" s="117" t="str">
        <x:v>2026-09-08</x:v>
      </x:c>
      <x:c r="AN338" s="117" t="str">
        <x:v>https://thumb.wikimedia.org/wikipedia/commons/thumb/d/da/Taman_Jaya_northbound_with_train_89.jpg/1280px-Taman_Jaya_northbound_with_train_89.jpg?utm_source=commons.wikimedia.org&amp;utm_campaign=imageinfo&amp;utm_content=thumbnail</x:v>
      </x:c>
      <x:c r="AO338" s="117" t="str">
        <x:v>https://thumb.wikimedia.org/wikipedia/commons/thumb/6/62/Taman_Jaya_Bus_Bay_with_LRT_feeder_bus.jpg/1280px-Taman_Jaya_Bus_Bay_with_LRT_feeder_bus.jpg?utm_source=commons.wikimedia.org&amp;utm_campaign=imageinfo&amp;utm_content=thumbnail</x:v>
      </x:c>
      <x:c r="AP338" s="117" t="str">
        <x:v>2 metadata-matched images; visual review pending</x:v>
      </x:c>
      <x:c r="AQ338" s="117"/>
    </x:row>
    <x:row r="339" ht="66" customHeight="1">
      <x:c r="A339" s="117" t="str">
        <x:v>MC0336</x:v>
      </x:c>
      <x:c r="B339" s="117" t="str">
        <x:v>Subang Ria Recreational Park</x:v>
      </x:c>
      <x:c r="C339" s="117" t="str">
        <x:v>Selangor</x:v>
      </x:c>
      <x:c r="D339" s="117" t="str">
        <x:v>Subang Jaya</x:v>
      </x:c>
      <x:c r="E339" s="117" t="str">
        <x:v>Park and Recreation</x:v>
      </x:c>
      <x:c r="F339" s="117" t="str">
        <x:v>Local</x:v>
      </x:c>
      <x:c r="G339" s="117" t="str">
        <x:v>Outdoor</x:v>
      </x:c>
      <x:c r="H339" s="117" t="str">
        <x:v>lake; park; family</x:v>
      </x:c>
      <x:c r="I339" s="117" t="str">
        <x:v>A recreational lake park in Subang Jaya with a mini water theme park.</x:v>
      </x:c>
      <x:c r="J339" s="117" t="str">
        <x:v>https://www.google.com/maps/search/?api=1&amp;query=Subang%20Ria%20Recreational%20Park%2C%20Selangor%2C%20Malaysia</x:v>
      </x:c>
      <x:c r="K339" s="117" t="str">
        <x:v>https://ebrochures.malaysia.travel/en/malaysia-travel-guide/selangor/</x:v>
      </x:c>
      <x:c r="L339" s="117" t="str">
        <x:v>Tourism Malaysia state guide plus map discovery link</x:v>
      </x:c>
      <x:c r="M339" s="117" t="str">
        <x:v>Selangor expansion batch</x:v>
      </x:c>
      <x:c r="N339" s="117"/>
      <x:c r="O339" s="117" t="str">
        <x:v>2026-08-15 00:00:00</x:v>
      </x:c>
      <x:c r="P339" s="117" t="str">
        <x:v>Complete</x:v>
      </x:c>
      <x:c r="Q339" s="117" t="str">
        <x:v>Identity and Malaysian location verified in second-pass review on 2026-09-08.</x:v>
      </x:c>
      <x:c r="R339" s="117" t="str">
        <x:f t="shared" si="5">IF(J339="","Missing Link",IF(AND(ISNUMBER(SEARCH("google.com/maps",J339)),ISERROR(SEARCH(";",J339))),"Discovery Link Only","Source Link Present"))</x:f>
        <x:v>Discovery Link Only</x:v>
      </x:c>
      <x:c r="S339" s="117" t="str">
        <x:v>Not measured</x:v>
      </x:c>
      <x:c r="T339" s="117" t="str">
        <x:v>Reported flat/paved</x:v>
      </x:c>
      <x:c r="U339" s="117" t="str">
        <x:v>Yes - pavilion tables</x:v>
      </x:c>
      <x:c r="V339" s="117" t="str">
        <x:v>Unknown</x:v>
      </x:c>
      <x:c r="W339" s="117" t="str">
        <x:v>Unknown</x:v>
      </x:c>
      <x:c r="X339" s="117" t="str">
        <x:v>Yes - pavilions</x:v>
      </x:c>
      <x:c r="Y339" s="117" t="str">
        <x:v>Conditional on route condition</x:v>
      </x:c>
      <x:c r="Z339" s="117" t="str">
        <x:v>A family recreation source describes a flat paved loop and covered picnic pavilions. It does not verify accessible toilets, curb transitions or the entire route.</x:v>
      </x:c>
      <x:c r="AA339" s="117" t="str">
        <x:v>Reported support - confirm</x:v>
      </x:c>
      <x:c r="AB339" s="117" t="str">
        <x:v>https://yopki.com/explore/us/sg/subang-jaya/subang-ria-recreational-park</x:v>
      </x:c>
      <x:c r="AC339" s="117" t="str">
        <x:v>Main lakeside loop</x:v>
      </x:c>
      <x:c r="AD339" s="117" t="str">
        <x:v>2026-09-08</x:v>
      </x:c>
      <x:c r="AE339" s="117" t="str">
        <x:v>MC0336</x:v>
      </x:c>
      <x:c r="AF339" s="117" t="str">
        <x:v>Distinct candidate</x:v>
      </x:c>
      <x:c r="AG339" s="117" t="str"/>
      <x:c r="AH339" s="117" t="str">
        <x:v>Identity and location corroborated</x:v>
      </x:c>
      <x:c r="AI339" s="117" t="str">
        <x:v>https://www.waze.com/ms/live-map/directions/my/selangor/pj/subang-ria-recreational-park?to=place.ChIJPZBrtGdMzDERVkSNL0kOHFA</x:v>
      </x:c>
      <x:c r="AJ339" s="117" t="str">
        <x:v>Mapped source matches the attraction name or established alias and the stated Malaysian location. This verifies identity/location only; confirm current opening and accessibility separately.</x:v>
      </x:c>
      <x:c r="AK339" s="117" t="str">
        <x:v>Not independently confirmed</x:v>
      </x:c>
      <x:c r="AL339" s="117" t="str">
        <x:v>Secondary source - specific features only</x:v>
      </x:c>
      <x:c r="AM339" s="117" t="str">
        <x:v>2026-09-08</x:v>
      </x:c>
      <x:c r="AN339" s="117"/>
      <x:c r="AO339" s="117"/>
      <x:c r="AP339" s="117" t="str">
        <x:v>No usable pair located; image research pending</x:v>
      </x:c>
      <x:c r="AQ339" s="117"/>
    </x:row>
    <x:row r="340" ht="66" customHeight="1">
      <x:c r="A340" s="117" t="str">
        <x:v>MC0337</x:v>
      </x:c>
      <x:c r="B340" s="117" t="str">
        <x:v>Sepang International Circuit</x:v>
      </x:c>
      <x:c r="C340" s="117" t="str">
        <x:v>Selangor</x:v>
      </x:c>
      <x:c r="D340" s="117" t="str">
        <x:v>Sepang</x:v>
      </x:c>
      <x:c r="E340" s="117" t="str">
        <x:v>Urban Attraction</x:v>
      </x:c>
      <x:c r="F340" s="117" t="str">
        <x:v>Popular</x:v>
      </x:c>
      <x:c r="G340" s="117" t="str">
        <x:v>Both</x:v>
      </x:c>
      <x:c r="H340" s="117" t="str">
        <x:v>motorsport; events; landmark</x:v>
      </x:c>
      <x:c r="I340" s="117" t="str">
        <x:v>A motorsport racing circuit in Sepang, Selangor, that has hosted major international races.</x:v>
      </x:c>
      <x:c r="J340" s="117" t="str">
        <x:v>https://www.google.com/maps/search/?api=1&amp;query=Sepang%20International%20Circuit%2C%20Selangor%2C%20Malaysia</x:v>
      </x:c>
      <x:c r="K340" s="117" t="str">
        <x:v>https://ebrochures.malaysia.travel/en/malaysia-travel-guide/selangor/</x:v>
      </x:c>
      <x:c r="L340" s="117" t="str">
        <x:v>Tourism Malaysia state guide plus map discovery link</x:v>
      </x:c>
      <x:c r="M340" s="117" t="str">
        <x:v>Selangor expansion batch</x:v>
      </x:c>
      <x:c r="N340" s="117"/>
      <x:c r="O340" s="117" t="str">
        <x:v>2026-08-15 00:00:00</x:v>
      </x:c>
      <x:c r="P340" s="117" t="str">
        <x:v>Complete</x:v>
      </x:c>
      <x:c r="Q340" s="117"/>
      <x:c r="R340" s="117" t="str">
        <x:f t="shared" si="5">IF(J340="","Missing Link",IF(AND(ISNUMBER(SEARCH("google.com/maps",J340)),ISERROR(SEARCH(";",J340))),"Discovery Link Only","Source Link Present"))</x:f>
        <x:v>Discovery Link Only</x:v>
      </x:c>
      <x:c r="S340" s="117" t="str">
        <x:v>Unknown</x:v>
      </x:c>
      <x:c r="T340" s="117" t="str">
        <x:v>Unknown</x:v>
      </x:c>
      <x:c r="U340" s="117" t="str">
        <x:v>Unknown</x:v>
      </x:c>
      <x:c r="V340" s="117" t="str">
        <x:v>Unknown</x:v>
      </x:c>
      <x:c r="W340" s="117" t="str">
        <x:v>Unknown</x:v>
      </x:c>
      <x:c r="X340" s="117" t="str">
        <x:v>Unknown</x:v>
      </x:c>
      <x:c r="Y340" s="117" t="str">
        <x:v>Unknown</x:v>
      </x:c>
      <x:c r="Z340" s="117"/>
      <x:c r="AA340" s="117" t="str">
        <x:v>Pending evidence</x:v>
      </x:c>
      <x:c r="AB340" s="117"/>
      <x:c r="AC340" s="117" t="str">
        <x:v>No qualifying accessibility conclusion established from the screened sources. This is unknown, not evidence that the attraction is inaccessible.</x:v>
      </x:c>
      <x:c r="AD340" s="117" t="str">
        <x:v>2026-09-08</x:v>
      </x:c>
      <x:c r="AE340" s="117" t="str">
        <x:v>MC0337</x:v>
      </x:c>
      <x:c r="AF340" s="117" t="str">
        <x:v>Distinct candidate</x:v>
      </x:c>
      <x:c r="AG340" s="117" t="str"/>
      <x:c r="AH340" s="117" t="str">
        <x:v>Name corroborated in source</x:v>
      </x:c>
      <x:c r="AI340" s="117" t="str">
        <x:v>https://ebrochures.malaysia.travel/en/malaysia-travel-guide/selangor/</x:v>
      </x:c>
      <x:c r="AJ340" s="117" t="str">
        <x:v>Place name or established alias matched in the cited source. This is not confirmation of current opening, all visitor facilities or the full description.</x:v>
      </x:c>
      <x:c r="AK340" s="117" t="str">
        <x:v>Not independently confirmed</x:v>
      </x:c>
      <x:c r="AL340" s="117" t="str">
        <x:v>Screened sources; accessibility unresolved</x:v>
      </x:c>
      <x:c r="AM340" s="117" t="str">
        <x:v>2026-09-08</x:v>
      </x:c>
      <x:c r="AN340" s="117" t="str">
        <x:v>https://thumb.wikimedia.org/wikipedia/commons/thumb/0/04/Sepang_tribune.jpg/1280px-Sepang_tribune.jpg?utm_source=commons.wikimedia.org&amp;utm_campaign=imageinfo&amp;utm_content=thumbnail</x:v>
      </x:c>
      <x:c r="AO340" s="117" t="str">
        <x:v>https://upload.wikimedia.org/wikipedia/commons/9/91/Petronas_Sepang_International_Circuit_Logo_%282023-now%29.png?utm_source=commons.wikimedia.org&amp;utm_campaign=imageinfo&amp;utm_content=thumbnail_unscaled</x:v>
      </x:c>
      <x:c r="AP340" s="117" t="str">
        <x:v>2 metadata-matched images; visual review pending</x:v>
      </x:c>
      <x:c r="AQ340" s="117"/>
    </x:row>
    <x:row r="341" ht="66" customHeight="1">
      <x:c r="A341" s="117" t="str">
        <x:v>MC0338</x:v>
      </x:c>
      <x:c r="B341" s="117" t="str">
        <x:v>Bagan Lalang Beach</x:v>
      </x:c>
      <x:c r="C341" s="117" t="str">
        <x:v>Selangor</x:v>
      </x:c>
      <x:c r="D341" s="117" t="str">
        <x:v>Sepang</x:v>
      </x:c>
      <x:c r="E341" s="117" t="str">
        <x:v>Beach and Island</x:v>
      </x:c>
      <x:c r="F341" s="117" t="str">
        <x:v>Local</x:v>
      </x:c>
      <x:c r="G341" s="117" t="str">
        <x:v>Outdoor</x:v>
      </x:c>
      <x:c r="H341" s="117" t="str">
        <x:v>beach; seafood; sunset</x:v>
      </x:c>
      <x:c r="I341" s="117" t="str">
        <x:v>A beach in Sepang district, Selangor, popular for kite-flying and water sports.</x:v>
      </x:c>
      <x:c r="J341" s="117" t="str">
        <x:v>https://www.google.com/maps/search/?api=1&amp;query=Bagan%20Lalang%20Beach%2C%20Selangor%2C%20Malaysia</x:v>
      </x:c>
      <x:c r="K341" s="117" t="str">
        <x:v>https://ebrochures.malaysia.travel/en/malaysia-travel-guide/selangor/</x:v>
      </x:c>
      <x:c r="L341" s="117" t="str">
        <x:v>Tourism Malaysia state guide plus map discovery link</x:v>
      </x:c>
      <x:c r="M341" s="117" t="str">
        <x:v>Selangor expansion batch</x:v>
      </x:c>
      <x:c r="N341" s="117"/>
      <x:c r="O341" s="117" t="str">
        <x:v>2026-08-15 00:00:00</x:v>
      </x:c>
      <x:c r="P341" s="117" t="str">
        <x:v>Complete</x:v>
      </x:c>
      <x:c r="Q341" s="117" t="str">
        <x:v>Identity and Malaysian location verified in second-pass review on 2026-09-08.</x:v>
      </x:c>
      <x:c r="R341" s="117" t="str">
        <x:f t="shared" si="5">IF(J341="","Missing Link",IF(AND(ISNUMBER(SEARCH("google.com/maps",J341)),ISERROR(SEARCH(";",J341))),"Discovery Link Only","Source Link Present"))</x:f>
        <x:v>Discovery Link Only</x:v>
      </x:c>
      <x:c r="S341" s="117" t="str">
        <x:v>Unknown</x:v>
      </x:c>
      <x:c r="T341" s="117" t="str">
        <x:v>Unknown</x:v>
      </x:c>
      <x:c r="U341" s="117" t="str">
        <x:v>Unknown</x:v>
      </x:c>
      <x:c r="V341" s="117" t="str">
        <x:v>Unknown</x:v>
      </x:c>
      <x:c r="W341" s="117" t="str">
        <x:v>Unknown</x:v>
      </x:c>
      <x:c r="X341" s="117" t="str">
        <x:v>Unknown</x:v>
      </x:c>
      <x:c r="Y341" s="117" t="str">
        <x:v>Unknown</x:v>
      </x:c>
      <x:c r="Z341" s="117"/>
      <x:c r="AA341" s="117" t="str">
        <x:v>Pending evidence</x:v>
      </x:c>
      <x:c r="AB341" s="117"/>
      <x:c r="AC341" s="117" t="str">
        <x:v>No qualifying accessibility conclusion established from the screened sources. This is unknown, not evidence that the attraction is inaccessible.</x:v>
      </x:c>
      <x:c r="AD341" s="117" t="str">
        <x:v>2026-09-08</x:v>
      </x:c>
      <x:c r="AE341" s="117" t="str">
        <x:v>MC0338</x:v>
      </x:c>
      <x:c r="AF341" s="117" t="str">
        <x:v>Distinct candidate</x:v>
      </x:c>
      <x:c r="AG341" s="117" t="str"/>
      <x:c r="AH341" s="117" t="str">
        <x:v>Identity and location corroborated</x:v>
      </x:c>
      <x:c r="AI341" s="117" t="str">
        <x:v>https://www.openstreetmap.org/relation/14906624</x:v>
      </x:c>
      <x:c r="AJ341" s="117" t="str">
        <x:v>Mapped source matches the attraction name or established alias and the stated Malaysian location. This verifies identity/location only; confirm current opening and accessibility separately.</x:v>
      </x:c>
      <x:c r="AK341" s="117" t="str">
        <x:v>Not independently confirmed</x:v>
      </x:c>
      <x:c r="AL341" s="117" t="str">
        <x:v>Screened sources; accessibility unresolved</x:v>
      </x:c>
      <x:c r="AM341" s="117" t="str">
        <x:v>2026-09-08</x:v>
      </x:c>
      <x:c r="AN341" s="117" t="str">
        <x:v>https://thumb.wikimedia.org/wikipedia/commons/thumb/f/fc/Menara_Penyelamat_Pantai_APM_Pantai_Bagan_Lalang_%28220731%29_2.jpg/1280px-Menara_Penyelamat_Pantai_APM_Pantai_Bagan_Lalang_%28220731%29_2.jpg?utm_source=commons.wikimedia.org&amp;utm_campaign=imageinfo&amp;utm_content=thumbnail</x:v>
      </x:c>
      <x:c r="AO341" s="117"/>
      <x:c r="AP341" s="117" t="str">
        <x:v>1 metadata-matched images; visual review pending</x:v>
      </x:c>
      <x:c r="AQ341" s="117"/>
    </x:row>
    <x:row r="342" ht="66" customHeight="1">
      <x:c r="A342" s="117" t="str">
        <x:v>MC0339</x:v>
      </x:c>
      <x:c r="B342" s="117" t="str">
        <x:v>Mah Meri Cultural Village</x:v>
      </x:c>
      <x:c r="C342" s="117" t="str">
        <x:v>Selangor</x:v>
      </x:c>
      <x:c r="D342" s="117" t="str">
        <x:v>Banting</x:v>
      </x:c>
      <x:c r="E342" s="117" t="str">
        <x:v>Culture</x:v>
      </x:c>
      <x:c r="F342" s="117" t="str">
        <x:v>Popular</x:v>
      </x:c>
      <x:c r="G342" s="117" t="str">
        <x:v>Both</x:v>
      </x:c>
      <x:c r="H342" s="117" t="str">
        <x:v>indigenous culture; masks; crafts</x:v>
      </x:c>
      <x:c r="I342" s="117" t="str">
        <x:v>A cultural village in Banting, Selangor, showcasing the traditions and wood-carving craft of the Mah Meri indigenous community.</x:v>
      </x:c>
      <x:c r="J342" s="117" t="str">
        <x:v>https://www.google.com/maps/search/?api=1&amp;query=Mah%20Meri%20Cultural%20Village%2C%20Selangor%2C%20Malaysia</x:v>
      </x:c>
      <x:c r="K342" s="117" t="str">
        <x:v>https://ebrochures.malaysia.travel/en/malaysia-travel-guide/selangor/</x:v>
      </x:c>
      <x:c r="L342" s="117" t="str">
        <x:v>Tourism Malaysia state guide plus map discovery link</x:v>
      </x:c>
      <x:c r="M342" s="117" t="str">
        <x:v>Selangor expansion batch</x:v>
      </x:c>
      <x:c r="N342" s="117"/>
      <x:c r="O342" s="117" t="str">
        <x:v>2026-08-15 00:00:00</x:v>
      </x:c>
      <x:c r="P342" s="117" t="str">
        <x:v>Complete</x:v>
      </x:c>
      <x:c r="Q342" s="117" t="str">
        <x:v>Identity and Malaysian location verified in second-pass review on 2026-09-08.</x:v>
      </x:c>
      <x:c r="R342" s="117" t="str">
        <x:f t="shared" si="5">IF(J342="","Missing Link",IF(AND(ISNUMBER(SEARCH("google.com/maps",J342)),ISERROR(SEARCH(";",J342))),"Discovery Link Only","Source Link Present"))</x:f>
        <x:v>Discovery Link Only</x:v>
      </x:c>
      <x:c r="S342" s="117" t="str">
        <x:v>Unknown</x:v>
      </x:c>
      <x:c r="T342" s="117" t="str">
        <x:v>Unknown</x:v>
      </x:c>
      <x:c r="U342" s="117" t="str">
        <x:v>Unknown</x:v>
      </x:c>
      <x:c r="V342" s="117" t="str">
        <x:v>Unknown</x:v>
      </x:c>
      <x:c r="W342" s="117" t="str">
        <x:v>Unknown</x:v>
      </x:c>
      <x:c r="X342" s="117" t="str">
        <x:v>Unknown</x:v>
      </x:c>
      <x:c r="Y342" s="117" t="str">
        <x:v>Unknown</x:v>
      </x:c>
      <x:c r="Z342" s="117"/>
      <x:c r="AA342" s="117" t="str">
        <x:v>Pending evidence</x:v>
      </x:c>
      <x:c r="AB342" s="117"/>
      <x:c r="AC342" s="117" t="str">
        <x:v>No qualifying accessibility conclusion established from the screened sources. This is unknown, not evidence that the attraction is inaccessible.</x:v>
      </x:c>
      <x:c r="AD342" s="117" t="str">
        <x:v>2026-09-08</x:v>
      </x:c>
      <x:c r="AE342" s="117" t="str">
        <x:v>MC0339</x:v>
      </x:c>
      <x:c r="AF342" s="117" t="str">
        <x:v>Distinct candidate</x:v>
      </x:c>
      <x:c r="AG342" s="117" t="str"/>
      <x:c r="AH342" s="117" t="str">
        <x:v>Identity and location corroborated</x:v>
      </x:c>
      <x:c r="AI342" s="117" t="str">
        <x:v>https://selangor.travel/listing/mah-meri-cultural-village/</x:v>
      </x:c>
      <x:c r="AJ342" s="117" t="str">
        <x:v>Official state tourism source matches the attraction name or established alias and the stated Malaysian location. This verifies identity/location only; confirm current opening and accessibility separately.</x:v>
      </x:c>
      <x:c r="AK342" s="117" t="str">
        <x:v>Not independently confirmed</x:v>
      </x:c>
      <x:c r="AL342" s="117" t="str">
        <x:v>Screened sources; accessibility unresolved</x:v>
      </x:c>
      <x:c r="AM342" s="117" t="str">
        <x:v>2026-09-08</x:v>
      </x:c>
      <x:c r="AN342" s="117"/>
      <x:c r="AO342" s="117"/>
      <x:c r="AP342" s="117" t="str">
        <x:v>No usable pair located; image research pending</x:v>
      </x:c>
      <x:c r="AQ342" s="117"/>
    </x:row>
    <x:row r="343" ht="66" customHeight="1">
      <x:c r="A343" s="117" t="str">
        <x:v>MC0340</x:v>
      </x:c>
      <x:c r="B343" s="117" t="str">
        <x:v>Pulau Tenggol</x:v>
      </x:c>
      <x:c r="C343" s="117" t="str">
        <x:v>Terengganu</x:v>
      </x:c>
      <x:c r="D343" s="117" t="str">
        <x:v>Dungun / Kuala Dungun</x:v>
      </x:c>
      <x:c r="E343" s="117" t="str">
        <x:v>Beach and Island</x:v>
      </x:c>
      <x:c r="F343" s="117" t="str">
        <x:v>Unclassified</x:v>
      </x:c>
      <x:c r="G343" s="117" t="str">
        <x:v>Outdoor</x:v>
      </x:c>
      <x:c r="H343" s="117" t="str">
        <x:v>Island; marine park; South China Sea; scuba diving; snorkelling; wall diving; drift diving; wreck diving; coral reef; marine life; whale shark; blacktip reef shark; turtle; nudibranch; batfish; underwater photography; strong currents; beach; rocky cliffs; boat trip; day trip; resort; nature; adventure; conservation</x:v>
      </x:c>
      <x:c r="I343" s="117" t="str">
        <x:v>A small, comparatively secluded marine-park island off Kuala Dungun, renowned for clear water, coral gardens, steep underwater walls, wrecks and diverse marine life. Its strong currents and numerous dive sites make it especially attractive to experienced scuba divers, while sheltered areas also support snorkelling.</x:v>
      </x:c>
      <x:c r="J343" s="117" t="str">
        <x:v>https://www.malaysia.travel/explore/pulau-tenggol-terengganu-a-thalassophile-s-heaven ; https://mpd.gov.my/index.php/en/visitors/places-of-interest/pulau-tenggol ; https://ebrochures.malaysia.travel/en/islands-and-beaches/islands-of-terengganu/ ; https://ebrochures.malaysia.travel/en/dive-in-paradise/pulau-tenggol/ ; https://www.malaysia.travel/explore/5-most-beautiful-islands-to-discover-in-terengganu ; https://www.dof.gov.my/en/services/marine-park-resource-management/marine-park-management/ ; https://www.dof.gov.my/en/services/marine-park-resource-management/conservation-charge-fee-rates/ ; https://mygeoname.mygeoportal.gov.my/exportpdf00.jsp?kodnegeri=11 ; https://www.tenggol.com.my/go-diving/</x:v>
      </x:c>
      <x:c r="K343" s="117" t="str">
        <x:v>https://ebrochures.malaysia.travel/en/malaysia-travel-guide/terengganu/</x:v>
      </x:c>
      <x:c r="L343" s="117" t="str">
        <x:v>Previous workbook candidate/source lead</x:v>
      </x:c>
      <x:c r="M343" s="117" t="str">
        <x:v>Previous workbook seed</x:v>
      </x:c>
      <x:c r="N343" s="117" t="str">
        <x:v>A025</x:v>
      </x:c>
      <x:c r="O343" s="117" t="str">
        <x:v>2026-08-15 00:00:00</x:v>
      </x:c>
      <x:c r="P343" s="117" t="str">
        <x:v>Complete</x:v>
      </x:c>
      <x:c r="Q343" s="117"/>
      <x:c r="R343" s="117" t="str">
        <x:f t="shared" si="5">IF(J343="","Missing Link",IF(AND(ISNUMBER(SEARCH("google.com/maps",J343)),ISERROR(SEARCH(";",J343))),"Discovery Link Only","Source Link Present"))</x:f>
        <x:v>Source Link Present</x:v>
      </x:c>
      <x:c r="S343" s="117" t="str">
        <x:v>Unknown</x:v>
      </x:c>
      <x:c r="T343" s="117" t="str">
        <x:v>Unknown</x:v>
      </x:c>
      <x:c r="U343" s="117" t="str">
        <x:v>Unknown</x:v>
      </x:c>
      <x:c r="V343" s="117" t="str">
        <x:v>Unknown</x:v>
      </x:c>
      <x:c r="W343" s="117" t="str">
        <x:v>Unknown</x:v>
      </x:c>
      <x:c r="X343" s="117" t="str">
        <x:v>Unknown</x:v>
      </x:c>
      <x:c r="Y343" s="117" t="str">
        <x:v>Unknown</x:v>
      </x:c>
      <x:c r="Z343" s="117"/>
      <x:c r="AA343" s="117" t="str">
        <x:v>Pending evidence</x:v>
      </x:c>
      <x:c r="AB343" s="117"/>
      <x:c r="AC343" s="117" t="str">
        <x:v>No qualifying accessibility conclusion established from the screened sources. This is unknown, not evidence that the attraction is inaccessible.</x:v>
      </x:c>
      <x:c r="AD343" s="117" t="str">
        <x:v>2026-09-08</x:v>
      </x:c>
      <x:c r="AE343" s="117" t="str">
        <x:v>MC0340</x:v>
      </x:c>
      <x:c r="AF343" s="117" t="str">
        <x:v>Distinct candidate</x:v>
      </x:c>
      <x:c r="AG343" s="117" t="str"/>
      <x:c r="AH343" s="117" t="str">
        <x:v>Name corroborated in source</x:v>
      </x:c>
      <x:c r="AI343" s="117" t="str">
        <x:v>https://www.malaysia.travel/explore/pulau-tenggol-terengganu-a-thalassophile-s-heaven</x:v>
      </x:c>
      <x:c r="AJ343" s="117" t="str">
        <x:v>Place name or established alias matched in the cited source. This is not confirmation of current opening, all visitor facilities or the full description.</x:v>
      </x:c>
      <x:c r="AK343" s="117" t="str">
        <x:v>Not independently confirmed</x:v>
      </x:c>
      <x:c r="AL343" s="117" t="str">
        <x:v>Screened sources; accessibility unresolved</x:v>
      </x:c>
      <x:c r="AM343" s="117" t="str">
        <x:v>2026-09-08</x:v>
      </x:c>
      <x:c r="AN343" s="117"/>
      <x:c r="AO343" s="117"/>
      <x:c r="AP343" s="117" t="str">
        <x:v>No usable pair located; image research pending</x:v>
      </x:c>
      <x:c r="AQ343" s="117"/>
    </x:row>
    <x:row r="344" ht="66" customHeight="1">
      <x:c r="A344" s="117" t="str">
        <x:v>MC0341</x:v>
      </x:c>
      <x:c r="B344" s="117" t="str">
        <x:v>Chemerong Forest Reserve</x:v>
      </x:c>
      <x:c r="C344" s="117" t="str">
        <x:v>Terengganu</x:v>
      </x:c>
      <x:c r="D344" s="117" t="str">
        <x:v>Dungun / Hulu Dungun</x:v>
      </x:c>
      <x:c r="E344" s="117" t="str">
        <x:v>Nature</x:v>
      </x:c>
      <x:c r="F344" s="117" t="str">
        <x:v>Unclassified</x:v>
      </x:c>
      <x:c r="G344" s="117" t="str">
        <x:v>Outdoor</x:v>
      </x:c>
      <x:c r="H344" s="117" t="str">
        <x:v>Forest reserve; forest eco park; Pasir Raja Forest Reserve; Chemerong Waterfall; CBL trail; Chemerong-Berembun-Langsir; Mount Berembun; Langsir Waterfall; hill dipterocarp forest; jungle trekking; hiking; camping; waterfall; river; swimming; Jeram Lesung Pool; giant Chengal tree; nature; adventure; photography; guided hike; multi-day expedition</x:v>
      </x:c>
      <x:c r="I344" s="117" t="str">
        <x:v>A hill-dipterocarp recreation forest in Hulu Dungun centred on Chemerong Waterfall and the demanding Chemerong-Berembun-Langsir hiking circuit. Casual visitors can use the recreation area, while experienced hikers undertake guided waterfall, mountain and multi-day camping routes through the reserve.</x:v>
      </x:c>
      <x:c r="J344" s="117" t="str">
        <x:v>https://www.malaysia.travel/explore/chemerong-forest-reserve ; https://trgforestry.terengganu.gov.my/index.php?option=com_content&amp;view=article&amp;id=83&amp;Itemid=339&amp;lang=en ; https://www.forestry.gov.my/my/terengganu/taman-eko-rimba-chemerong ; https://www.forestry.gov.my/index.php/my/perkhidmatan/info-perhutanan/hutan-lipur-hutan-taman-negeri ; https://ebrochures.malaysia.travel/en/malaysia-travel-guide/terengganu/ ; https://ebrochures.malaysia.travel/en/adventure-with-nature/jungle-trekking/</x:v>
      </x:c>
      <x:c r="K344" s="117" t="str">
        <x:v>https://ebrochures.malaysia.travel/en/malaysia-travel-guide/terengganu/</x:v>
      </x:c>
      <x:c r="L344" s="117" t="str">
        <x:v>Previous workbook candidate/source lead</x:v>
      </x:c>
      <x:c r="M344" s="117" t="str">
        <x:v>Previous workbook seed</x:v>
      </x:c>
      <x:c r="N344" s="117" t="str">
        <x:v>A026</x:v>
      </x:c>
      <x:c r="O344" s="117" t="str">
        <x:v>2026-08-15 00:00:00</x:v>
      </x:c>
      <x:c r="P344" s="117" t="str">
        <x:v>Complete</x:v>
      </x:c>
      <x:c r="Q344" s="117"/>
      <x:c r="R344" s="117" t="str">
        <x:f t="shared" si="5">IF(J344="","Missing Link",IF(AND(ISNUMBER(SEARCH("google.com/maps",J344)),ISERROR(SEARCH(";",J344))),"Discovery Link Only","Source Link Present"))</x:f>
        <x:v>Source Link Present</x:v>
      </x:c>
      <x:c r="S344" s="117" t="str">
        <x:v>Unknown</x:v>
      </x:c>
      <x:c r="T344" s="117" t="str">
        <x:v>Unknown</x:v>
      </x:c>
      <x:c r="U344" s="117" t="str">
        <x:v>Unknown</x:v>
      </x:c>
      <x:c r="V344" s="117" t="str">
        <x:v>Unknown</x:v>
      </x:c>
      <x:c r="W344" s="117" t="str">
        <x:v>Unknown</x:v>
      </x:c>
      <x:c r="X344" s="117" t="str">
        <x:v>Unknown</x:v>
      </x:c>
      <x:c r="Y344" s="117" t="str">
        <x:v>Unknown</x:v>
      </x:c>
      <x:c r="Z344" s="117"/>
      <x:c r="AA344" s="117" t="str">
        <x:v>Pending evidence</x:v>
      </x:c>
      <x:c r="AB344" s="117"/>
      <x:c r="AC344" s="117" t="str">
        <x:v>No qualifying accessibility conclusion established from the screened sources. This is unknown, not evidence that the attraction is inaccessible.</x:v>
      </x:c>
      <x:c r="AD344" s="117" t="str">
        <x:v>2026-09-08</x:v>
      </x:c>
      <x:c r="AE344" s="117" t="str">
        <x:v>MC0341</x:v>
      </x:c>
      <x:c r="AF344" s="117" t="str">
        <x:v>Distinct candidate</x:v>
      </x:c>
      <x:c r="AG344" s="117" t="str"/>
      <x:c r="AH344" s="117" t="str">
        <x:v>Name corroborated in source</x:v>
      </x:c>
      <x:c r="AI344" s="117" t="str">
        <x:v>https://www.malaysia.travel/explore/chemerong-forest-reserve</x:v>
      </x:c>
      <x:c r="AJ344" s="117" t="str">
        <x:v>Place name or established alias matched in the cited source. This is not confirmation of current opening, all visitor facilities or the full description.</x:v>
      </x:c>
      <x:c r="AK344" s="117" t="str">
        <x:v>Not independently confirmed</x:v>
      </x:c>
      <x:c r="AL344" s="117" t="str">
        <x:v>Screened sources; accessibility unresolved</x:v>
      </x:c>
      <x:c r="AM344" s="117" t="str">
        <x:v>2026-09-08</x:v>
      </x:c>
      <x:c r="AN344" s="117"/>
      <x:c r="AO344" s="117"/>
      <x:c r="AP344" s="117" t="str">
        <x:v>No usable pair located; image research pending</x:v>
      </x:c>
      <x:c r="AQ344" s="117"/>
    </x:row>
    <x:row r="345" ht="66" customHeight="1">
      <x:c r="A345" s="117" t="str">
        <x:v>MC0342</x:v>
      </x:c>
      <x:c r="B345" s="117" t="str">
        <x:v>Redang Island</x:v>
      </x:c>
      <x:c r="C345" s="117" t="str">
        <x:v>Terengganu</x:v>
      </x:c>
      <x:c r="D345" s="117" t="str">
        <x:v>Kuala Nerus</x:v>
      </x:c>
      <x:c r="E345" s="117" t="str">
        <x:v>Beach and Island</x:v>
      </x:c>
      <x:c r="F345" s="117" t="str">
        <x:v>Unclassified</x:v>
      </x:c>
      <x:c r="G345" s="117" t="str">
        <x:v>Outdoor</x:v>
      </x:c>
      <x:c r="H345" s="117" t="str">
        <x:v>island; beach; snorkelling; diving; relaxation</x:v>
      </x:c>
      <x:c r="I345" s="117" t="str">
        <x:v>An island off Kuala Nerus, Terengganu, known for its clear turquoise waters and coral reefs, popular for diving and snorkelling.</x:v>
      </x:c>
      <x:c r="J345" s="117" t="str">
        <x:v>https://www.google.com/maps/search/?api=1&amp;query=Redang%20Island%2C%20Terengganu%2C%20Malaysia</x:v>
      </x:c>
      <x:c r="K345" s="117" t="str">
        <x:v>https://ebrochures.malaysia.travel/en/malaysia-travel-guide/terengganu/</x:v>
      </x:c>
      <x:c r="L345" s="117" t="str">
        <x:v>Previous workbook candidate/source lead</x:v>
      </x:c>
      <x:c r="M345" s="117" t="str">
        <x:v>Previous workbook seed</x:v>
      </x:c>
      <x:c r="N345" s="117" t="str">
        <x:v>A128</x:v>
      </x:c>
      <x:c r="O345" s="117" t="str">
        <x:v>2026-08-15 00:00:00</x:v>
      </x:c>
      <x:c r="P345" s="117" t="str">
        <x:v>Complete</x:v>
      </x:c>
      <x:c r="Q345" s="117"/>
      <x:c r="R345" s="117" t="str">
        <x:f t="shared" si="5">IF(J345="","Missing Link",IF(AND(ISNUMBER(SEARCH("google.com/maps",J345)),ISERROR(SEARCH(";",J345))),"Discovery Link Only","Source Link Present"))</x:f>
        <x:v>Discovery Link Only</x:v>
      </x:c>
      <x:c r="S345" s="117" t="str">
        <x:v>Unknown</x:v>
      </x:c>
      <x:c r="T345" s="117" t="str">
        <x:v>Unknown</x:v>
      </x:c>
      <x:c r="U345" s="117" t="str">
        <x:v>Unknown</x:v>
      </x:c>
      <x:c r="V345" s="117" t="str">
        <x:v>Unknown</x:v>
      </x:c>
      <x:c r="W345" s="117" t="str">
        <x:v>Unknown</x:v>
      </x:c>
      <x:c r="X345" s="117" t="str">
        <x:v>Unknown</x:v>
      </x:c>
      <x:c r="Y345" s="117" t="str">
        <x:v>Unknown</x:v>
      </x:c>
      <x:c r="Z345" s="117"/>
      <x:c r="AA345" s="117" t="str">
        <x:v>Pending evidence</x:v>
      </x:c>
      <x:c r="AB345" s="117"/>
      <x:c r="AC345" s="117" t="str">
        <x:v>No qualifying accessibility conclusion established from the screened sources. This is unknown, not evidence that the attraction is inaccessible.</x:v>
      </x:c>
      <x:c r="AD345" s="117" t="str">
        <x:v>2026-09-08</x:v>
      </x:c>
      <x:c r="AE345" s="117" t="str">
        <x:v>MC0342</x:v>
      </x:c>
      <x:c r="AF345" s="117" t="str">
        <x:v>Distinct candidate</x:v>
      </x:c>
      <x:c r="AG345" s="117" t="str"/>
      <x:c r="AH345" s="117" t="str">
        <x:v>Name corroborated in source</x:v>
      </x:c>
      <x:c r="AI345" s="117" t="str">
        <x:v>https://ebrochures.malaysia.travel/en/malaysia-travel-guide/terengganu/</x:v>
      </x:c>
      <x:c r="AJ345" s="117" t="str">
        <x:v>Place name or established alias matched in the cited source. This is not confirmation of current opening, all visitor facilities or the full description.</x:v>
      </x:c>
      <x:c r="AK345" s="117" t="str">
        <x:v>Not independently confirmed</x:v>
      </x:c>
      <x:c r="AL345" s="117" t="str">
        <x:v>Screened sources; accessibility unresolved</x:v>
      </x:c>
      <x:c r="AM345" s="117" t="str">
        <x:v>2026-09-08</x:v>
      </x:c>
      <x:c r="AN345" s="117" t="str">
        <x:v>https://thumb.wikimedia.org/wikipedia/commons/thumb/2/27/Pasir_Panjang.JPG/1280px-Pasir_Panjang.JPG?utm_source=commons.wikimedia.org&amp;utm_campaign=imageinfo&amp;utm_content=thumbnail</x:v>
      </x:c>
      <x:c r="AO345" s="117" t="str">
        <x:v>https://thumb.wikimedia.org/wikipedia/commons/thumb/7/78/Pulau_Redang_-_White_sandy_beach.jpg/1280px-Pulau_Redang_-_White_sandy_beach.jpg?utm_source=commons.wikimedia.org&amp;utm_campaign=imageinfo&amp;utm_content=thumbnail</x:v>
      </x:c>
      <x:c r="AP345" s="117" t="str">
        <x:v>2 metadata-matched images; visual review pending</x:v>
      </x:c>
      <x:c r="AQ345" s="117"/>
    </x:row>
    <x:row r="346" ht="66" customHeight="1">
      <x:c r="A346" s="117" t="str">
        <x:v>MC0343</x:v>
      </x:c>
      <x:c r="B346" s="117" t="str">
        <x:v>Perhentian Islands</x:v>
      </x:c>
      <x:c r="C346" s="117" t="str">
        <x:v>Terengganu</x:v>
      </x:c>
      <x:c r="D346" s="117" t="str">
        <x:v>Besut</x:v>
      </x:c>
      <x:c r="E346" s="117" t="str">
        <x:v>Beach and Island</x:v>
      </x:c>
      <x:c r="F346" s="117" t="str">
        <x:v>Unclassified</x:v>
      </x:c>
      <x:c r="G346" s="117" t="str">
        <x:v>Outdoor</x:v>
      </x:c>
      <x:c r="H346" s="117" t="str">
        <x:v>island; beach; snorkelling; diving; relaxation</x:v>
      </x:c>
      <x:c r="I346" s="117" t="str">
        <x:v>A pair of islands off Besut, Terengganu, renowned for coral reefs, turtles and backpacker-friendly beaches.</x:v>
      </x:c>
      <x:c r="J346" s="117" t="str">
        <x:v>https://www.google.com/maps/search/?api=1&amp;query=Perhentian%20Islands%2C%20Terengganu%2C%20Malaysia</x:v>
      </x:c>
      <x:c r="K346" s="117" t="str">
        <x:v>https://ebrochures.malaysia.travel/en/malaysia-travel-guide/terengganu/</x:v>
      </x:c>
      <x:c r="L346" s="117" t="str">
        <x:v>Previous workbook candidate/source lead</x:v>
      </x:c>
      <x:c r="M346" s="117" t="str">
        <x:v>Previous workbook seed</x:v>
      </x:c>
      <x:c r="N346" s="117" t="str">
        <x:v>A129</x:v>
      </x:c>
      <x:c r="O346" s="117" t="str">
        <x:v>2026-08-15 00:00:00</x:v>
      </x:c>
      <x:c r="P346" s="117" t="str">
        <x:v>Complete</x:v>
      </x:c>
      <x:c r="Q346" s="117"/>
      <x:c r="R346" s="117" t="str">
        <x:f t="shared" si="5">IF(J346="","Missing Link",IF(AND(ISNUMBER(SEARCH("google.com/maps",J346)),ISERROR(SEARCH(";",J346))),"Discovery Link Only","Source Link Present"))</x:f>
        <x:v>Discovery Link Only</x:v>
      </x:c>
      <x:c r="S346" s="117" t="str">
        <x:v>Unknown</x:v>
      </x:c>
      <x:c r="T346" s="117" t="str">
        <x:v>Unknown</x:v>
      </x:c>
      <x:c r="U346" s="117" t="str">
        <x:v>Unknown</x:v>
      </x:c>
      <x:c r="V346" s="117" t="str">
        <x:v>Unknown</x:v>
      </x:c>
      <x:c r="W346" s="117" t="str">
        <x:v>Unknown</x:v>
      </x:c>
      <x:c r="X346" s="117" t="str">
        <x:v>Unknown</x:v>
      </x:c>
      <x:c r="Y346" s="117" t="str">
        <x:v>Unknown</x:v>
      </x:c>
      <x:c r="Z346" s="117"/>
      <x:c r="AA346" s="117" t="str">
        <x:v>Pending evidence</x:v>
      </x:c>
      <x:c r="AB346" s="117"/>
      <x:c r="AC346" s="117" t="str">
        <x:v>No qualifying accessibility conclusion established from the screened sources. This is unknown, not evidence that the attraction is inaccessible.</x:v>
      </x:c>
      <x:c r="AD346" s="117" t="str">
        <x:v>2026-09-08</x:v>
      </x:c>
      <x:c r="AE346" s="117" t="str">
        <x:v>MC0343</x:v>
      </x:c>
      <x:c r="AF346" s="117" t="str">
        <x:v>Distinct candidate</x:v>
      </x:c>
      <x:c r="AG346" s="117" t="str"/>
      <x:c r="AH346" s="117" t="str">
        <x:v>Name corroborated in source</x:v>
      </x:c>
      <x:c r="AI346" s="117" t="str">
        <x:v>https://ebrochures.malaysia.travel/en/malaysia-travel-guide/terengganu/</x:v>
      </x:c>
      <x:c r="AJ346" s="117" t="str">
        <x:v>Place name or established alias matched in the cited source. This is not confirmation of current opening, all visitor facilities or the full description.</x:v>
      </x:c>
      <x:c r="AK346" s="117" t="str">
        <x:v>Not independently confirmed</x:v>
      </x:c>
      <x:c r="AL346" s="117" t="str">
        <x:v>Screened sources; accessibility unresolved</x:v>
      </x:c>
      <x:c r="AM346" s="117" t="str">
        <x:v>2026-09-08</x:v>
      </x:c>
      <x:c r="AN346" s="117" t="str">
        <x:v>https://thumb.wikimedia.org/wikipedia/commons/thumb/e/ee/Perhentian_Besar%2C_Malaysia%2C_West_beach_2.jpg/1280px-Perhentian_Besar%2C_Malaysia%2C_West_beach_2.jpg?utm_source=commons.wikimedia.org&amp;utm_campaign=imageinfo&amp;utm_content=thumbnail</x:v>
      </x:c>
      <x:c r="AO346" s="117" t="str">
        <x:v>https://thumb.wikimedia.org/wikipedia/commons/thumb/f/fa/Perhentian_Islands%2C_Coastline%2C_Malaysia.jpg/1280px-Perhentian_Islands%2C_Coastline%2C_Malaysia.jpg?utm_source=commons.wikimedia.org&amp;utm_campaign=imageinfo&amp;utm_content=thumbnail</x:v>
      </x:c>
      <x:c r="AP346" s="117" t="str">
        <x:v>2 metadata-matched images; visual review pending</x:v>
      </x:c>
      <x:c r="AQ346" s="117"/>
    </x:row>
    <x:row r="347" ht="66" customHeight="1">
      <x:c r="A347" s="117" t="str">
        <x:v>MC0344</x:v>
      </x:c>
      <x:c r="B347" s="117" t="str">
        <x:v>Islamic Civilisation Park</x:v>
      </x:c>
      <x:c r="C347" s="117" t="str">
        <x:v>Terengganu</x:v>
      </x:c>
      <x:c r="D347" s="117" t="str">
        <x:v>Kuala Terengganu</x:v>
      </x:c>
      <x:c r="E347" s="117" t="str">
        <x:v>Family Attraction</x:v>
      </x:c>
      <x:c r="F347" s="117" t="str">
        <x:v>Unclassified</x:v>
      </x:c>
      <x:c r="G347" s="117" t="str">
        <x:v>Both</x:v>
      </x:c>
      <x:c r="H347" s="117" t="str">
        <x:v>Islamic architecture; monuments; family; culture; education</x:v>
      </x:c>
      <x:c r="I347" s="117" t="str">
        <x:v>A park in Kuala Terengganu featuring scale replicas of famous Islamic monuments from around the world.</x:v>
      </x:c>
      <x:c r="J347" s="117" t="str">
        <x:v>https://www.google.com/maps/search/?api=1&amp;query=Islamic%20Civilisation%20Park%2C%20Terengganu%2C%20Malaysia</x:v>
      </x:c>
      <x:c r="K347" s="117" t="str">
        <x:v>https://ebrochures.malaysia.travel/en/malaysia-travel-guide/terengganu/</x:v>
      </x:c>
      <x:c r="L347" s="117" t="str">
        <x:v>Previous workbook candidate/source lead</x:v>
      </x:c>
      <x:c r="M347" s="117" t="str">
        <x:v>Previous workbook seed</x:v>
      </x:c>
      <x:c r="N347" s="117" t="str">
        <x:v>A130</x:v>
      </x:c>
      <x:c r="O347" s="117" t="str">
        <x:v>2026-08-15 00:00:00</x:v>
      </x:c>
      <x:c r="P347" s="117" t="str">
        <x:v>Complete</x:v>
      </x:c>
      <x:c r="Q347" s="117"/>
      <x:c r="R347" s="117" t="str">
        <x:f t="shared" si="5">IF(J347="","Missing Link",IF(AND(ISNUMBER(SEARCH("google.com/maps",J347)),ISERROR(SEARCH(";",J347))),"Discovery Link Only","Source Link Present"))</x:f>
        <x:v>Discovery Link Only</x:v>
      </x:c>
      <x:c r="S347" s="117" t="str">
        <x:v>Unknown</x:v>
      </x:c>
      <x:c r="T347" s="117" t="str">
        <x:v>Unknown</x:v>
      </x:c>
      <x:c r="U347" s="117" t="str">
        <x:v>Unknown</x:v>
      </x:c>
      <x:c r="V347" s="117" t="str">
        <x:v>Unknown</x:v>
      </x:c>
      <x:c r="W347" s="117" t="str">
        <x:v>Unknown</x:v>
      </x:c>
      <x:c r="X347" s="117" t="str">
        <x:v>Unknown</x:v>
      </x:c>
      <x:c r="Y347" s="117" t="str">
        <x:v>Unknown</x:v>
      </x:c>
      <x:c r="Z347" s="117"/>
      <x:c r="AA347" s="117" t="str">
        <x:v>Pending evidence</x:v>
      </x:c>
      <x:c r="AB347" s="117"/>
      <x:c r="AC347" s="117" t="str">
        <x:v>No qualifying accessibility conclusion established from the screened sources. This is unknown, not evidence that the attraction is inaccessible.</x:v>
      </x:c>
      <x:c r="AD347" s="117" t="str">
        <x:v>2026-09-08</x:v>
      </x:c>
      <x:c r="AE347" s="117" t="str">
        <x:v>MC0344</x:v>
      </x:c>
      <x:c r="AF347" s="117" t="str">
        <x:v>Distinct candidate</x:v>
      </x:c>
      <x:c r="AG347" s="117" t="str"/>
      <x:c r="AH347" s="117" t="str">
        <x:v>Name corroborated in source</x:v>
      </x:c>
      <x:c r="AI347" s="117" t="str">
        <x:v>https://ebrochures.malaysia.travel/en/malaysia-travel-guide/terengganu/</x:v>
      </x:c>
      <x:c r="AJ347" s="117" t="str">
        <x:v>Place name or established alias matched in the cited source. This is not confirmation of current opening, all visitor facilities or the full description.</x:v>
      </x:c>
      <x:c r="AK347" s="117" t="str">
        <x:v>Not independently confirmed</x:v>
      </x:c>
      <x:c r="AL347" s="117" t="str">
        <x:v>Screened sources; accessibility unresolved</x:v>
      </x:c>
      <x:c r="AM347" s="117" t="str">
        <x:v>2026-09-08</x:v>
      </x:c>
      <x:c r="AN347" s="117"/>
      <x:c r="AO347" s="117"/>
      <x:c r="AP347" s="117" t="str">
        <x:v>No usable pair located; image research pending</x:v>
      </x:c>
      <x:c r="AQ347" s="117"/>
    </x:row>
    <x:row r="348" ht="66" customHeight="1">
      <x:c r="A348" s="117" t="str">
        <x:v>MC0345</x:v>
      </x:c>
      <x:c r="B348" s="117" t="str">
        <x:v>Terengganu State Museum</x:v>
      </x:c>
      <x:c r="C348" s="117" t="str">
        <x:v>Terengganu</x:v>
      </x:c>
      <x:c r="D348" s="117" t="str">
        <x:v>Kuala Terengganu</x:v>
      </x:c>
      <x:c r="E348" s="117" t="str">
        <x:v>Museum and Gallery</x:v>
      </x:c>
      <x:c r="F348" s="117" t="str">
        <x:v>Unclassified</x:v>
      </x:c>
      <x:c r="G348" s="117" t="str">
        <x:v>Both</x:v>
      </x:c>
      <x:c r="H348" s="117" t="str">
        <x:v>museum; culture; heritage; history; indoor</x:v>
      </x:c>
      <x:c r="I348" s="117" t="str">
        <x:v>One of the largest museums in Southeast Asia, in Kuala Terengganu, covering the state's maritime and Islamic heritage.</x:v>
      </x:c>
      <x:c r="J348" s="117" t="str">
        <x:v>https://www.google.com/maps/search/?api=1&amp;query=Terengganu%20State%20Museum%2C%20Terengganu%2C%20Malaysia</x:v>
      </x:c>
      <x:c r="K348" s="117" t="str">
        <x:v>https://ebrochures.malaysia.travel/en/malaysia-travel-guide/terengganu/</x:v>
      </x:c>
      <x:c r="L348" s="117" t="str">
        <x:v>Previous workbook candidate/source lead</x:v>
      </x:c>
      <x:c r="M348" s="117" t="str">
        <x:v>Previous workbook seed</x:v>
      </x:c>
      <x:c r="N348" s="117" t="str">
        <x:v>A131</x:v>
      </x:c>
      <x:c r="O348" s="117" t="str">
        <x:v>2026-08-15 00:00:00</x:v>
      </x:c>
      <x:c r="P348" s="117" t="str">
        <x:v>Complete</x:v>
      </x:c>
      <x:c r="Q348" s="117"/>
      <x:c r="R348" s="117" t="str">
        <x:f t="shared" si="5">IF(J348="","Missing Link",IF(AND(ISNUMBER(SEARCH("google.com/maps",J348)),ISERROR(SEARCH(";",J348))),"Discovery Link Only","Source Link Present"))</x:f>
        <x:v>Discovery Link Only</x:v>
      </x:c>
      <x:c r="S348" s="117" t="str">
        <x:v>Unknown</x:v>
      </x:c>
      <x:c r="T348" s="117" t="str">
        <x:v>Unknown</x:v>
      </x:c>
      <x:c r="U348" s="117" t="str">
        <x:v>Unknown</x:v>
      </x:c>
      <x:c r="V348" s="117" t="str">
        <x:v>Unknown</x:v>
      </x:c>
      <x:c r="W348" s="117" t="str">
        <x:v>Unknown</x:v>
      </x:c>
      <x:c r="X348" s="117" t="str">
        <x:v>Unknown</x:v>
      </x:c>
      <x:c r="Y348" s="117" t="str">
        <x:v>Unknown</x:v>
      </x:c>
      <x:c r="Z348" s="117"/>
      <x:c r="AA348" s="117" t="str">
        <x:v>Pending evidence</x:v>
      </x:c>
      <x:c r="AB348" s="117"/>
      <x:c r="AC348" s="117" t="str">
        <x:v>No qualifying accessibility conclusion established from the screened sources. This is unknown, not evidence that the attraction is inaccessible.</x:v>
      </x:c>
      <x:c r="AD348" s="117" t="str">
        <x:v>2026-09-08</x:v>
      </x:c>
      <x:c r="AE348" s="117" t="str">
        <x:v>MC0345</x:v>
      </x:c>
      <x:c r="AF348" s="117" t="str">
        <x:v>Distinct candidate</x:v>
      </x:c>
      <x:c r="AG348" s="117" t="str"/>
      <x:c r="AH348" s="117" t="str">
        <x:v>Name corroborated in source</x:v>
      </x:c>
      <x:c r="AI348" s="117" t="str">
        <x:v>https://ebrochures.malaysia.travel/en/malaysia-travel-guide/terengganu/</x:v>
      </x:c>
      <x:c r="AJ348" s="117" t="str">
        <x:v>Place name or established alias matched in the cited source. This is not confirmation of current opening, all visitor facilities or the full description.</x:v>
      </x:c>
      <x:c r="AK348" s="117" t="str">
        <x:v>Not independently confirmed</x:v>
      </x:c>
      <x:c r="AL348" s="117" t="str">
        <x:v>Screened sources; accessibility unresolved</x:v>
      </x:c>
      <x:c r="AM348" s="117" t="str">
        <x:v>2026-09-08</x:v>
      </x:c>
      <x:c r="AN348" s="117" t="str">
        <x:v>https://thumb.wikimedia.org/wikipedia/commons/thumb/9/96/Muzium_Negeri_Terengganu%2C_Kampung_Bukit_Losong_20240227_095051.jpg/1280px-Muzium_Negeri_Terengganu%2C_Kampung_Bukit_Losong_20240227_095051.jpg?utm_source=commons.wikimedia.org&amp;utm_campaign=imageinfo&amp;utm_content=thumbnail</x:v>
      </x:c>
      <x:c r="AO348" s="117"/>
      <x:c r="AP348" s="117" t="str">
        <x:v>1 metadata-matched images; visual review pending</x:v>
      </x:c>
      <x:c r="AQ348" s="117"/>
    </x:row>
    <x:row r="349" ht="66" customHeight="1">
      <x:c r="A349" s="117" t="str">
        <x:v>MC0346</x:v>
      </x:c>
      <x:c r="B349" s="117" t="str">
        <x:v>Crystal Mosque</x:v>
      </x:c>
      <x:c r="C349" s="117" t="str">
        <x:v>Terengganu</x:v>
      </x:c>
      <x:c r="D349" s="117" t="str">
        <x:v>Kuala Terengganu</x:v>
      </x:c>
      <x:c r="E349" s="117" t="str">
        <x:v>Religious Site</x:v>
      </x:c>
      <x:c r="F349" s="117" t="str">
        <x:v>Unclassified</x:v>
      </x:c>
      <x:c r="G349" s="117" t="str">
        <x:v>Both</x:v>
      </x:c>
      <x:c r="H349" s="117" t="str">
        <x:v>mosque; architecture; religion; photography; waterfront</x:v>
      </x:c>
      <x:c r="I349" s="117" t="str">
        <x:v>A striking glass-and-steel mosque in Kuala Terengganu, illuminated at night and set on Wan Man Island.</x:v>
      </x:c>
      <x:c r="J349" s="117" t="str">
        <x:v>https://www.google.com/maps/search/?api=1&amp;query=Crystal%20Mosque%2C%20Terengganu%2C%20Malaysia</x:v>
      </x:c>
      <x:c r="K349" s="117" t="str">
        <x:v>https://ebrochures.malaysia.travel/en/malaysia-travel-guide/terengganu/</x:v>
      </x:c>
      <x:c r="L349" s="117" t="str">
        <x:v>Previous workbook candidate/source lead</x:v>
      </x:c>
      <x:c r="M349" s="117" t="str">
        <x:v>Previous workbook seed</x:v>
      </x:c>
      <x:c r="N349" s="117" t="str">
        <x:v>A132</x:v>
      </x:c>
      <x:c r="O349" s="117" t="str">
        <x:v>2026-08-15 00:00:00</x:v>
      </x:c>
      <x:c r="P349" s="117" t="str">
        <x:v>Complete</x:v>
      </x:c>
      <x:c r="Q349" s="117"/>
      <x:c r="R349" s="117" t="str">
        <x:f t="shared" si="5">IF(J349="","Missing Link",IF(AND(ISNUMBER(SEARCH("google.com/maps",J349)),ISERROR(SEARCH(";",J349))),"Discovery Link Only","Source Link Present"))</x:f>
        <x:v>Discovery Link Only</x:v>
      </x:c>
      <x:c r="S349" s="117" t="str">
        <x:v>Not measured</x:v>
      </x:c>
      <x:c r="T349" s="117" t="str">
        <x:v>Reported; not operator-confirmed</x:v>
      </x:c>
      <x:c r="U349" s="117" t="str">
        <x:v>Unknown</x:v>
      </x:c>
      <x:c r="V349" s="117" t="str">
        <x:v>Reported; not operator-confirmed</x:v>
      </x:c>
      <x:c r="W349" s="117" t="str">
        <x:v>Reported; not operator-confirmed</x:v>
      </x:c>
      <x:c r="X349" s="117" t="str">
        <x:v>Unknown</x:v>
      </x:c>
      <x:c r="Y349" s="117" t="str">
        <x:v>Conditional on mobility and route</x:v>
      </x:c>
      <x:c r="Z349" s="117" t="str">
        <x:v>These facilities are reported by a travel guide. Confirm current access and any prayer-time restrictions with the mosque; no route measurements are available.</x:v>
      </x:c>
      <x:c r="AA349" s="117" t="str">
        <x:v>Reported support - confirm</x:v>
      </x:c>
      <x:c r="AB349" s="117" t="str">
        <x:v>https://www.realjourneytravels.com/places/masjid-kristal/</x:v>
      </x:c>
      <x:c r="AC349" s="117" t="str">
        <x:v>Crystal Mosque visitor areas</x:v>
      </x:c>
      <x:c r="AD349" s="117" t="str">
        <x:v>2026-09-08</x:v>
      </x:c>
      <x:c r="AE349" s="117" t="str">
        <x:v>MC0346</x:v>
      </x:c>
      <x:c r="AF349" s="117" t="str">
        <x:v>Distinct candidate</x:v>
      </x:c>
      <x:c r="AG349" s="117" t="str"/>
      <x:c r="AH349" s="117" t="str">
        <x:v>Venue-specific source reviewed</x:v>
      </x:c>
      <x:c r="AI349" s="117" t="str">
        <x:v>https://www.realjourneytravels.com/places/masjid-kristal/</x:v>
      </x:c>
      <x:c r="AJ349" s="117" t="str">
        <x:v>Place name or established alias matched in the cited source. This is not confirmation of current opening, all visitor facilities or the full description.</x:v>
      </x:c>
      <x:c r="AK349" s="117" t="str">
        <x:v>Not independently confirmed</x:v>
      </x:c>
      <x:c r="AL349" s="117" t="str">
        <x:v>Secondary accessibility evidence reviewed</x:v>
      </x:c>
      <x:c r="AM349" s="117" t="str">
        <x:v>2026-09-08</x:v>
      </x:c>
      <x:c r="AN349" s="117" t="str">
        <x:v>https://thumb.wikimedia.org/wikipedia/commons/thumb/b/b5/Masjid_Kristal_%28Mei_2011%29.jpg/1280px-Masjid_Kristal_%28Mei_2011%29.jpg?utm_source=commons.wikimedia.org&amp;utm_campaign=imageinfo&amp;utm_content=thumbnail</x:v>
      </x:c>
      <x:c r="AO349" s="117" t="str">
        <x:v>https://thumb.wikimedia.org/wikipedia/commons/thumb/f/fa/Crystal_Mosque_Aerial_Shot_1.jpg/1280px-Crystal_Mosque_Aerial_Shot_1.jpg?utm_source=commons.wikimedia.org&amp;utm_campaign=imageinfo&amp;utm_content=thumbnail</x:v>
      </x:c>
      <x:c r="AP349" s="117" t="str">
        <x:v>2 metadata-matched images; visual review pending</x:v>
      </x:c>
      <x:c r="AQ349" s="117"/>
    </x:row>
    <x:row r="350" ht="66" customHeight="1">
      <x:c r="A350" s="117" t="str">
        <x:v>MC0347</x:v>
      </x:c>
      <x:c r="B350" s="117" t="str">
        <x:v>Kenyir Lake</x:v>
      </x:c>
      <x:c r="C350" s="117" t="str">
        <x:v>Terengganu</x:v>
      </x:c>
      <x:c r="D350" s="117" t="str">
        <x:v>Hulu Terengganu</x:v>
      </x:c>
      <x:c r="E350" s="117" t="str">
        <x:v>Nature</x:v>
      </x:c>
      <x:c r="F350" s="117" t="str">
        <x:v>Unclassified</x:v>
      </x:c>
      <x:c r="G350" s="117" t="str">
        <x:v>Outdoor</x:v>
      </x:c>
      <x:c r="H350" s="117" t="str">
        <x:v>lake; boat trip; fishing; nature; relaxation; adventure</x:v>
      </x:c>
      <x:c r="I350" s="117" t="str">
        <x:v>Malaysia's largest man-made lake, in Hulu Terengganu, surrounded by rainforest and popular for fishing and eco-tourism.</x:v>
      </x:c>
      <x:c r="J350" s="117" t="str">
        <x:v>https://www.google.com/maps/search/?api=1&amp;query=Kenyir%20Lake%2C%20Terengganu%2C%20Malaysia</x:v>
      </x:c>
      <x:c r="K350" s="117" t="str">
        <x:v>https://ebrochures.malaysia.travel/en/malaysia-travel-guide/terengganu/</x:v>
      </x:c>
      <x:c r="L350" s="117" t="str">
        <x:v>Previous workbook candidate/source lead</x:v>
      </x:c>
      <x:c r="M350" s="117" t="str">
        <x:v>Previous workbook seed</x:v>
      </x:c>
      <x:c r="N350" s="117" t="str">
        <x:v>A133</x:v>
      </x:c>
      <x:c r="O350" s="117" t="str">
        <x:v>2026-08-15 00:00:00</x:v>
      </x:c>
      <x:c r="P350" s="117" t="str">
        <x:v>Complete</x:v>
      </x:c>
      <x:c r="Q350" s="117"/>
      <x:c r="R350" s="117" t="str">
        <x:f t="shared" si="5">IF(J350="","Missing Link",IF(AND(ISNUMBER(SEARCH("google.com/maps",J350)),ISERROR(SEARCH(";",J350))),"Discovery Link Only","Source Link Present"))</x:f>
        <x:v>Discovery Link Only</x:v>
      </x:c>
      <x:c r="S350" s="117" t="str">
        <x:v>Unknown</x:v>
      </x:c>
      <x:c r="T350" s="117" t="str">
        <x:v>Unknown</x:v>
      </x:c>
      <x:c r="U350" s="117" t="str">
        <x:v>Unknown</x:v>
      </x:c>
      <x:c r="V350" s="117" t="str">
        <x:v>Unknown</x:v>
      </x:c>
      <x:c r="W350" s="117" t="str">
        <x:v>Unknown</x:v>
      </x:c>
      <x:c r="X350" s="117" t="str">
        <x:v>Unknown</x:v>
      </x:c>
      <x:c r="Y350" s="117" t="str">
        <x:v>Unknown</x:v>
      </x:c>
      <x:c r="Z350" s="117"/>
      <x:c r="AA350" s="117" t="str">
        <x:v>Pending evidence</x:v>
      </x:c>
      <x:c r="AB350" s="117"/>
      <x:c r="AC350" s="117" t="str">
        <x:v>No qualifying accessibility conclusion established from the screened sources. This is unknown, not evidence that the attraction is inaccessible.</x:v>
      </x:c>
      <x:c r="AD350" s="117" t="str">
        <x:v>2026-09-08</x:v>
      </x:c>
      <x:c r="AE350" s="117" t="str">
        <x:v>MC0347</x:v>
      </x:c>
      <x:c r="AF350" s="117" t="str">
        <x:v>Distinct candidate</x:v>
      </x:c>
      <x:c r="AG350" s="117" t="str"/>
      <x:c r="AH350" s="117" t="str">
        <x:v>Name corroborated in source</x:v>
      </x:c>
      <x:c r="AI350" s="117" t="str">
        <x:v>https://ebrochures.malaysia.travel/en/malaysia-travel-guide/terengganu/</x:v>
      </x:c>
      <x:c r="AJ350" s="117" t="str">
        <x:v>Place name or established alias matched in the cited source. This is not confirmation of current opening, all visitor facilities or the full description.</x:v>
      </x:c>
      <x:c r="AK350" s="117" t="str">
        <x:v>Not independently confirmed</x:v>
      </x:c>
      <x:c r="AL350" s="117" t="str">
        <x:v>Screened sources; accessibility unresolved</x:v>
      </x:c>
      <x:c r="AM350" s="117" t="str">
        <x:v>2026-09-08</x:v>
      </x:c>
      <x:c r="AN350" s="117" t="str">
        <x:v>https://thumb.wikimedia.org/wikipedia/commons/thumb/b/b1/Kenyir_Lake_1.JPG/1280px-Kenyir_Lake_1.JPG?utm_source=commons.wikimedia.org&amp;utm_campaign=imageinfo&amp;utm_content=thumbnail</x:v>
      </x:c>
      <x:c r="AO350" s="117" t="str">
        <x:v>https://thumb.wikimedia.org/wikipedia/commons/thumb/d/d1/Kenyir_Lake_2.JPG/1280px-Kenyir_Lake_2.JPG?utm_source=commons.wikimedia.org&amp;utm_campaign=imageinfo&amp;utm_content=thumbnail</x:v>
      </x:c>
      <x:c r="AP350" s="117" t="str">
        <x:v>2 metadata-matched images; visual review pending</x:v>
      </x:c>
      <x:c r="AQ350" s="117"/>
    </x:row>
    <x:row r="351" ht="66" customHeight="1">
      <x:c r="A351" s="117" t="str">
        <x:v>MC0348</x:v>
      </x:c>
      <x:c r="B351" s="117" t="str">
        <x:v>Rantau Abang Turtle Information Centre</x:v>
      </x:c>
      <x:c r="C351" s="117" t="str">
        <x:v>Terengganu</x:v>
      </x:c>
      <x:c r="D351" s="117" t="str">
        <x:v>Dungun</x:v>
      </x:c>
      <x:c r="E351" s="117" t="str">
        <x:v>Wildlife</x:v>
      </x:c>
      <x:c r="F351" s="117" t="str">
        <x:v>Unclassified</x:v>
      </x:c>
      <x:c r="G351" s="117" t="str">
        <x:v>Both</x:v>
      </x:c>
      <x:c r="H351" s="117" t="str">
        <x:v>turtles; conservation; education; wildlife; family</x:v>
      </x:c>
      <x:c r="I351" s="117" t="str">
        <x:v>A conservation and education centre in Dungun, Terengganu, dedicated to sea turtle protection.</x:v>
      </x:c>
      <x:c r="J351" s="117" t="str">
        <x:v>https://www.google.com/maps/search/?api=1&amp;query=Rantau%20Abang%20Turtle%20Information%20Centre%2C%20Terengganu%2C%20Malaysia</x:v>
      </x:c>
      <x:c r="K351" s="117" t="str">
        <x:v>https://ebrochures.malaysia.travel/en/malaysia-travel-guide/terengganu/</x:v>
      </x:c>
      <x:c r="L351" s="117" t="str">
        <x:v>Previous workbook candidate/source lead</x:v>
      </x:c>
      <x:c r="M351" s="117" t="str">
        <x:v>Previous workbook seed</x:v>
      </x:c>
      <x:c r="N351" s="117" t="str">
        <x:v>A134</x:v>
      </x:c>
      <x:c r="O351" s="117" t="str">
        <x:v>2026-08-15 00:00:00</x:v>
      </x:c>
      <x:c r="P351" s="117" t="str">
        <x:v>Complete</x:v>
      </x:c>
      <x:c r="Q351" s="117"/>
      <x:c r="R351" s="117" t="str">
        <x:f t="shared" si="5">IF(J351="","Missing Link",IF(AND(ISNUMBER(SEARCH("google.com/maps",J351)),ISERROR(SEARCH(";",J351))),"Discovery Link Only","Source Link Present"))</x:f>
        <x:v>Discovery Link Only</x:v>
      </x:c>
      <x:c r="S351" s="117" t="str">
        <x:v>Unknown</x:v>
      </x:c>
      <x:c r="T351" s="117" t="str">
        <x:v>Unknown</x:v>
      </x:c>
      <x:c r="U351" s="117" t="str">
        <x:v>Unknown</x:v>
      </x:c>
      <x:c r="V351" s="117" t="str">
        <x:v>Unknown</x:v>
      </x:c>
      <x:c r="W351" s="117" t="str">
        <x:v>Unknown</x:v>
      </x:c>
      <x:c r="X351" s="117" t="str">
        <x:v>Unknown</x:v>
      </x:c>
      <x:c r="Y351" s="117" t="str">
        <x:v>Unknown</x:v>
      </x:c>
      <x:c r="Z351" s="117"/>
      <x:c r="AA351" s="117" t="str">
        <x:v>Pending evidence</x:v>
      </x:c>
      <x:c r="AB351" s="117"/>
      <x:c r="AC351" s="117" t="str">
        <x:v>No qualifying accessibility conclusion established from the screened sources. This is unknown, not evidence that the attraction is inaccessible.</x:v>
      </x:c>
      <x:c r="AD351" s="117" t="str">
        <x:v>2026-09-08</x:v>
      </x:c>
      <x:c r="AE351" s="117" t="str">
        <x:v>MC0348</x:v>
      </x:c>
      <x:c r="AF351" s="117" t="str">
        <x:v>Distinct candidate</x:v>
      </x:c>
      <x:c r="AG351" s="117" t="str"/>
      <x:c r="AH351" s="117" t="str">
        <x:v>Name corroborated in source</x:v>
      </x:c>
      <x:c r="AI351" s="117" t="str">
        <x:v>https://ebrochures.malaysia.travel/en/malaysia-travel-guide/terengganu/</x:v>
      </x:c>
      <x:c r="AJ351" s="117" t="str">
        <x:v>Place name or established alias matched in the cited source. This is not confirmation of current opening, all visitor facilities or the full description.</x:v>
      </x:c>
      <x:c r="AK351" s="117" t="str">
        <x:v>Not independently confirmed</x:v>
      </x:c>
      <x:c r="AL351" s="117" t="str">
        <x:v>Screened sources; accessibility unresolved</x:v>
      </x:c>
      <x:c r="AM351" s="117" t="str">
        <x:v>2026-09-08</x:v>
      </x:c>
      <x:c r="AN351" s="117"/>
      <x:c r="AO351" s="117"/>
      <x:c r="AP351" s="117" t="str">
        <x:v>No usable pair located; image research pending</x:v>
      </x:c>
      <x:c r="AQ351" s="117"/>
    </x:row>
    <x:row r="352" ht="66" customHeight="1">
      <x:c r="A352" s="117" t="str">
        <x:v>MC0349</x:v>
      </x:c>
      <x:c r="B352" s="117" t="str">
        <x:v>Kampung Cina Kuala Terengganu</x:v>
      </x:c>
      <x:c r="C352" s="117" t="str">
        <x:v>Terengganu</x:v>
      </x:c>
      <x:c r="D352" s="117" t="str">
        <x:v>Kuala Terengganu</x:v>
      </x:c>
      <x:c r="E352" s="117" t="str">
        <x:v>Heritage and History</x:v>
      </x:c>
      <x:c r="F352" s="117" t="str">
        <x:v>Local</x:v>
      </x:c>
      <x:c r="G352" s="117" t="str">
        <x:v>Outdoor</x:v>
      </x:c>
      <x:c r="H352" s="117" t="str">
        <x:v>heritage; culture; food; architecture; walking</x:v>
      </x:c>
      <x:c r="I352" s="117" t="str">
        <x:v>Kuala Terengganu's historic Chinatown, known for its riverside shophouses and temples.</x:v>
      </x:c>
      <x:c r="J352" s="117" t="str">
        <x:v>https://www.google.com/maps/search/?api=1&amp;query=Kampung%20Cina%20Kuala%20Terengganu%2C%20Terengganu%2C%20Malaysia</x:v>
      </x:c>
      <x:c r="K352" s="117" t="str">
        <x:v>https://ebrochures.malaysia.travel/en/malaysia-travel-guide/terengganu/</x:v>
      </x:c>
      <x:c r="L352" s="117" t="str">
        <x:v>Previous workbook candidate/source lead</x:v>
      </x:c>
      <x:c r="M352" s="117" t="str">
        <x:v>Previous workbook seed</x:v>
      </x:c>
      <x:c r="N352" s="117" t="str">
        <x:v>A135</x:v>
      </x:c>
      <x:c r="O352" s="117" t="str">
        <x:v>2026-08-15 00:00:00</x:v>
      </x:c>
      <x:c r="P352" s="117" t="str">
        <x:v>Complete</x:v>
      </x:c>
      <x:c r="Q352" s="117"/>
      <x:c r="R352" s="117" t="str">
        <x:f t="shared" si="5">IF(J352="","Missing Link",IF(AND(ISNUMBER(SEARCH("google.com/maps",J352)),ISERROR(SEARCH(";",J352))),"Discovery Link Only","Source Link Present"))</x:f>
        <x:v>Discovery Link Only</x:v>
      </x:c>
      <x:c r="S352" s="117" t="str">
        <x:v>Unknown</x:v>
      </x:c>
      <x:c r="T352" s="117" t="str">
        <x:v>Unknown</x:v>
      </x:c>
      <x:c r="U352" s="117" t="str">
        <x:v>Unknown</x:v>
      </x:c>
      <x:c r="V352" s="117" t="str">
        <x:v>Unknown</x:v>
      </x:c>
      <x:c r="W352" s="117" t="str">
        <x:v>Unknown</x:v>
      </x:c>
      <x:c r="X352" s="117" t="str">
        <x:v>Unknown</x:v>
      </x:c>
      <x:c r="Y352" s="117" t="str">
        <x:v>Unknown</x:v>
      </x:c>
      <x:c r="Z352" s="117"/>
      <x:c r="AA352" s="117" t="str">
        <x:v>Pending evidence</x:v>
      </x:c>
      <x:c r="AB352" s="117"/>
      <x:c r="AC352" s="117" t="str">
        <x:v>No qualifying accessibility conclusion established from the screened sources. This is unknown, not evidence that the attraction is inaccessible.</x:v>
      </x:c>
      <x:c r="AD352" s="117" t="str">
        <x:v>2026-09-08</x:v>
      </x:c>
      <x:c r="AE352" s="117" t="str">
        <x:v>MC0349</x:v>
      </x:c>
      <x:c r="AF352" s="117" t="str">
        <x:v>Distinct candidate</x:v>
      </x:c>
      <x:c r="AG352" s="117" t="str"/>
      <x:c r="AH352" s="117" t="str">
        <x:v>Name corroborated in source</x:v>
      </x:c>
      <x:c r="AI352" s="117" t="str">
        <x:v>https://ebrochures.malaysia.travel/en/malaysia-travel-guide/terengganu/</x:v>
      </x:c>
      <x:c r="AJ352" s="117" t="str">
        <x:v>Place name or established alias matched in the cited source. This is not confirmation of current opening, all visitor facilities or the full description.</x:v>
      </x:c>
      <x:c r="AK352" s="117" t="str">
        <x:v>Not independently confirmed</x:v>
      </x:c>
      <x:c r="AL352" s="117" t="str">
        <x:v>Screened sources; accessibility unresolved</x:v>
      </x:c>
      <x:c r="AM352" s="117" t="str">
        <x:v>2026-09-08</x:v>
      </x:c>
      <x:c r="AN352" s="117" t="str">
        <x:v>https://thumb.wikimedia.org/wikipedia/commons/thumb/9/9c/My_hometown%2C_Kuala_Terengganu.jpg/1280px-My_hometown%2C_Kuala_Terengganu.jpg?utm_source=commons.wikimedia.org&amp;utm_campaign=imageinfo&amp;utm_content=thumbnail</x:v>
      </x:c>
      <x:c r="AO352" s="117"/>
      <x:c r="AP352" s="117" t="str">
        <x:v>1 metadata-matched images; visual review pending</x:v>
      </x:c>
      <x:c r="AQ352" s="117"/>
    </x:row>
    <x:row r="353" ht="66" customHeight="1">
      <x:c r="A353" s="117" t="str">
        <x:v>MC0350</x:v>
      </x:c>
      <x:c r="B353" s="117" t="str">
        <x:v>Pasar Payang</x:v>
      </x:c>
      <x:c r="C353" s="117" t="str">
        <x:v>Terengganu</x:v>
      </x:c>
      <x:c r="D353" s="117" t="str">
        <x:v>Kuala Terengganu</x:v>
      </x:c>
      <x:c r="E353" s="117" t="str">
        <x:v>Shopping</x:v>
      </x:c>
      <x:c r="F353" s="117" t="str">
        <x:v>Popular</x:v>
      </x:c>
      <x:c r="G353" s="117" t="str">
        <x:v>Indoor</x:v>
      </x:c>
      <x:c r="H353" s="117" t="str">
        <x:v>market; batik; local food</x:v>
      </x:c>
      <x:c r="I353" s="117" t="str">
        <x:v>Kuala Terengganu's main market, known for local textiles like batik and songket, plus fresh produce and seafood.</x:v>
      </x:c>
      <x:c r="J353" s="117" t="str">
        <x:v>https://www.google.com/maps/search/?api=1&amp;query=Pasar%20Payang%2C%20Terengganu%2C%20Malaysia</x:v>
      </x:c>
      <x:c r="K353" s="117" t="str">
        <x:v>https://ebrochures.malaysia.travel/en/malaysia-travel-guide/terengganu/</x:v>
      </x:c>
      <x:c r="L353" s="117" t="str">
        <x:v>Tourism Malaysia state guide plus map discovery link</x:v>
      </x:c>
      <x:c r="M353" s="117" t="str">
        <x:v>Terengganu expansion batch</x:v>
      </x:c>
      <x:c r="N353" s="117"/>
      <x:c r="O353" s="117" t="str">
        <x:v>2026-08-15 00:00:00</x:v>
      </x:c>
      <x:c r="P353" s="117" t="str">
        <x:v>Complete</x:v>
      </x:c>
      <x:c r="Q353" s="117"/>
      <x:c r="R353" s="117" t="str">
        <x:f t="shared" si="5">IF(J353="","Missing Link",IF(AND(ISNUMBER(SEARCH("google.com/maps",J353)),ISERROR(SEARCH(";",J353))),"Discovery Link Only","Source Link Present"))</x:f>
        <x:v>Discovery Link Only</x:v>
      </x:c>
      <x:c r="S353" s="117" t="str">
        <x:v>Unknown</x:v>
      </x:c>
      <x:c r="T353" s="117" t="str">
        <x:v>Unknown</x:v>
      </x:c>
      <x:c r="U353" s="117" t="str">
        <x:v>Unknown</x:v>
      </x:c>
      <x:c r="V353" s="117" t="str">
        <x:v>Unknown</x:v>
      </x:c>
      <x:c r="W353" s="117" t="str">
        <x:v>Unknown</x:v>
      </x:c>
      <x:c r="X353" s="117" t="str">
        <x:v>Unknown</x:v>
      </x:c>
      <x:c r="Y353" s="117" t="str">
        <x:v>Unknown</x:v>
      </x:c>
      <x:c r="Z353" s="117"/>
      <x:c r="AA353" s="117" t="str">
        <x:v>Pending evidence</x:v>
      </x:c>
      <x:c r="AB353" s="117"/>
      <x:c r="AC353" s="117" t="str">
        <x:v>No qualifying accessibility conclusion established from the screened sources. This is unknown, not evidence that the attraction is inaccessible.</x:v>
      </x:c>
      <x:c r="AD353" s="117" t="str">
        <x:v>2026-09-08</x:v>
      </x:c>
      <x:c r="AE353" s="117" t="str">
        <x:v>MC0350</x:v>
      </x:c>
      <x:c r="AF353" s="117" t="str">
        <x:v>Distinct candidate</x:v>
      </x:c>
      <x:c r="AG353" s="117" t="str"/>
      <x:c r="AH353" s="117" t="str">
        <x:v>Name corroborated in source</x:v>
      </x:c>
      <x:c r="AI353" s="117" t="str">
        <x:v>https://ebrochures.malaysia.travel/en/malaysia-travel-guide/terengganu/</x:v>
      </x:c>
      <x:c r="AJ353" s="117" t="str">
        <x:v>Place name or established alias matched in the cited source. This is not confirmation of current opening, all visitor facilities or the full description.</x:v>
      </x:c>
      <x:c r="AK353" s="117" t="str">
        <x:v>Not independently confirmed</x:v>
      </x:c>
      <x:c r="AL353" s="117" t="str">
        <x:v>Screened sources; accessibility unresolved</x:v>
      </x:c>
      <x:c r="AM353" s="117" t="str">
        <x:v>2026-09-08</x:v>
      </x:c>
      <x:c r="AN353" s="117"/>
      <x:c r="AO353" s="117"/>
      <x:c r="AP353" s="117" t="str">
        <x:v>No usable pair located; image research pending</x:v>
      </x:c>
      <x:c r="AQ353" s="117"/>
    </x:row>
    <x:row r="354" ht="66" customHeight="1">
      <x:c r="A354" s="117" t="str">
        <x:v>MC0351</x:v>
      </x:c>
      <x:c r="B354" s="117" t="str">
        <x:v>Kampung Cina</x:v>
      </x:c>
      <x:c r="C354" s="117" t="str">
        <x:v>Terengganu</x:v>
      </x:c>
      <x:c r="D354" s="117" t="str">
        <x:v>Kuala Terengganu</x:v>
      </x:c>
      <x:c r="E354" s="117" t="str">
        <x:v>Heritage and History</x:v>
      </x:c>
      <x:c r="F354" s="117" t="str">
        <x:v>Local</x:v>
      </x:c>
      <x:c r="G354" s="117" t="str">
        <x:v>Both</x:v>
      </x:c>
      <x:c r="H354" s="117" t="str">
        <x:v>heritage street; murals; food</x:v>
      </x:c>
      <x:c r="I354" s="117" t="str">
        <x:v>The historic Chinatown quarter of Kuala Terengganu along the waterfront.</x:v>
      </x:c>
      <x:c r="J354" s="117" t="str">
        <x:v>https://www.google.com/maps/search/?api=1&amp;query=Kampung%20Cina%2C%20Terengganu%2C%20Malaysia</x:v>
      </x:c>
      <x:c r="K354" s="117" t="str">
        <x:v>https://ebrochures.malaysia.travel/en/malaysia-travel-guide/terengganu/</x:v>
      </x:c>
      <x:c r="L354" s="117" t="str">
        <x:v>Tourism Malaysia state guide plus map discovery link</x:v>
      </x:c>
      <x:c r="M354" s="117" t="str">
        <x:v>Terengganu expansion batch</x:v>
      </x:c>
      <x:c r="N354" s="117"/>
      <x:c r="O354" s="117" t="str">
        <x:v>2026-08-15 00:00:00</x:v>
      </x:c>
      <x:c r="P354" s="117" t="str">
        <x:v>Complete</x:v>
      </x:c>
      <x:c r="Q354" s="117" t="str">
        <x:v>Duplicate alias: use MC0349</x:v>
      </x:c>
      <x:c r="R354" s="117" t="str">
        <x:f t="shared" si="5">IF(J354="","Missing Link",IF(AND(ISNUMBER(SEARCH("google.com/maps",J354)),ISERROR(SEARCH(";",J354))),"Discovery Link Only","Source Link Present"))</x:f>
        <x:v>Discovery Link Only</x:v>
      </x:c>
      <x:c r="S354" s="117" t="str">
        <x:v>Unknown</x:v>
      </x:c>
      <x:c r="T354" s="117" t="str">
        <x:v>Unknown</x:v>
      </x:c>
      <x:c r="U354" s="117" t="str">
        <x:v>Unknown</x:v>
      </x:c>
      <x:c r="V354" s="117" t="str">
        <x:v>Unknown</x:v>
      </x:c>
      <x:c r="W354" s="117" t="str">
        <x:v>Unknown</x:v>
      </x:c>
      <x:c r="X354" s="117" t="str">
        <x:v>Unknown</x:v>
      </x:c>
      <x:c r="Y354" s="117" t="str">
        <x:v>Unknown</x:v>
      </x:c>
      <x:c r="Z354" s="117"/>
      <x:c r="AA354" s="117" t="str">
        <x:v>Duplicate - use canonical ID</x:v>
      </x:c>
      <x:c r="AB354" s="117"/>
      <x:c r="AC354" s="117" t="str">
        <x:v>No qualifying accessibility conclusion established from the screened sources. This is unknown, not evidence that the attraction is inaccessible.</x:v>
      </x:c>
      <x:c r="AD354" s="117" t="str">
        <x:v>2026-09-08</x:v>
      </x:c>
      <x:c r="AE354" s="117" t="str">
        <x:v>MC0349</x:v>
      </x:c>
      <x:c r="AF354" s="117" t="str">
        <x:v>Duplicate alias</x:v>
      </x:c>
      <x:c r="AG354" s="117" t="str"/>
      <x:c r="AH354" s="117" t="str">
        <x:v>Name corroborated in source</x:v>
      </x:c>
      <x:c r="AI354" s="117" t="str">
        <x:v>https://ebrochures.malaysia.travel/en/malaysia-travel-guide/terengganu/</x:v>
      </x:c>
      <x:c r="AJ354" s="117" t="str">
        <x:v>Place name or established alias matched in the cited source. This is not confirmation of current opening, all visitor facilities or the full description.</x:v>
      </x:c>
      <x:c r="AK354" s="117" t="str">
        <x:v>Not independently confirmed</x:v>
      </x:c>
      <x:c r="AL354" s="117" t="str">
        <x:v>Screened sources; accessibility unresolved</x:v>
      </x:c>
      <x:c r="AM354" s="117" t="str">
        <x:v>2026-09-08</x:v>
      </x:c>
      <x:c r="AN354" s="117" t="str">
        <x:v>https://thumb.wikimedia.org/wikipedia/commons/thumb/9/9c/My_hometown%2C_Kuala_Terengganu.jpg/1280px-My_hometown%2C_Kuala_Terengganu.jpg?utm_source=commons.wikimedia.org&amp;utm_campaign=imageinfo&amp;utm_content=thumbnail</x:v>
      </x:c>
      <x:c r="AO354" s="117"/>
      <x:c r="AP354" s="117" t="str">
        <x:v>1 metadata-matched images; visual review pending</x:v>
      </x:c>
      <x:c r="AQ354" s="117"/>
    </x:row>
    <x:row r="355" ht="66" customHeight="1">
      <x:c r="A355" s="117" t="str">
        <x:v>MC0352</x:v>
      </x:c>
      <x:c r="B355" s="117" t="str">
        <x:v>Pulau Duyong</x:v>
      </x:c>
      <x:c r="C355" s="117" t="str">
        <x:v>Terengganu</x:v>
      </x:c>
      <x:c r="D355" s="117" t="str">
        <x:v>Kuala Terengganu</x:v>
      </x:c>
      <x:c r="E355" s="117" t="str">
        <x:v>Culture</x:v>
      </x:c>
      <x:c r="F355" s="117" t="str">
        <x:v>Local</x:v>
      </x:c>
      <x:c r="G355" s="117" t="str">
        <x:v>Both</x:v>
      </x:c>
      <x:c r="H355" s="117" t="str">
        <x:v>boatbuilding; village; river</x:v>
      </x:c>
      <x:c r="I355" s="117" t="str">
        <x:v>A river island in Kuala Terengganu traditionally known for wooden boat-building craftsmanship.</x:v>
      </x:c>
      <x:c r="J355" s="117" t="str">
        <x:v>https://www.google.com/maps/search/?api=1&amp;query=Pulau%20Duyong%2C%20Terengganu%2C%20Malaysia</x:v>
      </x:c>
      <x:c r="K355" s="117" t="str">
        <x:v>https://ebrochures.malaysia.travel/en/malaysia-travel-guide/terengganu/</x:v>
      </x:c>
      <x:c r="L355" s="117" t="str">
        <x:v>Tourism Malaysia state guide plus map discovery link</x:v>
      </x:c>
      <x:c r="M355" s="117" t="str">
        <x:v>Terengganu expansion batch</x:v>
      </x:c>
      <x:c r="N355" s="117"/>
      <x:c r="O355" s="117" t="str">
        <x:v>2026-08-15 00:00:00</x:v>
      </x:c>
      <x:c r="P355" s="117" t="str">
        <x:v>Complete</x:v>
      </x:c>
      <x:c r="Q355" s="117" t="str">
        <x:v>Identity and Malaysian location verified in second-pass review on 2026-09-08.</x:v>
      </x:c>
      <x:c r="R355" s="117" t="str">
        <x:f t="shared" si="5">IF(J355="","Missing Link",IF(AND(ISNUMBER(SEARCH("google.com/maps",J355)),ISERROR(SEARCH(";",J355))),"Discovery Link Only","Source Link Present"))</x:f>
        <x:v>Discovery Link Only</x:v>
      </x:c>
      <x:c r="S355" s="117" t="str">
        <x:v>Unknown</x:v>
      </x:c>
      <x:c r="T355" s="117" t="str">
        <x:v>Unknown</x:v>
      </x:c>
      <x:c r="U355" s="117" t="str">
        <x:v>Unknown</x:v>
      </x:c>
      <x:c r="V355" s="117" t="str">
        <x:v>Unknown</x:v>
      </x:c>
      <x:c r="W355" s="117" t="str">
        <x:v>Unknown</x:v>
      </x:c>
      <x:c r="X355" s="117" t="str">
        <x:v>Unknown</x:v>
      </x:c>
      <x:c r="Y355" s="117" t="str">
        <x:v>Unknown</x:v>
      </x:c>
      <x:c r="Z355" s="117"/>
      <x:c r="AA355" s="117" t="str">
        <x:v>Pending evidence</x:v>
      </x:c>
      <x:c r="AB355" s="117"/>
      <x:c r="AC355" s="117" t="str">
        <x:v>No qualifying accessibility conclusion established from the screened sources. This is unknown, not evidence that the attraction is inaccessible.</x:v>
      </x:c>
      <x:c r="AD355" s="117" t="str">
        <x:v>2026-09-08</x:v>
      </x:c>
      <x:c r="AE355" s="117" t="str">
        <x:v>MC0352</x:v>
      </x:c>
      <x:c r="AF355" s="117" t="str">
        <x:v>Distinct candidate</x:v>
      </x:c>
      <x:c r="AG355" s="117" t="str"/>
      <x:c r="AH355" s="117" t="str">
        <x:v>Identity and location corroborated</x:v>
      </x:c>
      <x:c r="AI355" s="117" t="str">
        <x:v>https://en.wikipedia.org/wiki/Duyong_Island</x:v>
      </x:c>
      <x:c r="AJ355" s="117" t="str">
        <x:v>Encyclopedic source matches the attraction name or established alias and the stated Malaysian location. This verifies identity/location only; confirm current opening and accessibility separately.</x:v>
      </x:c>
      <x:c r="AK355" s="117" t="str">
        <x:v>Not independently confirmed</x:v>
      </x:c>
      <x:c r="AL355" s="117" t="str">
        <x:v>Screened sources; accessibility unresolved</x:v>
      </x:c>
      <x:c r="AM355" s="117" t="str">
        <x:v>2026-09-08</x:v>
      </x:c>
      <x:c r="AN355" s="117" t="str">
        <x:v>https://upload.wikimedia.org/wikipedia/commons/5/50/Kuala_terengganu_harbour.jpg?utm_source=commons.wikimedia.org&amp;utm_campaign=imageinfo&amp;utm_content=thumbnail_unscaled</x:v>
      </x:c>
      <x:c r="AO355" s="117"/>
      <x:c r="AP355" s="117" t="str">
        <x:v>1 metadata-matched images; visual review pending</x:v>
      </x:c>
      <x:c r="AQ355" s="117"/>
    </x:row>
    <x:row r="356" ht="66" customHeight="1">
      <x:c r="A356" s="117" t="str">
        <x:v>MC0353</x:v>
      </x:c>
      <x:c r="B356" s="117" t="str">
        <x:v>Tengku Tengah Zaharah Mosque</x:v>
      </x:c>
      <x:c r="C356" s="117" t="str">
        <x:v>Terengganu</x:v>
      </x:c>
      <x:c r="D356" s="117" t="str">
        <x:v>Kuala Nerus</x:v>
      </x:c>
      <x:c r="E356" s="117" t="str">
        <x:v>Religious Site</x:v>
      </x:c>
      <x:c r="F356" s="117" t="str">
        <x:v>Popular</x:v>
      </x:c>
      <x:c r="G356" s="117" t="str">
        <x:v>Both</x:v>
      </x:c>
      <x:c r="H356" s="117" t="str">
        <x:v>floating mosque; architecture; lagoon</x:v>
      </x:c>
      <x:c r="I356" s="117" t="str">
        <x:v>A mosque in Kuala Nerus, Terengganu, built to appear as if floating on the Terengganu River lagoon.</x:v>
      </x:c>
      <x:c r="J356" s="117" t="str">
        <x:v>https://www.google.com/maps/search/?api=1&amp;query=Tengku%20Tengah%20Zaharah%20Mosque%2C%20Terengganu%2C%20Malaysia</x:v>
      </x:c>
      <x:c r="K356" s="117" t="str">
        <x:v>https://ebrochures.malaysia.travel/en/malaysia-travel-guide/terengganu/</x:v>
      </x:c>
      <x:c r="L356" s="117" t="str">
        <x:v>Tourism Malaysia state guide plus map discovery link</x:v>
      </x:c>
      <x:c r="M356" s="117" t="str">
        <x:v>Terengganu expansion batch</x:v>
      </x:c>
      <x:c r="N356" s="117"/>
      <x:c r="O356" s="117" t="str">
        <x:v>2026-08-15 00:00:00</x:v>
      </x:c>
      <x:c r="P356" s="117" t="str">
        <x:v>Complete</x:v>
      </x:c>
      <x:c r="Q356" s="117"/>
      <x:c r="R356" s="117" t="str">
        <x:f t="shared" si="5">IF(J356="","Missing Link",IF(AND(ISNUMBER(SEARCH("google.com/maps",J356)),ISERROR(SEARCH(";",J356))),"Discovery Link Only","Source Link Present"))</x:f>
        <x:v>Discovery Link Only</x:v>
      </x:c>
      <x:c r="S356" s="117" t="str">
        <x:v>Unknown</x:v>
      </x:c>
      <x:c r="T356" s="117" t="str">
        <x:v>Unknown</x:v>
      </x:c>
      <x:c r="U356" s="117" t="str">
        <x:v>Unknown</x:v>
      </x:c>
      <x:c r="V356" s="117" t="str">
        <x:v>Unknown</x:v>
      </x:c>
      <x:c r="W356" s="117" t="str">
        <x:v>Unknown</x:v>
      </x:c>
      <x:c r="X356" s="117" t="str">
        <x:v>Unknown</x:v>
      </x:c>
      <x:c r="Y356" s="117" t="str">
        <x:v>Unknown</x:v>
      </x:c>
      <x:c r="Z356" s="117"/>
      <x:c r="AA356" s="117" t="str">
        <x:v>Pending evidence</x:v>
      </x:c>
      <x:c r="AB356" s="117"/>
      <x:c r="AC356" s="117" t="str">
        <x:v>No qualifying accessibility conclusion established from the screened sources. This is unknown, not evidence that the attraction is inaccessible.</x:v>
      </x:c>
      <x:c r="AD356" s="117" t="str">
        <x:v>2026-09-08</x:v>
      </x:c>
      <x:c r="AE356" s="117" t="str">
        <x:v>MC0353</x:v>
      </x:c>
      <x:c r="AF356" s="117" t="str">
        <x:v>Distinct candidate</x:v>
      </x:c>
      <x:c r="AG356" s="117" t="str"/>
      <x:c r="AH356" s="117" t="str">
        <x:v>Name corroborated in source</x:v>
      </x:c>
      <x:c r="AI356" s="117" t="str">
        <x:v>https://ebrochures.malaysia.travel/en/malaysia-travel-guide/terengganu/</x:v>
      </x:c>
      <x:c r="AJ356" s="117" t="str">
        <x:v>Place name or established alias matched in the cited source. This is not confirmation of current opening, all visitor facilities or the full description.</x:v>
      </x:c>
      <x:c r="AK356" s="117" t="str">
        <x:v>Not independently confirmed</x:v>
      </x:c>
      <x:c r="AL356" s="117" t="str">
        <x:v>Screened sources; accessibility unresolved</x:v>
      </x:c>
      <x:c r="AM356" s="117" t="str">
        <x:v>2026-09-08</x:v>
      </x:c>
      <x:c r="AN356" s="117" t="str">
        <x:v>https://upload.wikimedia.org/wikipedia/commons/3/3f/Floating_Mosque.jpg?utm_source=commons.wikimedia.org&amp;utm_campaign=imageinfo&amp;utm_content=thumbnail_unscaled</x:v>
      </x:c>
      <x:c r="AO356" s="117" t="str">
        <x:v>https://thumb.wikimedia.org/wikipedia/commons/thumb/b/bd/Tengku_Tengah_Zaharah_Mosque_by_Fairus_Khafiz_Photo.jpg/1280px-Tengku_Tengah_Zaharah_Mosque_by_Fairus_Khafiz_Photo.jpg?utm_source=commons.wikimedia.org&amp;utm_campaign=imageinfo&amp;utm_content=thumbnail</x:v>
      </x:c>
      <x:c r="AP356" s="117" t="str">
        <x:v>2 metadata-matched images; visual review pending</x:v>
      </x:c>
      <x:c r="AQ356" s="117"/>
    </x:row>
    <x:row r="357" ht="66" customHeight="1">
      <x:c r="A357" s="117" t="str">
        <x:v>MC0354</x:v>
      </x:c>
      <x:c r="B357" s="117" t="str">
        <x:v>Setiu Wetlands</x:v>
      </x:c>
      <x:c r="C357" s="117" t="str">
        <x:v>Terengganu</x:v>
      </x:c>
      <x:c r="D357" s="117" t="str">
        <x:v>Setiu</x:v>
      </x:c>
      <x:c r="E357" s="117" t="str">
        <x:v>Nature</x:v>
      </x:c>
      <x:c r="F357" s="117" t="str">
        <x:v>Underrated</x:v>
      </x:c>
      <x:c r="G357" s="117" t="str">
        <x:v>Outdoor</x:v>
      </x:c>
      <x:c r="H357" s="117" t="str">
        <x:v>wetland; mangrove; wildlife</x:v>
      </x:c>
      <x:c r="I357" s="117" t="str">
        <x:v>An ecologically rich wetland area in Setiu district, Terengganu, known for its diverse birdlife and lagoon system.</x:v>
      </x:c>
      <x:c r="J357" s="117" t="str">
        <x:v>https://www.google.com/maps/search/?api=1&amp;query=Setiu%20Wetlands%2C%20Terengganu%2C%20Malaysia</x:v>
      </x:c>
      <x:c r="K357" s="117" t="str">
        <x:v>https://ebrochures.malaysia.travel/en/malaysia-travel-guide/terengganu/</x:v>
      </x:c>
      <x:c r="L357" s="117" t="str">
        <x:v>Tourism Malaysia state guide plus map discovery link</x:v>
      </x:c>
      <x:c r="M357" s="117" t="str">
        <x:v>Terengganu expansion batch</x:v>
      </x:c>
      <x:c r="N357" s="117"/>
      <x:c r="O357" s="117" t="str">
        <x:v>2026-08-15 00:00:00</x:v>
      </x:c>
      <x:c r="P357" s="117" t="str">
        <x:v>Complete</x:v>
      </x:c>
      <x:c r="Q357" s="117"/>
      <x:c r="R357" s="117" t="str">
        <x:f t="shared" si="5">IF(J357="","Missing Link",IF(AND(ISNUMBER(SEARCH("google.com/maps",J357)),ISERROR(SEARCH(";",J357))),"Discovery Link Only","Source Link Present"))</x:f>
        <x:v>Discovery Link Only</x:v>
      </x:c>
      <x:c r="S357" s="117" t="str">
        <x:v>Unknown</x:v>
      </x:c>
      <x:c r="T357" s="117" t="str">
        <x:v>Unknown</x:v>
      </x:c>
      <x:c r="U357" s="117" t="str">
        <x:v>Unknown</x:v>
      </x:c>
      <x:c r="V357" s="117" t="str">
        <x:v>Unknown</x:v>
      </x:c>
      <x:c r="W357" s="117" t="str">
        <x:v>Unknown</x:v>
      </x:c>
      <x:c r="X357" s="117" t="str">
        <x:v>Unknown</x:v>
      </x:c>
      <x:c r="Y357" s="117" t="str">
        <x:v>Unknown</x:v>
      </x:c>
      <x:c r="Z357" s="117"/>
      <x:c r="AA357" s="117" t="str">
        <x:v>Pending evidence</x:v>
      </x:c>
      <x:c r="AB357" s="117"/>
      <x:c r="AC357" s="117" t="str">
        <x:v>No qualifying accessibility conclusion established from the screened sources. This is unknown, not evidence that the attraction is inaccessible.</x:v>
      </x:c>
      <x:c r="AD357" s="117" t="str">
        <x:v>2026-09-08</x:v>
      </x:c>
      <x:c r="AE357" s="117" t="str">
        <x:v>MC0354</x:v>
      </x:c>
      <x:c r="AF357" s="117" t="str">
        <x:v>Distinct candidate</x:v>
      </x:c>
      <x:c r="AG357" s="117" t="str"/>
      <x:c r="AH357" s="117" t="str">
        <x:v>Name corroborated in source</x:v>
      </x:c>
      <x:c r="AI357" s="117" t="str">
        <x:v>https://ebrochures.malaysia.travel/en/malaysia-travel-guide/terengganu/</x:v>
      </x:c>
      <x:c r="AJ357" s="117" t="str">
        <x:v>Place name or established alias matched in the cited source. This is not confirmation of current opening, all visitor facilities or the full description.</x:v>
      </x:c>
      <x:c r="AK357" s="117" t="str">
        <x:v>Not independently confirmed</x:v>
      </x:c>
      <x:c r="AL357" s="117" t="str">
        <x:v>Screened sources; accessibility unresolved</x:v>
      </x:c>
      <x:c r="AM357" s="117" t="str">
        <x:v>2026-09-08</x:v>
      </x:c>
      <x:c r="AN357" s="117" t="str">
        <x:v>https://thumb.wikimedia.org/wikipedia/commons/thumb/6/6c/The_boardwalk_of_Setiu_Wetlands_State_Park.jpg/1280px-The_boardwalk_of_Setiu_Wetlands_State_Park.jpg?utm_source=commons.wikimedia.org&amp;utm_campaign=imageinfo&amp;utm_content=thumbnail</x:v>
      </x:c>
      <x:c r="AO357" s="117" t="str">
        <x:v>https://thumb.wikimedia.org/wikipedia/commons/thumb/f/fd/Panorama_of_Setiu_Wetlands_State_Park.jpg/1280px-Panorama_of_Setiu_Wetlands_State_Park.jpg?utm_source=commons.wikimedia.org&amp;utm_campaign=imageinfo&amp;utm_content=thumbnail</x:v>
      </x:c>
      <x:c r="AP357" s="117" t="str">
        <x:v>2 metadata-matched images; visual review pending</x:v>
      </x:c>
      <x:c r="AQ357" s="117"/>
    </x:row>
    <x:row r="358" ht="66" customHeight="1">
      <x:c r="A358" s="117" t="str">
        <x:v>MC0355</x:v>
      </x:c>
      <x:c r="B358" s="117" t="str">
        <x:v>Penarik Beach</x:v>
      </x:c>
      <x:c r="C358" s="117" t="str">
        <x:v>Terengganu</x:v>
      </x:c>
      <x:c r="D358" s="117" t="str">
        <x:v>Setiu</x:v>
      </x:c>
      <x:c r="E358" s="117" t="str">
        <x:v>Beach and Island</x:v>
      </x:c>
      <x:c r="F358" s="117" t="str">
        <x:v>Local</x:v>
      </x:c>
      <x:c r="G358" s="117" t="str">
        <x:v>Outdoor</x:v>
      </x:c>
      <x:c r="H358" s="117" t="str">
        <x:v>beach; fishing village; seafood</x:v>
      </x:c>
      <x:c r="I358" s="117" t="str">
        <x:v>A quiet beach in Setiu district, Terengganu, known for its casuarina trees.</x:v>
      </x:c>
      <x:c r="J358" s="117" t="str">
        <x:v>https://www.google.com/maps/search/?api=1&amp;query=Penarik%20Beach%2C%20Terengganu%2C%20Malaysia</x:v>
      </x:c>
      <x:c r="K358" s="117" t="str">
        <x:v>https://ebrochures.malaysia.travel/en/malaysia-travel-guide/terengganu/</x:v>
      </x:c>
      <x:c r="L358" s="117" t="str">
        <x:v>Tourism Malaysia state guide plus map discovery link</x:v>
      </x:c>
      <x:c r="M358" s="117" t="str">
        <x:v>Terengganu expansion batch</x:v>
      </x:c>
      <x:c r="N358" s="117"/>
      <x:c r="O358" s="117" t="str">
        <x:v>2026-08-15 00:00:00</x:v>
      </x:c>
      <x:c r="P358" s="117" t="str">
        <x:v>Complete</x:v>
      </x:c>
      <x:c r="Q358" s="117"/>
      <x:c r="R358" s="117" t="str">
        <x:f t="shared" si="5">IF(J358="","Missing Link",IF(AND(ISNUMBER(SEARCH("google.com/maps",J358)),ISERROR(SEARCH(";",J358))),"Discovery Link Only","Source Link Present"))</x:f>
        <x:v>Discovery Link Only</x:v>
      </x:c>
      <x:c r="S358" s="117" t="str">
        <x:v>Unknown</x:v>
      </x:c>
      <x:c r="T358" s="117" t="str">
        <x:v>Unknown</x:v>
      </x:c>
      <x:c r="U358" s="117" t="str">
        <x:v>Unknown</x:v>
      </x:c>
      <x:c r="V358" s="117" t="str">
        <x:v>Unknown</x:v>
      </x:c>
      <x:c r="W358" s="117" t="str">
        <x:v>Unknown</x:v>
      </x:c>
      <x:c r="X358" s="117" t="str">
        <x:v>Unknown</x:v>
      </x:c>
      <x:c r="Y358" s="117" t="str">
        <x:v>Unknown</x:v>
      </x:c>
      <x:c r="Z358" s="117"/>
      <x:c r="AA358" s="117" t="str">
        <x:v>Pending evidence</x:v>
      </x:c>
      <x:c r="AB358" s="117"/>
      <x:c r="AC358" s="117" t="str">
        <x:v>No qualifying accessibility conclusion established from the screened sources. This is unknown, not evidence that the attraction is inaccessible.</x:v>
      </x:c>
      <x:c r="AD358" s="117" t="str">
        <x:v>2026-09-08</x:v>
      </x:c>
      <x:c r="AE358" s="117" t="str">
        <x:v>MC0355</x:v>
      </x:c>
      <x:c r="AF358" s="117" t="str">
        <x:v>Distinct candidate</x:v>
      </x:c>
      <x:c r="AG358" s="117" t="str"/>
      <x:c r="AH358" s="117" t="str">
        <x:v>Name corroborated in source</x:v>
      </x:c>
      <x:c r="AI358" s="117" t="str">
        <x:v>https://ebrochures.malaysia.travel/en/malaysia-travel-guide/terengganu/</x:v>
      </x:c>
      <x:c r="AJ358" s="117" t="str">
        <x:v>Place name or established alias matched in the cited source. This is not confirmation of current opening, all visitor facilities or the full description.</x:v>
      </x:c>
      <x:c r="AK358" s="117" t="str">
        <x:v>Not independently confirmed</x:v>
      </x:c>
      <x:c r="AL358" s="117" t="str">
        <x:v>Screened sources; accessibility unresolved</x:v>
      </x:c>
      <x:c r="AM358" s="117" t="str">
        <x:v>2026-09-08</x:v>
      </x:c>
      <x:c r="AN358" s="117"/>
      <x:c r="AO358" s="117"/>
      <x:c r="AP358" s="117" t="str">
        <x:v>No usable pair located; image research pending</x:v>
      </x:c>
      <x:c r="AQ358" s="117"/>
    </x:row>
    <x:row r="359" ht="66" customHeight="1">
      <x:c r="A359" s="117" t="str">
        <x:v>MC0356</x:v>
      </x:c>
      <x:c r="B359" s="117" t="str">
        <x:v>Lang Tengah Island</x:v>
      </x:c>
      <x:c r="C359" s="117" t="str">
        <x:v>Terengganu</x:v>
      </x:c>
      <x:c r="D359" s="117" t="str">
        <x:v>Setiu</x:v>
      </x:c>
      <x:c r="E359" s="117" t="str">
        <x:v>Beach and Island</x:v>
      </x:c>
      <x:c r="F359" s="117" t="str">
        <x:v>Popular</x:v>
      </x:c>
      <x:c r="G359" s="117" t="str">
        <x:v>Outdoor</x:v>
      </x:c>
      <x:c r="H359" s="117" t="str">
        <x:v>island; diving; beach</x:v>
      </x:c>
      <x:c r="I359" s="117" t="str">
        <x:v>A small island off Setiu district, Terengganu, known for pristine reefs and boutique island resorts.</x:v>
      </x:c>
      <x:c r="J359" s="117" t="str">
        <x:v>https://www.google.com/maps/search/?api=1&amp;query=Lang%20Tengah%20Island%2C%20Terengganu%2C%20Malaysia</x:v>
      </x:c>
      <x:c r="K359" s="117" t="str">
        <x:v>https://ebrochures.malaysia.travel/en/malaysia-travel-guide/terengganu/</x:v>
      </x:c>
      <x:c r="L359" s="117" t="str">
        <x:v>Tourism Malaysia state guide plus map discovery link</x:v>
      </x:c>
      <x:c r="M359" s="117" t="str">
        <x:v>Terengganu expansion batch</x:v>
      </x:c>
      <x:c r="N359" s="117"/>
      <x:c r="O359" s="117" t="str">
        <x:v>2026-08-15 00:00:00</x:v>
      </x:c>
      <x:c r="P359" s="117" t="str">
        <x:v>Complete</x:v>
      </x:c>
      <x:c r="Q359" s="117"/>
      <x:c r="R359" s="117" t="str">
        <x:f t="shared" si="5">IF(J359="","Missing Link",IF(AND(ISNUMBER(SEARCH("google.com/maps",J359)),ISERROR(SEARCH(";",J359))),"Discovery Link Only","Source Link Present"))</x:f>
        <x:v>Discovery Link Only</x:v>
      </x:c>
      <x:c r="S359" s="117" t="str">
        <x:v>Unknown</x:v>
      </x:c>
      <x:c r="T359" s="117" t="str">
        <x:v>Unknown</x:v>
      </x:c>
      <x:c r="U359" s="117" t="str">
        <x:v>Unknown</x:v>
      </x:c>
      <x:c r="V359" s="117" t="str">
        <x:v>Unknown</x:v>
      </x:c>
      <x:c r="W359" s="117" t="str">
        <x:v>Unknown</x:v>
      </x:c>
      <x:c r="X359" s="117" t="str">
        <x:v>Unknown</x:v>
      </x:c>
      <x:c r="Y359" s="117" t="str">
        <x:v>Unknown</x:v>
      </x:c>
      <x:c r="Z359" s="117"/>
      <x:c r="AA359" s="117" t="str">
        <x:v>Pending evidence</x:v>
      </x:c>
      <x:c r="AB359" s="117"/>
      <x:c r="AC359" s="117" t="str">
        <x:v>No qualifying accessibility conclusion established from the screened sources. This is unknown, not evidence that the attraction is inaccessible.</x:v>
      </x:c>
      <x:c r="AD359" s="117" t="str">
        <x:v>2026-09-08</x:v>
      </x:c>
      <x:c r="AE359" s="117" t="str">
        <x:v>MC0356</x:v>
      </x:c>
      <x:c r="AF359" s="117" t="str">
        <x:v>Distinct candidate</x:v>
      </x:c>
      <x:c r="AG359" s="117" t="str"/>
      <x:c r="AH359" s="117" t="str">
        <x:v>Name corroborated in source</x:v>
      </x:c>
      <x:c r="AI359" s="117" t="str">
        <x:v>https://ebrochures.malaysia.travel/en/malaysia-travel-guide/terengganu/</x:v>
      </x:c>
      <x:c r="AJ359" s="117" t="str">
        <x:v>Place name or established alias matched in the cited source. This is not confirmation of current opening, all visitor facilities or the full description.</x:v>
      </x:c>
      <x:c r="AK359" s="117" t="str">
        <x:v>Not independently confirmed</x:v>
      </x:c>
      <x:c r="AL359" s="117" t="str">
        <x:v>Screened sources; accessibility unresolved</x:v>
      </x:c>
      <x:c r="AM359" s="117" t="str">
        <x:v>2026-09-08</x:v>
      </x:c>
      <x:c r="AN359" s="117" t="str">
        <x:v>https://upload.wikimedia.org/wikipedia/commons/e/e1/Lang_Tengah_-_panoramio.jpg?utm_source=commons.wikimedia.org&amp;utm_campaign=imageinfo&amp;utm_content=thumbnail_unscaled</x:v>
      </x:c>
      <x:c r="AO359" s="117" t="str">
        <x:v>https://thumb.wikimedia.org/wikipedia/commons/thumb/e/ec/Lang_Tengah_Island_-_Beach_with_palm.jpg/1280px-Lang_Tengah_Island_-_Beach_with_palm.jpg?utm_source=commons.wikimedia.org&amp;utm_campaign=imageinfo&amp;utm_content=thumbnail</x:v>
      </x:c>
      <x:c r="AP359" s="117" t="str">
        <x:v>2 metadata-matched images; visual review pending</x:v>
      </x:c>
      <x:c r="AQ359" s="117"/>
    </x:row>
    <x:row r="360" ht="66" customHeight="1">
      <x:c r="A360" s="117" t="str">
        <x:v>MC0357</x:v>
      </x:c>
      <x:c r="B360" s="117" t="str">
        <x:v>Perhentian Besar Island</x:v>
      </x:c>
      <x:c r="C360" s="117" t="str">
        <x:v>Terengganu</x:v>
      </x:c>
      <x:c r="D360" s="117" t="str">
        <x:v>Besut</x:v>
      </x:c>
      <x:c r="E360" s="117" t="str">
        <x:v>Beach and Island</x:v>
      </x:c>
      <x:c r="F360" s="117" t="str">
        <x:v>Popular</x:v>
      </x:c>
      <x:c r="G360" s="117" t="str">
        <x:v>Outdoor</x:v>
      </x:c>
      <x:c r="H360" s="117" t="str">
        <x:v>island; snorkelling; beach</x:v>
      </x:c>
      <x:c r="I360" s="117" t="str">
        <x:v>The larger of the two Perhentian Islands, known for family-friendly beaches and resorts.</x:v>
      </x:c>
      <x:c r="J360" s="117" t="str">
        <x:v>https://www.google.com/maps/search/?api=1&amp;query=Perhentian%20Besar%20Island%2C%20Terengganu%2C%20Malaysia</x:v>
      </x:c>
      <x:c r="K360" s="117" t="str">
        <x:v>https://ebrochures.malaysia.travel/en/malaysia-travel-guide/terengganu/</x:v>
      </x:c>
      <x:c r="L360" s="117" t="str">
        <x:v>Tourism Malaysia state guide plus map discovery link</x:v>
      </x:c>
      <x:c r="M360" s="117" t="str">
        <x:v>Terengganu expansion batch</x:v>
      </x:c>
      <x:c r="N360" s="117"/>
      <x:c r="O360" s="117" t="str">
        <x:v>2026-08-15 00:00:00</x:v>
      </x:c>
      <x:c r="P360" s="117" t="str">
        <x:v>Complete</x:v>
      </x:c>
      <x:c r="Q360" s="117" t="str">
        <x:v>Identity and Malaysian location verified in second-pass review on 2026-09-08.</x:v>
      </x:c>
      <x:c r="R360" s="117" t="str">
        <x:f t="shared" si="5">IF(J360="","Missing Link",IF(AND(ISNUMBER(SEARCH("google.com/maps",J360)),ISERROR(SEARCH(";",J360))),"Discovery Link Only","Source Link Present"))</x:f>
        <x:v>Discovery Link Only</x:v>
      </x:c>
      <x:c r="S360" s="117" t="str">
        <x:v>Unknown</x:v>
      </x:c>
      <x:c r="T360" s="117" t="str">
        <x:v>Unknown</x:v>
      </x:c>
      <x:c r="U360" s="117" t="str">
        <x:v>Unknown</x:v>
      </x:c>
      <x:c r="V360" s="117" t="str">
        <x:v>Unknown</x:v>
      </x:c>
      <x:c r="W360" s="117" t="str">
        <x:v>Unknown</x:v>
      </x:c>
      <x:c r="X360" s="117" t="str">
        <x:v>Unknown</x:v>
      </x:c>
      <x:c r="Y360" s="117" t="str">
        <x:v>Unknown</x:v>
      </x:c>
      <x:c r="Z360" s="117"/>
      <x:c r="AA360" s="117" t="str">
        <x:v>Pending evidence</x:v>
      </x:c>
      <x:c r="AB360" s="117"/>
      <x:c r="AC360" s="117" t="str">
        <x:v>No qualifying accessibility conclusion established from the screened sources. This is unknown, not evidence that the attraction is inaccessible.</x:v>
      </x:c>
      <x:c r="AD360" s="117" t="str">
        <x:v>2026-09-08</x:v>
      </x:c>
      <x:c r="AE360" s="117" t="str">
        <x:v>MC0357</x:v>
      </x:c>
      <x:c r="AF360" s="117" t="str">
        <x:v>Related site or component</x:v>
      </x:c>
      <x:c r="AG360" s="117" t="str">
        <x:v>MC0343</x:v>
      </x:c>
      <x:c r="AH360" s="117" t="str">
        <x:v>Identity and location corroborated</x:v>
      </x:c>
      <x:c r="AI360" s="117" t="str">
        <x:v>https://www.openstreetmap.org/relation/3405486</x:v>
      </x:c>
      <x:c r="AJ360" s="117" t="str">
        <x:v>Mapped source matches the attraction name or established alias and the stated Malaysian location. This verifies identity/location only; confirm current opening and accessibility separately.</x:v>
      </x:c>
      <x:c r="AK360" s="117" t="str">
        <x:v>Not independently confirmed</x:v>
      </x:c>
      <x:c r="AL360" s="117" t="str">
        <x:v>Screened sources; accessibility unresolved</x:v>
      </x:c>
      <x:c r="AM360" s="117" t="str">
        <x:v>2026-09-08</x:v>
      </x:c>
      <x:c r="AN360" s="117" t="str">
        <x:v>https://thumb.wikimedia.org/wikipedia/commons/thumb/8/8c/Perhentian_Besar%2C_Malaysia%2C_Sunset_afterglow.jpg/1280px-Perhentian_Besar%2C_Malaysia%2C_Sunset_afterglow.jpg?utm_source=commons.wikimedia.org&amp;utm_campaign=imageinfo&amp;utm_content=thumbnail</x:v>
      </x:c>
      <x:c r="AO360" s="117" t="str">
        <x:v>https://thumb.wikimedia.org/wikipedia/commons/thumb/0/01/Perhentian_Islands%2C_Malaysia%2C_Trees_on_the_beach.jpg/1280px-Perhentian_Islands%2C_Malaysia%2C_Trees_on_the_beach.jpg?utm_source=commons.wikimedia.org&amp;utm_campaign=imageinfo&amp;utm_content=thumbnail</x:v>
      </x:c>
      <x:c r="AP360" s="117" t="str">
        <x:v>2 metadata-matched images; visual review pending</x:v>
      </x:c>
      <x:c r="AQ360" s="117"/>
    </x:row>
    <x:row r="361" ht="66" customHeight="1">
      <x:c r="A361" s="117" t="str">
        <x:v>MC0358</x:v>
      </x:c>
      <x:c r="B361" s="117" t="str">
        <x:v>Perhentian Kecil Island</x:v>
      </x:c>
      <x:c r="C361" s="117" t="str">
        <x:v>Terengganu</x:v>
      </x:c>
      <x:c r="D361" s="117" t="str">
        <x:v>Besut</x:v>
      </x:c>
      <x:c r="E361" s="117" t="str">
        <x:v>Beach and Island</x:v>
      </x:c>
      <x:c r="F361" s="117" t="str">
        <x:v>Popular</x:v>
      </x:c>
      <x:c r="G361" s="117" t="str">
        <x:v>Outdoor</x:v>
      </x:c>
      <x:c r="H361" s="117" t="str">
        <x:v>island; diving; village</x:v>
      </x:c>
      <x:c r="I361" s="117" t="str">
        <x:v>The smaller Perhentian Island, popular with backpackers for its budget accommodation and nightlife.</x:v>
      </x:c>
      <x:c r="J361" s="117" t="str">
        <x:v>https://www.google.com/maps/search/?api=1&amp;query=Perhentian%20Kecil%20Island%2C%20Terengganu%2C%20Malaysia</x:v>
      </x:c>
      <x:c r="K361" s="117" t="str">
        <x:v>https://ebrochures.malaysia.travel/en/malaysia-travel-guide/terengganu/</x:v>
      </x:c>
      <x:c r="L361" s="117" t="str">
        <x:v>Tourism Malaysia state guide plus map discovery link</x:v>
      </x:c>
      <x:c r="M361" s="117" t="str">
        <x:v>Terengganu expansion batch</x:v>
      </x:c>
      <x:c r="N361" s="117"/>
      <x:c r="O361" s="117" t="str">
        <x:v>2026-08-15 00:00:00</x:v>
      </x:c>
      <x:c r="P361" s="117" t="str">
        <x:v>Complete</x:v>
      </x:c>
      <x:c r="Q361" s="117" t="str">
        <x:v>Identity and Malaysian location verified in second-pass review on 2026-09-08.</x:v>
      </x:c>
      <x:c r="R361" s="117" t="str">
        <x:f t="shared" si="5">IF(J361="","Missing Link",IF(AND(ISNUMBER(SEARCH("google.com/maps",J361)),ISERROR(SEARCH(";",J361))),"Discovery Link Only","Source Link Present"))</x:f>
        <x:v>Discovery Link Only</x:v>
      </x:c>
      <x:c r="S361" s="117" t="str">
        <x:v>Unknown</x:v>
      </x:c>
      <x:c r="T361" s="117" t="str">
        <x:v>Unknown</x:v>
      </x:c>
      <x:c r="U361" s="117" t="str">
        <x:v>Unknown</x:v>
      </x:c>
      <x:c r="V361" s="117" t="str">
        <x:v>Unknown</x:v>
      </x:c>
      <x:c r="W361" s="117" t="str">
        <x:v>Unknown</x:v>
      </x:c>
      <x:c r="X361" s="117" t="str">
        <x:v>Unknown</x:v>
      </x:c>
      <x:c r="Y361" s="117" t="str">
        <x:v>Unknown</x:v>
      </x:c>
      <x:c r="Z361" s="117"/>
      <x:c r="AA361" s="117" t="str">
        <x:v>Pending evidence</x:v>
      </x:c>
      <x:c r="AB361" s="117"/>
      <x:c r="AC361" s="117" t="str">
        <x:v>No qualifying accessibility conclusion established from the screened sources. This is unknown, not evidence that the attraction is inaccessible.</x:v>
      </x:c>
      <x:c r="AD361" s="117" t="str">
        <x:v>2026-09-08</x:v>
      </x:c>
      <x:c r="AE361" s="117" t="str">
        <x:v>MC0358</x:v>
      </x:c>
      <x:c r="AF361" s="117" t="str">
        <x:v>Related site or component</x:v>
      </x:c>
      <x:c r="AG361" s="117" t="str">
        <x:v>MC0343</x:v>
      </x:c>
      <x:c r="AH361" s="117" t="str">
        <x:v>Identity and location corroborated</x:v>
      </x:c>
      <x:c r="AI361" s="117" t="str">
        <x:v>https://www.openstreetmap.org/relation/3405487</x:v>
      </x:c>
      <x:c r="AJ361" s="117" t="str">
        <x:v>Mapped source matches the attraction name or established alias and the stated Malaysian location. This verifies identity/location only; confirm current opening and accessibility separately.</x:v>
      </x:c>
      <x:c r="AK361" s="117" t="str">
        <x:v>Not independently confirmed</x:v>
      </x:c>
      <x:c r="AL361" s="117" t="str">
        <x:v>Screened sources; accessibility unresolved</x:v>
      </x:c>
      <x:c r="AM361" s="117" t="str">
        <x:v>2026-09-08</x:v>
      </x:c>
      <x:c r="AN361" s="117"/>
      <x:c r="AO361" s="117"/>
      <x:c r="AP361" s="117" t="str">
        <x:v>No usable pair located; image research pending</x:v>
      </x:c>
      <x:c r="AQ361" s="117"/>
    </x:row>
    <x:row r="362" ht="66" customHeight="1">
      <x:c r="A362" s="117" t="str">
        <x:v>MC0359</x:v>
      </x:c>
      <x:c r="B362" s="117" t="str">
        <x:v>Lata Tembakah Waterfall</x:v>
      </x:c>
      <x:c r="C362" s="117" t="str">
        <x:v>Terengganu</x:v>
      </x:c>
      <x:c r="D362" s="117" t="str">
        <x:v>Besut</x:v>
      </x:c>
      <x:c r="E362" s="117" t="str">
        <x:v>Nature</x:v>
      </x:c>
      <x:c r="F362" s="117" t="str">
        <x:v>Local</x:v>
      </x:c>
      <x:c r="G362" s="117" t="str">
        <x:v>Outdoor</x:v>
      </x:c>
      <x:c r="H362" s="117" t="str">
        <x:v>waterfall; forest; picnic</x:v>
      </x:c>
      <x:c r="I362" s="117" t="str">
        <x:v>A waterfall recreational spot in Besut district, Terengganu.</x:v>
      </x:c>
      <x:c r="J362" s="117" t="str">
        <x:v>https://www.google.com/maps/search/?api=1&amp;query=Lata%20Tembakah%20Waterfall%2C%20Terengganu%2C%20Malaysia</x:v>
      </x:c>
      <x:c r="K362" s="117" t="str">
        <x:v>https://ebrochures.malaysia.travel/en/malaysia-travel-guide/terengganu/</x:v>
      </x:c>
      <x:c r="L362" s="117" t="str">
        <x:v>Tourism Malaysia state guide plus map discovery link</x:v>
      </x:c>
      <x:c r="M362" s="117" t="str">
        <x:v>Terengganu expansion batch</x:v>
      </x:c>
      <x:c r="N362" s="117"/>
      <x:c r="O362" s="117" t="str">
        <x:v>2026-08-15 00:00:00</x:v>
      </x:c>
      <x:c r="P362" s="117" t="str">
        <x:v>Complete</x:v>
      </x:c>
      <x:c r="Q362" s="117" t="str">
        <x:v>Identity and Malaysian location verified in second-pass review on 2026-09-08.</x:v>
      </x:c>
      <x:c r="R362" s="117" t="str">
        <x:f t="shared" si="5">IF(J362="","Missing Link",IF(AND(ISNUMBER(SEARCH("google.com/maps",J362)),ISERROR(SEARCH(";",J362))),"Discovery Link Only","Source Link Present"))</x:f>
        <x:v>Discovery Link Only</x:v>
      </x:c>
      <x:c r="S362" s="117" t="str">
        <x:v>Unknown</x:v>
      </x:c>
      <x:c r="T362" s="117" t="str">
        <x:v>Unknown</x:v>
      </x:c>
      <x:c r="U362" s="117" t="str">
        <x:v>Unknown</x:v>
      </x:c>
      <x:c r="V362" s="117" t="str">
        <x:v>Unknown</x:v>
      </x:c>
      <x:c r="W362" s="117" t="str">
        <x:v>Unknown</x:v>
      </x:c>
      <x:c r="X362" s="117" t="str">
        <x:v>Unknown</x:v>
      </x:c>
      <x:c r="Y362" s="117" t="str">
        <x:v>Unknown</x:v>
      </x:c>
      <x:c r="Z362" s="117"/>
      <x:c r="AA362" s="117" t="str">
        <x:v>Pending evidence</x:v>
      </x:c>
      <x:c r="AB362" s="117"/>
      <x:c r="AC362" s="117" t="str">
        <x:v>No qualifying accessibility conclusion established from the screened sources. This is unknown, not evidence that the attraction is inaccessible.</x:v>
      </x:c>
      <x:c r="AD362" s="117" t="str">
        <x:v>2026-09-08</x:v>
      </x:c>
      <x:c r="AE362" s="117" t="str">
        <x:v>MC0359</x:v>
      </x:c>
      <x:c r="AF362" s="117" t="str">
        <x:v>Distinct candidate</x:v>
      </x:c>
      <x:c r="AG362" s="117" t="str"/>
      <x:c r="AH362" s="117" t="str">
        <x:v>Identity and location corroborated</x:v>
      </x:c>
      <x:c r="AI362" s="117" t="str">
        <x:v>https://www.openstreetmap.org/node/2737937523</x:v>
      </x:c>
      <x:c r="AJ362" s="117" t="str">
        <x:v>Mapped source matches the attraction name or established alias and the stated Malaysian location. This verifies identity/location only; confirm current opening and accessibility separately.</x:v>
      </x:c>
      <x:c r="AK362" s="117" t="str">
        <x:v>Not independently confirmed</x:v>
      </x:c>
      <x:c r="AL362" s="117" t="str">
        <x:v>Screened sources; accessibility unresolved</x:v>
      </x:c>
      <x:c r="AM362" s="117" t="str">
        <x:v>2026-09-08</x:v>
      </x:c>
      <x:c r="AN362" s="117"/>
      <x:c r="AO362" s="117"/>
      <x:c r="AP362" s="117" t="str">
        <x:v>No usable pair located; image research pending</x:v>
      </x:c>
      <x:c r="AQ362" s="117"/>
    </x:row>
    <x:row r="363" ht="66" customHeight="1">
      <x:c r="A363" s="117" t="str">
        <x:v>MC0360</x:v>
      </x:c>
      <x:c r="B363" s="117" t="str">
        <x:v>Kapas Island</x:v>
      </x:c>
      <x:c r="C363" s="117" t="str">
        <x:v>Terengganu</x:v>
      </x:c>
      <x:c r="D363" s="117" t="str">
        <x:v>Marang</x:v>
      </x:c>
      <x:c r="E363" s="117" t="str">
        <x:v>Beach and Island</x:v>
      </x:c>
      <x:c r="F363" s="117" t="str">
        <x:v>Popular</x:v>
      </x:c>
      <x:c r="G363" s="117" t="str">
        <x:v>Outdoor</x:v>
      </x:c>
      <x:c r="H363" s="117" t="str">
        <x:v>island; snorkelling; beach</x:v>
      </x:c>
      <x:c r="I363" s="117" t="str">
        <x:v>A small island off Marang, Terengganu, known for clear water and turtle sightings.</x:v>
      </x:c>
      <x:c r="J363" s="117" t="str">
        <x:v>https://www.google.com/maps/search/?api=1&amp;query=Kapas%20Island%2C%20Terengganu%2C%20Malaysia</x:v>
      </x:c>
      <x:c r="K363" s="117" t="str">
        <x:v>https://ebrochures.malaysia.travel/en/malaysia-travel-guide/terengganu/</x:v>
      </x:c>
      <x:c r="L363" s="117" t="str">
        <x:v>Tourism Malaysia state guide plus map discovery link</x:v>
      </x:c>
      <x:c r="M363" s="117" t="str">
        <x:v>Terengganu expansion batch</x:v>
      </x:c>
      <x:c r="N363" s="117"/>
      <x:c r="O363" s="117" t="str">
        <x:v>2026-08-15 00:00:00</x:v>
      </x:c>
      <x:c r="P363" s="117" t="str">
        <x:v>Complete</x:v>
      </x:c>
      <x:c r="Q363" s="117"/>
      <x:c r="R363" s="117" t="str">
        <x:f t="shared" si="5">IF(J363="","Missing Link",IF(AND(ISNUMBER(SEARCH("google.com/maps",J363)),ISERROR(SEARCH(";",J363))),"Discovery Link Only","Source Link Present"))</x:f>
        <x:v>Discovery Link Only</x:v>
      </x:c>
      <x:c r="S363" s="117" t="str">
        <x:v>Unknown</x:v>
      </x:c>
      <x:c r="T363" s="117" t="str">
        <x:v>Unknown</x:v>
      </x:c>
      <x:c r="U363" s="117" t="str">
        <x:v>Unknown</x:v>
      </x:c>
      <x:c r="V363" s="117" t="str">
        <x:v>Unknown</x:v>
      </x:c>
      <x:c r="W363" s="117" t="str">
        <x:v>Unknown</x:v>
      </x:c>
      <x:c r="X363" s="117" t="str">
        <x:v>Unknown</x:v>
      </x:c>
      <x:c r="Y363" s="117" t="str">
        <x:v>Unknown</x:v>
      </x:c>
      <x:c r="Z363" s="117"/>
      <x:c r="AA363" s="117" t="str">
        <x:v>Pending evidence</x:v>
      </x:c>
      <x:c r="AB363" s="117"/>
      <x:c r="AC363" s="117" t="str">
        <x:v>No qualifying accessibility conclusion established from the screened sources. This is unknown, not evidence that the attraction is inaccessible.</x:v>
      </x:c>
      <x:c r="AD363" s="117" t="str">
        <x:v>2026-09-08</x:v>
      </x:c>
      <x:c r="AE363" s="117" t="str">
        <x:v>MC0360</x:v>
      </x:c>
      <x:c r="AF363" s="117" t="str">
        <x:v>Distinct candidate</x:v>
      </x:c>
      <x:c r="AG363" s="117" t="str"/>
      <x:c r="AH363" s="117" t="str">
        <x:v>Name corroborated in source</x:v>
      </x:c>
      <x:c r="AI363" s="117" t="str">
        <x:v>https://ebrochures.malaysia.travel/en/malaysia-travel-guide/terengganu/</x:v>
      </x:c>
      <x:c r="AJ363" s="117" t="str">
        <x:v>Place name or established alias matched in the cited source. This is not confirmation of current opening, all visitor facilities or the full description.</x:v>
      </x:c>
      <x:c r="AK363" s="117" t="str">
        <x:v>Not independently confirmed</x:v>
      </x:c>
      <x:c r="AL363" s="117" t="str">
        <x:v>Screened sources; accessibility unresolved</x:v>
      </x:c>
      <x:c r="AM363" s="117" t="str">
        <x:v>2026-09-08</x:v>
      </x:c>
      <x:c r="AN363" s="117" t="str">
        <x:v>https://thumb.wikimedia.org/wikipedia/commons/thumb/2/2f/Kapas_Island%2C_Marang_District%2C_Terengganu%2C_Malaysia_trees.jpg/1280px-Kapas_Island%2C_Marang_District%2C_Terengganu%2C_Malaysia_trees.jpg?utm_source=commons.wikimedia.org&amp;utm_campaign=imageinfo&amp;utm_content=thumbnail</x:v>
      </x:c>
      <x:c r="AO363" s="117" t="str">
        <x:v>https://thumb.wikimedia.org/wikipedia/commons/thumb/2/25/View_of_Kapas_Island_from_far.jpg/1280px-View_of_Kapas_Island_from_far.jpg?utm_source=commons.wikimedia.org&amp;utm_campaign=imageinfo&amp;utm_content=thumbnail</x:v>
      </x:c>
      <x:c r="AP363" s="117" t="str">
        <x:v>2 metadata-matched images; visual review pending</x:v>
      </x:c>
      <x:c r="AQ363" s="117"/>
    </x:row>
    <x:row r="364" ht="66" customHeight="1">
      <x:c r="A364" s="117" t="str">
        <x:v>MC0361</x:v>
      </x:c>
      <x:c r="B364" s="117" t="str">
        <x:v>Kelulut Beach</x:v>
      </x:c>
      <x:c r="C364" s="117" t="str">
        <x:v>Terengganu</x:v>
      </x:c>
      <x:c r="D364" s="117" t="str">
        <x:v>Marang</x:v>
      </x:c>
      <x:c r="E364" s="117" t="str">
        <x:v>Beach and Island</x:v>
      </x:c>
      <x:c r="F364" s="117" t="str">
        <x:v>Local</x:v>
      </x:c>
      <x:c r="G364" s="117" t="str">
        <x:v>Outdoor</x:v>
      </x:c>
      <x:c r="H364" s="117" t="str">
        <x:v>beach; coast; recreation</x:v>
      </x:c>
      <x:c r="I364" s="117" t="str">
        <x:v>A beach in Marang district, Terengganu.</x:v>
      </x:c>
      <x:c r="J364" s="117" t="str">
        <x:v>https://www.google.com/maps/search/?api=1&amp;query=Kelulut%20Beach%2C%20Terengganu%2C%20Malaysia</x:v>
      </x:c>
      <x:c r="K364" s="117" t="str">
        <x:v>https://ebrochures.malaysia.travel/en/malaysia-travel-guide/terengganu/</x:v>
      </x:c>
      <x:c r="L364" s="117" t="str">
        <x:v>Tourism Malaysia state guide plus map discovery link</x:v>
      </x:c>
      <x:c r="M364" s="117" t="str">
        <x:v>Terengganu expansion batch</x:v>
      </x:c>
      <x:c r="N364" s="117"/>
      <x:c r="O364" s="117" t="str">
        <x:v>2026-08-15 00:00:00</x:v>
      </x:c>
      <x:c r="P364" s="117" t="str">
        <x:v>Complete</x:v>
      </x:c>
      <x:c r="Q364" s="117"/>
      <x:c r="R364" s="117" t="str">
        <x:f t="shared" si="5">IF(J364="","Missing Link",IF(AND(ISNUMBER(SEARCH("google.com/maps",J364)),ISERROR(SEARCH(";",J364))),"Discovery Link Only","Source Link Present"))</x:f>
        <x:v>Discovery Link Only</x:v>
      </x:c>
      <x:c r="S364" s="117" t="str">
        <x:v>Unknown</x:v>
      </x:c>
      <x:c r="T364" s="117" t="str">
        <x:v>Unknown</x:v>
      </x:c>
      <x:c r="U364" s="117" t="str">
        <x:v>Unknown</x:v>
      </x:c>
      <x:c r="V364" s="117" t="str">
        <x:v>Unknown</x:v>
      </x:c>
      <x:c r="W364" s="117" t="str">
        <x:v>Unknown</x:v>
      </x:c>
      <x:c r="X364" s="117" t="str">
        <x:v>Unknown</x:v>
      </x:c>
      <x:c r="Y364" s="117" t="str">
        <x:v>Unknown</x:v>
      </x:c>
      <x:c r="Z364" s="117"/>
      <x:c r="AA364" s="117" t="str">
        <x:v>Pending evidence</x:v>
      </x:c>
      <x:c r="AB364" s="117"/>
      <x:c r="AC364" s="117" t="str">
        <x:v>No qualifying accessibility conclusion established from the screened sources. This is unknown, not evidence that the attraction is inaccessible.</x:v>
      </x:c>
      <x:c r="AD364" s="117" t="str">
        <x:v>2026-09-08</x:v>
      </x:c>
      <x:c r="AE364" s="117" t="str">
        <x:v>MC0361</x:v>
      </x:c>
      <x:c r="AF364" s="117" t="str">
        <x:v>Distinct candidate</x:v>
      </x:c>
      <x:c r="AG364" s="117" t="str"/>
      <x:c r="AH364" s="117" t="str">
        <x:v>Name corroborated in source</x:v>
      </x:c>
      <x:c r="AI364" s="117" t="str">
        <x:v>https://ebrochures.malaysia.travel/en/malaysia-travel-guide/terengganu/</x:v>
      </x:c>
      <x:c r="AJ364" s="117" t="str">
        <x:v>Place name or established alias matched in the cited source. This is not confirmation of current opening, all visitor facilities or the full description.</x:v>
      </x:c>
      <x:c r="AK364" s="117" t="str">
        <x:v>Not independently confirmed</x:v>
      </x:c>
      <x:c r="AL364" s="117" t="str">
        <x:v>Screened sources; accessibility unresolved</x:v>
      </x:c>
      <x:c r="AM364" s="117" t="str">
        <x:v>2026-09-08</x:v>
      </x:c>
      <x:c r="AN364" s="117"/>
      <x:c r="AO364" s="117"/>
      <x:c r="AP364" s="117" t="str">
        <x:v>No usable pair located; image research pending</x:v>
      </x:c>
      <x:c r="AQ364" s="117"/>
    </x:row>
    <x:row r="365" ht="66" customHeight="1">
      <x:c r="A365" s="117" t="str">
        <x:v>MC0362</x:v>
      </x:c>
      <x:c r="B365" s="117" t="str">
        <x:v>Tenggol Island</x:v>
      </x:c>
      <x:c r="C365" s="117" t="str">
        <x:v>Terengganu</x:v>
      </x:c>
      <x:c r="D365" s="117" t="str">
        <x:v>Dungun</x:v>
      </x:c>
      <x:c r="E365" s="117" t="str">
        <x:v>Beach and Island</x:v>
      </x:c>
      <x:c r="F365" s="117" t="str">
        <x:v>Popular</x:v>
      </x:c>
      <x:c r="G365" s="117" t="str">
        <x:v>Outdoor</x:v>
      </x:c>
      <x:c r="H365" s="117" t="str">
        <x:v>island; diving; marine life</x:v>
      </x:c>
      <x:c r="I365" s="117" t="str">
        <x:v>An island off Dungun, Terengganu, popular for diving with soft corals and marine life.</x:v>
      </x:c>
      <x:c r="J365" s="117" t="str">
        <x:v>https://www.google.com/maps/search/?api=1&amp;query=Tenggol%20Island%2C%20Terengganu%2C%20Malaysia</x:v>
      </x:c>
      <x:c r="K365" s="117" t="str">
        <x:v>https://ebrochures.malaysia.travel/en/malaysia-travel-guide/terengganu/</x:v>
      </x:c>
      <x:c r="L365" s="117" t="str">
        <x:v>Tourism Malaysia state guide plus map discovery link</x:v>
      </x:c>
      <x:c r="M365" s="117" t="str">
        <x:v>Terengganu expansion batch</x:v>
      </x:c>
      <x:c r="N365" s="117"/>
      <x:c r="O365" s="117" t="str">
        <x:v>2026-08-15 00:00:00</x:v>
      </x:c>
      <x:c r="P365" s="117" t="str">
        <x:v>Complete</x:v>
      </x:c>
      <x:c r="Q365" s="117" t="str">
        <x:v>Duplicate alias: use MC0340 Identity and Malaysian location verified in second-pass review on 2026-09-08.</x:v>
      </x:c>
      <x:c r="R365" s="117" t="str">
        <x:f t="shared" si="5">IF(J365="","Missing Link",IF(AND(ISNUMBER(SEARCH("google.com/maps",J365)),ISERROR(SEARCH(";",J365))),"Discovery Link Only","Source Link Present"))</x:f>
        <x:v>Discovery Link Only</x:v>
      </x:c>
      <x:c r="S365" s="117" t="str">
        <x:v>Unknown</x:v>
      </x:c>
      <x:c r="T365" s="117" t="str">
        <x:v>Unknown</x:v>
      </x:c>
      <x:c r="U365" s="117" t="str">
        <x:v>Unknown</x:v>
      </x:c>
      <x:c r="V365" s="117" t="str">
        <x:v>Unknown</x:v>
      </x:c>
      <x:c r="W365" s="117" t="str">
        <x:v>Unknown</x:v>
      </x:c>
      <x:c r="X365" s="117" t="str">
        <x:v>Unknown</x:v>
      </x:c>
      <x:c r="Y365" s="117" t="str">
        <x:v>Unknown</x:v>
      </x:c>
      <x:c r="Z365" s="117"/>
      <x:c r="AA365" s="117" t="str">
        <x:v>Duplicate - use canonical ID</x:v>
      </x:c>
      <x:c r="AB365" s="117"/>
      <x:c r="AC365" s="117" t="str">
        <x:v>No qualifying accessibility conclusion established from the screened sources. This is unknown, not evidence that the attraction is inaccessible.</x:v>
      </x:c>
      <x:c r="AD365" s="117" t="str">
        <x:v>2026-09-08</x:v>
      </x:c>
      <x:c r="AE365" s="117" t="str">
        <x:v>MC0340</x:v>
      </x:c>
      <x:c r="AF365" s="117" t="str">
        <x:v>Duplicate alias</x:v>
      </x:c>
      <x:c r="AG365" s="117" t="str"/>
      <x:c r="AH365" s="117" t="str">
        <x:v>Identity and location corroborated</x:v>
      </x:c>
      <x:c r="AI365" s="117" t="str">
        <x:v>https://en.wikipedia.org/wiki/Tenggol_Island</x:v>
      </x:c>
      <x:c r="AJ365" s="117" t="str">
        <x:v>Encyclopedic source matches the attraction name or established alias and the stated Malaysian location. This verifies identity/location only; confirm current opening and accessibility separately.</x:v>
      </x:c>
      <x:c r="AK365" s="117" t="str">
        <x:v>Not independently confirmed</x:v>
      </x:c>
      <x:c r="AL365" s="117" t="str">
        <x:v>Screened sources; accessibility unresolved</x:v>
      </x:c>
      <x:c r="AM365" s="117" t="str">
        <x:v>2026-09-08</x:v>
      </x:c>
      <x:c r="AN365" s="117"/>
      <x:c r="AO365" s="117"/>
      <x:c r="AP365" s="117" t="str">
        <x:v>No usable pair located; image research pending</x:v>
      </x:c>
      <x:c r="AQ365" s="117"/>
    </x:row>
    <x:row r="366" ht="66" customHeight="1">
      <x:c r="A366" s="117" t="str">
        <x:v>MC0363</x:v>
      </x:c>
      <x:c r="B366" s="117" t="str">
        <x:v>Chemerong Waterfall</x:v>
      </x:c>
      <x:c r="C366" s="117" t="str">
        <x:v>Terengganu</x:v>
      </x:c>
      <x:c r="D366" s="117" t="str">
        <x:v>Dungun</x:v>
      </x:c>
      <x:c r="E366" s="117" t="str">
        <x:v>Adventure</x:v>
      </x:c>
      <x:c r="F366" s="117" t="str">
        <x:v>Popular</x:v>
      </x:c>
      <x:c r="G366" s="117" t="str">
        <x:v>Outdoor</x:v>
      </x:c>
      <x:c r="H366" s="117" t="str">
        <x:v>waterfall; trekking; rainforest</x:v>
      </x:c>
      <x:c r="I366" s="117" t="str">
        <x:v>A tall waterfall in Dungun district, Terengganu, among the tallest in the Peninsula, popular with hikers.</x:v>
      </x:c>
      <x:c r="J366" s="117" t="str">
        <x:v>https://www.google.com/maps/search/?api=1&amp;query=Chemerong%20Waterfall%2C%20Terengganu%2C%20Malaysia</x:v>
      </x:c>
      <x:c r="K366" s="117" t="str">
        <x:v>https://ebrochures.malaysia.travel/en/malaysia-travel-guide/terengganu/</x:v>
      </x:c>
      <x:c r="L366" s="117" t="str">
        <x:v>Tourism Malaysia state guide plus map discovery link</x:v>
      </x:c>
      <x:c r="M366" s="117" t="str">
        <x:v>Terengganu expansion batch</x:v>
      </x:c>
      <x:c r="N366" s="117"/>
      <x:c r="O366" s="117" t="str">
        <x:v>2026-08-15 00:00:00</x:v>
      </x:c>
      <x:c r="P366" s="117" t="str">
        <x:v>Complete</x:v>
      </x:c>
      <x:c r="Q366" s="117"/>
      <x:c r="R366" s="117" t="str">
        <x:f t="shared" si="5">IF(J366="","Missing Link",IF(AND(ISNUMBER(SEARCH("google.com/maps",J366)),ISERROR(SEARCH(";",J366))),"Discovery Link Only","Source Link Present"))</x:f>
        <x:v>Discovery Link Only</x:v>
      </x:c>
      <x:c r="S366" s="117" t="str">
        <x:v>Unknown</x:v>
      </x:c>
      <x:c r="T366" s="117" t="str">
        <x:v>Unknown</x:v>
      </x:c>
      <x:c r="U366" s="117" t="str">
        <x:v>Unknown</x:v>
      </x:c>
      <x:c r="V366" s="117" t="str">
        <x:v>Unknown</x:v>
      </x:c>
      <x:c r="W366" s="117" t="str">
        <x:v>Unknown</x:v>
      </x:c>
      <x:c r="X366" s="117" t="str">
        <x:v>Unknown</x:v>
      </x:c>
      <x:c r="Y366" s="117" t="str">
        <x:v>Unknown</x:v>
      </x:c>
      <x:c r="Z366" s="117"/>
      <x:c r="AA366" s="117" t="str">
        <x:v>Pending evidence</x:v>
      </x:c>
      <x:c r="AB366" s="117"/>
      <x:c r="AC366" s="117" t="str">
        <x:v>No qualifying accessibility conclusion established from the screened sources. This is unknown, not evidence that the attraction is inaccessible.</x:v>
      </x:c>
      <x:c r="AD366" s="117" t="str">
        <x:v>2026-09-08</x:v>
      </x:c>
      <x:c r="AE366" s="117" t="str">
        <x:v>MC0363</x:v>
      </x:c>
      <x:c r="AF366" s="117" t="str">
        <x:v>Related site or component</x:v>
      </x:c>
      <x:c r="AG366" s="117" t="str">
        <x:v>MC0341</x:v>
      </x:c>
      <x:c r="AH366" s="117" t="str">
        <x:v>Name corroborated in source</x:v>
      </x:c>
      <x:c r="AI366" s="117" t="str">
        <x:v>https://ebrochures.malaysia.travel/en/malaysia-travel-guide/terengganu/</x:v>
      </x:c>
      <x:c r="AJ366" s="117" t="str">
        <x:v>Place name or established alias matched in the cited source. This is not confirmation of current opening, all visitor facilities or the full description.</x:v>
      </x:c>
      <x:c r="AK366" s="117" t="str">
        <x:v>Not independently confirmed</x:v>
      </x:c>
      <x:c r="AL366" s="117" t="str">
        <x:v>Screened sources; accessibility unresolved</x:v>
      </x:c>
      <x:c r="AM366" s="117" t="str">
        <x:v>2026-09-08</x:v>
      </x:c>
      <x:c r="AN366" s="117" t="str">
        <x:v>https://upload.wikimedia.org/wikipedia/commons/2/27/Jambatan_gantung_Hutan_Lipur_Chemerong.jpg?utm_source=commons.wikimedia.org&amp;utm_campaign=imageinfo&amp;utm_content=thumbnail_unscaled</x:v>
      </x:c>
      <x:c r="AO366" s="117" t="str">
        <x:v>https://upload.wikimedia.org/wikipedia/commons/f/f1/Nikmat_dapat_merasai_ketenangan_di_ait_terjun_Taman_Eko_Rimba_Chemerong.jpg?utm_source=commons.wikimedia.org&amp;utm_campaign=imageinfo&amp;utm_content=thumbnail_unscaled</x:v>
      </x:c>
      <x:c r="AP366" s="117" t="str">
        <x:v>2 metadata-matched images; visual review pending</x:v>
      </x:c>
      <x:c r="AQ366" s="117"/>
    </x:row>
    <x:row r="367" ht="66" customHeight="1">
      <x:c r="A367" s="117" t="str">
        <x:v>MC0364</x:v>
      </x:c>
      <x:c r="B367" s="117" t="str">
        <x:v>Bukit Besi Museum</x:v>
      </x:c>
      <x:c r="C367" s="117" t="str">
        <x:v>Terengganu</x:v>
      </x:c>
      <x:c r="D367" s="117" t="str">
        <x:v>Dungun</x:v>
      </x:c>
      <x:c r="E367" s="117" t="str">
        <x:v>Museum and Gallery</x:v>
      </x:c>
      <x:c r="F367" s="117" t="str">
        <x:v>Underrated</x:v>
      </x:c>
      <x:c r="G367" s="117" t="str">
        <x:v>Indoor</x:v>
      </x:c>
      <x:c r="H367" s="117" t="str">
        <x:v>mining history; museum; town</x:v>
      </x:c>
      <x:c r="I367" s="117" t="str">
        <x:v>A museum in Dungun, Terengganu, documenting the area's former iron-ore mining town history.</x:v>
      </x:c>
      <x:c r="J367" s="117" t="str">
        <x:v>https://www.google.com/maps/search/?api=1&amp;query=Bukit%20Besi%20Museum%2C%20Terengganu%2C%20Malaysia</x:v>
      </x:c>
      <x:c r="K367" s="117" t="str">
        <x:v>https://ebrochures.malaysia.travel/en/malaysia-travel-guide/terengganu/</x:v>
      </x:c>
      <x:c r="L367" s="117" t="str">
        <x:v>Tourism Malaysia state guide plus map discovery link</x:v>
      </x:c>
      <x:c r="M367" s="117" t="str">
        <x:v>Terengganu expansion batch</x:v>
      </x:c>
      <x:c r="N367" s="117"/>
      <x:c r="O367" s="117" t="str">
        <x:v>2026-08-15 00:00:00</x:v>
      </x:c>
      <x:c r="P367" s="117" t="str">
        <x:v>Complete</x:v>
      </x:c>
      <x:c r="Q367" s="117" t="str">
        <x:v>Identity and Malaysian location verified in second-pass review on 2026-09-08.</x:v>
      </x:c>
      <x:c r="R367" s="117" t="str">
        <x:f t="shared" si="5">IF(J367="","Missing Link",IF(AND(ISNUMBER(SEARCH("google.com/maps",J367)),ISERROR(SEARCH(";",J367))),"Discovery Link Only","Source Link Present"))</x:f>
        <x:v>Discovery Link Only</x:v>
      </x:c>
      <x:c r="S367" s="117" t="str">
        <x:v>Unknown</x:v>
      </x:c>
      <x:c r="T367" s="117" t="str">
        <x:v>Unknown</x:v>
      </x:c>
      <x:c r="U367" s="117" t="str">
        <x:v>Unknown</x:v>
      </x:c>
      <x:c r="V367" s="117" t="str">
        <x:v>Unknown</x:v>
      </x:c>
      <x:c r="W367" s="117" t="str">
        <x:v>Unknown</x:v>
      </x:c>
      <x:c r="X367" s="117" t="str">
        <x:v>Unknown</x:v>
      </x:c>
      <x:c r="Y367" s="117" t="str">
        <x:v>Unknown</x:v>
      </x:c>
      <x:c r="Z367" s="117"/>
      <x:c r="AA367" s="117" t="str">
        <x:v>Pending evidence</x:v>
      </x:c>
      <x:c r="AB367" s="117"/>
      <x:c r="AC367" s="117" t="str">
        <x:v>No qualifying accessibility conclusion established from the screened sources. This is unknown, not evidence that the attraction is inaccessible.</x:v>
      </x:c>
      <x:c r="AD367" s="117" t="str">
        <x:v>2026-09-08</x:v>
      </x:c>
      <x:c r="AE367" s="117" t="str">
        <x:v>MC0364</x:v>
      </x:c>
      <x:c r="AF367" s="117" t="str">
        <x:v>Distinct candidate</x:v>
      </x:c>
      <x:c r="AG367" s="117" t="str"/>
      <x:c r="AH367" s="117" t="str">
        <x:v>Identity and location corroborated</x:v>
      </x:c>
      <x:c r="AI367" s="117" t="str">
        <x:v>https://www.openstreetmap.org/way/1416125285</x:v>
      </x:c>
      <x:c r="AJ367" s="117" t="str">
        <x:v>Mapped source matches the attraction name or established alias and the stated Malaysian location. This verifies identity/location only; confirm current opening and accessibility separately.</x:v>
      </x:c>
      <x:c r="AK367" s="117" t="str">
        <x:v>Not independently confirmed</x:v>
      </x:c>
      <x:c r="AL367" s="117" t="str">
        <x:v>Screened sources; accessibility unresolved</x:v>
      </x:c>
      <x:c r="AM367" s="117" t="str">
        <x:v>2026-09-08</x:v>
      </x:c>
      <x:c r="AN367" s="117"/>
      <x:c r="AO367" s="117"/>
      <x:c r="AP367" s="117" t="str">
        <x:v>No usable pair located; image research pending</x:v>
      </x:c>
      <x:c r="AQ367" s="117"/>
    </x:row>
    <x:row r="368" ht="66" customHeight="1">
      <x:c r="A368" s="117" t="str">
        <x:v>MC0365</x:v>
      </x:c>
      <x:c r="B368" s="117" t="str">
        <x:v>Kemasik Beach</x:v>
      </x:c>
      <x:c r="C368" s="117" t="str">
        <x:v>Terengganu</x:v>
      </x:c>
      <x:c r="D368" s="117" t="str">
        <x:v>Kemaman</x:v>
      </x:c>
      <x:c r="E368" s="117" t="str">
        <x:v>Beach and Island</x:v>
      </x:c>
      <x:c r="F368" s="117" t="str">
        <x:v>Local</x:v>
      </x:c>
      <x:c r="G368" s="117" t="str">
        <x:v>Outdoor</x:v>
      </x:c>
      <x:c r="H368" s="117" t="str">
        <x:v>beach; rock formation; coast</x:v>
      </x:c>
      <x:c r="I368" s="117" t="str">
        <x:v>A beach in Kemaman district, Terengganu, known for its unique rock formations.</x:v>
      </x:c>
      <x:c r="J368" s="117" t="str">
        <x:v>https://www.google.com/maps/search/?api=1&amp;query=Kemasik%20Beach%2C%20Terengganu%2C%20Malaysia</x:v>
      </x:c>
      <x:c r="K368" s="117" t="str">
        <x:v>https://ebrochures.malaysia.travel/en/malaysia-travel-guide/terengganu/</x:v>
      </x:c>
      <x:c r="L368" s="117" t="str">
        <x:v>Tourism Malaysia state guide plus map discovery link</x:v>
      </x:c>
      <x:c r="M368" s="117" t="str">
        <x:v>Terengganu expansion batch</x:v>
      </x:c>
      <x:c r="N368" s="117"/>
      <x:c r="O368" s="117" t="str">
        <x:v>2026-08-15 00:00:00</x:v>
      </x:c>
      <x:c r="P368" s="117" t="str">
        <x:v>Complete</x:v>
      </x:c>
      <x:c r="Q368" s="117"/>
      <x:c r="R368" s="117" t="str">
        <x:f t="shared" si="5">IF(J368="","Missing Link",IF(AND(ISNUMBER(SEARCH("google.com/maps",J368)),ISERROR(SEARCH(";",J368))),"Discovery Link Only","Source Link Present"))</x:f>
        <x:v>Discovery Link Only</x:v>
      </x:c>
      <x:c r="S368" s="117" t="str">
        <x:v>Unknown</x:v>
      </x:c>
      <x:c r="T368" s="117" t="str">
        <x:v>Unknown</x:v>
      </x:c>
      <x:c r="U368" s="117" t="str">
        <x:v>Unknown</x:v>
      </x:c>
      <x:c r="V368" s="117" t="str">
        <x:v>Unknown</x:v>
      </x:c>
      <x:c r="W368" s="117" t="str">
        <x:v>Unknown</x:v>
      </x:c>
      <x:c r="X368" s="117" t="str">
        <x:v>Unknown</x:v>
      </x:c>
      <x:c r="Y368" s="117" t="str">
        <x:v>Unknown</x:v>
      </x:c>
      <x:c r="Z368" s="117"/>
      <x:c r="AA368" s="117" t="str">
        <x:v>Pending evidence</x:v>
      </x:c>
      <x:c r="AB368" s="117"/>
      <x:c r="AC368" s="117" t="str">
        <x:v>No qualifying accessibility conclusion established from the screened sources. This is unknown, not evidence that the attraction is inaccessible.</x:v>
      </x:c>
      <x:c r="AD368" s="117" t="str">
        <x:v>2026-09-08</x:v>
      </x:c>
      <x:c r="AE368" s="117" t="str">
        <x:v>MC0365</x:v>
      </x:c>
      <x:c r="AF368" s="117" t="str">
        <x:v>Distinct candidate</x:v>
      </x:c>
      <x:c r="AG368" s="117" t="str"/>
      <x:c r="AH368" s="117" t="str">
        <x:v>Name corroborated in source</x:v>
      </x:c>
      <x:c r="AI368" s="117" t="str">
        <x:v>https://ebrochures.malaysia.travel/en/malaysia-travel-guide/terengganu/</x:v>
      </x:c>
      <x:c r="AJ368" s="117" t="str">
        <x:v>Place name or established alias matched in the cited source. This is not confirmation of current opening, all visitor facilities or the full description.</x:v>
      </x:c>
      <x:c r="AK368" s="117" t="str">
        <x:v>Not independently confirmed</x:v>
      </x:c>
      <x:c r="AL368" s="117" t="str">
        <x:v>Screened sources; accessibility unresolved</x:v>
      </x:c>
      <x:c r="AM368" s="117" t="str">
        <x:v>2026-09-08</x:v>
      </x:c>
      <x:c r="AN368" s="117" t="str">
        <x:v>https://thumb.wikimedia.org/wikipedia/commons/thumb/0/0d/Golden_hour_by_the_sea.jpg/1280px-Golden_hour_by_the_sea.jpg?utm_source=commons.wikimedia.org&amp;utm_campaign=imageinfo&amp;utm_content=thumbnail</x:v>
      </x:c>
      <x:c r="AO368" s="117" t="str">
        <x:v>https://thumb.wikimedia.org/wikipedia/commons/thumb/e/e6/YosriPantaiKemasik1.jpg/1280px-YosriPantaiKemasik1.jpg?utm_source=commons.wikimedia.org&amp;utm_campaign=imageinfo&amp;utm_content=thumbnail</x:v>
      </x:c>
      <x:c r="AP368" s="117" t="str">
        <x:v>2 metadata-matched images; visual review pending</x:v>
      </x:c>
      <x:c r="AQ368" s="117"/>
    </x:row>
    <x:row r="369" ht="66" customHeight="1">
      <x:c r="A369" s="117" t="str">
        <x:v>MC0366</x:v>
      </x:c>
      <x:c r="B369" s="117" t="str">
        <x:v>Yak Yah Firefly Sanctuary</x:v>
      </x:c>
      <x:c r="C369" s="117" t="str">
        <x:v>Terengganu</x:v>
      </x:c>
      <x:c r="D369" s="117" t="str">
        <x:v>Kemaman</x:v>
      </x:c>
      <x:c r="E369" s="117" t="str">
        <x:v>Wildlife</x:v>
      </x:c>
      <x:c r="F369" s="117" t="str">
        <x:v>Underrated</x:v>
      </x:c>
      <x:c r="G369" s="117" t="str">
        <x:v>Outdoor</x:v>
      </x:c>
      <x:c r="H369" s="117" t="str">
        <x:v>fireflies; river; night boat</x:v>
      </x:c>
      <x:c r="I369" s="117" t="str">
        <x:v>A firefly-watching river site in Kemaman district, Terengganu.</x:v>
      </x:c>
      <x:c r="J369" s="117" t="str">
        <x:v>https://www.google.com/maps/search/?api=1&amp;query=Yak%20Yah%20Firefly%20Sanctuary%2C%20Terengganu%2C%20Malaysia</x:v>
      </x:c>
      <x:c r="K369" s="117" t="str">
        <x:v>https://ebrochures.malaysia.travel/en/malaysia-travel-guide/terengganu/</x:v>
      </x:c>
      <x:c r="L369" s="117" t="str">
        <x:v>Tourism Malaysia state guide plus map discovery link</x:v>
      </x:c>
      <x:c r="M369" s="117" t="str">
        <x:v>Terengganu expansion batch</x:v>
      </x:c>
      <x:c r="N369" s="117"/>
      <x:c r="O369" s="117" t="str">
        <x:v>2026-08-15 00:00:00</x:v>
      </x:c>
      <x:c r="P369" s="117" t="str">
        <x:v>Complete</x:v>
      </x:c>
      <x:c r="Q369" s="117" t="str">
        <x:v>Identity and Malaysian location verified in second-pass review on 2026-09-08.</x:v>
      </x:c>
      <x:c r="R369" s="117" t="str">
        <x:f t="shared" si="5">IF(J369="","Missing Link",IF(AND(ISNUMBER(SEARCH("google.com/maps",J369)),ISERROR(SEARCH(";",J369))),"Discovery Link Only","Source Link Present"))</x:f>
        <x:v>Discovery Link Only</x:v>
      </x:c>
      <x:c r="S369" s="117" t="str">
        <x:v>Unknown</x:v>
      </x:c>
      <x:c r="T369" s="117" t="str">
        <x:v>Unknown</x:v>
      </x:c>
      <x:c r="U369" s="117" t="str">
        <x:v>Unknown</x:v>
      </x:c>
      <x:c r="V369" s="117" t="str">
        <x:v>Unknown</x:v>
      </x:c>
      <x:c r="W369" s="117" t="str">
        <x:v>Unknown</x:v>
      </x:c>
      <x:c r="X369" s="117" t="str">
        <x:v>Unknown</x:v>
      </x:c>
      <x:c r="Y369" s="117" t="str">
        <x:v>Unknown</x:v>
      </x:c>
      <x:c r="Z369" s="117"/>
      <x:c r="AA369" s="117" t="str">
        <x:v>Pending evidence</x:v>
      </x:c>
      <x:c r="AB369" s="117"/>
      <x:c r="AC369" s="117" t="str">
        <x:v>No qualifying accessibility conclusion established from the screened sources. This is unknown, not evidence that the attraction is inaccessible.</x:v>
      </x:c>
      <x:c r="AD369" s="117" t="str">
        <x:v>2026-09-08</x:v>
      </x:c>
      <x:c r="AE369" s="117" t="str">
        <x:v>MC0366</x:v>
      </x:c>
      <x:c r="AF369" s="117" t="str">
        <x:v>Distinct candidate</x:v>
      </x:c>
      <x:c r="AG369" s="117" t="str"/>
      <x:c r="AH369" s="117" t="str">
        <x:v>Identity and location corroborated</x:v>
      </x:c>
      <x:c r="AI369" s="117" t="str">
        <x:v>https://storage.ebrochures.malaysia.travel/storage/TERENGGANUMAPGUIDE_english_0916c.pdf</x:v>
      </x:c>
      <x:c r="AJ369" s="117" t="str">
        <x:v>Tourism Malaysia guide matches the attraction name or established alias and the stated Malaysian location. This verifies identity/location only; confirm current opening and accessibility separately.</x:v>
      </x:c>
      <x:c r="AK369" s="117" t="str">
        <x:v>Not independently confirmed</x:v>
      </x:c>
      <x:c r="AL369" s="117" t="str">
        <x:v>Screened sources; accessibility unresolved</x:v>
      </x:c>
      <x:c r="AM369" s="117" t="str">
        <x:v>2026-09-08</x:v>
      </x:c>
      <x:c r="AN369" s="117"/>
      <x:c r="AO369" s="117"/>
      <x:c r="AP369" s="117" t="str">
        <x:v>No usable pair located; image research pending</x:v>
      </x:c>
      <x:c r="AQ369" s="117"/>
    </x:row>
    <x:row r="370" ht="66" customHeight="1">
      <x:c r="A370" s="117" t="str">
        <x:v>MC0367</x:v>
      </x:c>
      <x:c r="B370" s="117" t="str">
        <x:v>Lake Kenyir</x:v>
      </x:c>
      <x:c r="C370" s="117" t="str">
        <x:v>Terengganu</x:v>
      </x:c>
      <x:c r="D370" s="117" t="str">
        <x:v>Hulu Terengganu</x:v>
      </x:c>
      <x:c r="E370" s="117" t="str">
        <x:v>Nature</x:v>
      </x:c>
      <x:c r="F370" s="117" t="str">
        <x:v>Popular</x:v>
      </x:c>
      <x:c r="G370" s="117" t="str">
        <x:v>Outdoor</x:v>
      </x:c>
      <x:c r="H370" s="117" t="str">
        <x:v>lake; islands; rainforest</x:v>
      </x:c>
      <x:c r="I370" s="117" t="str">
        <x:v>Malaysia's largest man-made lake, in Hulu Terengganu, offering houseboats, waterfalls and jungle trekking.</x:v>
      </x:c>
      <x:c r="J370" s="117" t="str">
        <x:v>https://www.google.com/maps/search/?api=1&amp;query=Lake%20Kenyir%2C%20Terengganu%2C%20Malaysia</x:v>
      </x:c>
      <x:c r="K370" s="117" t="str">
        <x:v>https://ebrochures.malaysia.travel/en/malaysia-travel-guide/terengganu/</x:v>
      </x:c>
      <x:c r="L370" s="117" t="str">
        <x:v>Tourism Malaysia state guide plus map discovery link</x:v>
      </x:c>
      <x:c r="M370" s="117" t="str">
        <x:v>Terengganu expansion batch</x:v>
      </x:c>
      <x:c r="N370" s="117"/>
      <x:c r="O370" s="117" t="str">
        <x:v>2026-08-15 00:00:00</x:v>
      </x:c>
      <x:c r="P370" s="117" t="str">
        <x:v>Complete</x:v>
      </x:c>
      <x:c r="Q370" s="117" t="str">
        <x:v>Duplicate alias: use MC0347</x:v>
      </x:c>
      <x:c r="R370" s="117" t="str">
        <x:f t="shared" si="5">IF(J370="","Missing Link",IF(AND(ISNUMBER(SEARCH("google.com/maps",J370)),ISERROR(SEARCH(";",J370))),"Discovery Link Only","Source Link Present"))</x:f>
        <x:v>Discovery Link Only</x:v>
      </x:c>
      <x:c r="S370" s="117" t="str">
        <x:v>Unknown</x:v>
      </x:c>
      <x:c r="T370" s="117" t="str">
        <x:v>Unknown</x:v>
      </x:c>
      <x:c r="U370" s="117" t="str">
        <x:v>Unknown</x:v>
      </x:c>
      <x:c r="V370" s="117" t="str">
        <x:v>Unknown</x:v>
      </x:c>
      <x:c r="W370" s="117" t="str">
        <x:v>Unknown</x:v>
      </x:c>
      <x:c r="X370" s="117" t="str">
        <x:v>Unknown</x:v>
      </x:c>
      <x:c r="Y370" s="117" t="str">
        <x:v>Unknown</x:v>
      </x:c>
      <x:c r="Z370" s="117"/>
      <x:c r="AA370" s="117" t="str">
        <x:v>Duplicate - use canonical ID</x:v>
      </x:c>
      <x:c r="AB370" s="117"/>
      <x:c r="AC370" s="117" t="str">
        <x:v>No qualifying accessibility conclusion established from the screened sources. This is unknown, not evidence that the attraction is inaccessible.</x:v>
      </x:c>
      <x:c r="AD370" s="117" t="str">
        <x:v>2026-09-08</x:v>
      </x:c>
      <x:c r="AE370" s="117" t="str">
        <x:v>MC0347</x:v>
      </x:c>
      <x:c r="AF370" s="117" t="str">
        <x:v>Duplicate alias</x:v>
      </x:c>
      <x:c r="AG370" s="117" t="str"/>
      <x:c r="AH370" s="117" t="str">
        <x:v>Name corroborated in source</x:v>
      </x:c>
      <x:c r="AI370" s="117" t="str">
        <x:v>https://ebrochures.malaysia.travel/en/malaysia-travel-guide/terengganu/</x:v>
      </x:c>
      <x:c r="AJ370" s="117" t="str">
        <x:v>Place name or established alias matched in the cited source. This is not confirmation of current opening, all visitor facilities or the full description.</x:v>
      </x:c>
      <x:c r="AK370" s="117" t="str">
        <x:v>Not independently confirmed</x:v>
      </x:c>
      <x:c r="AL370" s="117" t="str">
        <x:v>Screened sources; accessibility unresolved</x:v>
      </x:c>
      <x:c r="AM370" s="117" t="str">
        <x:v>2026-09-08</x:v>
      </x:c>
      <x:c r="AN370" s="117" t="str">
        <x:v>https://thumb.wikimedia.org/wikipedia/commons/thumb/b/b1/Kenyir_Lake_1.JPG/1280px-Kenyir_Lake_1.JPG?utm_source=commons.wikimedia.org&amp;utm_campaign=imageinfo&amp;utm_content=thumbnail</x:v>
      </x:c>
      <x:c r="AO370" s="117" t="str">
        <x:v>https://thumb.wikimedia.org/wikipedia/commons/thumb/d/d1/Kenyir_Lake_2.JPG/1280px-Kenyir_Lake_2.JPG?utm_source=commons.wikimedia.org&amp;utm_campaign=imageinfo&amp;utm_content=thumbnail</x:v>
      </x:c>
      <x:c r="AP370" s="117" t="str">
        <x:v>2 metadata-matched images; visual review pending</x:v>
      </x:c>
      <x:c r="AQ370" s="117"/>
    </x:row>
    <x:row r="371" ht="66" customHeight="1">
      <x:c r="A371" s="117" t="str">
        <x:v>MC0368</x:v>
      </x:c>
      <x:c r="B371" s="117" t="str">
        <x:v>Kenyir Elephant Conservation Village</x:v>
      </x:c>
      <x:c r="C371" s="117" t="str">
        <x:v>Terengganu</x:v>
      </x:c>
      <x:c r="D371" s="117" t="str">
        <x:v>Hulu Terengganu</x:v>
      </x:c>
      <x:c r="E371" s="117" t="str">
        <x:v>Wildlife</x:v>
      </x:c>
      <x:c r="F371" s="117" t="str">
        <x:v>Popular</x:v>
      </x:c>
      <x:c r="G371" s="117" t="str">
        <x:v>Outdoor</x:v>
      </x:c>
      <x:c r="H371" s="117" t="str">
        <x:v>elephants; conservation; forest</x:v>
      </x:c>
      <x:c r="I371" s="117" t="str">
        <x:v>An elephant conservation site near Kenyir Lake in Hulu Terengganu district.</x:v>
      </x:c>
      <x:c r="J371" s="117" t="str">
        <x:v>https://www.google.com/maps/search/?api=1&amp;query=Kenyir%20Elephant%20Conservation%20Village%2C%20Terengganu%2C%20Malaysia</x:v>
      </x:c>
      <x:c r="K371" s="117" t="str">
        <x:v>https://ebrochures.malaysia.travel/en/malaysia-travel-guide/terengganu/</x:v>
      </x:c>
      <x:c r="L371" s="117" t="str">
        <x:v>Tourism Malaysia state guide plus map discovery link</x:v>
      </x:c>
      <x:c r="M371" s="117" t="str">
        <x:v>Terengganu expansion batch</x:v>
      </x:c>
      <x:c r="N371" s="117"/>
      <x:c r="O371" s="117" t="str">
        <x:v>2026-08-15 00:00:00</x:v>
      </x:c>
      <x:c r="P371" s="117" t="str">
        <x:v>Complete</x:v>
      </x:c>
      <x:c r="Q371" s="117"/>
      <x:c r="R371" s="117" t="str">
        <x:f t="shared" si="5">IF(J371="","Missing Link",IF(AND(ISNUMBER(SEARCH("google.com/maps",J371)),ISERROR(SEARCH(";",J371))),"Discovery Link Only","Source Link Present"))</x:f>
        <x:v>Discovery Link Only</x:v>
      </x:c>
      <x:c r="S371" s="117" t="str">
        <x:v>Unknown</x:v>
      </x:c>
      <x:c r="T371" s="117" t="str">
        <x:v>Unknown</x:v>
      </x:c>
      <x:c r="U371" s="117" t="str">
        <x:v>Unknown</x:v>
      </x:c>
      <x:c r="V371" s="117" t="str">
        <x:v>Unknown</x:v>
      </x:c>
      <x:c r="W371" s="117" t="str">
        <x:v>Unknown</x:v>
      </x:c>
      <x:c r="X371" s="117" t="str">
        <x:v>Unknown</x:v>
      </x:c>
      <x:c r="Y371" s="117" t="str">
        <x:v>Unknown</x:v>
      </x:c>
      <x:c r="Z371" s="117"/>
      <x:c r="AA371" s="117" t="str">
        <x:v>Pending evidence</x:v>
      </x:c>
      <x:c r="AB371" s="117"/>
      <x:c r="AC371" s="117" t="str">
        <x:v>No qualifying accessibility conclusion established from the screened sources. This is unknown, not evidence that the attraction is inaccessible.</x:v>
      </x:c>
      <x:c r="AD371" s="117" t="str">
        <x:v>2026-09-08</x:v>
      </x:c>
      <x:c r="AE371" s="117" t="str">
        <x:v>MC0368</x:v>
      </x:c>
      <x:c r="AF371" s="117" t="str">
        <x:v>Distinct candidate</x:v>
      </x:c>
      <x:c r="AG371" s="117" t="str"/>
      <x:c r="AH371" s="117" t="str">
        <x:v>Name corroborated in source</x:v>
      </x:c>
      <x:c r="AI371" s="117" t="str">
        <x:v>https://ebrochures.malaysia.travel/en/malaysia-travel-guide/terengganu/</x:v>
      </x:c>
      <x:c r="AJ371" s="117" t="str">
        <x:v>Place name or established alias matched in the cited source. This is not confirmation of current opening, all visitor facilities or the full description.</x:v>
      </x:c>
      <x:c r="AK371" s="117" t="str">
        <x:v>Not independently confirmed</x:v>
      </x:c>
      <x:c r="AL371" s="117" t="str">
        <x:v>Screened sources; accessibility unresolved</x:v>
      </x:c>
      <x:c r="AM371" s="117" t="str">
        <x:v>2026-09-08</x:v>
      </x:c>
      <x:c r="AN371" s="117"/>
      <x:c r="AO371" s="117"/>
      <x:c r="AP371" s="117" t="str">
        <x:v>No usable pair located; image research pending</x:v>
      </x:c>
      <x:c r="AQ371" s="117"/>
    </x:row>
    <x:row r="372" ht="66" customHeight="1">
      <x:c r="A372" s="117" t="str">
        <x:v>MC0369</x:v>
      </x:c>
      <x:c r="B372" s="117" t="str">
        <x:v>Sekayu Recreational Forest</x:v>
      </x:c>
      <x:c r="C372" s="117" t="str">
        <x:v>Terengganu</x:v>
      </x:c>
      <x:c r="D372" s="117" t="str">
        <x:v>Hulu Terengganu</x:v>
      </x:c>
      <x:c r="E372" s="117" t="str">
        <x:v>Nature</x:v>
      </x:c>
      <x:c r="F372" s="117" t="str">
        <x:v>Local</x:v>
      </x:c>
      <x:c r="G372" s="117" t="str">
        <x:v>Outdoor</x:v>
      </x:c>
      <x:c r="H372" s="117" t="str">
        <x:v>waterfall; forest; picnic</x:v>
      </x:c>
      <x:c r="I372" s="117" t="str">
        <x:v>A waterfall recreational forest in Hulu Terengganu district, Terengganu.</x:v>
      </x:c>
      <x:c r="J372" s="117" t="str">
        <x:v>https://www.google.com/maps/search/?api=1&amp;query=Sekayu%20Recreational%20Forest%2C%20Terengganu%2C%20Malaysia</x:v>
      </x:c>
      <x:c r="K372" s="117" t="str">
        <x:v>https://ebrochures.malaysia.travel/en/malaysia-travel-guide/terengganu/</x:v>
      </x:c>
      <x:c r="L372" s="117" t="str">
        <x:v>Tourism Malaysia state guide plus map discovery link</x:v>
      </x:c>
      <x:c r="M372" s="117" t="str">
        <x:v>Terengganu expansion batch</x:v>
      </x:c>
      <x:c r="N372" s="117"/>
      <x:c r="O372" s="117" t="str">
        <x:v>2026-08-15 00:00:00</x:v>
      </x:c>
      <x:c r="P372" s="117" t="str">
        <x:v>Complete</x:v>
      </x:c>
      <x:c r="Q372" s="117" t="str">
        <x:v>Identity and Malaysian location verified in second-pass review on 2026-09-08.</x:v>
      </x:c>
      <x:c r="R372" s="117" t="str">
        <x:f t="shared" si="5">IF(J372="","Missing Link",IF(AND(ISNUMBER(SEARCH("google.com/maps",J372)),ISERROR(SEARCH(";",J372))),"Discovery Link Only","Source Link Present"))</x:f>
        <x:v>Discovery Link Only</x:v>
      </x:c>
      <x:c r="S372" s="117" t="str">
        <x:v>Unknown</x:v>
      </x:c>
      <x:c r="T372" s="117" t="str">
        <x:v>Unknown</x:v>
      </x:c>
      <x:c r="U372" s="117" t="str">
        <x:v>Unknown</x:v>
      </x:c>
      <x:c r="V372" s="117" t="str">
        <x:v>Unknown</x:v>
      </x:c>
      <x:c r="W372" s="117" t="str">
        <x:v>Unknown</x:v>
      </x:c>
      <x:c r="X372" s="117" t="str">
        <x:v>Unknown</x:v>
      </x:c>
      <x:c r="Y372" s="117" t="str">
        <x:v>Unknown</x:v>
      </x:c>
      <x:c r="Z372" s="117"/>
      <x:c r="AA372" s="117" t="str">
        <x:v>Pending evidence</x:v>
      </x:c>
      <x:c r="AB372" s="117"/>
      <x:c r="AC372" s="117" t="str">
        <x:v>No qualifying accessibility conclusion established from the screened sources. This is unknown, not evidence that the attraction is inaccessible.</x:v>
      </x:c>
      <x:c r="AD372" s="117" t="str">
        <x:v>2026-09-08</x:v>
      </x:c>
      <x:c r="AE372" s="117" t="str">
        <x:v>MC0369</x:v>
      </x:c>
      <x:c r="AF372" s="117" t="str">
        <x:v>Distinct candidate</x:v>
      </x:c>
      <x:c r="AG372" s="117" t="str"/>
      <x:c r="AH372" s="117" t="str">
        <x:v>Identity and location corroborated</x:v>
      </x:c>
      <x:c r="AI372" s="117" t="str">
        <x:v>https://pmc.ncbi.nlm.nih.gov/articles/PMC10311392/</x:v>
      </x:c>
      <x:c r="AJ372" s="117" t="str">
        <x:v>Peer-reviewed research source; identity only matches the attraction name or established alias and the stated Malaysian location. This verifies identity/location only; confirm current opening and accessibility separately. The source does not establish current visitor operation.</x:v>
      </x:c>
      <x:c r="AK372" s="117" t="str">
        <x:v>Not independently confirmed</x:v>
      </x:c>
      <x:c r="AL372" s="117" t="str">
        <x:v>Screened sources; accessibility unresolved</x:v>
      </x:c>
      <x:c r="AM372" s="117" t="str">
        <x:v>2026-09-08</x:v>
      </x:c>
      <x:c r="AN372" s="117"/>
      <x:c r="AO372" s="117"/>
      <x:c r="AP372" s="117" t="str">
        <x:v>No usable pair located; image research pending</x:v>
      </x:c>
      <x:c r="AQ372" s="117"/>
    </x:row>
    <x:row r="373" ht="66" customHeight="1">
      <x:c r="A373" s="117" t="str">
        <x:v>MC0370</x:v>
      </x:c>
      <x:c r="B373" s="117" t="str">
        <x:v>Kelah Sanctuary</x:v>
      </x:c>
      <x:c r="C373" s="117" t="str">
        <x:v>Terengganu</x:v>
      </x:c>
      <x:c r="D373" s="117" t="str">
        <x:v>Hulu Terengganu</x:v>
      </x:c>
      <x:c r="E373" s="117" t="str">
        <x:v>Wildlife</x:v>
      </x:c>
      <x:c r="F373" s="117" t="str">
        <x:v>Rural</x:v>
      </x:c>
      <x:c r="G373" s="117" t="str">
        <x:v>Outdoor</x:v>
      </x:c>
      <x:c r="H373" s="117" t="str">
        <x:v>fish sanctuary; river; rainforest</x:v>
      </x:c>
      <x:c r="I373" s="117" t="str">
        <x:v>A river sanctuary for Malaysian mahseer (kelah) fish in Hulu Terengganu district.</x:v>
      </x:c>
      <x:c r="J373" s="117" t="str">
        <x:v>https://www.google.com/maps/search/?api=1&amp;query=Kelah%20Sanctuary%2C%20Terengganu%2C%20Malaysia</x:v>
      </x:c>
      <x:c r="K373" s="117" t="str">
        <x:v>https://ebrochures.malaysia.travel/en/malaysia-travel-guide/terengganu/</x:v>
      </x:c>
      <x:c r="L373" s="117" t="str">
        <x:v>Tourism Malaysia state guide plus map discovery link</x:v>
      </x:c>
      <x:c r="M373" s="117" t="str">
        <x:v>Terengganu expansion batch</x:v>
      </x:c>
      <x:c r="N373" s="117"/>
      <x:c r="O373" s="117" t="str">
        <x:v>2026-08-15 00:00:00</x:v>
      </x:c>
      <x:c r="P373" s="117" t="str">
        <x:v>Complete</x:v>
      </x:c>
      <x:c r="Q373" s="117"/>
      <x:c r="R373" s="117" t="str">
        <x:f t="shared" si="5">IF(J373="","Missing Link",IF(AND(ISNUMBER(SEARCH("google.com/maps",J373)),ISERROR(SEARCH(";",J373))),"Discovery Link Only","Source Link Present"))</x:f>
        <x:v>Discovery Link Only</x:v>
      </x:c>
      <x:c r="S373" s="117" t="str">
        <x:v>Unknown</x:v>
      </x:c>
      <x:c r="T373" s="117" t="str">
        <x:v>Unknown</x:v>
      </x:c>
      <x:c r="U373" s="117" t="str">
        <x:v>Unknown</x:v>
      </x:c>
      <x:c r="V373" s="117" t="str">
        <x:v>Unknown</x:v>
      </x:c>
      <x:c r="W373" s="117" t="str">
        <x:v>Unknown</x:v>
      </x:c>
      <x:c r="X373" s="117" t="str">
        <x:v>Unknown</x:v>
      </x:c>
      <x:c r="Y373" s="117" t="str">
        <x:v>Unknown</x:v>
      </x:c>
      <x:c r="Z373" s="117"/>
      <x:c r="AA373" s="117" t="str">
        <x:v>Pending evidence</x:v>
      </x:c>
      <x:c r="AB373" s="117"/>
      <x:c r="AC373" s="117" t="str">
        <x:v>No qualifying accessibility conclusion established from the screened sources. This is unknown, not evidence that the attraction is inaccessible.</x:v>
      </x:c>
      <x:c r="AD373" s="117" t="str">
        <x:v>2026-09-08</x:v>
      </x:c>
      <x:c r="AE373" s="117" t="str">
        <x:v>MC0370</x:v>
      </x:c>
      <x:c r="AF373" s="117" t="str">
        <x:v>Distinct candidate</x:v>
      </x:c>
      <x:c r="AG373" s="117" t="str"/>
      <x:c r="AH373" s="117" t="str">
        <x:v>Name corroborated in source</x:v>
      </x:c>
      <x:c r="AI373" s="117" t="str">
        <x:v>https://ebrochures.malaysia.travel/en/malaysia-travel-guide/terengganu/</x:v>
      </x:c>
      <x:c r="AJ373" s="117" t="str">
        <x:v>Place name or established alias matched in the cited source. This is not confirmation of current opening, all visitor facilities or the full description.</x:v>
      </x:c>
      <x:c r="AK373" s="117" t="str">
        <x:v>Not independently confirmed</x:v>
      </x:c>
      <x:c r="AL373" s="117" t="str">
        <x:v>Screened sources; accessibility unresolved</x:v>
      </x:c>
      <x:c r="AM373" s="117" t="str">
        <x:v>2026-09-08</x:v>
      </x:c>
      <x:c r="AN373" s="117"/>
      <x:c r="AO373" s="117"/>
      <x:c r="AP373" s="117" t="str">
        <x:v>No usable pair located; image research pending</x:v>
      </x:c>
      <x:c r="AQ373" s="117"/>
    </x:row>
    <x:row r="374" ht="66" customHeight="1">
      <x:c r="A374" s="117" t="str">
        <x:v>MC0371</x:v>
      </x:c>
      <x:c r="B374" s="117" t="str">
        <x:v>Rantau Abang Turtle Beach</x:v>
      </x:c>
      <x:c r="C374" s="117" t="str">
        <x:v>Terengganu</x:v>
      </x:c>
      <x:c r="D374" s="117" t="str">
        <x:v>Rantau Abang</x:v>
      </x:c>
      <x:c r="E374" s="117" t="str">
        <x:v>Wildlife</x:v>
      </x:c>
      <x:c r="F374" s="117" t="str">
        <x:v>Popular</x:v>
      </x:c>
      <x:c r="G374" s="117" t="str">
        <x:v>Outdoor</x:v>
      </x:c>
      <x:c r="H374" s="117" t="str">
        <x:v>turtles; beach; conservation</x:v>
      </x:c>
      <x:c r="I374" s="117" t="str">
        <x:v>A beach in Rantau Abang, Terengganu, historically known as a major leatherback turtle nesting site.</x:v>
      </x:c>
      <x:c r="J374" s="117" t="str">
        <x:v>https://www.google.com/maps/search/?api=1&amp;query=Rantau%20Abang%20Turtle%20Beach%2C%20Terengganu%2C%20Malaysia</x:v>
      </x:c>
      <x:c r="K374" s="117" t="str">
        <x:v>https://ebrochures.malaysia.travel/en/malaysia-travel-guide/terengganu/</x:v>
      </x:c>
      <x:c r="L374" s="117" t="str">
        <x:v>Tourism Malaysia state guide plus map discovery link</x:v>
      </x:c>
      <x:c r="M374" s="117" t="str">
        <x:v>Terengganu expansion batch</x:v>
      </x:c>
      <x:c r="N374" s="117"/>
      <x:c r="O374" s="117" t="str">
        <x:v>2026-08-15 00:00:00</x:v>
      </x:c>
      <x:c r="P374" s="117" t="str">
        <x:v>Complete</x:v>
      </x:c>
      <x:c r="Q374" s="117" t="str">
        <x:v>Identity and Malaysian location verified in second-pass review on 2026-09-08.</x:v>
      </x:c>
      <x:c r="R374" s="117" t="str">
        <x:f t="shared" si="5">IF(J374="","Missing Link",IF(AND(ISNUMBER(SEARCH("google.com/maps",J374)),ISERROR(SEARCH(";",J374))),"Discovery Link Only","Source Link Present"))</x:f>
        <x:v>Discovery Link Only</x:v>
      </x:c>
      <x:c r="S374" s="117" t="str">
        <x:v>Unknown</x:v>
      </x:c>
      <x:c r="T374" s="117" t="str">
        <x:v>Unknown</x:v>
      </x:c>
      <x:c r="U374" s="117" t="str">
        <x:v>Unknown</x:v>
      </x:c>
      <x:c r="V374" s="117" t="str">
        <x:v>Unknown</x:v>
      </x:c>
      <x:c r="W374" s="117" t="str">
        <x:v>Unknown</x:v>
      </x:c>
      <x:c r="X374" s="117" t="str">
        <x:v>Unknown</x:v>
      </x:c>
      <x:c r="Y374" s="117" t="str">
        <x:v>Unknown</x:v>
      </x:c>
      <x:c r="Z374" s="117"/>
      <x:c r="AA374" s="117" t="str">
        <x:v>Pending evidence</x:v>
      </x:c>
      <x:c r="AB374" s="117"/>
      <x:c r="AC374" s="117" t="str">
        <x:v>No qualifying accessibility conclusion established from the screened sources. This is unknown, not evidence that the attraction is inaccessible.</x:v>
      </x:c>
      <x:c r="AD374" s="117" t="str">
        <x:v>2026-09-08</x:v>
      </x:c>
      <x:c r="AE374" s="117" t="str">
        <x:v>MC0371</x:v>
      </x:c>
      <x:c r="AF374" s="117" t="str">
        <x:v>Distinct candidate</x:v>
      </x:c>
      <x:c r="AG374" s="117" t="str"/>
      <x:c r="AH374" s="117" t="str">
        <x:v>Identity and location corroborated</x:v>
      </x:c>
      <x:c r="AI374" s="117" t="str">
        <x:v>https://www.terengganutourism.com/tours_rantau_abang_turtle_sanctuary.pdf</x:v>
      </x:c>
      <x:c r="AJ374" s="117" t="str">
        <x:v>Official state tourism source matches the attraction name or established alias and the stated Malaysian location. This verifies identity/location only; confirm current opening and accessibility separately.</x:v>
      </x:c>
      <x:c r="AK374" s="117" t="str">
        <x:v>Not independently confirmed</x:v>
      </x:c>
      <x:c r="AL374" s="117" t="str">
        <x:v>Screened sources; accessibility unresolved</x:v>
      </x:c>
      <x:c r="AM374" s="117" t="str">
        <x:v>2026-09-08</x:v>
      </x:c>
      <x:c r="AN374" s="117"/>
      <x:c r="AO374" s="117"/>
      <x:c r="AP374" s="117" t="str">
        <x:v>No usable pair located; image research pending</x:v>
      </x:c>
      <x:c r="AQ374" s="117"/>
    </x:row>
    <x:row r="375" ht="66" customHeight="1">
      <x:c r="A375" s="117" t="str">
        <x:v>MC0372</x:v>
      </x:c>
      <x:c r="B375" s="117" t="str">
        <x:v>KL Bird Park</x:v>
      </x:c>
      <x:c r="C375" s="117" t="str">
        <x:v>W.P. Kuala Lumpur</x:v>
      </x:c>
      <x:c r="D375" s="117" t="str">
        <x:v>Perdana Botanical Gardens / Tasik Perdana</x:v>
      </x:c>
      <x:c r="E375" s="117" t="str">
        <x:v>Wildlife</x:v>
      </x:c>
      <x:c r="F375" s="117" t="str">
        <x:v>Unclassified</x:v>
      </x:c>
      <x:c r="G375" s="117" t="str">
        <x:v>Both</x:v>
      </x:c>
      <x:c r="H375" s="117" t="str">
        <x:v>Bird park; aviary; free-flight aviary; wildlife; birds; birdwatching; ecotourism; family attraction; education; conservation; photography; bird show; bird feeding; hornbill; flamingo; parrot; macaw; eagle; ostrich; Birds of Paradise; Rhinoceros Hornbill; landscaped park; nature; outdoor walking; Kuala Lumpur Lake Gardens</x:v>
      </x:c>
      <x:c r="I375" s="117" t="str">
        <x:v>A 20.9-acre bird park beside Perdana Botanical Gardens, housing about 3,000 local and international birds from more than 200 species. Its four zones combine large free-flight walk-in aviaries with hornbills, parrots, flightless birds, feeding sessions, educational displays and scheduled bird shows.</x:v>
      </x:c>
      <x:c r="J375" s="117" t="str">
        <x:v>https://www.malaysia.travel/explore/kl-bird-park ; https://www.klbirdpark.com/ ; https://www.klbirdpark.com/plan-your-visit/ ; https://www.klbirdpark.com/contacts/ ; https://www.malaysia.travel/storage/files/pdf/2026-Malaysia-Surreal-Experience.pdf ; https://ebrochures.malaysia.travel/en/malaysia-travel-guide/kuala-lumpur/ ; https://www.findlatitudeandlongitude.com/l/Kuala%2BLumpur%2BBird%2BPark%252C%2B920%252C%2BJalan%2BCenderawasih%252C%2BPerdana%2BBotanical%2BGardens%252C%2BKuala%2BLumpur%252C%2BKuala%2BLumpur%252C%2BMalaysia%252C%2B50480/6564055/</x:v>
      </x:c>
      <x:c r="K375" s="117" t="str">
        <x:v>https://ebrochures.malaysia.travel/en/malaysia-travel-guide/kuala-lumpur/</x:v>
      </x:c>
      <x:c r="L375" s="117" t="str">
        <x:v>Previous workbook candidate/source lead</x:v>
      </x:c>
      <x:c r="M375" s="117" t="str">
        <x:v>Previous workbook seed</x:v>
      </x:c>
      <x:c r="N375" s="117" t="str">
        <x:v>A027</x:v>
      </x:c>
      <x:c r="O375" s="117" t="str">
        <x:v>2026-08-15 00:00:00</x:v>
      </x:c>
      <x:c r="P375" s="117" t="str">
        <x:v>Complete</x:v>
      </x:c>
      <x:c r="Q375" s="117"/>
      <x:c r="R375" s="117" t="str">
        <x:f t="shared" si="5">IF(J375="","Missing Link",IF(AND(ISNUMBER(SEARCH("google.com/maps",J375)),ISERROR(SEARCH(";",J375))),"Discovery Link Only","Source Link Present"))</x:f>
        <x:v>Source Link Present</x:v>
      </x:c>
      <x:c r="S375" s="117" t="str">
        <x:v>Not measured</x:v>
      </x:c>
      <x:c r="T375" s="117" t="str">
        <x:v>Partial - majority of park</x:v>
      </x:c>
      <x:c r="U375" s="117" t="str">
        <x:v>Unknown</x:v>
      </x:c>
      <x:c r="V375" s="117" t="str">
        <x:v>Unknown</x:v>
      </x:c>
      <x:c r="W375" s="117" t="str">
        <x:v>Unknown</x:v>
      </x:c>
      <x:c r="X375" s="117" t="str">
        <x:v>Unknown</x:v>
      </x:c>
      <x:c r="Y375" s="117" t="str">
        <x:v>Conditional on mobility and route</x:v>
      </x:c>
      <x:c r="Z375" s="117" t="str">
        <x:v>The operator explicitly says wheelchair and stroller rental is unavailable. Bring the required mobility aid. Outdoor paths and rain conditions may affect the visit.</x:v>
      </x:c>
      <x:c r="AA375" s="117" t="str">
        <x:v>Documented support - conditional</x:v>
      </x:c>
      <x:c r="AB375" s="117" t="str">
        <x:v>https://www.klbirdpark.com/plan-your-visit/</x:v>
      </x:c>
      <x:c r="AC375" s="117" t="str">
        <x:v>Most park areas; some routes may differ</x:v>
      </x:c>
      <x:c r="AD375" s="117" t="str">
        <x:v>2026-09-08</x:v>
      </x:c>
      <x:c r="AE375" s="117" t="str">
        <x:v>MC0372</x:v>
      </x:c>
      <x:c r="AF375" s="117" t="str">
        <x:v>Distinct candidate</x:v>
      </x:c>
      <x:c r="AG375" s="117" t="str"/>
      <x:c r="AH375" s="117" t="str">
        <x:v>Venue-specific source reviewed</x:v>
      </x:c>
      <x:c r="AI375" s="117" t="str">
        <x:v>https://www.klbirdpark.com/plan-your-visit/</x:v>
      </x:c>
      <x:c r="AJ375" s="117" t="str">
        <x:v>Place name or established alias matched in the cited source. This is not confirmation of current opening, all visitor facilities or the full description.</x:v>
      </x:c>
      <x:c r="AK375" s="117" t="str">
        <x:v>Not independently confirmed</x:v>
      </x:c>
      <x:c r="AL375" s="117" t="str">
        <x:v>Primary accessibility evidence reviewed</x:v>
      </x:c>
      <x:c r="AM375" s="117" t="str">
        <x:v>2026-09-08</x:v>
      </x:c>
      <x:c r="AN375" s="117"/>
      <x:c r="AO375" s="117"/>
      <x:c r="AP375" s="117" t="str">
        <x:v>No usable pair located; image research pending</x:v>
      </x:c>
      <x:c r="AQ375" s="117"/>
    </x:row>
    <x:row r="376" ht="66" customHeight="1">
      <x:c r="A376" s="117" t="str">
        <x:v>MC0373</x:v>
      </x:c>
      <x:c r="B376" s="117" t="str">
        <x:v>Petronas Twin Towers</x:v>
      </x:c>
      <x:c r="C376" s="117" t="str">
        <x:v>W.P. Kuala Lumpur</x:v>
      </x:c>
      <x:c r="D376" s="117" t="str">
        <x:v>Kuala Lumpur City Centre</x:v>
      </x:c>
      <x:c r="E376" s="117" t="str">
        <x:v>Urban Attraction</x:v>
      </x:c>
      <x:c r="F376" s="117" t="str">
        <x:v>Unclassified</x:v>
      </x:c>
      <x:c r="G376" s="117" t="str">
        <x:v>Both</x:v>
      </x:c>
      <x:c r="H376" s="117" t="str">
        <x:v>architecture; city view; shopping; photography; landmark</x:v>
      </x:c>
      <x:c r="I376" s="117" t="str">
        <x:v>An 88-storey twin skyscraper in KLCC, once the world's tallest buildings, with a Skybridge and observation deck.</x:v>
      </x:c>
      <x:c r="J376" s="117" t="str">
        <x:v>https://www.google.com/maps/search/?api=1&amp;query=Petronas%20Twin%20Towers%2C%20Kuala%20Lumpur%2C%20Malaysia</x:v>
      </x:c>
      <x:c r="K376" s="117" t="str">
        <x:v>https://ebrochures.malaysia.travel/en/malaysia-travel-guide/kuala-lumpur/</x:v>
      </x:c>
      <x:c r="L376" s="117" t="str">
        <x:v>Previous workbook candidate/source lead</x:v>
      </x:c>
      <x:c r="M376" s="117" t="str">
        <x:v>Previous workbook seed</x:v>
      </x:c>
      <x:c r="N376" s="117" t="str">
        <x:v>A136</x:v>
      </x:c>
      <x:c r="O376" s="117" t="str">
        <x:v>2026-08-15 00:00:00</x:v>
      </x:c>
      <x:c r="P376" s="117" t="str">
        <x:v>Complete</x:v>
      </x:c>
      <x:c r="Q376" s="117"/>
      <x:c r="R376" s="117" t="str">
        <x:f t="shared" si="5">IF(J376="","Missing Link",IF(AND(ISNUMBER(SEARCH("google.com/maps",J376)),ISERROR(SEARCH(";",J376))),"Discovery Link Only","Source Link Present"))</x:f>
        <x:v>Discovery Link Only</x:v>
      </x:c>
      <x:c r="S376" s="117" t="str">
        <x:v>Not measured</x:v>
      </x:c>
      <x:c r="T376" s="117" t="str">
        <x:v>Unknown</x:v>
      </x:c>
      <x:c r="U376" s="117" t="str">
        <x:v>Unknown</x:v>
      </x:c>
      <x:c r="V376" s="117" t="str">
        <x:v>Yes - documented</x:v>
      </x:c>
      <x:c r="W376" s="117" t="str">
        <x:v>Unknown</x:v>
      </x:c>
      <x:c r="X376" s="117" t="str">
        <x:v>Unknown</x:v>
      </x:c>
      <x:c r="Y376" s="117" t="str">
        <x:v>Conditional on mobility and route</x:v>
      </x:c>
      <x:c r="Z376" s="117" t="str">
        <x:v>Wheelchairs are first-come, first-served. Notify the operator of wheelchair use or additional assistance before the visit. Do not extend these claims to every part of the surrounding KLCC precinct.</x:v>
      </x:c>
      <x:c r="AA376" s="117" t="str">
        <x:v>Documented support - conditional</x:v>
      </x:c>
      <x:c r="AB376" s="117" t="str">
        <x:v>https://www.petronastwintowers.com.my/plan-your-visit/facilities-accessibility/
https://eticket.petronastwintowers.com.my/?lang=en</x:v>
      </x:c>
      <x:c r="AC376" s="117" t="str">
        <x:v>PETRONAS Twin Towers visitor centre and tour assistance</x:v>
      </x:c>
      <x:c r="AD376" s="117" t="str">
        <x:v>2026-09-08</x:v>
      </x:c>
      <x:c r="AE376" s="117" t="str">
        <x:v>MC0373</x:v>
      </x:c>
      <x:c r="AF376" s="117" t="str">
        <x:v>Distinct candidate</x:v>
      </x:c>
      <x:c r="AG376" s="117" t="str"/>
      <x:c r="AH376" s="117" t="str">
        <x:v>Venue-specific source reviewed</x:v>
      </x:c>
      <x:c r="AI376" s="117" t="str">
        <x:v>https://www.petronastwintowers.com.my/plan-your-visit/facilities-accessibility/</x:v>
      </x:c>
      <x:c r="AJ376" s="117" t="str">
        <x:v>Place name or established alias matched in the cited source. This is not confirmation of current opening, all visitor facilities or the full description.</x:v>
      </x:c>
      <x:c r="AK376" s="117" t="str">
        <x:v>Not independently confirmed</x:v>
      </x:c>
      <x:c r="AL376" s="117" t="str">
        <x:v>Primary accessibility evidence reviewed</x:v>
      </x:c>
      <x:c r="AM376" s="117" t="str">
        <x:v>2026-09-08</x:v>
      </x:c>
      <x:c r="AN376" s="117" t="str">
        <x:v>https://thumb.wikimedia.org/wikipedia/commons/thumb/5/5a/Petronas_Twin_Towera_from_KLCC_Park.jpg/1280px-Petronas_Twin_Towera_from_KLCC_Park.jpg?utm_source=commons.wikimedia.org&amp;utm_campaign=imageinfo&amp;utm_content=thumbnail</x:v>
      </x:c>
      <x:c r="AO376" s="117" t="str">
        <x:v>https://thumb.wikimedia.org/wikipedia/commons/thumb/6/6d/Petronas_Twin_Towers_2010_April.jpg/1280px-Petronas_Twin_Towers_2010_April.jpg?utm_source=commons.wikimedia.org&amp;utm_campaign=imageinfo&amp;utm_content=thumbnail</x:v>
      </x:c>
      <x:c r="AP376" s="117" t="str">
        <x:v>2 metadata-matched images; visual review pending</x:v>
      </x:c>
      <x:c r="AQ376" s="117"/>
    </x:row>
    <x:row r="377" ht="66" customHeight="1">
      <x:c r="A377" s="117" t="str">
        <x:v>MC0374</x:v>
      </x:c>
      <x:c r="B377" s="117" t="str">
        <x:v>KLCC Park</x:v>
      </x:c>
      <x:c r="C377" s="117" t="str">
        <x:v>W.P. Kuala Lumpur</x:v>
      </x:c>
      <x:c r="D377" s="117" t="str">
        <x:v>Kuala Lumpur City Centre</x:v>
      </x:c>
      <x:c r="E377" s="117" t="str">
        <x:v>Park and Recreation</x:v>
      </x:c>
      <x:c r="F377" s="117" t="str">
        <x:v>Unclassified</x:v>
      </x:c>
      <x:c r="G377" s="117" t="str">
        <x:v>Outdoor</x:v>
      </x:c>
      <x:c r="H377" s="117" t="str">
        <x:v>urban park; walking; relaxation; family; scenery</x:v>
      </x:c>
      <x:c r="I377" s="117" t="str">
        <x:v>A landscaped park at the foot of the Petronas Twin Towers, featuring the Lake Symphony fountain show and a wading pool.</x:v>
      </x:c>
      <x:c r="J377" s="117" t="str">
        <x:v>https://www.google.com/maps/search/?api=1&amp;query=KLCC%20Park%2C%20Kuala%20Lumpur%2C%20Malaysia</x:v>
      </x:c>
      <x:c r="K377" s="117" t="str">
        <x:v>https://ebrochures.malaysia.travel/en/malaysia-travel-guide/kuala-lumpur/</x:v>
      </x:c>
      <x:c r="L377" s="117" t="str">
        <x:v>Previous workbook candidate/source lead</x:v>
      </x:c>
      <x:c r="M377" s="117" t="str">
        <x:v>Previous workbook seed</x:v>
      </x:c>
      <x:c r="N377" s="117" t="str">
        <x:v>A137</x:v>
      </x:c>
      <x:c r="O377" s="117" t="str">
        <x:v>2026-08-15 00:00:00</x:v>
      </x:c>
      <x:c r="P377" s="117" t="str">
        <x:v>Complete</x:v>
      </x:c>
      <x:c r="Q377" s="117"/>
      <x:c r="R377" s="117" t="str">
        <x:f t="shared" si="5">IF(J377="","Missing Link",IF(AND(ISNUMBER(SEARCH("google.com/maps",J377)),ISERROR(SEARCH(";",J377))),"Discovery Link Only","Source Link Present"))</x:f>
        <x:v>Discovery Link Only</x:v>
      </x:c>
      <x:c r="S377" s="117" t="str">
        <x:v>Unknown</x:v>
      </x:c>
      <x:c r="T377" s="117" t="str">
        <x:v>Unknown</x:v>
      </x:c>
      <x:c r="U377" s="117" t="str">
        <x:v>Unknown</x:v>
      </x:c>
      <x:c r="V377" s="117" t="str">
        <x:v>Unknown</x:v>
      </x:c>
      <x:c r="W377" s="117" t="str">
        <x:v>Unknown</x:v>
      </x:c>
      <x:c r="X377" s="117" t="str">
        <x:v>Unknown</x:v>
      </x:c>
      <x:c r="Y377" s="117" t="str">
        <x:v>Unknown</x:v>
      </x:c>
      <x:c r="Z377" s="117"/>
      <x:c r="AA377" s="117" t="str">
        <x:v>Pending evidence</x:v>
      </x:c>
      <x:c r="AB377" s="117"/>
      <x:c r="AC377" s="117" t="str">
        <x:v>No qualifying accessibility conclusion established from the screened sources. This is unknown, not evidence that the attraction is inaccessible.</x:v>
      </x:c>
      <x:c r="AD377" s="117" t="str">
        <x:v>2026-09-08</x:v>
      </x:c>
      <x:c r="AE377" s="117" t="str">
        <x:v>MC0374</x:v>
      </x:c>
      <x:c r="AF377" s="117" t="str">
        <x:v>Distinct candidate</x:v>
      </x:c>
      <x:c r="AG377" s="117" t="str"/>
      <x:c r="AH377" s="117" t="str">
        <x:v>Name corroborated in source</x:v>
      </x:c>
      <x:c r="AI377" s="117" t="str">
        <x:v>https://ebrochures.malaysia.travel/en/malaysia-travel-guide/kuala-lumpur/</x:v>
      </x:c>
      <x:c r="AJ377" s="117" t="str">
        <x:v>Place name or established alias matched in the cited source. This is not confirmation of current opening, all visitor facilities or the full description.</x:v>
      </x:c>
      <x:c r="AK377" s="117" t="str">
        <x:v>Not independently confirmed</x:v>
      </x:c>
      <x:c r="AL377" s="117" t="str">
        <x:v>Screened sources; accessibility unresolved</x:v>
      </x:c>
      <x:c r="AM377" s="117" t="str">
        <x:v>2026-09-08</x:v>
      </x:c>
      <x:c r="AN377" s="117" t="str">
        <x:v>https://thumb.wikimedia.org/wikipedia/commons/thumb/5/5a/Petronas_Twin_Towera_from_KLCC_Park.jpg/1280px-Petronas_Twin_Towera_from_KLCC_Park.jpg?utm_source=commons.wikimedia.org&amp;utm_campaign=imageinfo&amp;utm_content=thumbnail</x:v>
      </x:c>
      <x:c r="AO377" s="117" t="str">
        <x:v>https://thumb.wikimedia.org/wikipedia/commons/thumb/2/24/Kuala_Lumpur._KLCC_Park._2019-12-09_22-22-58.jpg/1280px-Kuala_Lumpur._KLCC_Park._2019-12-09_22-22-58.jpg?utm_source=commons.wikimedia.org&amp;utm_campaign=imageinfo&amp;utm_content=thumbnail</x:v>
      </x:c>
      <x:c r="AP377" s="117" t="str">
        <x:v>2 metadata-matched images; visual review pending</x:v>
      </x:c>
      <x:c r="AQ377" s="117"/>
    </x:row>
    <x:row r="378" ht="66" customHeight="1">
      <x:c r="A378" s="117" t="str">
        <x:v>MC0375</x:v>
      </x:c>
      <x:c r="B378" s="117" t="str">
        <x:v>Aquaria KLCC</x:v>
      </x:c>
      <x:c r="C378" s="117" t="str">
        <x:v>W.P. Kuala Lumpur</x:v>
      </x:c>
      <x:c r="D378" s="117" t="str">
        <x:v>Kuala Lumpur City Centre</x:v>
      </x:c>
      <x:c r="E378" s="117" t="str">
        <x:v>Family Attraction</x:v>
      </x:c>
      <x:c r="F378" s="117" t="str">
        <x:v>Unclassified</x:v>
      </x:c>
      <x:c r="G378" s="117" t="str">
        <x:v>Indoor</x:v>
      </x:c>
      <x:c r="H378" s="117" t="str">
        <x:v>aquarium; marine life; family; children; indoor</x:v>
      </x:c>
      <x:c r="I378" s="117" t="str">
        <x:v>An aquarium beneath the Kuala Lumpur Convention Centre showcasing marine and freshwater species via a walk-through tunnel.</x:v>
      </x:c>
      <x:c r="J378" s="117" t="str">
        <x:v>https://www.google.com/maps/search/?api=1&amp;query=Aquaria%20KLCC%2C%20Kuala%20Lumpur%2C%20Malaysia</x:v>
      </x:c>
      <x:c r="K378" s="117" t="str">
        <x:v>https://ebrochures.malaysia.travel/en/malaysia-travel-guide/kuala-lumpur/</x:v>
      </x:c>
      <x:c r="L378" s="117" t="str">
        <x:v>Previous workbook candidate/source lead</x:v>
      </x:c>
      <x:c r="M378" s="117" t="str">
        <x:v>Previous workbook seed</x:v>
      </x:c>
      <x:c r="N378" s="117" t="str">
        <x:v>A138</x:v>
      </x:c>
      <x:c r="O378" s="117" t="str">
        <x:v>2026-08-15 00:00:00</x:v>
      </x:c>
      <x:c r="P378" s="117" t="str">
        <x:v>Complete</x:v>
      </x:c>
      <x:c r="Q378" s="117"/>
      <x:c r="R378" s="117" t="str">
        <x:f t="shared" si="5">IF(J378="","Missing Link",IF(AND(ISNUMBER(SEARCH("google.com/maps",J378)),ISERROR(SEARCH(";",J378))),"Discovery Link Only","Source Link Present"))</x:f>
        <x:v>Discovery Link Only</x:v>
      </x:c>
      <x:c r="S378" s="117" t="str">
        <x:v>Not measured</x:v>
      </x:c>
      <x:c r="T378" s="117" t="str">
        <x:v>Reported; not operator-confirmed</x:v>
      </x:c>
      <x:c r="U378" s="117" t="str">
        <x:v>Unknown</x:v>
      </x:c>
      <x:c r="V378" s="117" t="str">
        <x:v>Unknown</x:v>
      </x:c>
      <x:c r="W378" s="117" t="str">
        <x:v>Unknown</x:v>
      </x:c>
      <x:c r="X378" s="117" t="str">
        <x:v>Unknown</x:v>
      </x:c>
      <x:c r="Y378" s="117" t="str">
        <x:v>Conditional on mobility and route</x:v>
      </x:c>
      <x:c r="Z378" s="117" t="str">
        <x:v>Headout lists wheelchair accessibility. The previous claims about three separate step-free approach routes are not substantiated by this page and have been removed.</x:v>
      </x:c>
      <x:c r="AA378" s="117" t="str">
        <x:v>Reported support - confirm</x:v>
      </x:c>
      <x:c r="AB378" s="117" t="str">
        <x:v>https://www.headout.com/aquaria-klcc-tickets/skip-the-line-tickets-to-aquaria-klcc-e-12424/</x:v>
      </x:c>
      <x:c r="AC378" s="117" t="str">
        <x:v>Aquaria KLCC ticketed experience</x:v>
      </x:c>
      <x:c r="AD378" s="117" t="str">
        <x:v>2026-09-08</x:v>
      </x:c>
      <x:c r="AE378" s="117" t="str">
        <x:v>MC0375</x:v>
      </x:c>
      <x:c r="AF378" s="117" t="str">
        <x:v>Distinct candidate</x:v>
      </x:c>
      <x:c r="AG378" s="117" t="str"/>
      <x:c r="AH378" s="117" t="str">
        <x:v>Venue-specific source reviewed</x:v>
      </x:c>
      <x:c r="AI378" s="117" t="str">
        <x:v>https://www.headout.com/aquaria-klcc-tickets/skip-the-line-tickets-to-aquaria-klcc-e-12424/</x:v>
      </x:c>
      <x:c r="AJ378" s="117" t="str">
        <x:v>Place name or established alias matched in the cited source. This is not confirmation of current opening, all visitor facilities or the full description.</x:v>
      </x:c>
      <x:c r="AK378" s="117" t="str">
        <x:v>Not independently confirmed</x:v>
      </x:c>
      <x:c r="AL378" s="117" t="str">
        <x:v>Secondary accessibility evidence reviewed</x:v>
      </x:c>
      <x:c r="AM378" s="117" t="str">
        <x:v>2026-09-08</x:v>
      </x:c>
      <x:c r="AN378" s="117" t="str">
        <x:v>https://thumb.wikimedia.org/wikipedia/commons/thumb/8/8c/Underwater_tunnel_in_Aquaria_KLCC.jpg/1280px-Underwater_tunnel_in_Aquaria_KLCC.jpg?utm_source=commons.wikimedia.org&amp;utm_campaign=imageinfo&amp;utm_content=thumbnail</x:v>
      </x:c>
      <x:c r="AO378" s="117"/>
      <x:c r="AP378" s="117" t="str">
        <x:v>1 metadata-matched images; visual review pending</x:v>
      </x:c>
      <x:c r="AQ378" s="117"/>
    </x:row>
    <x:row r="379" ht="66" customHeight="1">
      <x:c r="A379" s="117" t="str">
        <x:v>MC0376</x:v>
      </x:c>
      <x:c r="B379" s="117" t="str">
        <x:v>Central Market Kuala Lumpur</x:v>
      </x:c>
      <x:c r="C379" s="117" t="str">
        <x:v>W.P. Kuala Lumpur</x:v>
      </x:c>
      <x:c r="D379" s="117" t="str">
        <x:v>City Centre</x:v>
      </x:c>
      <x:c r="E379" s="117" t="str">
        <x:v>Shopping</x:v>
      </x:c>
      <x:c r="F379" s="117" t="str">
        <x:v>Local</x:v>
      </x:c>
      <x:c r="G379" s="117" t="str">
        <x:v>Indoor</x:v>
      </x:c>
      <x:c r="H379" s="117" t="str">
        <x:v>market; handicrafts; shopping; culture; local food</x:v>
      </x:c>
      <x:c r="I379" s="117" t="str">
        <x:v>A historic Art Deco market building in downtown Kuala Lumpur, now a hub for arts, crafts and cultural souvenirs.</x:v>
      </x:c>
      <x:c r="J379" s="117" t="str">
        <x:v>https://www.google.com/maps/search/?api=1&amp;query=Central%20Market%20Kuala%20Lumpur%2C%20Kuala%20Lumpur%2C%20Malaysia</x:v>
      </x:c>
      <x:c r="K379" s="117" t="str">
        <x:v>https://ebrochures.malaysia.travel/en/malaysia-travel-guide/kuala-lumpur/</x:v>
      </x:c>
      <x:c r="L379" s="117" t="str">
        <x:v>Previous workbook candidate/source lead</x:v>
      </x:c>
      <x:c r="M379" s="117" t="str">
        <x:v>Previous workbook seed</x:v>
      </x:c>
      <x:c r="N379" s="117" t="str">
        <x:v>A139</x:v>
      </x:c>
      <x:c r="O379" s="117" t="str">
        <x:v>2026-08-15 00:00:00</x:v>
      </x:c>
      <x:c r="P379" s="117" t="str">
        <x:v>Complete</x:v>
      </x:c>
      <x:c r="Q379" s="117"/>
      <x:c r="R379" s="117" t="str">
        <x:f t="shared" si="5">IF(J379="","Missing Link",IF(AND(ISNUMBER(SEARCH("google.com/maps",J379)),ISERROR(SEARCH(";",J379))),"Discovery Link Only","Source Link Present"))</x:f>
        <x:v>Discovery Link Only</x:v>
      </x:c>
      <x:c r="S379" s="117" t="str">
        <x:v>Unknown</x:v>
      </x:c>
      <x:c r="T379" s="117" t="str">
        <x:v>Unknown</x:v>
      </x:c>
      <x:c r="U379" s="117" t="str">
        <x:v>Unknown</x:v>
      </x:c>
      <x:c r="V379" s="117" t="str">
        <x:v>Unknown</x:v>
      </x:c>
      <x:c r="W379" s="117" t="str">
        <x:v>Unknown</x:v>
      </x:c>
      <x:c r="X379" s="117" t="str">
        <x:v>Unknown</x:v>
      </x:c>
      <x:c r="Y379" s="117" t="str">
        <x:v>Unknown</x:v>
      </x:c>
      <x:c r="Z379" s="117"/>
      <x:c r="AA379" s="117" t="str">
        <x:v>Pending evidence</x:v>
      </x:c>
      <x:c r="AB379" s="117"/>
      <x:c r="AC379" s="117" t="str">
        <x:v>No qualifying accessibility conclusion established from the screened sources. This is unknown, not evidence that the attraction is inaccessible.</x:v>
      </x:c>
      <x:c r="AD379" s="117" t="str">
        <x:v>2026-09-08</x:v>
      </x:c>
      <x:c r="AE379" s="117" t="str">
        <x:v>MC0376</x:v>
      </x:c>
      <x:c r="AF379" s="117" t="str">
        <x:v>Distinct candidate</x:v>
      </x:c>
      <x:c r="AG379" s="117" t="str"/>
      <x:c r="AH379" s="117" t="str">
        <x:v>Name corroborated in source</x:v>
      </x:c>
      <x:c r="AI379" s="117" t="str">
        <x:v>https://ebrochures.malaysia.travel/en/malaysia-travel-guide/kuala-lumpur/</x:v>
      </x:c>
      <x:c r="AJ379" s="117" t="str">
        <x:v>Place name or established alias matched in the cited source. This is not confirmation of current opening, all visitor facilities or the full description.</x:v>
      </x:c>
      <x:c r="AK379" s="117" t="str">
        <x:v>Not independently confirmed</x:v>
      </x:c>
      <x:c r="AL379" s="117" t="str">
        <x:v>Screened sources; accessibility unresolved</x:v>
      </x:c>
      <x:c r="AM379" s="117" t="str">
        <x:v>2026-09-08</x:v>
      </x:c>
      <x:c r="AN379" s="117"/>
      <x:c r="AO379" s="117"/>
      <x:c r="AP379" s="117" t="str">
        <x:v>No usable pair located; image research pending</x:v>
      </x:c>
      <x:c r="AQ379" s="117"/>
    </x:row>
    <x:row r="380" ht="66" customHeight="1">
      <x:c r="A380" s="117" t="str">
        <x:v>MC0377</x:v>
      </x:c>
      <x:c r="B380" s="117" t="str">
        <x:v>Perdana Botanical Gardens</x:v>
      </x:c>
      <x:c r="C380" s="117" t="str">
        <x:v>W.P. Kuala Lumpur</x:v>
      </x:c>
      <x:c r="D380" s="117" t="str">
        <x:v>Lake Gardens</x:v>
      </x:c>
      <x:c r="E380" s="117" t="str">
        <x:v>Wellness and Relaxation</x:v>
      </x:c>
      <x:c r="F380" s="117" t="str">
        <x:v>Unclassified</x:v>
      </x:c>
      <x:c r="G380" s="117" t="str">
        <x:v>Outdoor</x:v>
      </x:c>
      <x:c r="H380" s="117" t="str">
        <x:v>garden; walking; relaxation; nature; family</x:v>
      </x:c>
      <x:c r="I380" s="117" t="str">
        <x:v>Kuala Lumpur's main public garden, formerly the Lake Gardens, featuring landscaped grounds, a lake and a deer park.</x:v>
      </x:c>
      <x:c r="J380" s="117" t="str">
        <x:v>https://www.google.com/maps/search/?api=1&amp;query=Perdana%20Botanical%20Gardens%2C%20Kuala%20Lumpur%2C%20Malaysia</x:v>
      </x:c>
      <x:c r="K380" s="117" t="str">
        <x:v>https://ebrochures.malaysia.travel/en/malaysia-travel-guide/kuala-lumpur/</x:v>
      </x:c>
      <x:c r="L380" s="117" t="str">
        <x:v>Previous workbook candidate/source lead</x:v>
      </x:c>
      <x:c r="M380" s="117" t="str">
        <x:v>Previous workbook seed</x:v>
      </x:c>
      <x:c r="N380" s="117" t="str">
        <x:v>A140</x:v>
      </x:c>
      <x:c r="O380" s="117" t="str">
        <x:v>2026-08-15 00:00:00</x:v>
      </x:c>
      <x:c r="P380" s="117" t="str">
        <x:v>Complete</x:v>
      </x:c>
      <x:c r="Q380" s="117"/>
      <x:c r="R380" s="117" t="str">
        <x:f t="shared" si="5">IF(J380="","Missing Link",IF(AND(ISNUMBER(SEARCH("google.com/maps",J380)),ISERROR(SEARCH(";",J380))),"Discovery Link Only","Source Link Present"))</x:f>
        <x:v>Discovery Link Only</x:v>
      </x:c>
      <x:c r="S380" s="117" t="str">
        <x:v>Unknown</x:v>
      </x:c>
      <x:c r="T380" s="117" t="str">
        <x:v>Unknown</x:v>
      </x:c>
      <x:c r="U380" s="117" t="str">
        <x:v>Unknown</x:v>
      </x:c>
      <x:c r="V380" s="117" t="str">
        <x:v>Unknown</x:v>
      </x:c>
      <x:c r="W380" s="117" t="str">
        <x:v>Unknown</x:v>
      </x:c>
      <x:c r="X380" s="117" t="str">
        <x:v>Unknown</x:v>
      </x:c>
      <x:c r="Y380" s="117" t="str">
        <x:v>Unknown</x:v>
      </x:c>
      <x:c r="Z380" s="117"/>
      <x:c r="AA380" s="117" t="str">
        <x:v>Pending evidence</x:v>
      </x:c>
      <x:c r="AB380" s="117"/>
      <x:c r="AC380" s="117" t="str">
        <x:v>No qualifying accessibility conclusion established from the screened sources. This is unknown, not evidence that the attraction is inaccessible.</x:v>
      </x:c>
      <x:c r="AD380" s="117" t="str">
        <x:v>2026-09-08</x:v>
      </x:c>
      <x:c r="AE380" s="117" t="str">
        <x:v>MC0377</x:v>
      </x:c>
      <x:c r="AF380" s="117" t="str">
        <x:v>Distinct candidate</x:v>
      </x:c>
      <x:c r="AG380" s="117" t="str"/>
      <x:c r="AH380" s="117" t="str">
        <x:v>Name corroborated in source</x:v>
      </x:c>
      <x:c r="AI380" s="117" t="str">
        <x:v>https://ebrochures.malaysia.travel/en/malaysia-travel-guide/kuala-lumpur/</x:v>
      </x:c>
      <x:c r="AJ380" s="117" t="str">
        <x:v>Place name or established alias matched in the cited source. This is not confirmation of current opening, all visitor facilities or the full description.</x:v>
      </x:c>
      <x:c r="AK380" s="117" t="str">
        <x:v>Not independently confirmed</x:v>
      </x:c>
      <x:c r="AL380" s="117" t="str">
        <x:v>Screened sources; accessibility unresolved</x:v>
      </x:c>
      <x:c r="AM380" s="117" t="str">
        <x:v>2026-09-08</x:v>
      </x:c>
      <x:c r="AN380" s="117" t="str">
        <x:v>https://thumb.wikimedia.org/wikipedia/commons/thumb/d/df/Perdana_Botanical_Garden_in_May_2020_01.jpg/1280px-Perdana_Botanical_Garden_in_May_2020_01.jpg?utm_source=commons.wikimedia.org&amp;utm_campaign=imageinfo&amp;utm_content=thumbnail</x:v>
      </x:c>
      <x:c r="AO380" s="117" t="str">
        <x:v>https://thumb.wikimedia.org/wikipedia/commons/thumb/2/20/KL_Sentral_from_Perdana_Botanical_Gardens..jpg/1280px-KL_Sentral_from_Perdana_Botanical_Gardens..jpg?utm_source=commons.wikimedia.org&amp;utm_campaign=imageinfo&amp;utm_content=thumbnail</x:v>
      </x:c>
      <x:c r="AP380" s="117" t="str">
        <x:v>2 metadata-matched images; visual review pending</x:v>
      </x:c>
      <x:c r="AQ380" s="117"/>
    </x:row>
    <x:row r="381" ht="66" customHeight="1">
      <x:c r="A381" s="117" t="str">
        <x:v>MC0378</x:v>
      </x:c>
      <x:c r="B381" s="117" t="str">
        <x:v>Islamic Arts Museum Malaysia</x:v>
      </x:c>
      <x:c r="C381" s="117" t="str">
        <x:v>W.P. Kuala Lumpur</x:v>
      </x:c>
      <x:c r="D381" s="117" t="str">
        <x:v>Lake Gardens</x:v>
      </x:c>
      <x:c r="E381" s="117" t="str">
        <x:v>Museum and Gallery</x:v>
      </x:c>
      <x:c r="F381" s="117" t="str">
        <x:v>Unclassified</x:v>
      </x:c>
      <x:c r="G381" s="117" t="str">
        <x:v>Indoor</x:v>
      </x:c>
      <x:c r="H381" s="117" t="str">
        <x:v>museum; Islamic art; culture; architecture; indoor</x:v>
      </x:c>
      <x:c r="I381" s="117" t="str">
        <x:v>A museum in the Lake Gardens area of Kuala Lumpur with one of the region's most comprehensive collections of Islamic decorative arts.</x:v>
      </x:c>
      <x:c r="J381" s="117" t="str">
        <x:v>https://www.google.com/maps/search/?api=1&amp;query=Islamic%20Arts%20Museum%20Malaysia%2C%20Kuala%20Lumpur%2C%20Malaysia</x:v>
      </x:c>
      <x:c r="K381" s="117" t="str">
        <x:v>https://ebrochures.malaysia.travel/en/malaysia-travel-guide/kuala-lumpur/</x:v>
      </x:c>
      <x:c r="L381" s="117" t="str">
        <x:v>Previous workbook candidate/source lead</x:v>
      </x:c>
      <x:c r="M381" s="117" t="str">
        <x:v>Previous workbook seed</x:v>
      </x:c>
      <x:c r="N381" s="117" t="str">
        <x:v>A141</x:v>
      </x:c>
      <x:c r="O381" s="117" t="str">
        <x:v>2026-08-15 00:00:00</x:v>
      </x:c>
      <x:c r="P381" s="117" t="str">
        <x:v>Complete</x:v>
      </x:c>
      <x:c r="Q381" s="117"/>
      <x:c r="R381" s="117" t="str">
        <x:f t="shared" si="5">IF(J381="","Missing Link",IF(AND(ISNUMBER(SEARCH("google.com/maps",J381)),ISERROR(SEARCH(";",J381))),"Discovery Link Only","Source Link Present"))</x:f>
        <x:v>Discovery Link Only</x:v>
      </x:c>
      <x:c r="S381" s="117" t="str">
        <x:v>Not measured</x:v>
      </x:c>
      <x:c r="T381" s="117" t="str">
        <x:v>Yes - documented</x:v>
      </x:c>
      <x:c r="U381" s="117" t="str">
        <x:v>Yes - gallery benches</x:v>
      </x:c>
      <x:c r="V381" s="117" t="str">
        <x:v>Yes - ground floor</x:v>
      </x:c>
      <x:c r="W381" s="117" t="str">
        <x:v>Unknown</x:v>
      </x:c>
      <x:c r="X381" s="117" t="str">
        <x:v>Yes - indoor galleries</x:v>
      </x:c>
      <x:c r="Y381" s="117" t="str">
        <x:v>Conditional on mobility and route</x:v>
      </x:c>
      <x:c r="Z381" s="117" t="str">
        <x:v>The museum documents the entrance and vertical circulation routes. Use lifts and the gallery ramp; accessible toilets are on the ground floor.</x:v>
      </x:c>
      <x:c r="AA381" s="117" t="str">
        <x:v>Documented support - conditional</x:v>
      </x:c>
      <x:c r="AB381" s="117" t="str">
        <x:v>https://iamm.org.my/visit-us</x:v>
      </x:c>
      <x:c r="AC381" s="117" t="str">
        <x:v>Main entrance and permanent museum galleries</x:v>
      </x:c>
      <x:c r="AD381" s="117" t="str">
        <x:v>2026-09-08</x:v>
      </x:c>
      <x:c r="AE381" s="117" t="str">
        <x:v>MC0378</x:v>
      </x:c>
      <x:c r="AF381" s="117" t="str">
        <x:v>Distinct candidate</x:v>
      </x:c>
      <x:c r="AG381" s="117" t="str"/>
      <x:c r="AH381" s="117" t="str">
        <x:v>Venue-specific source reviewed</x:v>
      </x:c>
      <x:c r="AI381" s="117" t="str">
        <x:v>https://iamm.org.my/visit-us</x:v>
      </x:c>
      <x:c r="AJ381" s="117" t="str">
        <x:v>Place name or established alias matched in the cited source. This is not confirmation of current opening, all visitor facilities or the full description.</x:v>
      </x:c>
      <x:c r="AK381" s="117" t="str">
        <x:v>Not independently confirmed</x:v>
      </x:c>
      <x:c r="AL381" s="117" t="str">
        <x:v>Primary accessibility evidence reviewed</x:v>
      </x:c>
      <x:c r="AM381" s="117" t="str">
        <x:v>2026-09-08</x:v>
      </x:c>
      <x:c r="AN381" s="117" t="str">
        <x:v>https://thumb.wikimedia.org/wikipedia/commons/thumb/8/88/Islamic_Arts_Museum_Malaysia_Exterior_%28May_2022%29_-_img_02.jpg/1280px-Islamic_Arts_Museum_Malaysia_Exterior_%28May_2022%29_-_img_02.jpg?utm_source=commons.wikimedia.org&amp;utm_campaign=imageinfo&amp;utm_content=thumbnail</x:v>
      </x:c>
      <x:c r="AO381" s="117"/>
      <x:c r="AP381" s="117" t="str">
        <x:v>1 metadata-matched images; visual review pending</x:v>
      </x:c>
      <x:c r="AQ381" s="117"/>
    </x:row>
    <x:row r="382" ht="66" customHeight="1">
      <x:c r="A382" s="117" t="str">
        <x:v>MC0379</x:v>
      </x:c>
      <x:c r="B382" s="117" t="str">
        <x:v>National Museum of Malaysia</x:v>
      </x:c>
      <x:c r="C382" s="117" t="str">
        <x:v>W.P. Kuala Lumpur</x:v>
      </x:c>
      <x:c r="D382" s="117" t="str">
        <x:v>Brickfields</x:v>
      </x:c>
      <x:c r="E382" s="117" t="str">
        <x:v>Museum and Gallery</x:v>
      </x:c>
      <x:c r="F382" s="117" t="str">
        <x:v>Unclassified</x:v>
      </x:c>
      <x:c r="G382" s="117" t="str">
        <x:v>Indoor</x:v>
      </x:c>
      <x:c r="H382" s="117" t="str">
        <x:v>museum; Malaysian history; culture; heritage; indoor</x:v>
      </x:c>
      <x:c r="I382" s="117" t="str">
        <x:v>Kuala Lumpur's main national museum, covering Malaysian history, culture and natural heritage in Minangkabau-inspired architecture.</x:v>
      </x:c>
      <x:c r="J382" s="117" t="str">
        <x:v>https://www.google.com/maps/search/?api=1&amp;query=National%20Museum%20of%20Malaysia%2C%20Kuala%20Lumpur%2C%20Malaysia</x:v>
      </x:c>
      <x:c r="K382" s="117" t="str">
        <x:v>https://ebrochures.malaysia.travel/en/malaysia-travel-guide/kuala-lumpur/</x:v>
      </x:c>
      <x:c r="L382" s="117" t="str">
        <x:v>Previous workbook candidate/source lead</x:v>
      </x:c>
      <x:c r="M382" s="117" t="str">
        <x:v>Previous workbook seed</x:v>
      </x:c>
      <x:c r="N382" s="117" t="str">
        <x:v>A142</x:v>
      </x:c>
      <x:c r="O382" s="117" t="str">
        <x:v>2026-08-15 00:00:00</x:v>
      </x:c>
      <x:c r="P382" s="117" t="str">
        <x:v>Complete</x:v>
      </x:c>
      <x:c r="Q382" s="117"/>
      <x:c r="R382" s="117" t="str">
        <x:f t="shared" si="5">IF(J382="","Missing Link",IF(AND(ISNUMBER(SEARCH("google.com/maps",J382)),ISERROR(SEARCH(";",J382))),"Discovery Link Only","Source Link Present"))</x:f>
        <x:v>Discovery Link Only</x:v>
      </x:c>
      <x:c r="S382" s="117" t="str">
        <x:v>Not measured</x:v>
      </x:c>
      <x:c r="T382" s="117" t="str">
        <x:v>Unknown</x:v>
      </x:c>
      <x:c r="U382" s="117" t="str">
        <x:v>Unknown</x:v>
      </x:c>
      <x:c r="V382" s="117" t="str">
        <x:v>Unknown</x:v>
      </x:c>
      <x:c r="W382" s="117" t="str">
        <x:v>Unknown</x:v>
      </x:c>
      <x:c r="X382" s="117" t="str">
        <x:v>Unknown</x:v>
      </x:c>
      <x:c r="Y382" s="117" t="str">
        <x:v>Conditional on mobility and route</x:v>
      </x:c>
      <x:c r="Z382" s="117" t="str">
        <x:v>Ask for a wheelchair at the exit door. The official FAQ confirms the loan service but does not by itself establish every gallery's step-free route.</x:v>
      </x:c>
      <x:c r="AA382" s="117" t="str">
        <x:v>Documented support - conditional</x:v>
      </x:c>
      <x:c r="AB382" s="117" t="str">
        <x:v>https://www.muziumnegara.gov.my/en/faq-page</x:v>
      </x:c>
      <x:c r="AC382" s="117" t="str">
        <x:v>Wheelchair loan service at National Museum</x:v>
      </x:c>
      <x:c r="AD382" s="117" t="str">
        <x:v>2026-09-08</x:v>
      </x:c>
      <x:c r="AE382" s="117" t="str">
        <x:v>MC0379</x:v>
      </x:c>
      <x:c r="AF382" s="117" t="str">
        <x:v>Distinct candidate</x:v>
      </x:c>
      <x:c r="AG382" s="117" t="str"/>
      <x:c r="AH382" s="117" t="str">
        <x:v>Venue-specific source reviewed</x:v>
      </x:c>
      <x:c r="AI382" s="117" t="str">
        <x:v>https://www.muziumnegara.gov.my/en/faq-page</x:v>
      </x:c>
      <x:c r="AJ382" s="117" t="str">
        <x:v>Place name or established alias matched in the cited source. This is not confirmation of current opening, all visitor facilities or the full description.</x:v>
      </x:c>
      <x:c r="AK382" s="117" t="str">
        <x:v>Not independently confirmed</x:v>
      </x:c>
      <x:c r="AL382" s="117" t="str">
        <x:v>Primary accessibility evidence reviewed</x:v>
      </x:c>
      <x:c r="AM382" s="117" t="str">
        <x:v>2026-09-08</x:v>
      </x:c>
      <x:c r="AN382" s="117" t="str">
        <x:v>https://thumb.wikimedia.org/wikipedia/commons/thumb/b/b6/Muzium_Negara%2C_2023_%2801%29.jpg/1280px-Muzium_Negara%2C_2023_%2801%29.jpg?utm_source=commons.wikimedia.org&amp;utm_campaign=imageinfo&amp;utm_content=thumbnail</x:v>
      </x:c>
      <x:c r="AO382" s="117"/>
      <x:c r="AP382" s="117" t="str">
        <x:v>1 metadata-matched images; visual review pending</x:v>
      </x:c>
      <x:c r="AQ382" s="117"/>
    </x:row>
    <x:row r="383" ht="66" customHeight="1">
      <x:c r="A383" s="117" t="str">
        <x:v>MC0380</x:v>
      </x:c>
      <x:c r="B383" s="117" t="str">
        <x:v>Thean Hou Temple</x:v>
      </x:c>
      <x:c r="C383" s="117" t="str">
        <x:v>W.P. Kuala Lumpur</x:v>
      </x:c>
      <x:c r="D383" s="117" t="str">
        <x:v>Seputeh</x:v>
      </x:c>
      <x:c r="E383" s="117" t="str">
        <x:v>Religious Site</x:v>
      </x:c>
      <x:c r="F383" s="117" t="str">
        <x:v>Unclassified</x:v>
      </x:c>
      <x:c r="G383" s="117" t="str">
        <x:v>Both</x:v>
      </x:c>
      <x:c r="H383" s="117" t="str">
        <x:v>temple; architecture; culture; religion; photography</x:v>
      </x:c>
      <x:c r="I383" s="117" t="str">
        <x:v>A large, colourful Chinese temple in Seputeh, Kuala Lumpur, built on a hilltop and popular for its city views and Chinese New Year decorations.</x:v>
      </x:c>
      <x:c r="J383" s="117" t="str">
        <x:v>https://www.google.com/maps/search/?api=1&amp;query=Thean%20Hou%20Temple%2C%20Kuala%20Lumpur%2C%20Malaysia</x:v>
      </x:c>
      <x:c r="K383" s="117" t="str">
        <x:v>https://ebrochures.malaysia.travel/en/malaysia-travel-guide/kuala-lumpur/</x:v>
      </x:c>
      <x:c r="L383" s="117" t="str">
        <x:v>Previous workbook candidate/source lead</x:v>
      </x:c>
      <x:c r="M383" s="117" t="str">
        <x:v>Previous workbook seed</x:v>
      </x:c>
      <x:c r="N383" s="117" t="str">
        <x:v>A143</x:v>
      </x:c>
      <x:c r="O383" s="117" t="str">
        <x:v>2026-08-15 00:00:00</x:v>
      </x:c>
      <x:c r="P383" s="117" t="str">
        <x:v>Complete</x:v>
      </x:c>
      <x:c r="Q383" s="117"/>
      <x:c r="R383" s="117" t="str">
        <x:f t="shared" si="5">IF(J383="","Missing Link",IF(AND(ISNUMBER(SEARCH("google.com/maps",J383)),ISERROR(SEARCH(";",J383))),"Discovery Link Only","Source Link Present"))</x:f>
        <x:v>Discovery Link Only</x:v>
      </x:c>
      <x:c r="S383" s="117" t="str">
        <x:v>Unknown</x:v>
      </x:c>
      <x:c r="T383" s="117" t="str">
        <x:v>Unknown</x:v>
      </x:c>
      <x:c r="U383" s="117" t="str">
        <x:v>Unknown</x:v>
      </x:c>
      <x:c r="V383" s="117" t="str">
        <x:v>Unknown</x:v>
      </x:c>
      <x:c r="W383" s="117" t="str">
        <x:v>Unknown</x:v>
      </x:c>
      <x:c r="X383" s="117" t="str">
        <x:v>Unknown</x:v>
      </x:c>
      <x:c r="Y383" s="117" t="str">
        <x:v>Unknown</x:v>
      </x:c>
      <x:c r="Z383" s="117"/>
      <x:c r="AA383" s="117" t="str">
        <x:v>Pending evidence</x:v>
      </x:c>
      <x:c r="AB383" s="117"/>
      <x:c r="AC383" s="117" t="str">
        <x:v>No qualifying accessibility conclusion established from the screened sources. This is unknown, not evidence that the attraction is inaccessible.</x:v>
      </x:c>
      <x:c r="AD383" s="117" t="str">
        <x:v>2026-09-08</x:v>
      </x:c>
      <x:c r="AE383" s="117" t="str">
        <x:v>MC0380</x:v>
      </x:c>
      <x:c r="AF383" s="117" t="str">
        <x:v>Distinct candidate</x:v>
      </x:c>
      <x:c r="AG383" s="117" t="str"/>
      <x:c r="AH383" s="117" t="str">
        <x:v>Name corroborated in source</x:v>
      </x:c>
      <x:c r="AI383" s="117" t="str">
        <x:v>https://ebrochures.malaysia.travel/en/malaysia-travel-guide/kuala-lumpur/</x:v>
      </x:c>
      <x:c r="AJ383" s="117" t="str">
        <x:v>Place name or established alias matched in the cited source. This is not confirmation of current opening, all visitor facilities or the full description.</x:v>
      </x:c>
      <x:c r="AK383" s="117" t="str">
        <x:v>Not independently confirmed</x:v>
      </x:c>
      <x:c r="AL383" s="117" t="str">
        <x:v>Screened sources; accessibility unresolved</x:v>
      </x:c>
      <x:c r="AM383" s="117" t="str">
        <x:v>2026-09-08</x:v>
      </x:c>
      <x:c r="AN383" s="117" t="str">
        <x:v>https://thumb.wikimedia.org/wikipedia/commons/thumb/7/75/Thean_Hou_Temple_outview_%28220116%29.jpg/1280px-Thean_Hou_Temple_outview_%28220116%29.jpg?utm_source=commons.wikimedia.org&amp;utm_campaign=imageinfo&amp;utm_content=thumbnail</x:v>
      </x:c>
      <x:c r="AO383" s="117" t="str">
        <x:v>https://thumb.wikimedia.org/wikipedia/commons/thumb/0/05/Thean_How_Temple%2C_KL._Upper_gateway._2019-12-08_13-19-22_%28side-by-side%29.jpg/1280px-Thean_How_Temple%2C_KL._Upper_gateway._2019-12-08_13-19-22_%28side-by-side%29.jpg?utm_source=commons.wikimedia.org&amp;utm_campaign=imageinfo&amp;utm_content=thumbnail</x:v>
      </x:c>
      <x:c r="AP383" s="117" t="str">
        <x:v>2 metadata-matched images; visual review pending</x:v>
      </x:c>
      <x:c r="AQ383" s="117"/>
    </x:row>
    <x:row r="384" ht="66" customHeight="1">
      <x:c r="A384" s="117" t="str">
        <x:v>MC0381</x:v>
      </x:c>
      <x:c r="B384" s="117" t="str">
        <x:v>Jalan Alor</x:v>
      </x:c>
      <x:c r="C384" s="117" t="str">
        <x:v>W.P. Kuala Lumpur</x:v>
      </x:c>
      <x:c r="D384" s="117" t="str">
        <x:v>Bukit Bintang</x:v>
      </x:c>
      <x:c r="E384" s="117" t="str">
        <x:v>Food</x:v>
      </x:c>
      <x:c r="F384" s="117" t="str">
        <x:v>Local</x:v>
      </x:c>
      <x:c r="G384" s="117" t="str">
        <x:v>Outdoor</x:v>
      </x:c>
      <x:c r="H384" s="117" t="str">
        <x:v>street food; local food; night activity; culture; walking</x:v>
      </x:c>
      <x:c r="I384" s="117" t="str">
        <x:v>A famous street food strip in Bukit Bintang, Kuala Lumpur, lined with hawker stalls and open-air restaurants.</x:v>
      </x:c>
      <x:c r="J384" s="117" t="str">
        <x:v>https://www.google.com/maps/search/?api=1&amp;query=Jalan%20Alor%2C%20Kuala%20Lumpur%2C%20Malaysia</x:v>
      </x:c>
      <x:c r="K384" s="117" t="str">
        <x:v>https://ebrochures.malaysia.travel/en/malaysia-travel-guide/kuala-lumpur/</x:v>
      </x:c>
      <x:c r="L384" s="117" t="str">
        <x:v>Previous workbook candidate/source lead</x:v>
      </x:c>
      <x:c r="M384" s="117" t="str">
        <x:v>Previous workbook seed</x:v>
      </x:c>
      <x:c r="N384" s="117" t="str">
        <x:v>A144</x:v>
      </x:c>
      <x:c r="O384" s="117" t="str">
        <x:v>2026-08-15 00:00:00</x:v>
      </x:c>
      <x:c r="P384" s="117" t="str">
        <x:v>Complete</x:v>
      </x:c>
      <x:c r="Q384" s="117"/>
      <x:c r="R384" s="117" t="str">
        <x:f t="shared" si="5">IF(J384="","Missing Link",IF(AND(ISNUMBER(SEARCH("google.com/maps",J384)),ISERROR(SEARCH(";",J384))),"Discovery Link Only","Source Link Present"))</x:f>
        <x:v>Discovery Link Only</x:v>
      </x:c>
      <x:c r="S384" s="117" t="str">
        <x:v>Unknown</x:v>
      </x:c>
      <x:c r="T384" s="117" t="str">
        <x:v>Unknown</x:v>
      </x:c>
      <x:c r="U384" s="117" t="str">
        <x:v>Unknown</x:v>
      </x:c>
      <x:c r="V384" s="117" t="str">
        <x:v>Unknown</x:v>
      </x:c>
      <x:c r="W384" s="117" t="str">
        <x:v>Unknown</x:v>
      </x:c>
      <x:c r="X384" s="117" t="str">
        <x:v>Unknown</x:v>
      </x:c>
      <x:c r="Y384" s="117" t="str">
        <x:v>Unknown</x:v>
      </x:c>
      <x:c r="Z384" s="117"/>
      <x:c r="AA384" s="117" t="str">
        <x:v>Pending evidence</x:v>
      </x:c>
      <x:c r="AB384" s="117"/>
      <x:c r="AC384" s="117" t="str">
        <x:v>No qualifying accessibility conclusion established from the screened sources. This is unknown, not evidence that the attraction is inaccessible.</x:v>
      </x:c>
      <x:c r="AD384" s="117" t="str">
        <x:v>2026-09-08</x:v>
      </x:c>
      <x:c r="AE384" s="117" t="str">
        <x:v>MC0381</x:v>
      </x:c>
      <x:c r="AF384" s="117" t="str">
        <x:v>Distinct candidate</x:v>
      </x:c>
      <x:c r="AG384" s="117" t="str"/>
      <x:c r="AH384" s="117" t="str">
        <x:v>Name corroborated in source</x:v>
      </x:c>
      <x:c r="AI384" s="117" t="str">
        <x:v>https://ebrochures.malaysia.travel/en/malaysia-travel-guide/kuala-lumpur/</x:v>
      </x:c>
      <x:c r="AJ384" s="117" t="str">
        <x:v>Place name or established alias matched in the cited source. This is not confirmation of current opening, all visitor facilities or the full description.</x:v>
      </x:c>
      <x:c r="AK384" s="117" t="str">
        <x:v>Not independently confirmed</x:v>
      </x:c>
      <x:c r="AL384" s="117" t="str">
        <x:v>Screened sources; accessibility unresolved</x:v>
      </x:c>
      <x:c r="AM384" s="117" t="str">
        <x:v>2026-09-08</x:v>
      </x:c>
      <x:c r="AN384" s="117"/>
      <x:c r="AO384" s="117"/>
      <x:c r="AP384" s="117" t="str">
        <x:v>No usable pair located; image research pending</x:v>
      </x:c>
      <x:c r="AQ384" s="117"/>
    </x:row>
    <x:row r="385" ht="66" customHeight="1">
      <x:c r="A385" s="117" t="str">
        <x:v>MC0382</x:v>
      </x:c>
      <x:c r="B385" s="117" t="str">
        <x:v>Pavilion Kuala Lumpur</x:v>
      </x:c>
      <x:c r="C385" s="117" t="str">
        <x:v>W.P. Kuala Lumpur</x:v>
      </x:c>
      <x:c r="D385" s="117" t="str">
        <x:v>Bukit Bintang</x:v>
      </x:c>
      <x:c r="E385" s="117" t="str">
        <x:v>Shopping</x:v>
      </x:c>
      <x:c r="F385" s="117" t="str">
        <x:v>Popular</x:v>
      </x:c>
      <x:c r="G385" s="117" t="str">
        <x:v>Indoor</x:v>
      </x:c>
      <x:c r="H385" s="117" t="str">
        <x:v>shopping; dining; city</x:v>
      </x:c>
      <x:c r="I385" s="117" t="str">
        <x:v>A major upscale shopping mall in Bukit Bintang, Kuala Lumpur.</x:v>
      </x:c>
      <x:c r="J385" s="117" t="str">
        <x:v>https://www.google.com/maps/search/?api=1&amp;query=Pavilion%20Kuala%20Lumpur%2C%20Kuala%20Lumpur%2C%20Malaysia</x:v>
      </x:c>
      <x:c r="K385" s="117" t="str">
        <x:v>https://ebrochures.malaysia.travel/en/malaysia-travel-guide/kuala-lumpur/</x:v>
      </x:c>
      <x:c r="L385" s="117" t="str">
        <x:v>Tourism Malaysia state guide plus map discovery link</x:v>
      </x:c>
      <x:c r="M385" s="117" t="str">
        <x:v>Kuala Lumpur expansion batch</x:v>
      </x:c>
      <x:c r="N385" s="117"/>
      <x:c r="O385" s="117" t="str">
        <x:v>2026-08-15 00:00:00</x:v>
      </x:c>
      <x:c r="P385" s="117" t="str">
        <x:v>Complete</x:v>
      </x:c>
      <x:c r="Q385" s="117"/>
      <x:c r="R385" s="117" t="str">
        <x:f t="shared" si="5">IF(J385="","Missing Link",IF(AND(ISNUMBER(SEARCH("google.com/maps",J385)),ISERROR(SEARCH(";",J385))),"Discovery Link Only","Source Link Present"))</x:f>
        <x:v>Discovery Link Only</x:v>
      </x:c>
      <x:c r="S385" s="117" t="str">
        <x:v>Unknown</x:v>
      </x:c>
      <x:c r="T385" s="117" t="str">
        <x:v>Unknown</x:v>
      </x:c>
      <x:c r="U385" s="117" t="str">
        <x:v>Unknown</x:v>
      </x:c>
      <x:c r="V385" s="117" t="str">
        <x:v>Unknown</x:v>
      </x:c>
      <x:c r="W385" s="117" t="str">
        <x:v>Unknown</x:v>
      </x:c>
      <x:c r="X385" s="117" t="str">
        <x:v>Unknown</x:v>
      </x:c>
      <x:c r="Y385" s="117" t="str">
        <x:v>Unknown</x:v>
      </x:c>
      <x:c r="Z385" s="117"/>
      <x:c r="AA385" s="117" t="str">
        <x:v>Pending evidence</x:v>
      </x:c>
      <x:c r="AB385" s="117"/>
      <x:c r="AC385" s="117" t="str">
        <x:v>No qualifying accessibility conclusion established from the screened sources. This is unknown, not evidence that the attraction is inaccessible.</x:v>
      </x:c>
      <x:c r="AD385" s="117" t="str">
        <x:v>2026-09-08</x:v>
      </x:c>
      <x:c r="AE385" s="117" t="str">
        <x:v>MC0382</x:v>
      </x:c>
      <x:c r="AF385" s="117" t="str">
        <x:v>Distinct candidate</x:v>
      </x:c>
      <x:c r="AG385" s="117" t="str"/>
      <x:c r="AH385" s="117" t="str">
        <x:v>Name corroborated in source</x:v>
      </x:c>
      <x:c r="AI385" s="117" t="str">
        <x:v>https://ebrochures.malaysia.travel/en/malaysia-travel-guide/kuala-lumpur/</x:v>
      </x:c>
      <x:c r="AJ385" s="117" t="str">
        <x:v>Place name or established alias matched in the cited source. This is not confirmation of current opening, all visitor facilities or the full description.</x:v>
      </x:c>
      <x:c r="AK385" s="117" t="str">
        <x:v>Not independently confirmed</x:v>
      </x:c>
      <x:c r="AL385" s="117" t="str">
        <x:v>Screened sources; accessibility unresolved</x:v>
      </x:c>
      <x:c r="AM385" s="117" t="str">
        <x:v>2026-09-08</x:v>
      </x:c>
      <x:c r="AN385" s="117" t="str">
        <x:v>https://thumb.wikimedia.org/wikipedia/commons/thumb/9/95/Pavilion_KL_outview_2_%28211030%29.jpg/1280px-Pavilion_KL_outview_2_%28211030%29.jpg?utm_source=commons.wikimedia.org&amp;utm_campaign=imageinfo&amp;utm_content=thumbnail</x:v>
      </x:c>
      <x:c r="AO385" s="117" t="str">
        <x:v>https://thumb.wikimedia.org/wikipedia/commons/thumb/9/9a/Pavilion_KL_-_Jalan_Bukit_Bintang_frontage.jpg/1280px-Pavilion_KL_-_Jalan_Bukit_Bintang_frontage.jpg?utm_source=commons.wikimedia.org&amp;utm_campaign=imageinfo&amp;utm_content=thumbnail</x:v>
      </x:c>
      <x:c r="AP385" s="117" t="str">
        <x:v>2 metadata-matched images; visual review pending</x:v>
      </x:c>
      <x:c r="AQ385" s="117"/>
    </x:row>
    <x:row r="386" ht="66" customHeight="1">
      <x:c r="A386" s="117" t="str">
        <x:v>MC0383</x:v>
      </x:c>
      <x:c r="B386" s="117" t="str">
        <x:v>Petaling Street</x:v>
      </x:c>
      <x:c r="C386" s="117" t="str">
        <x:v>W.P. Kuala Lumpur</x:v>
      </x:c>
      <x:c r="D386" s="117" t="str">
        <x:v>Chinatown</x:v>
      </x:c>
      <x:c r="E386" s="117" t="str">
        <x:v>Shopping</x:v>
      </x:c>
      <x:c r="F386" s="117" t="str">
        <x:v>Popular</x:v>
      </x:c>
      <x:c r="G386" s="117" t="str">
        <x:v>Indoor</x:v>
      </x:c>
      <x:c r="H386" s="117" t="str">
        <x:v>market; heritage; food</x:v>
      </x:c>
      <x:c r="I386" s="117" t="str">
        <x:v>The heart of Kuala Lumpur's Chinatown, known for its bustling market lane and street food.</x:v>
      </x:c>
      <x:c r="J386" s="117" t="str">
        <x:v>https://www.google.com/maps/search/?api=1&amp;query=Petaling%20Street%2C%20Kuala%20Lumpur%2C%20Malaysia</x:v>
      </x:c>
      <x:c r="K386" s="117" t="str">
        <x:v>https://ebrochures.malaysia.travel/en/malaysia-travel-guide/kuala-lumpur/</x:v>
      </x:c>
      <x:c r="L386" s="117" t="str">
        <x:v>Tourism Malaysia state guide plus map discovery link</x:v>
      </x:c>
      <x:c r="M386" s="117" t="str">
        <x:v>Kuala Lumpur expansion batch</x:v>
      </x:c>
      <x:c r="N386" s="117"/>
      <x:c r="O386" s="117" t="str">
        <x:v>2026-08-15 00:00:00</x:v>
      </x:c>
      <x:c r="P386" s="117" t="str">
        <x:v>Complete</x:v>
      </x:c>
      <x:c r="Q386" s="117"/>
      <x:c r="R386" s="117" t="str">
        <x:f t="shared" si="5">IF(J386="","Missing Link",IF(AND(ISNUMBER(SEARCH("google.com/maps",J386)),ISERROR(SEARCH(";",J386))),"Discovery Link Only","Source Link Present"))</x:f>
        <x:v>Discovery Link Only</x:v>
      </x:c>
      <x:c r="S386" s="117" t="str">
        <x:v>Unknown</x:v>
      </x:c>
      <x:c r="T386" s="117" t="str">
        <x:v>Unknown</x:v>
      </x:c>
      <x:c r="U386" s="117" t="str">
        <x:v>Unknown</x:v>
      </x:c>
      <x:c r="V386" s="117" t="str">
        <x:v>Unknown</x:v>
      </x:c>
      <x:c r="W386" s="117" t="str">
        <x:v>Unknown</x:v>
      </x:c>
      <x:c r="X386" s="117" t="str">
        <x:v>Unknown</x:v>
      </x:c>
      <x:c r="Y386" s="117" t="str">
        <x:v>Unknown</x:v>
      </x:c>
      <x:c r="Z386" s="117"/>
      <x:c r="AA386" s="117" t="str">
        <x:v>Pending evidence</x:v>
      </x:c>
      <x:c r="AB386" s="117"/>
      <x:c r="AC386" s="117" t="str">
        <x:v>No qualifying accessibility conclusion established from the screened sources. This is unknown, not evidence that the attraction is inaccessible.</x:v>
      </x:c>
      <x:c r="AD386" s="117" t="str">
        <x:v>2026-09-08</x:v>
      </x:c>
      <x:c r="AE386" s="117" t="str">
        <x:v>MC0383</x:v>
      </x:c>
      <x:c r="AF386" s="117" t="str">
        <x:v>Distinct candidate</x:v>
      </x:c>
      <x:c r="AG386" s="117" t="str"/>
      <x:c r="AH386" s="117" t="str">
        <x:v>Name corroborated in source</x:v>
      </x:c>
      <x:c r="AI386" s="117" t="str">
        <x:v>https://ebrochures.malaysia.travel/en/malaysia-travel-guide/kuala-lumpur/</x:v>
      </x:c>
      <x:c r="AJ386" s="117" t="str">
        <x:v>Place name or established alias matched in the cited source. This is not confirmation of current opening, all visitor facilities or the full description.</x:v>
      </x:c>
      <x:c r="AK386" s="117" t="str">
        <x:v>Not independently confirmed</x:v>
      </x:c>
      <x:c r="AL386" s="117" t="str">
        <x:v>Screened sources; accessibility unresolved</x:v>
      </x:c>
      <x:c r="AM386" s="117" t="str">
        <x:v>2026-09-08</x:v>
      </x:c>
      <x:c r="AN386" s="117" t="str">
        <x:v>https://thumb.wikimedia.org/wikipedia/commons/thumb/0/06/Petaling_Street_Green_Dragon.jpg/1280px-Petaling_Street_Green_Dragon.jpg?utm_source=commons.wikimedia.org&amp;utm_campaign=imageinfo&amp;utm_content=thumbnail</x:v>
      </x:c>
      <x:c r="AO386" s="117" t="str">
        <x:v>https://thumb.wikimedia.org/wikipedia/commons/thumb/0/02/Kuala_Lumpur._Jalan_Petaling._2019-12-07_15-24-49.jpg/1280px-Kuala_Lumpur._Jalan_Petaling._2019-12-07_15-24-49.jpg?utm_source=commons.wikimedia.org&amp;utm_campaign=imageinfo&amp;utm_content=thumbnail</x:v>
      </x:c>
      <x:c r="AP386" s="117" t="str">
        <x:v>2 metadata-matched images; visual review pending</x:v>
      </x:c>
      <x:c r="AQ386" s="117"/>
    </x:row>
    <x:row r="387" ht="66" customHeight="1">
      <x:c r="A387" s="117" t="str">
        <x:v>MC0384</x:v>
      </x:c>
      <x:c r="B387" s="117" t="str">
        <x:v>Central Market</x:v>
      </x:c>
      <x:c r="C387" s="117" t="str">
        <x:v>W.P. Kuala Lumpur</x:v>
      </x:c>
      <x:c r="D387" s="117" t="str">
        <x:v>Chinatown</x:v>
      </x:c>
      <x:c r="E387" s="117" t="str">
        <x:v>Shopping</x:v>
      </x:c>
      <x:c r="F387" s="117" t="str">
        <x:v>Popular</x:v>
      </x:c>
      <x:c r="G387" s="117" t="str">
        <x:v>Indoor</x:v>
      </x:c>
      <x:c r="H387" s="117" t="str">
        <x:v>crafts; heritage; souvenirs</x:v>
      </x:c>
      <x:c r="I387" s="117" t="str">
        <x:v>A historic Art Deco heritage crafts market near Kuala Lumpur's Chinatown.</x:v>
      </x:c>
      <x:c r="J387" s="117" t="str">
        <x:v>https://www.google.com/maps/search/?api=1&amp;query=Central%20Market%2C%20Kuala%20Lumpur%2C%20Malaysia</x:v>
      </x:c>
      <x:c r="K387" s="117" t="str">
        <x:v>https://ebrochures.malaysia.travel/en/malaysia-travel-guide/kuala-lumpur/</x:v>
      </x:c>
      <x:c r="L387" s="117" t="str">
        <x:v>Tourism Malaysia state guide plus map discovery link</x:v>
      </x:c>
      <x:c r="M387" s="117" t="str">
        <x:v>Kuala Lumpur expansion batch</x:v>
      </x:c>
      <x:c r="N387" s="117"/>
      <x:c r="O387" s="117" t="str">
        <x:v>2026-08-15 00:00:00</x:v>
      </x:c>
      <x:c r="P387" s="117" t="str">
        <x:v>Complete</x:v>
      </x:c>
      <x:c r="Q387" s="117" t="str">
        <x:v>Duplicate alias: use MC0376</x:v>
      </x:c>
      <x:c r="R387" s="117" t="str">
        <x:f t="shared" si="5">IF(J387="","Missing Link",IF(AND(ISNUMBER(SEARCH("google.com/maps",J387)),ISERROR(SEARCH(";",J387))),"Discovery Link Only","Source Link Present"))</x:f>
        <x:v>Discovery Link Only</x:v>
      </x:c>
      <x:c r="S387" s="117" t="str">
        <x:v>Unknown</x:v>
      </x:c>
      <x:c r="T387" s="117" t="str">
        <x:v>Unknown</x:v>
      </x:c>
      <x:c r="U387" s="117" t="str">
        <x:v>Unknown</x:v>
      </x:c>
      <x:c r="V387" s="117" t="str">
        <x:v>Unknown</x:v>
      </x:c>
      <x:c r="W387" s="117" t="str">
        <x:v>Unknown</x:v>
      </x:c>
      <x:c r="X387" s="117" t="str">
        <x:v>Unknown</x:v>
      </x:c>
      <x:c r="Y387" s="117" t="str">
        <x:v>Unknown</x:v>
      </x:c>
      <x:c r="Z387" s="117"/>
      <x:c r="AA387" s="117" t="str">
        <x:v>Duplicate - use canonical ID</x:v>
      </x:c>
      <x:c r="AB387" s="117"/>
      <x:c r="AC387" s="117" t="str">
        <x:v>No qualifying accessibility conclusion established from the screened sources. This is unknown, not evidence that the attraction is inaccessible.</x:v>
      </x:c>
      <x:c r="AD387" s="117" t="str">
        <x:v>2026-09-08</x:v>
      </x:c>
      <x:c r="AE387" s="117" t="str">
        <x:v>MC0376</x:v>
      </x:c>
      <x:c r="AF387" s="117" t="str">
        <x:v>Duplicate alias</x:v>
      </x:c>
      <x:c r="AG387" s="117" t="str"/>
      <x:c r="AH387" s="117" t="str">
        <x:v>Name corroborated in source</x:v>
      </x:c>
      <x:c r="AI387" s="117" t="str">
        <x:v>https://ebrochures.malaysia.travel/en/malaysia-travel-guide/kuala-lumpur/</x:v>
      </x:c>
      <x:c r="AJ387" s="117" t="str">
        <x:v>Place name or established alias matched in the cited source. This is not confirmation of current opening, all visitor facilities or the full description.</x:v>
      </x:c>
      <x:c r="AK387" s="117" t="str">
        <x:v>Not independently confirmed</x:v>
      </x:c>
      <x:c r="AL387" s="117" t="str">
        <x:v>Screened sources; accessibility unresolved</x:v>
      </x:c>
      <x:c r="AM387" s="117" t="str">
        <x:v>2026-09-08</x:v>
      </x:c>
      <x:c r="AN387" s="117"/>
      <x:c r="AO387" s="117"/>
      <x:c r="AP387" s="117" t="str">
        <x:v>No usable pair located; image research pending</x:v>
      </x:c>
      <x:c r="AQ387" s="117"/>
    </x:row>
    <x:row r="388" ht="66" customHeight="1">
      <x:c r="A388" s="117" t="str">
        <x:v>MC0385</x:v>
      </x:c>
      <x:c r="B388" s="117" t="str">
        <x:v>Kwai Chai Hong</x:v>
      </x:c>
      <x:c r="C388" s="117" t="str">
        <x:v>W.P. Kuala Lumpur</x:v>
      </x:c>
      <x:c r="D388" s="117" t="str">
        <x:v>Chinatown</x:v>
      </x:c>
      <x:c r="E388" s="117" t="str">
        <x:v>Heritage and History</x:v>
      </x:c>
      <x:c r="F388" s="117" t="str">
        <x:v>Local</x:v>
      </x:c>
      <x:c r="G388" s="117" t="str">
        <x:v>Both</x:v>
      </x:c>
      <x:c r="H388" s="117" t="str">
        <x:v>laneway; murals; heritage</x:v>
      </x:c>
      <x:c r="I388" s="117" t="str">
        <x:v>A restored heritage back-alley in Kuala Lumpur's Chinatown known for its murals and retro-themed shops.</x:v>
      </x:c>
      <x:c r="J388" s="117" t="str">
        <x:v>https://www.google.com/maps/search/?api=1&amp;query=Kwai%20Chai%20Hong%2C%20Kuala%20Lumpur%2C%20Malaysia</x:v>
      </x:c>
      <x:c r="K388" s="117" t="str">
        <x:v>https://ebrochures.malaysia.travel/en/malaysia-travel-guide/kuala-lumpur/</x:v>
      </x:c>
      <x:c r="L388" s="117" t="str">
        <x:v>Tourism Malaysia state guide plus map discovery link</x:v>
      </x:c>
      <x:c r="M388" s="117" t="str">
        <x:v>Kuala Lumpur expansion batch</x:v>
      </x:c>
      <x:c r="N388" s="117"/>
      <x:c r="O388" s="117" t="str">
        <x:v>2026-08-15 00:00:00</x:v>
      </x:c>
      <x:c r="P388" s="117" t="str">
        <x:v>Complete</x:v>
      </x:c>
      <x:c r="Q388" s="117"/>
      <x:c r="R388" s="117" t="str">
        <x:f t="shared" ref="R388:R434" si="6">IF(J388="","Missing Link",IF(AND(ISNUMBER(SEARCH("google.com/maps",J388)),ISERROR(SEARCH(";",J388))),"Discovery Link Only","Source Link Present"))</x:f>
        <x:v>Discovery Link Only</x:v>
      </x:c>
      <x:c r="S388" s="117" t="str">
        <x:v>Unknown</x:v>
      </x:c>
      <x:c r="T388" s="117" t="str">
        <x:v>Unknown</x:v>
      </x:c>
      <x:c r="U388" s="117" t="str">
        <x:v>Unknown</x:v>
      </x:c>
      <x:c r="V388" s="117" t="str">
        <x:v>Unknown</x:v>
      </x:c>
      <x:c r="W388" s="117" t="str">
        <x:v>Unknown</x:v>
      </x:c>
      <x:c r="X388" s="117" t="str">
        <x:v>Unknown</x:v>
      </x:c>
      <x:c r="Y388" s="117" t="str">
        <x:v>Unknown</x:v>
      </x:c>
      <x:c r="Z388" s="117"/>
      <x:c r="AA388" s="117" t="str">
        <x:v>Pending evidence</x:v>
      </x:c>
      <x:c r="AB388" s="117"/>
      <x:c r="AC388" s="117" t="str">
        <x:v>No qualifying accessibility conclusion established from the screened sources. This is unknown, not evidence that the attraction is inaccessible.</x:v>
      </x:c>
      <x:c r="AD388" s="117" t="str">
        <x:v>2026-09-08</x:v>
      </x:c>
      <x:c r="AE388" s="117" t="str">
        <x:v>MC0385</x:v>
      </x:c>
      <x:c r="AF388" s="117" t="str">
        <x:v>Distinct candidate</x:v>
      </x:c>
      <x:c r="AG388" s="117" t="str"/>
      <x:c r="AH388" s="117" t="str">
        <x:v>Name corroborated in source</x:v>
      </x:c>
      <x:c r="AI388" s="117" t="str">
        <x:v>https://ebrochures.malaysia.travel/en/malaysia-travel-guide/kuala-lumpur/</x:v>
      </x:c>
      <x:c r="AJ388" s="117" t="str">
        <x:v>Place name or established alias matched in the cited source. This is not confirmation of current opening, all visitor facilities or the full description.</x:v>
      </x:c>
      <x:c r="AK388" s="117" t="str">
        <x:v>Not independently confirmed</x:v>
      </x:c>
      <x:c r="AL388" s="117" t="str">
        <x:v>Screened sources; accessibility unresolved</x:v>
      </x:c>
      <x:c r="AM388" s="117" t="str">
        <x:v>2026-09-08</x:v>
      </x:c>
      <x:c r="AN388" s="117" t="str">
        <x:v>https://thumb.wikimedia.org/wikipedia/commons/thumb/9/91/Kuala_Lumpur_-_Kwai_Chai_Hong_%28Petaling_Street%29.jpg/1280px-Kuala_Lumpur_-_Kwai_Chai_Hong_%28Petaling_Street%29.jpg?utm_source=commons.wikimedia.org&amp;utm_campaign=imageinfo&amp;utm_content=thumbnail</x:v>
      </x:c>
      <x:c r="AO388" s="117" t="str">
        <x:v>https://thumb.wikimedia.org/wikipedia/commons/thumb/c/c9/Kwai_Chai_Hong%2C_Kuala_Lumpur_in_May_2020_04.jpg/1280px-Kwai_Chai_Hong%2C_Kuala_Lumpur_in_May_2020_04.jpg?utm_source=commons.wikimedia.org&amp;utm_campaign=imageinfo&amp;utm_content=thumbnail</x:v>
      </x:c>
      <x:c r="AP388" s="117" t="str">
        <x:v>2 metadata-matched images; visual review pending</x:v>
      </x:c>
      <x:c r="AQ388" s="117"/>
    </x:row>
    <x:row r="389" ht="66" customHeight="1">
      <x:c r="A389" s="117" t="str">
        <x:v>MC0386</x:v>
      </x:c>
      <x:c r="B389" s="117" t="str">
        <x:v>Sultan Abdul Samad Building</x:v>
      </x:c>
      <x:c r="C389" s="117" t="str">
        <x:v>W.P. Kuala Lumpur</x:v>
      </x:c>
      <x:c r="D389" s="117" t="str">
        <x:v>Merdeka Square</x:v>
      </x:c>
      <x:c r="E389" s="117" t="str">
        <x:v>Heritage and History</x:v>
      </x:c>
      <x:c r="F389" s="117" t="str">
        <x:v>Popular</x:v>
      </x:c>
      <x:c r="G389" s="117" t="str">
        <x:v>Both</x:v>
      </x:c>
      <x:c r="H389" s="117" t="str">
        <x:v>colonial architecture; landmark; history</x:v>
      </x:c>
      <x:c r="I389" s="117" t="str">
        <x:v>An iconic colonial-era building with a clock tower facing Merdeka Square, formerly housing British administrative offices.</x:v>
      </x:c>
      <x:c r="J389" s="117" t="str">
        <x:v>https://www.google.com/maps/search/?api=1&amp;query=Sultan%20Abdul%20Samad%20Building%2C%20Kuala%20Lumpur%2C%20Malaysia</x:v>
      </x:c>
      <x:c r="K389" s="117" t="str">
        <x:v>https://ebrochures.malaysia.travel/en/malaysia-travel-guide/kuala-lumpur/</x:v>
      </x:c>
      <x:c r="L389" s="117" t="str">
        <x:v>Tourism Malaysia state guide plus map discovery link</x:v>
      </x:c>
      <x:c r="M389" s="117" t="str">
        <x:v>Kuala Lumpur expansion batch</x:v>
      </x:c>
      <x:c r="N389" s="117"/>
      <x:c r="O389" s="117" t="str">
        <x:v>2026-08-15 00:00:00</x:v>
      </x:c>
      <x:c r="P389" s="117" t="str">
        <x:v>Complete</x:v>
      </x:c>
      <x:c r="Q389" s="117"/>
      <x:c r="R389" s="117" t="str">
        <x:f t="shared" si="6">IF(J389="","Missing Link",IF(AND(ISNUMBER(SEARCH("google.com/maps",J389)),ISERROR(SEARCH(";",J389))),"Discovery Link Only","Source Link Present"))</x:f>
        <x:v>Discovery Link Only</x:v>
      </x:c>
      <x:c r="S389" s="117" t="str">
        <x:v>Unknown</x:v>
      </x:c>
      <x:c r="T389" s="117" t="str">
        <x:v>Unknown</x:v>
      </x:c>
      <x:c r="U389" s="117" t="str">
        <x:v>Unknown</x:v>
      </x:c>
      <x:c r="V389" s="117" t="str">
        <x:v>Unknown</x:v>
      </x:c>
      <x:c r="W389" s="117" t="str">
        <x:v>Unknown</x:v>
      </x:c>
      <x:c r="X389" s="117" t="str">
        <x:v>Unknown</x:v>
      </x:c>
      <x:c r="Y389" s="117" t="str">
        <x:v>Unknown</x:v>
      </x:c>
      <x:c r="Z389" s="117"/>
      <x:c r="AA389" s="117" t="str">
        <x:v>Pending evidence</x:v>
      </x:c>
      <x:c r="AB389" s="117"/>
      <x:c r="AC389" s="117" t="str">
        <x:v>No qualifying accessibility conclusion established from the screened sources. This is unknown, not evidence that the attraction is inaccessible.</x:v>
      </x:c>
      <x:c r="AD389" s="117" t="str">
        <x:v>2026-09-08</x:v>
      </x:c>
      <x:c r="AE389" s="117" t="str">
        <x:v>MC0386</x:v>
      </x:c>
      <x:c r="AF389" s="117" t="str">
        <x:v>Distinct candidate</x:v>
      </x:c>
      <x:c r="AG389" s="117" t="str"/>
      <x:c r="AH389" s="117" t="str">
        <x:v>Name corroborated in source</x:v>
      </x:c>
      <x:c r="AI389" s="117" t="str">
        <x:v>https://ebrochures.malaysia.travel/en/malaysia-travel-guide/kuala-lumpur/</x:v>
      </x:c>
      <x:c r="AJ389" s="117" t="str">
        <x:v>Place name or established alias matched in the cited source. This is not confirmation of current opening, all visitor facilities or the full description.</x:v>
      </x:c>
      <x:c r="AK389" s="117" t="str">
        <x:v>Not independently confirmed</x:v>
      </x:c>
      <x:c r="AL389" s="117" t="str">
        <x:v>Screened sources; accessibility unresolved</x:v>
      </x:c>
      <x:c r="AM389" s="117" t="str">
        <x:v>2026-09-08</x:v>
      </x:c>
      <x:c r="AN389" s="117" t="str">
        <x:v>https://thumb.wikimedia.org/wikipedia/commons/thumb/d/d9/20190822_Sultan_Abdul_Samad_Building-10.jpg/1280px-20190822_Sultan_Abdul_Samad_Building-10.jpg?utm_source=commons.wikimedia.org&amp;utm_campaign=imageinfo&amp;utm_content=thumbnail</x:v>
      </x:c>
      <x:c r="AO389" s="117" t="str">
        <x:v>https://thumb.wikimedia.org/wikipedia/commons/thumb/a/a4/Kuala_Lumpur_Sultan_Abdul_Building.jpg/1280px-Kuala_Lumpur_Sultan_Abdul_Building.jpg?utm_source=commons.wikimedia.org&amp;utm_campaign=imageinfo&amp;utm_content=thumbnail</x:v>
      </x:c>
      <x:c r="AP389" s="117" t="str">
        <x:v>2 metadata-matched images; visual review pending</x:v>
      </x:c>
      <x:c r="AQ389" s="117"/>
    </x:row>
    <x:row r="390" ht="66" customHeight="1">
      <x:c r="A390" s="117" t="str">
        <x:v>MC0387</x:v>
      </x:c>
      <x:c r="B390" s="117" t="str">
        <x:v>Kuala Lumpur City Gallery</x:v>
      </x:c>
      <x:c r="C390" s="117" t="str">
        <x:v>W.P. Kuala Lumpur</x:v>
      </x:c>
      <x:c r="D390" s="117" t="str">
        <x:v>Merdeka Square</x:v>
      </x:c>
      <x:c r="E390" s="117" t="str">
        <x:v>Museum and Gallery</x:v>
      </x:c>
      <x:c r="F390" s="117" t="str">
        <x:v>Local</x:v>
      </x:c>
      <x:c r="G390" s="117" t="str">
        <x:v>Indoor</x:v>
      </x:c>
      <x:c r="H390" s="117" t="str">
        <x:v>city history; models; gallery</x:v>
      </x:c>
      <x:c r="I390" s="117" t="str">
        <x:v>An exhibition centre at Merdeka Square showcasing Kuala Lumpur's urban development and history, with a large city model.</x:v>
      </x:c>
      <x:c r="J390" s="117" t="str">
        <x:v>https://www.google.com/maps/search/?api=1&amp;query=Kuala%20Lumpur%20City%20Gallery%2C%20Kuala%20Lumpur%2C%20Malaysia</x:v>
      </x:c>
      <x:c r="K390" s="117" t="str">
        <x:v>https://ebrochures.malaysia.travel/en/malaysia-travel-guide/kuala-lumpur/</x:v>
      </x:c>
      <x:c r="L390" s="117" t="str">
        <x:v>Tourism Malaysia state guide plus map discovery link</x:v>
      </x:c>
      <x:c r="M390" s="117" t="str">
        <x:v>Kuala Lumpur expansion batch</x:v>
      </x:c>
      <x:c r="N390" s="117"/>
      <x:c r="O390" s="117" t="str">
        <x:v>2026-08-15 00:00:00</x:v>
      </x:c>
      <x:c r="P390" s="117" t="str">
        <x:v>Complete</x:v>
      </x:c>
      <x:c r="Q390" s="117"/>
      <x:c r="R390" s="117" t="str">
        <x:f t="shared" si="6">IF(J390="","Missing Link",IF(AND(ISNUMBER(SEARCH("google.com/maps",J390)),ISERROR(SEARCH(";",J390))),"Discovery Link Only","Source Link Present"))</x:f>
        <x:v>Discovery Link Only</x:v>
      </x:c>
      <x:c r="S390" s="117" t="str">
        <x:v>Unknown</x:v>
      </x:c>
      <x:c r="T390" s="117" t="str">
        <x:v>Unknown</x:v>
      </x:c>
      <x:c r="U390" s="117" t="str">
        <x:v>Unknown</x:v>
      </x:c>
      <x:c r="V390" s="117" t="str">
        <x:v>Unknown</x:v>
      </x:c>
      <x:c r="W390" s="117" t="str">
        <x:v>Unknown</x:v>
      </x:c>
      <x:c r="X390" s="117" t="str">
        <x:v>Unknown</x:v>
      </x:c>
      <x:c r="Y390" s="117" t="str">
        <x:v>Unknown</x:v>
      </x:c>
      <x:c r="Z390" s="117"/>
      <x:c r="AA390" s="117" t="str">
        <x:v>Pending evidence</x:v>
      </x:c>
      <x:c r="AB390" s="117"/>
      <x:c r="AC390" s="117" t="str">
        <x:v>No qualifying accessibility conclusion established from the screened sources. This is unknown, not evidence that the attraction is inaccessible.</x:v>
      </x:c>
      <x:c r="AD390" s="117" t="str">
        <x:v>2026-09-08</x:v>
      </x:c>
      <x:c r="AE390" s="117" t="str">
        <x:v>MC0387</x:v>
      </x:c>
      <x:c r="AF390" s="117" t="str">
        <x:v>Distinct candidate</x:v>
      </x:c>
      <x:c r="AG390" s="117" t="str"/>
      <x:c r="AH390" s="117" t="str">
        <x:v>Name corroborated in source</x:v>
      </x:c>
      <x:c r="AI390" s="117" t="str">
        <x:v>https://ebrochures.malaysia.travel/en/malaysia-travel-guide/kuala-lumpur/</x:v>
      </x:c>
      <x:c r="AJ390" s="117" t="str">
        <x:v>Place name or established alias matched in the cited source. This is not confirmation of current opening, all visitor facilities or the full description.</x:v>
      </x:c>
      <x:c r="AK390" s="117" t="str">
        <x:v>Not independently confirmed</x:v>
      </x:c>
      <x:c r="AL390" s="117" t="str">
        <x:v>Screened sources; accessibility unresolved</x:v>
      </x:c>
      <x:c r="AM390" s="117" t="str">
        <x:v>2026-09-08</x:v>
      </x:c>
      <x:c r="AN390" s="117" t="str">
        <x:v>https://thumb.wikimedia.org/wikipedia/commons/thumb/1/14/2016_Kuala_Lumpur%2C_Galeria_Miejska.jpg/1280px-2016_Kuala_Lumpur%2C_Galeria_Miejska.jpg?utm_source=commons.wikimedia.org&amp;utm_campaign=imageinfo&amp;utm_content=thumbnail</x:v>
      </x:c>
      <x:c r="AO390" s="117" t="str">
        <x:v>https://thumb.wikimedia.org/wikipedia/commons/thumb/7/74/KLCG_Confectionery_Pastries_March_2022_perspective.jpg/1280px-KLCG_Confectionery_Pastries_March_2022_perspective.jpg?utm_source=commons.wikimedia.org&amp;utm_campaign=imageinfo&amp;utm_content=thumbnail</x:v>
      </x:c>
      <x:c r="AP390" s="117" t="str">
        <x:v>2 metadata-matched images; visual review pending</x:v>
      </x:c>
      <x:c r="AQ390" s="117"/>
    </x:row>
    <x:row r="391" ht="66" customHeight="1">
      <x:c r="A391" s="117" t="str">
        <x:v>MC0388</x:v>
      </x:c>
      <x:c r="B391" s="117" t="str">
        <x:v>Kuala Lumpur Bird Park</x:v>
      </x:c>
      <x:c r="C391" s="117" t="str">
        <x:v>W.P. Kuala Lumpur</x:v>
      </x:c>
      <x:c r="D391" s="117" t="str">
        <x:v>Lake Gardens</x:v>
      </x:c>
      <x:c r="E391" s="117" t="str">
        <x:v>Wildlife</x:v>
      </x:c>
      <x:c r="F391" s="117" t="str">
        <x:v>Popular</x:v>
      </x:c>
      <x:c r="G391" s="117" t="str">
        <x:v>Outdoor</x:v>
      </x:c>
      <x:c r="H391" s="117" t="str">
        <x:v>birds; aviary; family</x:v>
      </x:c>
      <x:c r="I391" s="117" t="str">
        <x:v>One of the world's largest free-flight walk-in aviaries, located in Kuala Lumpur's Lake Gardens.</x:v>
      </x:c>
      <x:c r="J391" s="117" t="str">
        <x:v>https://www.google.com/maps/search/?api=1&amp;query=Kuala%20Lumpur%20Bird%20Park%2C%20Kuala%20Lumpur%2C%20Malaysia</x:v>
      </x:c>
      <x:c r="K391" s="117" t="str">
        <x:v>https://ebrochures.malaysia.travel/en/malaysia-travel-guide/kuala-lumpur/</x:v>
      </x:c>
      <x:c r="L391" s="117" t="str">
        <x:v>Tourism Malaysia state guide plus map discovery link</x:v>
      </x:c>
      <x:c r="M391" s="117" t="str">
        <x:v>Kuala Lumpur expansion batch</x:v>
      </x:c>
      <x:c r="N391" s="117"/>
      <x:c r="O391" s="117" t="str">
        <x:v>2026-08-15 00:00:00</x:v>
      </x:c>
      <x:c r="P391" s="117" t="str">
        <x:v>Complete</x:v>
      </x:c>
      <x:c r="Q391" s="117" t="str">
        <x:v>Duplicate alias: use MC0372 Identity and Malaysian location verified in second-pass review on 2026-09-08.</x:v>
      </x:c>
      <x:c r="R391" s="117" t="str">
        <x:f t="shared" si="6">IF(J391="","Missing Link",IF(AND(ISNUMBER(SEARCH("google.com/maps",J391)),ISERROR(SEARCH(";",J391))),"Discovery Link Only","Source Link Present"))</x:f>
        <x:v>Discovery Link Only</x:v>
      </x:c>
      <x:c r="S391" s="117" t="str">
        <x:v>Not measured</x:v>
      </x:c>
      <x:c r="T391" s="117" t="str">
        <x:v>Partial - majority of park</x:v>
      </x:c>
      <x:c r="U391" s="117" t="str">
        <x:v>Unknown</x:v>
      </x:c>
      <x:c r="V391" s="117" t="str">
        <x:v>Unknown</x:v>
      </x:c>
      <x:c r="W391" s="117" t="str">
        <x:v>Unknown</x:v>
      </x:c>
      <x:c r="X391" s="117" t="str">
        <x:v>Unknown</x:v>
      </x:c>
      <x:c r="Y391" s="117" t="str">
        <x:v>Conditional on mobility and route</x:v>
      </x:c>
      <x:c r="Z391" s="117" t="str">
        <x:v>The operator explicitly says wheelchair and stroller rental is unavailable. Bring the required mobility aid. Outdoor paths and rain conditions may affect the visit.</x:v>
      </x:c>
      <x:c r="AA391" s="117" t="str">
        <x:v>Duplicate - use canonical ID</x:v>
      </x:c>
      <x:c r="AB391" s="117" t="str">
        <x:v>https://www.klbirdpark.com/plan-your-visit/</x:v>
      </x:c>
      <x:c r="AC391" s="117" t="str">
        <x:v>Most park areas; some routes may differ</x:v>
      </x:c>
      <x:c r="AD391" s="117" t="str">
        <x:v>2026-09-08</x:v>
      </x:c>
      <x:c r="AE391" s="117" t="str">
        <x:v>MC0372</x:v>
      </x:c>
      <x:c r="AF391" s="117" t="str">
        <x:v>Duplicate alias</x:v>
      </x:c>
      <x:c r="AG391" s="117" t="str"/>
      <x:c r="AH391" s="117" t="str">
        <x:v>Identity and location corroborated</x:v>
      </x:c>
      <x:c r="AI391" s="117" t="str">
        <x:v>https://en.wikipedia.org/wiki/Kuala_Lumpur_Bird_Park</x:v>
      </x:c>
      <x:c r="AJ391" s="117" t="str">
        <x:v>Encyclopedic source matches the attraction name or established alias and the stated Malaysian location. This verifies identity/location only; confirm current opening and accessibility separately.</x:v>
      </x:c>
      <x:c r="AK391" s="117" t="str">
        <x:v>Not independently confirmed</x:v>
      </x:c>
      <x:c r="AL391" s="117" t="str">
        <x:v>Primary accessibility evidence reviewed</x:v>
      </x:c>
      <x:c r="AM391" s="117" t="str">
        <x:v>2026-09-08</x:v>
      </x:c>
      <x:c r="AN391" s="117" t="str">
        <x:v>https://upload.wikimedia.org/wikipedia/commons/b/ba/KL_Bird_park_net.jpg?utm_source=commons.wikimedia.org&amp;utm_campaign=imageinfo&amp;utm_content=thumbnail_unscaled</x:v>
      </x:c>
      <x:c r="AO391" s="117" t="str">
        <x:v>https://thumb.wikimedia.org/wikipedia/commons/thumb/a/a7/Bird_Park_in_Kuala_Lumpur_%28Malaysia%29_%283%29.jpg/1280px-Bird_Park_in_Kuala_Lumpur_%28Malaysia%29_%283%29.jpg?utm_source=commons.wikimedia.org&amp;utm_campaign=imageinfo&amp;utm_content=thumbnail</x:v>
      </x:c>
      <x:c r="AP391" s="117" t="str">
        <x:v>2 metadata-matched images; visual review pending</x:v>
      </x:c>
      <x:c r="AQ391" s="117"/>
    </x:row>
    <x:row r="392" ht="66" customHeight="1">
      <x:c r="A392" s="117" t="str">
        <x:v>MC0389</x:v>
      </x:c>
      <x:c r="B392" s="117" t="str">
        <x:v>Little India Brickfields</x:v>
      </x:c>
      <x:c r="C392" s="117" t="str">
        <x:v>W.P. Kuala Lumpur</x:v>
      </x:c>
      <x:c r="D392" s="117" t="str">
        <x:v>Brickfields</x:v>
      </x:c>
      <x:c r="E392" s="117" t="str">
        <x:v>Culture</x:v>
      </x:c>
      <x:c r="F392" s="117" t="str">
        <x:v>Local</x:v>
      </x:c>
      <x:c r="G392" s="117" t="str">
        <x:v>Both</x:v>
      </x:c>
      <x:c r="H392" s="117" t="str">
        <x:v>food; shopping; neighbourhood</x:v>
      </x:c>
      <x:c r="I392" s="117" t="str">
        <x:v>A cultural enclave in Brickfields, Kuala Lumpur, known for Indian eateries, textile shops and temples.</x:v>
      </x:c>
      <x:c r="J392" s="117" t="str">
        <x:v>https://www.google.com/maps/search/?api=1&amp;query=Little%20India%20Brickfields%2C%20Kuala%20Lumpur%2C%20Malaysia</x:v>
      </x:c>
      <x:c r="K392" s="117" t="str">
        <x:v>https://ebrochures.malaysia.travel/en/malaysia-travel-guide/kuala-lumpur/</x:v>
      </x:c>
      <x:c r="L392" s="117" t="str">
        <x:v>Tourism Malaysia state guide plus map discovery link</x:v>
      </x:c>
      <x:c r="M392" s="117" t="str">
        <x:v>Kuala Lumpur expansion batch</x:v>
      </x:c>
      <x:c r="N392" s="117"/>
      <x:c r="O392" s="117" t="str">
        <x:v>2026-08-15 00:00:00</x:v>
      </x:c>
      <x:c r="P392" s="117" t="str">
        <x:v>Complete</x:v>
      </x:c>
      <x:c r="Q392" s="117"/>
      <x:c r="R392" s="117" t="str">
        <x:f t="shared" si="6">IF(J392="","Missing Link",IF(AND(ISNUMBER(SEARCH("google.com/maps",J392)),ISERROR(SEARCH(";",J392))),"Discovery Link Only","Source Link Present"))</x:f>
        <x:v>Discovery Link Only</x:v>
      </x:c>
      <x:c r="S392" s="117" t="str">
        <x:v>Unknown</x:v>
      </x:c>
      <x:c r="T392" s="117" t="str">
        <x:v>Unknown</x:v>
      </x:c>
      <x:c r="U392" s="117" t="str">
        <x:v>Unknown</x:v>
      </x:c>
      <x:c r="V392" s="117" t="str">
        <x:v>Unknown</x:v>
      </x:c>
      <x:c r="W392" s="117" t="str">
        <x:v>Unknown</x:v>
      </x:c>
      <x:c r="X392" s="117" t="str">
        <x:v>Unknown</x:v>
      </x:c>
      <x:c r="Y392" s="117" t="str">
        <x:v>Unknown</x:v>
      </x:c>
      <x:c r="Z392" s="117"/>
      <x:c r="AA392" s="117" t="str">
        <x:v>Pending evidence</x:v>
      </x:c>
      <x:c r="AB392" s="117"/>
      <x:c r="AC392" s="117" t="str">
        <x:v>No qualifying accessibility conclusion established from the screened sources. This is unknown, not evidence that the attraction is inaccessible.</x:v>
      </x:c>
      <x:c r="AD392" s="117" t="str">
        <x:v>2026-09-08</x:v>
      </x:c>
      <x:c r="AE392" s="117" t="str">
        <x:v>MC0389</x:v>
      </x:c>
      <x:c r="AF392" s="117" t="str">
        <x:v>Distinct candidate</x:v>
      </x:c>
      <x:c r="AG392" s="117" t="str"/>
      <x:c r="AH392" s="117" t="str">
        <x:v>Name corroborated in source</x:v>
      </x:c>
      <x:c r="AI392" s="117" t="str">
        <x:v>https://ebrochures.malaysia.travel/en/malaysia-travel-guide/kuala-lumpur/</x:v>
      </x:c>
      <x:c r="AJ392" s="117" t="str">
        <x:v>Place name or established alias matched in the cited source. This is not confirmation of current opening, all visitor facilities or the full description.</x:v>
      </x:c>
      <x:c r="AK392" s="117" t="str">
        <x:v>Not independently confirmed</x:v>
      </x:c>
      <x:c r="AL392" s="117" t="str">
        <x:v>Screened sources; accessibility unresolved</x:v>
      </x:c>
      <x:c r="AM392" s="117" t="str">
        <x:v>2026-09-08</x:v>
      </x:c>
      <x:c r="AN392" s="117"/>
      <x:c r="AO392" s="117"/>
      <x:c r="AP392" s="117" t="str">
        <x:v>No usable pair located; image research pending</x:v>
      </x:c>
      <x:c r="AQ392" s="117"/>
    </x:row>
    <x:row r="393" ht="66" customHeight="1">
      <x:c r="A393" s="117" t="str">
        <x:v>MC0390</x:v>
      </x:c>
      <x:c r="B393" s="117" t="str">
        <x:v>Kampung Baru Food Trail</x:v>
      </x:c>
      <x:c r="C393" s="117" t="str">
        <x:v>W.P. Kuala Lumpur</x:v>
      </x:c>
      <x:c r="D393" s="117" t="str">
        <x:v>Kampung Baru</x:v>
      </x:c>
      <x:c r="E393" s="117" t="str">
        <x:v>Food</x:v>
      </x:c>
      <x:c r="F393" s="117" t="str">
        <x:v>Local</x:v>
      </x:c>
      <x:c r="G393" s="117" t="str">
        <x:v>Both</x:v>
      </x:c>
      <x:c r="H393" s="117" t="str">
        <x:v>Malay food; village; city</x:v>
      </x:c>
      <x:c r="I393" s="117" t="str">
        <x:v>A Malay heritage enclave near KLCC known for traditional food stalls and old wooden houses amid the modern skyline.</x:v>
      </x:c>
      <x:c r="J393" s="117" t="str">
        <x:v>https://www.google.com/maps/search/?api=1&amp;query=Kampung%20Baru%20Food%20Trail%2C%20Kuala%20Lumpur%2C%20Malaysia</x:v>
      </x:c>
      <x:c r="K393" s="117" t="str">
        <x:v>https://ebrochures.malaysia.travel/en/malaysia-travel-guide/kuala-lumpur/</x:v>
      </x:c>
      <x:c r="L393" s="117" t="str">
        <x:v>Tourism Malaysia state guide plus map discovery link</x:v>
      </x:c>
      <x:c r="M393" s="117" t="str">
        <x:v>Kuala Lumpur expansion batch</x:v>
      </x:c>
      <x:c r="N393" s="117"/>
      <x:c r="O393" s="117" t="str">
        <x:v>2026-08-15 00:00:00</x:v>
      </x:c>
      <x:c r="P393" s="117" t="str">
        <x:v>Pending Review</x:v>
      </x:c>
      <x:c r="Q393" s="117"/>
      <x:c r="R393" s="117" t="str">
        <x:f t="shared" si="6">IF(J393="","Missing Link",IF(AND(ISNUMBER(SEARCH("google.com/maps",J393)),ISERROR(SEARCH(";",J393))),"Discovery Link Only","Source Link Present"))</x:f>
        <x:v>Discovery Link Only</x:v>
      </x:c>
      <x:c r="S393" s="117" t="str">
        <x:v>Unknown</x:v>
      </x:c>
      <x:c r="T393" s="117" t="str">
        <x:v>Unknown</x:v>
      </x:c>
      <x:c r="U393" s="117" t="str">
        <x:v>Unknown</x:v>
      </x:c>
      <x:c r="V393" s="117" t="str">
        <x:v>Unknown</x:v>
      </x:c>
      <x:c r="W393" s="117" t="str">
        <x:v>Unknown</x:v>
      </x:c>
      <x:c r="X393" s="117" t="str">
        <x:v>Unknown</x:v>
      </x:c>
      <x:c r="Y393" s="117" t="str">
        <x:v>Unknown</x:v>
      </x:c>
      <x:c r="Z393" s="117"/>
      <x:c r="AA393" s="117" t="str">
        <x:v>Pending evidence</x:v>
      </x:c>
      <x:c r="AB393" s="117"/>
      <x:c r="AC393" s="117" t="str">
        <x:v>No qualifying accessibility conclusion established from the screened sources. This is unknown, not evidence that the attraction is inaccessible.</x:v>
      </x:c>
      <x:c r="AD393" s="117" t="str">
        <x:v>2026-09-08</x:v>
      </x:c>
      <x:c r="AE393" s="117" t="str">
        <x:v>MC0390</x:v>
      </x:c>
      <x:c r="AF393" s="117" t="str">
        <x:v>Distinct candidate</x:v>
      </x:c>
      <x:c r="AG393" s="117" t="str"/>
      <x:c r="AH393" s="117" t="str">
        <x:v>Non-venue itinerary / review for removal</x:v>
      </x:c>
      <x:c r="AI393" s="117" t="str"/>
      <x:c r="AJ393" s="117" t="str">
        <x:v>“Kampung Baru Food Trail” appears to be a generic food itinerary rather than a fixed visitor attraction, and food/restaurant listings are outside the agreed scope.</x:v>
      </x:c>
      <x:c r="AK393" s="117" t="str">
        <x:v>Not approved for recommendation</x:v>
      </x:c>
      <x:c r="AL393" s="117" t="str">
        <x:v>Screened sources; accessibility unresolved</x:v>
      </x:c>
      <x:c r="AM393" s="117" t="str">
        <x:v>2026-09-08</x:v>
      </x:c>
      <x:c r="AN393" s="117"/>
      <x:c r="AO393" s="117"/>
      <x:c r="AP393" s="117" t="str">
        <x:v>No usable pair located; image research pending</x:v>
      </x:c>
      <x:c r="AQ393" s="117"/>
    </x:row>
    <x:row r="394" ht="66" customHeight="1">
      <x:c r="A394" s="117" t="str">
        <x:v>MC0391</x:v>
      </x:c>
      <x:c r="B394" s="117" t="str">
        <x:v>Sentul Depot</x:v>
      </x:c>
      <x:c r="C394" s="117" t="str">
        <x:v>W.P. Kuala Lumpur</x:v>
      </x:c>
      <x:c r="D394" s="117" t="str">
        <x:v>Sentul</x:v>
      </x:c>
      <x:c r="E394" s="117" t="str">
        <x:v>Culture</x:v>
      </x:c>
      <x:c r="F394" s="117" t="str">
        <x:v>Underrated</x:v>
      </x:c>
      <x:c r="G394" s="117" t="str">
        <x:v>Both</x:v>
      </x:c>
      <x:c r="H394" s="117" t="str">
        <x:v>industrial heritage; arts; events</x:v>
      </x:c>
      <x:c r="I394" s="117" t="str">
        <x:v>A former railway depot in Sentul, Kuala Lumpur, redeveloped into an arts and performance space.</x:v>
      </x:c>
      <x:c r="J394" s="117" t="str">
        <x:v>https://www.google.com/maps/search/?api=1&amp;query=Sentul%20Depot%2C%20Kuala%20Lumpur%2C%20Malaysia</x:v>
      </x:c>
      <x:c r="K394" s="117" t="str">
        <x:v>https://ebrochures.malaysia.travel/en/malaysia-travel-guide/kuala-lumpur/</x:v>
      </x:c>
      <x:c r="L394" s="117" t="str">
        <x:v>Tourism Malaysia state guide plus map discovery link</x:v>
      </x:c>
      <x:c r="M394" s="117" t="str">
        <x:v>Kuala Lumpur expansion batch</x:v>
      </x:c>
      <x:c r="N394" s="117"/>
      <x:c r="O394" s="117" t="str">
        <x:v>2026-08-15 00:00:00</x:v>
      </x:c>
      <x:c r="P394" s="117" t="str">
        <x:v>Complete</x:v>
      </x:c>
      <x:c r="Q394" s="117" t="str">
        <x:v>Identity and Malaysian location verified in second-pass review on 2026-09-08.</x:v>
      </x:c>
      <x:c r="R394" s="117" t="str">
        <x:f t="shared" si="6">IF(J394="","Missing Link",IF(AND(ISNUMBER(SEARCH("google.com/maps",J394)),ISERROR(SEARCH(";",J394))),"Discovery Link Only","Source Link Present"))</x:f>
        <x:v>Discovery Link Only</x:v>
      </x:c>
      <x:c r="S394" s="117" t="str">
        <x:v>Unknown</x:v>
      </x:c>
      <x:c r="T394" s="117" t="str">
        <x:v>Unknown</x:v>
      </x:c>
      <x:c r="U394" s="117" t="str">
        <x:v>Unknown</x:v>
      </x:c>
      <x:c r="V394" s="117" t="str">
        <x:v>Unknown</x:v>
      </x:c>
      <x:c r="W394" s="117" t="str">
        <x:v>Unknown</x:v>
      </x:c>
      <x:c r="X394" s="117" t="str">
        <x:v>Unknown</x:v>
      </x:c>
      <x:c r="Y394" s="117" t="str">
        <x:v>Unknown</x:v>
      </x:c>
      <x:c r="Z394" s="117"/>
      <x:c r="AA394" s="117" t="str">
        <x:v>Pending evidence</x:v>
      </x:c>
      <x:c r="AB394" s="117"/>
      <x:c r="AC394" s="117" t="str">
        <x:v>No qualifying accessibility conclusion established from the screened sources. This is unknown, not evidence that the attraction is inaccessible.</x:v>
      </x:c>
      <x:c r="AD394" s="117" t="str">
        <x:v>2026-09-08</x:v>
      </x:c>
      <x:c r="AE394" s="117" t="str">
        <x:v>MC0391</x:v>
      </x:c>
      <x:c r="AF394" s="117" t="str">
        <x:v>Distinct candidate</x:v>
      </x:c>
      <x:c r="AG394" s="117" t="str"/>
      <x:c r="AH394" s="117" t="str">
        <x:v>Identity and location corroborated</x:v>
      </x:c>
      <x:c r="AI394" s="117" t="str">
        <x:v>https://en.wikipedia.org/wiki/Sentul_Komuter_station</x:v>
      </x:c>
      <x:c r="AJ394" s="117" t="str">
        <x:v>Encyclopedic source matches the attraction name or established alias and the stated Malaysian location. This verifies identity/location only; confirm current opening and accessibility separately.</x:v>
      </x:c>
      <x:c r="AK394" s="117" t="str">
        <x:v>Not independently confirmed</x:v>
      </x:c>
      <x:c r="AL394" s="117" t="str">
        <x:v>Screened sources; accessibility unresolved</x:v>
      </x:c>
      <x:c r="AM394" s="117" t="str">
        <x:v>2026-09-08</x:v>
      </x:c>
      <x:c r="AN394" s="117"/>
      <x:c r="AO394" s="117"/>
      <x:c r="AP394" s="117" t="str">
        <x:v>No usable pair located; image research pending</x:v>
      </x:c>
      <x:c r="AQ394" s="117"/>
    </x:row>
    <x:row r="395" ht="66" customHeight="1">
      <x:c r="A395" s="117" t="str">
        <x:v>MC0392</x:v>
      </x:c>
      <x:c r="B395" s="117" t="str">
        <x:v>Titiwangsa Lake Gardens</x:v>
      </x:c>
      <x:c r="C395" s="117" t="str">
        <x:v>W.P. Kuala Lumpur</x:v>
      </x:c>
      <x:c r="D395" s="117" t="str">
        <x:v>Titiwangsa</x:v>
      </x:c>
      <x:c r="E395" s="117" t="str">
        <x:v>Park and Recreation</x:v>
      </x:c>
      <x:c r="F395" s="117" t="str">
        <x:v>Local</x:v>
      </x:c>
      <x:c r="G395" s="117" t="str">
        <x:v>Outdoor</x:v>
      </x:c>
      <x:c r="H395" s="117" t="str">
        <x:v>lake; skyline; family</x:v>
      </x:c>
      <x:c r="I395" s="117" t="str">
        <x:v>A lake park in Titiwangsa, Kuala Lumpur, popular for paddle boating and skyline views of the city.</x:v>
      </x:c>
      <x:c r="J395" s="117" t="str">
        <x:v>https://www.google.com/maps/search/?api=1&amp;query=Titiwangsa%20Lake%20Gardens%2C%20Kuala%20Lumpur%2C%20Malaysia</x:v>
      </x:c>
      <x:c r="K395" s="117" t="str">
        <x:v>https://ebrochures.malaysia.travel/en/malaysia-travel-guide/kuala-lumpur/</x:v>
      </x:c>
      <x:c r="L395" s="117" t="str">
        <x:v>Tourism Malaysia state guide plus map discovery link</x:v>
      </x:c>
      <x:c r="M395" s="117" t="str">
        <x:v>Kuala Lumpur expansion batch</x:v>
      </x:c>
      <x:c r="N395" s="117"/>
      <x:c r="O395" s="117" t="str">
        <x:v>2026-08-15 00:00:00</x:v>
      </x:c>
      <x:c r="P395" s="117" t="str">
        <x:v>Complete</x:v>
      </x:c>
      <x:c r="Q395" s="117"/>
      <x:c r="R395" s="117" t="str">
        <x:f t="shared" si="6">IF(J395="","Missing Link",IF(AND(ISNUMBER(SEARCH("google.com/maps",J395)),ISERROR(SEARCH(";",J395))),"Discovery Link Only","Source Link Present"))</x:f>
        <x:v>Discovery Link Only</x:v>
      </x:c>
      <x:c r="S395" s="117" t="str">
        <x:v>Unknown</x:v>
      </x:c>
      <x:c r="T395" s="117" t="str">
        <x:v>Unknown</x:v>
      </x:c>
      <x:c r="U395" s="117" t="str">
        <x:v>Unknown</x:v>
      </x:c>
      <x:c r="V395" s="117" t="str">
        <x:v>Unknown</x:v>
      </x:c>
      <x:c r="W395" s="117" t="str">
        <x:v>Unknown</x:v>
      </x:c>
      <x:c r="X395" s="117" t="str">
        <x:v>Unknown</x:v>
      </x:c>
      <x:c r="Y395" s="117" t="str">
        <x:v>Unknown</x:v>
      </x:c>
      <x:c r="Z395" s="117"/>
      <x:c r="AA395" s="117" t="str">
        <x:v>Pending evidence</x:v>
      </x:c>
      <x:c r="AB395" s="117"/>
      <x:c r="AC395" s="117" t="str">
        <x:v>No qualifying accessibility conclusion established from the screened sources. This is unknown, not evidence that the attraction is inaccessible.</x:v>
      </x:c>
      <x:c r="AD395" s="117" t="str">
        <x:v>2026-09-08</x:v>
      </x:c>
      <x:c r="AE395" s="117" t="str">
        <x:v>MC0392</x:v>
      </x:c>
      <x:c r="AF395" s="117" t="str">
        <x:v>Distinct candidate</x:v>
      </x:c>
      <x:c r="AG395" s="117" t="str"/>
      <x:c r="AH395" s="117" t="str">
        <x:v>Name corroborated in source</x:v>
      </x:c>
      <x:c r="AI395" s="117" t="str">
        <x:v>https://ebrochures.malaysia.travel/en/malaysia-travel-guide/kuala-lumpur/</x:v>
      </x:c>
      <x:c r="AJ395" s="117" t="str">
        <x:v>Place name or established alias matched in the cited source. This is not confirmation of current opening, all visitor facilities or the full description.</x:v>
      </x:c>
      <x:c r="AK395" s="117" t="str">
        <x:v>Not independently confirmed</x:v>
      </x:c>
      <x:c r="AL395" s="117" t="str">
        <x:v>Screened sources; accessibility unresolved</x:v>
      </x:c>
      <x:c r="AM395" s="117" t="str">
        <x:v>2026-09-08</x:v>
      </x:c>
      <x:c r="AN395" s="117"/>
      <x:c r="AO395" s="117"/>
      <x:c r="AP395" s="117" t="str">
        <x:v>No usable pair located; image research pending</x:v>
      </x:c>
      <x:c r="AQ395" s="117"/>
    </x:row>
    <x:row r="396" ht="66" customHeight="1">
      <x:c r="A396" s="117" t="str">
        <x:v>MC0393</x:v>
      </x:c>
      <x:c r="B396" s="117" t="str">
        <x:v>Royal Selangor Visitor Centre</x:v>
      </x:c>
      <x:c r="C396" s="117" t="str">
        <x:v>W.P. Kuala Lumpur</x:v>
      </x:c>
      <x:c r="D396" s="117" t="str">
        <x:v>Setapak</x:v>
      </x:c>
      <x:c r="E396" s="117" t="str">
        <x:v>Museum and Gallery</x:v>
      </x:c>
      <x:c r="F396" s="117" t="str">
        <x:v>Popular</x:v>
      </x:c>
      <x:c r="G396" s="117" t="str">
        <x:v>Indoor</x:v>
      </x:c>
      <x:c r="H396" s="117" t="str">
        <x:v>pewter; factory tour; crafts</x:v>
      </x:c>
      <x:c r="I396" s="117" t="str">
        <x:v>A pewter-making visitor centre and factory tour by Royal Selangor in Setapak, Kuala Lumpur.</x:v>
      </x:c>
      <x:c r="J396" s="117" t="str">
        <x:v>https://www.google.com/maps/search/?api=1&amp;query=Royal%20Selangor%20Visitor%20Centre%2C%20Kuala%20Lumpur%2C%20Malaysia</x:v>
      </x:c>
      <x:c r="K396" s="117" t="str">
        <x:v>https://ebrochures.malaysia.travel/en/malaysia-travel-guide/kuala-lumpur/</x:v>
      </x:c>
      <x:c r="L396" s="117" t="str">
        <x:v>Tourism Malaysia state guide plus map discovery link</x:v>
      </x:c>
      <x:c r="M396" s="117" t="str">
        <x:v>Kuala Lumpur expansion batch</x:v>
      </x:c>
      <x:c r="N396" s="117"/>
      <x:c r="O396" s="117" t="str">
        <x:v>2026-08-15 00:00:00</x:v>
      </x:c>
      <x:c r="P396" s="117" t="str">
        <x:v>Complete</x:v>
      </x:c>
      <x:c r="Q396" s="117"/>
      <x:c r="R396" s="117" t="str">
        <x:f t="shared" si="6">IF(J396="","Missing Link",IF(AND(ISNUMBER(SEARCH("google.com/maps",J396)),ISERROR(SEARCH(";",J396))),"Discovery Link Only","Source Link Present"))</x:f>
        <x:v>Discovery Link Only</x:v>
      </x:c>
      <x:c r="S396" s="117" t="str">
        <x:v>Not measured</x:v>
      </x:c>
      <x:c r="T396" s="117" t="str">
        <x:v>Yes - operator statement</x:v>
      </x:c>
      <x:c r="U396" s="117" t="str">
        <x:v>Unknown</x:v>
      </x:c>
      <x:c r="V396" s="117" t="str">
        <x:v>Unknown</x:v>
      </x:c>
      <x:c r="W396" s="117" t="str">
        <x:v>Available; distance unknown</x:v>
      </x:c>
      <x:c r="X396" s="117" t="str">
        <x:v>Unknown</x:v>
      </x:c>
      <x:c r="Y396" s="117" t="str">
        <x:v>Conditional on mobility and route</x:v>
      </x:c>
      <x:c r="Z396" s="117" t="str">
        <x:v>Confirm workshop table access and any assistance requirements. The free shuttle is advertised, but wheelchair boarding of that shuttle is not established.</x:v>
      </x:c>
      <x:c r="AA396" s="117" t="str">
        <x:v>Documented support - conditional</x:v>
      </x:c>
      <x:c r="AB396" s="117" t="str">
        <x:v>https://visitorcentre.royalselangor.com/</x:v>
      </x:c>
      <x:c r="AC396" s="117" t="str">
        <x:v>Royal Selangor Visitor Centre</x:v>
      </x:c>
      <x:c r="AD396" s="117" t="str">
        <x:v>2026-09-08</x:v>
      </x:c>
      <x:c r="AE396" s="117" t="str">
        <x:v>MC0393</x:v>
      </x:c>
      <x:c r="AF396" s="117" t="str">
        <x:v>Distinct candidate</x:v>
      </x:c>
      <x:c r="AG396" s="117" t="str"/>
      <x:c r="AH396" s="117" t="str">
        <x:v>Venue-specific source reviewed</x:v>
      </x:c>
      <x:c r="AI396" s="117" t="str">
        <x:v>https://visitorcentre.royalselangor.com/</x:v>
      </x:c>
      <x:c r="AJ396" s="117" t="str">
        <x:v>Place name or established alias matched in the cited source. This is not confirmation of current opening, all visitor facilities or the full description.</x:v>
      </x:c>
      <x:c r="AK396" s="117" t="str">
        <x:v>Not independently confirmed</x:v>
      </x:c>
      <x:c r="AL396" s="117" t="str">
        <x:v>Primary accessibility evidence reviewed</x:v>
      </x:c>
      <x:c r="AM396" s="117" t="str">
        <x:v>2026-09-08</x:v>
      </x:c>
      <x:c r="AN396" s="117" t="str">
        <x:v>https://thumb.wikimedia.org/wikipedia/commons/thumb/c/cc/Production_area_at_the_Royal_Selangor_Visitor_Centre.jpg/1280px-Production_area_at_the_Royal_Selangor_Visitor_Centre.jpg?utm_source=commons.wikimedia.org&amp;utm_campaign=imageinfo&amp;utm_content=thumbnail</x:v>
      </x:c>
      <x:c r="AO396" s="117" t="str">
        <x:v>https://thumb.wikimedia.org/wikipedia/commons/thumb/b/b1/World%27s_Largest_Pewter_Tankard_at_the_Royal_Selangor_Visitor_Centre.jpg/1280px-World%27s_Largest_Pewter_Tankard_at_the_Royal_Selangor_Visitor_Centre.jpg?utm_source=commons.wikimedia.org&amp;utm_campaign=imageinfo&amp;utm_content=thumbnail</x:v>
      </x:c>
      <x:c r="AP396" s="117" t="str">
        <x:v>2 metadata-matched images; visual review pending</x:v>
      </x:c>
      <x:c r="AQ396" s="117"/>
    </x:row>
    <x:row r="397" ht="66" customHeight="1">
      <x:c r="A397" s="117" t="str">
        <x:v>MC0394</x:v>
      </x:c>
      <x:c r="B397" s="117" t="str">
        <x:v>Taman Tasik Permaisuri</x:v>
      </x:c>
      <x:c r="C397" s="117" t="str">
        <x:v>W.P. Kuala Lumpur</x:v>
      </x:c>
      <x:c r="D397" s="117" t="str">
        <x:v>Cheras</x:v>
      </x:c>
      <x:c r="E397" s="117" t="str">
        <x:v>Park and Recreation</x:v>
      </x:c>
      <x:c r="F397" s="117" t="str">
        <x:v>Local</x:v>
      </x:c>
      <x:c r="G397" s="117" t="str">
        <x:v>Outdoor</x:v>
      </x:c>
      <x:c r="H397" s="117" t="str">
        <x:v>lake park; walking; family</x:v>
      </x:c>
      <x:c r="I397" s="117" t="str">
        <x:v>A lake park in Cheras, Kuala Lumpur, popular for jogging and family outings.</x:v>
      </x:c>
      <x:c r="J397" s="117" t="str">
        <x:v>https://www.google.com/maps/search/?api=1&amp;query=Taman%20Tasik%20Permaisuri%2C%20Kuala%20Lumpur%2C%20Malaysia</x:v>
      </x:c>
      <x:c r="K397" s="117" t="str">
        <x:v>https://ebrochures.malaysia.travel/en/malaysia-travel-guide/kuala-lumpur/</x:v>
      </x:c>
      <x:c r="L397" s="117" t="str">
        <x:v>Tourism Malaysia state guide plus map discovery link</x:v>
      </x:c>
      <x:c r="M397" s="117" t="str">
        <x:v>Kuala Lumpur expansion batch</x:v>
      </x:c>
      <x:c r="N397" s="117"/>
      <x:c r="O397" s="117" t="str">
        <x:v>2026-08-15 00:00:00</x:v>
      </x:c>
      <x:c r="P397" s="117" t="str">
        <x:v>Complete</x:v>
      </x:c>
      <x:c r="Q397" s="117" t="str">
        <x:v>Identity and Malaysian location verified in second-pass review on 2026-09-08.</x:v>
      </x:c>
      <x:c r="R397" s="117" t="str">
        <x:f t="shared" si="6">IF(J397="","Missing Link",IF(AND(ISNUMBER(SEARCH("google.com/maps",J397)),ISERROR(SEARCH(";",J397))),"Discovery Link Only","Source Link Present"))</x:f>
        <x:v>Discovery Link Only</x:v>
      </x:c>
      <x:c r="S397" s="117" t="str">
        <x:v>Unknown</x:v>
      </x:c>
      <x:c r="T397" s="117" t="str">
        <x:v>Unknown</x:v>
      </x:c>
      <x:c r="U397" s="117" t="str">
        <x:v>Unknown</x:v>
      </x:c>
      <x:c r="V397" s="117" t="str">
        <x:v>Unknown</x:v>
      </x:c>
      <x:c r="W397" s="117" t="str">
        <x:v>Unknown</x:v>
      </x:c>
      <x:c r="X397" s="117" t="str">
        <x:v>Unknown</x:v>
      </x:c>
      <x:c r="Y397" s="117" t="str">
        <x:v>Unknown</x:v>
      </x:c>
      <x:c r="Z397" s="117"/>
      <x:c r="AA397" s="117" t="str">
        <x:v>Pending evidence</x:v>
      </x:c>
      <x:c r="AB397" s="117"/>
      <x:c r="AC397" s="117" t="str">
        <x:v>No qualifying accessibility conclusion established from the screened sources. This is unknown, not evidence that the attraction is inaccessible.</x:v>
      </x:c>
      <x:c r="AD397" s="117" t="str">
        <x:v>2026-09-08</x:v>
      </x:c>
      <x:c r="AE397" s="117" t="str">
        <x:v>MC0394</x:v>
      </x:c>
      <x:c r="AF397" s="117" t="str">
        <x:v>Distinct candidate</x:v>
      </x:c>
      <x:c r="AG397" s="117" t="str"/>
      <x:c r="AH397" s="117" t="str">
        <x:v>Identity and location corroborated</x:v>
      </x:c>
      <x:c r="AI397" s="117" t="str">
        <x:v>https://www.openstreetmap.org/way/182107926</x:v>
      </x:c>
      <x:c r="AJ397" s="117" t="str">
        <x:v>Mapped source matches the attraction name or established alias and the stated Malaysian location. This verifies identity/location only; confirm current opening and accessibility separately.</x:v>
      </x:c>
      <x:c r="AK397" s="117" t="str">
        <x:v>Not independently confirmed</x:v>
      </x:c>
      <x:c r="AL397" s="117" t="str">
        <x:v>Screened sources; accessibility unresolved</x:v>
      </x:c>
      <x:c r="AM397" s="117" t="str">
        <x:v>2026-09-08</x:v>
      </x:c>
      <x:c r="AN397" s="117"/>
      <x:c r="AO397" s="117"/>
      <x:c r="AP397" s="117" t="str">
        <x:v>No usable pair located; image research pending</x:v>
      </x:c>
      <x:c r="AQ397" s="117"/>
    </x:row>
    <x:row r="398" ht="66" customHeight="1">
      <x:c r="A398" s="117" t="str">
        <x:v>MC0395</x:v>
      </x:c>
      <x:c r="B398" s="117" t="str">
        <x:v>Bukit Kembara Trail</x:v>
      </x:c>
      <x:c r="C398" s="117" t="str">
        <x:v>Selangor</x:v>
      </x:c>
      <x:c r="D398" s="117" t="str">
        <x:v>Ampang</x:v>
      </x:c>
      <x:c r="E398" s="117" t="str">
        <x:v>Adventure</x:v>
      </x:c>
      <x:c r="F398" s="117" t="str">
        <x:v>Local</x:v>
      </x:c>
      <x:c r="G398" s="117" t="str">
        <x:v>Outdoor</x:v>
      </x:c>
      <x:c r="H398" s="117" t="str">
        <x:v>hiking; reservoir; forest</x:v>
      </x:c>
      <x:c r="I398" s="117" t="str">
        <x:v>A hiking trail in the Ampang forest reserve area of Kuala Lumpur.</x:v>
      </x:c>
      <x:c r="J398" s="117" t="str">
        <x:v>https://www.google.com/maps/search/?api=1&amp;query=Bukit%20Kembara%20Trail%2C%20Kuala%20Lumpur%2C%20Malaysia</x:v>
      </x:c>
      <x:c r="K398" s="117" t="str">
        <x:v>https://ebrochures.malaysia.travel/en/malaysia-travel-guide/selangor/</x:v>
      </x:c>
      <x:c r="L398" s="117" t="str">
        <x:v>Tourism Malaysia state guide plus map discovery link</x:v>
      </x:c>
      <x:c r="M398" s="117" t="str">
        <x:v>Kuala Lumpur expansion batch</x:v>
      </x:c>
      <x:c r="N398" s="117"/>
      <x:c r="O398" s="117" t="str">
        <x:v>2026-08-15 00:00:00</x:v>
      </x:c>
      <x:c r="P398" s="117" t="str">
        <x:v>Complete</x:v>
      </x:c>
      <x:c r="Q398" s="117" t="str">
        <x:v>Corrected Kuala Lumpur to Selangor; state assembly record identifies Bukit Kembara, Ampang.</x:v>
      </x:c>
      <x:c r="R398" s="117" t="str">
        <x:f t="shared" si="6">IF(J398="","Missing Link",IF(AND(ISNUMBER(SEARCH("google.com/maps",J398)),ISERROR(SEARCH(";",J398))),"Discovery Link Only","Source Link Present"))</x:f>
        <x:v>Discovery Link Only</x:v>
      </x:c>
      <x:c r="S398" s="117" t="str">
        <x:v>Unknown</x:v>
      </x:c>
      <x:c r="T398" s="117" t="str">
        <x:v>Unknown</x:v>
      </x:c>
      <x:c r="U398" s="117" t="str">
        <x:v>Unknown</x:v>
      </x:c>
      <x:c r="V398" s="117" t="str">
        <x:v>Unknown</x:v>
      </x:c>
      <x:c r="W398" s="117" t="str">
        <x:v>Unknown</x:v>
      </x:c>
      <x:c r="X398" s="117" t="str">
        <x:v>Unknown</x:v>
      </x:c>
      <x:c r="Y398" s="117" t="str">
        <x:v>Unknown</x:v>
      </x:c>
      <x:c r="Z398" s="117"/>
      <x:c r="AA398" s="117" t="str">
        <x:v>Pending evidence</x:v>
      </x:c>
      <x:c r="AB398" s="117"/>
      <x:c r="AC398" s="117" t="str">
        <x:v>No qualifying accessibility conclusion established from the screened sources. This is unknown, not evidence that the attraction is inaccessible.</x:v>
      </x:c>
      <x:c r="AD398" s="117" t="str">
        <x:v>2026-09-08</x:v>
      </x:c>
      <x:c r="AE398" s="117" t="str">
        <x:v>MC0395</x:v>
      </x:c>
      <x:c r="AF398" s="117" t="str">
        <x:v>Distinct candidate</x:v>
      </x:c>
      <x:c r="AG398" s="117" t="str"/>
      <x:c r="AH398" s="117" t="str">
        <x:v>Location corrected from source</x:v>
      </x:c>
      <x:c r="AI398" s="117" t="str">
        <x:v>https://dewan.selangor.gov.my/assets/pdf/sessions/2015/Sesi3/20160328-%20soalan%20mulut.pdf</x:v>
      </x:c>
      <x:c r="AJ398" s="117" t="str">
        <x:v>Available discovery sources and state guide screened; no reliable name match established. Venue-specific verification remains pending.</x:v>
      </x:c>
      <x:c r="AK398" s="117" t="str">
        <x:v>Not independently confirmed</x:v>
      </x:c>
      <x:c r="AL398" s="117" t="str">
        <x:v>Screened sources; accessibility unresolved</x:v>
      </x:c>
      <x:c r="AM398" s="117" t="str">
        <x:v>2026-09-08</x:v>
      </x:c>
      <x:c r="AN398" s="117"/>
      <x:c r="AO398" s="117"/>
      <x:c r="AP398" s="117" t="str">
        <x:v>No usable pair located; image research pending</x:v>
      </x:c>
      <x:c r="AQ398" s="117" t="str">
        <x:v>https://dewan.selangor.gov.my/assets/pdf/sessions/2015/Sesi3/20160328-%20soalan%20mulut.pdf</x:v>
      </x:c>
    </x:row>
    <x:row r="399" ht="66" customHeight="1">
      <x:c r="A399" s="117" t="str">
        <x:v>MC0396</x:v>
      </x:c>
      <x:c r="B399" s="117" t="str">
        <x:v>Saujana Hijau Park</x:v>
      </x:c>
      <x:c r="C399" s="117" t="str">
        <x:v>W.P. Putrajaya</x:v>
      </x:c>
      <x:c r="D399" s="117" t="str">
        <x:v>Presint 11 / Putrajaya</x:v>
      </x:c>
      <x:c r="E399" s="117" t="str">
        <x:v>Nature</x:v>
      </x:c>
      <x:c r="F399" s="117" t="str">
        <x:v>Unclassified</x:v>
      </x:c>
      <x:c r="G399" s="117" t="str">
        <x:v>Outdoor</x:v>
      </x:c>
      <x:c r="H399" s="117" t="str">
        <x:v>Urban park; landscaped garden; conifer garden; highland landscape; gymnosperms; pine trees; juniper; thuja; cycads; European Garden; Oriental Garden; English Garden; three hills; jogging; brisk walking; cycling; picnic; playground; viewpoints; photography; wedding photography; OOTD; botanical education; research; guided visit; family recreation; wheelchair-friendly; gazebos; lawns; nature; relaxation</x:v>
      </x:c>
      <x:c r="I399" s="117" t="str">
        <x:v>A 117-acre landscaped park in Putrajaya's Precinct 11, spread across three hills and known for conifers and other gymnosperms. Its English, Oriental and European themed gardens, broad paths, lawns, gazebos and viewpoints support jogging, walking, cycling, picnics, photography and nature education.</x:v>
      </x:c>
      <x:c r="J399" s="117" t="str">
        <x:v>https://www.malaysia.travel/explore/saujana-hijau-park ; https://www.ppj.gov.my/en/second-menu/taman-saujana-hijau ; https://www.ppj.gov.my/en/second-page/latar-belakang-taman ; https://www.ppj.gov.my/second-page/perkhidmatan-aktiviti-rekreasi-5 ; https://www.ppj.gov.my/second-page/fasiliti-5 ; https://www.ppj.gov.my/second-page/waktu-operasi-taman-3 ; https://taman.ppj.gov.my/ ; https://mygeoname.mygeoportal.gov.my/exportpdf00.jsp?kodnegeri=16</x:v>
      </x:c>
      <x:c r="K399" s="117" t="str">
        <x:v>https://ebrochures.malaysia.travel/en/malaysia-travel-guide/putrajaya/</x:v>
      </x:c>
      <x:c r="L399" s="117" t="str">
        <x:v>Previous workbook candidate/source lead</x:v>
      </x:c>
      <x:c r="M399" s="117" t="str">
        <x:v>Previous workbook seed</x:v>
      </x:c>
      <x:c r="N399" s="117" t="str">
        <x:v>A031</x:v>
      </x:c>
      <x:c r="O399" s="117" t="str">
        <x:v>2026-08-15 00:00:00</x:v>
      </x:c>
      <x:c r="P399" s="117" t="str">
        <x:v>Complete</x:v>
      </x:c>
      <x:c r="Q399" s="117"/>
      <x:c r="R399" s="117" t="str">
        <x:f t="shared" si="6">IF(J399="","Missing Link",IF(AND(ISNUMBER(SEARCH("google.com/maps",J399)),ISERROR(SEARCH(";",J399))),"Discovery Link Only","Source Link Present"))</x:f>
        <x:v>Source Link Present</x:v>
      </x:c>
      <x:c r="S399" s="117" t="str">
        <x:v>Not measured</x:v>
      </x:c>
      <x:c r="T399" s="117" t="str">
        <x:v>Partial - gradients vary</x:v>
      </x:c>
      <x:c r="U399" s="117" t="str">
        <x:v>Yes - documented benches</x:v>
      </x:c>
      <x:c r="V399" s="117" t="str">
        <x:v>Unknown</x:v>
      </x:c>
      <x:c r="W399" s="117" t="str">
        <x:v>Unknown</x:v>
      </x:c>
      <x:c r="X399" s="117" t="str">
        <x:v>Yes - documented</x:v>
      </x:c>
      <x:c r="Y399" s="117" t="str">
        <x:v>Conditional on mobility and route</x:v>
      </x:c>
      <x:c r="Z399" s="117" t="str">
        <x:v>The council's wheelchair-friendly statement does not establish that all inclines are easy. Choose a short route and allow companion assistance on slopes.</x:v>
      </x:c>
      <x:c r="AA399" s="117" t="str">
        <x:v>Documented support - conditional</x:v>
      </x:c>
      <x:c r="AB399" s="117" t="str">
        <x:v>https://www.ppj.gov.my/second-page/perkhidmatan-aktiviti-rekreasi-5
https://www.malaysia.travel/explore/saujana-hijau-park</x:v>
      </x:c>
      <x:c r="AC399" s="117" t="str">
        <x:v>Main garden routes; hilly park</x:v>
      </x:c>
      <x:c r="AD399" s="117" t="str">
        <x:v>2026-09-08</x:v>
      </x:c>
      <x:c r="AE399" s="117" t="str">
        <x:v>MC0396</x:v>
      </x:c>
      <x:c r="AF399" s="117" t="str">
        <x:v>Distinct candidate</x:v>
      </x:c>
      <x:c r="AG399" s="117" t="str"/>
      <x:c r="AH399" s="117" t="str">
        <x:v>Venue-specific source reviewed</x:v>
      </x:c>
      <x:c r="AI399" s="117" t="str">
        <x:v>https://www.ppj.gov.my/second-page/perkhidmatan-aktiviti-rekreasi-5</x:v>
      </x:c>
      <x:c r="AJ399" s="117" t="str">
        <x:v>Place name or established alias matched in the cited source. This is not confirmation of current opening, all visitor facilities or the full description.</x:v>
      </x:c>
      <x:c r="AK399" s="117" t="str">
        <x:v>Not independently confirmed</x:v>
      </x:c>
      <x:c r="AL399" s="117" t="str">
        <x:v>Primary accessibility evidence reviewed</x:v>
      </x:c>
      <x:c r="AM399" s="117" t="str">
        <x:v>2026-09-08</x:v>
      </x:c>
      <x:c r="AN399" s="117"/>
      <x:c r="AO399" s="117"/>
      <x:c r="AP399" s="117" t="str">
        <x:v>No usable pair located; image research pending</x:v>
      </x:c>
      <x:c r="AQ399" s="117"/>
    </x:row>
    <x:row r="400" ht="66" customHeight="1">
      <x:c r="A400" s="117" t="str">
        <x:v>MC0397</x:v>
      </x:c>
      <x:c r="B400" s="117" t="str">
        <x:v>Putrajaya Wetlands Park</x:v>
      </x:c>
      <x:c r="C400" s="117" t="str">
        <x:v>W.P. Putrajaya</x:v>
      </x:c>
      <x:c r="D400" s="117" t="str">
        <x:v>Presint 13 / Putrajaya</x:v>
      </x:c>
      <x:c r="E400" s="117" t="str">
        <x:v>Nature</x:v>
      </x:c>
      <x:c r="F400" s="117" t="str">
        <x:v>Local</x:v>
      </x:c>
      <x:c r="G400" s="117" t="str">
        <x:v>Outdoor</x:v>
      </x:c>
      <x:c r="H400" s="117" t="str">
        <x:v>Constructed freshwater wetland; wetland park; urban ecology; green lung; 24 wetland cells; open lake; natural water filtration; birdwatching; migratory birds; local birds; freshwater fish; aquatic wildlife; flora and fauna; Nature Interpretation Centre; Wetland Studio; Lookout Tower; Flamingo Pond; Swan Lake; walking trails; lakeside promenade; jogging; brisk walking; cycling; picnic; photography; guided visit; environmental education; research; camping; glamping; fishing; kayaking; buggy; adventure activities; family recreation; wheelchair-friendly</x:v>
      </x:c>
      <x:c r="I400" s="117" t="str">
        <x:v>A major public park in Precinct 13 that serves as the visitor gateway to Putrajaya's constructed freshwater wetland system of lakes and 24 wetland cells. It combines water-filtration ecology, bird and aquatic habitats, walking and cycling routes, interpretation facilities, viewpoints and family recreation.</x:v>
      </x:c>
      <x:c r="J400" s="117" t="str">
        <x:v>https://www.malaysia.travel/explore/putrajaya-wetlands-park ; https://www.ppj.gov.my/en/second-menu/taman-wetland ; https://www.ppj.gov.my/en/page/taman-wetland-putrajaya?slug=eko-pelancongan ; https://www.ppj.gov.my/index.php/second-page/latar-belakang-taman-6 ; https://gerbang.ppj.gov.my/second-page/perkhidmatan-aktiviti-rekreasi-7 ; https://www.ppj.gov.my/second-page/fasiliti-2 ; https://www.ppj.gov.my/index.php/second-page/waktu-operasi-taman-5 ; https://www.ppj.gov.my/second-page/kadar-sewaan-perkhidmatan ; https://taman.ppj.gov.my/</x:v>
      </x:c>
      <x:c r="K400" s="117" t="str">
        <x:v>https://ebrochures.malaysia.travel/en/malaysia-travel-guide/putrajaya/</x:v>
      </x:c>
      <x:c r="L400" s="117" t="str">
        <x:v>Previous workbook candidate/source lead</x:v>
      </x:c>
      <x:c r="M400" s="117" t="str">
        <x:v>Previous workbook seed</x:v>
      </x:c>
      <x:c r="N400" s="117" t="str">
        <x:v>A032</x:v>
      </x:c>
      <x:c r="O400" s="117" t="str">
        <x:v>2026-08-15 00:00:00</x:v>
      </x:c>
      <x:c r="P400" s="117" t="str">
        <x:v>Complete</x:v>
      </x:c>
      <x:c r="Q400" s="117"/>
      <x:c r="R400" s="117" t="str">
        <x:f t="shared" si="6">IF(J400="","Missing Link",IF(AND(ISNUMBER(SEARCH("google.com/maps",J400)),ISERROR(SEARCH(";",J400))),"Discovery Link Only","Source Link Present"))</x:f>
        <x:v>Source Link Present</x:v>
      </x:c>
      <x:c r="S400" s="117" t="str">
        <x:v>Not measured</x:v>
      </x:c>
      <x:c r="T400" s="117" t="str">
        <x:v>Partial - exact routes unmeasured</x:v>
      </x:c>
      <x:c r="U400" s="117" t="str">
        <x:v>Unknown</x:v>
      </x:c>
      <x:c r="V400" s="117" t="str">
        <x:v>Unknown</x:v>
      </x:c>
      <x:c r="W400" s="117" t="str">
        <x:v>Unknown</x:v>
      </x:c>
      <x:c r="X400" s="117" t="str">
        <x:v>Unknown</x:v>
      </x:c>
      <x:c r="Y400" s="117" t="str">
        <x:v>Conditional on mobility and route</x:v>
      </x:c>
      <x:c r="Z400" s="117" t="str">
        <x:v>Confirm accessible routes and buggy boarding before travel; listing a buggy does not establish wheelchair roll-on access.</x:v>
      </x:c>
      <x:c r="AA400" s="117" t="str">
        <x:v>Documented support - conditional</x:v>
      </x:c>
      <x:c r="AB400" s="117" t="str">
        <x:v>https://gerbang.ppj.gov.my/second-page/perkhidmatan-aktiviti-rekreasi-7</x:v>
      </x:c>
      <x:c r="AC400" s="117" t="str">
        <x:v>Putrajaya Wetlands visitor areas</x:v>
      </x:c>
      <x:c r="AD400" s="117" t="str">
        <x:v>2026-09-08</x:v>
      </x:c>
      <x:c r="AE400" s="117" t="str">
        <x:v>MC0397</x:v>
      </x:c>
      <x:c r="AF400" s="117" t="str">
        <x:v>Distinct candidate</x:v>
      </x:c>
      <x:c r="AG400" s="117" t="str"/>
      <x:c r="AH400" s="117" t="str">
        <x:v>Venue-specific source reviewed</x:v>
      </x:c>
      <x:c r="AI400" s="117" t="str">
        <x:v>https://gerbang.ppj.gov.my/second-page/perkhidmatan-aktiviti-rekreasi-7</x:v>
      </x:c>
      <x:c r="AJ400" s="117" t="str">
        <x:v>Place name or established alias matched in the cited source. This is not confirmation of current opening, all visitor facilities or the full description.</x:v>
      </x:c>
      <x:c r="AK400" s="117" t="str">
        <x:v>Not independently confirmed</x:v>
      </x:c>
      <x:c r="AL400" s="117" t="str">
        <x:v>Primary accessibility evidence reviewed</x:v>
      </x:c>
      <x:c r="AM400" s="117" t="str">
        <x:v>2026-09-08</x:v>
      </x:c>
      <x:c r="AN400" s="117"/>
      <x:c r="AO400" s="117"/>
      <x:c r="AP400" s="117" t="str">
        <x:v>No usable pair located; image research pending</x:v>
      </x:c>
      <x:c r="AQ400" s="117"/>
    </x:row>
    <x:row r="401" ht="66" customHeight="1">
      <x:c r="A401" s="117" t="str">
        <x:v>MC0398</x:v>
      </x:c>
      <x:c r="B401" s="117" t="str">
        <x:v>Putra Mosque</x:v>
      </x:c>
      <x:c r="C401" s="117" t="str">
        <x:v>W.P. Putrajaya</x:v>
      </x:c>
      <x:c r="D401" s="117" t="str">
        <x:v>Putrajaya</x:v>
      </x:c>
      <x:c r="E401" s="117" t="str">
        <x:v>Religious Site</x:v>
      </x:c>
      <x:c r="F401" s="117" t="str">
        <x:v>Unclassified</x:v>
      </x:c>
      <x:c r="G401" s="117" t="str">
        <x:v>Both</x:v>
      </x:c>
      <x:c r="H401" s="117" t="str">
        <x:v>mosque; architecture; religion; lakeside; photography</x:v>
      </x:c>
      <x:c r="I401" s="117" t="str">
        <x:v>Putrajaya's pink-domed mosque, built from rose-tinted granite and overlooking Putrajaya Lake.</x:v>
      </x:c>
      <x:c r="J401" s="117" t="str">
        <x:v>https://www.google.com/maps/search/?api=1&amp;query=Putra%20Mosque%2C%20W.P.%20Putrajaya%2C%20Malaysia</x:v>
      </x:c>
      <x:c r="K401" s="117" t="str">
        <x:v>https://ebrochures.malaysia.travel/en/malaysia-travel-guide/putrajaya/</x:v>
      </x:c>
      <x:c r="L401" s="117" t="str">
        <x:v>Previous workbook candidate/source lead</x:v>
      </x:c>
      <x:c r="M401" s="117" t="str">
        <x:v>Previous workbook seed</x:v>
      </x:c>
      <x:c r="N401" s="117" t="str">
        <x:v>A145</x:v>
      </x:c>
      <x:c r="O401" s="117" t="str">
        <x:v>2026-08-15 00:00:00</x:v>
      </x:c>
      <x:c r="P401" s="117" t="str">
        <x:v>Complete</x:v>
      </x:c>
      <x:c r="Q401" s="117"/>
      <x:c r="R401" s="117" t="str">
        <x:f t="shared" si="6">IF(J401="","Missing Link",IF(AND(ISNUMBER(SEARCH("google.com/maps",J401)),ISERROR(SEARCH(";",J401))),"Discovery Link Only","Source Link Present"))</x:f>
        <x:v>Discovery Link Only</x:v>
      </x:c>
      <x:c r="S401" s="117" t="str">
        <x:v>Not measured</x:v>
      </x:c>
      <x:c r="T401" s="117" t="str">
        <x:v>Partial - reported</x:v>
      </x:c>
      <x:c r="U401" s="117" t="str">
        <x:v>Unknown</x:v>
      </x:c>
      <x:c r="V401" s="117" t="str">
        <x:v>Reported by access guide</x:v>
      </x:c>
      <x:c r="W401" s="117" t="str">
        <x:v>Unknown</x:v>
      </x:c>
      <x:c r="X401" s="117" t="str">
        <x:v>Unknown</x:v>
      </x:c>
      <x:c r="Y401" s="117" t="str">
        <x:v>Conditional on mobility and route</x:v>
      </x:c>
      <x:c r="Z401" s="117" t="str">
        <x:v>The specialist guide describes remaining uneven areas and the need to use a mosque-provided wheelchair in the prayer hall. Confirm arrangements directly. Its checklist and narrative differ on toilets; verify the precise facility.</x:v>
      </x:c>
      <x:c r="AA401" s="117" t="str">
        <x:v>Reported support - confirm</x:v>
      </x:c>
      <x:c r="AB401" s="117" t="str">
        <x:v>https://www.freeguider.com/en/venues/Masjid-putra-travel-barrier-free</x:v>
      </x:c>
      <x:c r="AC401" s="117" t="str">
        <x:v>Putra Mosque visitor route; prayer-hall transfer required</x:v>
      </x:c>
      <x:c r="AD401" s="117" t="str">
        <x:v>2026-09-08</x:v>
      </x:c>
      <x:c r="AE401" s="117" t="str">
        <x:v>MC0398</x:v>
      </x:c>
      <x:c r="AF401" s="117" t="str">
        <x:v>Distinct candidate</x:v>
      </x:c>
      <x:c r="AG401" s="117" t="str"/>
      <x:c r="AH401" s="117" t="str">
        <x:v>Venue-specific source reviewed</x:v>
      </x:c>
      <x:c r="AI401" s="117" t="str">
        <x:v>https://www.freeguider.com/en/venues/Masjid-putra-travel-barrier-free</x:v>
      </x:c>
      <x:c r="AJ401" s="117" t="str">
        <x:v>Place name or established alias matched in the cited source. This is not confirmation of current opening, all visitor facilities or the full description.</x:v>
      </x:c>
      <x:c r="AK401" s="117" t="str">
        <x:v>Not independently confirmed</x:v>
      </x:c>
      <x:c r="AL401" s="117" t="str">
        <x:v>Secondary accessibility evidence reviewed</x:v>
      </x:c>
      <x:c r="AM401" s="117" t="str">
        <x:v>2026-09-08</x:v>
      </x:c>
      <x:c r="AN401" s="117" t="str">
        <x:v>https://thumb.wikimedia.org/wikipedia/commons/thumb/9/9b/Putra_Mosque_being_reflected_in_the_lake_%28crop%29.jpg/1280px-Putra_Mosque_being_reflected_in_the_lake_%28crop%29.jpg?utm_source=commons.wikimedia.org&amp;utm_campaign=imageinfo&amp;utm_content=thumbnail</x:v>
      </x:c>
      <x:c r="AO401" s="117" t="str">
        <x:v>https://thumb.wikimedia.org/wikipedia/commons/thumb/d/d3/Putrajaya_Malaysia_Putra-Mosque-09.jpg/1280px-Putrajaya_Malaysia_Putra-Mosque-09.jpg?utm_source=commons.wikimedia.org&amp;utm_campaign=imageinfo&amp;utm_content=thumbnail</x:v>
      </x:c>
      <x:c r="AP401" s="117" t="str">
        <x:v>2 metadata-matched images; visual review pending</x:v>
      </x:c>
      <x:c r="AQ401" s="117"/>
    </x:row>
    <x:row r="402" ht="66" customHeight="1">
      <x:c r="A402" s="117" t="str">
        <x:v>MC0399</x:v>
      </x:c>
      <x:c r="B402" s="117" t="str">
        <x:v>Putrajaya Botanical Garden</x:v>
      </x:c>
      <x:c r="C402" s="117" t="str">
        <x:v>W.P. Putrajaya</x:v>
      </x:c>
      <x:c r="D402" s="117" t="str">
        <x:v>Putrajaya</x:v>
      </x:c>
      <x:c r="E402" s="117" t="str">
        <x:v>Wellness and Relaxation</x:v>
      </x:c>
      <x:c r="F402" s="117" t="str">
        <x:v>Unclassified</x:v>
      </x:c>
      <x:c r="G402" s="117" t="str">
        <x:v>Outdoor</x:v>
      </x:c>
      <x:c r="H402" s="117" t="str">
        <x:v>garden; walking; cycling; relaxation; nature</x:v>
      </x:c>
      <x:c r="I402" s="117" t="str">
        <x:v>A large botanical garden in Putrajaya showcasing tropical flora across themed sections.</x:v>
      </x:c>
      <x:c r="J402" s="117" t="str">
        <x:v>https://www.google.com/maps/search/?api=1&amp;query=Putrajaya%20Botanical%20Garden%2C%20W.P.%20Putrajaya%2C%20Malaysia</x:v>
      </x:c>
      <x:c r="K402" s="117" t="str">
        <x:v>https://ebrochures.malaysia.travel/en/malaysia-travel-guide/putrajaya/</x:v>
      </x:c>
      <x:c r="L402" s="117" t="str">
        <x:v>Previous workbook candidate/source lead</x:v>
      </x:c>
      <x:c r="M402" s="117" t="str">
        <x:v>Previous workbook seed</x:v>
      </x:c>
      <x:c r="N402" s="117" t="str">
        <x:v>A146</x:v>
      </x:c>
      <x:c r="O402" s="117" t="str">
        <x:v>2026-08-15 00:00:00</x:v>
      </x:c>
      <x:c r="P402" s="117" t="str">
        <x:v>Complete</x:v>
      </x:c>
      <x:c r="Q402" s="117"/>
      <x:c r="R402" s="117" t="str">
        <x:f t="shared" si="6">IF(J402="","Missing Link",IF(AND(ISNUMBER(SEARCH("google.com/maps",J402)),ISERROR(SEARCH(";",J402))),"Discovery Link Only","Source Link Present"))</x:f>
        <x:v>Discovery Link Only</x:v>
      </x:c>
      <x:c r="S402" s="117" t="str">
        <x:v>Unknown</x:v>
      </x:c>
      <x:c r="T402" s="117" t="str">
        <x:v>Unknown</x:v>
      </x:c>
      <x:c r="U402" s="117" t="str">
        <x:v>Unknown</x:v>
      </x:c>
      <x:c r="V402" s="117" t="str">
        <x:v>Unknown</x:v>
      </x:c>
      <x:c r="W402" s="117" t="str">
        <x:v>Unknown</x:v>
      </x:c>
      <x:c r="X402" s="117" t="str">
        <x:v>Unknown</x:v>
      </x:c>
      <x:c r="Y402" s="117" t="str">
        <x:v>Unknown</x:v>
      </x:c>
      <x:c r="Z402" s="117"/>
      <x:c r="AA402" s="117" t="str">
        <x:v>Pending evidence</x:v>
      </x:c>
      <x:c r="AB402" s="117"/>
      <x:c r="AC402" s="117" t="str">
        <x:v>No qualifying accessibility conclusion established from the screened sources. This is unknown, not evidence that the attraction is inaccessible.</x:v>
      </x:c>
      <x:c r="AD402" s="117" t="str">
        <x:v>2026-09-08</x:v>
      </x:c>
      <x:c r="AE402" s="117" t="str">
        <x:v>MC0399</x:v>
      </x:c>
      <x:c r="AF402" s="117" t="str">
        <x:v>Distinct candidate</x:v>
      </x:c>
      <x:c r="AG402" s="117" t="str"/>
      <x:c r="AH402" s="117" t="str">
        <x:v>Name corroborated in source</x:v>
      </x:c>
      <x:c r="AI402" s="117" t="str">
        <x:v>https://ebrochures.malaysia.travel/en/malaysia-travel-guide/putrajaya/</x:v>
      </x:c>
      <x:c r="AJ402" s="117" t="str">
        <x:v>Place name or established alias matched in the cited source. This is not confirmation of current opening, all visitor facilities or the full description.</x:v>
      </x:c>
      <x:c r="AK402" s="117" t="str">
        <x:v>Not independently confirmed</x:v>
      </x:c>
      <x:c r="AL402" s="117" t="str">
        <x:v>Screened sources; accessibility unresolved</x:v>
      </x:c>
      <x:c r="AM402" s="117" t="str">
        <x:v>2026-09-08</x:v>
      </x:c>
      <x:c r="AN402" s="117" t="str">
        <x:v>https://upload.wikimedia.org/wikipedia/commons/e/eb/Pandangan_dari_jambatan_kayu_dalam_Taman_Botani._%28L-R%29_Pejabat_Taman_Botani%2C_Perdana_Putra_%28Pejabat_Perdana_Menteri%29%2C_Masjid_Putrajaya_-_panoramio.jpg?utm_source=commons.wikimedia.org&amp;utm_campaign=imageinfo&amp;utm_content=thumbnail_unscaled</x:v>
      </x:c>
      <x:c r="AO402" s="117" t="str">
        <x:v>https://thumb.wikimedia.org/wikipedia/commons/thumb/c/cb/Putrajaya_-_ethnobotany_pavilion_in_Taman_Botani_-_Jul_2024.jpg/1280px-Putrajaya_-_ethnobotany_pavilion_in_Taman_Botani_-_Jul_2024.jpg?utm_source=commons.wikimedia.org&amp;utm_campaign=imageinfo&amp;utm_content=thumbnail</x:v>
      </x:c>
      <x:c r="AP402" s="117" t="str">
        <x:v>2 metadata-matched images; visual review pending</x:v>
      </x:c>
      <x:c r="AQ402" s="117"/>
    </x:row>
    <x:row r="403" ht="66" customHeight="1">
      <x:c r="A403" s="117" t="str">
        <x:v>MC0400</x:v>
      </x:c>
      <x:c r="B403" s="117" t="str">
        <x:v>Putrajaya Lake</x:v>
      </x:c>
      <x:c r="C403" s="117" t="str">
        <x:v>W.P. Putrajaya</x:v>
      </x:c>
      <x:c r="D403" s="117" t="str">
        <x:v>Putrajaya</x:v>
      </x:c>
      <x:c r="E403" s="117" t="str">
        <x:v>Park and Recreation</x:v>
      </x:c>
      <x:c r="F403" s="117" t="str">
        <x:v>Unclassified</x:v>
      </x:c>
      <x:c r="G403" s="117" t="str">
        <x:v>Outdoor</x:v>
      </x:c>
      <x:c r="H403" s="117" t="str">
        <x:v>lake; scenery; walking; relaxation; recreation</x:v>
      </x:c>
      <x:c r="I403" s="117" t="str">
        <x:v>A large man-made lake at the centre of Putrajaya used for recreation, boating and water sports events.</x:v>
      </x:c>
      <x:c r="J403" s="117" t="str">
        <x:v>https://www.google.com/maps/search/?api=1&amp;query=Putrajaya%20Lake%2C%20W.P.%20Putrajaya%2C%20Malaysia</x:v>
      </x:c>
      <x:c r="K403" s="117" t="str">
        <x:v>https://ebrochures.malaysia.travel/en/malaysia-travel-guide/putrajaya/</x:v>
      </x:c>
      <x:c r="L403" s="117" t="str">
        <x:v>Previous workbook candidate/source lead</x:v>
      </x:c>
      <x:c r="M403" s="117" t="str">
        <x:v>Previous workbook seed</x:v>
      </x:c>
      <x:c r="N403" s="117" t="str">
        <x:v>A147</x:v>
      </x:c>
      <x:c r="O403" s="117" t="str">
        <x:v>2026-08-15 00:00:00</x:v>
      </x:c>
      <x:c r="P403" s="117" t="str">
        <x:v>Complete</x:v>
      </x:c>
      <x:c r="Q403" s="117"/>
      <x:c r="R403" s="117" t="str">
        <x:f t="shared" si="6">IF(J403="","Missing Link",IF(AND(ISNUMBER(SEARCH("google.com/maps",J403)),ISERROR(SEARCH(";",J403))),"Discovery Link Only","Source Link Present"))</x:f>
        <x:v>Discovery Link Only</x:v>
      </x:c>
      <x:c r="S403" s="117" t="str">
        <x:v>Unknown</x:v>
      </x:c>
      <x:c r="T403" s="117" t="str">
        <x:v>Unknown</x:v>
      </x:c>
      <x:c r="U403" s="117" t="str">
        <x:v>Unknown</x:v>
      </x:c>
      <x:c r="V403" s="117" t="str">
        <x:v>Unknown</x:v>
      </x:c>
      <x:c r="W403" s="117" t="str">
        <x:v>Unknown</x:v>
      </x:c>
      <x:c r="X403" s="117" t="str">
        <x:v>Unknown</x:v>
      </x:c>
      <x:c r="Y403" s="117" t="str">
        <x:v>Unknown</x:v>
      </x:c>
      <x:c r="Z403" s="117"/>
      <x:c r="AA403" s="117" t="str">
        <x:v>Pending evidence</x:v>
      </x:c>
      <x:c r="AB403" s="117"/>
      <x:c r="AC403" s="117" t="str">
        <x:v>No qualifying accessibility conclusion established from the screened sources. This is unknown, not evidence that the attraction is inaccessible.</x:v>
      </x:c>
      <x:c r="AD403" s="117" t="str">
        <x:v>2026-09-08</x:v>
      </x:c>
      <x:c r="AE403" s="117" t="str">
        <x:v>MC0400</x:v>
      </x:c>
      <x:c r="AF403" s="117" t="str">
        <x:v>Distinct candidate</x:v>
      </x:c>
      <x:c r="AG403" s="117" t="str"/>
      <x:c r="AH403" s="117" t="str">
        <x:v>Name corroborated in source</x:v>
      </x:c>
      <x:c r="AI403" s="117" t="str">
        <x:v>https://ebrochures.malaysia.travel/en/malaysia-travel-guide/putrajaya/</x:v>
      </x:c>
      <x:c r="AJ403" s="117" t="str">
        <x:v>Place name or established alias matched in the cited source. This is not confirmation of current opening, all visitor facilities or the full description.</x:v>
      </x:c>
      <x:c r="AK403" s="117" t="str">
        <x:v>Not independently confirmed</x:v>
      </x:c>
      <x:c r="AL403" s="117" t="str">
        <x:v>Screened sources; accessibility unresolved</x:v>
      </x:c>
      <x:c r="AM403" s="117" t="str">
        <x:v>2026-09-08</x:v>
      </x:c>
      <x:c r="AN403" s="117" t="str">
        <x:v>https://thumb.wikimedia.org/wikipedia/commons/thumb/0/06/Putrajaya_panorama_Jan_2007_b.JPG/1280px-Putrajaya_panorama_Jan_2007_b.JPG?utm_source=commons.wikimedia.org&amp;utm_campaign=imageinfo&amp;utm_content=thumbnail</x:v>
      </x:c>
      <x:c r="AO403" s="117" t="str">
        <x:v>https://thumb.wikimedia.org/wikipedia/commons/thumb/3/3e/Taman_tasik_-_panoramio.jpg/1280px-Taman_tasik_-_panoramio.jpg?utm_source=commons.wikimedia.org&amp;utm_campaign=imageinfo&amp;utm_content=thumbnail</x:v>
      </x:c>
      <x:c r="AP403" s="117" t="str">
        <x:v>2 metadata-matched images; visual review pending</x:v>
      </x:c>
      <x:c r="AQ403" s="117"/>
    </x:row>
    <x:row r="404" ht="66" customHeight="1">
      <x:c r="A404" s="117" t="str">
        <x:v>MC0401</x:v>
      </x:c>
      <x:c r="B404" s="117" t="str">
        <x:v>Cruise Tasik Putrajaya</x:v>
      </x:c>
      <x:c r="C404" s="117" t="str">
        <x:v>W.P. Putrajaya</x:v>
      </x:c>
      <x:c r="D404" s="117" t="str">
        <x:v>Putrajaya</x:v>
      </x:c>
      <x:c r="E404" s="117" t="str">
        <x:v>Urban Attraction</x:v>
      </x:c>
      <x:c r="F404" s="117" t="str">
        <x:v>Unclassified</x:v>
      </x:c>
      <x:c r="G404" s="117" t="str">
        <x:v>Outdoor</x:v>
      </x:c>
      <x:c r="H404" s="117" t="str">
        <x:v>lake cruise; sightseeing; relaxation; architecture; family</x:v>
      </x:c>
      <x:c r="I404" s="117" t="str">
        <x:v>A scenic boat cruise on Putrajaya Lake passing the city's landmark bridges and government buildings.</x:v>
      </x:c>
      <x:c r="J404" s="117" t="str">
        <x:v>https://www.google.com/maps/search/?api=1&amp;query=Cruise%20Tasik%20Putrajaya%2C%20W.P.%20Putrajaya%2C%20Malaysia</x:v>
      </x:c>
      <x:c r="K404" s="117" t="str">
        <x:v>https://ebrochures.malaysia.travel/en/malaysia-travel-guide/putrajaya/</x:v>
      </x:c>
      <x:c r="L404" s="117" t="str">
        <x:v>Previous workbook candidate/source lead</x:v>
      </x:c>
      <x:c r="M404" s="117" t="str">
        <x:v>Previous workbook seed</x:v>
      </x:c>
      <x:c r="N404" s="117" t="str">
        <x:v>A148</x:v>
      </x:c>
      <x:c r="O404" s="117" t="str">
        <x:v>2026-08-15 00:00:00</x:v>
      </x:c>
      <x:c r="P404" s="117" t="str">
        <x:v>Complete</x:v>
      </x:c>
      <x:c r="Q404" s="117"/>
      <x:c r="R404" s="117" t="str">
        <x:f t="shared" si="6">IF(J404="","Missing Link",IF(AND(ISNUMBER(SEARCH("google.com/maps",J404)),ISERROR(SEARCH(";",J404))),"Discovery Link Only","Source Link Present"))</x:f>
        <x:v>Discovery Link Only</x:v>
      </x:c>
      <x:c r="S404" s="117" t="str">
        <x:v>Unknown</x:v>
      </x:c>
      <x:c r="T404" s="117" t="str">
        <x:v>Unknown</x:v>
      </x:c>
      <x:c r="U404" s="117" t="str">
        <x:v>Unknown</x:v>
      </x:c>
      <x:c r="V404" s="117" t="str">
        <x:v>Unknown</x:v>
      </x:c>
      <x:c r="W404" s="117" t="str">
        <x:v>Unknown</x:v>
      </x:c>
      <x:c r="X404" s="117" t="str">
        <x:v>Unknown</x:v>
      </x:c>
      <x:c r="Y404" s="117" t="str">
        <x:v>Unknown</x:v>
      </x:c>
      <x:c r="Z404" s="117"/>
      <x:c r="AA404" s="117" t="str">
        <x:v>Pending evidence</x:v>
      </x:c>
      <x:c r="AB404" s="117"/>
      <x:c r="AC404" s="117" t="str">
        <x:v>No qualifying accessibility conclusion established from the screened sources. This is unknown, not evidence that the attraction is inaccessible.</x:v>
      </x:c>
      <x:c r="AD404" s="117" t="str">
        <x:v>2026-09-08</x:v>
      </x:c>
      <x:c r="AE404" s="117" t="str">
        <x:v>MC0401</x:v>
      </x:c>
      <x:c r="AF404" s="117" t="str">
        <x:v>Distinct candidate</x:v>
      </x:c>
      <x:c r="AG404" s="117" t="str"/>
      <x:c r="AH404" s="117" t="str">
        <x:v>Name corroborated in source</x:v>
      </x:c>
      <x:c r="AI404" s="117" t="str">
        <x:v>https://ebrochures.malaysia.travel/en/malaysia-travel-guide/putrajaya/</x:v>
      </x:c>
      <x:c r="AJ404" s="117" t="str">
        <x:v>Place name or established alias matched in the cited source. This is not confirmation of current opening, all visitor facilities or the full description.</x:v>
      </x:c>
      <x:c r="AK404" s="117" t="str">
        <x:v>Not independently confirmed</x:v>
      </x:c>
      <x:c r="AL404" s="117" t="str">
        <x:v>Screened sources; accessibility unresolved</x:v>
      </x:c>
      <x:c r="AM404" s="117" t="str">
        <x:v>2026-09-08</x:v>
      </x:c>
      <x:c r="AN404" s="117"/>
      <x:c r="AO404" s="117"/>
      <x:c r="AP404" s="117" t="str">
        <x:v>No usable pair located; image research pending</x:v>
      </x:c>
      <x:c r="AQ404" s="117"/>
    </x:row>
    <x:row r="405" ht="66" customHeight="1">
      <x:c r="A405" s="117" t="str">
        <x:v>MC0402</x:v>
      </x:c>
      <x:c r="B405" s="117" t="str">
        <x:v>Moroccan Pavilion Putrajaya</x:v>
      </x:c>
      <x:c r="C405" s="117" t="str">
        <x:v>W.P. Putrajaya</x:v>
      </x:c>
      <x:c r="D405" s="117" t="str">
        <x:v>Putrajaya</x:v>
      </x:c>
      <x:c r="E405" s="117" t="str">
        <x:v>Culture</x:v>
      </x:c>
      <x:c r="F405" s="117" t="str">
        <x:v>Unclassified</x:v>
      </x:c>
      <x:c r="G405" s="117" t="str">
        <x:v>Both</x:v>
      </x:c>
      <x:c r="H405" s="117" t="str">
        <x:v>architecture; culture; photography; garden; indoor</x:v>
      </x:c>
      <x:c r="I405" s="117" t="str">
        <x:v>A Moroccan-style pavilion and garden on the shores of Putrajaya Lake.</x:v>
      </x:c>
      <x:c r="J405" s="117" t="str">
        <x:v>https://www.google.com/maps/search/?api=1&amp;query=Moroccan%20Pavilion%20Putrajaya%2C%20W.P.%20Putrajaya%2C%20Malaysia</x:v>
      </x:c>
      <x:c r="K405" s="117" t="str">
        <x:v>https://ebrochures.malaysia.travel/en/malaysia-travel-guide/putrajaya/</x:v>
      </x:c>
      <x:c r="L405" s="117" t="str">
        <x:v>Previous workbook candidate/source lead</x:v>
      </x:c>
      <x:c r="M405" s="117" t="str">
        <x:v>Previous workbook seed</x:v>
      </x:c>
      <x:c r="N405" s="117" t="str">
        <x:v>A149</x:v>
      </x:c>
      <x:c r="O405" s="117" t="str">
        <x:v>2026-08-15 00:00:00</x:v>
      </x:c>
      <x:c r="P405" s="117" t="str">
        <x:v>Complete</x:v>
      </x:c>
      <x:c r="Q405" s="117" t="str">
        <x:v>Identity and Malaysian location verified in second-pass review on 2026-09-08.</x:v>
      </x:c>
      <x:c r="R405" s="117" t="str">
        <x:f t="shared" si="6">IF(J405="","Missing Link",IF(AND(ISNUMBER(SEARCH("google.com/maps",J405)),ISERROR(SEARCH(";",J405))),"Discovery Link Only","Source Link Present"))</x:f>
        <x:v>Discovery Link Only</x:v>
      </x:c>
      <x:c r="S405" s="117" t="str">
        <x:v>Unknown</x:v>
      </x:c>
      <x:c r="T405" s="117" t="str">
        <x:v>Unknown</x:v>
      </x:c>
      <x:c r="U405" s="117" t="str">
        <x:v>Unknown</x:v>
      </x:c>
      <x:c r="V405" s="117" t="str">
        <x:v>Unknown</x:v>
      </x:c>
      <x:c r="W405" s="117" t="str">
        <x:v>Unknown</x:v>
      </x:c>
      <x:c r="X405" s="117" t="str">
        <x:v>Unknown</x:v>
      </x:c>
      <x:c r="Y405" s="117" t="str">
        <x:v>Unknown</x:v>
      </x:c>
      <x:c r="Z405" s="117"/>
      <x:c r="AA405" s="117" t="str">
        <x:v>Pending evidence</x:v>
      </x:c>
      <x:c r="AB405" s="117"/>
      <x:c r="AC405" s="117" t="str">
        <x:v>No qualifying accessibility conclusion established from the screened sources. This is unknown, not evidence that the attraction is inaccessible.</x:v>
      </x:c>
      <x:c r="AD405" s="117" t="str">
        <x:v>2026-09-08</x:v>
      </x:c>
      <x:c r="AE405" s="117" t="str">
        <x:v>MC0402</x:v>
      </x:c>
      <x:c r="AF405" s="117" t="str">
        <x:v>Distinct candidate</x:v>
      </x:c>
      <x:c r="AG405" s="117" t="str"/>
      <x:c r="AH405" s="117" t="str">
        <x:v>Identity and location corroborated</x:v>
      </x:c>
      <x:c r="AI405" s="117" t="str">
        <x:v>https://www.openstreetmap.org/node/13378194605</x:v>
      </x:c>
      <x:c r="AJ405" s="117" t="str">
        <x:v>Mapped source matches the attraction name or established alias and the stated Malaysian location. This verifies identity/location only; confirm current opening and accessibility separately.</x:v>
      </x:c>
      <x:c r="AK405" s="117" t="str">
        <x:v>Not independently confirmed</x:v>
      </x:c>
      <x:c r="AL405" s="117" t="str">
        <x:v>Screened sources; accessibility unresolved</x:v>
      </x:c>
      <x:c r="AM405" s="117" t="str">
        <x:v>2026-09-08</x:v>
      </x:c>
      <x:c r="AN405" s="117"/>
      <x:c r="AO405" s="117"/>
      <x:c r="AP405" s="117" t="str">
        <x:v>No usable pair located; image research pending</x:v>
      </x:c>
      <x:c r="AQ405" s="117"/>
    </x:row>
    <x:row r="406" ht="66" customHeight="1">
      <x:c r="A406" s="117" t="str">
        <x:v>MC0403</x:v>
      </x:c>
      <x:c r="B406" s="117" t="str">
        <x:v>Millennium Monument</x:v>
      </x:c>
      <x:c r="C406" s="117" t="str">
        <x:v>W.P. Putrajaya</x:v>
      </x:c>
      <x:c r="D406" s="117" t="str">
        <x:v>Putrajaya</x:v>
      </x:c>
      <x:c r="E406" s="117" t="str">
        <x:v>Heritage and History</x:v>
      </x:c>
      <x:c r="F406" s="117" t="str">
        <x:v>Unclassified</x:v>
      </x:c>
      <x:c r="G406" s="117" t="str">
        <x:v>Outdoor</x:v>
      </x:c>
      <x:c r="H406" s="117" t="str">
        <x:v>monument; history; lakeside; walking; photography</x:v>
      </x:c>
      <x:c r="I406" s="117" t="str">
        <x:v>A monument in Putrajaya commemorating Malaysia's development milestones.</x:v>
      </x:c>
      <x:c r="J406" s="117" t="str">
        <x:v>https://www.google.com/maps/search/?api=1&amp;query=Millennium%20Monument%2C%20W.P.%20Putrajaya%2C%20Malaysia</x:v>
      </x:c>
      <x:c r="K406" s="117" t="str">
        <x:v>https://ebrochures.malaysia.travel/en/malaysia-travel-guide/putrajaya/</x:v>
      </x:c>
      <x:c r="L406" s="117" t="str">
        <x:v>Previous workbook candidate/source lead</x:v>
      </x:c>
      <x:c r="M406" s="117" t="str">
        <x:v>Previous workbook seed</x:v>
      </x:c>
      <x:c r="N406" s="117" t="str">
        <x:v>A150</x:v>
      </x:c>
      <x:c r="O406" s="117" t="str">
        <x:v>2026-08-15 00:00:00</x:v>
      </x:c>
      <x:c r="P406" s="117" t="str">
        <x:v>Complete</x:v>
      </x:c>
      <x:c r="Q406" s="117"/>
      <x:c r="R406" s="117" t="str">
        <x:f t="shared" si="6">IF(J406="","Missing Link",IF(AND(ISNUMBER(SEARCH("google.com/maps",J406)),ISERROR(SEARCH(";",J406))),"Discovery Link Only","Source Link Present"))</x:f>
        <x:v>Discovery Link Only</x:v>
      </x:c>
      <x:c r="S406" s="117" t="str">
        <x:v>Not measured</x:v>
      </x:c>
      <x:c r="T406" s="117" t="str">
        <x:v>Partial - ramped incline reported</x:v>
      </x:c>
      <x:c r="U406" s="117" t="str">
        <x:v>Unknown</x:v>
      </x:c>
      <x:c r="V406" s="117" t="str">
        <x:v>Unknown</x:v>
      </x:c>
      <x:c r="W406" s="117" t="str">
        <x:v>Unknown</x:v>
      </x:c>
      <x:c r="X406" s="117" t="str">
        <x:v>Unknown</x:v>
      </x:c>
      <x:c r="Y406" s="117" t="str">
        <x:v>Conditional on mobility and route</x:v>
      </x:c>
      <x:c r="Z406" s="117" t="str">
        <x:v>A visitor guide describes a ramp around the base. The incline can be tiring; ramp gradient, handrails and accessible toilet are not established.</x:v>
      </x:c>
      <x:c r="AA406" s="117" t="str">
        <x:v>Reported support - confirm</x:v>
      </x:c>
      <x:c r="AB406" s="117" t="str">
        <x:v>https://www.malaysia-traveller.com/millennium-monument.html</x:v>
      </x:c>
      <x:c r="AC406" s="117" t="str">
        <x:v>External interpretive platform; obelisk interior excluded</x:v>
      </x:c>
      <x:c r="AD406" s="117" t="str">
        <x:v>2026-09-08</x:v>
      </x:c>
      <x:c r="AE406" s="117" t="str">
        <x:v>MC0403</x:v>
      </x:c>
      <x:c r="AF406" s="117" t="str">
        <x:v>Distinct candidate</x:v>
      </x:c>
      <x:c r="AG406" s="117" t="str"/>
      <x:c r="AH406" s="117" t="str">
        <x:v>Venue-specific source reviewed</x:v>
      </x:c>
      <x:c r="AI406" s="117" t="str">
        <x:v>https://www.malaysia-traveller.com/millennium-monument.html</x:v>
      </x:c>
      <x:c r="AJ406" s="117" t="str">
        <x:v>Place name or established alias matched in the cited source. This is not confirmation of current opening, all visitor facilities or the full description.</x:v>
      </x:c>
      <x:c r="AK406" s="117" t="str">
        <x:v>Not independently confirmed</x:v>
      </x:c>
      <x:c r="AL406" s="117" t="str">
        <x:v>Secondary accessibility evidence reviewed</x:v>
      </x:c>
      <x:c r="AM406" s="117" t="str">
        <x:v>2026-09-08</x:v>
      </x:c>
      <x:c r="AN406" s="117"/>
      <x:c r="AO406" s="117"/>
      <x:c r="AP406" s="117" t="str">
        <x:v>No usable pair located; image research pending</x:v>
      </x:c>
      <x:c r="AQ406" s="117"/>
    </x:row>
    <x:row r="407" ht="66" customHeight="1">
      <x:c r="A407" s="117" t="str">
        <x:v>MC0404</x:v>
      </x:c>
      <x:c r="B407" s="117" t="str">
        <x:v>Seri Wawasan Bridge</x:v>
      </x:c>
      <x:c r="C407" s="117" t="str">
        <x:v>W.P. Putrajaya</x:v>
      </x:c>
      <x:c r="D407" s="117" t="str">
        <x:v>Putrajaya</x:v>
      </x:c>
      <x:c r="E407" s="117" t="str">
        <x:v>Urban Attraction</x:v>
      </x:c>
      <x:c r="F407" s="117" t="str">
        <x:v>Unclassified</x:v>
      </x:c>
      <x:c r="G407" s="117" t="str">
        <x:v>Outdoor</x:v>
      </x:c>
      <x:c r="H407" s="117" t="str">
        <x:v>bridge; architecture; night view; photography; sightseeing</x:v>
      </x:c>
      <x:c r="I407" s="117" t="str">
        <x:v>A cable-stayed bridge in Putrajaya, one of several architecturally distinct bridges spanning the lake.</x:v>
      </x:c>
      <x:c r="J407" s="117" t="str">
        <x:v>https://www.google.com/maps/search/?api=1&amp;query=Seri%20Wawasan%20Bridge%2C%20W.P.%20Putrajaya%2C%20Malaysia</x:v>
      </x:c>
      <x:c r="K407" s="117" t="str">
        <x:v>https://ebrochures.malaysia.travel/en/malaysia-travel-guide/putrajaya/</x:v>
      </x:c>
      <x:c r="L407" s="117" t="str">
        <x:v>Previous workbook candidate/source lead</x:v>
      </x:c>
      <x:c r="M407" s="117" t="str">
        <x:v>Previous workbook seed</x:v>
      </x:c>
      <x:c r="N407" s="117" t="str">
        <x:v>A151</x:v>
      </x:c>
      <x:c r="O407" s="117" t="str">
        <x:v>2026-08-15 00:00:00</x:v>
      </x:c>
      <x:c r="P407" s="117" t="str">
        <x:v>Complete</x:v>
      </x:c>
      <x:c r="Q407" s="117" t="str">
        <x:v>Identity and Malaysian location verified in second-pass review on 2026-09-08.</x:v>
      </x:c>
      <x:c r="R407" s="117" t="str">
        <x:f t="shared" si="6">IF(J407="","Missing Link",IF(AND(ISNUMBER(SEARCH("google.com/maps",J407)),ISERROR(SEARCH(";",J407))),"Discovery Link Only","Source Link Present"))</x:f>
        <x:v>Discovery Link Only</x:v>
      </x:c>
      <x:c r="S407" s="117" t="str">
        <x:v>Unknown</x:v>
      </x:c>
      <x:c r="T407" s="117" t="str">
        <x:v>Unknown</x:v>
      </x:c>
      <x:c r="U407" s="117" t="str">
        <x:v>Unknown</x:v>
      </x:c>
      <x:c r="V407" s="117" t="str">
        <x:v>Unknown</x:v>
      </x:c>
      <x:c r="W407" s="117" t="str">
        <x:v>Unknown</x:v>
      </x:c>
      <x:c r="X407" s="117" t="str">
        <x:v>Unknown</x:v>
      </x:c>
      <x:c r="Y407" s="117" t="str">
        <x:v>Unknown</x:v>
      </x:c>
      <x:c r="Z407" s="117"/>
      <x:c r="AA407" s="117" t="str">
        <x:v>Pending evidence</x:v>
      </x:c>
      <x:c r="AB407" s="117"/>
      <x:c r="AC407" s="117" t="str">
        <x:v>No qualifying accessibility conclusion established from the screened sources. This is unknown, not evidence that the attraction is inaccessible.</x:v>
      </x:c>
      <x:c r="AD407" s="117" t="str">
        <x:v>2026-09-08</x:v>
      </x:c>
      <x:c r="AE407" s="117" t="str">
        <x:v>MC0404</x:v>
      </x:c>
      <x:c r="AF407" s="117" t="str">
        <x:v>Distinct candidate</x:v>
      </x:c>
      <x:c r="AG407" s="117" t="str"/>
      <x:c r="AH407" s="117" t="str">
        <x:v>Identity and location corroborated</x:v>
      </x:c>
      <x:c r="AI407" s="117" t="str">
        <x:v>https://en.wikipedia.org/wiki/Seri_Wawasan_Bridge</x:v>
      </x:c>
      <x:c r="AJ407" s="117" t="str">
        <x:v>Encyclopedic source matches the attraction name or established alias and the stated Malaysian location. This verifies identity/location only; confirm current opening and accessibility separately.</x:v>
      </x:c>
      <x:c r="AK407" s="117" t="str">
        <x:v>Not independently confirmed</x:v>
      </x:c>
      <x:c r="AL407" s="117" t="str">
        <x:v>Screened sources; accessibility unresolved</x:v>
      </x:c>
      <x:c r="AM407" s="117" t="str">
        <x:v>2026-09-08</x:v>
      </x:c>
      <x:c r="AN407" s="117" t="str">
        <x:v>https://thumb.wikimedia.org/wikipedia/commons/thumb/1/19/Jambatan_Seri_Wawasan_4493633704_3cbff54de1.jpg/1280px-Jambatan_Seri_Wawasan_4493633704_3cbff54de1.jpg?utm_source=commons.wikimedia.org&amp;utm_campaign=imageinfo&amp;utm_content=thumbnail</x:v>
      </x:c>
      <x:c r="AO407" s="117" t="str">
        <x:v>https://thumb.wikimedia.org/wikipedia/commons/thumb/c/c0/Seri_Wawasan_Bridge_Putrajaya.jpg/1280px-Seri_Wawasan_Bridge_Putrajaya.jpg?utm_source=commons.wikimedia.org&amp;utm_campaign=imageinfo&amp;utm_content=thumbnail</x:v>
      </x:c>
      <x:c r="AP407" s="117" t="str">
        <x:v>2 metadata-matched images; visual review pending</x:v>
      </x:c>
      <x:c r="AQ407" s="117"/>
    </x:row>
    <x:row r="408" ht="66" customHeight="1">
      <x:c r="A408" s="117" t="str">
        <x:v>MC0405</x:v>
      </x:c>
      <x:c r="B408" s="117" t="str">
        <x:v>Anjung Floria</x:v>
      </x:c>
      <x:c r="C408" s="117" t="str">
        <x:v>W.P. Putrajaya</x:v>
      </x:c>
      <x:c r="D408" s="117" t="str">
        <x:v>Putrajaya</x:v>
      </x:c>
      <x:c r="E408" s="117" t="str">
        <x:v>Park and Recreation</x:v>
      </x:c>
      <x:c r="F408" s="117" t="str">
        <x:v>Unclassified</x:v>
      </x:c>
      <x:c r="G408" s="117" t="str">
        <x:v>Outdoor</x:v>
      </x:c>
      <x:c r="H408" s="117" t="str">
        <x:v>garden; flowers; walking; relaxation; family</x:v>
      </x:c>
      <x:c r="I408" s="117" t="str">
        <x:v>A flower garden along Putrajaya Lake, popular for photography.</x:v>
      </x:c>
      <x:c r="J408" s="117" t="str">
        <x:v>https://www.google.com/maps/search/?api=1&amp;query=Anjung%20Floria%2C%20W.P.%20Putrajaya%2C%20Malaysia</x:v>
      </x:c>
      <x:c r="K408" s="117" t="str">
        <x:v>https://ebrochures.malaysia.travel/en/malaysia-travel-guide/putrajaya/</x:v>
      </x:c>
      <x:c r="L408" s="117" t="str">
        <x:v>Previous workbook candidate/source lead</x:v>
      </x:c>
      <x:c r="M408" s="117" t="str">
        <x:v>Previous workbook seed</x:v>
      </x:c>
      <x:c r="N408" s="117" t="str">
        <x:v>A152</x:v>
      </x:c>
      <x:c r="O408" s="117" t="str">
        <x:v>2026-08-15 00:00:00</x:v>
      </x:c>
      <x:c r="P408" s="117" t="str">
        <x:v>Complete</x:v>
      </x:c>
      <x:c r="Q408" s="117" t="str">
        <x:v>Identity and Malaysian location verified in second-pass review on 2026-09-08.</x:v>
      </x:c>
      <x:c r="R408" s="117" t="str">
        <x:f t="shared" si="6">IF(J408="","Missing Link",IF(AND(ISNUMBER(SEARCH("google.com/maps",J408)),ISERROR(SEARCH(";",J408))),"Discovery Link Only","Source Link Present"))</x:f>
        <x:v>Discovery Link Only</x:v>
      </x:c>
      <x:c r="S408" s="117" t="str">
        <x:v>Not measured</x:v>
      </x:c>
      <x:c r="T408" s="117" t="str">
        <x:v>Reported; confirm</x:v>
      </x:c>
      <x:c r="U408" s="117" t="str">
        <x:v>Picnic areas reported</x:v>
      </x:c>
      <x:c r="V408" s="117" t="str">
        <x:v>Public toilets reported; accessibility unknown</x:v>
      </x:c>
      <x:c r="W408" s="117" t="str">
        <x:v>Reported accessible</x:v>
      </x:c>
      <x:c r="X408" s="117" t="str">
        <x:v>Limited garden shelters</x:v>
      </x:c>
      <x:c r="Y408" s="117" t="str">
        <x:v>Conditional on route and event crowds</x:v>
      </x:c>
      <x:c r="Z408" s="117" t="str">
        <x:v>A travel directory reports ramps and accessible pathways. Confirm these details with Putrajaya park management, particularly during Royal Floria events.</x:v>
      </x:c>
      <x:c r="AA408" s="117" t="str">
        <x:v>Reported support - confirm</x:v>
      </x:c>
      <x:c r="AB408" s="117" t="str">
        <x:v>https://www.traveloka.com/en-sg/hotel/malaysia/landmark/anjung-floria-91663827673101</x:v>
      </x:c>
      <x:c r="AC408" s="117" t="str">
        <x:v>Main garden paths; event layout may vary</x:v>
      </x:c>
      <x:c r="AD408" s="117" t="str">
        <x:v>2026-09-08</x:v>
      </x:c>
      <x:c r="AE408" s="117" t="str">
        <x:v>MC0405</x:v>
      </x:c>
      <x:c r="AF408" s="117" t="str">
        <x:v>Distinct candidate</x:v>
      </x:c>
      <x:c r="AG408" s="117" t="str"/>
      <x:c r="AH408" s="117" t="str">
        <x:v>Identity and location corroborated</x:v>
      </x:c>
      <x:c r="AI408" s="117" t="str">
        <x:v>https://www.openstreetmap.org/way/1254252353</x:v>
      </x:c>
      <x:c r="AJ408" s="117" t="str">
        <x:v>Mapped source matches the attraction name or established alias and the stated Malaysian location. This verifies identity/location only; confirm current opening and accessibility separately.</x:v>
      </x:c>
      <x:c r="AK408" s="117" t="str">
        <x:v>Not independently confirmed</x:v>
      </x:c>
      <x:c r="AL408" s="117" t="str">
        <x:v>Secondary source - specific features only</x:v>
      </x:c>
      <x:c r="AM408" s="117" t="str">
        <x:v>2026-09-08</x:v>
      </x:c>
      <x:c r="AN408" s="117"/>
      <x:c r="AO408" s="117"/>
      <x:c r="AP408" s="117" t="str">
        <x:v>No usable pair located; image research pending</x:v>
      </x:c>
      <x:c r="AQ408" s="117"/>
    </x:row>
    <x:row r="409" ht="66" customHeight="1">
      <x:c r="A409" s="117" t="str">
        <x:v>MC0406</x:v>
      </x:c>
      <x:c r="B409" s="117" t="str">
        <x:v>Perdana Putra</x:v>
      </x:c>
      <x:c r="C409" s="117" t="str">
        <x:v>W.P. Putrajaya</x:v>
      </x:c>
      <x:c r="D409" s="117" t="str">
        <x:v>Precinct 1</x:v>
      </x:c>
      <x:c r="E409" s="117" t="str">
        <x:v>Urban Attraction</x:v>
      </x:c>
      <x:c r="F409" s="117" t="str">
        <x:v>Popular</x:v>
      </x:c>
      <x:c r="G409" s="117" t="str">
        <x:v>Both</x:v>
      </x:c>
      <x:c r="H409" s="117" t="str">
        <x:v>civic architecture; landmark; photography</x:v>
      </x:c>
      <x:c r="I409" s="117" t="str">
        <x:v>The Malaysian Prime Minister's office building in Precinct 1, Putrajaya, a landmark with a green dome overlooking the city.</x:v>
      </x:c>
      <x:c r="J409" s="117" t="str">
        <x:v>https://www.google.com/maps/search/?api=1&amp;query=Perdana%20Putra%2C%20W.P.%20Putrajaya%2C%20Malaysia</x:v>
      </x:c>
      <x:c r="K409" s="117" t="str">
        <x:v>https://ebrochures.malaysia.travel/en/malaysia-travel-guide/putrajaya/</x:v>
      </x:c>
      <x:c r="L409" s="117" t="str">
        <x:v>Tourism Malaysia state guide plus map discovery link</x:v>
      </x:c>
      <x:c r="M409" s="117" t="str">
        <x:v>W.P. Putrajaya expansion batch</x:v>
      </x:c>
      <x:c r="N409" s="117"/>
      <x:c r="O409" s="117" t="str">
        <x:v>2026-08-15 00:00:00</x:v>
      </x:c>
      <x:c r="P409" s="117" t="str">
        <x:v>Complete</x:v>
      </x:c>
      <x:c r="Q409" s="117"/>
      <x:c r="R409" s="117" t="str">
        <x:f t="shared" si="6">IF(J409="","Missing Link",IF(AND(ISNUMBER(SEARCH("google.com/maps",J409)),ISERROR(SEARCH(";",J409))),"Discovery Link Only","Source Link Present"))</x:f>
        <x:v>Discovery Link Only</x:v>
      </x:c>
      <x:c r="S409" s="117" t="str">
        <x:v>Unknown</x:v>
      </x:c>
      <x:c r="T409" s="117" t="str">
        <x:v>Unknown</x:v>
      </x:c>
      <x:c r="U409" s="117" t="str">
        <x:v>Unknown</x:v>
      </x:c>
      <x:c r="V409" s="117" t="str">
        <x:v>Unknown</x:v>
      </x:c>
      <x:c r="W409" s="117" t="str">
        <x:v>Unknown</x:v>
      </x:c>
      <x:c r="X409" s="117" t="str">
        <x:v>Unknown</x:v>
      </x:c>
      <x:c r="Y409" s="117" t="str">
        <x:v>Unknown</x:v>
      </x:c>
      <x:c r="Z409" s="117"/>
      <x:c r="AA409" s="117" t="str">
        <x:v>Pending evidence</x:v>
      </x:c>
      <x:c r="AB409" s="117"/>
      <x:c r="AC409" s="117" t="str">
        <x:v>No qualifying accessibility conclusion established from the screened sources. This is unknown, not evidence that the attraction is inaccessible.</x:v>
      </x:c>
      <x:c r="AD409" s="117" t="str">
        <x:v>2026-09-08</x:v>
      </x:c>
      <x:c r="AE409" s="117" t="str">
        <x:v>MC0406</x:v>
      </x:c>
      <x:c r="AF409" s="117" t="str">
        <x:v>Distinct candidate</x:v>
      </x:c>
      <x:c r="AG409" s="117" t="str"/>
      <x:c r="AH409" s="117" t="str">
        <x:v>Name corroborated in source</x:v>
      </x:c>
      <x:c r="AI409" s="117" t="str">
        <x:v>https://ebrochures.malaysia.travel/en/malaysia-travel-guide/putrajaya/</x:v>
      </x:c>
      <x:c r="AJ409" s="117" t="str">
        <x:v>Place name or established alias matched in the cited source. This is not confirmation of current opening, all visitor facilities or the full description.</x:v>
      </x:c>
      <x:c r="AK409" s="117" t="str">
        <x:v>Not independently confirmed</x:v>
      </x:c>
      <x:c r="AL409" s="117" t="str">
        <x:v>Screened sources; accessibility unresolved</x:v>
      </x:c>
      <x:c r="AM409" s="117" t="str">
        <x:v>2026-09-08</x:v>
      </x:c>
      <x:c r="AN409" s="117" t="str">
        <x:v>https://thumb.wikimedia.org/wikipedia/commons/thumb/a/a9/Perdana_Putra_building_2005.jpg/1280px-Perdana_Putra_building_2005.jpg?utm_source=commons.wikimedia.org&amp;utm_campaign=imageinfo&amp;utm_content=thumbnail</x:v>
      </x:c>
      <x:c r="AO409" s="117" t="str">
        <x:v>https://upload.wikimedia.org/wikipedia/commons/7/78/Pb6-080701.jpg?utm_source=commons.wikimedia.org&amp;utm_campaign=imageinfo&amp;utm_content=thumbnail_unscaled</x:v>
      </x:c>
      <x:c r="AP409" s="117" t="str">
        <x:v>2 metadata-matched images; visual review pending</x:v>
      </x:c>
      <x:c r="AQ409" s="117"/>
    </x:row>
    <x:row r="410" ht="66" customHeight="1">
      <x:c r="A410" s="117" t="str">
        <x:v>MC0407</x:v>
      </x:c>
      <x:c r="B410" s="117" t="str">
        <x:v>Tuanku Mizan Zainal Abidin Mosque</x:v>
      </x:c>
      <x:c r="C410" s="117" t="str">
        <x:v>W.P. Putrajaya</x:v>
      </x:c>
      <x:c r="D410" s="117" t="str">
        <x:v>Precinct 3</x:v>
      </x:c>
      <x:c r="E410" s="117" t="str">
        <x:v>Religious Site</x:v>
      </x:c>
      <x:c r="F410" s="117" t="str">
        <x:v>Popular</x:v>
      </x:c>
      <x:c r="G410" s="117" t="str">
        <x:v>Both</x:v>
      </x:c>
      <x:c r="H410" s="117" t="str">
        <x:v>iron mosque; architecture; landmark</x:v>
      </x:c>
      <x:c r="I410" s="117" t="str">
        <x:v>A large mosque in Precinct 3, Putrajaya, known as the Iron Mosque for its steel structure.</x:v>
      </x:c>
      <x:c r="J410" s="117" t="str">
        <x:v>https://www.google.com/maps/search/?api=1&amp;query=Tuanku%20Mizan%20Zainal%20Abidin%20Mosque%2C%20W.P.%20Putrajaya%2C%20Malaysia</x:v>
      </x:c>
      <x:c r="K410" s="117" t="str">
        <x:v>https://ebrochures.malaysia.travel/en/malaysia-travel-guide/putrajaya/</x:v>
      </x:c>
      <x:c r="L410" s="117" t="str">
        <x:v>Tourism Malaysia state guide plus map discovery link</x:v>
      </x:c>
      <x:c r="M410" s="117" t="str">
        <x:v>W.P. Putrajaya expansion batch</x:v>
      </x:c>
      <x:c r="N410" s="117"/>
      <x:c r="O410" s="117" t="str">
        <x:v>2026-08-15 00:00:00</x:v>
      </x:c>
      <x:c r="P410" s="117" t="str">
        <x:v>Complete</x:v>
      </x:c>
      <x:c r="Q410" s="117"/>
      <x:c r="R410" s="117" t="str">
        <x:f t="shared" si="6">IF(J410="","Missing Link",IF(AND(ISNUMBER(SEARCH("google.com/maps",J410)),ISERROR(SEARCH(";",J410))),"Discovery Link Only","Source Link Present"))</x:f>
        <x:v>Discovery Link Only</x:v>
      </x:c>
      <x:c r="S410" s="117" t="str">
        <x:v>Unknown</x:v>
      </x:c>
      <x:c r="T410" s="117" t="str">
        <x:v>Unknown</x:v>
      </x:c>
      <x:c r="U410" s="117" t="str">
        <x:v>Unknown</x:v>
      </x:c>
      <x:c r="V410" s="117" t="str">
        <x:v>Unknown</x:v>
      </x:c>
      <x:c r="W410" s="117" t="str">
        <x:v>Unknown</x:v>
      </x:c>
      <x:c r="X410" s="117" t="str">
        <x:v>Unknown</x:v>
      </x:c>
      <x:c r="Y410" s="117" t="str">
        <x:v>Unknown</x:v>
      </x:c>
      <x:c r="Z410" s="117"/>
      <x:c r="AA410" s="117" t="str">
        <x:v>Pending evidence</x:v>
      </x:c>
      <x:c r="AB410" s="117"/>
      <x:c r="AC410" s="117" t="str">
        <x:v>No qualifying accessibility conclusion established from the screened sources. This is unknown, not evidence that the attraction is inaccessible.</x:v>
      </x:c>
      <x:c r="AD410" s="117" t="str">
        <x:v>2026-09-08</x:v>
      </x:c>
      <x:c r="AE410" s="117" t="str">
        <x:v>MC0407</x:v>
      </x:c>
      <x:c r="AF410" s="117" t="str">
        <x:v>Distinct candidate</x:v>
      </x:c>
      <x:c r="AG410" s="117" t="str"/>
      <x:c r="AH410" s="117" t="str">
        <x:v>Name corroborated in source</x:v>
      </x:c>
      <x:c r="AI410" s="117" t="str">
        <x:v>https://ebrochures.malaysia.travel/en/malaysia-travel-guide/putrajaya/</x:v>
      </x:c>
      <x:c r="AJ410" s="117" t="str">
        <x:v>Place name or established alias matched in the cited source. This is not confirmation of current opening, all visitor facilities or the full description.</x:v>
      </x:c>
      <x:c r="AK410" s="117" t="str">
        <x:v>Not independently confirmed</x:v>
      </x:c>
      <x:c r="AL410" s="117" t="str">
        <x:v>Screened sources; accessibility unresolved</x:v>
      </x:c>
      <x:c r="AM410" s="117" t="str">
        <x:v>2026-09-08</x:v>
      </x:c>
      <x:c r="AN410" s="117" t="str">
        <x:v>https://thumb.wikimedia.org/wikipedia/commons/thumb/9/9b/Putrajaya_4064988738_64bfcde3a9.jpg/1280px-Putrajaya_4064988738_64bfcde3a9.jpg?utm_source=commons.wikimedia.org&amp;utm_campaign=imageinfo&amp;utm_content=thumbnail</x:v>
      </x:c>
      <x:c r="AO410" s="117" t="str">
        <x:v>https://thumb.wikimedia.org/wikipedia/commons/thumb/e/eb/MasjidTuankuMizanZainalAbidin.jpg/1280px-MasjidTuankuMizanZainalAbidin.jpg?utm_source=commons.wikimedia.org&amp;utm_campaign=imageinfo&amp;utm_content=thumbnail</x:v>
      </x:c>
      <x:c r="AP410" s="117" t="str">
        <x:v>2 metadata-matched images; visual review pending</x:v>
      </x:c>
      <x:c r="AQ410" s="117"/>
    </x:row>
    <x:row r="411" ht="66" customHeight="1">
      <x:c r="A411" s="117" t="str">
        <x:v>MC0408</x:v>
      </x:c>
      <x:c r="B411" s="117" t="str">
        <x:v>Seri Gemilang Bridge</x:v>
      </x:c>
      <x:c r="C411" s="117" t="str">
        <x:v>W.P. Putrajaya</x:v>
      </x:c>
      <x:c r="D411" s="117" t="str">
        <x:v>Precinct 4</x:v>
      </x:c>
      <x:c r="E411" s="117" t="str">
        <x:v>Urban Attraction</x:v>
      </x:c>
      <x:c r="F411" s="117" t="str">
        <x:v>Local</x:v>
      </x:c>
      <x:c r="G411" s="117" t="str">
        <x:v>Both</x:v>
      </x:c>
      <x:c r="H411" s="117" t="str">
        <x:v>bridge; architecture; photography</x:v>
      </x:c>
      <x:c r="I411" s="117" t="str">
        <x:v>A landmark bridge in Putrajaya connecting government precincts across the lake.</x:v>
      </x:c>
      <x:c r="J411" s="117" t="str">
        <x:v>https://www.google.com/maps/search/?api=1&amp;query=Seri%20Gemilang%20Bridge%2C%20W.P.%20Putrajaya%2C%20Malaysia</x:v>
      </x:c>
      <x:c r="K411" s="117" t="str">
        <x:v>https://ebrochures.malaysia.travel/en/malaysia-travel-guide/putrajaya/</x:v>
      </x:c>
      <x:c r="L411" s="117" t="str">
        <x:v>Tourism Malaysia state guide plus map discovery link</x:v>
      </x:c>
      <x:c r="M411" s="117" t="str">
        <x:v>W.P. Putrajaya expansion batch</x:v>
      </x:c>
      <x:c r="N411" s="117"/>
      <x:c r="O411" s="117" t="str">
        <x:v>2026-08-15 00:00:00</x:v>
      </x:c>
      <x:c r="P411" s="117" t="str">
        <x:v>Complete</x:v>
      </x:c>
      <x:c r="Q411" s="117"/>
      <x:c r="R411" s="117" t="str">
        <x:f t="shared" si="6">IF(J411="","Missing Link",IF(AND(ISNUMBER(SEARCH("google.com/maps",J411)),ISERROR(SEARCH(";",J411))),"Discovery Link Only","Source Link Present"))</x:f>
        <x:v>Discovery Link Only</x:v>
      </x:c>
      <x:c r="S411" s="117" t="str">
        <x:v>Unknown</x:v>
      </x:c>
      <x:c r="T411" s="117" t="str">
        <x:v>Unknown</x:v>
      </x:c>
      <x:c r="U411" s="117" t="str">
        <x:v>Unknown</x:v>
      </x:c>
      <x:c r="V411" s="117" t="str">
        <x:v>Unknown</x:v>
      </x:c>
      <x:c r="W411" s="117" t="str">
        <x:v>Unknown</x:v>
      </x:c>
      <x:c r="X411" s="117" t="str">
        <x:v>Unknown</x:v>
      </x:c>
      <x:c r="Y411" s="117" t="str">
        <x:v>Unknown</x:v>
      </x:c>
      <x:c r="Z411" s="117"/>
      <x:c r="AA411" s="117" t="str">
        <x:v>Pending evidence</x:v>
      </x:c>
      <x:c r="AB411" s="117"/>
      <x:c r="AC411" s="117" t="str">
        <x:v>No qualifying accessibility conclusion established from the screened sources. This is unknown, not evidence that the attraction is inaccessible.</x:v>
      </x:c>
      <x:c r="AD411" s="117" t="str">
        <x:v>2026-09-08</x:v>
      </x:c>
      <x:c r="AE411" s="117" t="str">
        <x:v>MC0408</x:v>
      </x:c>
      <x:c r="AF411" s="117" t="str">
        <x:v>Distinct candidate</x:v>
      </x:c>
      <x:c r="AG411" s="117" t="str"/>
      <x:c r="AH411" s="117" t="str">
        <x:v>Name corroborated in source</x:v>
      </x:c>
      <x:c r="AI411" s="117" t="str">
        <x:v>https://ebrochures.malaysia.travel/en/malaysia-travel-guide/putrajaya/</x:v>
      </x:c>
      <x:c r="AJ411" s="117" t="str">
        <x:v>Place name or established alias matched in the cited source. This is not confirmation of current opening, all visitor facilities or the full description.</x:v>
      </x:c>
      <x:c r="AK411" s="117" t="str">
        <x:v>Not independently confirmed</x:v>
      </x:c>
      <x:c r="AL411" s="117" t="str">
        <x:v>Screened sources; accessibility unresolved</x:v>
      </x:c>
      <x:c r="AM411" s="117" t="str">
        <x:v>2026-09-08</x:v>
      </x:c>
      <x:c r="AN411" s="117" t="str">
        <x:v>https://thumb.wikimedia.org/wikipedia/commons/thumb/6/69/Putrajaya_Malaysia_Seri-Gemilang-Bridge-03.jpg/1280px-Putrajaya_Malaysia_Seri-Gemilang-Bridge-03.jpg?utm_source=commons.wikimedia.org&amp;utm_campaign=imageinfo&amp;utm_content=thumbnail</x:v>
      </x:c>
      <x:c r="AO411" s="117" t="str">
        <x:v>https://thumb.wikimedia.org/wikipedia/commons/thumb/8/86/Putrajaya_Malaysia_Seri-Gemilang-Bridge-02.jpg/1280px-Putrajaya_Malaysia_Seri-Gemilang-Bridge-02.jpg?utm_source=commons.wikimedia.org&amp;utm_campaign=imageinfo&amp;utm_content=thumbnail</x:v>
      </x:c>
      <x:c r="AP411" s="117" t="str">
        <x:v>2 metadata-matched images; visual review pending</x:v>
      </x:c>
      <x:c r="AQ411" s="117"/>
    </x:row>
    <x:row r="412" ht="66" customHeight="1">
      <x:c r="A412" s="117" t="str">
        <x:v>MC0409</x:v>
      </x:c>
      <x:c r="B412" s="117" t="str">
        <x:v>China-Malaysia Friendship Garden</x:v>
      </x:c>
      <x:c r="C412" s="117" t="str">
        <x:v>W.P. Putrajaya</x:v>
      </x:c>
      <x:c r="D412" s="117" t="str">
        <x:v>Precinct 16</x:v>
      </x:c>
      <x:c r="E412" s="117" t="str">
        <x:v>Park and Recreation</x:v>
      </x:c>
      <x:c r="F412" s="117" t="str">
        <x:v>Underrated</x:v>
      </x:c>
      <x:c r="G412" s="117" t="str">
        <x:v>Outdoor</x:v>
      </x:c>
      <x:c r="H412" s="117" t="str">
        <x:v>garden; landscaping; photography</x:v>
      </x:c>
      <x:c r="I412" s="117" t="str">
        <x:v>A garden in Precinct 16, Putrajaya, commemorating diplomatic ties between China and Malaysia.</x:v>
      </x:c>
      <x:c r="J412" s="117" t="str">
        <x:v>https://www.google.com/maps/search/?api=1&amp;query=China-Malaysia%20Friendship%20Garden%2C%20W.P.%20Putrajaya%2C%20Malaysia</x:v>
      </x:c>
      <x:c r="K412" s="117" t="str">
        <x:v>https://ebrochures.malaysia.travel/en/malaysia-travel-guide/putrajaya/</x:v>
      </x:c>
      <x:c r="L412" s="117" t="str">
        <x:v>Tourism Malaysia state guide plus map discovery link</x:v>
      </x:c>
      <x:c r="M412" s="117" t="str">
        <x:v>W.P. Putrajaya expansion batch</x:v>
      </x:c>
      <x:c r="N412" s="117"/>
      <x:c r="O412" s="117" t="str">
        <x:v>2026-08-15 00:00:00</x:v>
      </x:c>
      <x:c r="P412" s="117" t="str">
        <x:v>Complete</x:v>
      </x:c>
      <x:c r="Q412" s="117" t="str">
        <x:v>Identity and Malaysian location verified in second-pass review on 2026-09-08.</x:v>
      </x:c>
      <x:c r="R412" s="117" t="str">
        <x:f t="shared" si="6">IF(J412="","Missing Link",IF(AND(ISNUMBER(SEARCH("google.com/maps",J412)),ISERROR(SEARCH(";",J412))),"Discovery Link Only","Source Link Present"))</x:f>
        <x:v>Discovery Link Only</x:v>
      </x:c>
      <x:c r="S412" s="117" t="str">
        <x:v>Unknown</x:v>
      </x:c>
      <x:c r="T412" s="117" t="str">
        <x:v>Unknown</x:v>
      </x:c>
      <x:c r="U412" s="117" t="str">
        <x:v>Unknown</x:v>
      </x:c>
      <x:c r="V412" s="117" t="str">
        <x:v>Unknown</x:v>
      </x:c>
      <x:c r="W412" s="117" t="str">
        <x:v>Unknown</x:v>
      </x:c>
      <x:c r="X412" s="117" t="str">
        <x:v>Unknown</x:v>
      </x:c>
      <x:c r="Y412" s="117" t="str">
        <x:v>Unknown</x:v>
      </x:c>
      <x:c r="Z412" s="117"/>
      <x:c r="AA412" s="117" t="str">
        <x:v>Pending evidence</x:v>
      </x:c>
      <x:c r="AB412" s="117"/>
      <x:c r="AC412" s="117" t="str">
        <x:v>No qualifying accessibility conclusion established from the screened sources. This is unknown, not evidence that the attraction is inaccessible.</x:v>
      </x:c>
      <x:c r="AD412" s="117" t="str">
        <x:v>2026-09-08</x:v>
      </x:c>
      <x:c r="AE412" s="117" t="str">
        <x:v>MC0409</x:v>
      </x:c>
      <x:c r="AF412" s="117" t="str">
        <x:v>Distinct candidate</x:v>
      </x:c>
      <x:c r="AG412" s="117" t="str"/>
      <x:c r="AH412" s="117" t="str">
        <x:v>Identity and location corroborated</x:v>
      </x:c>
      <x:c r="AI412" s="117" t="str">
        <x:v>https://www.openstreetmap.org/node/7217701553</x:v>
      </x:c>
      <x:c r="AJ412" s="117" t="str">
        <x:v>Mapped source matches the attraction name or established alias and the stated Malaysian location. This verifies identity/location only; confirm current opening and accessibility separately.</x:v>
      </x:c>
      <x:c r="AK412" s="117" t="str">
        <x:v>Not independently confirmed</x:v>
      </x:c>
      <x:c r="AL412" s="117" t="str">
        <x:v>Screened sources; accessibility unresolved</x:v>
      </x:c>
      <x:c r="AM412" s="117" t="str">
        <x:v>2026-09-08</x:v>
      </x:c>
      <x:c r="AN412" s="117"/>
      <x:c r="AO412" s="117"/>
      <x:c r="AP412" s="117" t="str">
        <x:v>No usable pair located; image research pending</x:v>
      </x:c>
      <x:c r="AQ412" s="117"/>
    </x:row>
    <x:row r="413" ht="66" customHeight="1">
      <x:c r="A413" s="117" t="str">
        <x:v>MC0410</x:v>
      </x:c>
      <x:c r="B413" s="117" t="str">
        <x:v>Taman Saujana Hijau</x:v>
      </x:c>
      <x:c r="C413" s="117" t="str">
        <x:v>W.P. Putrajaya</x:v>
      </x:c>
      <x:c r="D413" s="117" t="str">
        <x:v>Precinct 19</x:v>
      </x:c>
      <x:c r="E413" s="117" t="str">
        <x:v>Park and Recreation</x:v>
      </x:c>
      <x:c r="F413" s="117" t="str">
        <x:v>Popular</x:v>
      </x:c>
      <x:c r="G413" s="117" t="str">
        <x:v>Outdoor</x:v>
      </x:c>
      <x:c r="H413" s="117" t="str">
        <x:v>landscape park; cycling; sunrise</x:v>
      </x:c>
      <x:c r="I413" s="117" t="str">
        <x:v>A large public park in Precinct 19, Putrajaya, used for events and recreation.</x:v>
      </x:c>
      <x:c r="J413" s="117" t="str">
        <x:v>https://www.google.com/maps/search/?api=1&amp;query=Taman%20Saujana%20Hijau%2C%20W.P.%20Putrajaya%2C%20Malaysia</x:v>
      </x:c>
      <x:c r="K413" s="117" t="str">
        <x:v>https://ebrochures.malaysia.travel/en/malaysia-travel-guide/putrajaya/</x:v>
      </x:c>
      <x:c r="L413" s="117" t="str">
        <x:v>Tourism Malaysia state guide plus map discovery link</x:v>
      </x:c>
      <x:c r="M413" s="117" t="str">
        <x:v>W.P. Putrajaya expansion batch</x:v>
      </x:c>
      <x:c r="N413" s="117"/>
      <x:c r="O413" s="117" t="str">
        <x:v>2026-08-15 00:00:00</x:v>
      </x:c>
      <x:c r="P413" s="117" t="str">
        <x:v>Complete</x:v>
      </x:c>
      <x:c r="Q413" s="117" t="str">
        <x:v>Duplicate alias: use MC0396 Identity and Malaysian location verified in second-pass review on 2026-09-08.</x:v>
      </x:c>
      <x:c r="R413" s="117" t="str">
        <x:f t="shared" si="6">IF(J413="","Missing Link",IF(AND(ISNUMBER(SEARCH("google.com/maps",J413)),ISERROR(SEARCH(";",J413))),"Discovery Link Only","Source Link Present"))</x:f>
        <x:v>Discovery Link Only</x:v>
      </x:c>
      <x:c r="S413" s="117" t="str">
        <x:v>Not measured</x:v>
      </x:c>
      <x:c r="T413" s="117" t="str">
        <x:v>Partial - gradients vary</x:v>
      </x:c>
      <x:c r="U413" s="117" t="str">
        <x:v>Yes - documented benches</x:v>
      </x:c>
      <x:c r="V413" s="117" t="str">
        <x:v>Unknown</x:v>
      </x:c>
      <x:c r="W413" s="117" t="str">
        <x:v>Unknown</x:v>
      </x:c>
      <x:c r="X413" s="117" t="str">
        <x:v>Yes - documented</x:v>
      </x:c>
      <x:c r="Y413" s="117" t="str">
        <x:v>Conditional on mobility and route</x:v>
      </x:c>
      <x:c r="Z413" s="117" t="str">
        <x:v>The council's wheelchair-friendly statement does not establish that all inclines are easy. Choose a short route and allow companion assistance on slopes.</x:v>
      </x:c>
      <x:c r="AA413" s="117" t="str">
        <x:v>Duplicate - use canonical ID</x:v>
      </x:c>
      <x:c r="AB413" s="117" t="str">
        <x:v>https://www.ppj.gov.my/second-page/perkhidmatan-aktiviti-rekreasi-5
https://www.malaysia.travel/explore/saujana-hijau-park</x:v>
      </x:c>
      <x:c r="AC413" s="117" t="str">
        <x:v>Main garden routes; hilly park</x:v>
      </x:c>
      <x:c r="AD413" s="117" t="str">
        <x:v>2026-09-08</x:v>
      </x:c>
      <x:c r="AE413" s="117" t="str">
        <x:v>MC0396</x:v>
      </x:c>
      <x:c r="AF413" s="117" t="str">
        <x:v>Duplicate alias</x:v>
      </x:c>
      <x:c r="AG413" s="117" t="str"/>
      <x:c r="AH413" s="117" t="str">
        <x:v>Identity and location corroborated</x:v>
      </x:c>
      <x:c r="AI413" s="117" t="str">
        <x:v>https://www.openstreetmap.org/way/471345764</x:v>
      </x:c>
      <x:c r="AJ413" s="117" t="str">
        <x:v>Mapped source matches the attraction name or established alias and the stated Malaysian location. This verifies identity/location only; confirm current opening and accessibility separately.</x:v>
      </x:c>
      <x:c r="AK413" s="117" t="str">
        <x:v>Not independently confirmed</x:v>
      </x:c>
      <x:c r="AL413" s="117" t="str">
        <x:v>Primary accessibility evidence reviewed</x:v>
      </x:c>
      <x:c r="AM413" s="117" t="str">
        <x:v>2026-09-08</x:v>
      </x:c>
      <x:c r="AN413" s="117"/>
      <x:c r="AO413" s="117"/>
      <x:c r="AP413" s="117" t="str">
        <x:v>No usable pair located; image research pending</x:v>
      </x:c>
      <x:c r="AQ413" s="117"/>
    </x:row>
    <x:row r="414" ht="66" customHeight="1">
      <x:c r="A414" s="117" t="str">
        <x:v>MC0411</x:v>
      </x:c>
      <x:c r="B414" s="117" t="str">
        <x:v>Putrajaya Steps</x:v>
      </x:c>
      <x:c r="C414" s="117" t="str">
        <x:v>W.P. Putrajaya</x:v>
      </x:c>
      <x:c r="D414" s="117" t="str">
        <x:v>Precinct 1</x:v>
      </x:c>
      <x:c r="E414" s="117" t="str">
        <x:v>Urban Attraction</x:v>
      </x:c>
      <x:c r="F414" s="117" t="str">
        <x:v>Local</x:v>
      </x:c>
      <x:c r="G414" s="117" t="str">
        <x:v>Both</x:v>
      </x:c>
      <x:c r="H414" s="117" t="str">
        <x:v>stairs; viewpoint; civic space</x:v>
      </x:c>
      <x:c r="I414" s="117" t="str">
        <x:v>A landscaped promenade and staircase feature near Precinct 1, Putrajaya, by the lake.</x:v>
      </x:c>
      <x:c r="J414" s="117" t="str">
        <x:v>https://www.google.com/maps/search/?api=1&amp;query=Putrajaya%20Steps%2C%20W.P.%20Putrajaya%2C%20Malaysia</x:v>
      </x:c>
      <x:c r="K414" s="117" t="str">
        <x:v>https://ebrochures.malaysia.travel/en/malaysia-travel-guide/putrajaya/</x:v>
      </x:c>
      <x:c r="L414" s="117" t="str">
        <x:v>Tourism Malaysia state guide plus map discovery link</x:v>
      </x:c>
      <x:c r="M414" s="117" t="str">
        <x:v>W.P. Putrajaya expansion batch</x:v>
      </x:c>
      <x:c r="N414" s="117"/>
      <x:c r="O414" s="117" t="str">
        <x:v>2026-08-15 00:00:00</x:v>
      </x:c>
      <x:c r="P414" s="117" t="str">
        <x:v>Complete</x:v>
      </x:c>
      <x:c r="Q414" s="117" t="str">
        <x:v>Identity and Malaysian location verified in second-pass review on 2026-09-08.</x:v>
      </x:c>
      <x:c r="R414" s="117" t="str">
        <x:f t="shared" si="6">IF(J414="","Missing Link",IF(AND(ISNUMBER(SEARCH("google.com/maps",J414)),ISERROR(SEARCH(";",J414))),"Discovery Link Only","Source Link Present"))</x:f>
        <x:v>Discovery Link Only</x:v>
      </x:c>
      <x:c r="S414" s="117" t="str">
        <x:v>Unknown</x:v>
      </x:c>
      <x:c r="T414" s="117" t="str">
        <x:v>Unknown</x:v>
      </x:c>
      <x:c r="U414" s="117" t="str">
        <x:v>Unknown</x:v>
      </x:c>
      <x:c r="V414" s="117" t="str">
        <x:v>Unknown</x:v>
      </x:c>
      <x:c r="W414" s="117" t="str">
        <x:v>Unknown</x:v>
      </x:c>
      <x:c r="X414" s="117" t="str">
        <x:v>Unknown</x:v>
      </x:c>
      <x:c r="Y414" s="117" t="str">
        <x:v>Not recommended for stated route</x:v>
      </x:c>
      <x:c r="Z414" s="117" t="str">
        <x:v>The attraction is a monumental stair route; mapped feature is explicitly tagged as steps</x:v>
      </x:c>
      <x:c r="AA414" s="117" t="str">
        <x:v>Documented restriction</x:v>
      </x:c>
      <x:c r="AB414" s="117" t="str">
        <x:v>https://www.openstreetmap.org/way/1000671439</x:v>
      </x:c>
      <x:c r="AC414" s="117" t="str">
        <x:v>Main attraction route</x:v>
      </x:c>
      <x:c r="AD414" s="117" t="str">
        <x:v>2026-09-08</x:v>
      </x:c>
      <x:c r="AE414" s="117" t="str">
        <x:v>MC0411</x:v>
      </x:c>
      <x:c r="AF414" s="117" t="str">
        <x:v>Distinct candidate</x:v>
      </x:c>
      <x:c r="AG414" s="117" t="str"/>
      <x:c r="AH414" s="117" t="str">
        <x:v>Identity and location corroborated</x:v>
      </x:c>
      <x:c r="AI414" s="117" t="str">
        <x:v>https://www.openstreetmap.org/way/1000671439</x:v>
      </x:c>
      <x:c r="AJ414" s="117" t="str">
        <x:v>Mapped source matches the attraction name or established alias and the stated Malaysian location. This verifies identity/location only; confirm current opening and accessibility separately.</x:v>
      </x:c>
      <x:c r="AK414" s="117" t="str">
        <x:v>Not independently confirmed</x:v>
      </x:c>
      <x:c r="AL414" s="117" t="str">
        <x:v>Secondary restriction evidence reviewed</x:v>
      </x:c>
      <x:c r="AM414" s="117" t="str">
        <x:v>2026-09-08</x:v>
      </x:c>
      <x:c r="AN414" s="117" t="str">
        <x:v>https://thumb.wikimedia.org/wikipedia/commons/thumb/4/4a/Putrajaya_Steps_%28221115%29_05.jpg/1280px-Putrajaya_Steps_%28221115%29_05.jpg?utm_source=commons.wikimedia.org&amp;utm_campaign=imageinfo&amp;utm_content=thumbnail</x:v>
      </x:c>
      <x:c r="AO414" s="117" t="str">
        <x:v>https://thumb.wikimedia.org/wikipedia/commons/thumb/5/52/Putrajaya_Steps_%28221115%29_03.jpg/1280px-Putrajaya_Steps_%28221115%29_03.jpg?utm_source=commons.wikimedia.org&amp;utm_campaign=imageinfo&amp;utm_content=thumbnail</x:v>
      </x:c>
      <x:c r="AP414" s="117" t="str">
        <x:v>2 metadata-matched images; visual review pending</x:v>
      </x:c>
      <x:c r="AQ414" s="117"/>
    </x:row>
    <x:row r="415" ht="66" customHeight="1">
      <x:c r="A415" s="117" t="str">
        <x:v>MC0412</x:v>
      </x:c>
      <x:c r="B415" s="117" t="str">
        <x:v>Marina Putrajaya</x:v>
      </x:c>
      <x:c r="C415" s="117" t="str">
        <x:v>W.P. Putrajaya</x:v>
      </x:c>
      <x:c r="D415" s="117" t="str">
        <x:v>Precinct 6</x:v>
      </x:c>
      <x:c r="E415" s="117" t="str">
        <x:v>Park and Recreation</x:v>
      </x:c>
      <x:c r="F415" s="117" t="str">
        <x:v>Local</x:v>
      </x:c>
      <x:c r="G415" s="117" t="str">
        <x:v>Outdoor</x:v>
      </x:c>
      <x:c r="H415" s="117" t="str">
        <x:v>water sports; lakeside; family</x:v>
      </x:c>
      <x:c r="I415" s="117" t="str">
        <x:v>A waterfront marina and leisure precinct in Precinct 6, Putrajaya, used for water sports and lake cruises.</x:v>
      </x:c>
      <x:c r="J415" s="117" t="str">
        <x:v>https://www.google.com/maps/search/?api=1&amp;query=Marina%20Putrajaya%2C%20W.P.%20Putrajaya%2C%20Malaysia</x:v>
      </x:c>
      <x:c r="K415" s="117" t="str">
        <x:v>https://ebrochures.malaysia.travel/en/malaysia-travel-guide/putrajaya/</x:v>
      </x:c>
      <x:c r="L415" s="117" t="str">
        <x:v>Tourism Malaysia state guide plus map discovery link</x:v>
      </x:c>
      <x:c r="M415" s="117" t="str">
        <x:v>W.P. Putrajaya expansion batch</x:v>
      </x:c>
      <x:c r="N415" s="117"/>
      <x:c r="O415" s="117" t="str">
        <x:v>2026-08-15 00:00:00</x:v>
      </x:c>
      <x:c r="P415" s="117" t="str">
        <x:v>Complete</x:v>
      </x:c>
      <x:c r="Q415" s="117"/>
      <x:c r="R415" s="117" t="str">
        <x:f t="shared" si="6">IF(J415="","Missing Link",IF(AND(ISNUMBER(SEARCH("google.com/maps",J415)),ISERROR(SEARCH(";",J415))),"Discovery Link Only","Source Link Present"))</x:f>
        <x:v>Discovery Link Only</x:v>
      </x:c>
      <x:c r="S415" s="117" t="str">
        <x:v>Not measured</x:v>
      </x:c>
      <x:c r="T415" s="117" t="str">
        <x:v>Unknown</x:v>
      </x:c>
      <x:c r="U415" s="117" t="str">
        <x:v>Unknown</x:v>
      </x:c>
      <x:c r="V415" s="117" t="str">
        <x:v>Unknown</x:v>
      </x:c>
      <x:c r="W415" s="117" t="str">
        <x:v>Reported - basement Zone D pillar 10</x:v>
      </x:c>
      <x:c r="X415" s="117" t="str">
        <x:v>Unknown</x:v>
      </x:c>
      <x:c r="Y415" s="117" t="str">
        <x:v>Conditional on mobility and route</x:v>
      </x:c>
      <x:c r="Z415" s="117" t="str">
        <x:v>This supports parking access only. Waterfront routes and cruise boarding cannot be inferred from a parking listing; the old cruise participation claim was not revalidated.</x:v>
      </x:c>
      <x:c r="AA415" s="117" t="str">
        <x:v>Reported support - confirm</x:v>
      </x:c>
      <x:c r="AB415" s="117" t="str">
        <x:v>https://parkinginmalaysia.com/marina-putrajaya-parking-info/</x:v>
      </x:c>
      <x:c r="AC415" s="117" t="str">
        <x:v>Basement parking, Zone D pillar 10 only</x:v>
      </x:c>
      <x:c r="AD415" s="117" t="str">
        <x:v>2026-09-08</x:v>
      </x:c>
      <x:c r="AE415" s="117" t="str">
        <x:v>MC0412</x:v>
      </x:c>
      <x:c r="AF415" s="117" t="str">
        <x:v>Distinct candidate</x:v>
      </x:c>
      <x:c r="AG415" s="117" t="str"/>
      <x:c r="AH415" s="117" t="str">
        <x:v>Venue-specific source reviewed</x:v>
      </x:c>
      <x:c r="AI415" s="117" t="str">
        <x:v>https://parkinginmalaysia.com/marina-putrajaya-parking-info/</x:v>
      </x:c>
      <x:c r="AJ415" s="117" t="str">
        <x:v>Place name or established alias matched in the cited source. This is not confirmation of current opening, all visitor facilities or the full description.</x:v>
      </x:c>
      <x:c r="AK415" s="117" t="str">
        <x:v>Not independently confirmed</x:v>
      </x:c>
      <x:c r="AL415" s="117" t="str">
        <x:v>Secondary accessibility evidence reviewed</x:v>
      </x:c>
      <x:c r="AM415" s="117" t="str">
        <x:v>2026-09-08</x:v>
      </x:c>
      <x:c r="AN415" s="117"/>
      <x:c r="AO415" s="117"/>
      <x:c r="AP415" s="117" t="str">
        <x:v>No usable pair located; image research pending</x:v>
      </x:c>
      <x:c r="AQ415" s="117"/>
    </x:row>
    <x:row r="416" ht="66" customHeight="1">
      <x:c r="A416" s="117" t="str">
        <x:v>MC0413</x:v>
      </x:c>
      <x:c r="B416" s="117" t="str">
        <x:v>Labuan War Cemetery</x:v>
      </x:c>
      <x:c r="C416" s="117" t="str">
        <x:v>W.P. Labuan</x:v>
      </x:c>
      <x:c r="D416" s="117" t="str">
        <x:v>Labuan / Victoria</x:v>
      </x:c>
      <x:c r="E416" s="117" t="str">
        <x:v>Heritage and History</x:v>
      </x:c>
      <x:c r="F416" s="117" t="str">
        <x:v>Unclassified</x:v>
      </x:c>
      <x:c r="G416" s="117" t="str">
        <x:v>Outdoor</x:v>
      </x:c>
      <x:c r="H416" s="117" t="str">
        <x:v>World War II; war cemetery; memorial; Commonwealth War Graves Commission; North Borneo; Borneo Campaign; Sandakan Death Marches; prisoners of war; Commonwealth forces; Australian history; British history; Indian history; New Zealand history; military history; heritage; remembrance; education; reflection; cemetery; Labuan Memorial; Labuan Cremation Memorial; Remembrance Day; photography</x:v>
      </x:c>
      <x:c r="I416" s="117" t="str">
        <x:v>A Commonwealth war cemetery and memorial on Jalan Tanjung Batu containing 3,922 Second World War burials gathered from across Borneo. Its landscaped grounds, Labuan Memorial and Cremation Memorial commemorate Commonwealth personnel and preserve the history of the Borneo campaign, prisoner-of-war camps and Sandakan death marches.</x:v>
      </x:c>
      <x:c r="J416" s="117" t="str">
        <x:v>https://www.malaysia.travel/explore/the-labuan-war-cemetery-a-journey-through-north-borneo-s-history ; https://www.cwgc.org/visit-us/find-cemeteries-memorials/cemetery-details/17000/labuan-war-cemetery/ ; https://ebrochures.malaysia.travel/en/malaysia-travel-guide/labuan/ ; https://www.malaysia.travel/events/remembrance-day ; https://www.pl.gov.my/wp-content/uploads/2026/04/BUKU-LAPORAN-2023-PL_compressed.pdf</x:v>
      </x:c>
      <x:c r="K416" s="117" t="str">
        <x:v>https://ebrochures.malaysia.travel/en/malaysia-travel-guide/labuan/</x:v>
      </x:c>
      <x:c r="L416" s="117" t="str">
        <x:v>Previous workbook candidate/source lead</x:v>
      </x:c>
      <x:c r="M416" s="117" t="str">
        <x:v>Previous workbook seed</x:v>
      </x:c>
      <x:c r="N416" s="117" t="str">
        <x:v>A029</x:v>
      </x:c>
      <x:c r="O416" s="117" t="str">
        <x:v>2026-08-15 00:00:00</x:v>
      </x:c>
      <x:c r="P416" s="117" t="str">
        <x:v>Complete</x:v>
      </x:c>
      <x:c r="Q416" s="117"/>
      <x:c r="R416" s="117" t="str">
        <x:f t="shared" si="6">IF(J416="","Missing Link",IF(AND(ISNUMBER(SEARCH("google.com/maps",J416)),ISERROR(SEARCH(";",J416))),"Discovery Link Only","Source Link Present"))</x:f>
        <x:v>Source Link Present</x:v>
      </x:c>
      <x:c r="S416" s="117" t="str">
        <x:v>Not measured</x:v>
      </x:c>
      <x:c r="T416" s="117" t="str">
        <x:v>Partial - entrances documented</x:v>
      </x:c>
      <x:c r="U416" s="117" t="str">
        <x:v>Unknown</x:v>
      </x:c>
      <x:c r="V416" s="117" t="str">
        <x:v>Unknown</x:v>
      </x:c>
      <x:c r="W416" s="117" t="str">
        <x:v>Unknown</x:v>
      </x:c>
      <x:c r="X416" s="117" t="str">
        <x:v>Unknown</x:v>
      </x:c>
      <x:c r="Y416" s="117" t="str">
        <x:v>Conditional on mobility and route</x:v>
      </x:c>
      <x:c r="Z416" s="117" t="str">
        <x:v>Tourism Malaysia documents wheelchair entrance access. Ground conditions, grass, shade and internal routes should be considered separately.</x:v>
      </x:c>
      <x:c r="AA416" s="117" t="str">
        <x:v>Documented support - conditional</x:v>
      </x:c>
      <x:c r="AB416" s="117" t="str">
        <x:v>https://www.malaysia.travel/explore/the-labuan-war-cemetery-a-journey-through-north-borneo-s-history</x:v>
      </x:c>
      <x:c r="AC416" s="117" t="str">
        <x:v>Cemetery entrance access</x:v>
      </x:c>
      <x:c r="AD416" s="117" t="str">
        <x:v>2026-09-08</x:v>
      </x:c>
      <x:c r="AE416" s="117" t="str">
        <x:v>MC0413</x:v>
      </x:c>
      <x:c r="AF416" s="117" t="str">
        <x:v>Distinct candidate</x:v>
      </x:c>
      <x:c r="AG416" s="117" t="str"/>
      <x:c r="AH416" s="117" t="str">
        <x:v>Venue-specific source reviewed</x:v>
      </x:c>
      <x:c r="AI416" s="117" t="str">
        <x:v>https://www.malaysia.travel/explore/the-labuan-war-cemetery-a-journey-through-north-borneo-s-history</x:v>
      </x:c>
      <x:c r="AJ416" s="117" t="str">
        <x:v>Place name or established alias matched in the cited source. This is not confirmation of current opening, all visitor facilities or the full description.</x:v>
      </x:c>
      <x:c r="AK416" s="117" t="str">
        <x:v>Not independently confirmed</x:v>
      </x:c>
      <x:c r="AL416" s="117" t="str">
        <x:v>Primary accessibility evidence reviewed</x:v>
      </x:c>
      <x:c r="AM416" s="117" t="str">
        <x:v>2026-09-08</x:v>
      </x:c>
      <x:c r="AN416" s="117" t="str">
        <x:v>https://thumb.wikimedia.org/wikipedia/commons/thumb/8/87/Labuan_WWII-Memorial.jpg/1280px-Labuan_WWII-Memorial.jpg?utm_source=commons.wikimedia.org&amp;utm_campaign=imageinfo&amp;utm_content=thumbnail</x:v>
      </x:c>
      <x:c r="AO416" s="117" t="str">
        <x:v>https://thumb.wikimedia.org/wikipedia/commons/thumb/3/33/Labuan_Malaysia_War-Cemetery-03.jpg/1280px-Labuan_Malaysia_War-Cemetery-03.jpg?utm_source=commons.wikimedia.org&amp;utm_campaign=imageinfo&amp;utm_content=thumbnail</x:v>
      </x:c>
      <x:c r="AP416" s="117" t="str">
        <x:v>2 metadata-matched images; visual review pending</x:v>
      </x:c>
      <x:c r="AQ416" s="117"/>
    </x:row>
    <x:row r="417" ht="66" customHeight="1">
      <x:c r="A417" s="117" t="str">
        <x:v>MC0414</x:v>
      </x:c>
      <x:c r="B417" s="117" t="str">
        <x:v>Pantai Layang-Layangan</x:v>
      </x:c>
      <x:c r="C417" s="117" t="str">
        <x:v>W.P. Labuan</x:v>
      </x:c>
      <x:c r="D417" s="117" t="str">
        <x:v>Layang-Layangan / Labuan Island</x:v>
      </x:c>
      <x:c r="E417" s="117" t="str">
        <x:v>Beach and Island</x:v>
      </x:c>
      <x:c r="F417" s="117" t="str">
        <x:v>Unclassified</x:v>
      </x:c>
      <x:c r="G417" s="117" t="str">
        <x:v>Outdoor</x:v>
      </x:c>
      <x:c r="H417" s="117" t="str">
        <x:v>Beach; island coastline; South China Sea; west coast; sunset; United Nations Beach; UN'08; COBSEA; clean beach; seaside walk; cycling; beach volleyball; picnic; horse riding; live music; restaurants; nature; sand crabs; beach wildlife; family recreation; couples; photography; relaxation; Peace Park; Surrender Point</x:v>
      </x:c>
      <x:c r="I417" s="117" t="str">
        <x:v>A long public beach on Labuan's west coast facing the South China Sea and forming part of the UN'08 beach stretch. It is known for clean coastal scenery, sand-crab patterns and sunset views, with opportunities for walking, cycling, beach volleyball, picnics and evening food or live music nearby.</x:v>
      </x:c>
      <x:c r="J417" s="117" t="str">
        <x:v>https://www.malaysia.travel/explore/pantai-layang-layangan ; https://www.pl.gov.my/pantai-awam/?lang=en ; https://mygeoname.mygeoportal.gov.my/exportpdf00.jsp?kodnegeri=15 ; https://www.pl.gov.my/wp-content/uploads/2026/04/BUKU-LAPORAN-2023-PL_compressed.pdf</x:v>
      </x:c>
      <x:c r="K417" s="117" t="str">
        <x:v>https://ebrochures.malaysia.travel/en/malaysia-travel-guide/labuan/</x:v>
      </x:c>
      <x:c r="L417" s="117" t="str">
        <x:v>Previous workbook candidate/source lead</x:v>
      </x:c>
      <x:c r="M417" s="117" t="str">
        <x:v>Previous workbook seed</x:v>
      </x:c>
      <x:c r="N417" s="117" t="str">
        <x:v>A030</x:v>
      </x:c>
      <x:c r="O417" s="117" t="str">
        <x:v>2026-08-15 00:00:00</x:v>
      </x:c>
      <x:c r="P417" s="117" t="str">
        <x:v>Complete</x:v>
      </x:c>
      <x:c r="Q417" s="117"/>
      <x:c r="R417" s="117" t="str">
        <x:f t="shared" si="6">IF(J417="","Missing Link",IF(AND(ISNUMBER(SEARCH("google.com/maps",J417)),ISERROR(SEARCH(";",J417))),"Discovery Link Only","Source Link Present"))</x:f>
        <x:v>Source Link Present</x:v>
      </x:c>
      <x:c r="S417" s="117" t="str">
        <x:v>Unknown</x:v>
      </x:c>
      <x:c r="T417" s="117" t="str">
        <x:v>Unknown</x:v>
      </x:c>
      <x:c r="U417" s="117" t="str">
        <x:v>Unknown</x:v>
      </x:c>
      <x:c r="V417" s="117" t="str">
        <x:v>Unknown</x:v>
      </x:c>
      <x:c r="W417" s="117" t="str">
        <x:v>Unknown</x:v>
      </x:c>
      <x:c r="X417" s="117" t="str">
        <x:v>Unknown</x:v>
      </x:c>
      <x:c r="Y417" s="117" t="str">
        <x:v>Unknown</x:v>
      </x:c>
      <x:c r="Z417" s="117"/>
      <x:c r="AA417" s="117" t="str">
        <x:v>Pending evidence</x:v>
      </x:c>
      <x:c r="AB417" s="117"/>
      <x:c r="AC417" s="117" t="str">
        <x:v>No qualifying accessibility conclusion established from the screened sources. This is unknown, not evidence that the attraction is inaccessible.</x:v>
      </x:c>
      <x:c r="AD417" s="117" t="str">
        <x:v>2026-09-08</x:v>
      </x:c>
      <x:c r="AE417" s="117" t="str">
        <x:v>MC0414</x:v>
      </x:c>
      <x:c r="AF417" s="117" t="str">
        <x:v>Distinct candidate</x:v>
      </x:c>
      <x:c r="AG417" s="117" t="str"/>
      <x:c r="AH417" s="117" t="str">
        <x:v>Name corroborated in source</x:v>
      </x:c>
      <x:c r="AI417" s="117" t="str">
        <x:v>https://www.malaysia.travel/explore/pantai-layang-layangan</x:v>
      </x:c>
      <x:c r="AJ417" s="117" t="str">
        <x:v>Place name or established alias matched in the cited source. This is not confirmation of current opening, all visitor facilities or the full description.</x:v>
      </x:c>
      <x:c r="AK417" s="117" t="str">
        <x:v>Not independently confirmed</x:v>
      </x:c>
      <x:c r="AL417" s="117" t="str">
        <x:v>Screened sources; accessibility unresolved</x:v>
      </x:c>
      <x:c r="AM417" s="117" t="str">
        <x:v>2026-09-08</x:v>
      </x:c>
      <x:c r="AN417" s="117"/>
      <x:c r="AO417" s="117"/>
      <x:c r="AP417" s="117" t="str">
        <x:v>No usable pair located; image research pending</x:v>
      </x:c>
      <x:c r="AQ417" s="117"/>
    </x:row>
    <x:row r="418" ht="66" customHeight="1">
      <x:c r="A418" s="117" t="str">
        <x:v>MC0415</x:v>
      </x:c>
      <x:c r="B418" s="117" t="str">
        <x:v>Labuan Marine Museum</x:v>
      </x:c>
      <x:c r="C418" s="117" t="str">
        <x:v>W.P. Labuan</x:v>
      </x:c>
      <x:c r="D418" s="117" t="str">
        <x:v>Labuan</x:v>
      </x:c>
      <x:c r="E418" s="117" t="str">
        <x:v>Museum and Gallery</x:v>
      </x:c>
      <x:c r="F418" s="117" t="str">
        <x:v>Unclassified</x:v>
      </x:c>
      <x:c r="G418" s="117" t="str">
        <x:v>Indoor</x:v>
      </x:c>
      <x:c r="H418" s="117" t="str">
        <x:v>marine museum; aquarium; education; family; indoor</x:v>
      </x:c>
      <x:c r="I418" s="117" t="str">
        <x:v>A museum in Labuan showcasing marine biodiversity and maritime heritage.</x:v>
      </x:c>
      <x:c r="J418" s="117" t="str">
        <x:v>https://www.google.com/maps/search/?api=1&amp;query=Labuan%20Marine%20Museum%2C%20W.P.%20Labuan%2C%20Malaysia</x:v>
      </x:c>
      <x:c r="K418" s="117" t="str">
        <x:v>https://ebrochures.malaysia.travel/en/malaysia-travel-guide/labuan/</x:v>
      </x:c>
      <x:c r="L418" s="117" t="str">
        <x:v>Previous workbook candidate/source lead</x:v>
      </x:c>
      <x:c r="M418" s="117" t="str">
        <x:v>Previous workbook seed</x:v>
      </x:c>
      <x:c r="N418" s="117" t="str">
        <x:v>A153</x:v>
      </x:c>
      <x:c r="O418" s="117" t="str">
        <x:v>2026-08-15 00:00:00</x:v>
      </x:c>
      <x:c r="P418" s="117" t="str">
        <x:v>Complete</x:v>
      </x:c>
      <x:c r="Q418" s="117"/>
      <x:c r="R418" s="117" t="str">
        <x:f t="shared" si="6">IF(J418="","Missing Link",IF(AND(ISNUMBER(SEARCH("google.com/maps",J418)),ISERROR(SEARCH(";",J418))),"Discovery Link Only","Source Link Present"))</x:f>
        <x:v>Discovery Link Only</x:v>
      </x:c>
      <x:c r="S418" s="117" t="str">
        <x:v>Not measured</x:v>
      </x:c>
      <x:c r="T418" s="117" t="str">
        <x:v>Unknown</x:v>
      </x:c>
      <x:c r="U418" s="117" t="str">
        <x:v>Unknown</x:v>
      </x:c>
      <x:c r="V418" s="117" t="str">
        <x:v>Unknown</x:v>
      </x:c>
      <x:c r="W418" s="117" t="str">
        <x:v>Available; distance unknown</x:v>
      </x:c>
      <x:c r="X418" s="117" t="str">
        <x:v>Unknown</x:v>
      </x:c>
      <x:c r="Y418" s="117" t="str">
        <x:v>Conditional on mobility and route</x:v>
      </x:c>
      <x:c r="Z418" s="117" t="str">
        <x:v>The official Malay-language page confirms amenities. The previous floor-by-floor wheelchair claim depended on a visitor review that could not be re-read, so it is not treated as verified.</x:v>
      </x:c>
      <x:c r="AA418" s="117" t="str">
        <x:v>Documented support - conditional</x:v>
      </x:c>
      <x:c r="AB418" s="117" t="str">
        <x:v>https://www.jmm.gov.my/ms/content/muzium-marin-labuan-0</x:v>
      </x:c>
      <x:c r="AC418" s="117" t="str">
        <x:v>Visitor amenities at marine museum complex</x:v>
      </x:c>
      <x:c r="AD418" s="117" t="str">
        <x:v>2026-09-08</x:v>
      </x:c>
      <x:c r="AE418" s="117" t="str">
        <x:v>MC0415</x:v>
      </x:c>
      <x:c r="AF418" s="117" t="str">
        <x:v>Distinct candidate</x:v>
      </x:c>
      <x:c r="AG418" s="117" t="str"/>
      <x:c r="AH418" s="117" t="str">
        <x:v>Venue-specific source reviewed</x:v>
      </x:c>
      <x:c r="AI418" s="117" t="str">
        <x:v>https://www.jmm.gov.my/ms/content/muzium-marin-labuan-0</x:v>
      </x:c>
      <x:c r="AJ418" s="117" t="str">
        <x:v>Place name or established alias matched in the cited source. This is not confirmation of current opening, all visitor facilities or the full description.</x:v>
      </x:c>
      <x:c r="AK418" s="117" t="str">
        <x:v>Not independently confirmed</x:v>
      </x:c>
      <x:c r="AL418" s="117" t="str">
        <x:v>Primary accessibility evidence reviewed</x:v>
      </x:c>
      <x:c r="AM418" s="117" t="str">
        <x:v>2026-09-08</x:v>
      </x:c>
      <x:c r="AN418" s="117"/>
      <x:c r="AO418" s="117"/>
      <x:c r="AP418" s="117" t="str">
        <x:v>No usable pair located; image research pending</x:v>
      </x:c>
      <x:c r="AQ418" s="117"/>
    </x:row>
    <x:row r="419" ht="66" customHeight="1">
      <x:c r="A419" s="117" t="str">
        <x:v>MC0416</x:v>
      </x:c>
      <x:c r="B419" s="117" t="str">
        <x:v>Chimney Museum</x:v>
      </x:c>
      <x:c r="C419" s="117" t="str">
        <x:v>W.P. Labuan</x:v>
      </x:c>
      <x:c r="D419" s="117" t="str">
        <x:v>Tanjung Kubong</x:v>
      </x:c>
      <x:c r="E419" s="117" t="str">
        <x:v>Museum and Gallery</x:v>
      </x:c>
      <x:c r="F419" s="117" t="str">
        <x:v>Unclassified</x:v>
      </x:c>
      <x:c r="G419" s="117" t="str">
        <x:v>Both</x:v>
      </x:c>
      <x:c r="H419" s="117" t="str">
        <x:v>museum; coal mining; history; heritage; architecture</x:v>
      </x:c>
      <x:c r="I419" s="117" t="str">
        <x:v>A preserved 19th-century brick chimney in Tanjung Kubong, Labuan, a remnant of the island's colonial coal-mining industry.</x:v>
      </x:c>
      <x:c r="J419" s="117" t="str">
        <x:v>https://www.google.com/maps/search/?api=1&amp;query=Chimney%20Museum%2C%20W.P.%20Labuan%2C%20Malaysia</x:v>
      </x:c>
      <x:c r="K419" s="117" t="str">
        <x:v>https://ebrochures.malaysia.travel/en/malaysia-travel-guide/labuan/</x:v>
      </x:c>
      <x:c r="L419" s="117" t="str">
        <x:v>Previous workbook candidate/source lead</x:v>
      </x:c>
      <x:c r="M419" s="117" t="str">
        <x:v>Previous workbook seed</x:v>
      </x:c>
      <x:c r="N419" s="117" t="str">
        <x:v>A154</x:v>
      </x:c>
      <x:c r="O419" s="117" t="str">
        <x:v>2026-08-15 00:00:00</x:v>
      </x:c>
      <x:c r="P419" s="117" t="str">
        <x:v>Complete</x:v>
      </x:c>
      <x:c r="Q419" s="117"/>
      <x:c r="R419" s="117" t="str">
        <x:f t="shared" si="6">IF(J419="","Missing Link",IF(AND(ISNUMBER(SEARCH("google.com/maps",J419)),ISERROR(SEARCH(";",J419))),"Discovery Link Only","Source Link Present"))</x:f>
        <x:v>Discovery Link Only</x:v>
      </x:c>
      <x:c r="S419" s="117" t="str">
        <x:v>Not measured</x:v>
      </x:c>
      <x:c r="T419" s="117" t="str">
        <x:v>Unknown</x:v>
      </x:c>
      <x:c r="U419" s="117" t="str">
        <x:v>Unknown</x:v>
      </x:c>
      <x:c r="V419" s="117" t="str">
        <x:v>Unknown</x:v>
      </x:c>
      <x:c r="W419" s="117" t="str">
        <x:v>Available; distance unknown</x:v>
      </x:c>
      <x:c r="X419" s="117" t="str">
        <x:v>Unknown</x:v>
      </x:c>
      <x:c r="Y419" s="117" t="str">
        <x:v>Conditional on mobility and route</x:v>
      </x:c>
      <x:c r="Z419" s="117" t="str">
        <x:v>The official page lists a wheelchair. A loan wheelchair does not prove upper-floor access; the earlier ramp and accessible-toilet claims remain unconfirmed.</x:v>
      </x:c>
      <x:c r="AA419" s="117" t="str">
        <x:v>Documented support - conditional</x:v>
      </x:c>
      <x:c r="AB419" s="117" t="str">
        <x:v>https://www.jmm.gov.my/ms/content/muzium-chimney-0</x:v>
      </x:c>
      <x:c r="AC419" s="117" t="str">
        <x:v>Chimney Museum visitor services</x:v>
      </x:c>
      <x:c r="AD419" s="117" t="str">
        <x:v>2026-09-08</x:v>
      </x:c>
      <x:c r="AE419" s="117" t="str">
        <x:v>MC0416</x:v>
      </x:c>
      <x:c r="AF419" s="117" t="str">
        <x:v>Distinct candidate</x:v>
      </x:c>
      <x:c r="AG419" s="117" t="str"/>
      <x:c r="AH419" s="117" t="str">
        <x:v>Venue-specific source reviewed</x:v>
      </x:c>
      <x:c r="AI419" s="117" t="str">
        <x:v>https://www.jmm.gov.my/ms/content/muzium-chimney-0</x:v>
      </x:c>
      <x:c r="AJ419" s="117" t="str">
        <x:v>Place name or established alias matched in the cited source. This is not confirmation of current opening, all visitor facilities or the full description.</x:v>
      </x:c>
      <x:c r="AK419" s="117" t="str">
        <x:v>Not independently confirmed</x:v>
      </x:c>
      <x:c r="AL419" s="117" t="str">
        <x:v>Primary accessibility evidence reviewed</x:v>
      </x:c>
      <x:c r="AM419" s="117" t="str">
        <x:v>2026-09-08</x:v>
      </x:c>
      <x:c r="AN419" s="117" t="str">
        <x:v>https://thumb.wikimedia.org/wikipedia/commons/thumb/b/b7/Labuan_Malaysia_Chimney-Museum-01.jpg/1280px-Labuan_Malaysia_Chimney-Museum-01.jpg?utm_source=commons.wikimedia.org&amp;utm_campaign=imageinfo&amp;utm_content=thumbnail</x:v>
      </x:c>
      <x:c r="AO419" s="117"/>
      <x:c r="AP419" s="117" t="str">
        <x:v>1 metadata-matched images; visual review pending</x:v>
      </x:c>
      <x:c r="AQ419" s="117"/>
    </x:row>
    <x:row r="420" ht="66" customHeight="1">
      <x:c r="A420" s="117" t="str">
        <x:v>MC0417</x:v>
      </x:c>
      <x:c r="B420" s="117" t="str">
        <x:v>Labuan Bird Park</x:v>
      </x:c>
      <x:c r="C420" s="117" t="str">
        <x:v>W.P. Labuan</x:v>
      </x:c>
      <x:c r="D420" s="117" t="str">
        <x:v>Tanjung Kubong</x:v>
      </x:c>
      <x:c r="E420" s="117" t="str">
        <x:v>Wildlife</x:v>
      </x:c>
      <x:c r="F420" s="117" t="str">
        <x:v>Unclassified</x:v>
      </x:c>
      <x:c r="G420" s="117" t="str">
        <x:v>Both</x:v>
      </x:c>
      <x:c r="H420" s="117" t="str">
        <x:v>birds; wildlife; family; children; education</x:v>
      </x:c>
      <x:c r="I420" s="117" t="str">
        <x:v>A bird park in Tanjung Kubong, Labuan, with walk-in aviaries.</x:v>
      </x:c>
      <x:c r="J420" s="117" t="str">
        <x:v>https://www.google.com/maps/search/?api=1&amp;query=Labuan%20Bird%20Park%2C%20W.P.%20Labuan%2C%20Malaysia</x:v>
      </x:c>
      <x:c r="K420" s="117" t="str">
        <x:v>https://ebrochures.malaysia.travel/en/malaysia-travel-guide/labuan/</x:v>
      </x:c>
      <x:c r="L420" s="117" t="str">
        <x:v>Previous workbook candidate/source lead</x:v>
      </x:c>
      <x:c r="M420" s="117" t="str">
        <x:v>Previous workbook seed</x:v>
      </x:c>
      <x:c r="N420" s="117" t="str">
        <x:v>A155</x:v>
      </x:c>
      <x:c r="O420" s="117" t="str">
        <x:v>2026-08-15 00:00:00</x:v>
      </x:c>
      <x:c r="P420" s="117" t="str">
        <x:v>Complete</x:v>
      </x:c>
      <x:c r="Q420" s="117"/>
      <x:c r="R420" s="117" t="str">
        <x:f t="shared" si="6">IF(J420="","Missing Link",IF(AND(ISNUMBER(SEARCH("google.com/maps",J420)),ISERROR(SEARCH(";",J420))),"Discovery Link Only","Source Link Present"))</x:f>
        <x:v>Discovery Link Only</x:v>
      </x:c>
      <x:c r="S420" s="117" t="str">
        <x:v>Unknown</x:v>
      </x:c>
      <x:c r="T420" s="117" t="str">
        <x:v>Unknown</x:v>
      </x:c>
      <x:c r="U420" s="117" t="str">
        <x:v>Unknown</x:v>
      </x:c>
      <x:c r="V420" s="117" t="str">
        <x:v>Unknown</x:v>
      </x:c>
      <x:c r="W420" s="117" t="str">
        <x:v>Unknown</x:v>
      </x:c>
      <x:c r="X420" s="117" t="str">
        <x:v>Unknown</x:v>
      </x:c>
      <x:c r="Y420" s="117" t="str">
        <x:v>Unknown</x:v>
      </x:c>
      <x:c r="Z420" s="117"/>
      <x:c r="AA420" s="117" t="str">
        <x:v>Pending evidence</x:v>
      </x:c>
      <x:c r="AB420" s="117"/>
      <x:c r="AC420" s="117" t="str">
        <x:v>No qualifying accessibility conclusion established from the screened sources. This is unknown, not evidence that the attraction is inaccessible.</x:v>
      </x:c>
      <x:c r="AD420" s="117" t="str">
        <x:v>2026-09-08</x:v>
      </x:c>
      <x:c r="AE420" s="117" t="str">
        <x:v>MC0417</x:v>
      </x:c>
      <x:c r="AF420" s="117" t="str">
        <x:v>Distinct candidate</x:v>
      </x:c>
      <x:c r="AG420" s="117" t="str"/>
      <x:c r="AH420" s="117" t="str">
        <x:v>Name corroborated in source</x:v>
      </x:c>
      <x:c r="AI420" s="117" t="str">
        <x:v>https://ebrochures.malaysia.travel/en/malaysia-travel-guide/labuan/</x:v>
      </x:c>
      <x:c r="AJ420" s="117" t="str">
        <x:v>Place name or established alias matched in the cited source. This is not confirmation of current opening, all visitor facilities or the full description.</x:v>
      </x:c>
      <x:c r="AK420" s="117" t="str">
        <x:v>Not independently confirmed</x:v>
      </x:c>
      <x:c r="AL420" s="117" t="str">
        <x:v>Screened sources; accessibility unresolved</x:v>
      </x:c>
      <x:c r="AM420" s="117" t="str">
        <x:v>2026-09-08</x:v>
      </x:c>
      <x:c r="AN420" s="117"/>
      <x:c r="AO420" s="117"/>
      <x:c r="AP420" s="117" t="str">
        <x:v>No usable pair located; image research pending</x:v>
      </x:c>
      <x:c r="AQ420" s="117"/>
    </x:row>
    <x:row r="421" ht="66" customHeight="1">
      <x:c r="A421" s="117" t="str">
        <x:v>MC0418</x:v>
      </x:c>
      <x:c r="B421" s="117" t="str">
        <x:v>Peace Park</x:v>
      </x:c>
      <x:c r="C421" s="117" t="str">
        <x:v>W.P. Labuan</x:v>
      </x:c>
      <x:c r="D421" s="117" t="str">
        <x:v>Layang-Layangan</x:v>
      </x:c>
      <x:c r="E421" s="117" t="str">
        <x:v>Park and Recreation</x:v>
      </x:c>
      <x:c r="F421" s="117" t="str">
        <x:v>Unclassified</x:v>
      </x:c>
      <x:c r="G421" s="117" t="str">
        <x:v>Outdoor</x:v>
      </x:c>
      <x:c r="H421" s="117" t="str">
        <x:v>memorial; garden; walking; history; relaxation</x:v>
      </x:c>
      <x:c r="I421" s="117" t="str">
        <x:v>A memorial park in Layang-Layangan, Labuan, commemorating Second World War surrender ceremonies.</x:v>
      </x:c>
      <x:c r="J421" s="117" t="str">
        <x:v>https://www.google.com/maps/search/?api=1&amp;query=Peace%20Park%2C%20W.P.%20Labuan%2C%20Malaysia</x:v>
      </x:c>
      <x:c r="K421" s="117" t="str">
        <x:v>https://ebrochures.malaysia.travel/en/malaysia-travel-guide/labuan/</x:v>
      </x:c>
      <x:c r="L421" s="117" t="str">
        <x:v>Previous workbook candidate/source lead</x:v>
      </x:c>
      <x:c r="M421" s="117" t="str">
        <x:v>Previous workbook seed</x:v>
      </x:c>
      <x:c r="N421" s="117" t="str">
        <x:v>A156</x:v>
      </x:c>
      <x:c r="O421" s="117" t="str">
        <x:v>2026-08-15 00:00:00</x:v>
      </x:c>
      <x:c r="P421" s="117" t="str">
        <x:v>Complete</x:v>
      </x:c>
      <x:c r="Q421" s="117" t="str">
        <x:v>Identity and Malaysian location verified in second-pass review on 2026-09-08.</x:v>
      </x:c>
      <x:c r="R421" s="117" t="str">
        <x:f t="shared" si="6">IF(J421="","Missing Link",IF(AND(ISNUMBER(SEARCH("google.com/maps",J421)),ISERROR(SEARCH(";",J421))),"Discovery Link Only","Source Link Present"))</x:f>
        <x:v>Discovery Link Only</x:v>
      </x:c>
      <x:c r="S421" s="117" t="str">
        <x:v>Unknown</x:v>
      </x:c>
      <x:c r="T421" s="117" t="str">
        <x:v>Unknown</x:v>
      </x:c>
      <x:c r="U421" s="117" t="str">
        <x:v>Unknown</x:v>
      </x:c>
      <x:c r="V421" s="117" t="str">
        <x:v>Unknown</x:v>
      </x:c>
      <x:c r="W421" s="117" t="str">
        <x:v>Unknown</x:v>
      </x:c>
      <x:c r="X421" s="117" t="str">
        <x:v>Unknown</x:v>
      </x:c>
      <x:c r="Y421" s="117" t="str">
        <x:v>Unknown</x:v>
      </x:c>
      <x:c r="Z421" s="117"/>
      <x:c r="AA421" s="117" t="str">
        <x:v>Pending evidence</x:v>
      </x:c>
      <x:c r="AB421" s="117"/>
      <x:c r="AC421" s="117" t="str">
        <x:v>No qualifying accessibility conclusion established from the screened sources. This is unknown, not evidence that the attraction is inaccessible.</x:v>
      </x:c>
      <x:c r="AD421" s="117" t="str">
        <x:v>2026-09-08</x:v>
      </x:c>
      <x:c r="AE421" s="117" t="str">
        <x:v>MC0418</x:v>
      </x:c>
      <x:c r="AF421" s="117" t="str">
        <x:v>Distinct candidate</x:v>
      </x:c>
      <x:c r="AG421" s="117" t="str"/>
      <x:c r="AH421" s="117" t="str">
        <x:v>Identity and location corroborated</x:v>
      </x:c>
      <x:c r="AI421" s="117" t="str">
        <x:v>https://www.openstreetmap.org/way/28847747</x:v>
      </x:c>
      <x:c r="AJ421" s="117" t="str">
        <x:v>Mapped source matches the attraction name or established alias and the stated Malaysian location. This verifies identity/location only; confirm current opening and accessibility separately.</x:v>
      </x:c>
      <x:c r="AK421" s="117" t="str">
        <x:v>Not independently confirmed</x:v>
      </x:c>
      <x:c r="AL421" s="117" t="str">
        <x:v>Screened sources; accessibility unresolved</x:v>
      </x:c>
      <x:c r="AM421" s="117" t="str">
        <x:v>2026-09-08</x:v>
      </x:c>
      <x:c r="AN421" s="117" t="str">
        <x:v>https://upload.wikimedia.org/wikipedia/commons/5/5c/GlacierNP_L7_20010701.jpg?utm_source=commons.wikimedia.org&amp;utm_campaign=imageinfo&amp;utm_content=thumbnail_unscaled</x:v>
      </x:c>
      <x:c r="AO421" s="117" t="str">
        <x:v>https://thumb.wikimedia.org/wikipedia/commons/thumb/e/e6/Carthew-Alderson_Trail.jpg/1280px-Carthew-Alderson_Trail.jpg?utm_source=commons.wikimedia.org&amp;utm_campaign=imageinfo&amp;utm_content=thumbnail</x:v>
      </x:c>
      <x:c r="AP421" s="117" t="str">
        <x:v>2 metadata-matched images; visual review pending</x:v>
      </x:c>
      <x:c r="AQ421" s="117"/>
    </x:row>
    <x:row r="422" ht="66" customHeight="1">
      <x:c r="A422" s="117" t="str">
        <x:v>MC0419</x:v>
      </x:c>
      <x:c r="B422" s="117" t="str">
        <x:v>Surrender Point</x:v>
      </x:c>
      <x:c r="C422" s="117" t="str">
        <x:v>W.P. Labuan</x:v>
      </x:c>
      <x:c r="D422" s="117" t="str">
        <x:v>Layang-Layangan</x:v>
      </x:c>
      <x:c r="E422" s="117" t="str">
        <x:v>Heritage and History</x:v>
      </x:c>
      <x:c r="F422" s="117" t="str">
        <x:v>Unclassified</x:v>
      </x:c>
      <x:c r="G422" s="117" t="str">
        <x:v>Outdoor</x:v>
      </x:c>
      <x:c r="H422" s="117" t="str">
        <x:v>war history; memorial; heritage; education; outdoor</x:v>
      </x:c>
      <x:c r="I422" s="117" t="str">
        <x:v>A historic site in Layang-Layangan, Labuan, marking the site of the Japanese surrender to Allied forces in 1945.</x:v>
      </x:c>
      <x:c r="J422" s="117" t="str">
        <x:v>https://www.google.com/maps/search/?api=1&amp;query=Surrender%20Point%2C%20W.P.%20Labuan%2C%20Malaysia</x:v>
      </x:c>
      <x:c r="K422" s="117" t="str">
        <x:v>https://ebrochures.malaysia.travel/en/malaysia-travel-guide/labuan/</x:v>
      </x:c>
      <x:c r="L422" s="117" t="str">
        <x:v>Previous workbook candidate/source lead</x:v>
      </x:c>
      <x:c r="M422" s="117" t="str">
        <x:v>Previous workbook seed</x:v>
      </x:c>
      <x:c r="N422" s="117" t="str">
        <x:v>A157</x:v>
      </x:c>
      <x:c r="O422" s="117" t="str">
        <x:v>2026-08-15 00:00:00</x:v>
      </x:c>
      <x:c r="P422" s="117" t="str">
        <x:v>Complete</x:v>
      </x:c>
      <x:c r="Q422" s="117" t="str">
        <x:v>Identity and Malaysian location verified in second-pass review on 2026-09-08.</x:v>
      </x:c>
      <x:c r="R422" s="117" t="str">
        <x:f t="shared" si="6">IF(J422="","Missing Link",IF(AND(ISNUMBER(SEARCH("google.com/maps",J422)),ISERROR(SEARCH(";",J422))),"Discovery Link Only","Source Link Present"))</x:f>
        <x:v>Discovery Link Only</x:v>
      </x:c>
      <x:c r="S422" s="117" t="str">
        <x:v>Unknown</x:v>
      </x:c>
      <x:c r="T422" s="117" t="str">
        <x:v>Unknown</x:v>
      </x:c>
      <x:c r="U422" s="117" t="str">
        <x:v>Unknown</x:v>
      </x:c>
      <x:c r="V422" s="117" t="str">
        <x:v>Unknown</x:v>
      </x:c>
      <x:c r="W422" s="117" t="str">
        <x:v>Unknown</x:v>
      </x:c>
      <x:c r="X422" s="117" t="str">
        <x:v>Unknown</x:v>
      </x:c>
      <x:c r="Y422" s="117" t="str">
        <x:v>Unknown</x:v>
      </x:c>
      <x:c r="Z422" s="117"/>
      <x:c r="AA422" s="117" t="str">
        <x:v>Pending evidence</x:v>
      </x:c>
      <x:c r="AB422" s="117"/>
      <x:c r="AC422" s="117" t="str">
        <x:v>No qualifying accessibility conclusion established from the screened sources. This is unknown, not evidence that the attraction is inaccessible.</x:v>
      </x:c>
      <x:c r="AD422" s="117" t="str">
        <x:v>2026-09-08</x:v>
      </x:c>
      <x:c r="AE422" s="117" t="str">
        <x:v>MC0419</x:v>
      </x:c>
      <x:c r="AF422" s="117" t="str">
        <x:v>Distinct candidate</x:v>
      </x:c>
      <x:c r="AG422" s="117" t="str"/>
      <x:c r="AH422" s="117" t="str">
        <x:v>Identity and location corroborated</x:v>
      </x:c>
      <x:c r="AI422" s="117" t="str">
        <x:v>https://www.openstreetmap.org/node/317339126</x:v>
      </x:c>
      <x:c r="AJ422" s="117" t="str">
        <x:v>Mapped source matches the attraction name or established alias and the stated Malaysian location. This verifies identity/location only; confirm current opening and accessibility separately.</x:v>
      </x:c>
      <x:c r="AK422" s="117" t="str">
        <x:v>Not independently confirmed</x:v>
      </x:c>
      <x:c r="AL422" s="117" t="str">
        <x:v>Screened sources; accessibility unresolved</x:v>
      </x:c>
      <x:c r="AM422" s="117" t="str">
        <x:v>2026-09-08</x:v>
      </x:c>
      <x:c r="AN422" s="117"/>
      <x:c r="AO422" s="117"/>
      <x:c r="AP422" s="117" t="str">
        <x:v>No usable pair located; image research pending</x:v>
      </x:c>
      <x:c r="AQ422" s="117"/>
    </x:row>
    <x:row r="423" ht="66" customHeight="1">
      <x:c r="A423" s="117" t="str">
        <x:v>MC0420</x:v>
      </x:c>
      <x:c r="B423" s="117" t="str">
        <x:v>Labuan International Sea Sports Complex</x:v>
      </x:c>
      <x:c r="C423" s="117" t="str">
        <x:v>W.P. Labuan</x:v>
      </x:c>
      <x:c r="D423" s="117" t="str">
        <x:v>Labuan</x:v>
      </x:c>
      <x:c r="E423" s="117" t="str">
        <x:v>Family Attraction</x:v>
      </x:c>
      <x:c r="F423" s="117" t="str">
        <x:v>Unclassified</x:v>
      </x:c>
      <x:c r="G423" s="117" t="str">
        <x:v>Both</x:v>
      </x:c>
      <x:c r="H423" s="117" t="str">
        <x:v>sea sports; recreation; family; waterfront; events</x:v>
      </x:c>
      <x:c r="I423" s="117" t="str">
        <x:v>A waterfront sports complex in Labuan used for sailing and water-sports events.</x:v>
      </x:c>
      <x:c r="J423" s="117" t="str">
        <x:v>https://www.google.com/maps/search/?api=1&amp;query=Labuan%20International%20Sea%20Sports%20Complex%2C%20W.P.%20Labuan%2C%20Malaysia</x:v>
      </x:c>
      <x:c r="K423" s="117" t="str">
        <x:v>https://ebrochures.malaysia.travel/en/malaysia-travel-guide/labuan/</x:v>
      </x:c>
      <x:c r="L423" s="117" t="str">
        <x:v>Previous workbook candidate/source lead</x:v>
      </x:c>
      <x:c r="M423" s="117" t="str">
        <x:v>Previous workbook seed</x:v>
      </x:c>
      <x:c r="N423" s="117" t="str">
        <x:v>A158</x:v>
      </x:c>
      <x:c r="O423" s="117" t="str">
        <x:v>2026-08-15 00:00:00</x:v>
      </x:c>
      <x:c r="P423" s="117" t="str">
        <x:v>Complete</x:v>
      </x:c>
      <x:c r="Q423" s="117"/>
      <x:c r="R423" s="117" t="str">
        <x:f t="shared" si="6">IF(J423="","Missing Link",IF(AND(ISNUMBER(SEARCH("google.com/maps",J423)),ISERROR(SEARCH(";",J423))),"Discovery Link Only","Source Link Present"))</x:f>
        <x:v>Discovery Link Only</x:v>
      </x:c>
      <x:c r="S423" s="117" t="str">
        <x:v>Unknown</x:v>
      </x:c>
      <x:c r="T423" s="117" t="str">
        <x:v>Unknown</x:v>
      </x:c>
      <x:c r="U423" s="117" t="str">
        <x:v>Unknown</x:v>
      </x:c>
      <x:c r="V423" s="117" t="str">
        <x:v>Unknown</x:v>
      </x:c>
      <x:c r="W423" s="117" t="str">
        <x:v>Unknown</x:v>
      </x:c>
      <x:c r="X423" s="117" t="str">
        <x:v>Unknown</x:v>
      </x:c>
      <x:c r="Y423" s="117" t="str">
        <x:v>Unknown</x:v>
      </x:c>
      <x:c r="Z423" s="117"/>
      <x:c r="AA423" s="117" t="str">
        <x:v>Pending evidence</x:v>
      </x:c>
      <x:c r="AB423" s="117"/>
      <x:c r="AC423" s="117" t="str">
        <x:v>No qualifying accessibility conclusion established from the screened sources. This is unknown, not evidence that the attraction is inaccessible.</x:v>
      </x:c>
      <x:c r="AD423" s="117" t="str">
        <x:v>2026-09-08</x:v>
      </x:c>
      <x:c r="AE423" s="117" t="str">
        <x:v>MC0420</x:v>
      </x:c>
      <x:c r="AF423" s="117" t="str">
        <x:v>Distinct candidate</x:v>
      </x:c>
      <x:c r="AG423" s="117" t="str"/>
      <x:c r="AH423" s="117" t="str">
        <x:v>Name corroborated in source</x:v>
      </x:c>
      <x:c r="AI423" s="117" t="str">
        <x:v>https://ebrochures.malaysia.travel/en/malaysia-travel-guide/labuan/</x:v>
      </x:c>
      <x:c r="AJ423" s="117" t="str">
        <x:v>Place name or established alias matched in the cited source. This is not confirmation of current opening, all visitor facilities or the full description.</x:v>
      </x:c>
      <x:c r="AK423" s="117" t="str">
        <x:v>Not independently confirmed</x:v>
      </x:c>
      <x:c r="AL423" s="117" t="str">
        <x:v>Screened sources; accessibility unresolved</x:v>
      </x:c>
      <x:c r="AM423" s="117" t="str">
        <x:v>2026-09-08</x:v>
      </x:c>
      <x:c r="AN423" s="117"/>
      <x:c r="AO423" s="117"/>
      <x:c r="AP423" s="117" t="str">
        <x:v>No usable pair located; image research pending</x:v>
      </x:c>
      <x:c r="AQ423" s="117"/>
    </x:row>
    <x:row r="424" ht="66" customHeight="1">
      <x:c r="A424" s="117" t="str">
        <x:v>MC0421</x:v>
      </x:c>
      <x:c r="B424" s="117" t="str">
        <x:v>Patau-Patau Water Village</x:v>
      </x:c>
      <x:c r="C424" s="117" t="str">
        <x:v>W.P. Labuan</x:v>
      </x:c>
      <x:c r="D424" s="117" t="str">
        <x:v>Labuan</x:v>
      </x:c>
      <x:c r="E424" s="117" t="str">
        <x:v>Culture</x:v>
      </x:c>
      <x:c r="F424" s="117" t="str">
        <x:v>Local</x:v>
      </x:c>
      <x:c r="G424" s="117" t="str">
        <x:v>Outdoor</x:v>
      </x:c>
      <x:c r="H424" s="117" t="str">
        <x:v>water village; local culture; heritage; walking; photography</x:v>
      </x:c>
      <x:c r="I424" s="117" t="str">
        <x:v>A stilt water village in Labuan town.</x:v>
      </x:c>
      <x:c r="J424" s="117" t="str">
        <x:v>https://www.google.com/maps/search/?api=1&amp;query=Patau-Patau%20Water%20Village%2C%20W.P.%20Labuan%2C%20Malaysia</x:v>
      </x:c>
      <x:c r="K424" s="117" t="str">
        <x:v>https://ebrochures.malaysia.travel/en/malaysia-travel-guide/labuan/</x:v>
      </x:c>
      <x:c r="L424" s="117" t="str">
        <x:v>Previous workbook candidate/source lead</x:v>
      </x:c>
      <x:c r="M424" s="117" t="str">
        <x:v>Previous workbook seed</x:v>
      </x:c>
      <x:c r="N424" s="117" t="str">
        <x:v>A159</x:v>
      </x:c>
      <x:c r="O424" s="117" t="str">
        <x:v>2026-08-15 00:00:00</x:v>
      </x:c>
      <x:c r="P424" s="117" t="str">
        <x:v>Complete</x:v>
      </x:c>
      <x:c r="Q424" s="117"/>
      <x:c r="R424" s="117" t="str">
        <x:f t="shared" si="6">IF(J424="","Missing Link",IF(AND(ISNUMBER(SEARCH("google.com/maps",J424)),ISERROR(SEARCH(";",J424))),"Discovery Link Only","Source Link Present"))</x:f>
        <x:v>Discovery Link Only</x:v>
      </x:c>
      <x:c r="S424" s="117" t="str">
        <x:v>Unknown</x:v>
      </x:c>
      <x:c r="T424" s="117" t="str">
        <x:v>Unknown</x:v>
      </x:c>
      <x:c r="U424" s="117" t="str">
        <x:v>Unknown</x:v>
      </x:c>
      <x:c r="V424" s="117" t="str">
        <x:v>Unknown</x:v>
      </x:c>
      <x:c r="W424" s="117" t="str">
        <x:v>Unknown</x:v>
      </x:c>
      <x:c r="X424" s="117" t="str">
        <x:v>Unknown</x:v>
      </x:c>
      <x:c r="Y424" s="117" t="str">
        <x:v>Unknown</x:v>
      </x:c>
      <x:c r="Z424" s="117"/>
      <x:c r="AA424" s="117" t="str">
        <x:v>Pending evidence</x:v>
      </x:c>
      <x:c r="AB424" s="117"/>
      <x:c r="AC424" s="117" t="str">
        <x:v>No qualifying accessibility conclusion established from the screened sources. This is unknown, not evidence that the attraction is inaccessible.</x:v>
      </x:c>
      <x:c r="AD424" s="117" t="str">
        <x:v>2026-09-08</x:v>
      </x:c>
      <x:c r="AE424" s="117" t="str">
        <x:v>MC0421</x:v>
      </x:c>
      <x:c r="AF424" s="117" t="str">
        <x:v>Distinct candidate</x:v>
      </x:c>
      <x:c r="AG424" s="117" t="str"/>
      <x:c r="AH424" s="117" t="str">
        <x:v>Name corroborated in source</x:v>
      </x:c>
      <x:c r="AI424" s="117" t="str">
        <x:v>https://ebrochures.malaysia.travel/en/malaysia-travel-guide/labuan/</x:v>
      </x:c>
      <x:c r="AJ424" s="117" t="str">
        <x:v>Place name or established alias matched in the cited source. This is not confirmation of current opening, all visitor facilities or the full description.</x:v>
      </x:c>
      <x:c r="AK424" s="117" t="str">
        <x:v>Not independently confirmed</x:v>
      </x:c>
      <x:c r="AL424" s="117" t="str">
        <x:v>Screened sources; accessibility unresolved</x:v>
      </x:c>
      <x:c r="AM424" s="117" t="str">
        <x:v>2026-09-08</x:v>
      </x:c>
      <x:c r="AN424" s="117"/>
      <x:c r="AO424" s="117"/>
      <x:c r="AP424" s="117" t="str">
        <x:v>No usable pair located; image research pending</x:v>
      </x:c>
      <x:c r="AQ424" s="117"/>
    </x:row>
    <x:row r="425" ht="66" customHeight="1">
      <x:c r="A425" s="117" t="str">
        <x:v>MC0422</x:v>
      </x:c>
      <x:c r="B425" s="117" t="str">
        <x:v>Rusukan Besar Island</x:v>
      </x:c>
      <x:c r="C425" s="117" t="str">
        <x:v>W.P. Labuan</x:v>
      </x:c>
      <x:c r="D425" s="117" t="str">
        <x:v>Labuan</x:v>
      </x:c>
      <x:c r="E425" s="117" t="str">
        <x:v>Beach and Island</x:v>
      </x:c>
      <x:c r="F425" s="117" t="str">
        <x:v>Unclassified</x:v>
      </x:c>
      <x:c r="G425" s="117" t="str">
        <x:v>Outdoor</x:v>
      </x:c>
      <x:c r="H425" s="117" t="str">
        <x:v>island; beach; snorkelling; marine life; relaxation</x:v>
      </x:c>
      <x:c r="I425" s="117" t="str">
        <x:v>An island off Labuan known for diving and marine park status.</x:v>
      </x:c>
      <x:c r="J425" s="117" t="str">
        <x:v>https://www.google.com/maps/search/?api=1&amp;query=Rusukan%20Besar%20Island%2C%20W.P.%20Labuan%2C%20Malaysia</x:v>
      </x:c>
      <x:c r="K425" s="117" t="str">
        <x:v>https://ebrochures.malaysia.travel/en/malaysia-travel-guide/labuan/</x:v>
      </x:c>
      <x:c r="L425" s="117" t="str">
        <x:v>Previous workbook candidate/source lead</x:v>
      </x:c>
      <x:c r="M425" s="117" t="str">
        <x:v>Previous workbook seed</x:v>
      </x:c>
      <x:c r="N425" s="117" t="str">
        <x:v>A160</x:v>
      </x:c>
      <x:c r="O425" s="117" t="str">
        <x:v>2026-08-15 00:00:00</x:v>
      </x:c>
      <x:c r="P425" s="117" t="str">
        <x:v>Complete</x:v>
      </x:c>
      <x:c r="Q425" s="117" t="str">
        <x:v>Identity and Malaysian location verified in second-pass review on 2026-09-08.</x:v>
      </x:c>
      <x:c r="R425" s="117" t="str">
        <x:f t="shared" si="6">IF(J425="","Missing Link",IF(AND(ISNUMBER(SEARCH("google.com/maps",J425)),ISERROR(SEARCH(";",J425))),"Discovery Link Only","Source Link Present"))</x:f>
        <x:v>Discovery Link Only</x:v>
      </x:c>
      <x:c r="S425" s="117" t="str">
        <x:v>Unknown</x:v>
      </x:c>
      <x:c r="T425" s="117" t="str">
        <x:v>Unknown</x:v>
      </x:c>
      <x:c r="U425" s="117" t="str">
        <x:v>Unknown</x:v>
      </x:c>
      <x:c r="V425" s="117" t="str">
        <x:v>Unknown</x:v>
      </x:c>
      <x:c r="W425" s="117" t="str">
        <x:v>Unknown</x:v>
      </x:c>
      <x:c r="X425" s="117" t="str">
        <x:v>Unknown</x:v>
      </x:c>
      <x:c r="Y425" s="117" t="str">
        <x:v>Unknown</x:v>
      </x:c>
      <x:c r="Z425" s="117"/>
      <x:c r="AA425" s="117" t="str">
        <x:v>Pending evidence</x:v>
      </x:c>
      <x:c r="AB425" s="117"/>
      <x:c r="AC425" s="117" t="str">
        <x:v>No qualifying accessibility conclusion established from the screened sources. This is unknown, not evidence that the attraction is inaccessible.</x:v>
      </x:c>
      <x:c r="AD425" s="117" t="str">
        <x:v>2026-09-08</x:v>
      </x:c>
      <x:c r="AE425" s="117" t="str">
        <x:v>MC0422</x:v>
      </x:c>
      <x:c r="AF425" s="117" t="str">
        <x:v>Distinct candidate</x:v>
      </x:c>
      <x:c r="AG425" s="117" t="str"/>
      <x:c r="AH425" s="117" t="str">
        <x:v>Identity and location corroborated</x:v>
      </x:c>
      <x:c r="AI425" s="117" t="str">
        <x:v>https://www.openstreetmap.org/way/26555774</x:v>
      </x:c>
      <x:c r="AJ425" s="117" t="str">
        <x:v>Mapped source matches the attraction name or established alias and the stated Malaysian location. This verifies identity/location only; confirm current opening and accessibility separately.</x:v>
      </x:c>
      <x:c r="AK425" s="117" t="str">
        <x:v>Not independently confirmed</x:v>
      </x:c>
      <x:c r="AL425" s="117" t="str">
        <x:v>Screened sources; accessibility unresolved</x:v>
      </x:c>
      <x:c r="AM425" s="117" t="str">
        <x:v>2026-09-08</x:v>
      </x:c>
      <x:c r="AN425" s="117"/>
      <x:c r="AO425" s="117"/>
      <x:c r="AP425" s="117" t="str">
        <x:v>No usable pair located; image research pending</x:v>
      </x:c>
      <x:c r="AQ425" s="117"/>
    </x:row>
    <x:row r="426" ht="66" customHeight="1">
      <x:c r="A426" s="117" t="str">
        <x:v>MC0423</x:v>
      </x:c>
      <x:c r="B426" s="117" t="str">
        <x:v>Labuan Museum</x:v>
      </x:c>
      <x:c r="C426" s="117" t="str">
        <x:v>W.P. Labuan</x:v>
      </x:c>
      <x:c r="D426" s="117" t="str">
        <x:v>Bandar Labuan</x:v>
      </x:c>
      <x:c r="E426" s="117" t="str">
        <x:v>Museum and Gallery</x:v>
      </x:c>
      <x:c r="F426" s="117" t="str">
        <x:v>Popular</x:v>
      </x:c>
      <x:c r="G426" s="117" t="str">
        <x:v>Indoor</x:v>
      </x:c>
      <x:c r="H426" s="117" t="str">
        <x:v>island history; museum; culture</x:v>
      </x:c>
      <x:c r="I426" s="117" t="str">
        <x:v>A museum in Bandar Labuan covering the island's history and culture.</x:v>
      </x:c>
      <x:c r="J426" s="117" t="str">
        <x:v>https://www.google.com/maps/search/?api=1&amp;query=Labuan%20Museum%2C%20W.P.%20Labuan%2C%20Malaysia</x:v>
      </x:c>
      <x:c r="K426" s="117" t="str">
        <x:v>https://ebrochures.malaysia.travel/en/malaysia-travel-guide/labuan/</x:v>
      </x:c>
      <x:c r="L426" s="117" t="str">
        <x:v>Tourism Malaysia state guide plus map discovery link</x:v>
      </x:c>
      <x:c r="M426" s="117" t="str">
        <x:v>W.P. Labuan expansion batch</x:v>
      </x:c>
      <x:c r="N426" s="117"/>
      <x:c r="O426" s="117" t="str">
        <x:v>2026-08-15 00:00:00</x:v>
      </x:c>
      <x:c r="P426" s="117" t="str">
        <x:v>Complete</x:v>
      </x:c>
      <x:c r="Q426" s="117"/>
      <x:c r="R426" s="117" t="str">
        <x:f t="shared" si="6">IF(J426="","Missing Link",IF(AND(ISNUMBER(SEARCH("google.com/maps",J426)),ISERROR(SEARCH(";",J426))),"Discovery Link Only","Source Link Present"))</x:f>
        <x:v>Discovery Link Only</x:v>
      </x:c>
      <x:c r="S426" s="117" t="str">
        <x:v>Not measured</x:v>
      </x:c>
      <x:c r="T426" s="117" t="str">
        <x:v>Unknown</x:v>
      </x:c>
      <x:c r="U426" s="117" t="str">
        <x:v>Unknown</x:v>
      </x:c>
      <x:c r="V426" s="117" t="str">
        <x:v>Unknown</x:v>
      </x:c>
      <x:c r="W426" s="117" t="str">
        <x:v>Available; distance unknown</x:v>
      </x:c>
      <x:c r="X426" s="117" t="str">
        <x:v>Unknown</x:v>
      </x:c>
      <x:c r="Y426" s="117" t="str">
        <x:v>Conditional on mobility and route</x:v>
      </x:c>
      <x:c r="Z426" s="117" t="str">
        <x:v>The official source lists basic visitor facilities and galleries on two floors. Do not treat the entire museum as wheelchair accessible without lift and entrance confirmation.</x:v>
      </x:c>
      <x:c r="AA426" s="117" t="str">
        <x:v>Documented support - conditional</x:v>
      </x:c>
      <x:c r="AB426" s="117" t="str">
        <x:v>https://www.jmm.gov.my/en/content/labuan-museum</x:v>
      </x:c>
      <x:c r="AC426" s="117" t="str">
        <x:v>Visitor amenities; step-free route unconfirmed</x:v>
      </x:c>
      <x:c r="AD426" s="117" t="str">
        <x:v>2026-09-08</x:v>
      </x:c>
      <x:c r="AE426" s="117" t="str">
        <x:v>MC0423</x:v>
      </x:c>
      <x:c r="AF426" s="117" t="str">
        <x:v>Distinct candidate</x:v>
      </x:c>
      <x:c r="AG426" s="117" t="str"/>
      <x:c r="AH426" s="117" t="str">
        <x:v>Venue-specific source reviewed</x:v>
      </x:c>
      <x:c r="AI426" s="117" t="str">
        <x:v>https://www.jmm.gov.my/en/content/labuan-museum</x:v>
      </x:c>
      <x:c r="AJ426" s="117" t="str">
        <x:v>Place name or established alias matched in the cited source. This is not confirmation of current opening, all visitor facilities or the full description.</x:v>
      </x:c>
      <x:c r="AK426" s="117" t="str">
        <x:v>Not independently confirmed</x:v>
      </x:c>
      <x:c r="AL426" s="117" t="str">
        <x:v>Primary accessibility evidence reviewed</x:v>
      </x:c>
      <x:c r="AM426" s="117" t="str">
        <x:v>2026-09-08</x:v>
      </x:c>
      <x:c r="AN426" s="117" t="str">
        <x:v>https://thumb.wikimedia.org/wikipedia/commons/thumb/b/bd/Labuan_Museum%2C_April_2025_03.jpg/1280px-Labuan_Museum%2C_April_2025_03.jpg?utm_source=commons.wikimedia.org&amp;utm_campaign=imageinfo&amp;utm_content=thumbnail</x:v>
      </x:c>
      <x:c r="AO426" s="117" t="str">
        <x:v>https://thumb.wikimedia.org/wikipedia/commons/thumb/a/a1/Labuan_Museum%2C_April_2025_02.jpg/1280px-Labuan_Museum%2C_April_2025_02.jpg?utm_source=commons.wikimedia.org&amp;utm_campaign=imageinfo&amp;utm_content=thumbnail</x:v>
      </x:c>
      <x:c r="AP426" s="117" t="str">
        <x:v>2 metadata-matched images; visual review pending</x:v>
      </x:c>
      <x:c r="AQ426" s="117"/>
    </x:row>
    <x:row r="427" ht="66" customHeight="1">
      <x:c r="A427" s="117" t="str">
        <x:v>MC0424</x:v>
      </x:c>
      <x:c r="B427" s="117" t="str">
        <x:v>Labuan Botanical Garden</x:v>
      </x:c>
      <x:c r="C427" s="117" t="str">
        <x:v>W.P. Labuan</x:v>
      </x:c>
      <x:c r="D427" s="117" t="str">
        <x:v>Bandar Labuan</x:v>
      </x:c>
      <x:c r="E427" s="117" t="str">
        <x:v>Nature</x:v>
      </x:c>
      <x:c r="F427" s="117" t="str">
        <x:v>Local</x:v>
      </x:c>
      <x:c r="G427" s="117" t="str">
        <x:v>Outdoor</x:v>
      </x:c>
      <x:c r="H427" s="117" t="str">
        <x:v>garden; walking; heritage</x:v>
      </x:c>
      <x:c r="I427" s="117" t="str">
        <x:v>A botanical garden in Bandar Labuan with landscaped tropical plant collections.</x:v>
      </x:c>
      <x:c r="J427" s="117" t="str">
        <x:v>https://www.google.com/maps/search/?api=1&amp;query=Labuan%20Botanical%20Garden%2C%20W.P.%20Labuan%2C%20Malaysia</x:v>
      </x:c>
      <x:c r="K427" s="117" t="str">
        <x:v>https://ebrochures.malaysia.travel/en/malaysia-travel-guide/labuan/</x:v>
      </x:c>
      <x:c r="L427" s="117" t="str">
        <x:v>Tourism Malaysia state guide plus map discovery link</x:v>
      </x:c>
      <x:c r="M427" s="117" t="str">
        <x:v>W.P. Labuan expansion batch</x:v>
      </x:c>
      <x:c r="N427" s="117"/>
      <x:c r="O427" s="117" t="str">
        <x:v>2026-08-15 00:00:00</x:v>
      </x:c>
      <x:c r="P427" s="117" t="str">
        <x:v>Complete</x:v>
      </x:c>
      <x:c r="Q427" s="117" t="str">
        <x:v>Identity and Malaysian location verified in second-pass review on 2026-09-08.</x:v>
      </x:c>
      <x:c r="R427" s="117" t="str">
        <x:f t="shared" si="6">IF(J427="","Missing Link",IF(AND(ISNUMBER(SEARCH("google.com/maps",J427)),ISERROR(SEARCH(";",J427))),"Discovery Link Only","Source Link Present"))</x:f>
        <x:v>Discovery Link Only</x:v>
      </x:c>
      <x:c r="S427" s="117" t="str">
        <x:v>Not measured</x:v>
      </x:c>
      <x:c r="T427" s="117" t="str">
        <x:v>Unknown</x:v>
      </x:c>
      <x:c r="U427" s="117" t="str">
        <x:v>Yes - benches</x:v>
      </x:c>
      <x:c r="V427" s="117" t="str">
        <x:v>Toilets reported elsewhere; accessibility unknown</x:v>
      </x:c>
      <x:c r="W427" s="117" t="str">
        <x:v>Available</x:v>
      </x:c>
      <x:c r="X427" s="117" t="str">
        <x:v>Yes - pergola</x:v>
      </x:c>
      <x:c r="Y427" s="117" t="str">
        <x:v>Conditional on walking tolerance and maintenance</x:v>
      </x:c>
      <x:c r="Z427" s="117" t="str">
        <x:v>A published study documents benches, a pergola and parking. It does not establish step-free access; later visitor reports raise maintenance concerns, so confirm current path and bridge condition.</x:v>
      </x:c>
      <x:c r="AA427" s="117" t="str">
        <x:v>Reported support - confirm</x:v>
      </x:c>
      <x:c r="AB427" s="117" t="str">
        <x:v>https://www.researchgate.net/publication/275544726_Green_Infrastructure_and_its_Roles_in_Enhancing_Quality_of_Life</x:v>
      </x:c>
      <x:c r="AC427" s="117" t="str">
        <x:v>Garden paths and rest areas</x:v>
      </x:c>
      <x:c r="AD427" s="117" t="str">
        <x:v>2026-09-08</x:v>
      </x:c>
      <x:c r="AE427" s="117" t="str">
        <x:v>MC0424</x:v>
      </x:c>
      <x:c r="AF427" s="117" t="str">
        <x:v>Distinct candidate</x:v>
      </x:c>
      <x:c r="AG427" s="117" t="str"/>
      <x:c r="AH427" s="117" t="str">
        <x:v>Identity and location corroborated</x:v>
      </x:c>
      <x:c r="AI427" s="117" t="str">
        <x:v>https://www.jwp.gov.my/storage/article/Labuan-Map-%26-Guide.pdf</x:v>
      </x:c>
      <x:c r="AJ427" s="117" t="str">
        <x:v>Official federal territory guide matches the attraction name or established alias and the stated Malaysian location. This verifies identity/location only; confirm current opening and accessibility separately.</x:v>
      </x:c>
      <x:c r="AK427" s="117" t="str">
        <x:v>Not independently confirmed</x:v>
      </x:c>
      <x:c r="AL427" s="117" t="str">
        <x:v>Secondary research source - elderly amenities</x:v>
      </x:c>
      <x:c r="AM427" s="117" t="str">
        <x:v>2026-09-08</x:v>
      </x:c>
      <x:c r="AN427" s="117"/>
      <x:c r="AO427" s="117"/>
      <x:c r="AP427" s="117" t="str">
        <x:v>No usable pair located; image research pending</x:v>
      </x:c>
      <x:c r="AQ427" s="117"/>
    </x:row>
    <x:row r="428" ht="66" customHeight="1">
      <x:c r="A428" s="117" t="str">
        <x:v>MC0425</x:v>
      </x:c>
      <x:c r="B428" s="117" t="str">
        <x:v>Labuan Weekend Tamu</x:v>
      </x:c>
      <x:c r="C428" s="117" t="str">
        <x:v>W.P. Labuan</x:v>
      </x:c>
      <x:c r="D428" s="117" t="str">
        <x:v>Bandar Labuan</x:v>
      </x:c>
      <x:c r="E428" s="117" t="str">
        <x:v>Shopping</x:v>
      </x:c>
      <x:c r="F428" s="117" t="str">
        <x:v>Local</x:v>
      </x:c>
      <x:c r="G428" s="117" t="str">
        <x:v>Indoor</x:v>
      </x:c>
      <x:c r="H428" s="117" t="str">
        <x:v>market; food; crafts</x:v>
      </x:c>
      <x:c r="I428" s="117" t="str">
        <x:v>A weekend market in Bandar Labuan selling local produce and goods.</x:v>
      </x:c>
      <x:c r="J428" s="117" t="str">
        <x:v>https://www.google.com/maps/search/?api=1&amp;query=Labuan%20Weekend%20Tamu%2C%20W.P.%20Labuan%2C%20Malaysia</x:v>
      </x:c>
      <x:c r="K428" s="117" t="str">
        <x:v>https://ebrochures.malaysia.travel/en/malaysia-travel-guide/labuan/</x:v>
      </x:c>
      <x:c r="L428" s="117" t="str">
        <x:v>Tourism Malaysia state guide plus map discovery link</x:v>
      </x:c>
      <x:c r="M428" s="117" t="str">
        <x:v>W.P. Labuan expansion batch</x:v>
      </x:c>
      <x:c r="N428" s="117"/>
      <x:c r="O428" s="117" t="str">
        <x:v>2026-08-15 00:00:00</x:v>
      </x:c>
      <x:c r="P428" s="117" t="str">
        <x:v>Complete</x:v>
      </x:c>
      <x:c r="Q428" s="117"/>
      <x:c r="R428" s="117" t="str">
        <x:f t="shared" si="6">IF(J428="","Missing Link",IF(AND(ISNUMBER(SEARCH("google.com/maps",J428)),ISERROR(SEARCH(";",J428))),"Discovery Link Only","Source Link Present"))</x:f>
        <x:v>Discovery Link Only</x:v>
      </x:c>
      <x:c r="S428" s="117" t="str">
        <x:v>Unknown</x:v>
      </x:c>
      <x:c r="T428" s="117" t="str">
        <x:v>Unknown</x:v>
      </x:c>
      <x:c r="U428" s="117" t="str">
        <x:v>Unknown</x:v>
      </x:c>
      <x:c r="V428" s="117" t="str">
        <x:v>Unknown</x:v>
      </x:c>
      <x:c r="W428" s="117" t="str">
        <x:v>Unknown</x:v>
      </x:c>
      <x:c r="X428" s="117" t="str">
        <x:v>Unknown</x:v>
      </x:c>
      <x:c r="Y428" s="117" t="str">
        <x:v>Unknown</x:v>
      </x:c>
      <x:c r="Z428" s="117"/>
      <x:c r="AA428" s="117" t="str">
        <x:v>Pending evidence</x:v>
      </x:c>
      <x:c r="AB428" s="117"/>
      <x:c r="AC428" s="117" t="str">
        <x:v>No qualifying accessibility conclusion established from the screened sources. This is unknown, not evidence that the attraction is inaccessible.</x:v>
      </x:c>
      <x:c r="AD428" s="117" t="str">
        <x:v>2026-09-08</x:v>
      </x:c>
      <x:c r="AE428" s="117" t="str">
        <x:v>MC0425</x:v>
      </x:c>
      <x:c r="AF428" s="117" t="str">
        <x:v>Distinct candidate</x:v>
      </x:c>
      <x:c r="AG428" s="117" t="str"/>
      <x:c r="AH428" s="117" t="str">
        <x:v>Name corroborated in source</x:v>
      </x:c>
      <x:c r="AI428" s="117" t="str">
        <x:v>https://ebrochures.malaysia.travel/en/malaysia-travel-guide/labuan/</x:v>
      </x:c>
      <x:c r="AJ428" s="117" t="str">
        <x:v>Place name or established alias matched in the cited source. This is not confirmation of current opening, all visitor facilities or the full description.</x:v>
      </x:c>
      <x:c r="AK428" s="117" t="str">
        <x:v>Not independently confirmed</x:v>
      </x:c>
      <x:c r="AL428" s="117" t="str">
        <x:v>Screened sources; accessibility unresolved</x:v>
      </x:c>
      <x:c r="AM428" s="117" t="str">
        <x:v>2026-09-08</x:v>
      </x:c>
      <x:c r="AN428" s="117"/>
      <x:c r="AO428" s="117"/>
      <x:c r="AP428" s="117" t="str">
        <x:v>No usable pair located; image research pending</x:v>
      </x:c>
      <x:c r="AQ428" s="117"/>
    </x:row>
    <x:row r="429" ht="66" customHeight="1">
      <x:c r="A429" s="117" t="str">
        <x:v>MC0426</x:v>
      </x:c>
      <x:c r="B429" s="117" t="str">
        <x:v>Labuan Clock Tower</x:v>
      </x:c>
      <x:c r="C429" s="117" t="str">
        <x:v>W.P. Labuan</x:v>
      </x:c>
      <x:c r="D429" s="117" t="str">
        <x:v>Tanjung Purun</x:v>
      </x:c>
      <x:c r="E429" s="117" t="str">
        <x:v>Heritage and History</x:v>
      </x:c>
      <x:c r="F429" s="117" t="str">
        <x:v>Underrated</x:v>
      </x:c>
      <x:c r="G429" s="117" t="str">
        <x:v>Both</x:v>
      </x:c>
      <x:c r="H429" s="117" t="str">
        <x:v>clock tower; landmark; history</x:v>
      </x:c>
      <x:c r="I429" s="117" t="str">
        <x:v>A heritage clock tower landmark in Tanjung Purun, Labuan.</x:v>
      </x:c>
      <x:c r="J429" s="117" t="str">
        <x:v>https://www.google.com/maps/search/?api=1&amp;query=Labuan%20Clock%20Tower%2C%20W.P.%20Labuan%2C%20Malaysia</x:v>
      </x:c>
      <x:c r="K429" s="117" t="str">
        <x:v>https://ebrochures.malaysia.travel/en/malaysia-travel-guide/labuan/</x:v>
      </x:c>
      <x:c r="L429" s="117" t="str">
        <x:v>Tourism Malaysia state guide plus map discovery link</x:v>
      </x:c>
      <x:c r="M429" s="117" t="str">
        <x:v>W.P. Labuan expansion batch</x:v>
      </x:c>
      <x:c r="N429" s="117"/>
      <x:c r="O429" s="117" t="str">
        <x:v>2026-08-15 00:00:00</x:v>
      </x:c>
      <x:c r="P429" s="117" t="str">
        <x:v>Complete</x:v>
      </x:c>
      <x:c r="Q429" s="117" t="str">
        <x:v>Identity and Malaysian location verified in second-pass review on 2026-09-08.</x:v>
      </x:c>
      <x:c r="R429" s="117" t="str">
        <x:f t="shared" si="6">IF(J429="","Missing Link",IF(AND(ISNUMBER(SEARCH("google.com/maps",J429)),ISERROR(SEARCH(";",J429))),"Discovery Link Only","Source Link Present"))</x:f>
        <x:v>Discovery Link Only</x:v>
      </x:c>
      <x:c r="S429" s="117" t="str">
        <x:v>Unknown</x:v>
      </x:c>
      <x:c r="T429" s="117" t="str">
        <x:v>Unknown</x:v>
      </x:c>
      <x:c r="U429" s="117" t="str">
        <x:v>Unknown</x:v>
      </x:c>
      <x:c r="V429" s="117" t="str">
        <x:v>Unknown</x:v>
      </x:c>
      <x:c r="W429" s="117" t="str">
        <x:v>Unknown</x:v>
      </x:c>
      <x:c r="X429" s="117" t="str">
        <x:v>Unknown</x:v>
      </x:c>
      <x:c r="Y429" s="117" t="str">
        <x:v>Unknown</x:v>
      </x:c>
      <x:c r="Z429" s="117"/>
      <x:c r="AA429" s="117" t="str">
        <x:v>Pending evidence</x:v>
      </x:c>
      <x:c r="AB429" s="117"/>
      <x:c r="AC429" s="117" t="str">
        <x:v>No qualifying accessibility conclusion established from the screened sources. This is unknown, not evidence that the attraction is inaccessible.</x:v>
      </x:c>
      <x:c r="AD429" s="117" t="str">
        <x:v>2026-09-08</x:v>
      </x:c>
      <x:c r="AE429" s="117" t="str">
        <x:v>MC0426</x:v>
      </x:c>
      <x:c r="AF429" s="117" t="str">
        <x:v>Distinct candidate</x:v>
      </x:c>
      <x:c r="AG429" s="117" t="str"/>
      <x:c r="AH429" s="117" t="str">
        <x:v>Identity and location corroborated</x:v>
      </x:c>
      <x:c r="AI429" s="117" t="str">
        <x:v>https://en.wikipedia.org/wiki/Labuan_Clock_Tower</x:v>
      </x:c>
      <x:c r="AJ429" s="117" t="str">
        <x:v>Encyclopedic source matches the attraction name or established alias and the stated Malaysian location. This verifies identity/location only; confirm current opening and accessibility separately.</x:v>
      </x:c>
      <x:c r="AK429" s="117" t="str">
        <x:v>Not independently confirmed</x:v>
      </x:c>
      <x:c r="AL429" s="117" t="str">
        <x:v>Screened sources; accessibility unresolved</x:v>
      </x:c>
      <x:c r="AM429" s="117" t="str">
        <x:v>2026-09-08</x:v>
      </x:c>
      <x:c r="AN429" s="117"/>
      <x:c r="AO429" s="117"/>
      <x:c r="AP429" s="117" t="str">
        <x:v>No usable pair located; image research pending</x:v>
      </x:c>
      <x:c r="AQ429" s="117"/>
    </x:row>
    <x:row r="430" ht="66" customHeight="1">
      <x:c r="A430" s="117" t="str">
        <x:v>MC0427</x:v>
      </x:c>
      <x:c r="B430" s="117" t="str">
        <x:v>Bebuloh Water Village</x:v>
      </x:c>
      <x:c r="C430" s="117" t="str">
        <x:v>W.P. Labuan</x:v>
      </x:c>
      <x:c r="D430" s="117" t="str">
        <x:v>Kampung Bebuloh</x:v>
      </x:c>
      <x:c r="E430" s="117" t="str">
        <x:v>Culture</x:v>
      </x:c>
      <x:c r="F430" s="117" t="str">
        <x:v>Underrated</x:v>
      </x:c>
      <x:c r="G430" s="117" t="str">
        <x:v>Both</x:v>
      </x:c>
      <x:c r="H430" s="117" t="str">
        <x:v>water village; community; local life</x:v>
      </x:c>
      <x:c r="I430" s="117" t="str">
        <x:v>A traditional stilt water village in Kampung Bebuloh, Labuan.</x:v>
      </x:c>
      <x:c r="J430" s="117" t="str">
        <x:v>https://www.google.com/maps/search/?api=1&amp;query=Bebuloh%20Water%20Village%2C%20W.P.%20Labuan%2C%20Malaysia</x:v>
      </x:c>
      <x:c r="K430" s="117" t="str">
        <x:v>https://ebrochures.malaysia.travel/en/malaysia-travel-guide/labuan/</x:v>
      </x:c>
      <x:c r="L430" s="117" t="str">
        <x:v>Tourism Malaysia state guide plus map discovery link</x:v>
      </x:c>
      <x:c r="M430" s="117" t="str">
        <x:v>W.P. Labuan expansion batch</x:v>
      </x:c>
      <x:c r="N430" s="117"/>
      <x:c r="O430" s="117" t="str">
        <x:v>2026-08-15 00:00:00</x:v>
      </x:c>
      <x:c r="P430" s="117" t="str">
        <x:v>Complete</x:v>
      </x:c>
      <x:c r="Q430" s="117" t="str">
        <x:v>Identity and Malaysian location verified in second-pass review on 2026-09-08.</x:v>
      </x:c>
      <x:c r="R430" s="117" t="str">
        <x:f t="shared" si="6">IF(J430="","Missing Link",IF(AND(ISNUMBER(SEARCH("google.com/maps",J430)),ISERROR(SEARCH(";",J430))),"Discovery Link Only","Source Link Present"))</x:f>
        <x:v>Discovery Link Only</x:v>
      </x:c>
      <x:c r="S430" s="117" t="str">
        <x:v>Unknown</x:v>
      </x:c>
      <x:c r="T430" s="117" t="str">
        <x:v>Unknown</x:v>
      </x:c>
      <x:c r="U430" s="117" t="str">
        <x:v>Unknown</x:v>
      </x:c>
      <x:c r="V430" s="117" t="str">
        <x:v>Unknown</x:v>
      </x:c>
      <x:c r="W430" s="117" t="str">
        <x:v>Unknown</x:v>
      </x:c>
      <x:c r="X430" s="117" t="str">
        <x:v>Unknown</x:v>
      </x:c>
      <x:c r="Y430" s="117" t="str">
        <x:v>Unknown</x:v>
      </x:c>
      <x:c r="Z430" s="117"/>
      <x:c r="AA430" s="117" t="str">
        <x:v>Pending evidence</x:v>
      </x:c>
      <x:c r="AB430" s="117"/>
      <x:c r="AC430" s="117" t="str">
        <x:v>No qualifying accessibility conclusion established from the screened sources. This is unknown, not evidence that the attraction is inaccessible.</x:v>
      </x:c>
      <x:c r="AD430" s="117" t="str">
        <x:v>2026-09-08</x:v>
      </x:c>
      <x:c r="AE430" s="117" t="str">
        <x:v>MC0427</x:v>
      </x:c>
      <x:c r="AF430" s="117" t="str">
        <x:v>Distinct candidate</x:v>
      </x:c>
      <x:c r="AG430" s="117" t="str"/>
      <x:c r="AH430" s="117" t="str">
        <x:v>Identity and location corroborated</x:v>
      </x:c>
      <x:c r="AI430" s="117" t="str">
        <x:v>https://labuantourism.my/water-village/</x:v>
      </x:c>
      <x:c r="AJ430" s="117" t="str">
        <x:v>Official destination source matches the attraction name or established alias and the stated Malaysian location. This verifies identity/location only; confirm current opening and accessibility separately.</x:v>
      </x:c>
      <x:c r="AK430" s="117" t="str">
        <x:v>Not independently confirmed</x:v>
      </x:c>
      <x:c r="AL430" s="117" t="str">
        <x:v>Screened sources; accessibility unresolved</x:v>
      </x:c>
      <x:c r="AM430" s="117" t="str">
        <x:v>2026-09-08</x:v>
      </x:c>
      <x:c r="AN430" s="117"/>
      <x:c r="AO430" s="117"/>
      <x:c r="AP430" s="117" t="str">
        <x:v>No usable pair located; image research pending</x:v>
      </x:c>
      <x:c r="AQ430" s="117"/>
    </x:row>
    <x:row r="431" ht="66" customHeight="1">
      <x:c r="A431" s="117" t="str">
        <x:v>MC0428</x:v>
      </x:c>
      <x:c r="B431" s="117" t="str">
        <x:v>Pohon Batu Beach</x:v>
      </x:c>
      <x:c r="C431" s="117" t="str">
        <x:v>W.P. Labuan</x:v>
      </x:c>
      <x:c r="D431" s="117" t="str">
        <x:v>Pohon Batu</x:v>
      </x:c>
      <x:c r="E431" s="117" t="str">
        <x:v>Beach and Island</x:v>
      </x:c>
      <x:c r="F431" s="117" t="str">
        <x:v>Local</x:v>
      </x:c>
      <x:c r="G431" s="117" t="str">
        <x:v>Outdoor</x:v>
      </x:c>
      <x:c r="H431" s="117" t="str">
        <x:v>beach; sunset; recreation</x:v>
      </x:c>
      <x:c r="I431" s="117" t="str">
        <x:v>A beach in Pohon Batu, Labuan.</x:v>
      </x:c>
      <x:c r="J431" s="117" t="str">
        <x:v>https://www.google.com/maps/search/?api=1&amp;query=Pohon%20Batu%20Beach%2C%20W.P.%20Labuan%2C%20Malaysia</x:v>
      </x:c>
      <x:c r="K431" s="117" t="str">
        <x:v>https://ebrochures.malaysia.travel/en/malaysia-travel-guide/labuan/</x:v>
      </x:c>
      <x:c r="L431" s="117" t="str">
        <x:v>Tourism Malaysia state guide plus map discovery link</x:v>
      </x:c>
      <x:c r="M431" s="117" t="str">
        <x:v>W.P. Labuan expansion batch</x:v>
      </x:c>
      <x:c r="N431" s="117"/>
      <x:c r="O431" s="117" t="str">
        <x:v>2026-08-15 00:00:00</x:v>
      </x:c>
      <x:c r="P431" s="117" t="str">
        <x:v>Complete</x:v>
      </x:c>
      <x:c r="Q431" s="117" t="str">
        <x:v>Identity and Malaysian location verified in second-pass review on 2026-09-08.</x:v>
      </x:c>
      <x:c r="R431" s="117" t="str">
        <x:f t="shared" si="6">IF(J431="","Missing Link",IF(AND(ISNUMBER(SEARCH("google.com/maps",J431)),ISERROR(SEARCH(";",J431))),"Discovery Link Only","Source Link Present"))</x:f>
        <x:v>Discovery Link Only</x:v>
      </x:c>
      <x:c r="S431" s="117" t="str">
        <x:v>Unknown</x:v>
      </x:c>
      <x:c r="T431" s="117" t="str">
        <x:v>Unknown</x:v>
      </x:c>
      <x:c r="U431" s="117" t="str">
        <x:v>Unknown</x:v>
      </x:c>
      <x:c r="V431" s="117" t="str">
        <x:v>Unknown</x:v>
      </x:c>
      <x:c r="W431" s="117" t="str">
        <x:v>Unknown</x:v>
      </x:c>
      <x:c r="X431" s="117" t="str">
        <x:v>Unknown</x:v>
      </x:c>
      <x:c r="Y431" s="117" t="str">
        <x:v>Unknown</x:v>
      </x:c>
      <x:c r="Z431" s="117"/>
      <x:c r="AA431" s="117" t="str">
        <x:v>Pending evidence</x:v>
      </x:c>
      <x:c r="AB431" s="117"/>
      <x:c r="AC431" s="117" t="str">
        <x:v>No qualifying accessibility conclusion established from the screened sources. This is unknown, not evidence that the attraction is inaccessible.</x:v>
      </x:c>
      <x:c r="AD431" s="117" t="str">
        <x:v>2026-09-08</x:v>
      </x:c>
      <x:c r="AE431" s="117" t="str">
        <x:v>MC0428</x:v>
      </x:c>
      <x:c r="AF431" s="117" t="str">
        <x:v>Distinct candidate</x:v>
      </x:c>
      <x:c r="AG431" s="117" t="str"/>
      <x:c r="AH431" s="117" t="str">
        <x:v>Identity and location corroborated</x:v>
      </x:c>
      <x:c r="AI431" s="117" t="str">
        <x:v>https://www.openstreetmap.org/relation/12885688</x:v>
      </x:c>
      <x:c r="AJ431" s="117" t="str">
        <x:v>Mapped source matches the attraction name or established alias and the stated Malaysian location. This verifies identity/location only; confirm current opening and accessibility separately.</x:v>
      </x:c>
      <x:c r="AK431" s="117" t="str">
        <x:v>Not independently confirmed</x:v>
      </x:c>
      <x:c r="AL431" s="117" t="str">
        <x:v>Screened sources; accessibility unresolved</x:v>
      </x:c>
      <x:c r="AM431" s="117" t="str">
        <x:v>2026-09-08</x:v>
      </x:c>
      <x:c r="AN431" s="117"/>
      <x:c r="AO431" s="117"/>
      <x:c r="AP431" s="117" t="str">
        <x:v>No usable pair located; image research pending</x:v>
      </x:c>
      <x:c r="AQ431" s="117"/>
    </x:row>
    <x:row r="432" ht="66" customHeight="1">
      <x:c r="A432" s="117" t="str">
        <x:v>MC0429</x:v>
      </x:c>
      <x:c r="B432" s="117" t="str">
        <x:v>Pancur Hitam Beach</x:v>
      </x:c>
      <x:c r="C432" s="117" t="str">
        <x:v>W.P. Labuan</x:v>
      </x:c>
      <x:c r="D432" s="117" t="str">
        <x:v>Pancur Hitam</x:v>
      </x:c>
      <x:c r="E432" s="117" t="str">
        <x:v>Beach and Island</x:v>
      </x:c>
      <x:c r="F432" s="117" t="str">
        <x:v>Local</x:v>
      </x:c>
      <x:c r="G432" s="117" t="str">
        <x:v>Outdoor</x:v>
      </x:c>
      <x:c r="H432" s="117" t="str">
        <x:v>beach; park; family</x:v>
      </x:c>
      <x:c r="I432" s="117" t="str">
        <x:v>A beach in Pancur Hitam, Labuan.</x:v>
      </x:c>
      <x:c r="J432" s="117" t="str">
        <x:v>https://www.google.com/maps/search/?api=1&amp;query=Pancur%20Hitam%20Beach%2C%20W.P.%20Labuan%2C%20Malaysia</x:v>
      </x:c>
      <x:c r="K432" s="117" t="str">
        <x:v>https://ebrochures.malaysia.travel/en/malaysia-travel-guide/labuan/</x:v>
      </x:c>
      <x:c r="L432" s="117" t="str">
        <x:v>Tourism Malaysia state guide plus map discovery link</x:v>
      </x:c>
      <x:c r="M432" s="117" t="str">
        <x:v>W.P. Labuan expansion batch</x:v>
      </x:c>
      <x:c r="N432" s="117"/>
      <x:c r="O432" s="117" t="str">
        <x:v>2026-08-15 00:00:00</x:v>
      </x:c>
      <x:c r="P432" s="117" t="str">
        <x:v>Complete</x:v>
      </x:c>
      <x:c r="Q432" s="117" t="str">
        <x:v>Identity and Malaysian location verified in second-pass review on 2026-09-08.</x:v>
      </x:c>
      <x:c r="R432" s="117" t="str">
        <x:f t="shared" si="6">IF(J432="","Missing Link",IF(AND(ISNUMBER(SEARCH("google.com/maps",J432)),ISERROR(SEARCH(";",J432))),"Discovery Link Only","Source Link Present"))</x:f>
        <x:v>Discovery Link Only</x:v>
      </x:c>
      <x:c r="S432" s="117" t="str">
        <x:v>Unknown</x:v>
      </x:c>
      <x:c r="T432" s="117" t="str">
        <x:v>Unknown</x:v>
      </x:c>
      <x:c r="U432" s="117" t="str">
        <x:v>Unknown</x:v>
      </x:c>
      <x:c r="V432" s="117" t="str">
        <x:v>Unknown</x:v>
      </x:c>
      <x:c r="W432" s="117" t="str">
        <x:v>Unknown</x:v>
      </x:c>
      <x:c r="X432" s="117" t="str">
        <x:v>Unknown</x:v>
      </x:c>
      <x:c r="Y432" s="117" t="str">
        <x:v>Unknown</x:v>
      </x:c>
      <x:c r="Z432" s="117"/>
      <x:c r="AA432" s="117" t="str">
        <x:v>Pending evidence</x:v>
      </x:c>
      <x:c r="AB432" s="117"/>
      <x:c r="AC432" s="117" t="str">
        <x:v>No qualifying accessibility conclusion established from the screened sources. This is unknown, not evidence that the attraction is inaccessible.</x:v>
      </x:c>
      <x:c r="AD432" s="117" t="str">
        <x:v>2026-09-08</x:v>
      </x:c>
      <x:c r="AE432" s="117" t="str">
        <x:v>MC0429</x:v>
      </x:c>
      <x:c r="AF432" s="117" t="str">
        <x:v>Distinct candidate</x:v>
      </x:c>
      <x:c r="AG432" s="117" t="str"/>
      <x:c r="AH432" s="117" t="str">
        <x:v>Identity and location corroborated</x:v>
      </x:c>
      <x:c r="AI432" s="117" t="str">
        <x:v>https://www.openstreetmap.org/relation/12885689</x:v>
      </x:c>
      <x:c r="AJ432" s="117" t="str">
        <x:v>Mapped source matches the attraction name or established alias and the stated Malaysian location. This verifies identity/location only; confirm current opening and accessibility separately.</x:v>
      </x:c>
      <x:c r="AK432" s="117" t="str">
        <x:v>Not independently confirmed</x:v>
      </x:c>
      <x:c r="AL432" s="117" t="str">
        <x:v>Screened sources; accessibility unresolved</x:v>
      </x:c>
      <x:c r="AM432" s="117" t="str">
        <x:v>2026-09-08</x:v>
      </x:c>
      <x:c r="AN432" s="117"/>
      <x:c r="AO432" s="117"/>
      <x:c r="AP432" s="117" t="str">
        <x:v>No usable pair located; image research pending</x:v>
      </x:c>
      <x:c r="AQ432" s="117"/>
    </x:row>
    <x:row r="433" ht="66" customHeight="1">
      <x:c r="A433" s="117" t="str">
        <x:v>MC0430</x:v>
      </x:c>
      <x:c r="B433" s="117" t="str">
        <x:v>Kinabenuwa Mangrove Ecology Park</x:v>
      </x:c>
      <x:c r="C433" s="117" t="str">
        <x:v>W.P. Labuan</x:v>
      </x:c>
      <x:c r="D433" s="117" t="str">
        <x:v>Kinabenuwa</x:v>
      </x:c>
      <x:c r="E433" s="117" t="str">
        <x:v>Nature</x:v>
      </x:c>
      <x:c r="F433" s="117" t="str">
        <x:v>Underrated</x:v>
      </x:c>
      <x:c r="G433" s="117" t="str">
        <x:v>Outdoor</x:v>
      </x:c>
      <x:c r="H433" s="117" t="str">
        <x:v>mangrove; boardwalk; ecology</x:v>
      </x:c>
      <x:c r="I433" s="117" t="str">
        <x:v>A mangrove eco-park in Kinabenuwa, Labuan.</x:v>
      </x:c>
      <x:c r="J433" s="117" t="str">
        <x:v>https://www.google.com/maps/search/?api=1&amp;query=Kinabenuwa%20Mangrove%20Ecology%20Park%2C%20W.P.%20Labuan%2C%20Malaysia</x:v>
      </x:c>
      <x:c r="K433" s="117" t="str">
        <x:v>https://ebrochures.malaysia.travel/en/malaysia-travel-guide/labuan/</x:v>
      </x:c>
      <x:c r="L433" s="117" t="str">
        <x:v>Tourism Malaysia state guide plus map discovery link</x:v>
      </x:c>
      <x:c r="M433" s="117" t="str">
        <x:v>W.P. Labuan expansion batch</x:v>
      </x:c>
      <x:c r="N433" s="117"/>
      <x:c r="O433" s="117" t="str">
        <x:v>2026-08-15 00:00:00</x:v>
      </x:c>
      <x:c r="P433" s="117" t="str">
        <x:v>Complete</x:v>
      </x:c>
      <x:c r="Q433" s="117"/>
      <x:c r="R433" s="117" t="str">
        <x:f t="shared" si="6">IF(J433="","Missing Link",IF(AND(ISNUMBER(SEARCH("google.com/maps",J433)),ISERROR(SEARCH(";",J433))),"Discovery Link Only","Source Link Present"))</x:f>
        <x:v>Discovery Link Only</x:v>
      </x:c>
      <x:c r="S433" s="117" t="str">
        <x:v>Unknown</x:v>
      </x:c>
      <x:c r="T433" s="117" t="str">
        <x:v>Unknown</x:v>
      </x:c>
      <x:c r="U433" s="117" t="str">
        <x:v>Unknown</x:v>
      </x:c>
      <x:c r="V433" s="117" t="str">
        <x:v>Unknown</x:v>
      </x:c>
      <x:c r="W433" s="117" t="str">
        <x:v>Unknown</x:v>
      </x:c>
      <x:c r="X433" s="117" t="str">
        <x:v>Unknown</x:v>
      </x:c>
      <x:c r="Y433" s="117" t="str">
        <x:v>Unknown</x:v>
      </x:c>
      <x:c r="Z433" s="117"/>
      <x:c r="AA433" s="117" t="str">
        <x:v>Pending evidence</x:v>
      </x:c>
      <x:c r="AB433" s="117"/>
      <x:c r="AC433" s="117" t="str">
        <x:v>No qualifying accessibility conclusion established from the screened sources. This is unknown, not evidence that the attraction is inaccessible.</x:v>
      </x:c>
      <x:c r="AD433" s="117" t="str">
        <x:v>2026-09-08</x:v>
      </x:c>
      <x:c r="AE433" s="117" t="str">
        <x:v>MC0430</x:v>
      </x:c>
      <x:c r="AF433" s="117" t="str">
        <x:v>Distinct candidate</x:v>
      </x:c>
      <x:c r="AG433" s="117" t="str"/>
      <x:c r="AH433" s="117" t="str">
        <x:v>Name corroborated in source</x:v>
      </x:c>
      <x:c r="AI433" s="117" t="str">
        <x:v>https://ebrochures.malaysia.travel/en/malaysia-travel-guide/labuan/</x:v>
      </x:c>
      <x:c r="AJ433" s="117" t="str">
        <x:v>Place name or established alias matched in the cited source. This is not confirmation of current opening, all visitor facilities or the full description.</x:v>
      </x:c>
      <x:c r="AK433" s="117" t="str">
        <x:v>Not independently confirmed</x:v>
      </x:c>
      <x:c r="AL433" s="117" t="str">
        <x:v>Screened sources; accessibility unresolved</x:v>
      </x:c>
      <x:c r="AM433" s="117" t="str">
        <x:v>2026-09-08</x:v>
      </x:c>
      <x:c r="AN433" s="117"/>
      <x:c r="AO433" s="117"/>
      <x:c r="AP433" s="117" t="str">
        <x:v>No usable pair located; image research pending</x:v>
      </x:c>
      <x:c r="AQ433" s="117"/>
    </x:row>
    <x:row r="434" ht="66" customHeight="1">
      <x:c r="A434" s="117" t="str">
        <x:v>MC0431</x:v>
      </x:c>
      <x:c r="B434" s="117" t="str">
        <x:v>Pulau Rusukan Besar Marine Park</x:v>
      </x:c>
      <x:c r="C434" s="117" t="str">
        <x:v>W.P. Labuan</x:v>
      </x:c>
      <x:c r="D434" s="117" t="str">
        <x:v>Rusukan Besar</x:v>
      </x:c>
      <x:c r="E434" s="117" t="str">
        <x:v>Beach and Island</x:v>
      </x:c>
      <x:c r="F434" s="117" t="str">
        <x:v>Underrated</x:v>
      </x:c>
      <x:c r="G434" s="117" t="str">
        <x:v>Outdoor</x:v>
      </x:c>
      <x:c r="H434" s="117" t="str">
        <x:v>island; snorkelling; marine park</x:v>
      </x:c>
      <x:c r="I434" s="117" t="str">
        <x:v>A marine park island off Labuan protecting coral reefs, popular for diving.</x:v>
      </x:c>
      <x:c r="J434" s="117" t="str">
        <x:v>https://www.google.com/maps/search/?api=1&amp;query=Pulau%20Rusukan%20Besar%20Marine%20Park%2C%20W.P.%20Labuan%2C%20Malaysia</x:v>
      </x:c>
      <x:c r="K434" s="117" t="str">
        <x:v>https://ebrochures.malaysia.travel/en/malaysia-travel-guide/labuan/</x:v>
      </x:c>
      <x:c r="L434" s="117" t="str">
        <x:v>Tourism Malaysia state guide plus map discovery link</x:v>
      </x:c>
      <x:c r="M434" s="117" t="str">
        <x:v>W.P. Labuan expansion batch</x:v>
      </x:c>
      <x:c r="N434" s="117"/>
      <x:c r="O434" s="117" t="str">
        <x:v>2026-08-15 00:00:00</x:v>
      </x:c>
      <x:c r="P434" s="117" t="str">
        <x:v>Complete</x:v>
      </x:c>
      <x:c r="Q434" s="117" t="str">
        <x:v>Duplicate alias: use MC0422 Identity and Malaysian location verified in second-pass review on 2026-09-08.</x:v>
      </x:c>
      <x:c r="R434" s="117" t="str">
        <x:f t="shared" si="6">IF(J434="","Missing Link",IF(AND(ISNUMBER(SEARCH("google.com/maps",J434)),ISERROR(SEARCH(";",J434))),"Discovery Link Only","Source Link Present"))</x:f>
        <x:v>Discovery Link Only</x:v>
      </x:c>
      <x:c r="S434" s="117" t="str">
        <x:v>Unknown</x:v>
      </x:c>
      <x:c r="T434" s="117" t="str">
        <x:v>Unknown</x:v>
      </x:c>
      <x:c r="U434" s="117" t="str">
        <x:v>Unknown</x:v>
      </x:c>
      <x:c r="V434" s="117" t="str">
        <x:v>Unknown</x:v>
      </x:c>
      <x:c r="W434" s="117" t="str">
        <x:v>Unknown</x:v>
      </x:c>
      <x:c r="X434" s="117" t="str">
        <x:v>Unknown</x:v>
      </x:c>
      <x:c r="Y434" s="117" t="str">
        <x:v>Unknown</x:v>
      </x:c>
      <x:c r="Z434" s="117"/>
      <x:c r="AA434" s="117" t="str">
        <x:v>Duplicate - use canonical ID</x:v>
      </x:c>
      <x:c r="AB434" s="117"/>
      <x:c r="AC434" s="117" t="str">
        <x:v>No qualifying accessibility conclusion established from the screened sources. This is unknown, not evidence that the attraction is inaccessible.</x:v>
      </x:c>
      <x:c r="AD434" s="117" t="str">
        <x:v>2026-09-08</x:v>
      </x:c>
      <x:c r="AE434" s="117" t="str">
        <x:v>MC0422</x:v>
      </x:c>
      <x:c r="AF434" s="117" t="str">
        <x:v>Duplicate alias</x:v>
      </x:c>
      <x:c r="AG434" s="117" t="str"/>
      <x:c r="AH434" s="117" t="str">
        <x:v>Identity and location corroborated</x:v>
      </x:c>
      <x:c r="AI434" s="117" t="str">
        <x:v>https://www.mybis.gov.my/pa/5</x:v>
      </x:c>
      <x:c r="AJ434" s="117" t="str">
        <x:v>Official biodiversity database matches the attraction name or established alias and the stated Malaysian location. This verifies identity/location only; confirm current opening and accessibility separately.</x:v>
      </x:c>
      <x:c r="AK434" s="117" t="str">
        <x:v>Not independently confirmed</x:v>
      </x:c>
      <x:c r="AL434" s="117" t="str">
        <x:v>Screened sources; accessibility unresolved</x:v>
      </x:c>
      <x:c r="AM434" s="117" t="str">
        <x:v>2026-09-08</x:v>
      </x:c>
      <x:c r="AN434" s="117"/>
      <x:c r="AO434" s="117"/>
      <x:c r="AP434" s="117" t="str">
        <x:v>No usable pair located; image research pending</x:v>
      </x:c>
      <x:c r="AQ434" s="117"/>
    </x:row>
    <x:row r="435" ht="66" customHeight="1">
      <x:c r="A435" s="117" t="str">
        <x:v>MC0432</x:v>
      </x:c>
      <x:c r="B435" s="117" t="str">
        <x:v>Sultan Iskandar Marine Park</x:v>
      </x:c>
      <x:c r="C435" s="117" t="str">
        <x:v>Johor</x:v>
      </x:c>
      <x:c r="D435" s="117" t="str">
        <x:v>Mersing</x:v>
      </x:c>
      <x:c r="E435" s="117" t="str">
        <x:v>Nature</x:v>
      </x:c>
      <x:c r="F435" s="117" t="str">
        <x:v>Unclassified</x:v>
      </x:c>
      <x:c r="G435" s="117" t="str">
        <x:v>Outdoor</x:v>
      </x:c>
      <x:c r="H435" s="117" t="str">
        <x:v>Nature; Mersing</x:v>
      </x:c>
      <x:c r="I435" s="117" t="str">
        <x:v>A visitor attraction in Mersing, Johor, listed in Tourism Malaysia's state travel guide. Venue operation and the precise accessible route require confirmation.</x:v>
      </x:c>
      <x:c r="J435" s="117" t="str">
        <x:v>https://ebrochures.malaysia.travel/en/malaysia-travel-guide/johor/</x:v>
      </x:c>
      <x:c r="K435" s="117" t="str">
        <x:v>https://ebrochures.malaysia.travel/en/malaysia-travel-guide/johor/</x:v>
      </x:c>
      <x:c r="L435" s="117" t="str">
        <x:v>Tourism Malaysia listing; operation unconfirmed</x:v>
      </x:c>
      <x:c r="M435" s="117" t="str">
        <x:v>Nationwide expansion 2026-09-08</x:v>
      </x:c>
      <x:c r="N435" s="117"/>
      <x:c r="O435" s="117" t="str">
        <x:v>2026-09-08</x:v>
      </x:c>
      <x:c r="P435" s="117" t="str">
        <x:v>Complete</x:v>
      </x:c>
      <x:c r="Q435" s="117"/>
      <x:c r="R435" s="117" t="str">
        <x:f>IF(J435="","Missing Link",IF(AND(ISNUMBER(SEARCH("google.com/maps",J435)),ISERROR(SEARCH(";",J435))),"Discovery Link Only","Source Link Present"))</x:f>
        <x:v>Source Link Present</x:v>
      </x:c>
      <x:c r="S435" s="117" t="str">
        <x:v>Unknown</x:v>
      </x:c>
      <x:c r="T435" s="117" t="str">
        <x:v>Unknown</x:v>
      </x:c>
      <x:c r="U435" s="117" t="str">
        <x:v>Unknown</x:v>
      </x:c>
      <x:c r="V435" s="117" t="str">
        <x:v>Unknown</x:v>
      </x:c>
      <x:c r="W435" s="117" t="str">
        <x:v>Unknown</x:v>
      </x:c>
      <x:c r="X435" s="117" t="str">
        <x:v>Unknown</x:v>
      </x:c>
      <x:c r="Y435" s="117" t="str">
        <x:v>Unknown</x:v>
      </x:c>
      <x:c r="Z435" s="117"/>
      <x:c r="AA435" s="117" t="str">
        <x:v>Pending evidence</x:v>
      </x:c>
      <x:c r="AB435" s="117"/>
      <x:c r="AC435" s="117" t="str">
        <x:v>No qualifying accessibility conclusion established from the screened sources. This is unknown, not evidence that the attraction is inaccessible.</x:v>
      </x:c>
      <x:c r="AD435" s="117" t="str">
        <x:v>2026-09-08</x:v>
      </x:c>
      <x:c r="AE435" s="117" t="str">
        <x:v>MC0432</x:v>
      </x:c>
      <x:c r="AF435" s="117" t="str">
        <x:v>Distinct candidate</x:v>
      </x:c>
      <x:c r="AG435" s="117" t="str"/>
      <x:c r="AH435" s="117" t="str">
        <x:v>Listed by Tourism Malaysia</x:v>
      </x:c>
      <x:c r="AI435" s="117" t="str">
        <x:v>https://ebrochures.malaysia.travel/en/malaysia-travel-guide/johor/</x:v>
      </x:c>
      <x:c r="AJ435" s="117" t="str">
        <x:v>Named visitor attraction in cited source; state-guide listings can be historical. Locality is catalogue metadata, not a surveyed address. Current operation remains unconfirmed.</x:v>
      </x:c>
      <x:c r="AK435" s="117" t="str">
        <x:v>Not independently confirmed</x:v>
      </x:c>
      <x:c r="AL435" s="117" t="str">
        <x:v>Screened sources; accessibility unresolved</x:v>
      </x:c>
      <x:c r="AM435" s="117" t="str">
        <x:v>2026-09-08</x:v>
      </x:c>
      <x:c r="AN435" s="117" t="str">
        <x:v>https://thumb.wikimedia.org/wikipedia/commons/thumb/9/9b/Sultan_Iskandar_Marine_Park_Mailbox.jpg/1280px-Sultan_Iskandar_Marine_Park_Mailbox.jpg?utm_source=commons.wikimedia.org&amp;utm_campaign=imageinfo&amp;utm_content=thumbnail</x:v>
      </x:c>
      <x:c r="AO435" s="117"/>
      <x:c r="AP435" s="117" t="str">
        <x:v>1 metadata-matched images; visual review pending</x:v>
      </x:c>
      <x:c r="AQ435" s="117"/>
    </x:row>
    <x:row r="436" ht="66" customHeight="1">
      <x:c r="A436" s="117" t="str">
        <x:v>MC0433</x:v>
      </x:c>
      <x:c r="B436" s="117" t="str">
        <x:v>Pantai Penyabong</x:v>
      </x:c>
      <x:c r="C436" s="117" t="str">
        <x:v>Johor</x:v>
      </x:c>
      <x:c r="D436" s="117" t="str">
        <x:v>Mersing</x:v>
      </x:c>
      <x:c r="E436" s="117" t="str">
        <x:v>Beach and Island</x:v>
      </x:c>
      <x:c r="F436" s="117" t="str">
        <x:v>Unclassified</x:v>
      </x:c>
      <x:c r="G436" s="117" t="str">
        <x:v>Outdoor</x:v>
      </x:c>
      <x:c r="H436" s="117" t="str">
        <x:v>Beach and Island; Mersing</x:v>
      </x:c>
      <x:c r="I436" s="117" t="str">
        <x:v>A visitor attraction in Mersing, Johor, listed in Tourism Malaysia's state travel guide. Venue operation and the precise accessible route require confirmation.</x:v>
      </x:c>
      <x:c r="J436" s="117" t="str">
        <x:v>https://ebrochures.malaysia.travel/en/malaysia-travel-guide/johor/</x:v>
      </x:c>
      <x:c r="K436" s="117" t="str">
        <x:v>https://ebrochures.malaysia.travel/en/malaysia-travel-guide/johor/</x:v>
      </x:c>
      <x:c r="L436" s="117" t="str">
        <x:v>Tourism Malaysia listing; operation unconfirmed</x:v>
      </x:c>
      <x:c r="M436" s="117" t="str">
        <x:v>Nationwide expansion 2026-09-08</x:v>
      </x:c>
      <x:c r="N436" s="117"/>
      <x:c r="O436" s="117" t="str">
        <x:v>2026-09-08</x:v>
      </x:c>
      <x:c r="P436" s="117" t="str">
        <x:v>Complete</x:v>
      </x:c>
      <x:c r="Q436" s="117"/>
      <x:c r="R436" s="117" t="str">
        <x:f>IF(J436="","Missing Link",IF(AND(ISNUMBER(SEARCH("google.com/maps",J436)),ISERROR(SEARCH(";",J436))),"Discovery Link Only","Source Link Present"))</x:f>
        <x:v>Source Link Present</x:v>
      </x:c>
      <x:c r="S436" s="117" t="str">
        <x:v>Unknown</x:v>
      </x:c>
      <x:c r="T436" s="117" t="str">
        <x:v>Unknown</x:v>
      </x:c>
      <x:c r="U436" s="117" t="str">
        <x:v>Unknown</x:v>
      </x:c>
      <x:c r="V436" s="117" t="str">
        <x:v>Unknown</x:v>
      </x:c>
      <x:c r="W436" s="117" t="str">
        <x:v>Unknown</x:v>
      </x:c>
      <x:c r="X436" s="117" t="str">
        <x:v>Unknown</x:v>
      </x:c>
      <x:c r="Y436" s="117" t="str">
        <x:v>Unknown</x:v>
      </x:c>
      <x:c r="Z436" s="117"/>
      <x:c r="AA436" s="117" t="str">
        <x:v>Pending evidence</x:v>
      </x:c>
      <x:c r="AB436" s="117"/>
      <x:c r="AC436" s="117" t="str">
        <x:v>No qualifying accessibility conclusion established from the screened sources. This is unknown, not evidence that the attraction is inaccessible.</x:v>
      </x:c>
      <x:c r="AD436" s="117" t="str">
        <x:v>2026-09-08</x:v>
      </x:c>
      <x:c r="AE436" s="117" t="str">
        <x:v>MC0433</x:v>
      </x:c>
      <x:c r="AF436" s="117" t="str">
        <x:v>Distinct candidate</x:v>
      </x:c>
      <x:c r="AG436" s="117" t="str"/>
      <x:c r="AH436" s="117" t="str">
        <x:v>Listed by Tourism Malaysia</x:v>
      </x:c>
      <x:c r="AI436" s="117" t="str">
        <x:v>https://ebrochures.malaysia.travel/en/malaysia-travel-guide/johor/</x:v>
      </x:c>
      <x:c r="AJ436" s="117" t="str">
        <x:v>Named visitor attraction in cited source; state-guide listings can be historical. Locality is catalogue metadata, not a surveyed address. Current operation remains unconfirmed.</x:v>
      </x:c>
      <x:c r="AK436" s="117" t="str">
        <x:v>Not independently confirmed</x:v>
      </x:c>
      <x:c r="AL436" s="117" t="str">
        <x:v>Screened sources; accessibility unresolved</x:v>
      </x:c>
      <x:c r="AM436" s="117" t="str">
        <x:v>2026-09-08</x:v>
      </x:c>
      <x:c r="AN436" s="117" t="str">
        <x:v>https://thumb.wikimedia.org/wikipedia/commons/thumb/7/77/Bertengger_Manis_di_Pantai_Penyabong%2C_Belitung.jpg/1280px-Bertengger_Manis_di_Pantai_Penyabong%2C_Belitung.jpg?utm_source=commons.wikimedia.org&amp;utm_campaign=imageinfo&amp;utm_content=thumbnail</x:v>
      </x:c>
      <x:c r="AO436" s="117"/>
      <x:c r="AP436" s="117" t="str">
        <x:v>1 metadata-matched images; visual review pending</x:v>
      </x:c>
      <x:c r="AQ436" s="117"/>
    </x:row>
    <x:row r="437" ht="66" customHeight="1">
      <x:c r="A437" s="117" t="str">
        <x:v>MC0434</x:v>
      </x:c>
      <x:c r="B437" s="117" t="str">
        <x:v>Gunung Ledang National Park</x:v>
      </x:c>
      <x:c r="C437" s="117" t="str">
        <x:v>Johor</x:v>
      </x:c>
      <x:c r="D437" s="117" t="str">
        <x:v>Tangkak</x:v>
      </x:c>
      <x:c r="E437" s="117" t="str">
        <x:v>Nature</x:v>
      </x:c>
      <x:c r="F437" s="117" t="str">
        <x:v>Unclassified</x:v>
      </x:c>
      <x:c r="G437" s="117" t="str">
        <x:v>Outdoor</x:v>
      </x:c>
      <x:c r="H437" s="117" t="str">
        <x:v>Nature; Tangkak</x:v>
      </x:c>
      <x:c r="I437" s="117" t="str">
        <x:v>A visitor attraction in Tangkak, Johor, listed in Tourism Malaysia's state travel guide. Venue operation and the precise accessible route require confirmation.</x:v>
      </x:c>
      <x:c r="J437" s="117" t="str">
        <x:v>https://ebrochures.malaysia.travel/en/malaysia-travel-guide/johor/</x:v>
      </x:c>
      <x:c r="K437" s="117" t="str">
        <x:v>https://ebrochures.malaysia.travel/en/malaysia-travel-guide/johor/</x:v>
      </x:c>
      <x:c r="L437" s="117" t="str">
        <x:v>Tourism Malaysia listing; operation unconfirmed</x:v>
      </x:c>
      <x:c r="M437" s="117" t="str">
        <x:v>Nationwide expansion 2026-09-08</x:v>
      </x:c>
      <x:c r="N437" s="117"/>
      <x:c r="O437" s="117" t="str">
        <x:v>2026-09-08</x:v>
      </x:c>
      <x:c r="P437" s="117" t="str">
        <x:v>Complete</x:v>
      </x:c>
      <x:c r="Q437" s="117"/>
      <x:c r="R437" s="117" t="str">
        <x:f>IF(J437="","Missing Link",IF(AND(ISNUMBER(SEARCH("google.com/maps",J437)),ISERROR(SEARCH(";",J437))),"Discovery Link Only","Source Link Present"))</x:f>
        <x:v>Source Link Present</x:v>
      </x:c>
      <x:c r="S437" s="117" t="str">
        <x:v>Unknown</x:v>
      </x:c>
      <x:c r="T437" s="117" t="str">
        <x:v>Unknown</x:v>
      </x:c>
      <x:c r="U437" s="117" t="str">
        <x:v>Unknown</x:v>
      </x:c>
      <x:c r="V437" s="117" t="str">
        <x:v>Unknown</x:v>
      </x:c>
      <x:c r="W437" s="117" t="str">
        <x:v>Unknown</x:v>
      </x:c>
      <x:c r="X437" s="117" t="str">
        <x:v>Unknown</x:v>
      </x:c>
      <x:c r="Y437" s="117" t="str">
        <x:v>Unknown</x:v>
      </x:c>
      <x:c r="Z437" s="117"/>
      <x:c r="AA437" s="117" t="str">
        <x:v>Pending evidence</x:v>
      </x:c>
      <x:c r="AB437" s="117"/>
      <x:c r="AC437" s="117" t="str">
        <x:v>No qualifying accessibility conclusion established from the screened sources. This is unknown, not evidence that the attraction is inaccessible.</x:v>
      </x:c>
      <x:c r="AD437" s="117" t="str">
        <x:v>2026-09-08</x:v>
      </x:c>
      <x:c r="AE437" s="117" t="str">
        <x:v>MC0434</x:v>
      </x:c>
      <x:c r="AF437" s="117" t="str">
        <x:v>Distinct candidate</x:v>
      </x:c>
      <x:c r="AG437" s="117" t="str"/>
      <x:c r="AH437" s="117" t="str">
        <x:v>Listed by Tourism Malaysia</x:v>
      </x:c>
      <x:c r="AI437" s="117" t="str">
        <x:v>https://ebrochures.malaysia.travel/en/malaysia-travel-guide/johor/</x:v>
      </x:c>
      <x:c r="AJ437" s="117" t="str">
        <x:v>Named visitor attraction in cited source; state-guide listings can be historical. Locality is catalogue metadata, not a surveyed address. Current operation remains unconfirmed.</x:v>
      </x:c>
      <x:c r="AK437" s="117" t="str">
        <x:v>Not independently confirmed</x:v>
      </x:c>
      <x:c r="AL437" s="117" t="str">
        <x:v>Screened sources; accessibility unresolved</x:v>
      </x:c>
      <x:c r="AM437" s="117" t="str">
        <x:v>2026-09-08</x:v>
      </x:c>
      <x:c r="AN437" s="117"/>
      <x:c r="AO437" s="117"/>
      <x:c r="AP437" s="117" t="str">
        <x:v>No usable pair located; image research pending</x:v>
      </x:c>
      <x:c r="AQ437" s="117"/>
    </x:row>
    <x:row r="438" ht="66" customHeight="1">
      <x:c r="A438" s="117" t="str">
        <x:v>MC0435</x:v>
      </x:c>
      <x:c r="B438" s="117" t="str">
        <x:v>Nasuha Herbs and Spices Paradise</x:v>
      </x:c>
      <x:c r="C438" s="117" t="str">
        <x:v>Johor</x:v>
      </x:c>
      <x:c r="D438" s="117" t="str">
        <x:v>Muar</x:v>
      </x:c>
      <x:c r="E438" s="117" t="str">
        <x:v>Farm and Visitor Experience</x:v>
      </x:c>
      <x:c r="F438" s="117" t="str">
        <x:v>Unclassified</x:v>
      </x:c>
      <x:c r="G438" s="117" t="str">
        <x:v>Both</x:v>
      </x:c>
      <x:c r="H438" s="117" t="str">
        <x:v>Farm and Visitor Experience; Muar</x:v>
      </x:c>
      <x:c r="I438" s="117" t="str">
        <x:v>A visitor attraction in Muar, Johor, listed in Tourism Malaysia's state travel guide. Venue operation and the precise accessible route require confirmation.</x:v>
      </x:c>
      <x:c r="J438" s="117" t="str">
        <x:v>https://ebrochures.malaysia.travel/en/malaysia-travel-guide/johor/</x:v>
      </x:c>
      <x:c r="K438" s="117" t="str">
        <x:v>https://ebrochures.malaysia.travel/en/malaysia-travel-guide/johor/</x:v>
      </x:c>
      <x:c r="L438" s="117" t="str">
        <x:v>Tourism Malaysia listing; operation unconfirmed</x:v>
      </x:c>
      <x:c r="M438" s="117" t="str">
        <x:v>Nationwide expansion 2026-09-08</x:v>
      </x:c>
      <x:c r="N438" s="117"/>
      <x:c r="O438" s="117" t="str">
        <x:v>2026-09-08</x:v>
      </x:c>
      <x:c r="P438" s="117" t="str">
        <x:v>Complete</x:v>
      </x:c>
      <x:c r="Q438" s="117"/>
      <x:c r="R438" s="117" t="str">
        <x:f>IF(J438="","Missing Link",IF(AND(ISNUMBER(SEARCH("google.com/maps",J438)),ISERROR(SEARCH(";",J438))),"Discovery Link Only","Source Link Present"))</x:f>
        <x:v>Source Link Present</x:v>
      </x:c>
      <x:c r="S438" s="117" t="str">
        <x:v>Unknown</x:v>
      </x:c>
      <x:c r="T438" s="117" t="str">
        <x:v>Unknown</x:v>
      </x:c>
      <x:c r="U438" s="117" t="str">
        <x:v>Unknown</x:v>
      </x:c>
      <x:c r="V438" s="117" t="str">
        <x:v>Unknown</x:v>
      </x:c>
      <x:c r="W438" s="117" t="str">
        <x:v>Unknown</x:v>
      </x:c>
      <x:c r="X438" s="117" t="str">
        <x:v>Unknown</x:v>
      </x:c>
      <x:c r="Y438" s="117" t="str">
        <x:v>Unknown</x:v>
      </x:c>
      <x:c r="Z438" s="117"/>
      <x:c r="AA438" s="117" t="str">
        <x:v>Pending evidence</x:v>
      </x:c>
      <x:c r="AB438" s="117"/>
      <x:c r="AC438" s="117" t="str">
        <x:v>No qualifying accessibility conclusion established from the screened sources. This is unknown, not evidence that the attraction is inaccessible.</x:v>
      </x:c>
      <x:c r="AD438" s="117" t="str">
        <x:v>2026-09-08</x:v>
      </x:c>
      <x:c r="AE438" s="117" t="str">
        <x:v>MC0435</x:v>
      </x:c>
      <x:c r="AF438" s="117" t="str">
        <x:v>Distinct candidate</x:v>
      </x:c>
      <x:c r="AG438" s="117" t="str"/>
      <x:c r="AH438" s="117" t="str">
        <x:v>Listed by Tourism Malaysia</x:v>
      </x:c>
      <x:c r="AI438" s="117" t="str">
        <x:v>https://ebrochures.malaysia.travel/en/malaysia-travel-guide/johor/</x:v>
      </x:c>
      <x:c r="AJ438" s="117" t="str">
        <x:v>Named visitor attraction in cited source; state-guide listings can be historical. Locality is catalogue metadata, not a surveyed address. Current operation remains unconfirmed.</x:v>
      </x:c>
      <x:c r="AK438" s="117" t="str">
        <x:v>Not independently confirmed</x:v>
      </x:c>
      <x:c r="AL438" s="117" t="str">
        <x:v>Screened sources; accessibility unresolved</x:v>
      </x:c>
      <x:c r="AM438" s="117" t="str">
        <x:v>2026-09-08</x:v>
      </x:c>
      <x:c r="AN438" s="117"/>
      <x:c r="AO438" s="117"/>
      <x:c r="AP438" s="117" t="str">
        <x:v>No usable pair located; image research pending</x:v>
      </x:c>
      <x:c r="AQ438" s="117"/>
    </x:row>
    <x:row r="439" ht="66" customHeight="1">
      <x:c r="A439" s="117" t="str">
        <x:v>MC0436</x:v>
      </x:c>
      <x:c r="B439" s="117" t="str">
        <x:v>Muar River Cruise</x:v>
      </x:c>
      <x:c r="C439" s="117" t="str">
        <x:v>Johor</x:v>
      </x:c>
      <x:c r="D439" s="117" t="str">
        <x:v>Muar</x:v>
      </x:c>
      <x:c r="E439" s="117" t="str">
        <x:v>Scenic Transport</x:v>
      </x:c>
      <x:c r="F439" s="117" t="str">
        <x:v>Unclassified</x:v>
      </x:c>
      <x:c r="G439" s="117" t="str">
        <x:v>Both</x:v>
      </x:c>
      <x:c r="H439" s="117" t="str">
        <x:v>Scenic Transport; Muar</x:v>
      </x:c>
      <x:c r="I439" s="117" t="str">
        <x:v>A visitor attraction in Muar, Johor, listed in Tourism Malaysia's state travel guide. Venue operation and the precise accessible route require confirmation.</x:v>
      </x:c>
      <x:c r="J439" s="117" t="str">
        <x:v>https://ebrochures.malaysia.travel/en/malaysia-travel-guide/johor/</x:v>
      </x:c>
      <x:c r="K439" s="117" t="str">
        <x:v>https://ebrochures.malaysia.travel/en/malaysia-travel-guide/johor/</x:v>
      </x:c>
      <x:c r="L439" s="117" t="str">
        <x:v>Tourism Malaysia listing; operation unconfirmed</x:v>
      </x:c>
      <x:c r="M439" s="117" t="str">
        <x:v>Nationwide expansion 2026-09-08</x:v>
      </x:c>
      <x:c r="N439" s="117"/>
      <x:c r="O439" s="117" t="str">
        <x:v>2026-09-08</x:v>
      </x:c>
      <x:c r="P439" s="117" t="str">
        <x:v>Complete</x:v>
      </x:c>
      <x:c r="Q439" s="117"/>
      <x:c r="R439" s="117" t="str">
        <x:f>IF(J439="","Missing Link",IF(AND(ISNUMBER(SEARCH("google.com/maps",J439)),ISERROR(SEARCH(";",J439))),"Discovery Link Only","Source Link Present"))</x:f>
        <x:v>Source Link Present</x:v>
      </x:c>
      <x:c r="S439" s="117" t="str">
        <x:v>Unknown</x:v>
      </x:c>
      <x:c r="T439" s="117" t="str">
        <x:v>Unknown</x:v>
      </x:c>
      <x:c r="U439" s="117" t="str">
        <x:v>Unknown</x:v>
      </x:c>
      <x:c r="V439" s="117" t="str">
        <x:v>Unknown</x:v>
      </x:c>
      <x:c r="W439" s="117" t="str">
        <x:v>Unknown</x:v>
      </x:c>
      <x:c r="X439" s="117" t="str">
        <x:v>Unknown</x:v>
      </x:c>
      <x:c r="Y439" s="117" t="str">
        <x:v>Unknown</x:v>
      </x:c>
      <x:c r="Z439" s="117"/>
      <x:c r="AA439" s="117" t="str">
        <x:v>Pending evidence</x:v>
      </x:c>
      <x:c r="AB439" s="117"/>
      <x:c r="AC439" s="117" t="str">
        <x:v>No qualifying accessibility conclusion established from the screened sources. This is unknown, not evidence that the attraction is inaccessible.</x:v>
      </x:c>
      <x:c r="AD439" s="117" t="str">
        <x:v>2026-09-08</x:v>
      </x:c>
      <x:c r="AE439" s="117" t="str">
        <x:v>MC0436</x:v>
      </x:c>
      <x:c r="AF439" s="117" t="str">
        <x:v>Distinct candidate</x:v>
      </x:c>
      <x:c r="AG439" s="117" t="str"/>
      <x:c r="AH439" s="117" t="str">
        <x:v>Listed by Tourism Malaysia</x:v>
      </x:c>
      <x:c r="AI439" s="117" t="str">
        <x:v>https://ebrochures.malaysia.travel/en/malaysia-travel-guide/johor/</x:v>
      </x:c>
      <x:c r="AJ439" s="117" t="str">
        <x:v>Named visitor attraction in cited source; state-guide listings can be historical. Locality is catalogue metadata, not a surveyed address. Current operation remains unconfirmed.</x:v>
      </x:c>
      <x:c r="AK439" s="117" t="str">
        <x:v>Not independently confirmed</x:v>
      </x:c>
      <x:c r="AL439" s="117" t="str">
        <x:v>Screened sources; accessibility unresolved</x:v>
      </x:c>
      <x:c r="AM439" s="117" t="str">
        <x:v>2026-09-08</x:v>
      </x:c>
      <x:c r="AN439" s="117" t="str">
        <x:v>https://thumb.wikimedia.org/wikipedia/commons/thumb/8/8f/Muar_River_Cruise_Terminal.jpg/1280px-Muar_River_Cruise_Terminal.jpg?utm_source=commons.wikimedia.org&amp;utm_campaign=imageinfo&amp;utm_content=thumbnail</x:v>
      </x:c>
      <x:c r="AO439" s="117"/>
      <x:c r="AP439" s="117" t="str">
        <x:v>1 metadata-matched images; visual review pending</x:v>
      </x:c>
      <x:c r="AQ439" s="117"/>
    </x:row>
    <x:row r="440" ht="66" customHeight="1">
      <x:c r="A440" s="117" t="str">
        <x:v>MC0437</x:v>
      </x:c>
      <x:c r="B440" s="117" t="str">
        <x:v>Grisek Hot Springs</x:v>
      </x:c>
      <x:c r="C440" s="117" t="str">
        <x:v>Johor</x:v>
      </x:c>
      <x:c r="D440" s="117" t="str">
        <x:v>Muar</x:v>
      </x:c>
      <x:c r="E440" s="117" t="str">
        <x:v>Nature</x:v>
      </x:c>
      <x:c r="F440" s="117" t="str">
        <x:v>Unclassified</x:v>
      </x:c>
      <x:c r="G440" s="117" t="str">
        <x:v>Outdoor</x:v>
      </x:c>
      <x:c r="H440" s="117" t="str">
        <x:v>Nature; Muar</x:v>
      </x:c>
      <x:c r="I440" s="117" t="str">
        <x:v>A visitor attraction in Muar, Johor, listed in Tourism Malaysia's state travel guide. Venue operation and the precise accessible route require confirmation.</x:v>
      </x:c>
      <x:c r="J440" s="117" t="str">
        <x:v>https://ebrochures.malaysia.travel/en/malaysia-travel-guide/johor/</x:v>
      </x:c>
      <x:c r="K440" s="117" t="str">
        <x:v>https://ebrochures.malaysia.travel/en/malaysia-travel-guide/johor/</x:v>
      </x:c>
      <x:c r="L440" s="117" t="str">
        <x:v>Tourism Malaysia listing; operation unconfirmed</x:v>
      </x:c>
      <x:c r="M440" s="117" t="str">
        <x:v>Nationwide expansion 2026-09-08</x:v>
      </x:c>
      <x:c r="N440" s="117"/>
      <x:c r="O440" s="117" t="str">
        <x:v>2026-09-08</x:v>
      </x:c>
      <x:c r="P440" s="117" t="str">
        <x:v>Complete</x:v>
      </x:c>
      <x:c r="Q440" s="117"/>
      <x:c r="R440" s="117" t="str">
        <x:f>IF(J440="","Missing Link",IF(AND(ISNUMBER(SEARCH("google.com/maps",J440)),ISERROR(SEARCH(";",J440))),"Discovery Link Only","Source Link Present"))</x:f>
        <x:v>Source Link Present</x:v>
      </x:c>
      <x:c r="S440" s="117" t="str">
        <x:v>Unknown</x:v>
      </x:c>
      <x:c r="T440" s="117" t="str">
        <x:v>Unknown</x:v>
      </x:c>
      <x:c r="U440" s="117" t="str">
        <x:v>Unknown</x:v>
      </x:c>
      <x:c r="V440" s="117" t="str">
        <x:v>Unknown</x:v>
      </x:c>
      <x:c r="W440" s="117" t="str">
        <x:v>Unknown</x:v>
      </x:c>
      <x:c r="X440" s="117" t="str">
        <x:v>Unknown</x:v>
      </x:c>
      <x:c r="Y440" s="117" t="str">
        <x:v>Unknown</x:v>
      </x:c>
      <x:c r="Z440" s="117"/>
      <x:c r="AA440" s="117" t="str">
        <x:v>Pending evidence</x:v>
      </x:c>
      <x:c r="AB440" s="117"/>
      <x:c r="AC440" s="117" t="str">
        <x:v>No qualifying accessibility conclusion established from the screened sources. This is unknown, not evidence that the attraction is inaccessible.</x:v>
      </x:c>
      <x:c r="AD440" s="117" t="str">
        <x:v>2026-09-08</x:v>
      </x:c>
      <x:c r="AE440" s="117" t="str">
        <x:v>MC0437</x:v>
      </x:c>
      <x:c r="AF440" s="117" t="str">
        <x:v>Distinct candidate</x:v>
      </x:c>
      <x:c r="AG440" s="117" t="str"/>
      <x:c r="AH440" s="117" t="str">
        <x:v>Listed by Tourism Malaysia</x:v>
      </x:c>
      <x:c r="AI440" s="117" t="str">
        <x:v>https://ebrochures.malaysia.travel/en/malaysia-travel-guide/johor/</x:v>
      </x:c>
      <x:c r="AJ440" s="117" t="str">
        <x:v>Named visitor attraction in cited source; state-guide listings can be historical. Locality is catalogue metadata, not a surveyed address. Current operation remains unconfirmed.</x:v>
      </x:c>
      <x:c r="AK440" s="117" t="str">
        <x:v>Not independently confirmed</x:v>
      </x:c>
      <x:c r="AL440" s="117" t="str">
        <x:v>Screened sources; accessibility unresolved</x:v>
      </x:c>
      <x:c r="AM440" s="117" t="str">
        <x:v>2026-09-08</x:v>
      </x:c>
      <x:c r="AN440" s="117"/>
      <x:c r="AO440" s="117"/>
      <x:c r="AP440" s="117" t="str">
        <x:v>No usable pair located; image research pending</x:v>
      </x:c>
      <x:c r="AQ440" s="117"/>
    </x:row>
    <x:row r="441" ht="66" customHeight="1">
      <x:c r="A441" s="117" t="str">
        <x:v>MC0438</x:v>
      </x:c>
      <x:c r="B441" s="117" t="str">
        <x:v>UK Farm</x:v>
      </x:c>
      <x:c r="C441" s="117" t="str">
        <x:v>Johor</x:v>
      </x:c>
      <x:c r="D441" s="117" t="str">
        <x:v>Kluang</x:v>
      </x:c>
      <x:c r="E441" s="117" t="str">
        <x:v>Farm and Visitor Experience</x:v>
      </x:c>
      <x:c r="F441" s="117" t="str">
        <x:v>Unclassified</x:v>
      </x:c>
      <x:c r="G441" s="117" t="str">
        <x:v>Both</x:v>
      </x:c>
      <x:c r="H441" s="117" t="str">
        <x:v>Farm and Visitor Experience; Kluang</x:v>
      </x:c>
      <x:c r="I441" s="117" t="str">
        <x:v>A visitor attraction in Kluang, Johor, listed in Tourism Malaysia's state travel guide. Venue operation and the precise accessible route require confirmation.</x:v>
      </x:c>
      <x:c r="J441" s="117" t="str">
        <x:v>https://ebrochures.malaysia.travel/en/malaysia-travel-guide/johor/</x:v>
      </x:c>
      <x:c r="K441" s="117" t="str">
        <x:v>https://ebrochures.malaysia.travel/en/malaysia-travel-guide/johor/</x:v>
      </x:c>
      <x:c r="L441" s="117" t="str">
        <x:v>Tourism Malaysia listing; operation unconfirmed</x:v>
      </x:c>
      <x:c r="M441" s="117" t="str">
        <x:v>Nationwide expansion 2026-09-08</x:v>
      </x:c>
      <x:c r="N441" s="117"/>
      <x:c r="O441" s="117" t="str">
        <x:v>2026-09-08</x:v>
      </x:c>
      <x:c r="P441" s="117" t="str">
        <x:v>Complete</x:v>
      </x:c>
      <x:c r="Q441" s="117"/>
      <x:c r="R441" s="117" t="str">
        <x:f>IF(J441="","Missing Link",IF(AND(ISNUMBER(SEARCH("google.com/maps",J441)),ISERROR(SEARCH(";",J441))),"Discovery Link Only","Source Link Present"))</x:f>
        <x:v>Source Link Present</x:v>
      </x:c>
      <x:c r="S441" s="117" t="str">
        <x:v>Unknown</x:v>
      </x:c>
      <x:c r="T441" s="117" t="str">
        <x:v>Unknown</x:v>
      </x:c>
      <x:c r="U441" s="117" t="str">
        <x:v>Unknown</x:v>
      </x:c>
      <x:c r="V441" s="117" t="str">
        <x:v>Unknown</x:v>
      </x:c>
      <x:c r="W441" s="117" t="str">
        <x:v>Unknown</x:v>
      </x:c>
      <x:c r="X441" s="117" t="str">
        <x:v>Unknown</x:v>
      </x:c>
      <x:c r="Y441" s="117" t="str">
        <x:v>Unknown</x:v>
      </x:c>
      <x:c r="Z441" s="117"/>
      <x:c r="AA441" s="117" t="str">
        <x:v>Pending evidence</x:v>
      </x:c>
      <x:c r="AB441" s="117"/>
      <x:c r="AC441" s="117" t="str">
        <x:v>No qualifying accessibility conclusion established from the screened sources. This is unknown, not evidence that the attraction is inaccessible.</x:v>
      </x:c>
      <x:c r="AD441" s="117" t="str">
        <x:v>2026-09-08</x:v>
      </x:c>
      <x:c r="AE441" s="117" t="str">
        <x:v>MC0438</x:v>
      </x:c>
      <x:c r="AF441" s="117" t="str">
        <x:v>Distinct candidate</x:v>
      </x:c>
      <x:c r="AG441" s="117" t="str"/>
      <x:c r="AH441" s="117" t="str">
        <x:v>Listed by Tourism Malaysia</x:v>
      </x:c>
      <x:c r="AI441" s="117" t="str">
        <x:v>https://ebrochures.malaysia.travel/en/malaysia-travel-guide/johor/</x:v>
      </x:c>
      <x:c r="AJ441" s="117" t="str">
        <x:v>Named visitor attraction in cited source; state-guide listings can be historical. Locality is catalogue metadata, not a surveyed address. Current operation remains unconfirmed.</x:v>
      </x:c>
      <x:c r="AK441" s="117" t="str">
        <x:v>Not independently confirmed</x:v>
      </x:c>
      <x:c r="AL441" s="117" t="str">
        <x:v>Screened sources; accessibility unresolved</x:v>
      </x:c>
      <x:c r="AM441" s="117" t="str">
        <x:v>2026-09-08</x:v>
      </x:c>
      <x:c r="AN441" s="117" t="str">
        <x:v>https://thumb.wikimedia.org/wikipedia/commons/thumb/0/04/UK_Farm_Agro_Resort.jpg/1280px-UK_Farm_Agro_Resort.jpg?utm_source=commons.wikimedia.org&amp;utm_campaign=imageinfo&amp;utm_content=thumbnail</x:v>
      </x:c>
      <x:c r="AO441" s="117" t="str">
        <x:v>https://upload.wikimedia.org/wikipedia/commons/c/c4/Cheshire_West_and_Chester_-_Farm_building_immediately_to_east_of_Pickerton_Cottage_-_20210331093045.jpg?utm_source=commons.wikimedia.org&amp;utm_campaign=imageinfo&amp;utm_content=thumbnail_unscaled</x:v>
      </x:c>
      <x:c r="AP441" s="117" t="str">
        <x:v>2 metadata-matched images; visual review pending</x:v>
      </x:c>
      <x:c r="AQ441" s="117"/>
    </x:row>
    <x:row r="442" ht="66" customHeight="1">
      <x:c r="A442" s="117" t="str">
        <x:v>MC0439</x:v>
      </x:c>
      <x:c r="B442" s="117" t="str">
        <x:v>Zenxin Organic Park</x:v>
      </x:c>
      <x:c r="C442" s="117" t="str">
        <x:v>Johor</x:v>
      </x:c>
      <x:c r="D442" s="117" t="str">
        <x:v>Kluang</x:v>
      </x:c>
      <x:c r="E442" s="117" t="str">
        <x:v>Nature</x:v>
      </x:c>
      <x:c r="F442" s="117" t="str">
        <x:v>Unclassified</x:v>
      </x:c>
      <x:c r="G442" s="117" t="str">
        <x:v>Outdoor</x:v>
      </x:c>
      <x:c r="H442" s="117" t="str">
        <x:v>Nature; Kluang</x:v>
      </x:c>
      <x:c r="I442" s="117" t="str">
        <x:v>A visitor attraction in Kluang, Johor, listed in Tourism Malaysia's state travel guide. Venue operation and the precise accessible route require confirmation.</x:v>
      </x:c>
      <x:c r="J442" s="117" t="str">
        <x:v>https://ebrochures.malaysia.travel/en/malaysia-travel-guide/johor/</x:v>
      </x:c>
      <x:c r="K442" s="117" t="str">
        <x:v>https://ebrochures.malaysia.travel/en/malaysia-travel-guide/johor/</x:v>
      </x:c>
      <x:c r="L442" s="117" t="str">
        <x:v>Tourism Malaysia listing; operation unconfirmed</x:v>
      </x:c>
      <x:c r="M442" s="117" t="str">
        <x:v>Nationwide expansion 2026-09-08</x:v>
      </x:c>
      <x:c r="N442" s="117"/>
      <x:c r="O442" s="117" t="str">
        <x:v>2026-09-08</x:v>
      </x:c>
      <x:c r="P442" s="117" t="str">
        <x:v>Complete</x:v>
      </x:c>
      <x:c r="Q442" s="117"/>
      <x:c r="R442" s="117" t="str">
        <x:f>IF(J442="","Missing Link",IF(AND(ISNUMBER(SEARCH("google.com/maps",J442)),ISERROR(SEARCH(";",J442))),"Discovery Link Only","Source Link Present"))</x:f>
        <x:v>Source Link Present</x:v>
      </x:c>
      <x:c r="S442" s="117" t="str">
        <x:v>Unknown</x:v>
      </x:c>
      <x:c r="T442" s="117" t="str">
        <x:v>Unknown</x:v>
      </x:c>
      <x:c r="U442" s="117" t="str">
        <x:v>Unknown</x:v>
      </x:c>
      <x:c r="V442" s="117" t="str">
        <x:v>Unknown</x:v>
      </x:c>
      <x:c r="W442" s="117" t="str">
        <x:v>Unknown</x:v>
      </x:c>
      <x:c r="X442" s="117" t="str">
        <x:v>Unknown</x:v>
      </x:c>
      <x:c r="Y442" s="117" t="str">
        <x:v>Unknown</x:v>
      </x:c>
      <x:c r="Z442" s="117"/>
      <x:c r="AA442" s="117" t="str">
        <x:v>Pending evidence</x:v>
      </x:c>
      <x:c r="AB442" s="117"/>
      <x:c r="AC442" s="117" t="str">
        <x:v>No qualifying accessibility conclusion established from the screened sources. This is unknown, not evidence that the attraction is inaccessible.</x:v>
      </x:c>
      <x:c r="AD442" s="117" t="str">
        <x:v>2026-09-08</x:v>
      </x:c>
      <x:c r="AE442" s="117" t="str">
        <x:v>MC0439</x:v>
      </x:c>
      <x:c r="AF442" s="117" t="str">
        <x:v>Distinct candidate</x:v>
      </x:c>
      <x:c r="AG442" s="117" t="str"/>
      <x:c r="AH442" s="117" t="str">
        <x:v>Listed by Tourism Malaysia</x:v>
      </x:c>
      <x:c r="AI442" s="117" t="str">
        <x:v>https://ebrochures.malaysia.travel/en/malaysia-travel-guide/johor/</x:v>
      </x:c>
      <x:c r="AJ442" s="117" t="str">
        <x:v>Named visitor attraction in cited source; state-guide listings can be historical. Locality is catalogue metadata, not a surveyed address. Current operation remains unconfirmed.</x:v>
      </x:c>
      <x:c r="AK442" s="117" t="str">
        <x:v>Not independently confirmed</x:v>
      </x:c>
      <x:c r="AL442" s="117" t="str">
        <x:v>Screened sources; accessibility unresolved</x:v>
      </x:c>
      <x:c r="AM442" s="117" t="str">
        <x:v>2026-09-08</x:v>
      </x:c>
      <x:c r="AN442" s="117" t="str">
        <x:v>https://thumb.wikimedia.org/wikipedia/commons/thumb/2/2f/Zenxin_Organic_Park.jpg/1280px-Zenxin_Organic_Park.jpg?utm_source=commons.wikimedia.org&amp;utm_campaign=imageinfo&amp;utm_content=thumbnail</x:v>
      </x:c>
      <x:c r="AO442" s="117" t="str">
        <x:v>https://thumb.wikimedia.org/wikipedia/commons/thumb/6/62/Zenxin_Organic_Park_%28240406-0942%29.jpg/1280px-Zenxin_Organic_Park_%28240406-0942%29.jpg?utm_source=commons.wikimedia.org&amp;utm_campaign=imageinfo&amp;utm_content=thumbnail</x:v>
      </x:c>
      <x:c r="AP442" s="117" t="str">
        <x:v>2 metadata-matched images; visual review pending</x:v>
      </x:c>
      <x:c r="AQ442" s="117"/>
    </x:row>
    <x:row r="443" ht="66" customHeight="1">
      <x:c r="A443" s="117" t="str">
        <x:v>MC0440</x:v>
      </x:c>
      <x:c r="B443" s="117" t="str">
        <x:v>Kahang Organic Rice Eco Farm</x:v>
      </x:c>
      <x:c r="C443" s="117" t="str">
        <x:v>Johor</x:v>
      </x:c>
      <x:c r="D443" s="117" t="str">
        <x:v>Kluang</x:v>
      </x:c>
      <x:c r="E443" s="117" t="str">
        <x:v>Farm and Visitor Experience</x:v>
      </x:c>
      <x:c r="F443" s="117" t="str">
        <x:v>Unclassified</x:v>
      </x:c>
      <x:c r="G443" s="117" t="str">
        <x:v>Both</x:v>
      </x:c>
      <x:c r="H443" s="117" t="str">
        <x:v>Farm and Visitor Experience; Kluang</x:v>
      </x:c>
      <x:c r="I443" s="117" t="str">
        <x:v>A visitor attraction in Kluang, Johor, listed in Tourism Malaysia's state travel guide. Venue operation and the precise accessible route require confirmation.</x:v>
      </x:c>
      <x:c r="J443" s="117" t="str">
        <x:v>https://ebrochures.malaysia.travel/en/malaysia-travel-guide/johor/</x:v>
      </x:c>
      <x:c r="K443" s="117" t="str">
        <x:v>https://ebrochures.malaysia.travel/en/malaysia-travel-guide/johor/</x:v>
      </x:c>
      <x:c r="L443" s="117" t="str">
        <x:v>Tourism Malaysia listing; operation unconfirmed</x:v>
      </x:c>
      <x:c r="M443" s="117" t="str">
        <x:v>Nationwide expansion 2026-09-08</x:v>
      </x:c>
      <x:c r="N443" s="117"/>
      <x:c r="O443" s="117" t="str">
        <x:v>2026-09-08</x:v>
      </x:c>
      <x:c r="P443" s="117" t="str">
        <x:v>Complete</x:v>
      </x:c>
      <x:c r="Q443" s="117"/>
      <x:c r="R443" s="117" t="str">
        <x:f>IF(J443="","Missing Link",IF(AND(ISNUMBER(SEARCH("google.com/maps",J443)),ISERROR(SEARCH(";",J443))),"Discovery Link Only","Source Link Present"))</x:f>
        <x:v>Source Link Present</x:v>
      </x:c>
      <x:c r="S443" s="117" t="str">
        <x:v>Unknown</x:v>
      </x:c>
      <x:c r="T443" s="117" t="str">
        <x:v>Unknown</x:v>
      </x:c>
      <x:c r="U443" s="117" t="str">
        <x:v>Unknown</x:v>
      </x:c>
      <x:c r="V443" s="117" t="str">
        <x:v>Unknown</x:v>
      </x:c>
      <x:c r="W443" s="117" t="str">
        <x:v>Unknown</x:v>
      </x:c>
      <x:c r="X443" s="117" t="str">
        <x:v>Unknown</x:v>
      </x:c>
      <x:c r="Y443" s="117" t="str">
        <x:v>Unknown</x:v>
      </x:c>
      <x:c r="Z443" s="117"/>
      <x:c r="AA443" s="117" t="str">
        <x:v>Pending evidence</x:v>
      </x:c>
      <x:c r="AB443" s="117"/>
      <x:c r="AC443" s="117" t="str">
        <x:v>No qualifying accessibility conclusion established from the screened sources. This is unknown, not evidence that the attraction is inaccessible.</x:v>
      </x:c>
      <x:c r="AD443" s="117" t="str">
        <x:v>2026-09-08</x:v>
      </x:c>
      <x:c r="AE443" s="117" t="str">
        <x:v>MC0440</x:v>
      </x:c>
      <x:c r="AF443" s="117" t="str">
        <x:v>Distinct candidate</x:v>
      </x:c>
      <x:c r="AG443" s="117" t="str"/>
      <x:c r="AH443" s="117" t="str">
        <x:v>Listed by Tourism Malaysia</x:v>
      </x:c>
      <x:c r="AI443" s="117" t="str">
        <x:v>https://ebrochures.malaysia.travel/en/malaysia-travel-guide/johor/</x:v>
      </x:c>
      <x:c r="AJ443" s="117" t="str">
        <x:v>Named visitor attraction in cited source; state-guide listings can be historical. Locality is catalogue metadata, not a surveyed address. Current operation remains unconfirmed.</x:v>
      </x:c>
      <x:c r="AK443" s="117" t="str">
        <x:v>Not independently confirmed</x:v>
      </x:c>
      <x:c r="AL443" s="117" t="str">
        <x:v>Screened sources; accessibility unresolved</x:v>
      </x:c>
      <x:c r="AM443" s="117" t="str">
        <x:v>2026-09-08</x:v>
      </x:c>
      <x:c r="AN443" s="117"/>
      <x:c r="AO443" s="117"/>
      <x:c r="AP443" s="117" t="str">
        <x:v>No usable pair located; image research pending</x:v>
      </x:c>
      <x:c r="AQ443" s="117"/>
    </x:row>
    <x:row r="444" ht="66" customHeight="1">
      <x:c r="A444" s="117" t="str">
        <x:v>MC0441</x:v>
      </x:c>
      <x:c r="B444" s="117" t="str">
        <x:v>Gunung Belumut</x:v>
      </x:c>
      <x:c r="C444" s="117" t="str">
        <x:v>Johor</x:v>
      </x:c>
      <x:c r="D444" s="117" t="str">
        <x:v>Kluang</x:v>
      </x:c>
      <x:c r="E444" s="117" t="str">
        <x:v>Nature</x:v>
      </x:c>
      <x:c r="F444" s="117" t="str">
        <x:v>Unclassified</x:v>
      </x:c>
      <x:c r="G444" s="117" t="str">
        <x:v>Outdoor</x:v>
      </x:c>
      <x:c r="H444" s="117" t="str">
        <x:v>Nature; Kluang</x:v>
      </x:c>
      <x:c r="I444" s="117" t="str">
        <x:v>A visitor attraction in Kluang, Johor, listed in Tourism Malaysia's state travel guide. Venue operation and the precise accessible route require confirmation.</x:v>
      </x:c>
      <x:c r="J444" s="117" t="str">
        <x:v>https://ebrochures.malaysia.travel/en/malaysia-travel-guide/johor/</x:v>
      </x:c>
      <x:c r="K444" s="117" t="str">
        <x:v>https://ebrochures.malaysia.travel/en/malaysia-travel-guide/johor/</x:v>
      </x:c>
      <x:c r="L444" s="117" t="str">
        <x:v>Tourism Malaysia listing; operation unconfirmed</x:v>
      </x:c>
      <x:c r="M444" s="117" t="str">
        <x:v>Nationwide expansion 2026-09-08</x:v>
      </x:c>
      <x:c r="N444" s="117"/>
      <x:c r="O444" s="117" t="str">
        <x:v>2026-09-08</x:v>
      </x:c>
      <x:c r="P444" s="117" t="str">
        <x:v>Complete</x:v>
      </x:c>
      <x:c r="Q444" s="117"/>
      <x:c r="R444" s="117" t="str">
        <x:f>IF(J444="","Missing Link",IF(AND(ISNUMBER(SEARCH("google.com/maps",J444)),ISERROR(SEARCH(";",J444))),"Discovery Link Only","Source Link Present"))</x:f>
        <x:v>Source Link Present</x:v>
      </x:c>
      <x:c r="S444" s="117" t="str">
        <x:v>Unknown</x:v>
      </x:c>
      <x:c r="T444" s="117" t="str">
        <x:v>Unknown</x:v>
      </x:c>
      <x:c r="U444" s="117" t="str">
        <x:v>Unknown</x:v>
      </x:c>
      <x:c r="V444" s="117" t="str">
        <x:v>Unknown</x:v>
      </x:c>
      <x:c r="W444" s="117" t="str">
        <x:v>Unknown</x:v>
      </x:c>
      <x:c r="X444" s="117" t="str">
        <x:v>Unknown</x:v>
      </x:c>
      <x:c r="Y444" s="117" t="str">
        <x:v>Unknown</x:v>
      </x:c>
      <x:c r="Z444" s="117"/>
      <x:c r="AA444" s="117" t="str">
        <x:v>Pending evidence</x:v>
      </x:c>
      <x:c r="AB444" s="117"/>
      <x:c r="AC444" s="117" t="str">
        <x:v>No qualifying accessibility conclusion established from the screened sources. This is unknown, not evidence that the attraction is inaccessible.</x:v>
      </x:c>
      <x:c r="AD444" s="117" t="str">
        <x:v>2026-09-08</x:v>
      </x:c>
      <x:c r="AE444" s="117" t="str">
        <x:v>MC0441</x:v>
      </x:c>
      <x:c r="AF444" s="117" t="str">
        <x:v>Distinct candidate</x:v>
      </x:c>
      <x:c r="AG444" s="117" t="str"/>
      <x:c r="AH444" s="117" t="str">
        <x:v>Listed by Tourism Malaysia</x:v>
      </x:c>
      <x:c r="AI444" s="117" t="str">
        <x:v>https://ebrochures.malaysia.travel/en/malaysia-travel-guide/johor/</x:v>
      </x:c>
      <x:c r="AJ444" s="117" t="str">
        <x:v>Named visitor attraction in cited source; state-guide listings can be historical. Locality is catalogue metadata, not a surveyed address. Current operation remains unconfirmed.</x:v>
      </x:c>
      <x:c r="AK444" s="117" t="str">
        <x:v>Not independently confirmed</x:v>
      </x:c>
      <x:c r="AL444" s="117" t="str">
        <x:v>Screened sources; accessibility unresolved</x:v>
      </x:c>
      <x:c r="AM444" s="117" t="str">
        <x:v>2026-09-08</x:v>
      </x:c>
      <x:c r="AN444" s="117" t="str">
        <x:v>https://thumb.wikimedia.org/wikipedia/commons/thumb/8/86/20140817T180028_Lat_2_4_8.13000000_N_Long_103_30_53.68320000_E.jpg/1280px-20140817T180028_Lat_2_4_8.13000000_N_Long_103_30_53.68320000_E.jpg?utm_source=commons.wikimedia.org&amp;utm_campaign=imageinfo&amp;utm_content=thumbnail</x:v>
      </x:c>
      <x:c r="AO444" s="117" t="str">
        <x:v>https://upload.wikimedia.org/wikipedia/commons/7/75/Perfectly_Shape_Leaf_found_at_Mount_Belumut%2C_Kluang%2C_Malaysia.png?utm_source=commons.wikimedia.org&amp;utm_campaign=imageinfo&amp;utm_content=thumbnail_unscaled</x:v>
      </x:c>
      <x:c r="AP444" s="117" t="str">
        <x:v>2 metadata-matched images; visual review pending</x:v>
      </x:c>
      <x:c r="AQ444" s="117"/>
    </x:row>
    <x:row r="445" ht="66" customHeight="1">
      <x:c r="A445" s="117" t="str">
        <x:v>MC0442</x:v>
      </x:c>
      <x:c r="B445" s="117" t="str">
        <x:v>Johor Bahru Chinese Heritage Museum</x:v>
      </x:c>
      <x:c r="C445" s="117" t="str">
        <x:v>Johor</x:v>
      </x:c>
      <x:c r="D445" s="117" t="str">
        <x:v>Johor Bahru</x:v>
      </x:c>
      <x:c r="E445" s="117" t="str">
        <x:v>Museum and Gallery</x:v>
      </x:c>
      <x:c r="F445" s="117" t="str">
        <x:v>Unclassified</x:v>
      </x:c>
      <x:c r="G445" s="117" t="str">
        <x:v>Indoor</x:v>
      </x:c>
      <x:c r="H445" s="117" t="str">
        <x:v>Museum and Gallery; Johor Bahru</x:v>
      </x:c>
      <x:c r="I445" s="117" t="str">
        <x:v>A visitor attraction in Johor Bahru, Johor, listed in Tourism Malaysia's state travel guide. Venue operation and the precise accessible route require confirmation.</x:v>
      </x:c>
      <x:c r="J445" s="117" t="str">
        <x:v>https://ebrochures.malaysia.travel/en/malaysia-travel-guide/johor/</x:v>
      </x:c>
      <x:c r="K445" s="117" t="str">
        <x:v>https://ebrochures.malaysia.travel/en/malaysia-travel-guide/johor/</x:v>
      </x:c>
      <x:c r="L445" s="117" t="str">
        <x:v>Tourism Malaysia listing; operation unconfirmed</x:v>
      </x:c>
      <x:c r="M445" s="117" t="str">
        <x:v>Nationwide expansion 2026-09-08</x:v>
      </x:c>
      <x:c r="N445" s="117"/>
      <x:c r="O445" s="117" t="str">
        <x:v>2026-09-08</x:v>
      </x:c>
      <x:c r="P445" s="117" t="str">
        <x:v>Complete</x:v>
      </x:c>
      <x:c r="Q445" s="117"/>
      <x:c r="R445" s="117" t="str">
        <x:f>IF(J445="","Missing Link",IF(AND(ISNUMBER(SEARCH("google.com/maps",J445)),ISERROR(SEARCH(";",J445))),"Discovery Link Only","Source Link Present"))</x:f>
        <x:v>Source Link Present</x:v>
      </x:c>
      <x:c r="S445" s="117" t="str">
        <x:v>Unknown</x:v>
      </x:c>
      <x:c r="T445" s="117" t="str">
        <x:v>Unknown</x:v>
      </x:c>
      <x:c r="U445" s="117" t="str">
        <x:v>Unknown</x:v>
      </x:c>
      <x:c r="V445" s="117" t="str">
        <x:v>Unknown</x:v>
      </x:c>
      <x:c r="W445" s="117" t="str">
        <x:v>Unknown</x:v>
      </x:c>
      <x:c r="X445" s="117" t="str">
        <x:v>Unknown</x:v>
      </x:c>
      <x:c r="Y445" s="117" t="str">
        <x:v>Unknown</x:v>
      </x:c>
      <x:c r="Z445" s="117"/>
      <x:c r="AA445" s="117" t="str">
        <x:v>Pending evidence</x:v>
      </x:c>
      <x:c r="AB445" s="117"/>
      <x:c r="AC445" s="117" t="str">
        <x:v>No qualifying accessibility conclusion established from the screened sources. This is unknown, not evidence that the attraction is inaccessible.</x:v>
      </x:c>
      <x:c r="AD445" s="117" t="str">
        <x:v>2026-09-08</x:v>
      </x:c>
      <x:c r="AE445" s="117" t="str">
        <x:v>MC0442</x:v>
      </x:c>
      <x:c r="AF445" s="117" t="str">
        <x:v>Distinct candidate</x:v>
      </x:c>
      <x:c r="AG445" s="117" t="str"/>
      <x:c r="AH445" s="117" t="str">
        <x:v>Listed by Tourism Malaysia</x:v>
      </x:c>
      <x:c r="AI445" s="117" t="str">
        <x:v>https://ebrochures.malaysia.travel/en/malaysia-travel-guide/johor/</x:v>
      </x:c>
      <x:c r="AJ445" s="117" t="str">
        <x:v>Named visitor attraction in cited source; state-guide listings can be historical. Locality is catalogue metadata, not a surveyed address. Current operation remains unconfirmed.</x:v>
      </x:c>
      <x:c r="AK445" s="117" t="str">
        <x:v>Not independently confirmed</x:v>
      </x:c>
      <x:c r="AL445" s="117" t="str">
        <x:v>Screened sources; accessibility unresolved</x:v>
      </x:c>
      <x:c r="AM445" s="117" t="str">
        <x:v>2026-09-08</x:v>
      </x:c>
      <x:c r="AN445" s="117" t="str">
        <x:v>https://thumb.wikimedia.org/wikipedia/commons/thumb/e/e7/Johor_Bahru_Chinese_Heritage_Museum.JPG/1280px-Johor_Bahru_Chinese_Heritage_Museum.JPG?utm_source=commons.wikimedia.org&amp;utm_campaign=imageinfo&amp;utm_content=thumbnail</x:v>
      </x:c>
      <x:c r="AO445" s="117" t="str">
        <x:v>https://thumb.wikimedia.org/wikipedia/commons/thumb/9/99/Chinese_Heritage_Museum%2C_Johor_Bahru_%28P1110132%29.jpg/1280px-Chinese_Heritage_Museum%2C_Johor_Bahru_%28P1110132%29.jpg?utm_source=commons.wikimedia.org&amp;utm_campaign=imageinfo&amp;utm_content=thumbnail</x:v>
      </x:c>
      <x:c r="AP445" s="117" t="str">
        <x:v>2 metadata-matched images; visual review pending</x:v>
      </x:c>
      <x:c r="AQ445" s="117"/>
    </x:row>
    <x:row r="446" ht="66" customHeight="1">
      <x:c r="A446" s="117" t="str">
        <x:v>MC0443</x:v>
      </x:c>
      <x:c r="B446" s="117" t="str">
        <x:v>Dataran Bandaraya Johor Bahru</x:v>
      </x:c>
      <x:c r="C446" s="117" t="str">
        <x:v>Johor</x:v>
      </x:c>
      <x:c r="D446" s="117" t="str">
        <x:v>Johor Bahru</x:v>
      </x:c>
      <x:c r="E446" s="117" t="str">
        <x:v>Heritage and Visitor Attraction</x:v>
      </x:c>
      <x:c r="F446" s="117" t="str">
        <x:v>Unclassified</x:v>
      </x:c>
      <x:c r="G446" s="117" t="str">
        <x:v>Both</x:v>
      </x:c>
      <x:c r="H446" s="117" t="str">
        <x:v>Heritage and Visitor Attraction; Johor Bahru</x:v>
      </x:c>
      <x:c r="I446" s="117" t="str">
        <x:v>A visitor attraction in Johor Bahru, Johor, listed in Tourism Malaysia's state travel guide. Venue operation and the precise accessible route require confirmation.</x:v>
      </x:c>
      <x:c r="J446" s="117" t="str">
        <x:v>https://ebrochures.malaysia.travel/en/malaysia-travel-guide/johor/</x:v>
      </x:c>
      <x:c r="K446" s="117" t="str">
        <x:v>https://ebrochures.malaysia.travel/en/malaysia-travel-guide/johor/</x:v>
      </x:c>
      <x:c r="L446" s="117" t="str">
        <x:v>Tourism Malaysia listing; operation unconfirmed</x:v>
      </x:c>
      <x:c r="M446" s="117" t="str">
        <x:v>Nationwide expansion 2026-09-08</x:v>
      </x:c>
      <x:c r="N446" s="117"/>
      <x:c r="O446" s="117" t="str">
        <x:v>2026-09-08</x:v>
      </x:c>
      <x:c r="P446" s="117" t="str">
        <x:v>Complete</x:v>
      </x:c>
      <x:c r="Q446" s="117"/>
      <x:c r="R446" s="117" t="str">
        <x:f>IF(J446="","Missing Link",IF(AND(ISNUMBER(SEARCH("google.com/maps",J446)),ISERROR(SEARCH(";",J446))),"Discovery Link Only","Source Link Present"))</x:f>
        <x:v>Source Link Present</x:v>
      </x:c>
      <x:c r="S446" s="117" t="str">
        <x:v>Unknown</x:v>
      </x:c>
      <x:c r="T446" s="117" t="str">
        <x:v>Unknown</x:v>
      </x:c>
      <x:c r="U446" s="117" t="str">
        <x:v>Unknown</x:v>
      </x:c>
      <x:c r="V446" s="117" t="str">
        <x:v>Unknown</x:v>
      </x:c>
      <x:c r="W446" s="117" t="str">
        <x:v>Unknown</x:v>
      </x:c>
      <x:c r="X446" s="117" t="str">
        <x:v>Unknown</x:v>
      </x:c>
      <x:c r="Y446" s="117" t="str">
        <x:v>Unknown</x:v>
      </x:c>
      <x:c r="Z446" s="117"/>
      <x:c r="AA446" s="117" t="str">
        <x:v>Pending evidence</x:v>
      </x:c>
      <x:c r="AB446" s="117"/>
      <x:c r="AC446" s="117" t="str">
        <x:v>No qualifying accessibility conclusion established from the screened sources. This is unknown, not evidence that the attraction is inaccessible.</x:v>
      </x:c>
      <x:c r="AD446" s="117" t="str">
        <x:v>2026-09-08</x:v>
      </x:c>
      <x:c r="AE446" s="117" t="str">
        <x:v>MC0443</x:v>
      </x:c>
      <x:c r="AF446" s="117" t="str">
        <x:v>Distinct candidate</x:v>
      </x:c>
      <x:c r="AG446" s="117" t="str"/>
      <x:c r="AH446" s="117" t="str">
        <x:v>Listed by Tourism Malaysia</x:v>
      </x:c>
      <x:c r="AI446" s="117" t="str">
        <x:v>https://ebrochures.malaysia.travel/en/malaysia-travel-guide/johor/</x:v>
      </x:c>
      <x:c r="AJ446" s="117" t="str">
        <x:v>Named visitor attraction in cited source; state-guide listings can be historical. Locality is catalogue metadata, not a surveyed address. Current operation remains unconfirmed.</x:v>
      </x:c>
      <x:c r="AK446" s="117" t="str">
        <x:v>Not independently confirmed</x:v>
      </x:c>
      <x:c r="AL446" s="117" t="str">
        <x:v>Screened sources; accessibility unresolved</x:v>
      </x:c>
      <x:c r="AM446" s="117" t="str">
        <x:v>2026-09-08</x:v>
      </x:c>
      <x:c r="AN446" s="117" t="str">
        <x:v>https://thumb.wikimedia.org/wikipedia/commons/thumb/5/57/City_in_a_Forest.jpg/1280px-City_in_a_Forest.jpg?utm_source=commons.wikimedia.org&amp;utm_campaign=imageinfo&amp;utm_content=thumbnail</x:v>
      </x:c>
      <x:c r="AO446" s="117"/>
      <x:c r="AP446" s="117" t="str">
        <x:v>1 metadata-matched images; visual review pending</x:v>
      </x:c>
      <x:c r="AQ446" s="117"/>
    </x:row>
    <x:row r="447" ht="66" customHeight="1">
      <x:c r="A447" s="117" t="str">
        <x:v>MC0444</x:v>
      </x:c>
      <x:c r="B447" s="117" t="str">
        <x:v>Sri Raja Mariamman Temple</x:v>
      </x:c>
      <x:c r="C447" s="117" t="str">
        <x:v>Johor</x:v>
      </x:c>
      <x:c r="D447" s="117" t="str">
        <x:v>Johor Bahru</x:v>
      </x:c>
      <x:c r="E447" s="117" t="str">
        <x:v>Religious Site</x:v>
      </x:c>
      <x:c r="F447" s="117" t="str">
        <x:v>Unclassified</x:v>
      </x:c>
      <x:c r="G447" s="117" t="str">
        <x:v>Both</x:v>
      </x:c>
      <x:c r="H447" s="117" t="str">
        <x:v>Religious Site; Johor Bahru</x:v>
      </x:c>
      <x:c r="I447" s="117" t="str">
        <x:v>A visitor attraction in Johor Bahru, Johor, listed in Tourism Malaysia's state travel guide. Venue operation and the precise accessible route require confirmation.</x:v>
      </x:c>
      <x:c r="J447" s="117" t="str">
        <x:v>https://ebrochures.malaysia.travel/en/malaysia-travel-guide/johor/</x:v>
      </x:c>
      <x:c r="K447" s="117" t="str">
        <x:v>https://ebrochures.malaysia.travel/en/malaysia-travel-guide/johor/</x:v>
      </x:c>
      <x:c r="L447" s="117" t="str">
        <x:v>Tourism Malaysia listing; operation unconfirmed</x:v>
      </x:c>
      <x:c r="M447" s="117" t="str">
        <x:v>Nationwide expansion 2026-09-08</x:v>
      </x:c>
      <x:c r="N447" s="117"/>
      <x:c r="O447" s="117" t="str">
        <x:v>2026-09-08</x:v>
      </x:c>
      <x:c r="P447" s="117" t="str">
        <x:v>Complete</x:v>
      </x:c>
      <x:c r="Q447" s="117"/>
      <x:c r="R447" s="117" t="str">
        <x:f>IF(J447="","Missing Link",IF(AND(ISNUMBER(SEARCH("google.com/maps",J447)),ISERROR(SEARCH(";",J447))),"Discovery Link Only","Source Link Present"))</x:f>
        <x:v>Source Link Present</x:v>
      </x:c>
      <x:c r="S447" s="117" t="str">
        <x:v>Unknown</x:v>
      </x:c>
      <x:c r="T447" s="117" t="str">
        <x:v>Unknown</x:v>
      </x:c>
      <x:c r="U447" s="117" t="str">
        <x:v>Unknown</x:v>
      </x:c>
      <x:c r="V447" s="117" t="str">
        <x:v>Unknown</x:v>
      </x:c>
      <x:c r="W447" s="117" t="str">
        <x:v>Unknown</x:v>
      </x:c>
      <x:c r="X447" s="117" t="str">
        <x:v>Unknown</x:v>
      </x:c>
      <x:c r="Y447" s="117" t="str">
        <x:v>Unknown</x:v>
      </x:c>
      <x:c r="Z447" s="117"/>
      <x:c r="AA447" s="117" t="str">
        <x:v>Pending evidence</x:v>
      </x:c>
      <x:c r="AB447" s="117"/>
      <x:c r="AC447" s="117" t="str">
        <x:v>No qualifying accessibility conclusion established from the screened sources. This is unknown, not evidence that the attraction is inaccessible.</x:v>
      </x:c>
      <x:c r="AD447" s="117" t="str">
        <x:v>2026-09-08</x:v>
      </x:c>
      <x:c r="AE447" s="117" t="str">
        <x:v>MC0444</x:v>
      </x:c>
      <x:c r="AF447" s="117" t="str">
        <x:v>Distinct candidate</x:v>
      </x:c>
      <x:c r="AG447" s="117" t="str"/>
      <x:c r="AH447" s="117" t="str">
        <x:v>Listed by Tourism Malaysia</x:v>
      </x:c>
      <x:c r="AI447" s="117" t="str">
        <x:v>https://ebrochures.malaysia.travel/en/malaysia-travel-guide/johor/</x:v>
      </x:c>
      <x:c r="AJ447" s="117" t="str">
        <x:v>Named visitor attraction in cited source; state-guide listings can be historical. Locality is catalogue metadata, not a surveyed address. Current operation remains unconfirmed.</x:v>
      </x:c>
      <x:c r="AK447" s="117" t="str">
        <x:v>Not independently confirmed</x:v>
      </x:c>
      <x:c r="AL447" s="117" t="str">
        <x:v>Screened sources; accessibility unresolved</x:v>
      </x:c>
      <x:c r="AM447" s="117" t="str">
        <x:v>2026-09-08</x:v>
      </x:c>
      <x:c r="AN447" s="117"/>
      <x:c r="AO447" s="117"/>
      <x:c r="AP447" s="117" t="str">
        <x:v>No usable pair located; image research pending</x:v>
      </x:c>
      <x:c r="AQ447" s="117"/>
    </x:row>
    <x:row r="448" ht="66" customHeight="1">
      <x:c r="A448" s="117" t="str">
        <x:v>MC0445</x:v>
      </x:c>
      <x:c r="B448" s="117" t="str">
        <x:v>Church of the Immaculate Conception</x:v>
      </x:c>
      <x:c r="C448" s="117" t="str">
        <x:v>Johor</x:v>
      </x:c>
      <x:c r="D448" s="117" t="str">
        <x:v>Johor Bahru</x:v>
      </x:c>
      <x:c r="E448" s="117" t="str">
        <x:v>Religious Site</x:v>
      </x:c>
      <x:c r="F448" s="117" t="str">
        <x:v>Unclassified</x:v>
      </x:c>
      <x:c r="G448" s="117" t="str">
        <x:v>Both</x:v>
      </x:c>
      <x:c r="H448" s="117" t="str">
        <x:v>Religious Site; Johor Bahru</x:v>
      </x:c>
      <x:c r="I448" s="117" t="str">
        <x:v>A visitor attraction in Johor Bahru, Johor, listed in Tourism Malaysia's state travel guide. Venue operation and the precise accessible route require confirmation.</x:v>
      </x:c>
      <x:c r="J448" s="117" t="str">
        <x:v>https://ebrochures.malaysia.travel/en/malaysia-travel-guide/johor/</x:v>
      </x:c>
      <x:c r="K448" s="117" t="str">
        <x:v>https://ebrochures.malaysia.travel/en/malaysia-travel-guide/johor/</x:v>
      </x:c>
      <x:c r="L448" s="117" t="str">
        <x:v>Tourism Malaysia listing; operation unconfirmed</x:v>
      </x:c>
      <x:c r="M448" s="117" t="str">
        <x:v>Nationwide expansion 2026-09-08</x:v>
      </x:c>
      <x:c r="N448" s="117"/>
      <x:c r="O448" s="117" t="str">
        <x:v>2026-09-08</x:v>
      </x:c>
      <x:c r="P448" s="117" t="str">
        <x:v>Complete</x:v>
      </x:c>
      <x:c r="Q448" s="117"/>
      <x:c r="R448" s="117" t="str">
        <x:f>IF(J448="","Missing Link",IF(AND(ISNUMBER(SEARCH("google.com/maps",J448)),ISERROR(SEARCH(";",J448))),"Discovery Link Only","Source Link Present"))</x:f>
        <x:v>Source Link Present</x:v>
      </x:c>
      <x:c r="S448" s="117" t="str">
        <x:v>Unknown</x:v>
      </x:c>
      <x:c r="T448" s="117" t="str">
        <x:v>Unknown</x:v>
      </x:c>
      <x:c r="U448" s="117" t="str">
        <x:v>Unknown</x:v>
      </x:c>
      <x:c r="V448" s="117" t="str">
        <x:v>Unknown</x:v>
      </x:c>
      <x:c r="W448" s="117" t="str">
        <x:v>Unknown</x:v>
      </x:c>
      <x:c r="X448" s="117" t="str">
        <x:v>Unknown</x:v>
      </x:c>
      <x:c r="Y448" s="117" t="str">
        <x:v>Unknown</x:v>
      </x:c>
      <x:c r="Z448" s="117"/>
      <x:c r="AA448" s="117" t="str">
        <x:v>Pending evidence</x:v>
      </x:c>
      <x:c r="AB448" s="117"/>
      <x:c r="AC448" s="117" t="str">
        <x:v>No qualifying accessibility conclusion established from the screened sources. This is unknown, not evidence that the attraction is inaccessible.</x:v>
      </x:c>
      <x:c r="AD448" s="117" t="str">
        <x:v>2026-09-08</x:v>
      </x:c>
      <x:c r="AE448" s="117" t="str">
        <x:v>MC0445</x:v>
      </x:c>
      <x:c r="AF448" s="117" t="str">
        <x:v>Distinct candidate</x:v>
      </x:c>
      <x:c r="AG448" s="117" t="str"/>
      <x:c r="AH448" s="117" t="str">
        <x:v>Listed by Tourism Malaysia</x:v>
      </x:c>
      <x:c r="AI448" s="117" t="str">
        <x:v>https://ebrochures.malaysia.travel/en/malaysia-travel-guide/johor/</x:v>
      </x:c>
      <x:c r="AJ448" s="117" t="str">
        <x:v>Named visitor attraction in cited source; state-guide listings can be historical. Locality is catalogue metadata, not a surveyed address. Current operation remains unconfirmed.</x:v>
      </x:c>
      <x:c r="AK448" s="117" t="str">
        <x:v>Not independently confirmed</x:v>
      </x:c>
      <x:c r="AL448" s="117" t="str">
        <x:v>Screened sources; accessibility unresolved</x:v>
      </x:c>
      <x:c r="AM448" s="117" t="str">
        <x:v>2026-09-08</x:v>
      </x:c>
      <x:c r="AN448" s="117" t="str">
        <x:v>https://upload.wikimedia.org/wikipedia/commons/8/85/Imcch.jpg?utm_source=commons.wikimedia.org&amp;utm_campaign=imageinfo&amp;utm_content=thumbnail_unscaled</x:v>
      </x:c>
      <x:c r="AO448" s="117" t="str">
        <x:v>https://thumb.wikimedia.org/wikipedia/commons/thumb/5/5f/Immaculate_Conception_Church%2C_Ithaca%2C_New_York.jpg/1280px-Immaculate_Conception_Church%2C_Ithaca%2C_New_York.jpg?utm_source=commons.wikimedia.org&amp;utm_campaign=imageinfo&amp;utm_content=thumbnail</x:v>
      </x:c>
      <x:c r="AP448" s="117" t="str">
        <x:v>2 metadata-matched images; visual review pending</x:v>
      </x:c>
      <x:c r="AQ448" s="117"/>
    </x:row>
    <x:row r="449" ht="66" customHeight="1">
      <x:c r="A449" s="117" t="str">
        <x:v>MC0446</x:v>
      </x:c>
      <x:c r="B449" s="117" t="str">
        <x:v>Austin Heights Water and Adventure Park</x:v>
      </x:c>
      <x:c r="C449" s="117" t="str">
        <x:v>Johor</x:v>
      </x:c>
      <x:c r="D449" s="117" t="str">
        <x:v>Johor Bahru</x:v>
      </x:c>
      <x:c r="E449" s="117" t="str">
        <x:v>Theme Park</x:v>
      </x:c>
      <x:c r="F449" s="117" t="str">
        <x:v>Unclassified</x:v>
      </x:c>
      <x:c r="G449" s="117" t="str">
        <x:v>Both</x:v>
      </x:c>
      <x:c r="H449" s="117" t="str">
        <x:v>Theme Park; Johor Bahru</x:v>
      </x:c>
      <x:c r="I449" s="117" t="str">
        <x:v>A visitor attraction in Johor Bahru, Johor, listed in Tourism Malaysia's state travel guide. Venue operation and the precise accessible route require confirmation.</x:v>
      </x:c>
      <x:c r="J449" s="117" t="str">
        <x:v>https://ebrochures.malaysia.travel/en/malaysia-travel-guide/johor/</x:v>
      </x:c>
      <x:c r="K449" s="117" t="str">
        <x:v>https://ebrochures.malaysia.travel/en/malaysia-travel-guide/johor/</x:v>
      </x:c>
      <x:c r="L449" s="117" t="str">
        <x:v>Tourism Malaysia listing; operation unconfirmed</x:v>
      </x:c>
      <x:c r="M449" s="117" t="str">
        <x:v>Nationwide expansion 2026-09-08</x:v>
      </x:c>
      <x:c r="N449" s="117"/>
      <x:c r="O449" s="117" t="str">
        <x:v>2026-09-08</x:v>
      </x:c>
      <x:c r="P449" s="117" t="str">
        <x:v>Complete</x:v>
      </x:c>
      <x:c r="Q449" s="117"/>
      <x:c r="R449" s="117" t="str">
        <x:f>IF(J449="","Missing Link",IF(AND(ISNUMBER(SEARCH("google.com/maps",J449)),ISERROR(SEARCH(";",J449))),"Discovery Link Only","Source Link Present"))</x:f>
        <x:v>Source Link Present</x:v>
      </x:c>
      <x:c r="S449" s="117" t="str">
        <x:v>Unknown</x:v>
      </x:c>
      <x:c r="T449" s="117" t="str">
        <x:v>Unknown</x:v>
      </x:c>
      <x:c r="U449" s="117" t="str">
        <x:v>Unknown</x:v>
      </x:c>
      <x:c r="V449" s="117" t="str">
        <x:v>Unknown</x:v>
      </x:c>
      <x:c r="W449" s="117" t="str">
        <x:v>Unknown</x:v>
      </x:c>
      <x:c r="X449" s="117" t="str">
        <x:v>Unknown</x:v>
      </x:c>
      <x:c r="Y449" s="117" t="str">
        <x:v>Unknown</x:v>
      </x:c>
      <x:c r="Z449" s="117"/>
      <x:c r="AA449" s="117" t="str">
        <x:v>Pending evidence</x:v>
      </x:c>
      <x:c r="AB449" s="117"/>
      <x:c r="AC449" s="117" t="str">
        <x:v>No qualifying accessibility conclusion established from the screened sources. This is unknown, not evidence that the attraction is inaccessible.</x:v>
      </x:c>
      <x:c r="AD449" s="117" t="str">
        <x:v>2026-09-08</x:v>
      </x:c>
      <x:c r="AE449" s="117" t="str">
        <x:v>MC0446</x:v>
      </x:c>
      <x:c r="AF449" s="117" t="str">
        <x:v>Distinct candidate</x:v>
      </x:c>
      <x:c r="AG449" s="117" t="str"/>
      <x:c r="AH449" s="117" t="str">
        <x:v>Listed by Tourism Malaysia</x:v>
      </x:c>
      <x:c r="AI449" s="117" t="str">
        <x:v>https://ebrochures.malaysia.travel/en/malaysia-travel-guide/johor/</x:v>
      </x:c>
      <x:c r="AJ449" s="117" t="str">
        <x:v>Named visitor attraction in cited source; state-guide listings can be historical. Locality is catalogue metadata, not a surveyed address. Current operation remains unconfirmed.</x:v>
      </x:c>
      <x:c r="AK449" s="117" t="str">
        <x:v>Not independently confirmed</x:v>
      </x:c>
      <x:c r="AL449" s="117" t="str">
        <x:v>Screened sources; accessibility unresolved</x:v>
      </x:c>
      <x:c r="AM449" s="117" t="str">
        <x:v>2026-09-08</x:v>
      </x:c>
      <x:c r="AN449" s="117" t="str">
        <x:v>https://thumb.wikimedia.org/wikipedia/commons/thumb/4/4c/Austin_Heights_Water_and_Adventure_Park.JPG/1280px-Austin_Heights_Water_and_Adventure_Park.JPG?utm_source=commons.wikimedia.org&amp;utm_campaign=imageinfo&amp;utm_content=thumbnail</x:v>
      </x:c>
      <x:c r="AO449" s="117"/>
      <x:c r="AP449" s="117" t="str">
        <x:v>1 metadata-matched images; visual review pending</x:v>
      </x:c>
      <x:c r="AQ449" s="117"/>
    </x:row>
    <x:row r="450" ht="66" customHeight="1">
      <x:c r="A450" s="117" t="str">
        <x:v>MC0447</x:v>
      </x:c>
      <x:c r="B450" s="117" t="str">
        <x:v>Tiram Indoor Waterpark</x:v>
      </x:c>
      <x:c r="C450" s="117" t="str">
        <x:v>Johor</x:v>
      </x:c>
      <x:c r="D450" s="117" t="str">
        <x:v>Johor Bahru</x:v>
      </x:c>
      <x:c r="E450" s="117" t="str">
        <x:v>Theme Park</x:v>
      </x:c>
      <x:c r="F450" s="117" t="str">
        <x:v>Unclassified</x:v>
      </x:c>
      <x:c r="G450" s="117" t="str">
        <x:v>Both</x:v>
      </x:c>
      <x:c r="H450" s="117" t="str">
        <x:v>Theme Park; Johor Bahru</x:v>
      </x:c>
      <x:c r="I450" s="117" t="str">
        <x:v>A visitor attraction in Johor Bahru, Johor, listed in Tourism Malaysia's state travel guide. Venue operation and the precise accessible route require confirmation.</x:v>
      </x:c>
      <x:c r="J450" s="117" t="str">
        <x:v>https://ebrochures.malaysia.travel/en/malaysia-travel-guide/johor/</x:v>
      </x:c>
      <x:c r="K450" s="117" t="str">
        <x:v>https://ebrochures.malaysia.travel/en/malaysia-travel-guide/johor/</x:v>
      </x:c>
      <x:c r="L450" s="117" t="str">
        <x:v>Tourism Malaysia listing; operation unconfirmed</x:v>
      </x:c>
      <x:c r="M450" s="117" t="str">
        <x:v>Nationwide expansion 2026-09-08</x:v>
      </x:c>
      <x:c r="N450" s="117"/>
      <x:c r="O450" s="117" t="str">
        <x:v>2026-09-08</x:v>
      </x:c>
      <x:c r="P450" s="117" t="str">
        <x:v>Complete</x:v>
      </x:c>
      <x:c r="Q450" s="117"/>
      <x:c r="R450" s="117" t="str">
        <x:f>IF(J450="","Missing Link",IF(AND(ISNUMBER(SEARCH("google.com/maps",J450)),ISERROR(SEARCH(";",J450))),"Discovery Link Only","Source Link Present"))</x:f>
        <x:v>Source Link Present</x:v>
      </x:c>
      <x:c r="S450" s="117" t="str">
        <x:v>Unknown</x:v>
      </x:c>
      <x:c r="T450" s="117" t="str">
        <x:v>Unknown</x:v>
      </x:c>
      <x:c r="U450" s="117" t="str">
        <x:v>Unknown</x:v>
      </x:c>
      <x:c r="V450" s="117" t="str">
        <x:v>Unknown</x:v>
      </x:c>
      <x:c r="W450" s="117" t="str">
        <x:v>Unknown</x:v>
      </x:c>
      <x:c r="X450" s="117" t="str">
        <x:v>Unknown</x:v>
      </x:c>
      <x:c r="Y450" s="117" t="str">
        <x:v>Unknown</x:v>
      </x:c>
      <x:c r="Z450" s="117"/>
      <x:c r="AA450" s="117" t="str">
        <x:v>Pending evidence</x:v>
      </x:c>
      <x:c r="AB450" s="117"/>
      <x:c r="AC450" s="117" t="str">
        <x:v>No qualifying accessibility conclusion established from the screened sources. This is unknown, not evidence that the attraction is inaccessible.</x:v>
      </x:c>
      <x:c r="AD450" s="117" t="str">
        <x:v>2026-09-08</x:v>
      </x:c>
      <x:c r="AE450" s="117" t="str">
        <x:v>MC0447</x:v>
      </x:c>
      <x:c r="AF450" s="117" t="str">
        <x:v>Distinct candidate</x:v>
      </x:c>
      <x:c r="AG450" s="117" t="str"/>
      <x:c r="AH450" s="117" t="str">
        <x:v>Listed by Tourism Malaysia</x:v>
      </x:c>
      <x:c r="AI450" s="117" t="str">
        <x:v>https://ebrochures.malaysia.travel/en/malaysia-travel-guide/johor/</x:v>
      </x:c>
      <x:c r="AJ450" s="117" t="str">
        <x:v>Named visitor attraction in cited source; state-guide listings can be historical. Locality is catalogue metadata, not a surveyed address. Current operation remains unconfirmed.</x:v>
      </x:c>
      <x:c r="AK450" s="117" t="str">
        <x:v>Not independently confirmed</x:v>
      </x:c>
      <x:c r="AL450" s="117" t="str">
        <x:v>Screened sources; accessibility unresolved</x:v>
      </x:c>
      <x:c r="AM450" s="117" t="str">
        <x:v>2026-09-08</x:v>
      </x:c>
      <x:c r="AN450" s="117"/>
      <x:c r="AO450" s="117"/>
      <x:c r="AP450" s="117" t="str">
        <x:v>No usable pair located; image research pending</x:v>
      </x:c>
      <x:c r="AQ450" s="117"/>
    </x:row>
    <x:row r="451" ht="66" customHeight="1">
      <x:c r="A451" s="117" t="str">
        <x:v>MC0448</x:v>
      </x:c>
      <x:c r="B451" s="117" t="str">
        <x:v>Tanjung Balau Fishermen Museum</x:v>
      </x:c>
      <x:c r="C451" s="117" t="str">
        <x:v>Johor</x:v>
      </x:c>
      <x:c r="D451" s="117" t="str">
        <x:v>Kota Tinggi</x:v>
      </x:c>
      <x:c r="E451" s="117" t="str">
        <x:v>Museum and Gallery</x:v>
      </x:c>
      <x:c r="F451" s="117" t="str">
        <x:v>Unclassified</x:v>
      </x:c>
      <x:c r="G451" s="117" t="str">
        <x:v>Indoor</x:v>
      </x:c>
      <x:c r="H451" s="117" t="str">
        <x:v>Museum and Gallery; Kota Tinggi</x:v>
      </x:c>
      <x:c r="I451" s="117" t="str">
        <x:v>A visitor attraction in Kota Tinggi, Johor, listed in Tourism Malaysia's state travel guide. Venue operation and the precise accessible route require confirmation.</x:v>
      </x:c>
      <x:c r="J451" s="117" t="str">
        <x:v>https://ebrochures.malaysia.travel/en/malaysia-travel-guide/johor/</x:v>
      </x:c>
      <x:c r="K451" s="117" t="str">
        <x:v>https://ebrochures.malaysia.travel/en/malaysia-travel-guide/johor/</x:v>
      </x:c>
      <x:c r="L451" s="117" t="str">
        <x:v>Tourism Malaysia listing; operation unconfirmed</x:v>
      </x:c>
      <x:c r="M451" s="117" t="str">
        <x:v>Nationwide expansion 2026-09-08</x:v>
      </x:c>
      <x:c r="N451" s="117"/>
      <x:c r="O451" s="117" t="str">
        <x:v>2026-09-08</x:v>
      </x:c>
      <x:c r="P451" s="117" t="str">
        <x:v>Complete</x:v>
      </x:c>
      <x:c r="Q451" s="117"/>
      <x:c r="R451" s="117" t="str">
        <x:f>IF(J451="","Missing Link",IF(AND(ISNUMBER(SEARCH("google.com/maps",J451)),ISERROR(SEARCH(";",J451))),"Discovery Link Only","Source Link Present"))</x:f>
        <x:v>Source Link Present</x:v>
      </x:c>
      <x:c r="S451" s="117" t="str">
        <x:v>Unknown</x:v>
      </x:c>
      <x:c r="T451" s="117" t="str">
        <x:v>Unknown</x:v>
      </x:c>
      <x:c r="U451" s="117" t="str">
        <x:v>Unknown</x:v>
      </x:c>
      <x:c r="V451" s="117" t="str">
        <x:v>Unknown</x:v>
      </x:c>
      <x:c r="W451" s="117" t="str">
        <x:v>Unknown</x:v>
      </x:c>
      <x:c r="X451" s="117" t="str">
        <x:v>Unknown</x:v>
      </x:c>
      <x:c r="Y451" s="117" t="str">
        <x:v>Unknown</x:v>
      </x:c>
      <x:c r="Z451" s="117"/>
      <x:c r="AA451" s="117" t="str">
        <x:v>Pending evidence</x:v>
      </x:c>
      <x:c r="AB451" s="117"/>
      <x:c r="AC451" s="117" t="str">
        <x:v>No qualifying accessibility conclusion established from the screened sources. This is unknown, not evidence that the attraction is inaccessible.</x:v>
      </x:c>
      <x:c r="AD451" s="117" t="str">
        <x:v>2026-09-08</x:v>
      </x:c>
      <x:c r="AE451" s="117" t="str">
        <x:v>MC0448</x:v>
      </x:c>
      <x:c r="AF451" s="117" t="str">
        <x:v>Distinct candidate</x:v>
      </x:c>
      <x:c r="AG451" s="117" t="str"/>
      <x:c r="AH451" s="117" t="str">
        <x:v>Listed by Tourism Malaysia</x:v>
      </x:c>
      <x:c r="AI451" s="117" t="str">
        <x:v>https://ebrochures.malaysia.travel/en/malaysia-travel-guide/johor/</x:v>
      </x:c>
      <x:c r="AJ451" s="117" t="str">
        <x:v>Named visitor attraction in cited source; state-guide listings can be historical. Locality is catalogue metadata, not a surveyed address. Current operation remains unconfirmed.</x:v>
      </x:c>
      <x:c r="AK451" s="117" t="str">
        <x:v>Not independently confirmed</x:v>
      </x:c>
      <x:c r="AL451" s="117" t="str">
        <x:v>Screened sources; accessibility unresolved</x:v>
      </x:c>
      <x:c r="AM451" s="117" t="str">
        <x:v>2026-09-08</x:v>
      </x:c>
      <x:c r="AN451" s="117" t="str">
        <x:v>https://thumb.wikimedia.org/wikipedia/commons/thumb/f/f0/Tanjung_Balau_Fishermen_Museum.JPG/1280px-Tanjung_Balau_Fishermen_Museum.JPG?utm_source=commons.wikimedia.org&amp;utm_campaign=imageinfo&amp;utm_content=thumbnail</x:v>
      </x:c>
      <x:c r="AO451" s="117"/>
      <x:c r="AP451" s="117" t="str">
        <x:v>1 metadata-matched images; visual review pending</x:v>
      </x:c>
      <x:c r="AQ451" s="117"/>
    </x:row>
    <x:row r="452" ht="66" customHeight="1">
      <x:c r="A452" s="117" t="str">
        <x:v>MC0449</x:v>
      </x:c>
      <x:c r="B452" s="117" t="str">
        <x:v>Johor Lama Museum</x:v>
      </x:c>
      <x:c r="C452" s="117" t="str">
        <x:v>Johor</x:v>
      </x:c>
      <x:c r="D452" s="117" t="str">
        <x:v>Kota Tinggi</x:v>
      </x:c>
      <x:c r="E452" s="117" t="str">
        <x:v>Museum and Gallery</x:v>
      </x:c>
      <x:c r="F452" s="117" t="str">
        <x:v>Unclassified</x:v>
      </x:c>
      <x:c r="G452" s="117" t="str">
        <x:v>Indoor</x:v>
      </x:c>
      <x:c r="H452" s="117" t="str">
        <x:v>Museum and Gallery; Kota Tinggi</x:v>
      </x:c>
      <x:c r="I452" s="117" t="str">
        <x:v>A visitor attraction in Kota Tinggi, Johor, listed in Tourism Malaysia's state travel guide. Venue operation and the precise accessible route require confirmation.</x:v>
      </x:c>
      <x:c r="J452" s="117" t="str">
        <x:v>https://ebrochures.malaysia.travel/en/malaysia-travel-guide/johor/</x:v>
      </x:c>
      <x:c r="K452" s="117" t="str">
        <x:v>https://ebrochures.malaysia.travel/en/malaysia-travel-guide/johor/</x:v>
      </x:c>
      <x:c r="L452" s="117" t="str">
        <x:v>Tourism Malaysia listing; operation unconfirmed</x:v>
      </x:c>
      <x:c r="M452" s="117" t="str">
        <x:v>Nationwide expansion 2026-09-08</x:v>
      </x:c>
      <x:c r="N452" s="117"/>
      <x:c r="O452" s="117" t="str">
        <x:v>2026-09-08</x:v>
      </x:c>
      <x:c r="P452" s="117" t="str">
        <x:v>Complete</x:v>
      </x:c>
      <x:c r="Q452" s="117"/>
      <x:c r="R452" s="117" t="str">
        <x:f>IF(J452="","Missing Link",IF(AND(ISNUMBER(SEARCH("google.com/maps",J452)),ISERROR(SEARCH(";",J452))),"Discovery Link Only","Source Link Present"))</x:f>
        <x:v>Source Link Present</x:v>
      </x:c>
      <x:c r="S452" s="117" t="str">
        <x:v>Unknown</x:v>
      </x:c>
      <x:c r="T452" s="117" t="str">
        <x:v>Unknown</x:v>
      </x:c>
      <x:c r="U452" s="117" t="str">
        <x:v>Unknown</x:v>
      </x:c>
      <x:c r="V452" s="117" t="str">
        <x:v>Unknown</x:v>
      </x:c>
      <x:c r="W452" s="117" t="str">
        <x:v>Unknown</x:v>
      </x:c>
      <x:c r="X452" s="117" t="str">
        <x:v>Unknown</x:v>
      </x:c>
      <x:c r="Y452" s="117" t="str">
        <x:v>Unknown</x:v>
      </x:c>
      <x:c r="Z452" s="117"/>
      <x:c r="AA452" s="117" t="str">
        <x:v>Pending evidence</x:v>
      </x:c>
      <x:c r="AB452" s="117"/>
      <x:c r="AC452" s="117" t="str">
        <x:v>No qualifying accessibility conclusion established from the screened sources. This is unknown, not evidence that the attraction is inaccessible.</x:v>
      </x:c>
      <x:c r="AD452" s="117" t="str">
        <x:v>2026-09-08</x:v>
      </x:c>
      <x:c r="AE452" s="117" t="str">
        <x:v>MC0449</x:v>
      </x:c>
      <x:c r="AF452" s="117" t="str">
        <x:v>Distinct candidate</x:v>
      </x:c>
      <x:c r="AG452" s="117" t="str"/>
      <x:c r="AH452" s="117" t="str">
        <x:v>Listed by Tourism Malaysia</x:v>
      </x:c>
      <x:c r="AI452" s="117" t="str">
        <x:v>https://ebrochures.malaysia.travel/en/malaysia-travel-guide/johor/</x:v>
      </x:c>
      <x:c r="AJ452" s="117" t="str">
        <x:v>Named visitor attraction in cited source; state-guide listings can be historical. Locality is catalogue metadata, not a surveyed address. Current operation remains unconfirmed.</x:v>
      </x:c>
      <x:c r="AK452" s="117" t="str">
        <x:v>Not independently confirmed</x:v>
      </x:c>
      <x:c r="AL452" s="117" t="str">
        <x:v>Screened sources; accessibility unresolved</x:v>
      </x:c>
      <x:c r="AM452" s="117" t="str">
        <x:v>2026-09-08</x:v>
      </x:c>
      <x:c r="AN452" s="117" t="str">
        <x:v>https://thumb.wikimedia.org/wikipedia/commons/thumb/7/70/Kota_Johor_Lama_Museum.JPG/1280px-Kota_Johor_Lama_Museum.JPG?utm_source=commons.wikimedia.org&amp;utm_campaign=imageinfo&amp;utm_content=thumbnail</x:v>
      </x:c>
      <x:c r="AO452" s="117" t="str">
        <x:v>https://thumb.wikimedia.org/wikipedia/commons/thumb/e/e1/Kota_Johor_Lama_Museum_-_Exhibition_Hall.JPG/1280px-Kota_Johor_Lama_Museum_-_Exhibition_Hall.JPG?utm_source=commons.wikimedia.org&amp;utm_campaign=imageinfo&amp;utm_content=thumbnail</x:v>
      </x:c>
      <x:c r="AP452" s="117" t="str">
        <x:v>2 metadata-matched images; visual review pending</x:v>
      </x:c>
      <x:c r="AQ452" s="117"/>
    </x:row>
    <x:row r="453" ht="66" customHeight="1">
      <x:c r="A453" s="117" t="str">
        <x:v>MC0450</x:v>
      </x:c>
      <x:c r="B453" s="117" t="str">
        <x:v>Kota Tinggi Museum</x:v>
      </x:c>
      <x:c r="C453" s="117" t="str">
        <x:v>Johor</x:v>
      </x:c>
      <x:c r="D453" s="117" t="str">
        <x:v>Kota Tinggi</x:v>
      </x:c>
      <x:c r="E453" s="117" t="str">
        <x:v>Museum and Gallery</x:v>
      </x:c>
      <x:c r="F453" s="117" t="str">
        <x:v>Unclassified</x:v>
      </x:c>
      <x:c r="G453" s="117" t="str">
        <x:v>Indoor</x:v>
      </x:c>
      <x:c r="H453" s="117" t="str">
        <x:v>Museum and Gallery; Kota Tinggi</x:v>
      </x:c>
      <x:c r="I453" s="117" t="str">
        <x:v>A visitor attraction in Kota Tinggi, Johor, listed in Tourism Malaysia's state travel guide. Venue operation and the precise accessible route require confirmation.</x:v>
      </x:c>
      <x:c r="J453" s="117" t="str">
        <x:v>https://ebrochures.malaysia.travel/en/malaysia-travel-guide/johor/</x:v>
      </x:c>
      <x:c r="K453" s="117" t="str">
        <x:v>https://ebrochures.malaysia.travel/en/malaysia-travel-guide/johor/</x:v>
      </x:c>
      <x:c r="L453" s="117" t="str">
        <x:v>Tourism Malaysia listing; operation unconfirmed</x:v>
      </x:c>
      <x:c r="M453" s="117" t="str">
        <x:v>Nationwide expansion 2026-09-08</x:v>
      </x:c>
      <x:c r="N453" s="117"/>
      <x:c r="O453" s="117" t="str">
        <x:v>2026-09-08</x:v>
      </x:c>
      <x:c r="P453" s="117" t="str">
        <x:v>Complete</x:v>
      </x:c>
      <x:c r="Q453" s="117"/>
      <x:c r="R453" s="117" t="str">
        <x:f>IF(J453="","Missing Link",IF(AND(ISNUMBER(SEARCH("google.com/maps",J453)),ISERROR(SEARCH(";",J453))),"Discovery Link Only","Source Link Present"))</x:f>
        <x:v>Source Link Present</x:v>
      </x:c>
      <x:c r="S453" s="117" t="str">
        <x:v>Unknown</x:v>
      </x:c>
      <x:c r="T453" s="117" t="str">
        <x:v>Unknown</x:v>
      </x:c>
      <x:c r="U453" s="117" t="str">
        <x:v>Unknown</x:v>
      </x:c>
      <x:c r="V453" s="117" t="str">
        <x:v>Unknown</x:v>
      </x:c>
      <x:c r="W453" s="117" t="str">
        <x:v>Unknown</x:v>
      </x:c>
      <x:c r="X453" s="117" t="str">
        <x:v>Unknown</x:v>
      </x:c>
      <x:c r="Y453" s="117" t="str">
        <x:v>Unknown</x:v>
      </x:c>
      <x:c r="Z453" s="117"/>
      <x:c r="AA453" s="117" t="str">
        <x:v>Pending evidence</x:v>
      </x:c>
      <x:c r="AB453" s="117"/>
      <x:c r="AC453" s="117" t="str">
        <x:v>No qualifying accessibility conclusion established from the screened sources. This is unknown, not evidence that the attraction is inaccessible.</x:v>
      </x:c>
      <x:c r="AD453" s="117" t="str">
        <x:v>2026-09-08</x:v>
      </x:c>
      <x:c r="AE453" s="117" t="str">
        <x:v>MC0450</x:v>
      </x:c>
      <x:c r="AF453" s="117" t="str">
        <x:v>Distinct candidate</x:v>
      </x:c>
      <x:c r="AG453" s="117" t="str"/>
      <x:c r="AH453" s="117" t="str">
        <x:v>Listed by Tourism Malaysia</x:v>
      </x:c>
      <x:c r="AI453" s="117" t="str">
        <x:v>https://ebrochures.malaysia.travel/en/malaysia-travel-guide/johor/</x:v>
      </x:c>
      <x:c r="AJ453" s="117" t="str">
        <x:v>Named visitor attraction in cited source; state-guide listings can be historical. Locality is catalogue metadata, not a surveyed address. Current operation remains unconfirmed.</x:v>
      </x:c>
      <x:c r="AK453" s="117" t="str">
        <x:v>Not independently confirmed</x:v>
      </x:c>
      <x:c r="AL453" s="117" t="str">
        <x:v>Screened sources; accessibility unresolved</x:v>
      </x:c>
      <x:c r="AM453" s="117" t="str">
        <x:v>2026-09-08</x:v>
      </x:c>
      <x:c r="AN453" s="117" t="str">
        <x:v>https://thumb.wikimedia.org/wikipedia/commons/thumb/4/4e/Kota_Tinggi_Museum.JPG/1280px-Kota_Tinggi_Museum.JPG?utm_source=commons.wikimedia.org&amp;utm_campaign=imageinfo&amp;utm_content=thumbnail</x:v>
      </x:c>
      <x:c r="AO453" s="117" t="str">
        <x:v>https://thumb.wikimedia.org/wikipedia/commons/thumb/7/70/Kota_Johor_Lama_Museum.JPG/1280px-Kota_Johor_Lama_Museum.JPG?utm_source=commons.wikimedia.org&amp;utm_campaign=imageinfo&amp;utm_content=thumbnail</x:v>
      </x:c>
      <x:c r="AP453" s="117" t="str">
        <x:v>2 metadata-matched images; visual review pending</x:v>
      </x:c>
      <x:c r="AQ453" s="117"/>
    </x:row>
    <x:row r="454" ht="66" customHeight="1">
      <x:c r="A454" s="117" t="str">
        <x:v>MC0451</x:v>
      </x:c>
      <x:c r="B454" s="117" t="str">
        <x:v>Pantai Tanjung Balau</x:v>
      </x:c>
      <x:c r="C454" s="117" t="str">
        <x:v>Johor</x:v>
      </x:c>
      <x:c r="D454" s="117" t="str">
        <x:v>Kota Tinggi</x:v>
      </x:c>
      <x:c r="E454" s="117" t="str">
        <x:v>Beach and Island</x:v>
      </x:c>
      <x:c r="F454" s="117" t="str">
        <x:v>Unclassified</x:v>
      </x:c>
      <x:c r="G454" s="117" t="str">
        <x:v>Outdoor</x:v>
      </x:c>
      <x:c r="H454" s="117" t="str">
        <x:v>Beach and Island; Kota Tinggi</x:v>
      </x:c>
      <x:c r="I454" s="117" t="str">
        <x:v>A visitor attraction in Kota Tinggi, Johor, listed in Tourism Malaysia's state travel guide. Venue operation and the precise accessible route require confirmation.</x:v>
      </x:c>
      <x:c r="J454" s="117" t="str">
        <x:v>https://ebrochures.malaysia.travel/en/malaysia-travel-guide/johor/</x:v>
      </x:c>
      <x:c r="K454" s="117" t="str">
        <x:v>https://ebrochures.malaysia.travel/en/malaysia-travel-guide/johor/</x:v>
      </x:c>
      <x:c r="L454" s="117" t="str">
        <x:v>Tourism Malaysia listing; operation unconfirmed</x:v>
      </x:c>
      <x:c r="M454" s="117" t="str">
        <x:v>Nationwide expansion 2026-09-08</x:v>
      </x:c>
      <x:c r="N454" s="117"/>
      <x:c r="O454" s="117" t="str">
        <x:v>2026-09-08</x:v>
      </x:c>
      <x:c r="P454" s="117" t="str">
        <x:v>Complete</x:v>
      </x:c>
      <x:c r="Q454" s="117"/>
      <x:c r="R454" s="117" t="str">
        <x:f>IF(J454="","Missing Link",IF(AND(ISNUMBER(SEARCH("google.com/maps",J454)),ISERROR(SEARCH(";",J454))),"Discovery Link Only","Source Link Present"))</x:f>
        <x:v>Source Link Present</x:v>
      </x:c>
      <x:c r="S454" s="117" t="str">
        <x:v>Unknown</x:v>
      </x:c>
      <x:c r="T454" s="117" t="str">
        <x:v>Unknown</x:v>
      </x:c>
      <x:c r="U454" s="117" t="str">
        <x:v>Unknown</x:v>
      </x:c>
      <x:c r="V454" s="117" t="str">
        <x:v>Unknown</x:v>
      </x:c>
      <x:c r="W454" s="117" t="str">
        <x:v>Unknown</x:v>
      </x:c>
      <x:c r="X454" s="117" t="str">
        <x:v>Unknown</x:v>
      </x:c>
      <x:c r="Y454" s="117" t="str">
        <x:v>Unknown</x:v>
      </x:c>
      <x:c r="Z454" s="117"/>
      <x:c r="AA454" s="117" t="str">
        <x:v>Pending evidence</x:v>
      </x:c>
      <x:c r="AB454" s="117"/>
      <x:c r="AC454" s="117" t="str">
        <x:v>No qualifying accessibility conclusion established from the screened sources. This is unknown, not evidence that the attraction is inaccessible.</x:v>
      </x:c>
      <x:c r="AD454" s="117" t="str">
        <x:v>2026-09-08</x:v>
      </x:c>
      <x:c r="AE454" s="117" t="str">
        <x:v>MC0451</x:v>
      </x:c>
      <x:c r="AF454" s="117" t="str">
        <x:v>Distinct candidate</x:v>
      </x:c>
      <x:c r="AG454" s="117" t="str"/>
      <x:c r="AH454" s="117" t="str">
        <x:v>Listed by Tourism Malaysia</x:v>
      </x:c>
      <x:c r="AI454" s="117" t="str">
        <x:v>https://ebrochures.malaysia.travel/en/malaysia-travel-guide/johor/</x:v>
      </x:c>
      <x:c r="AJ454" s="117" t="str">
        <x:v>Named visitor attraction in cited source; state-guide listings can be historical. Locality is catalogue metadata, not a surveyed address. Current operation remains unconfirmed.</x:v>
      </x:c>
      <x:c r="AK454" s="117" t="str">
        <x:v>Not independently confirmed</x:v>
      </x:c>
      <x:c r="AL454" s="117" t="str">
        <x:v>Screened sources; accessibility unresolved</x:v>
      </x:c>
      <x:c r="AM454" s="117" t="str">
        <x:v>2026-09-08</x:v>
      </x:c>
      <x:c r="AN454" s="117" t="str">
        <x:v>https://thumb.wikimedia.org/wikipedia/commons/thumb/5/59/Tanjung_Balau_Beach.JPG/1280px-Tanjung_Balau_Beach.JPG?utm_source=commons.wikimedia.org&amp;utm_campaign=imageinfo&amp;utm_content=thumbnail</x:v>
      </x:c>
      <x:c r="AO454" s="117" t="str">
        <x:v>https://thumb.wikimedia.org/wikipedia/commons/thumb/8/89/Rocks_at_Tanjong_Balau_-_panoramio.jpg/1280px-Rocks_at_Tanjong_Balau_-_panoramio.jpg?utm_source=commons.wikimedia.org&amp;utm_campaign=imageinfo&amp;utm_content=thumbnail</x:v>
      </x:c>
      <x:c r="AP454" s="117" t="str">
        <x:v>2 metadata-matched images; visual review pending</x:v>
      </x:c>
      <x:c r="AQ454" s="117"/>
    </x:row>
    <x:row r="455" ht="66" customHeight="1">
      <x:c r="A455" s="117" t="str">
        <x:v>MC0452</x:v>
      </x:c>
      <x:c r="B455" s="117" t="str">
        <x:v>Teluk Sengat Crocodile Farm</x:v>
      </x:c>
      <x:c r="C455" s="117" t="str">
        <x:v>Johor</x:v>
      </x:c>
      <x:c r="D455" s="117" t="str">
        <x:v>Kota Tinggi</x:v>
      </x:c>
      <x:c r="E455" s="117" t="str">
        <x:v>Wildlife</x:v>
      </x:c>
      <x:c r="F455" s="117" t="str">
        <x:v>Unclassified</x:v>
      </x:c>
      <x:c r="G455" s="117" t="str">
        <x:v>Outdoor</x:v>
      </x:c>
      <x:c r="H455" s="117" t="str">
        <x:v>Wildlife; Kota Tinggi</x:v>
      </x:c>
      <x:c r="I455" s="117" t="str">
        <x:v>A visitor attraction in Kota Tinggi, Johor, listed in Tourism Malaysia's state travel guide. Venue operation and the precise accessible route require confirmation.</x:v>
      </x:c>
      <x:c r="J455" s="117" t="str">
        <x:v>https://ebrochures.malaysia.travel/en/malaysia-travel-guide/johor/</x:v>
      </x:c>
      <x:c r="K455" s="117" t="str">
        <x:v>https://ebrochures.malaysia.travel/en/malaysia-travel-guide/johor/</x:v>
      </x:c>
      <x:c r="L455" s="117" t="str">
        <x:v>Tourism Malaysia listing; operation unconfirmed</x:v>
      </x:c>
      <x:c r="M455" s="117" t="str">
        <x:v>Nationwide expansion 2026-09-08</x:v>
      </x:c>
      <x:c r="N455" s="117"/>
      <x:c r="O455" s="117" t="str">
        <x:v>2026-09-08</x:v>
      </x:c>
      <x:c r="P455" s="117" t="str">
        <x:v>Complete</x:v>
      </x:c>
      <x:c r="Q455" s="117"/>
      <x:c r="R455" s="117" t="str">
        <x:f>IF(J455="","Missing Link",IF(AND(ISNUMBER(SEARCH("google.com/maps",J455)),ISERROR(SEARCH(";",J455))),"Discovery Link Only","Source Link Present"))</x:f>
        <x:v>Source Link Present</x:v>
      </x:c>
      <x:c r="S455" s="117" t="str">
        <x:v>Unknown</x:v>
      </x:c>
      <x:c r="T455" s="117" t="str">
        <x:v>Unknown</x:v>
      </x:c>
      <x:c r="U455" s="117" t="str">
        <x:v>Unknown</x:v>
      </x:c>
      <x:c r="V455" s="117" t="str">
        <x:v>Unknown</x:v>
      </x:c>
      <x:c r="W455" s="117" t="str">
        <x:v>Unknown</x:v>
      </x:c>
      <x:c r="X455" s="117" t="str">
        <x:v>Unknown</x:v>
      </x:c>
      <x:c r="Y455" s="117" t="str">
        <x:v>Unknown</x:v>
      </x:c>
      <x:c r="Z455" s="117"/>
      <x:c r="AA455" s="117" t="str">
        <x:v>Pending evidence</x:v>
      </x:c>
      <x:c r="AB455" s="117"/>
      <x:c r="AC455" s="117" t="str">
        <x:v>No qualifying accessibility conclusion established from the screened sources. This is unknown, not evidence that the attraction is inaccessible.</x:v>
      </x:c>
      <x:c r="AD455" s="117" t="str">
        <x:v>2026-09-08</x:v>
      </x:c>
      <x:c r="AE455" s="117" t="str">
        <x:v>MC0452</x:v>
      </x:c>
      <x:c r="AF455" s="117" t="str">
        <x:v>Distinct candidate</x:v>
      </x:c>
      <x:c r="AG455" s="117" t="str"/>
      <x:c r="AH455" s="117" t="str">
        <x:v>Listed by Tourism Malaysia</x:v>
      </x:c>
      <x:c r="AI455" s="117" t="str">
        <x:v>https://ebrochures.malaysia.travel/en/malaysia-travel-guide/johor/</x:v>
      </x:c>
      <x:c r="AJ455" s="117" t="str">
        <x:v>Named visitor attraction in cited source; state-guide listings can be historical. Locality is catalogue metadata, not a surveyed address. Current operation remains unconfirmed.</x:v>
      </x:c>
      <x:c r="AK455" s="117" t="str">
        <x:v>Not independently confirmed</x:v>
      </x:c>
      <x:c r="AL455" s="117" t="str">
        <x:v>Screened sources; accessibility unresolved</x:v>
      </x:c>
      <x:c r="AM455" s="117" t="str">
        <x:v>2026-09-08</x:v>
      </x:c>
      <x:c r="AN455" s="117" t="str">
        <x:v>https://thumb.wikimedia.org/wikipedia/commons/thumb/d/df/Teluk_Sengat_Crocodile_Farm.JPG/1280px-Teluk_Sengat_Crocodile_Farm.JPG?utm_source=commons.wikimedia.org&amp;utm_campaign=imageinfo&amp;utm_content=thumbnail</x:v>
      </x:c>
      <x:c r="AO455" s="117" t="str">
        <x:v>https://thumb.wikimedia.org/wikipedia/commons/thumb/3/31/Teluk_Sengat%2C_81900_Ayer_Tawar%2C_Johor%2C_Malaysia_-_panoramio_%281%29.jpg/1280px-Teluk_Sengat%2C_81900_Ayer_Tawar%2C_Johor%2C_Malaysia_-_panoramio_%281%29.jpg?utm_source=commons.wikimedia.org&amp;utm_campaign=imageinfo&amp;utm_content=thumbnail</x:v>
      </x:c>
      <x:c r="AP455" s="117" t="str">
        <x:v>2 metadata-matched images; visual review pending</x:v>
      </x:c>
      <x:c r="AQ455" s="117"/>
    </x:row>
    <x:row r="456" ht="66" customHeight="1">
      <x:c r="A456" s="117" t="str">
        <x:v>MC0453</x:v>
      </x:c>
      <x:c r="B456" s="117" t="str">
        <x:v>Wet World Batu Pahat</x:v>
      </x:c>
      <x:c r="C456" s="117" t="str">
        <x:v>Johor</x:v>
      </x:c>
      <x:c r="D456" s="117" t="str">
        <x:v>Batu Pahat</x:v>
      </x:c>
      <x:c r="E456" s="117" t="str">
        <x:v>Theme Park</x:v>
      </x:c>
      <x:c r="F456" s="117" t="str">
        <x:v>Unclassified</x:v>
      </x:c>
      <x:c r="G456" s="117" t="str">
        <x:v>Both</x:v>
      </x:c>
      <x:c r="H456" s="117" t="str">
        <x:v>Theme Park; Batu Pahat</x:v>
      </x:c>
      <x:c r="I456" s="117" t="str">
        <x:v>A visitor attraction in Batu Pahat, Johor, listed in Tourism Malaysia's state travel guide. Venue operation and the precise accessible route require confirmation.</x:v>
      </x:c>
      <x:c r="J456" s="117" t="str">
        <x:v>https://ebrochures.malaysia.travel/en/malaysia-travel-guide/johor/</x:v>
      </x:c>
      <x:c r="K456" s="117" t="str">
        <x:v>https://ebrochures.malaysia.travel/en/malaysia-travel-guide/johor/</x:v>
      </x:c>
      <x:c r="L456" s="117" t="str">
        <x:v>Tourism Malaysia listing; operation unconfirmed</x:v>
      </x:c>
      <x:c r="M456" s="117" t="str">
        <x:v>Nationwide expansion 2026-09-08</x:v>
      </x:c>
      <x:c r="N456" s="117"/>
      <x:c r="O456" s="117" t="str">
        <x:v>2026-09-08</x:v>
      </x:c>
      <x:c r="P456" s="117" t="str">
        <x:v>Complete</x:v>
      </x:c>
      <x:c r="Q456" s="117"/>
      <x:c r="R456" s="117" t="str">
        <x:f>IF(J456="","Missing Link",IF(AND(ISNUMBER(SEARCH("google.com/maps",J456)),ISERROR(SEARCH(";",J456))),"Discovery Link Only","Source Link Present"))</x:f>
        <x:v>Source Link Present</x:v>
      </x:c>
      <x:c r="S456" s="117" t="str">
        <x:v>Unknown</x:v>
      </x:c>
      <x:c r="T456" s="117" t="str">
        <x:v>Unknown</x:v>
      </x:c>
      <x:c r="U456" s="117" t="str">
        <x:v>Unknown</x:v>
      </x:c>
      <x:c r="V456" s="117" t="str">
        <x:v>Unknown</x:v>
      </x:c>
      <x:c r="W456" s="117" t="str">
        <x:v>Unknown</x:v>
      </x:c>
      <x:c r="X456" s="117" t="str">
        <x:v>Unknown</x:v>
      </x:c>
      <x:c r="Y456" s="117" t="str">
        <x:v>Unknown</x:v>
      </x:c>
      <x:c r="Z456" s="117"/>
      <x:c r="AA456" s="117" t="str">
        <x:v>Pending evidence</x:v>
      </x:c>
      <x:c r="AB456" s="117"/>
      <x:c r="AC456" s="117" t="str">
        <x:v>No qualifying accessibility conclusion established from the screened sources. This is unknown, not evidence that the attraction is inaccessible.</x:v>
      </x:c>
      <x:c r="AD456" s="117" t="str">
        <x:v>2026-09-08</x:v>
      </x:c>
      <x:c r="AE456" s="117" t="str">
        <x:v>MC0453</x:v>
      </x:c>
      <x:c r="AF456" s="117" t="str">
        <x:v>Distinct candidate</x:v>
      </x:c>
      <x:c r="AG456" s="117" t="str"/>
      <x:c r="AH456" s="117" t="str">
        <x:v>Listed by Tourism Malaysia</x:v>
      </x:c>
      <x:c r="AI456" s="117" t="str">
        <x:v>https://ebrochures.malaysia.travel/en/malaysia-travel-guide/johor/</x:v>
      </x:c>
      <x:c r="AJ456" s="117" t="str">
        <x:v>Named visitor attraction in cited source; state-guide listings can be historical. Locality is catalogue metadata, not a surveyed address. Current operation remains unconfirmed.</x:v>
      </x:c>
      <x:c r="AK456" s="117" t="str">
        <x:v>Not independently confirmed</x:v>
      </x:c>
      <x:c r="AL456" s="117" t="str">
        <x:v>Screened sources; accessibility unresolved</x:v>
      </x:c>
      <x:c r="AM456" s="117" t="str">
        <x:v>2026-09-08</x:v>
      </x:c>
      <x:c r="AN456" s="117"/>
      <x:c r="AO456" s="117"/>
      <x:c r="AP456" s="117" t="str">
        <x:v>No usable pair located; image research pending</x:v>
      </x:c>
      <x:c r="AQ456" s="117"/>
    </x:row>
    <x:row r="457" ht="66" customHeight="1">
      <x:c r="A457" s="117" t="str">
        <x:v>MC0454</x:v>
      </x:c>
      <x:c r="B457" s="117" t="str">
        <x:v>Galeri Dato Onn</x:v>
      </x:c>
      <x:c r="C457" s="117" t="str">
        <x:v>Johor</x:v>
      </x:c>
      <x:c r="D457" s="117" t="str">
        <x:v>Batu Pahat</x:v>
      </x:c>
      <x:c r="E457" s="117" t="str">
        <x:v>Museum and Gallery</x:v>
      </x:c>
      <x:c r="F457" s="117" t="str">
        <x:v>Unclassified</x:v>
      </x:c>
      <x:c r="G457" s="117" t="str">
        <x:v>Indoor</x:v>
      </x:c>
      <x:c r="H457" s="117" t="str">
        <x:v>Museum and Gallery; Batu Pahat</x:v>
      </x:c>
      <x:c r="I457" s="117" t="str">
        <x:v>A visitor attraction in Batu Pahat, Johor, listed in Tourism Malaysia's state travel guide. Venue operation and the precise accessible route require confirmation.</x:v>
      </x:c>
      <x:c r="J457" s="117" t="str">
        <x:v>https://ebrochures.malaysia.travel/en/malaysia-travel-guide/johor/</x:v>
      </x:c>
      <x:c r="K457" s="117" t="str">
        <x:v>https://ebrochures.malaysia.travel/en/malaysia-travel-guide/johor/</x:v>
      </x:c>
      <x:c r="L457" s="117" t="str">
        <x:v>Tourism Malaysia listing; operation unconfirmed</x:v>
      </x:c>
      <x:c r="M457" s="117" t="str">
        <x:v>Nationwide expansion 2026-09-08</x:v>
      </x:c>
      <x:c r="N457" s="117"/>
      <x:c r="O457" s="117" t="str">
        <x:v>2026-09-08</x:v>
      </x:c>
      <x:c r="P457" s="117" t="str">
        <x:v>Complete</x:v>
      </x:c>
      <x:c r="Q457" s="117"/>
      <x:c r="R457" s="117" t="str">
        <x:f>IF(J457="","Missing Link",IF(AND(ISNUMBER(SEARCH("google.com/maps",J457)),ISERROR(SEARCH(";",J457))),"Discovery Link Only","Source Link Present"))</x:f>
        <x:v>Source Link Present</x:v>
      </x:c>
      <x:c r="S457" s="117" t="str">
        <x:v>Unknown</x:v>
      </x:c>
      <x:c r="T457" s="117" t="str">
        <x:v>Unknown</x:v>
      </x:c>
      <x:c r="U457" s="117" t="str">
        <x:v>Unknown</x:v>
      </x:c>
      <x:c r="V457" s="117" t="str">
        <x:v>Unknown</x:v>
      </x:c>
      <x:c r="W457" s="117" t="str">
        <x:v>Unknown</x:v>
      </x:c>
      <x:c r="X457" s="117" t="str">
        <x:v>Unknown</x:v>
      </x:c>
      <x:c r="Y457" s="117" t="str">
        <x:v>Unknown</x:v>
      </x:c>
      <x:c r="Z457" s="117"/>
      <x:c r="AA457" s="117" t="str">
        <x:v>Pending evidence</x:v>
      </x:c>
      <x:c r="AB457" s="117"/>
      <x:c r="AC457" s="117" t="str">
        <x:v>No qualifying accessibility conclusion established from the screened sources. This is unknown, not evidence that the attraction is inaccessible.</x:v>
      </x:c>
      <x:c r="AD457" s="117" t="str">
        <x:v>2026-09-08</x:v>
      </x:c>
      <x:c r="AE457" s="117" t="str">
        <x:v>MC0454</x:v>
      </x:c>
      <x:c r="AF457" s="117" t="str">
        <x:v>Distinct candidate</x:v>
      </x:c>
      <x:c r="AG457" s="117" t="str"/>
      <x:c r="AH457" s="117" t="str">
        <x:v>Listed by Tourism Malaysia</x:v>
      </x:c>
      <x:c r="AI457" s="117" t="str">
        <x:v>https://ebrochures.malaysia.travel/en/malaysia-travel-guide/johor/</x:v>
      </x:c>
      <x:c r="AJ457" s="117" t="str">
        <x:v>Named visitor attraction in cited source; state-guide listings can be historical. Locality is catalogue metadata, not a surveyed address. Current operation remains unconfirmed.</x:v>
      </x:c>
      <x:c r="AK457" s="117" t="str">
        <x:v>Not independently confirmed</x:v>
      </x:c>
      <x:c r="AL457" s="117" t="str">
        <x:v>Screened sources; accessibility unresolved</x:v>
      </x:c>
      <x:c r="AM457" s="117" t="str">
        <x:v>2026-09-08</x:v>
      </x:c>
      <x:c r="AN457" s="117"/>
      <x:c r="AO457" s="117"/>
      <x:c r="AP457" s="117" t="str">
        <x:v>No usable pair located; image research pending</x:v>
      </x:c>
      <x:c r="AQ457" s="117"/>
    </x:row>
    <x:row r="458" ht="66" customHeight="1">
      <x:c r="A458" s="117" t="str">
        <x:v>MC0455</x:v>
      </x:c>
      <x:c r="B458" s="117" t="str">
        <x:v>Pineapple Museum</x:v>
      </x:c>
      <x:c r="C458" s="117" t="str">
        <x:v>Johor</x:v>
      </x:c>
      <x:c r="D458" s="117" t="str">
        <x:v>Pontian</x:v>
      </x:c>
      <x:c r="E458" s="117" t="str">
        <x:v>Museum and Gallery</x:v>
      </x:c>
      <x:c r="F458" s="117" t="str">
        <x:v>Unclassified</x:v>
      </x:c>
      <x:c r="G458" s="117" t="str">
        <x:v>Indoor</x:v>
      </x:c>
      <x:c r="H458" s="117" t="str">
        <x:v>Museum and Gallery; Pontian</x:v>
      </x:c>
      <x:c r="I458" s="117" t="str">
        <x:v>A visitor attraction in Pontian, Johor, listed in Tourism Malaysia's state travel guide. Venue operation and the precise accessible route require confirmation.</x:v>
      </x:c>
      <x:c r="J458" s="117" t="str">
        <x:v>https://ebrochures.malaysia.travel/en/malaysia-travel-guide/johor/</x:v>
      </x:c>
      <x:c r="K458" s="117" t="str">
        <x:v>https://ebrochures.malaysia.travel/en/malaysia-travel-guide/johor/</x:v>
      </x:c>
      <x:c r="L458" s="117" t="str">
        <x:v>Tourism Malaysia listing; operation unconfirmed</x:v>
      </x:c>
      <x:c r="M458" s="117" t="str">
        <x:v>Nationwide expansion 2026-09-08</x:v>
      </x:c>
      <x:c r="N458" s="117"/>
      <x:c r="O458" s="117" t="str">
        <x:v>2026-09-08</x:v>
      </x:c>
      <x:c r="P458" s="117" t="str">
        <x:v>Complete</x:v>
      </x:c>
      <x:c r="Q458" s="117"/>
      <x:c r="R458" s="117" t="str">
        <x:f>IF(J458="","Missing Link",IF(AND(ISNUMBER(SEARCH("google.com/maps",J458)),ISERROR(SEARCH(";",J458))),"Discovery Link Only","Source Link Present"))</x:f>
        <x:v>Source Link Present</x:v>
      </x:c>
      <x:c r="S458" s="117" t="str">
        <x:v>Unknown</x:v>
      </x:c>
      <x:c r="T458" s="117" t="str">
        <x:v>Unknown</x:v>
      </x:c>
      <x:c r="U458" s="117" t="str">
        <x:v>Unknown</x:v>
      </x:c>
      <x:c r="V458" s="117" t="str">
        <x:v>Unknown</x:v>
      </x:c>
      <x:c r="W458" s="117" t="str">
        <x:v>Unknown</x:v>
      </x:c>
      <x:c r="X458" s="117" t="str">
        <x:v>Unknown</x:v>
      </x:c>
      <x:c r="Y458" s="117" t="str">
        <x:v>Unknown</x:v>
      </x:c>
      <x:c r="Z458" s="117"/>
      <x:c r="AA458" s="117" t="str">
        <x:v>Pending evidence</x:v>
      </x:c>
      <x:c r="AB458" s="117"/>
      <x:c r="AC458" s="117" t="str">
        <x:v>No qualifying accessibility conclusion established from the screened sources. This is unknown, not evidence that the attraction is inaccessible.</x:v>
      </x:c>
      <x:c r="AD458" s="117" t="str">
        <x:v>2026-09-08</x:v>
      </x:c>
      <x:c r="AE458" s="117" t="str">
        <x:v>MC0455</x:v>
      </x:c>
      <x:c r="AF458" s="117" t="str">
        <x:v>Distinct candidate</x:v>
      </x:c>
      <x:c r="AG458" s="117" t="str"/>
      <x:c r="AH458" s="117" t="str">
        <x:v>Listed by Tourism Malaysia</x:v>
      </x:c>
      <x:c r="AI458" s="117" t="str">
        <x:v>https://ebrochures.malaysia.travel/en/malaysia-travel-guide/johor/</x:v>
      </x:c>
      <x:c r="AJ458" s="117" t="str">
        <x:v>Named visitor attraction in cited source; state-guide listings can be historical. Locality is catalogue metadata, not a surveyed address. Current operation remains unconfirmed.</x:v>
      </x:c>
      <x:c r="AK458" s="117" t="str">
        <x:v>Not independently confirmed</x:v>
      </x:c>
      <x:c r="AL458" s="117" t="str">
        <x:v>Screened sources; accessibility unresolved</x:v>
      </x:c>
      <x:c r="AM458" s="117" t="str">
        <x:v>2026-09-08</x:v>
      </x:c>
      <x:c r="AN458" s="117" t="str">
        <x:v>https://thumb.wikimedia.org/wikipedia/commons/thumb/e/ec/Pineapple_Museum.jpg/1280px-Pineapple_Museum.jpg?utm_source=commons.wikimedia.org&amp;utm_campaign=imageinfo&amp;utm_content=thumbnail</x:v>
      </x:c>
      <x:c r="AO458" s="117" t="str">
        <x:v>https://thumb.wikimedia.org/wikipedia/commons/thumb/1/1a/%E4%B9%9D%E6%9B%B2%E5%A0%82%E6%B3%B0%E8%8A%B3%E5%95%86%E6%9C%83%E9%B3%B3%E6%A2%A8%E7%BD%90%E8%A9%B0%E5%B7%A5%E5%A0%B4.JPG/1280px-%E4%B9%9D%E6%9B%B2%E5%A0%82%E6%B3%B0%E8%8A%B3%E5%95%86%E6%9C%83%E9%B3%B3%E6%A2%A8%E7%BD%90%E8%A9%B0%E5%B7%A5%E5%A0%B4.JPG?utm_source=commons.wikimedia.org&amp;utm_campaign=imageinfo&amp;utm_content=thumbnail</x:v>
      </x:c>
      <x:c r="AP458" s="117" t="str">
        <x:v>2 metadata-matched images; visual review pending</x:v>
      </x:c>
      <x:c r="AQ458" s="117"/>
    </x:row>
    <x:row r="459" ht="66" customHeight="1">
      <x:c r="A459" s="117" t="str">
        <x:v>MC0456</x:v>
      </x:c>
      <x:c r="B459" s="117" t="str">
        <x:v>Labis Hot Springs</x:v>
      </x:c>
      <x:c r="C459" s="117" t="str">
        <x:v>Johor</x:v>
      </x:c>
      <x:c r="D459" s="117" t="str">
        <x:v>Segamat</x:v>
      </x:c>
      <x:c r="E459" s="117" t="str">
        <x:v>Nature</x:v>
      </x:c>
      <x:c r="F459" s="117" t="str">
        <x:v>Unclassified</x:v>
      </x:c>
      <x:c r="G459" s="117" t="str">
        <x:v>Outdoor</x:v>
      </x:c>
      <x:c r="H459" s="117" t="str">
        <x:v>Nature; Segamat</x:v>
      </x:c>
      <x:c r="I459" s="117" t="str">
        <x:v>A visitor attraction in Segamat, Johor, listed in Tourism Malaysia's state travel guide. Venue operation and the precise accessible route require confirmation.</x:v>
      </x:c>
      <x:c r="J459" s="117" t="str">
        <x:v>https://ebrochures.malaysia.travel/en/malaysia-travel-guide/johor/</x:v>
      </x:c>
      <x:c r="K459" s="117" t="str">
        <x:v>https://ebrochures.malaysia.travel/en/malaysia-travel-guide/johor/</x:v>
      </x:c>
      <x:c r="L459" s="117" t="str">
        <x:v>Tourism Malaysia listing; operation unconfirmed</x:v>
      </x:c>
      <x:c r="M459" s="117" t="str">
        <x:v>Nationwide expansion 2026-09-08</x:v>
      </x:c>
      <x:c r="N459" s="117"/>
      <x:c r="O459" s="117" t="str">
        <x:v>2026-09-08</x:v>
      </x:c>
      <x:c r="P459" s="117" t="str">
        <x:v>Complete</x:v>
      </x:c>
      <x:c r="Q459" s="117"/>
      <x:c r="R459" s="117" t="str">
        <x:f>IF(J459="","Missing Link",IF(AND(ISNUMBER(SEARCH("google.com/maps",J459)),ISERROR(SEARCH(";",J459))),"Discovery Link Only","Source Link Present"))</x:f>
        <x:v>Source Link Present</x:v>
      </x:c>
      <x:c r="S459" s="117" t="str">
        <x:v>Unknown</x:v>
      </x:c>
      <x:c r="T459" s="117" t="str">
        <x:v>Unknown</x:v>
      </x:c>
      <x:c r="U459" s="117" t="str">
        <x:v>Unknown</x:v>
      </x:c>
      <x:c r="V459" s="117" t="str">
        <x:v>Unknown</x:v>
      </x:c>
      <x:c r="W459" s="117" t="str">
        <x:v>Unknown</x:v>
      </x:c>
      <x:c r="X459" s="117" t="str">
        <x:v>Unknown</x:v>
      </x:c>
      <x:c r="Y459" s="117" t="str">
        <x:v>Unknown</x:v>
      </x:c>
      <x:c r="Z459" s="117"/>
      <x:c r="AA459" s="117" t="str">
        <x:v>Pending evidence</x:v>
      </x:c>
      <x:c r="AB459" s="117"/>
      <x:c r="AC459" s="117" t="str">
        <x:v>No qualifying accessibility conclusion established from the screened sources. This is unknown, not evidence that the attraction is inaccessible.</x:v>
      </x:c>
      <x:c r="AD459" s="117" t="str">
        <x:v>2026-09-08</x:v>
      </x:c>
      <x:c r="AE459" s="117" t="str">
        <x:v>MC0456</x:v>
      </x:c>
      <x:c r="AF459" s="117" t="str">
        <x:v>Distinct candidate</x:v>
      </x:c>
      <x:c r="AG459" s="117" t="str"/>
      <x:c r="AH459" s="117" t="str">
        <x:v>Listed by Tourism Malaysia</x:v>
      </x:c>
      <x:c r="AI459" s="117" t="str">
        <x:v>https://ebrochures.malaysia.travel/en/malaysia-travel-guide/johor/</x:v>
      </x:c>
      <x:c r="AJ459" s="117" t="str">
        <x:v>Named visitor attraction in cited source; state-guide listings can be historical. Locality is catalogue metadata, not a surveyed address. Current operation remains unconfirmed.</x:v>
      </x:c>
      <x:c r="AK459" s="117" t="str">
        <x:v>Not independently confirmed</x:v>
      </x:c>
      <x:c r="AL459" s="117" t="str">
        <x:v>Screened sources; accessibility unresolved</x:v>
      </x:c>
      <x:c r="AM459" s="117" t="str">
        <x:v>2026-09-08</x:v>
      </x:c>
      <x:c r="AN459" s="117"/>
      <x:c r="AO459" s="117"/>
      <x:c r="AP459" s="117" t="str">
        <x:v>No usable pair located; image research pending</x:v>
      </x:c>
      <x:c r="AQ459" s="117"/>
    </x:row>
    <x:row r="460" ht="66" customHeight="1">
      <x:c r="A460" s="117" t="str">
        <x:v>MC0457</x:v>
      </x:c>
      <x:c r="B460" s="117" t="str">
        <x:v>Langkawi SkyCab</x:v>
      </x:c>
      <x:c r="C460" s="117" t="str">
        <x:v>Kedah</x:v>
      </x:c>
      <x:c r="D460" s="117" t="str">
        <x:v>Langkawi</x:v>
      </x:c>
      <x:c r="E460" s="117" t="str">
        <x:v>Scenic Transport</x:v>
      </x:c>
      <x:c r="F460" s="117" t="str">
        <x:v>Unclassified</x:v>
      </x:c>
      <x:c r="G460" s="117" t="str">
        <x:v>Both</x:v>
      </x:c>
      <x:c r="H460" s="117" t="str">
        <x:v>Scenic Transport; Langkawi</x:v>
      </x:c>
      <x:c r="I460" s="117" t="str">
        <x:v>A visitor attraction in Langkawi, Kedah, listed in Tourism Malaysia's state travel guide. Venue operation and the precise accessible route require confirmation.</x:v>
      </x:c>
      <x:c r="J460" s="117" t="str">
        <x:v>https://ebrochures.malaysia.travel/en/malaysia-travel-guide/kedah/</x:v>
      </x:c>
      <x:c r="K460" s="117" t="str">
        <x:v>https://ebrochures.malaysia.travel/en/malaysia-travel-guide/kedah/</x:v>
      </x:c>
      <x:c r="L460" s="117" t="str">
        <x:v>Tourism Malaysia listing; operation unconfirmed</x:v>
      </x:c>
      <x:c r="M460" s="117" t="str">
        <x:v>Nationwide expansion 2026-09-08</x:v>
      </x:c>
      <x:c r="N460" s="117"/>
      <x:c r="O460" s="117" t="str">
        <x:v>2026-09-08</x:v>
      </x:c>
      <x:c r="P460" s="117" t="str">
        <x:v>Complete</x:v>
      </x:c>
      <x:c r="Q460" s="117"/>
      <x:c r="R460" s="117" t="str">
        <x:f>IF(J460="","Missing Link",IF(AND(ISNUMBER(SEARCH("google.com/maps",J460)),ISERROR(SEARCH(";",J460))),"Discovery Link Only","Source Link Present"))</x:f>
        <x:v>Source Link Present</x:v>
      </x:c>
      <x:c r="S460" s="117" t="str">
        <x:v>Unknown</x:v>
      </x:c>
      <x:c r="T460" s="117" t="str">
        <x:v>Unknown</x:v>
      </x:c>
      <x:c r="U460" s="117" t="str">
        <x:v>Unknown</x:v>
      </x:c>
      <x:c r="V460" s="117" t="str">
        <x:v>Unknown</x:v>
      </x:c>
      <x:c r="W460" s="117" t="str">
        <x:v>Unknown</x:v>
      </x:c>
      <x:c r="X460" s="117" t="str">
        <x:v>Unknown</x:v>
      </x:c>
      <x:c r="Y460" s="117" t="str">
        <x:v>Unknown</x:v>
      </x:c>
      <x:c r="Z460" s="117"/>
      <x:c r="AA460" s="117" t="str">
        <x:v>Pending evidence</x:v>
      </x:c>
      <x:c r="AB460" s="117"/>
      <x:c r="AC460" s="117" t="str">
        <x:v>No qualifying accessibility conclusion established from the screened sources. This is unknown, not evidence that the attraction is inaccessible.</x:v>
      </x:c>
      <x:c r="AD460" s="117" t="str">
        <x:v>2026-09-08</x:v>
      </x:c>
      <x:c r="AE460" s="117" t="str">
        <x:v>MC0457</x:v>
      </x:c>
      <x:c r="AF460" s="117" t="str">
        <x:v>Distinct candidate</x:v>
      </x:c>
      <x:c r="AG460" s="117" t="str"/>
      <x:c r="AH460" s="117" t="str">
        <x:v>Listed by Tourism Malaysia</x:v>
      </x:c>
      <x:c r="AI460" s="117" t="str">
        <x:v>https://ebrochures.malaysia.travel/en/malaysia-travel-guide/kedah/</x:v>
      </x:c>
      <x:c r="AJ460" s="117" t="str">
        <x:v>Named visitor attraction in cited source; state-guide listings can be historical. Locality is catalogue metadata, not a surveyed address. Current operation remains unconfirmed.</x:v>
      </x:c>
      <x:c r="AK460" s="117" t="str">
        <x:v>Not independently confirmed</x:v>
      </x:c>
      <x:c r="AL460" s="117" t="str">
        <x:v>Screened sources; accessibility unresolved</x:v>
      </x:c>
      <x:c r="AM460" s="117" t="str">
        <x:v>2026-09-08</x:v>
      </x:c>
      <x:c r="AN460" s="117" t="str">
        <x:v>https://thumb.wikimedia.org/wikipedia/commons/thumb/6/68/Langkawi_Cable_Car.JPG/1280px-Langkawi_Cable_Car.JPG?utm_source=commons.wikimedia.org&amp;utm_campaign=imageinfo&amp;utm_content=thumbnail</x:v>
      </x:c>
      <x:c r="AO460" s="117" t="str">
        <x:v>https://thumb.wikimedia.org/wikipedia/commons/thumb/7/7e/Langkawi_Malaysia_Langkawi-Cable-Car-01.jpg/1280px-Langkawi_Malaysia_Langkawi-Cable-Car-01.jpg?utm_source=commons.wikimedia.org&amp;utm_campaign=imageinfo&amp;utm_content=thumbnail</x:v>
      </x:c>
      <x:c r="AP460" s="117" t="str">
        <x:v>2 metadata-matched images; visual review pending</x:v>
      </x:c>
      <x:c r="AQ460" s="117"/>
    </x:row>
    <x:row r="461" ht="66" customHeight="1">
      <x:c r="A461" s="117" t="str">
        <x:v>MC0458</x:v>
      </x:c>
      <x:c r="B461" s="117" t="str">
        <x:v>Oriental Village</x:v>
      </x:c>
      <x:c r="C461" s="117" t="str">
        <x:v>Kedah</x:v>
      </x:c>
      <x:c r="D461" s="117" t="str">
        <x:v>Langkawi</x:v>
      </x:c>
      <x:c r="E461" s="117" t="str">
        <x:v>Heritage and Visitor Attraction</x:v>
      </x:c>
      <x:c r="F461" s="117" t="str">
        <x:v>Unclassified</x:v>
      </x:c>
      <x:c r="G461" s="117" t="str">
        <x:v>Both</x:v>
      </x:c>
      <x:c r="H461" s="117" t="str">
        <x:v>Heritage and Visitor Attraction; Langkawi</x:v>
      </x:c>
      <x:c r="I461" s="117" t="str">
        <x:v>A visitor attraction in Langkawi, Kedah, listed in Tourism Malaysia's state travel guide. Venue operation and the precise accessible route require confirmation.</x:v>
      </x:c>
      <x:c r="J461" s="117" t="str">
        <x:v>https://ebrochures.malaysia.travel/en/malaysia-travel-guide/kedah/</x:v>
      </x:c>
      <x:c r="K461" s="117" t="str">
        <x:v>https://ebrochures.malaysia.travel/en/malaysia-travel-guide/kedah/</x:v>
      </x:c>
      <x:c r="L461" s="117" t="str">
        <x:v>Tourism Malaysia listing; operation unconfirmed</x:v>
      </x:c>
      <x:c r="M461" s="117" t="str">
        <x:v>Nationwide expansion 2026-09-08</x:v>
      </x:c>
      <x:c r="N461" s="117"/>
      <x:c r="O461" s="117" t="str">
        <x:v>2026-09-08</x:v>
      </x:c>
      <x:c r="P461" s="117" t="str">
        <x:v>Complete</x:v>
      </x:c>
      <x:c r="Q461" s="117"/>
      <x:c r="R461" s="117" t="str">
        <x:f>IF(J461="","Missing Link",IF(AND(ISNUMBER(SEARCH("google.com/maps",J461)),ISERROR(SEARCH(";",J461))),"Discovery Link Only","Source Link Present"))</x:f>
        <x:v>Source Link Present</x:v>
      </x:c>
      <x:c r="S461" s="117" t="str">
        <x:v>Unknown</x:v>
      </x:c>
      <x:c r="T461" s="117" t="str">
        <x:v>Unknown</x:v>
      </x:c>
      <x:c r="U461" s="117" t="str">
        <x:v>Unknown</x:v>
      </x:c>
      <x:c r="V461" s="117" t="str">
        <x:v>Unknown</x:v>
      </x:c>
      <x:c r="W461" s="117" t="str">
        <x:v>Unknown</x:v>
      </x:c>
      <x:c r="X461" s="117" t="str">
        <x:v>Unknown</x:v>
      </x:c>
      <x:c r="Y461" s="117" t="str">
        <x:v>Unknown</x:v>
      </x:c>
      <x:c r="Z461" s="117"/>
      <x:c r="AA461" s="117" t="str">
        <x:v>Pending evidence</x:v>
      </x:c>
      <x:c r="AB461" s="117"/>
      <x:c r="AC461" s="117" t="str">
        <x:v>No qualifying accessibility conclusion established from the screened sources. This is unknown, not evidence that the attraction is inaccessible.</x:v>
      </x:c>
      <x:c r="AD461" s="117" t="str">
        <x:v>2026-09-08</x:v>
      </x:c>
      <x:c r="AE461" s="117" t="str">
        <x:v>MC0458</x:v>
      </x:c>
      <x:c r="AF461" s="117" t="str">
        <x:v>Distinct candidate</x:v>
      </x:c>
      <x:c r="AG461" s="117" t="str"/>
      <x:c r="AH461" s="117" t="str">
        <x:v>Listed by Tourism Malaysia</x:v>
      </x:c>
      <x:c r="AI461" s="117" t="str">
        <x:v>https://ebrochures.malaysia.travel/en/malaysia-travel-guide/kedah/</x:v>
      </x:c>
      <x:c r="AJ461" s="117" t="str">
        <x:v>Named visitor attraction in cited source; state-guide listings can be historical. Locality is catalogue metadata, not a surveyed address. Current operation remains unconfirmed.</x:v>
      </x:c>
      <x:c r="AK461" s="117" t="str">
        <x:v>Not independently confirmed</x:v>
      </x:c>
      <x:c r="AL461" s="117" t="str">
        <x:v>Screened sources; accessibility unresolved</x:v>
      </x:c>
      <x:c r="AM461" s="117" t="str">
        <x:v>2026-09-08</x:v>
      </x:c>
      <x:c r="AN461" s="117" t="str">
        <x:v>https://thumb.wikimedia.org/wikipedia/commons/thumb/a/aa/Lagnkawi_cable_car_base_station_view.jpg/1280px-Lagnkawi_cable_car_base_station_view.jpg?utm_source=commons.wikimedia.org&amp;utm_campaign=imageinfo&amp;utm_content=thumbnail</x:v>
      </x:c>
      <x:c r="AO461" s="117"/>
      <x:c r="AP461" s="117" t="str">
        <x:v>1 metadata-matched images; visual review pending</x:v>
      </x:c>
      <x:c r="AQ461" s="117"/>
    </x:row>
    <x:row r="462" ht="66" customHeight="1">
      <x:c r="A462" s="117" t="str">
        <x:v>MC0459</x:v>
      </x:c>
      <x:c r="B462" s="117" t="str">
        <x:v>Eagle Square</x:v>
      </x:c>
      <x:c r="C462" s="117" t="str">
        <x:v>Kedah</x:v>
      </x:c>
      <x:c r="D462" s="117" t="str">
        <x:v>Langkawi</x:v>
      </x:c>
      <x:c r="E462" s="117" t="str">
        <x:v>Heritage and Visitor Attraction</x:v>
      </x:c>
      <x:c r="F462" s="117" t="str">
        <x:v>Unclassified</x:v>
      </x:c>
      <x:c r="G462" s="117" t="str">
        <x:v>Both</x:v>
      </x:c>
      <x:c r="H462" s="117" t="str">
        <x:v>Heritage and Visitor Attraction; Langkawi</x:v>
      </x:c>
      <x:c r="I462" s="117" t="str">
        <x:v>A visitor attraction in Langkawi, Kedah, listed in Tourism Malaysia's state travel guide. Venue operation and the precise accessible route require confirmation.</x:v>
      </x:c>
      <x:c r="J462" s="117" t="str">
        <x:v>https://ebrochures.malaysia.travel/en/malaysia-travel-guide/kedah/</x:v>
      </x:c>
      <x:c r="K462" s="117" t="str">
        <x:v>https://ebrochures.malaysia.travel/en/malaysia-travel-guide/kedah/</x:v>
      </x:c>
      <x:c r="L462" s="117" t="str">
        <x:v>Tourism Malaysia listing; operation unconfirmed</x:v>
      </x:c>
      <x:c r="M462" s="117" t="str">
        <x:v>Nationwide expansion 2026-09-08</x:v>
      </x:c>
      <x:c r="N462" s="117"/>
      <x:c r="O462" s="117" t="str">
        <x:v>2026-09-08</x:v>
      </x:c>
      <x:c r="P462" s="117" t="str">
        <x:v>Complete</x:v>
      </x:c>
      <x:c r="Q462" s="117"/>
      <x:c r="R462" s="117" t="str">
        <x:f>IF(J462="","Missing Link",IF(AND(ISNUMBER(SEARCH("google.com/maps",J462)),ISERROR(SEARCH(";",J462))),"Discovery Link Only","Source Link Present"))</x:f>
        <x:v>Source Link Present</x:v>
      </x:c>
      <x:c r="S462" s="117" t="str">
        <x:v>Unknown</x:v>
      </x:c>
      <x:c r="T462" s="117" t="str">
        <x:v>Unknown</x:v>
      </x:c>
      <x:c r="U462" s="117" t="str">
        <x:v>Unknown</x:v>
      </x:c>
      <x:c r="V462" s="117" t="str">
        <x:v>Unknown</x:v>
      </x:c>
      <x:c r="W462" s="117" t="str">
        <x:v>Unknown</x:v>
      </x:c>
      <x:c r="X462" s="117" t="str">
        <x:v>Unknown</x:v>
      </x:c>
      <x:c r="Y462" s="117" t="str">
        <x:v>Unknown</x:v>
      </x:c>
      <x:c r="Z462" s="117"/>
      <x:c r="AA462" s="117" t="str">
        <x:v>Pending evidence</x:v>
      </x:c>
      <x:c r="AB462" s="117"/>
      <x:c r="AC462" s="117" t="str">
        <x:v>No qualifying accessibility conclusion established from the screened sources. This is unknown, not evidence that the attraction is inaccessible.</x:v>
      </x:c>
      <x:c r="AD462" s="117" t="str">
        <x:v>2026-09-08</x:v>
      </x:c>
      <x:c r="AE462" s="117" t="str">
        <x:v>MC0459</x:v>
      </x:c>
      <x:c r="AF462" s="117" t="str">
        <x:v>Distinct candidate</x:v>
      </x:c>
      <x:c r="AG462" s="117" t="str"/>
      <x:c r="AH462" s="117" t="str">
        <x:v>Listed by Tourism Malaysia</x:v>
      </x:c>
      <x:c r="AI462" s="117" t="str">
        <x:v>https://ebrochures.malaysia.travel/en/malaysia-travel-guide/kedah/</x:v>
      </x:c>
      <x:c r="AJ462" s="117" t="str">
        <x:v>Named visitor attraction in cited source; state-guide listings can be historical. Locality is catalogue metadata, not a surveyed address. Current operation remains unconfirmed.</x:v>
      </x:c>
      <x:c r="AK462" s="117" t="str">
        <x:v>Not independently confirmed</x:v>
      </x:c>
      <x:c r="AL462" s="117" t="str">
        <x:v>Screened sources; accessibility unresolved</x:v>
      </x:c>
      <x:c r="AM462" s="117" t="str">
        <x:v>2026-09-08</x:v>
      </x:c>
      <x:c r="AN462" s="117"/>
      <x:c r="AO462" s="117"/>
      <x:c r="AP462" s="117" t="str">
        <x:v>No usable pair located; image research pending</x:v>
      </x:c>
      <x:c r="AQ462" s="117"/>
    </x:row>
    <x:row r="463" ht="66" customHeight="1">
      <x:c r="A463" s="117" t="str">
        <x:v>MC0460</x:v>
      </x:c>
      <x:c r="B463" s="117" t="str">
        <x:v>Galeria Perdana</x:v>
      </x:c>
      <x:c r="C463" s="117" t="str">
        <x:v>Kedah</x:v>
      </x:c>
      <x:c r="D463" s="117" t="str">
        <x:v>Langkawi</x:v>
      </x:c>
      <x:c r="E463" s="117" t="str">
        <x:v>Museum and Gallery</x:v>
      </x:c>
      <x:c r="F463" s="117" t="str">
        <x:v>Unclassified</x:v>
      </x:c>
      <x:c r="G463" s="117" t="str">
        <x:v>Indoor</x:v>
      </x:c>
      <x:c r="H463" s="117" t="str">
        <x:v>Museum and Gallery; Langkawi</x:v>
      </x:c>
      <x:c r="I463" s="117" t="str">
        <x:v>A visitor attraction in Langkawi, Kedah, listed in Tourism Malaysia's state travel guide. Venue operation and the precise accessible route require confirmation.</x:v>
      </x:c>
      <x:c r="J463" s="117" t="str">
        <x:v>https://ebrochures.malaysia.travel/en/malaysia-travel-guide/kedah/</x:v>
      </x:c>
      <x:c r="K463" s="117" t="str">
        <x:v>https://ebrochures.malaysia.travel/en/malaysia-travel-guide/kedah/</x:v>
      </x:c>
      <x:c r="L463" s="117" t="str">
        <x:v>Tourism Malaysia listing; operation unconfirmed</x:v>
      </x:c>
      <x:c r="M463" s="117" t="str">
        <x:v>Nationwide expansion 2026-09-08</x:v>
      </x:c>
      <x:c r="N463" s="117"/>
      <x:c r="O463" s="117" t="str">
        <x:v>2026-09-08</x:v>
      </x:c>
      <x:c r="P463" s="117" t="str">
        <x:v>Complete</x:v>
      </x:c>
      <x:c r="Q463" s="117"/>
      <x:c r="R463" s="117" t="str">
        <x:f>IF(J463="","Missing Link",IF(AND(ISNUMBER(SEARCH("google.com/maps",J463)),ISERROR(SEARCH(";",J463))),"Discovery Link Only","Source Link Present"))</x:f>
        <x:v>Source Link Present</x:v>
      </x:c>
      <x:c r="S463" s="117" t="str">
        <x:v>Unknown</x:v>
      </x:c>
      <x:c r="T463" s="117" t="str">
        <x:v>Unknown</x:v>
      </x:c>
      <x:c r="U463" s="117" t="str">
        <x:v>Unknown</x:v>
      </x:c>
      <x:c r="V463" s="117" t="str">
        <x:v>Unknown</x:v>
      </x:c>
      <x:c r="W463" s="117" t="str">
        <x:v>Unknown</x:v>
      </x:c>
      <x:c r="X463" s="117" t="str">
        <x:v>Unknown</x:v>
      </x:c>
      <x:c r="Y463" s="117" t="str">
        <x:v>Unknown</x:v>
      </x:c>
      <x:c r="Z463" s="117"/>
      <x:c r="AA463" s="117" t="str">
        <x:v>Pending evidence</x:v>
      </x:c>
      <x:c r="AB463" s="117"/>
      <x:c r="AC463" s="117" t="str">
        <x:v>No qualifying accessibility conclusion established from the screened sources. This is unknown, not evidence that the attraction is inaccessible.</x:v>
      </x:c>
      <x:c r="AD463" s="117" t="str">
        <x:v>2026-09-08</x:v>
      </x:c>
      <x:c r="AE463" s="117" t="str">
        <x:v>MC0460</x:v>
      </x:c>
      <x:c r="AF463" s="117" t="str">
        <x:v>Distinct candidate</x:v>
      </x:c>
      <x:c r="AG463" s="117" t="str"/>
      <x:c r="AH463" s="117" t="str">
        <x:v>Listed by Tourism Malaysia</x:v>
      </x:c>
      <x:c r="AI463" s="117" t="str">
        <x:v>https://ebrochures.malaysia.travel/en/malaysia-travel-guide/kedah/</x:v>
      </x:c>
      <x:c r="AJ463" s="117" t="str">
        <x:v>Named visitor attraction in cited source; state-guide listings can be historical. Locality is catalogue metadata, not a surveyed address. Current operation remains unconfirmed.</x:v>
      </x:c>
      <x:c r="AK463" s="117" t="str">
        <x:v>Not independently confirmed</x:v>
      </x:c>
      <x:c r="AL463" s="117" t="str">
        <x:v>Screened sources; accessibility unresolved</x:v>
      </x:c>
      <x:c r="AM463" s="117" t="str">
        <x:v>2026-09-08</x:v>
      </x:c>
      <x:c r="AN463" s="117" t="str">
        <x:v>https://thumb.wikimedia.org/wikipedia/commons/thumb/f/f2/MY-Langkawi-perdana-1.jpg/1280px-MY-Langkawi-perdana-1.jpg?utm_source=commons.wikimedia.org&amp;utm_campaign=imageinfo&amp;utm_content=thumbnail</x:v>
      </x:c>
      <x:c r="AO463" s="117" t="str">
        <x:v>https://thumb.wikimedia.org/wikipedia/commons/thumb/9/95/MY-Langkawi-perdana-3.jpg/1280px-MY-Langkawi-perdana-3.jpg?utm_source=commons.wikimedia.org&amp;utm_campaign=imageinfo&amp;utm_content=thumbnail</x:v>
      </x:c>
      <x:c r="AP463" s="117" t="str">
        <x:v>2 metadata-matched images; visual review pending</x:v>
      </x:c>
      <x:c r="AQ463" s="117"/>
    </x:row>
    <x:row r="464" ht="66" customHeight="1">
      <x:c r="A464" s="117" t="str">
        <x:v>MC0461</x:v>
      </x:c>
      <x:c r="B464" s="117" t="str">
        <x:v>Langkawi Craft Complex</x:v>
      </x:c>
      <x:c r="C464" s="117" t="str">
        <x:v>Kedah</x:v>
      </x:c>
      <x:c r="D464" s="117" t="str">
        <x:v>Langkawi</x:v>
      </x:c>
      <x:c r="E464" s="117" t="str">
        <x:v>Farm and Visitor Experience</x:v>
      </x:c>
      <x:c r="F464" s="117" t="str">
        <x:v>Unclassified</x:v>
      </x:c>
      <x:c r="G464" s="117" t="str">
        <x:v>Both</x:v>
      </x:c>
      <x:c r="H464" s="117" t="str">
        <x:v>Farm and Visitor Experience; Langkawi</x:v>
      </x:c>
      <x:c r="I464" s="117" t="str">
        <x:v>A visitor attraction in Langkawi, Kedah, listed in Tourism Malaysia's state travel guide. Venue operation and the precise accessible route require confirmation.</x:v>
      </x:c>
      <x:c r="J464" s="117" t="str">
        <x:v>https://ebrochures.malaysia.travel/en/malaysia-travel-guide/kedah/</x:v>
      </x:c>
      <x:c r="K464" s="117" t="str">
        <x:v>https://ebrochures.malaysia.travel/en/malaysia-travel-guide/kedah/</x:v>
      </x:c>
      <x:c r="L464" s="117" t="str">
        <x:v>Tourism Malaysia listing; operation unconfirmed</x:v>
      </x:c>
      <x:c r="M464" s="117" t="str">
        <x:v>Nationwide expansion 2026-09-08</x:v>
      </x:c>
      <x:c r="N464" s="117"/>
      <x:c r="O464" s="117" t="str">
        <x:v>2026-09-08</x:v>
      </x:c>
      <x:c r="P464" s="117" t="str">
        <x:v>Complete</x:v>
      </x:c>
      <x:c r="Q464" s="117"/>
      <x:c r="R464" s="117" t="str">
        <x:f>IF(J464="","Missing Link",IF(AND(ISNUMBER(SEARCH("google.com/maps",J464)),ISERROR(SEARCH(";",J464))),"Discovery Link Only","Source Link Present"))</x:f>
        <x:v>Source Link Present</x:v>
      </x:c>
      <x:c r="S464" s="117" t="str">
        <x:v>Unknown</x:v>
      </x:c>
      <x:c r="T464" s="117" t="str">
        <x:v>Unknown</x:v>
      </x:c>
      <x:c r="U464" s="117" t="str">
        <x:v>Unknown</x:v>
      </x:c>
      <x:c r="V464" s="117" t="str">
        <x:v>Unknown</x:v>
      </x:c>
      <x:c r="W464" s="117" t="str">
        <x:v>Unknown</x:v>
      </x:c>
      <x:c r="X464" s="117" t="str">
        <x:v>Unknown</x:v>
      </x:c>
      <x:c r="Y464" s="117" t="str">
        <x:v>Unknown</x:v>
      </x:c>
      <x:c r="Z464" s="117"/>
      <x:c r="AA464" s="117" t="str">
        <x:v>Pending evidence</x:v>
      </x:c>
      <x:c r="AB464" s="117"/>
      <x:c r="AC464" s="117" t="str">
        <x:v>No qualifying accessibility conclusion established from the screened sources. This is unknown, not evidence that the attraction is inaccessible.</x:v>
      </x:c>
      <x:c r="AD464" s="117" t="str">
        <x:v>2026-09-08</x:v>
      </x:c>
      <x:c r="AE464" s="117" t="str">
        <x:v>MC0461</x:v>
      </x:c>
      <x:c r="AF464" s="117" t="str">
        <x:v>Distinct candidate</x:v>
      </x:c>
      <x:c r="AG464" s="117" t="str"/>
      <x:c r="AH464" s="117" t="str">
        <x:v>Listed by Tourism Malaysia</x:v>
      </x:c>
      <x:c r="AI464" s="117" t="str">
        <x:v>https://ebrochures.malaysia.travel/en/malaysia-travel-guide/kedah/</x:v>
      </x:c>
      <x:c r="AJ464" s="117" t="str">
        <x:v>Named visitor attraction in cited source; state-guide listings can be historical. Locality is catalogue metadata, not a surveyed address. Current operation remains unconfirmed.</x:v>
      </x:c>
      <x:c r="AK464" s="117" t="str">
        <x:v>Not independently confirmed</x:v>
      </x:c>
      <x:c r="AL464" s="117" t="str">
        <x:v>Screened sources; accessibility unresolved</x:v>
      </x:c>
      <x:c r="AM464" s="117" t="str">
        <x:v>2026-09-08</x:v>
      </x:c>
      <x:c r="AN464" s="117" t="str">
        <x:v>https://thumb.wikimedia.org/wikipedia/commons/thumb/0/05/MY-Langkawi-peta-komplex-3.jpg/1280px-MY-Langkawi-peta-komplex-3.jpg?utm_source=commons.wikimedia.org&amp;utm_campaign=imageinfo&amp;utm_content=thumbnail</x:v>
      </x:c>
      <x:c r="AO464" s="117" t="str">
        <x:v>https://thumb.wikimedia.org/wikipedia/commons/thumb/d/da/MY-Langkawi-peta-komplex-6.jpg/1280px-MY-Langkawi-peta-komplex-6.jpg?utm_source=commons.wikimedia.org&amp;utm_campaign=imageinfo&amp;utm_content=thumbnail</x:v>
      </x:c>
      <x:c r="AP464" s="117" t="str">
        <x:v>2 metadata-matched images; visual review pending</x:v>
      </x:c>
      <x:c r="AQ464" s="117"/>
    </x:row>
    <x:row r="465" ht="66" customHeight="1">
      <x:c r="A465" s="117" t="str">
        <x:v>MC0462</x:v>
      </x:c>
      <x:c r="B465" s="117" t="str">
        <x:v>Kota Mahsuri</x:v>
      </x:c>
      <x:c r="C465" s="117" t="str">
        <x:v>Kedah</x:v>
      </x:c>
      <x:c r="D465" s="117" t="str">
        <x:v>Langkawi</x:v>
      </x:c>
      <x:c r="E465" s="117" t="str">
        <x:v>Heritage and Visitor Attraction</x:v>
      </x:c>
      <x:c r="F465" s="117" t="str">
        <x:v>Unclassified</x:v>
      </x:c>
      <x:c r="G465" s="117" t="str">
        <x:v>Both</x:v>
      </x:c>
      <x:c r="H465" s="117" t="str">
        <x:v>Heritage and Visitor Attraction; Langkawi</x:v>
      </x:c>
      <x:c r="I465" s="117" t="str">
        <x:v>A visitor attraction in Langkawi, Kedah, listed in Tourism Malaysia's state travel guide. Venue operation and the precise accessible route require confirmation.</x:v>
      </x:c>
      <x:c r="J465" s="117" t="str">
        <x:v>https://ebrochures.malaysia.travel/en/malaysia-travel-guide/kedah/</x:v>
      </x:c>
      <x:c r="K465" s="117" t="str">
        <x:v>https://ebrochures.malaysia.travel/en/malaysia-travel-guide/kedah/</x:v>
      </x:c>
      <x:c r="L465" s="117" t="str">
        <x:v>Tourism Malaysia listing; operation unconfirmed</x:v>
      </x:c>
      <x:c r="M465" s="117" t="str">
        <x:v>Nationwide expansion 2026-09-08</x:v>
      </x:c>
      <x:c r="N465" s="117"/>
      <x:c r="O465" s="117" t="str">
        <x:v>2026-09-08</x:v>
      </x:c>
      <x:c r="P465" s="117" t="str">
        <x:v>Complete</x:v>
      </x:c>
      <x:c r="Q465" s="117"/>
      <x:c r="R465" s="117" t="str">
        <x:f>IF(J465="","Missing Link",IF(AND(ISNUMBER(SEARCH("google.com/maps",J465)),ISERROR(SEARCH(";",J465))),"Discovery Link Only","Source Link Present"))</x:f>
        <x:v>Source Link Present</x:v>
      </x:c>
      <x:c r="S465" s="117" t="str">
        <x:v>Unknown</x:v>
      </x:c>
      <x:c r="T465" s="117" t="str">
        <x:v>Unknown</x:v>
      </x:c>
      <x:c r="U465" s="117" t="str">
        <x:v>Unknown</x:v>
      </x:c>
      <x:c r="V465" s="117" t="str">
        <x:v>Unknown</x:v>
      </x:c>
      <x:c r="W465" s="117" t="str">
        <x:v>Unknown</x:v>
      </x:c>
      <x:c r="X465" s="117" t="str">
        <x:v>Unknown</x:v>
      </x:c>
      <x:c r="Y465" s="117" t="str">
        <x:v>Unknown</x:v>
      </x:c>
      <x:c r="Z465" s="117"/>
      <x:c r="AA465" s="117" t="str">
        <x:v>Pending evidence</x:v>
      </x:c>
      <x:c r="AB465" s="117"/>
      <x:c r="AC465" s="117" t="str">
        <x:v>No qualifying accessibility conclusion established from the screened sources. This is unknown, not evidence that the attraction is inaccessible.</x:v>
      </x:c>
      <x:c r="AD465" s="117" t="str">
        <x:v>2026-09-08</x:v>
      </x:c>
      <x:c r="AE465" s="117" t="str">
        <x:v>MC0462</x:v>
      </x:c>
      <x:c r="AF465" s="117" t="str">
        <x:v>Distinct candidate</x:v>
      </x:c>
      <x:c r="AG465" s="117" t="str"/>
      <x:c r="AH465" s="117" t="str">
        <x:v>Listed by Tourism Malaysia</x:v>
      </x:c>
      <x:c r="AI465" s="117" t="str">
        <x:v>https://ebrochures.malaysia.travel/en/malaysia-travel-guide/kedah/</x:v>
      </x:c>
      <x:c r="AJ465" s="117" t="str">
        <x:v>Named visitor attraction in cited source; state-guide listings can be historical. Locality is catalogue metadata, not a surveyed address. Current operation remains unconfirmed.</x:v>
      </x:c>
      <x:c r="AK465" s="117" t="str">
        <x:v>Not independently confirmed</x:v>
      </x:c>
      <x:c r="AL465" s="117" t="str">
        <x:v>Screened sources; accessibility unresolved</x:v>
      </x:c>
      <x:c r="AM465" s="117" t="str">
        <x:v>2026-09-08</x:v>
      </x:c>
      <x:c r="AN465" s="117"/>
      <x:c r="AO465" s="117"/>
      <x:c r="AP465" s="117" t="str">
        <x:v>No usable pair located; image research pending</x:v>
      </x:c>
      <x:c r="AQ465" s="117"/>
    </x:row>
    <x:row r="466" ht="66" customHeight="1">
      <x:c r="A466" s="117" t="str">
        <x:v>MC0463</x:v>
      </x:c>
      <x:c r="B466" s="117" t="str">
        <x:v>Temurun Waterfall</x:v>
      </x:c>
      <x:c r="C466" s="117" t="str">
        <x:v>Kedah</x:v>
      </x:c>
      <x:c r="D466" s="117" t="str">
        <x:v>Langkawi</x:v>
      </x:c>
      <x:c r="E466" s="117" t="str">
        <x:v>Nature</x:v>
      </x:c>
      <x:c r="F466" s="117" t="str">
        <x:v>Unclassified</x:v>
      </x:c>
      <x:c r="G466" s="117" t="str">
        <x:v>Outdoor</x:v>
      </x:c>
      <x:c r="H466" s="117" t="str">
        <x:v>Nature; Langkawi</x:v>
      </x:c>
      <x:c r="I466" s="117" t="str">
        <x:v>A visitor attraction in Langkawi, Kedah, listed in Tourism Malaysia's state travel guide. Venue operation and the precise accessible route require confirmation.</x:v>
      </x:c>
      <x:c r="J466" s="117" t="str">
        <x:v>https://ebrochures.malaysia.travel/en/malaysia-travel-guide/kedah/</x:v>
      </x:c>
      <x:c r="K466" s="117" t="str">
        <x:v>https://ebrochures.malaysia.travel/en/malaysia-travel-guide/kedah/</x:v>
      </x:c>
      <x:c r="L466" s="117" t="str">
        <x:v>Tourism Malaysia listing; operation unconfirmed</x:v>
      </x:c>
      <x:c r="M466" s="117" t="str">
        <x:v>Nationwide expansion 2026-09-08</x:v>
      </x:c>
      <x:c r="N466" s="117"/>
      <x:c r="O466" s="117" t="str">
        <x:v>2026-09-08</x:v>
      </x:c>
      <x:c r="P466" s="117" t="str">
        <x:v>Complete</x:v>
      </x:c>
      <x:c r="Q466" s="117"/>
      <x:c r="R466" s="117" t="str">
        <x:f>IF(J466="","Missing Link",IF(AND(ISNUMBER(SEARCH("google.com/maps",J466)),ISERROR(SEARCH(";",J466))),"Discovery Link Only","Source Link Present"))</x:f>
        <x:v>Source Link Present</x:v>
      </x:c>
      <x:c r="S466" s="117" t="str">
        <x:v>Unknown</x:v>
      </x:c>
      <x:c r="T466" s="117" t="str">
        <x:v>Unknown</x:v>
      </x:c>
      <x:c r="U466" s="117" t="str">
        <x:v>Unknown</x:v>
      </x:c>
      <x:c r="V466" s="117" t="str">
        <x:v>Unknown</x:v>
      </x:c>
      <x:c r="W466" s="117" t="str">
        <x:v>Unknown</x:v>
      </x:c>
      <x:c r="X466" s="117" t="str">
        <x:v>Unknown</x:v>
      </x:c>
      <x:c r="Y466" s="117" t="str">
        <x:v>Unknown</x:v>
      </x:c>
      <x:c r="Z466" s="117"/>
      <x:c r="AA466" s="117" t="str">
        <x:v>Pending evidence</x:v>
      </x:c>
      <x:c r="AB466" s="117"/>
      <x:c r="AC466" s="117" t="str">
        <x:v>No qualifying accessibility conclusion established from the screened sources. This is unknown, not evidence that the attraction is inaccessible.</x:v>
      </x:c>
      <x:c r="AD466" s="117" t="str">
        <x:v>2026-09-08</x:v>
      </x:c>
      <x:c r="AE466" s="117" t="str">
        <x:v>MC0463</x:v>
      </x:c>
      <x:c r="AF466" s="117" t="str">
        <x:v>Distinct candidate</x:v>
      </x:c>
      <x:c r="AG466" s="117" t="str"/>
      <x:c r="AH466" s="117" t="str">
        <x:v>Listed by Tourism Malaysia</x:v>
      </x:c>
      <x:c r="AI466" s="117" t="str">
        <x:v>https://ebrochures.malaysia.travel/en/malaysia-travel-guide/kedah/</x:v>
      </x:c>
      <x:c r="AJ466" s="117" t="str">
        <x:v>Named visitor attraction in cited source; state-guide listings can be historical. Locality is catalogue metadata, not a surveyed address. Current operation remains unconfirmed.</x:v>
      </x:c>
      <x:c r="AK466" s="117" t="str">
        <x:v>Not independently confirmed</x:v>
      </x:c>
      <x:c r="AL466" s="117" t="str">
        <x:v>Screened sources; accessibility unresolved</x:v>
      </x:c>
      <x:c r="AM466" s="117" t="str">
        <x:v>2026-09-08</x:v>
      </x:c>
      <x:c r="AN466" s="117" t="str">
        <x:v>https://thumb.wikimedia.org/wikipedia/commons/thumb/f/fb/Tight_knit_community.jpg/1280px-Tight_knit_community.jpg?utm_source=commons.wikimedia.org&amp;utm_campaign=imageinfo&amp;utm_content=thumbnail</x:v>
      </x:c>
      <x:c r="AO466" s="117" t="str">
        <x:v>https://thumb.wikimedia.org/wikipedia/commons/thumb/d/d5/A_peak_at_nature%27s_beauty.jpg/1280px-A_peak_at_nature%27s_beauty.jpg?utm_source=commons.wikimedia.org&amp;utm_campaign=imageinfo&amp;utm_content=thumbnail</x:v>
      </x:c>
      <x:c r="AP466" s="117" t="str">
        <x:v>2 metadata-matched images; visual review pending</x:v>
      </x:c>
      <x:c r="AQ466" s="117"/>
    </x:row>
    <x:row r="467" ht="66" customHeight="1">
      <x:c r="A467" s="117" t="str">
        <x:v>MC0464</x:v>
      </x:c>
      <x:c r="B467" s="117" t="str">
        <x:v>Beras Basah Island</x:v>
      </x:c>
      <x:c r="C467" s="117" t="str">
        <x:v>Kedah</x:v>
      </x:c>
      <x:c r="D467" s="117" t="str">
        <x:v>Langkawi</x:v>
      </x:c>
      <x:c r="E467" s="117" t="str">
        <x:v>Beach and Island</x:v>
      </x:c>
      <x:c r="F467" s="117" t="str">
        <x:v>Unclassified</x:v>
      </x:c>
      <x:c r="G467" s="117" t="str">
        <x:v>Outdoor</x:v>
      </x:c>
      <x:c r="H467" s="117" t="str">
        <x:v>Beach and Island; Langkawi</x:v>
      </x:c>
      <x:c r="I467" s="117" t="str">
        <x:v>A visitor attraction in Langkawi, Kedah, listed in Tourism Malaysia's state travel guide. Venue operation and the precise accessible route require confirmation.</x:v>
      </x:c>
      <x:c r="J467" s="117" t="str">
        <x:v>https://ebrochures.malaysia.travel/en/malaysia-travel-guide/kedah/</x:v>
      </x:c>
      <x:c r="K467" s="117" t="str">
        <x:v>https://ebrochures.malaysia.travel/en/malaysia-travel-guide/kedah/</x:v>
      </x:c>
      <x:c r="L467" s="117" t="str">
        <x:v>Tourism Malaysia listing; operation unconfirmed</x:v>
      </x:c>
      <x:c r="M467" s="117" t="str">
        <x:v>Nationwide expansion 2026-09-08</x:v>
      </x:c>
      <x:c r="N467" s="117"/>
      <x:c r="O467" s="117" t="str">
        <x:v>2026-09-08</x:v>
      </x:c>
      <x:c r="P467" s="117" t="str">
        <x:v>Complete</x:v>
      </x:c>
      <x:c r="Q467" s="117"/>
      <x:c r="R467" s="117" t="str">
        <x:f>IF(J467="","Missing Link",IF(AND(ISNUMBER(SEARCH("google.com/maps",J467)),ISERROR(SEARCH(";",J467))),"Discovery Link Only","Source Link Present"))</x:f>
        <x:v>Source Link Present</x:v>
      </x:c>
      <x:c r="S467" s="117" t="str">
        <x:v>Unknown</x:v>
      </x:c>
      <x:c r="T467" s="117" t="str">
        <x:v>Unknown</x:v>
      </x:c>
      <x:c r="U467" s="117" t="str">
        <x:v>Unknown</x:v>
      </x:c>
      <x:c r="V467" s="117" t="str">
        <x:v>Unknown</x:v>
      </x:c>
      <x:c r="W467" s="117" t="str">
        <x:v>Unknown</x:v>
      </x:c>
      <x:c r="X467" s="117" t="str">
        <x:v>Unknown</x:v>
      </x:c>
      <x:c r="Y467" s="117" t="str">
        <x:v>Unknown</x:v>
      </x:c>
      <x:c r="Z467" s="117"/>
      <x:c r="AA467" s="117" t="str">
        <x:v>Pending evidence</x:v>
      </x:c>
      <x:c r="AB467" s="117"/>
      <x:c r="AC467" s="117" t="str">
        <x:v>No qualifying accessibility conclusion established from the screened sources. This is unknown, not evidence that the attraction is inaccessible.</x:v>
      </x:c>
      <x:c r="AD467" s="117" t="str">
        <x:v>2026-09-08</x:v>
      </x:c>
      <x:c r="AE467" s="117" t="str">
        <x:v>MC0464</x:v>
      </x:c>
      <x:c r="AF467" s="117" t="str">
        <x:v>Distinct candidate</x:v>
      </x:c>
      <x:c r="AG467" s="117" t="str"/>
      <x:c r="AH467" s="117" t="str">
        <x:v>Listed by Tourism Malaysia</x:v>
      </x:c>
      <x:c r="AI467" s="117" t="str">
        <x:v>https://ebrochures.malaysia.travel/en/malaysia-travel-guide/kedah/</x:v>
      </x:c>
      <x:c r="AJ467" s="117" t="str">
        <x:v>Named visitor attraction in cited source; state-guide listings can be historical. Locality is catalogue metadata, not a surveyed address. Current operation remains unconfirmed.</x:v>
      </x:c>
      <x:c r="AK467" s="117" t="str">
        <x:v>Not independently confirmed</x:v>
      </x:c>
      <x:c r="AL467" s="117" t="str">
        <x:v>Screened sources; accessibility unresolved</x:v>
      </x:c>
      <x:c r="AM467" s="117" t="str">
        <x:v>2026-09-08</x:v>
      </x:c>
      <x:c r="AN467" s="117" t="str">
        <x:v>https://thumb.wikimedia.org/wikipedia/commons/thumb/8/84/Pulau_Beras_Basah_March_2018.jpg/1280px-Pulau_Beras_Basah_March_2018.jpg?utm_source=commons.wikimedia.org&amp;utm_campaign=imageinfo&amp;utm_content=thumbnail</x:v>
      </x:c>
      <x:c r="AO467" s="117" t="str">
        <x:v>https://thumb.wikimedia.org/wikipedia/commons/thumb/3/3c/Pulau_Beras_Basah.jpg/1280px-Pulau_Beras_Basah.jpg?utm_source=commons.wikimedia.org&amp;utm_campaign=imageinfo&amp;utm_content=thumbnail</x:v>
      </x:c>
      <x:c r="AP467" s="117" t="str">
        <x:v>2 metadata-matched images; visual review pending</x:v>
      </x:c>
      <x:c r="AQ467" s="117"/>
    </x:row>
    <x:row r="468" ht="66" customHeight="1">
      <x:c r="A468" s="117" t="str">
        <x:v>MC0465</x:v>
      </x:c>
      <x:c r="B468" s="117" t="str">
        <x:v>Taman Lagenda Langkawi</x:v>
      </x:c>
      <x:c r="C468" s="117" t="str">
        <x:v>Kedah</x:v>
      </x:c>
      <x:c r="D468" s="117" t="str">
        <x:v>Langkawi</x:v>
      </x:c>
      <x:c r="E468" s="117" t="str">
        <x:v>Heritage and Visitor Attraction</x:v>
      </x:c>
      <x:c r="F468" s="117" t="str">
        <x:v>Unclassified</x:v>
      </x:c>
      <x:c r="G468" s="117" t="str">
        <x:v>Both</x:v>
      </x:c>
      <x:c r="H468" s="117" t="str">
        <x:v>Heritage and Visitor Attraction; Langkawi</x:v>
      </x:c>
      <x:c r="I468" s="117" t="str">
        <x:v>A visitor attraction in Langkawi, Kedah, listed in Tourism Malaysia's state travel guide. Venue operation and the precise accessible route require confirmation.</x:v>
      </x:c>
      <x:c r="J468" s="117" t="str">
        <x:v>https://ebrochures.malaysia.travel/en/malaysia-travel-guide/kedah/</x:v>
      </x:c>
      <x:c r="K468" s="117" t="str">
        <x:v>https://ebrochures.malaysia.travel/en/malaysia-travel-guide/kedah/</x:v>
      </x:c>
      <x:c r="L468" s="117" t="str">
        <x:v>Tourism Malaysia listing; operation unconfirmed</x:v>
      </x:c>
      <x:c r="M468" s="117" t="str">
        <x:v>Nationwide expansion 2026-09-08</x:v>
      </x:c>
      <x:c r="N468" s="117"/>
      <x:c r="O468" s="117" t="str">
        <x:v>2026-09-08</x:v>
      </x:c>
      <x:c r="P468" s="117" t="str">
        <x:v>Complete</x:v>
      </x:c>
      <x:c r="Q468" s="117"/>
      <x:c r="R468" s="117" t="str">
        <x:f>IF(J468="","Missing Link",IF(AND(ISNUMBER(SEARCH("google.com/maps",J468)),ISERROR(SEARCH(";",J468))),"Discovery Link Only","Source Link Present"))</x:f>
        <x:v>Source Link Present</x:v>
      </x:c>
      <x:c r="S468" s="117" t="str">
        <x:v>Unknown</x:v>
      </x:c>
      <x:c r="T468" s="117" t="str">
        <x:v>Unknown</x:v>
      </x:c>
      <x:c r="U468" s="117" t="str">
        <x:v>Unknown</x:v>
      </x:c>
      <x:c r="V468" s="117" t="str">
        <x:v>Unknown</x:v>
      </x:c>
      <x:c r="W468" s="117" t="str">
        <x:v>Unknown</x:v>
      </x:c>
      <x:c r="X468" s="117" t="str">
        <x:v>Unknown</x:v>
      </x:c>
      <x:c r="Y468" s="117" t="str">
        <x:v>Unknown</x:v>
      </x:c>
      <x:c r="Z468" s="117"/>
      <x:c r="AA468" s="117" t="str">
        <x:v>Pending evidence</x:v>
      </x:c>
      <x:c r="AB468" s="117"/>
      <x:c r="AC468" s="117" t="str">
        <x:v>No qualifying accessibility conclusion established from the screened sources. This is unknown, not evidence that the attraction is inaccessible.</x:v>
      </x:c>
      <x:c r="AD468" s="117" t="str">
        <x:v>2026-09-08</x:v>
      </x:c>
      <x:c r="AE468" s="117" t="str">
        <x:v>MC0465</x:v>
      </x:c>
      <x:c r="AF468" s="117" t="str">
        <x:v>Distinct candidate</x:v>
      </x:c>
      <x:c r="AG468" s="117" t="str"/>
      <x:c r="AH468" s="117" t="str">
        <x:v>Listed by Tourism Malaysia</x:v>
      </x:c>
      <x:c r="AI468" s="117" t="str">
        <x:v>https://ebrochures.malaysia.travel/en/malaysia-travel-guide/kedah/</x:v>
      </x:c>
      <x:c r="AJ468" s="117" t="str">
        <x:v>Named visitor attraction in cited source; state-guide listings can be historical. Locality is catalogue metadata, not a surveyed address. Current operation remains unconfirmed.</x:v>
      </x:c>
      <x:c r="AK468" s="117" t="str">
        <x:v>Not independently confirmed</x:v>
      </x:c>
      <x:c r="AL468" s="117" t="str">
        <x:v>Screened sources; accessibility unresolved</x:v>
      </x:c>
      <x:c r="AM468" s="117" t="str">
        <x:v>2026-09-08</x:v>
      </x:c>
      <x:c r="AN468" s="117"/>
      <x:c r="AO468" s="117"/>
      <x:c r="AP468" s="117" t="str">
        <x:v>No usable pair located; image research pending</x:v>
      </x:c>
      <x:c r="AQ468" s="117"/>
    </x:row>
    <x:row r="469" ht="66" customHeight="1">
      <x:c r="A469" s="117" t="str">
        <x:v>MC0466</x:v>
      </x:c>
      <x:c r="B469" s="117" t="str">
        <x:v>Air Hangat Village</x:v>
      </x:c>
      <x:c r="C469" s="117" t="str">
        <x:v>Kedah</x:v>
      </x:c>
      <x:c r="D469" s="117" t="str">
        <x:v>Langkawi</x:v>
      </x:c>
      <x:c r="E469" s="117" t="str">
        <x:v>Heritage and Visitor Attraction</x:v>
      </x:c>
      <x:c r="F469" s="117" t="str">
        <x:v>Unclassified</x:v>
      </x:c>
      <x:c r="G469" s="117" t="str">
        <x:v>Both</x:v>
      </x:c>
      <x:c r="H469" s="117" t="str">
        <x:v>Heritage and Visitor Attraction; Langkawi</x:v>
      </x:c>
      <x:c r="I469" s="117" t="str">
        <x:v>A visitor attraction in Langkawi, Kedah, listed in Tourism Malaysia's state travel guide. Venue operation and the precise accessible route require confirmation.</x:v>
      </x:c>
      <x:c r="J469" s="117" t="str">
        <x:v>https://ebrochures.malaysia.travel/en/malaysia-travel-guide/kedah/</x:v>
      </x:c>
      <x:c r="K469" s="117" t="str">
        <x:v>https://ebrochures.malaysia.travel/en/malaysia-travel-guide/kedah/</x:v>
      </x:c>
      <x:c r="L469" s="117" t="str">
        <x:v>Tourism Malaysia listing; operation unconfirmed</x:v>
      </x:c>
      <x:c r="M469" s="117" t="str">
        <x:v>Nationwide expansion 2026-09-08</x:v>
      </x:c>
      <x:c r="N469" s="117"/>
      <x:c r="O469" s="117" t="str">
        <x:v>2026-09-08</x:v>
      </x:c>
      <x:c r="P469" s="117" t="str">
        <x:v>Complete</x:v>
      </x:c>
      <x:c r="Q469" s="117"/>
      <x:c r="R469" s="117" t="str">
        <x:f>IF(J469="","Missing Link",IF(AND(ISNUMBER(SEARCH("google.com/maps",J469)),ISERROR(SEARCH(";",J469))),"Discovery Link Only","Source Link Present"))</x:f>
        <x:v>Source Link Present</x:v>
      </x:c>
      <x:c r="S469" s="117" t="str">
        <x:v>Unknown</x:v>
      </x:c>
      <x:c r="T469" s="117" t="str">
        <x:v>Unknown</x:v>
      </x:c>
      <x:c r="U469" s="117" t="str">
        <x:v>Unknown</x:v>
      </x:c>
      <x:c r="V469" s="117" t="str">
        <x:v>Unknown</x:v>
      </x:c>
      <x:c r="W469" s="117" t="str">
        <x:v>Unknown</x:v>
      </x:c>
      <x:c r="X469" s="117" t="str">
        <x:v>Unknown</x:v>
      </x:c>
      <x:c r="Y469" s="117" t="str">
        <x:v>Unknown</x:v>
      </x:c>
      <x:c r="Z469" s="117"/>
      <x:c r="AA469" s="117" t="str">
        <x:v>Pending evidence</x:v>
      </x:c>
      <x:c r="AB469" s="117"/>
      <x:c r="AC469" s="117" t="str">
        <x:v>No qualifying accessibility conclusion established from the screened sources. This is unknown, not evidence that the attraction is inaccessible.</x:v>
      </x:c>
      <x:c r="AD469" s="117" t="str">
        <x:v>2026-09-08</x:v>
      </x:c>
      <x:c r="AE469" s="117" t="str">
        <x:v>MC0466</x:v>
      </x:c>
      <x:c r="AF469" s="117" t="str">
        <x:v>Distinct candidate</x:v>
      </x:c>
      <x:c r="AG469" s="117" t="str"/>
      <x:c r="AH469" s="117" t="str">
        <x:v>Listed by Tourism Malaysia</x:v>
      </x:c>
      <x:c r="AI469" s="117" t="str">
        <x:v>https://ebrochures.malaysia.travel/en/malaysia-travel-guide/kedah/</x:v>
      </x:c>
      <x:c r="AJ469" s="117" t="str">
        <x:v>Named visitor attraction in cited source; state-guide listings can be historical. Locality is catalogue metadata, not a surveyed address. Current operation remains unconfirmed.</x:v>
      </x:c>
      <x:c r="AK469" s="117" t="str">
        <x:v>Not independently confirmed</x:v>
      </x:c>
      <x:c r="AL469" s="117" t="str">
        <x:v>Screened sources; accessibility unresolved</x:v>
      </x:c>
      <x:c r="AM469" s="117" t="str">
        <x:v>2026-09-08</x:v>
      </x:c>
      <x:c r="AN469" s="117"/>
      <x:c r="AO469" s="117"/>
      <x:c r="AP469" s="117" t="str">
        <x:v>No usable pair located; image research pending</x:v>
      </x:c>
      <x:c r="AQ469" s="117"/>
    </x:row>
    <x:row r="470" ht="66" customHeight="1">
      <x:c r="A470" s="117" t="str">
        <x:v>MC0467</x:v>
      </x:c>
      <x:c r="B470" s="117" t="str">
        <x:v>Crocodile Adventureland Langkawi</x:v>
      </x:c>
      <x:c r="C470" s="117" t="str">
        <x:v>Kedah</x:v>
      </x:c>
      <x:c r="D470" s="117" t="str">
        <x:v>Langkawi</x:v>
      </x:c>
      <x:c r="E470" s="117" t="str">
        <x:v>Wildlife</x:v>
      </x:c>
      <x:c r="F470" s="117" t="str">
        <x:v>Unclassified</x:v>
      </x:c>
      <x:c r="G470" s="117" t="str">
        <x:v>Outdoor</x:v>
      </x:c>
      <x:c r="H470" s="117" t="str">
        <x:v>Wildlife; Langkawi</x:v>
      </x:c>
      <x:c r="I470" s="117" t="str">
        <x:v>A visitor attraction in Langkawi, Kedah, listed in Tourism Malaysia's state travel guide. Venue operation and the precise accessible route require confirmation.</x:v>
      </x:c>
      <x:c r="J470" s="117" t="str">
        <x:v>https://ebrochures.malaysia.travel/en/malaysia-travel-guide/kedah/</x:v>
      </x:c>
      <x:c r="K470" s="117" t="str">
        <x:v>https://ebrochures.malaysia.travel/en/malaysia-travel-guide/kedah/</x:v>
      </x:c>
      <x:c r="L470" s="117" t="str">
        <x:v>Tourism Malaysia listing; operation unconfirmed</x:v>
      </x:c>
      <x:c r="M470" s="117" t="str">
        <x:v>Nationwide expansion 2026-09-08</x:v>
      </x:c>
      <x:c r="N470" s="117"/>
      <x:c r="O470" s="117" t="str">
        <x:v>2026-09-08</x:v>
      </x:c>
      <x:c r="P470" s="117" t="str">
        <x:v>Complete</x:v>
      </x:c>
      <x:c r="Q470" s="117"/>
      <x:c r="R470" s="117" t="str">
        <x:f>IF(J470="","Missing Link",IF(AND(ISNUMBER(SEARCH("google.com/maps",J470)),ISERROR(SEARCH(";",J470))),"Discovery Link Only","Source Link Present"))</x:f>
        <x:v>Source Link Present</x:v>
      </x:c>
      <x:c r="S470" s="117" t="str">
        <x:v>Unknown</x:v>
      </x:c>
      <x:c r="T470" s="117" t="str">
        <x:v>Unknown</x:v>
      </x:c>
      <x:c r="U470" s="117" t="str">
        <x:v>Unknown</x:v>
      </x:c>
      <x:c r="V470" s="117" t="str">
        <x:v>Unknown</x:v>
      </x:c>
      <x:c r="W470" s="117" t="str">
        <x:v>Unknown</x:v>
      </x:c>
      <x:c r="X470" s="117" t="str">
        <x:v>Unknown</x:v>
      </x:c>
      <x:c r="Y470" s="117" t="str">
        <x:v>Unknown</x:v>
      </x:c>
      <x:c r="Z470" s="117"/>
      <x:c r="AA470" s="117" t="str">
        <x:v>Pending evidence</x:v>
      </x:c>
      <x:c r="AB470" s="117"/>
      <x:c r="AC470" s="117" t="str">
        <x:v>No qualifying accessibility conclusion established from the screened sources. This is unknown, not evidence that the attraction is inaccessible.</x:v>
      </x:c>
      <x:c r="AD470" s="117" t="str">
        <x:v>2026-09-08</x:v>
      </x:c>
      <x:c r="AE470" s="117" t="str">
        <x:v>MC0467</x:v>
      </x:c>
      <x:c r="AF470" s="117" t="str">
        <x:v>Distinct candidate</x:v>
      </x:c>
      <x:c r="AG470" s="117" t="str"/>
      <x:c r="AH470" s="117" t="str">
        <x:v>Listed by Tourism Malaysia</x:v>
      </x:c>
      <x:c r="AI470" s="117" t="str">
        <x:v>https://ebrochures.malaysia.travel/en/malaysia-travel-guide/kedah/</x:v>
      </x:c>
      <x:c r="AJ470" s="117" t="str">
        <x:v>Named visitor attraction in cited source; state-guide listings can be historical. Locality is catalogue metadata, not a surveyed address. Current operation remains unconfirmed.</x:v>
      </x:c>
      <x:c r="AK470" s="117" t="str">
        <x:v>Not independently confirmed</x:v>
      </x:c>
      <x:c r="AL470" s="117" t="str">
        <x:v>Screened sources; accessibility unresolved</x:v>
      </x:c>
      <x:c r="AM470" s="117" t="str">
        <x:v>2026-09-08</x:v>
      </x:c>
      <x:c r="AN470" s="117"/>
      <x:c r="AO470" s="117"/>
      <x:c r="AP470" s="117" t="str">
        <x:v>No usable pair located; image research pending</x:v>
      </x:c>
      <x:c r="AQ470" s="117"/>
    </x:row>
    <x:row r="471" ht="66" customHeight="1">
      <x:c r="A471" s="117" t="str">
        <x:v>MC0468</x:v>
      </x:c>
      <x:c r="B471" s="117" t="str">
        <x:v>Durian Perangin Waterfall</x:v>
      </x:c>
      <x:c r="C471" s="117" t="str">
        <x:v>Kedah</x:v>
      </x:c>
      <x:c r="D471" s="117" t="str">
        <x:v>Langkawi</x:v>
      </x:c>
      <x:c r="E471" s="117" t="str">
        <x:v>Nature</x:v>
      </x:c>
      <x:c r="F471" s="117" t="str">
        <x:v>Unclassified</x:v>
      </x:c>
      <x:c r="G471" s="117" t="str">
        <x:v>Outdoor</x:v>
      </x:c>
      <x:c r="H471" s="117" t="str">
        <x:v>Nature; Langkawi</x:v>
      </x:c>
      <x:c r="I471" s="117" t="str">
        <x:v>A visitor attraction in Langkawi, Kedah, listed in Tourism Malaysia's state travel guide. Venue operation and the precise accessible route require confirmation.</x:v>
      </x:c>
      <x:c r="J471" s="117" t="str">
        <x:v>https://ebrochures.malaysia.travel/en/malaysia-travel-guide/kedah/</x:v>
      </x:c>
      <x:c r="K471" s="117" t="str">
        <x:v>https://ebrochures.malaysia.travel/en/malaysia-travel-guide/kedah/</x:v>
      </x:c>
      <x:c r="L471" s="117" t="str">
        <x:v>Tourism Malaysia listing; operation unconfirmed</x:v>
      </x:c>
      <x:c r="M471" s="117" t="str">
        <x:v>Nationwide expansion 2026-09-08</x:v>
      </x:c>
      <x:c r="N471" s="117"/>
      <x:c r="O471" s="117" t="str">
        <x:v>2026-09-08</x:v>
      </x:c>
      <x:c r="P471" s="117" t="str">
        <x:v>Complete</x:v>
      </x:c>
      <x:c r="Q471" s="117"/>
      <x:c r="R471" s="117" t="str">
        <x:f>IF(J471="","Missing Link",IF(AND(ISNUMBER(SEARCH("google.com/maps",J471)),ISERROR(SEARCH(";",J471))),"Discovery Link Only","Source Link Present"))</x:f>
        <x:v>Source Link Present</x:v>
      </x:c>
      <x:c r="S471" s="117" t="str">
        <x:v>Unknown</x:v>
      </x:c>
      <x:c r="T471" s="117" t="str">
        <x:v>Unknown</x:v>
      </x:c>
      <x:c r="U471" s="117" t="str">
        <x:v>Unknown</x:v>
      </x:c>
      <x:c r="V471" s="117" t="str">
        <x:v>Unknown</x:v>
      </x:c>
      <x:c r="W471" s="117" t="str">
        <x:v>Unknown</x:v>
      </x:c>
      <x:c r="X471" s="117" t="str">
        <x:v>Unknown</x:v>
      </x:c>
      <x:c r="Y471" s="117" t="str">
        <x:v>Unknown</x:v>
      </x:c>
      <x:c r="Z471" s="117"/>
      <x:c r="AA471" s="117" t="str">
        <x:v>Pending evidence</x:v>
      </x:c>
      <x:c r="AB471" s="117"/>
      <x:c r="AC471" s="117" t="str">
        <x:v>No qualifying accessibility conclusion established from the screened sources. This is unknown, not evidence that the attraction is inaccessible.</x:v>
      </x:c>
      <x:c r="AD471" s="117" t="str">
        <x:v>2026-09-08</x:v>
      </x:c>
      <x:c r="AE471" s="117" t="str">
        <x:v>MC0468</x:v>
      </x:c>
      <x:c r="AF471" s="117" t="str">
        <x:v>Distinct candidate</x:v>
      </x:c>
      <x:c r="AG471" s="117" t="str"/>
      <x:c r="AH471" s="117" t="str">
        <x:v>Listed by Tourism Malaysia</x:v>
      </x:c>
      <x:c r="AI471" s="117" t="str">
        <x:v>https://ebrochures.malaysia.travel/en/malaysia-travel-guide/kedah/</x:v>
      </x:c>
      <x:c r="AJ471" s="117" t="str">
        <x:v>Named visitor attraction in cited source; state-guide listings can be historical. Locality is catalogue metadata, not a surveyed address. Current operation remains unconfirmed.</x:v>
      </x:c>
      <x:c r="AK471" s="117" t="str">
        <x:v>Not independently confirmed</x:v>
      </x:c>
      <x:c r="AL471" s="117" t="str">
        <x:v>Screened sources; accessibility unresolved</x:v>
      </x:c>
      <x:c r="AM471" s="117" t="str">
        <x:v>2026-09-08</x:v>
      </x:c>
      <x:c r="AN471" s="117" t="str">
        <x:v>https://thumb.wikimedia.org/wikipedia/commons/thumb/a/ac/Durian_Perangin_Waterfall%2C_Langkawi%2C_Kedah%2C_Malaysia_%2823964618865%29.jpg/1280px-Durian_Perangin_Waterfall%2C_Langkawi%2C_Kedah%2C_Malaysia_%2823964618865%29.jpg?utm_source=commons.wikimedia.org&amp;utm_campaign=imageinfo&amp;utm_content=thumbnail</x:v>
      </x:c>
      <x:c r="AO471" s="117"/>
      <x:c r="AP471" s="117" t="str">
        <x:v>1 metadata-matched images; visual review pending</x:v>
      </x:c>
      <x:c r="AQ471" s="117"/>
    </x:row>
    <x:row r="472" ht="66" customHeight="1">
      <x:c r="A472" s="117" t="str">
        <x:v>MC0469</x:v>
      </x:c>
      <x:c r="B472" s="117" t="str">
        <x:v>Beras Terbakar</x:v>
      </x:c>
      <x:c r="C472" s="117" t="str">
        <x:v>Kedah</x:v>
      </x:c>
      <x:c r="D472" s="117" t="str">
        <x:v>Langkawi</x:v>
      </x:c>
      <x:c r="E472" s="117" t="str">
        <x:v>Heritage and Visitor Attraction</x:v>
      </x:c>
      <x:c r="F472" s="117" t="str">
        <x:v>Unclassified</x:v>
      </x:c>
      <x:c r="G472" s="117" t="str">
        <x:v>Both</x:v>
      </x:c>
      <x:c r="H472" s="117" t="str">
        <x:v>Heritage and Visitor Attraction; Langkawi</x:v>
      </x:c>
      <x:c r="I472" s="117" t="str">
        <x:v>A visitor attraction in Langkawi, Kedah, listed in Tourism Malaysia's state travel guide. Venue operation and the precise accessible route require confirmation.</x:v>
      </x:c>
      <x:c r="J472" s="117" t="str">
        <x:v>https://ebrochures.malaysia.travel/en/malaysia-travel-guide/kedah/</x:v>
      </x:c>
      <x:c r="K472" s="117" t="str">
        <x:v>https://ebrochures.malaysia.travel/en/malaysia-travel-guide/kedah/</x:v>
      </x:c>
      <x:c r="L472" s="117" t="str">
        <x:v>Tourism Malaysia listing; operation unconfirmed</x:v>
      </x:c>
      <x:c r="M472" s="117" t="str">
        <x:v>Nationwide expansion 2026-09-08</x:v>
      </x:c>
      <x:c r="N472" s="117"/>
      <x:c r="O472" s="117" t="str">
        <x:v>2026-09-08</x:v>
      </x:c>
      <x:c r="P472" s="117" t="str">
        <x:v>Complete</x:v>
      </x:c>
      <x:c r="Q472" s="117"/>
      <x:c r="R472" s="117" t="str">
        <x:f>IF(J472="","Missing Link",IF(AND(ISNUMBER(SEARCH("google.com/maps",J472)),ISERROR(SEARCH(";",J472))),"Discovery Link Only","Source Link Present"))</x:f>
        <x:v>Source Link Present</x:v>
      </x:c>
      <x:c r="S472" s="117" t="str">
        <x:v>Unknown</x:v>
      </x:c>
      <x:c r="T472" s="117" t="str">
        <x:v>Unknown</x:v>
      </x:c>
      <x:c r="U472" s="117" t="str">
        <x:v>Unknown</x:v>
      </x:c>
      <x:c r="V472" s="117" t="str">
        <x:v>Unknown</x:v>
      </x:c>
      <x:c r="W472" s="117" t="str">
        <x:v>Unknown</x:v>
      </x:c>
      <x:c r="X472" s="117" t="str">
        <x:v>Unknown</x:v>
      </x:c>
      <x:c r="Y472" s="117" t="str">
        <x:v>Unknown</x:v>
      </x:c>
      <x:c r="Z472" s="117"/>
      <x:c r="AA472" s="117" t="str">
        <x:v>Pending evidence</x:v>
      </x:c>
      <x:c r="AB472" s="117"/>
      <x:c r="AC472" s="117" t="str">
        <x:v>No qualifying accessibility conclusion established from the screened sources. This is unknown, not evidence that the attraction is inaccessible.</x:v>
      </x:c>
      <x:c r="AD472" s="117" t="str">
        <x:v>2026-09-08</x:v>
      </x:c>
      <x:c r="AE472" s="117" t="str">
        <x:v>MC0469</x:v>
      </x:c>
      <x:c r="AF472" s="117" t="str">
        <x:v>Distinct candidate</x:v>
      </x:c>
      <x:c r="AG472" s="117" t="str"/>
      <x:c r="AH472" s="117" t="str">
        <x:v>Listed by Tourism Malaysia</x:v>
      </x:c>
      <x:c r="AI472" s="117" t="str">
        <x:v>https://ebrochures.malaysia.travel/en/malaysia-travel-guide/kedah/</x:v>
      </x:c>
      <x:c r="AJ472" s="117" t="str">
        <x:v>Named visitor attraction in cited source; state-guide listings can be historical. Locality is catalogue metadata, not a surveyed address. Current operation remains unconfirmed.</x:v>
      </x:c>
      <x:c r="AK472" s="117" t="str">
        <x:v>Not independently confirmed</x:v>
      </x:c>
      <x:c r="AL472" s="117" t="str">
        <x:v>Screened sources; accessibility unresolved</x:v>
      </x:c>
      <x:c r="AM472" s="117" t="str">
        <x:v>2026-09-08</x:v>
      </x:c>
      <x:c r="AN472" s="117" t="str">
        <x:v>https://thumb.wikimedia.org/wikipedia/commons/thumb/a/ab/Tapak_beras_terbakar.JPG/1280px-Tapak_beras_terbakar.JPG?utm_source=commons.wikimedia.org&amp;utm_campaign=imageinfo&amp;utm_content=thumbnail</x:v>
      </x:c>
      <x:c r="AO472" s="117" t="str">
        <x:v>https://thumb.wikimedia.org/wikipedia/commons/thumb/d/dc/Beras_terbakar.JPG/1280px-Beras_terbakar.JPG?utm_source=commons.wikimedia.org&amp;utm_campaign=imageinfo&amp;utm_content=thumbnail</x:v>
      </x:c>
      <x:c r="AP472" s="117" t="str">
        <x:v>2 metadata-matched images; visual review pending</x:v>
      </x:c>
      <x:c r="AQ472" s="117"/>
    </x:row>
    <x:row r="473" ht="66" customHeight="1">
      <x:c r="A473" s="117" t="str">
        <x:v>MC0470</x:v>
      </x:c>
      <x:c r="B473" s="117" t="str">
        <x:v>3D Art Langkawi</x:v>
      </x:c>
      <x:c r="C473" s="117" t="str">
        <x:v>Kedah</x:v>
      </x:c>
      <x:c r="D473" s="117" t="str">
        <x:v>Langkawi</x:v>
      </x:c>
      <x:c r="E473" s="117" t="str">
        <x:v>Museum and Gallery</x:v>
      </x:c>
      <x:c r="F473" s="117" t="str">
        <x:v>Unclassified</x:v>
      </x:c>
      <x:c r="G473" s="117" t="str">
        <x:v>Indoor</x:v>
      </x:c>
      <x:c r="H473" s="117" t="str">
        <x:v>Museum and Gallery; Langkawi</x:v>
      </x:c>
      <x:c r="I473" s="117" t="str">
        <x:v>A visitor attraction in Langkawi, Kedah, listed in Tourism Malaysia's state travel guide. Venue operation and the precise accessible route require confirmation.</x:v>
      </x:c>
      <x:c r="J473" s="117" t="str">
        <x:v>https://ebrochures.malaysia.travel/en/malaysia-travel-guide/kedah/</x:v>
      </x:c>
      <x:c r="K473" s="117" t="str">
        <x:v>https://ebrochures.malaysia.travel/en/malaysia-travel-guide/kedah/</x:v>
      </x:c>
      <x:c r="L473" s="117" t="str">
        <x:v>Tourism Malaysia listing; operation unconfirmed</x:v>
      </x:c>
      <x:c r="M473" s="117" t="str">
        <x:v>Nationwide expansion 2026-09-08</x:v>
      </x:c>
      <x:c r="N473" s="117"/>
      <x:c r="O473" s="117" t="str">
        <x:v>2026-09-08</x:v>
      </x:c>
      <x:c r="P473" s="117" t="str">
        <x:v>Complete</x:v>
      </x:c>
      <x:c r="Q473" s="117"/>
      <x:c r="R473" s="117" t="str">
        <x:f>IF(J473="","Missing Link",IF(AND(ISNUMBER(SEARCH("google.com/maps",J473)),ISERROR(SEARCH(";",J473))),"Discovery Link Only","Source Link Present"))</x:f>
        <x:v>Source Link Present</x:v>
      </x:c>
      <x:c r="S473" s="117" t="str">
        <x:v>Unknown</x:v>
      </x:c>
      <x:c r="T473" s="117" t="str">
        <x:v>Unknown</x:v>
      </x:c>
      <x:c r="U473" s="117" t="str">
        <x:v>Unknown</x:v>
      </x:c>
      <x:c r="V473" s="117" t="str">
        <x:v>Unknown</x:v>
      </x:c>
      <x:c r="W473" s="117" t="str">
        <x:v>Unknown</x:v>
      </x:c>
      <x:c r="X473" s="117" t="str">
        <x:v>Unknown</x:v>
      </x:c>
      <x:c r="Y473" s="117" t="str">
        <x:v>Unknown</x:v>
      </x:c>
      <x:c r="Z473" s="117"/>
      <x:c r="AA473" s="117" t="str">
        <x:v>Pending evidence</x:v>
      </x:c>
      <x:c r="AB473" s="117"/>
      <x:c r="AC473" s="117" t="str">
        <x:v>No qualifying accessibility conclusion established from the screened sources. This is unknown, not evidence that the attraction is inaccessible.</x:v>
      </x:c>
      <x:c r="AD473" s="117" t="str">
        <x:v>2026-09-08</x:v>
      </x:c>
      <x:c r="AE473" s="117" t="str">
        <x:v>MC0470</x:v>
      </x:c>
      <x:c r="AF473" s="117" t="str">
        <x:v>Distinct candidate</x:v>
      </x:c>
      <x:c r="AG473" s="117" t="str"/>
      <x:c r="AH473" s="117" t="str">
        <x:v>Listed by Tourism Malaysia</x:v>
      </x:c>
      <x:c r="AI473" s="117" t="str">
        <x:v>https://ebrochures.malaysia.travel/en/malaysia-travel-guide/kedah/</x:v>
      </x:c>
      <x:c r="AJ473" s="117" t="str">
        <x:v>Named visitor attraction in cited source; state-guide listings can be historical. Locality is catalogue metadata, not a surveyed address. Current operation remains unconfirmed.</x:v>
      </x:c>
      <x:c r="AK473" s="117" t="str">
        <x:v>Not independently confirmed</x:v>
      </x:c>
      <x:c r="AL473" s="117" t="str">
        <x:v>Screened sources; accessibility unresolved</x:v>
      </x:c>
      <x:c r="AM473" s="117" t="str">
        <x:v>2026-09-08</x:v>
      </x:c>
      <x:c r="AN473" s="117"/>
      <x:c r="AO473" s="117"/>
      <x:c r="AP473" s="117" t="str">
        <x:v>No usable pair located; image research pending</x:v>
      </x:c>
      <x:c r="AQ473" s="117"/>
    </x:row>
    <x:row r="474" ht="66" customHeight="1">
      <x:c r="A474" s="117" t="str">
        <x:v>MC0471</x:v>
      </x:c>
      <x:c r="B474" s="117" t="str">
        <x:v>CHOGM Park</x:v>
      </x:c>
      <x:c r="C474" s="117" t="str">
        <x:v>Kedah</x:v>
      </x:c>
      <x:c r="D474" s="117" t="str">
        <x:v>Langkawi</x:v>
      </x:c>
      <x:c r="E474" s="117" t="str">
        <x:v>Nature</x:v>
      </x:c>
      <x:c r="F474" s="117" t="str">
        <x:v>Unclassified</x:v>
      </x:c>
      <x:c r="G474" s="117" t="str">
        <x:v>Outdoor</x:v>
      </x:c>
      <x:c r="H474" s="117" t="str">
        <x:v>Nature; Langkawi</x:v>
      </x:c>
      <x:c r="I474" s="117" t="str">
        <x:v>A visitor attraction in Langkawi, Kedah, listed in Tourism Malaysia's state travel guide. Venue operation and the precise accessible route require confirmation.</x:v>
      </x:c>
      <x:c r="J474" s="117" t="str">
        <x:v>https://ebrochures.malaysia.travel/en/malaysia-travel-guide/kedah/</x:v>
      </x:c>
      <x:c r="K474" s="117" t="str">
        <x:v>https://ebrochures.malaysia.travel/en/malaysia-travel-guide/kedah/</x:v>
      </x:c>
      <x:c r="L474" s="117" t="str">
        <x:v>Tourism Malaysia listing; operation unconfirmed</x:v>
      </x:c>
      <x:c r="M474" s="117" t="str">
        <x:v>Nationwide expansion 2026-09-08</x:v>
      </x:c>
      <x:c r="N474" s="117"/>
      <x:c r="O474" s="117" t="str">
        <x:v>2026-09-08</x:v>
      </x:c>
      <x:c r="P474" s="117" t="str">
        <x:v>Complete</x:v>
      </x:c>
      <x:c r="Q474" s="117"/>
      <x:c r="R474" s="117" t="str">
        <x:f>IF(J474="","Missing Link",IF(AND(ISNUMBER(SEARCH("google.com/maps",J474)),ISERROR(SEARCH(";",J474))),"Discovery Link Only","Source Link Present"))</x:f>
        <x:v>Source Link Present</x:v>
      </x:c>
      <x:c r="S474" s="117" t="str">
        <x:v>Unknown</x:v>
      </x:c>
      <x:c r="T474" s="117" t="str">
        <x:v>Unknown</x:v>
      </x:c>
      <x:c r="U474" s="117" t="str">
        <x:v>Unknown</x:v>
      </x:c>
      <x:c r="V474" s="117" t="str">
        <x:v>Unknown</x:v>
      </x:c>
      <x:c r="W474" s="117" t="str">
        <x:v>Unknown</x:v>
      </x:c>
      <x:c r="X474" s="117" t="str">
        <x:v>Unknown</x:v>
      </x:c>
      <x:c r="Y474" s="117" t="str">
        <x:v>Unknown</x:v>
      </x:c>
      <x:c r="Z474" s="117"/>
      <x:c r="AA474" s="117" t="str">
        <x:v>Pending evidence</x:v>
      </x:c>
      <x:c r="AB474" s="117"/>
      <x:c r="AC474" s="117" t="str">
        <x:v>No qualifying accessibility conclusion established from the screened sources. This is unknown, not evidence that the attraction is inaccessible.</x:v>
      </x:c>
      <x:c r="AD474" s="117" t="str">
        <x:v>2026-09-08</x:v>
      </x:c>
      <x:c r="AE474" s="117" t="str">
        <x:v>MC0471</x:v>
      </x:c>
      <x:c r="AF474" s="117" t="str">
        <x:v>Distinct candidate</x:v>
      </x:c>
      <x:c r="AG474" s="117" t="str"/>
      <x:c r="AH474" s="117" t="str">
        <x:v>Listed by Tourism Malaysia</x:v>
      </x:c>
      <x:c r="AI474" s="117" t="str">
        <x:v>https://ebrochures.malaysia.travel/en/malaysia-travel-guide/kedah/</x:v>
      </x:c>
      <x:c r="AJ474" s="117" t="str">
        <x:v>Named visitor attraction in cited source; state-guide listings can be historical. Locality is catalogue metadata, not a surveyed address. Current operation remains unconfirmed.</x:v>
      </x:c>
      <x:c r="AK474" s="117" t="str">
        <x:v>Not independently confirmed</x:v>
      </x:c>
      <x:c r="AL474" s="117" t="str">
        <x:v>Screened sources; accessibility unresolved</x:v>
      </x:c>
      <x:c r="AM474" s="117" t="str">
        <x:v>2026-09-08</x:v>
      </x:c>
      <x:c r="AN474" s="117" t="str">
        <x:v>https://thumb.wikimedia.org/wikipedia/commons/thumb/a/af/CHOGM_park_in_Langkawi.jpg/1280px-CHOGM_park_in_Langkawi.jpg?utm_source=commons.wikimedia.org&amp;utm_campaign=imageinfo&amp;utm_content=thumbnail</x:v>
      </x:c>
      <x:c r="AO474" s="117"/>
      <x:c r="AP474" s="117" t="str">
        <x:v>1 metadata-matched images; visual review pending</x:v>
      </x:c>
      <x:c r="AQ474" s="117"/>
    </x:row>
    <x:row r="475" ht="66" customHeight="1">
      <x:c r="A475" s="117" t="str">
        <x:v>MC0472</x:v>
      </x:c>
      <x:c r="B475" s="117" t="str">
        <x:v>Atma Alam Batik Art Village</x:v>
      </x:c>
      <x:c r="C475" s="117" t="str">
        <x:v>Kedah</x:v>
      </x:c>
      <x:c r="D475" s="117" t="str">
        <x:v>Langkawi</x:v>
      </x:c>
      <x:c r="E475" s="117" t="str">
        <x:v>Museum and Gallery</x:v>
      </x:c>
      <x:c r="F475" s="117" t="str">
        <x:v>Unclassified</x:v>
      </x:c>
      <x:c r="G475" s="117" t="str">
        <x:v>Indoor</x:v>
      </x:c>
      <x:c r="H475" s="117" t="str">
        <x:v>Museum and Gallery; Langkawi</x:v>
      </x:c>
      <x:c r="I475" s="117" t="str">
        <x:v>A visitor attraction in Langkawi, Kedah, listed in Tourism Malaysia's state travel guide. Venue operation and the precise accessible route require confirmation.</x:v>
      </x:c>
      <x:c r="J475" s="117" t="str">
        <x:v>https://ebrochures.malaysia.travel/en/malaysia-travel-guide/kedah/</x:v>
      </x:c>
      <x:c r="K475" s="117" t="str">
        <x:v>https://ebrochures.malaysia.travel/en/malaysia-travel-guide/kedah/</x:v>
      </x:c>
      <x:c r="L475" s="117" t="str">
        <x:v>Tourism Malaysia listing; operation unconfirmed</x:v>
      </x:c>
      <x:c r="M475" s="117" t="str">
        <x:v>Nationwide expansion 2026-09-08</x:v>
      </x:c>
      <x:c r="N475" s="117"/>
      <x:c r="O475" s="117" t="str">
        <x:v>2026-09-08</x:v>
      </x:c>
      <x:c r="P475" s="117" t="str">
        <x:v>Complete</x:v>
      </x:c>
      <x:c r="Q475" s="117"/>
      <x:c r="R475" s="117" t="str">
        <x:f>IF(J475="","Missing Link",IF(AND(ISNUMBER(SEARCH("google.com/maps",J475)),ISERROR(SEARCH(";",J475))),"Discovery Link Only","Source Link Present"))</x:f>
        <x:v>Source Link Present</x:v>
      </x:c>
      <x:c r="S475" s="117" t="str">
        <x:v>Unknown</x:v>
      </x:c>
      <x:c r="T475" s="117" t="str">
        <x:v>Unknown</x:v>
      </x:c>
      <x:c r="U475" s="117" t="str">
        <x:v>Unknown</x:v>
      </x:c>
      <x:c r="V475" s="117" t="str">
        <x:v>Unknown</x:v>
      </x:c>
      <x:c r="W475" s="117" t="str">
        <x:v>Unknown</x:v>
      </x:c>
      <x:c r="X475" s="117" t="str">
        <x:v>Unknown</x:v>
      </x:c>
      <x:c r="Y475" s="117" t="str">
        <x:v>Unknown</x:v>
      </x:c>
      <x:c r="Z475" s="117"/>
      <x:c r="AA475" s="117" t="str">
        <x:v>Pending evidence</x:v>
      </x:c>
      <x:c r="AB475" s="117"/>
      <x:c r="AC475" s="117" t="str">
        <x:v>No qualifying accessibility conclusion established from the screened sources. This is unknown, not evidence that the attraction is inaccessible.</x:v>
      </x:c>
      <x:c r="AD475" s="117" t="str">
        <x:v>2026-09-08</x:v>
      </x:c>
      <x:c r="AE475" s="117" t="str">
        <x:v>MC0472</x:v>
      </x:c>
      <x:c r="AF475" s="117" t="str">
        <x:v>Distinct candidate</x:v>
      </x:c>
      <x:c r="AG475" s="117" t="str"/>
      <x:c r="AH475" s="117" t="str">
        <x:v>Listed by Tourism Malaysia</x:v>
      </x:c>
      <x:c r="AI475" s="117" t="str">
        <x:v>https://ebrochures.malaysia.travel/en/malaysia-travel-guide/kedah/</x:v>
      </x:c>
      <x:c r="AJ475" s="117" t="str">
        <x:v>Named visitor attraction in cited source; state-guide listings can be historical. Locality is catalogue metadata, not a surveyed address. Current operation remains unconfirmed.</x:v>
      </x:c>
      <x:c r="AK475" s="117" t="str">
        <x:v>Not independently confirmed</x:v>
      </x:c>
      <x:c r="AL475" s="117" t="str">
        <x:v>Screened sources; accessibility unresolved</x:v>
      </x:c>
      <x:c r="AM475" s="117" t="str">
        <x:v>2026-09-08</x:v>
      </x:c>
      <x:c r="AN475" s="117"/>
      <x:c r="AO475" s="117"/>
      <x:c r="AP475" s="117" t="str">
        <x:v>No usable pair located; image research pending</x:v>
      </x:c>
      <x:c r="AQ475" s="117"/>
    </x:row>
    <x:row r="476" ht="66" customHeight="1">
      <x:c r="A476" s="117" t="str">
        <x:v>MC0473</x:v>
      </x:c>
      <x:c r="B476" s="117" t="str">
        <x:v>Langkawi Nature Park</x:v>
      </x:c>
      <x:c r="C476" s="117" t="str">
        <x:v>Kedah</x:v>
      </x:c>
      <x:c r="D476" s="117" t="str">
        <x:v>Langkawi</x:v>
      </x:c>
      <x:c r="E476" s="117" t="str">
        <x:v>Nature</x:v>
      </x:c>
      <x:c r="F476" s="117" t="str">
        <x:v>Unclassified</x:v>
      </x:c>
      <x:c r="G476" s="117" t="str">
        <x:v>Outdoor</x:v>
      </x:c>
      <x:c r="H476" s="117" t="str">
        <x:v>Nature; Langkawi</x:v>
      </x:c>
      <x:c r="I476" s="117" t="str">
        <x:v>A visitor attraction in Langkawi, Kedah, listed in Tourism Malaysia's state travel guide. Venue operation and the precise accessible route require confirmation.</x:v>
      </x:c>
      <x:c r="J476" s="117" t="str">
        <x:v>https://ebrochures.malaysia.travel/en/malaysia-travel-guide/kedah/</x:v>
      </x:c>
      <x:c r="K476" s="117" t="str">
        <x:v>https://ebrochures.malaysia.travel/en/malaysia-travel-guide/kedah/</x:v>
      </x:c>
      <x:c r="L476" s="117" t="str">
        <x:v>Tourism Malaysia listing; operation unconfirmed</x:v>
      </x:c>
      <x:c r="M476" s="117" t="str">
        <x:v>Nationwide expansion 2026-09-08</x:v>
      </x:c>
      <x:c r="N476" s="117"/>
      <x:c r="O476" s="117" t="str">
        <x:v>2026-09-08</x:v>
      </x:c>
      <x:c r="P476" s="117" t="str">
        <x:v>Complete</x:v>
      </x:c>
      <x:c r="Q476" s="117"/>
      <x:c r="R476" s="117" t="str">
        <x:f>IF(J476="","Missing Link",IF(AND(ISNUMBER(SEARCH("google.com/maps",J476)),ISERROR(SEARCH(";",J476))),"Discovery Link Only","Source Link Present"))</x:f>
        <x:v>Source Link Present</x:v>
      </x:c>
      <x:c r="S476" s="117" t="str">
        <x:v>Unknown</x:v>
      </x:c>
      <x:c r="T476" s="117" t="str">
        <x:v>Unknown</x:v>
      </x:c>
      <x:c r="U476" s="117" t="str">
        <x:v>Unknown</x:v>
      </x:c>
      <x:c r="V476" s="117" t="str">
        <x:v>Unknown</x:v>
      </x:c>
      <x:c r="W476" s="117" t="str">
        <x:v>Unknown</x:v>
      </x:c>
      <x:c r="X476" s="117" t="str">
        <x:v>Unknown</x:v>
      </x:c>
      <x:c r="Y476" s="117" t="str">
        <x:v>Unknown</x:v>
      </x:c>
      <x:c r="Z476" s="117"/>
      <x:c r="AA476" s="117" t="str">
        <x:v>Pending evidence</x:v>
      </x:c>
      <x:c r="AB476" s="117"/>
      <x:c r="AC476" s="117" t="str">
        <x:v>No qualifying accessibility conclusion established from the screened sources. This is unknown, not evidence that the attraction is inaccessible.</x:v>
      </x:c>
      <x:c r="AD476" s="117" t="str">
        <x:v>2026-09-08</x:v>
      </x:c>
      <x:c r="AE476" s="117" t="str">
        <x:v>MC0473</x:v>
      </x:c>
      <x:c r="AF476" s="117" t="str">
        <x:v>Distinct candidate</x:v>
      </x:c>
      <x:c r="AG476" s="117" t="str"/>
      <x:c r="AH476" s="117" t="str">
        <x:v>Listed by Tourism Malaysia</x:v>
      </x:c>
      <x:c r="AI476" s="117" t="str">
        <x:v>https://ebrochures.malaysia.travel/en/malaysia-travel-guide/kedah/</x:v>
      </x:c>
      <x:c r="AJ476" s="117" t="str">
        <x:v>Named visitor attraction in cited source; state-guide listings can be historical. Locality is catalogue metadata, not a surveyed address. Current operation remains unconfirmed.</x:v>
      </x:c>
      <x:c r="AK476" s="117" t="str">
        <x:v>Not independently confirmed</x:v>
      </x:c>
      <x:c r="AL476" s="117" t="str">
        <x:v>Screened sources; accessibility unresolved</x:v>
      </x:c>
      <x:c r="AM476" s="117" t="str">
        <x:v>2026-09-08</x:v>
      </x:c>
      <x:c r="AN476" s="117"/>
      <x:c r="AO476" s="117"/>
      <x:c r="AP476" s="117" t="str">
        <x:v>No usable pair located; image research pending</x:v>
      </x:c>
      <x:c r="AQ476" s="117"/>
    </x:row>
    <x:row r="477" ht="66" customHeight="1">
      <x:c r="A477" s="117" t="str">
        <x:v>MC0474</x:v>
      </x:c>
      <x:c r="B477" s="117" t="str">
        <x:v>MORAC Adventure Park</x:v>
      </x:c>
      <x:c r="C477" s="117" t="str">
        <x:v>Kedah</x:v>
      </x:c>
      <x:c r="D477" s="117" t="str">
        <x:v>Langkawi</x:v>
      </x:c>
      <x:c r="E477" s="117" t="str">
        <x:v>Theme Park</x:v>
      </x:c>
      <x:c r="F477" s="117" t="str">
        <x:v>Unclassified</x:v>
      </x:c>
      <x:c r="G477" s="117" t="str">
        <x:v>Both</x:v>
      </x:c>
      <x:c r="H477" s="117" t="str">
        <x:v>Theme Park; Langkawi</x:v>
      </x:c>
      <x:c r="I477" s="117" t="str">
        <x:v>A visitor attraction in Langkawi, Kedah, listed in Tourism Malaysia's state travel guide. Venue operation and the precise accessible route require confirmation.</x:v>
      </x:c>
      <x:c r="J477" s="117" t="str">
        <x:v>https://ebrochures.malaysia.travel/en/malaysia-travel-guide/kedah/</x:v>
      </x:c>
      <x:c r="K477" s="117" t="str">
        <x:v>https://ebrochures.malaysia.travel/en/malaysia-travel-guide/kedah/</x:v>
      </x:c>
      <x:c r="L477" s="117" t="str">
        <x:v>Tourism Malaysia listing; operation unconfirmed</x:v>
      </x:c>
      <x:c r="M477" s="117" t="str">
        <x:v>Nationwide expansion 2026-09-08</x:v>
      </x:c>
      <x:c r="N477" s="117"/>
      <x:c r="O477" s="117" t="str">
        <x:v>2026-09-08</x:v>
      </x:c>
      <x:c r="P477" s="117" t="str">
        <x:v>Complete</x:v>
      </x:c>
      <x:c r="Q477" s="117"/>
      <x:c r="R477" s="117" t="str">
        <x:f>IF(J477="","Missing Link",IF(AND(ISNUMBER(SEARCH("google.com/maps",J477)),ISERROR(SEARCH(";",J477))),"Discovery Link Only","Source Link Present"))</x:f>
        <x:v>Source Link Present</x:v>
      </x:c>
      <x:c r="S477" s="117" t="str">
        <x:v>Unknown</x:v>
      </x:c>
      <x:c r="T477" s="117" t="str">
        <x:v>Unknown</x:v>
      </x:c>
      <x:c r="U477" s="117" t="str">
        <x:v>Unknown</x:v>
      </x:c>
      <x:c r="V477" s="117" t="str">
        <x:v>Unknown</x:v>
      </x:c>
      <x:c r="W477" s="117" t="str">
        <x:v>Unknown</x:v>
      </x:c>
      <x:c r="X477" s="117" t="str">
        <x:v>Unknown</x:v>
      </x:c>
      <x:c r="Y477" s="117" t="str">
        <x:v>Unknown</x:v>
      </x:c>
      <x:c r="Z477" s="117"/>
      <x:c r="AA477" s="117" t="str">
        <x:v>Pending evidence</x:v>
      </x:c>
      <x:c r="AB477" s="117"/>
      <x:c r="AC477" s="117" t="str">
        <x:v>No qualifying accessibility conclusion established from the screened sources. This is unknown, not evidence that the attraction is inaccessible.</x:v>
      </x:c>
      <x:c r="AD477" s="117" t="str">
        <x:v>2026-09-08</x:v>
      </x:c>
      <x:c r="AE477" s="117" t="str">
        <x:v>MC0474</x:v>
      </x:c>
      <x:c r="AF477" s="117" t="str">
        <x:v>Distinct candidate</x:v>
      </x:c>
      <x:c r="AG477" s="117" t="str"/>
      <x:c r="AH477" s="117" t="str">
        <x:v>Listed by Tourism Malaysia</x:v>
      </x:c>
      <x:c r="AI477" s="117" t="str">
        <x:v>https://ebrochures.malaysia.travel/en/malaysia-travel-guide/kedah/</x:v>
      </x:c>
      <x:c r="AJ477" s="117" t="str">
        <x:v>Named visitor attraction in cited source; state-guide listings can be historical. Locality is catalogue metadata, not a surveyed address. Current operation remains unconfirmed.</x:v>
      </x:c>
      <x:c r="AK477" s="117" t="str">
        <x:v>Not independently confirmed</x:v>
      </x:c>
      <x:c r="AL477" s="117" t="str">
        <x:v>Screened sources; accessibility unresolved</x:v>
      </x:c>
      <x:c r="AM477" s="117" t="str">
        <x:v>2026-09-08</x:v>
      </x:c>
      <x:c r="AN477" s="117"/>
      <x:c r="AO477" s="117"/>
      <x:c r="AP477" s="117" t="str">
        <x:v>No usable pair located; image research pending</x:v>
      </x:c>
      <x:c r="AQ477" s="117"/>
    </x:row>
    <x:row r="478" ht="66" customHeight="1">
      <x:c r="A478" s="117" t="str">
        <x:v>MC0475</x:v>
      </x:c>
      <x:c r="B478" s="117" t="str">
        <x:v>Skydive Langkawi</x:v>
      </x:c>
      <x:c r="C478" s="117" t="str">
        <x:v>Kedah</x:v>
      </x:c>
      <x:c r="D478" s="117" t="str">
        <x:v>Langkawi</x:v>
      </x:c>
      <x:c r="E478" s="117" t="str">
        <x:v>Heritage and Visitor Attraction</x:v>
      </x:c>
      <x:c r="F478" s="117" t="str">
        <x:v>Unclassified</x:v>
      </x:c>
      <x:c r="G478" s="117" t="str">
        <x:v>Both</x:v>
      </x:c>
      <x:c r="H478" s="117" t="str">
        <x:v>Heritage and Visitor Attraction; Langkawi</x:v>
      </x:c>
      <x:c r="I478" s="117" t="str">
        <x:v>A visitor attraction in Langkawi, Kedah, listed in Tourism Malaysia's state travel guide. Venue operation and the precise accessible route require confirmation.</x:v>
      </x:c>
      <x:c r="J478" s="117" t="str">
        <x:v>https://ebrochures.malaysia.travel/en/malaysia-travel-guide/kedah/</x:v>
      </x:c>
      <x:c r="K478" s="117" t="str">
        <x:v>https://ebrochures.malaysia.travel/en/malaysia-travel-guide/kedah/</x:v>
      </x:c>
      <x:c r="L478" s="117" t="str">
        <x:v>Tourism Malaysia listing; operation unconfirmed</x:v>
      </x:c>
      <x:c r="M478" s="117" t="str">
        <x:v>Nationwide expansion 2026-09-08</x:v>
      </x:c>
      <x:c r="N478" s="117"/>
      <x:c r="O478" s="117" t="str">
        <x:v>2026-09-08</x:v>
      </x:c>
      <x:c r="P478" s="117" t="str">
        <x:v>Complete</x:v>
      </x:c>
      <x:c r="Q478" s="117"/>
      <x:c r="R478" s="117" t="str">
        <x:f>IF(J478="","Missing Link",IF(AND(ISNUMBER(SEARCH("google.com/maps",J478)),ISERROR(SEARCH(";",J478))),"Discovery Link Only","Source Link Present"))</x:f>
        <x:v>Source Link Present</x:v>
      </x:c>
      <x:c r="S478" s="117" t="str">
        <x:v>Unknown</x:v>
      </x:c>
      <x:c r="T478" s="117" t="str">
        <x:v>Unknown</x:v>
      </x:c>
      <x:c r="U478" s="117" t="str">
        <x:v>Unknown</x:v>
      </x:c>
      <x:c r="V478" s="117" t="str">
        <x:v>Unknown</x:v>
      </x:c>
      <x:c r="W478" s="117" t="str">
        <x:v>Unknown</x:v>
      </x:c>
      <x:c r="X478" s="117" t="str">
        <x:v>Unknown</x:v>
      </x:c>
      <x:c r="Y478" s="117" t="str">
        <x:v>Unknown</x:v>
      </x:c>
      <x:c r="Z478" s="117"/>
      <x:c r="AA478" s="117" t="str">
        <x:v>Pending evidence</x:v>
      </x:c>
      <x:c r="AB478" s="117"/>
      <x:c r="AC478" s="117" t="str">
        <x:v>No qualifying accessibility conclusion established from the screened sources. This is unknown, not evidence that the attraction is inaccessible.</x:v>
      </x:c>
      <x:c r="AD478" s="117" t="str">
        <x:v>2026-09-08</x:v>
      </x:c>
      <x:c r="AE478" s="117" t="str">
        <x:v>MC0475</x:v>
      </x:c>
      <x:c r="AF478" s="117" t="str">
        <x:v>Distinct candidate</x:v>
      </x:c>
      <x:c r="AG478" s="117" t="str"/>
      <x:c r="AH478" s="117" t="str">
        <x:v>Listed by Tourism Malaysia</x:v>
      </x:c>
      <x:c r="AI478" s="117" t="str">
        <x:v>https://ebrochures.malaysia.travel/en/malaysia-travel-guide/kedah/</x:v>
      </x:c>
      <x:c r="AJ478" s="117" t="str">
        <x:v>Named visitor attraction in cited source; state-guide listings can be historical. Locality is catalogue metadata, not a surveyed address. Current operation remains unconfirmed.</x:v>
      </x:c>
      <x:c r="AK478" s="117" t="str">
        <x:v>Not independently confirmed</x:v>
      </x:c>
      <x:c r="AL478" s="117" t="str">
        <x:v>Screened sources; accessibility unresolved</x:v>
      </x:c>
      <x:c r="AM478" s="117" t="str">
        <x:v>2026-09-08</x:v>
      </x:c>
      <x:c r="AN478" s="117"/>
      <x:c r="AO478" s="117"/>
      <x:c r="AP478" s="117" t="str">
        <x:v>No usable pair located; image research pending</x:v>
      </x:c>
      <x:c r="AQ478" s="117"/>
    </x:row>
    <x:row r="479" ht="66" customHeight="1">
      <x:c r="A479" s="117" t="str">
        <x:v>MC0476</x:v>
      </x:c>
      <x:c r="B479" s="117" t="str">
        <x:v>Paddy Museum</x:v>
      </x:c>
      <x:c r="C479" s="117" t="str">
        <x:v>Kedah</x:v>
      </x:c>
      <x:c r="D479" s="117" t="str">
        <x:v>Alor Setar</x:v>
      </x:c>
      <x:c r="E479" s="117" t="str">
        <x:v>Museum and Gallery</x:v>
      </x:c>
      <x:c r="F479" s="117" t="str">
        <x:v>Unclassified</x:v>
      </x:c>
      <x:c r="G479" s="117" t="str">
        <x:v>Indoor</x:v>
      </x:c>
      <x:c r="H479" s="117" t="str">
        <x:v>Museum and Gallery; Alor Setar</x:v>
      </x:c>
      <x:c r="I479" s="117" t="str">
        <x:v>A visitor attraction in Alor Setar, Kedah, listed in Tourism Malaysia's state travel guide. Venue operation and the precise accessible route require confirmation.</x:v>
      </x:c>
      <x:c r="J479" s="117" t="str">
        <x:v>https://ebrochures.malaysia.travel/en/malaysia-travel-guide/kedah/</x:v>
      </x:c>
      <x:c r="K479" s="117" t="str">
        <x:v>https://ebrochures.malaysia.travel/en/malaysia-travel-guide/kedah/</x:v>
      </x:c>
      <x:c r="L479" s="117" t="str">
        <x:v>Tourism Malaysia listing; operation unconfirmed</x:v>
      </x:c>
      <x:c r="M479" s="117" t="str">
        <x:v>Nationwide expansion 2026-09-08</x:v>
      </x:c>
      <x:c r="N479" s="117"/>
      <x:c r="O479" s="117" t="str">
        <x:v>2026-09-08</x:v>
      </x:c>
      <x:c r="P479" s="117" t="str">
        <x:v>Complete</x:v>
      </x:c>
      <x:c r="Q479" s="117"/>
      <x:c r="R479" s="117" t="str">
        <x:f>IF(J479="","Missing Link",IF(AND(ISNUMBER(SEARCH("google.com/maps",J479)),ISERROR(SEARCH(";",J479))),"Discovery Link Only","Source Link Present"))</x:f>
        <x:v>Source Link Present</x:v>
      </x:c>
      <x:c r="S479" s="117" t="str">
        <x:v>Unknown</x:v>
      </x:c>
      <x:c r="T479" s="117" t="str">
        <x:v>Unknown</x:v>
      </x:c>
      <x:c r="U479" s="117" t="str">
        <x:v>Unknown</x:v>
      </x:c>
      <x:c r="V479" s="117" t="str">
        <x:v>Unknown</x:v>
      </x:c>
      <x:c r="W479" s="117" t="str">
        <x:v>Unknown</x:v>
      </x:c>
      <x:c r="X479" s="117" t="str">
        <x:v>Unknown</x:v>
      </x:c>
      <x:c r="Y479" s="117" t="str">
        <x:v>Unknown</x:v>
      </x:c>
      <x:c r="Z479" s="117"/>
      <x:c r="AA479" s="117" t="str">
        <x:v>Pending evidence</x:v>
      </x:c>
      <x:c r="AB479" s="117"/>
      <x:c r="AC479" s="117" t="str">
        <x:v>No qualifying accessibility conclusion established from the screened sources. This is unknown, not evidence that the attraction is inaccessible.</x:v>
      </x:c>
      <x:c r="AD479" s="117" t="str">
        <x:v>2026-09-08</x:v>
      </x:c>
      <x:c r="AE479" s="117" t="str">
        <x:v>MC0476</x:v>
      </x:c>
      <x:c r="AF479" s="117" t="str">
        <x:v>Distinct candidate</x:v>
      </x:c>
      <x:c r="AG479" s="117" t="str"/>
      <x:c r="AH479" s="117" t="str">
        <x:v>Listed by Tourism Malaysia</x:v>
      </x:c>
      <x:c r="AI479" s="117" t="str">
        <x:v>https://ebrochures.malaysia.travel/en/malaysia-travel-guide/kedah/</x:v>
      </x:c>
      <x:c r="AJ479" s="117" t="str">
        <x:v>Named visitor attraction in cited source; state-guide listings can be historical. Locality is catalogue metadata, not a surveyed address. Current operation remains unconfirmed.</x:v>
      </x:c>
      <x:c r="AK479" s="117" t="str">
        <x:v>Not independently confirmed</x:v>
      </x:c>
      <x:c r="AL479" s="117" t="str">
        <x:v>Screened sources; accessibility unresolved</x:v>
      </x:c>
      <x:c r="AM479" s="117" t="str">
        <x:v>2026-09-08</x:v>
      </x:c>
      <x:c r="AN479" s="117" t="str">
        <x:v>https://upload.wikimedia.org/wikipedia/commons/3/3c/DaniAsh_Muzium%2BPadi.jpg?utm_source=commons.wikimedia.org&amp;utm_campaign=imageinfo&amp;utm_content=thumbnail_unscaled</x:v>
      </x:c>
      <x:c r="AO479" s="117" t="str">
        <x:v>https://thumb.wikimedia.org/wikipedia/commons/thumb/3/39/A_Visit_to_the_Paddy_Museum.jpg/1280px-A_Visit_to_the_Paddy_Museum.jpg?utm_source=commons.wikimedia.org&amp;utm_campaign=imageinfo&amp;utm_content=thumbnail</x:v>
      </x:c>
      <x:c r="AP479" s="117" t="str">
        <x:v>2 metadata-matched images; visual review pending</x:v>
      </x:c>
      <x:c r="AQ479" s="117"/>
    </x:row>
    <x:row r="480" ht="66" customHeight="1">
      <x:c r="A480" s="117" t="str">
        <x:v>MC0477</x:v>
      </x:c>
      <x:c r="B480" s="117" t="str">
        <x:v>Dr Mahathir Birthplace Complex</x:v>
      </x:c>
      <x:c r="C480" s="117" t="str">
        <x:v>Kedah</x:v>
      </x:c>
      <x:c r="D480" s="117" t="str">
        <x:v>Alor Setar</x:v>
      </x:c>
      <x:c r="E480" s="117" t="str">
        <x:v>Museum and Gallery</x:v>
      </x:c>
      <x:c r="F480" s="117" t="str">
        <x:v>Unclassified</x:v>
      </x:c>
      <x:c r="G480" s="117" t="str">
        <x:v>Indoor</x:v>
      </x:c>
      <x:c r="H480" s="117" t="str">
        <x:v>Museum and Gallery; Alor Setar</x:v>
      </x:c>
      <x:c r="I480" s="117" t="str">
        <x:v>A visitor attraction in Alor Setar, Kedah, listed in Tourism Malaysia's state travel guide. Venue operation and the precise accessible route require confirmation.</x:v>
      </x:c>
      <x:c r="J480" s="117" t="str">
        <x:v>https://ebrochures.malaysia.travel/en/malaysia-travel-guide/kedah/</x:v>
      </x:c>
      <x:c r="K480" s="117" t="str">
        <x:v>https://ebrochures.malaysia.travel/en/malaysia-travel-guide/kedah/</x:v>
      </x:c>
      <x:c r="L480" s="117" t="str">
        <x:v>Tourism Malaysia listing; operation unconfirmed</x:v>
      </x:c>
      <x:c r="M480" s="117" t="str">
        <x:v>Nationwide expansion 2026-09-08</x:v>
      </x:c>
      <x:c r="N480" s="117"/>
      <x:c r="O480" s="117" t="str">
        <x:v>2026-09-08</x:v>
      </x:c>
      <x:c r="P480" s="117" t="str">
        <x:v>Complete</x:v>
      </x:c>
      <x:c r="Q480" s="117"/>
      <x:c r="R480" s="117" t="str">
        <x:f>IF(J480="","Missing Link",IF(AND(ISNUMBER(SEARCH("google.com/maps",J480)),ISERROR(SEARCH(";",J480))),"Discovery Link Only","Source Link Present"))</x:f>
        <x:v>Source Link Present</x:v>
      </x:c>
      <x:c r="S480" s="117" t="str">
        <x:v>Unknown</x:v>
      </x:c>
      <x:c r="T480" s="117" t="str">
        <x:v>Unknown</x:v>
      </x:c>
      <x:c r="U480" s="117" t="str">
        <x:v>Unknown</x:v>
      </x:c>
      <x:c r="V480" s="117" t="str">
        <x:v>Unknown</x:v>
      </x:c>
      <x:c r="W480" s="117" t="str">
        <x:v>Unknown</x:v>
      </x:c>
      <x:c r="X480" s="117" t="str">
        <x:v>Unknown</x:v>
      </x:c>
      <x:c r="Y480" s="117" t="str">
        <x:v>Unknown</x:v>
      </x:c>
      <x:c r="Z480" s="117"/>
      <x:c r="AA480" s="117" t="str">
        <x:v>Pending evidence</x:v>
      </x:c>
      <x:c r="AB480" s="117"/>
      <x:c r="AC480" s="117" t="str">
        <x:v>No qualifying accessibility conclusion established from the screened sources. This is unknown, not evidence that the attraction is inaccessible.</x:v>
      </x:c>
      <x:c r="AD480" s="117" t="str">
        <x:v>2026-09-08</x:v>
      </x:c>
      <x:c r="AE480" s="117" t="str">
        <x:v>MC0477</x:v>
      </x:c>
      <x:c r="AF480" s="117" t="str">
        <x:v>Distinct candidate</x:v>
      </x:c>
      <x:c r="AG480" s="117" t="str"/>
      <x:c r="AH480" s="117" t="str">
        <x:v>Listed by Tourism Malaysia</x:v>
      </x:c>
      <x:c r="AI480" s="117" t="str">
        <x:v>https://ebrochures.malaysia.travel/en/malaysia-travel-guide/kedah/</x:v>
      </x:c>
      <x:c r="AJ480" s="117" t="str">
        <x:v>Named visitor attraction in cited source; state-guide listings can be historical. Locality is catalogue metadata, not a surveyed address. Current operation remains unconfirmed.</x:v>
      </x:c>
      <x:c r="AK480" s="117" t="str">
        <x:v>Not independently confirmed</x:v>
      </x:c>
      <x:c r="AL480" s="117" t="str">
        <x:v>Screened sources; accessibility unresolved</x:v>
      </x:c>
      <x:c r="AM480" s="117" t="str">
        <x:v>2026-09-08</x:v>
      </x:c>
      <x:c r="AN480" s="117"/>
      <x:c r="AO480" s="117"/>
      <x:c r="AP480" s="117" t="str">
        <x:v>No usable pair located; image research pending</x:v>
      </x:c>
      <x:c r="AQ480" s="117"/>
    </x:row>
    <x:row r="481" ht="66" customHeight="1">
      <x:c r="A481" s="117" t="str">
        <x:v>MC0478</x:v>
      </x:c>
      <x:c r="B481" s="117" t="str">
        <x:v>Alor Setar Tower</x:v>
      </x:c>
      <x:c r="C481" s="117" t="str">
        <x:v>Kedah</x:v>
      </x:c>
      <x:c r="D481" s="117" t="str">
        <x:v>Alor Setar</x:v>
      </x:c>
      <x:c r="E481" s="117" t="str">
        <x:v>Heritage and Visitor Attraction</x:v>
      </x:c>
      <x:c r="F481" s="117" t="str">
        <x:v>Unclassified</x:v>
      </x:c>
      <x:c r="G481" s="117" t="str">
        <x:v>Both</x:v>
      </x:c>
      <x:c r="H481" s="117" t="str">
        <x:v>Heritage and Visitor Attraction; Alor Setar</x:v>
      </x:c>
      <x:c r="I481" s="117" t="str">
        <x:v>A visitor attraction in Alor Setar, Kedah, listed in Tourism Malaysia's state travel guide. Venue operation and the precise accessible route require confirmation.</x:v>
      </x:c>
      <x:c r="J481" s="117" t="str">
        <x:v>https://ebrochures.malaysia.travel/en/malaysia-travel-guide/kedah/</x:v>
      </x:c>
      <x:c r="K481" s="117" t="str">
        <x:v>https://ebrochures.malaysia.travel/en/malaysia-travel-guide/kedah/</x:v>
      </x:c>
      <x:c r="L481" s="117" t="str">
        <x:v>Tourism Malaysia listing; operation unconfirmed</x:v>
      </x:c>
      <x:c r="M481" s="117" t="str">
        <x:v>Nationwide expansion 2026-09-08</x:v>
      </x:c>
      <x:c r="N481" s="117"/>
      <x:c r="O481" s="117" t="str">
        <x:v>2026-09-08</x:v>
      </x:c>
      <x:c r="P481" s="117" t="str">
        <x:v>Complete</x:v>
      </x:c>
      <x:c r="Q481" s="117"/>
      <x:c r="R481" s="117" t="str">
        <x:f>IF(J481="","Missing Link",IF(AND(ISNUMBER(SEARCH("google.com/maps",J481)),ISERROR(SEARCH(";",J481))),"Discovery Link Only","Source Link Present"))</x:f>
        <x:v>Source Link Present</x:v>
      </x:c>
      <x:c r="S481" s="117" t="str">
        <x:v>Unknown</x:v>
      </x:c>
      <x:c r="T481" s="117" t="str">
        <x:v>Unknown</x:v>
      </x:c>
      <x:c r="U481" s="117" t="str">
        <x:v>Unknown</x:v>
      </x:c>
      <x:c r="V481" s="117" t="str">
        <x:v>Unknown</x:v>
      </x:c>
      <x:c r="W481" s="117" t="str">
        <x:v>Unknown</x:v>
      </x:c>
      <x:c r="X481" s="117" t="str">
        <x:v>Unknown</x:v>
      </x:c>
      <x:c r="Y481" s="117" t="str">
        <x:v>Unknown</x:v>
      </x:c>
      <x:c r="Z481" s="117"/>
      <x:c r="AA481" s="117" t="str">
        <x:v>Pending evidence</x:v>
      </x:c>
      <x:c r="AB481" s="117"/>
      <x:c r="AC481" s="117" t="str">
        <x:v>No qualifying accessibility conclusion established from the screened sources. This is unknown, not evidence that the attraction is inaccessible.</x:v>
      </x:c>
      <x:c r="AD481" s="117" t="str">
        <x:v>2026-09-08</x:v>
      </x:c>
      <x:c r="AE481" s="117" t="str">
        <x:v>MC0478</x:v>
      </x:c>
      <x:c r="AF481" s="117" t="str">
        <x:v>Distinct candidate</x:v>
      </x:c>
      <x:c r="AG481" s="117" t="str"/>
      <x:c r="AH481" s="117" t="str">
        <x:v>Listed by Tourism Malaysia</x:v>
      </x:c>
      <x:c r="AI481" s="117" t="str">
        <x:v>https://ebrochures.malaysia.travel/en/malaysia-travel-guide/kedah/</x:v>
      </x:c>
      <x:c r="AJ481" s="117" t="str">
        <x:v>Named visitor attraction in cited source; state-guide listings can be historical. Locality is catalogue metadata, not a surveyed address. Current operation remains unconfirmed.</x:v>
      </x:c>
      <x:c r="AK481" s="117" t="str">
        <x:v>Not independently confirmed</x:v>
      </x:c>
      <x:c r="AL481" s="117" t="str">
        <x:v>Screened sources; accessibility unresolved</x:v>
      </x:c>
      <x:c r="AM481" s="117" t="str">
        <x:v>2026-09-08</x:v>
      </x:c>
      <x:c r="AN481" s="117" t="str">
        <x:v>https://upload.wikimedia.org/wikipedia/commons/c/cc/Menara_as.jpg?utm_source=commons.wikimedia.org&amp;utm_campaign=imageinfo&amp;utm_content=thumbnail_unscaled</x:v>
      </x:c>
      <x:c r="AO481" s="117" t="str">
        <x:v>https://upload.wikimedia.org/wikipedia/commons/5/56/AlorSetarTower2023.jpg?utm_source=commons.wikimedia.org&amp;utm_campaign=imageinfo&amp;utm_content=thumbnail_unscaled</x:v>
      </x:c>
      <x:c r="AP481" s="117" t="str">
        <x:v>2 metadata-matched images; visual review pending</x:v>
      </x:c>
      <x:c r="AQ481" s="117"/>
    </x:row>
    <x:row r="482" ht="66" customHeight="1">
      <x:c r="A482" s="117" t="str">
        <x:v>MC0479</x:v>
      </x:c>
      <x:c r="B482" s="117" t="str">
        <x:v>Sultan Abdul Halim Gallery</x:v>
      </x:c>
      <x:c r="C482" s="117" t="str">
        <x:v>Kedah</x:v>
      </x:c>
      <x:c r="D482" s="117" t="str">
        <x:v>Alor Setar</x:v>
      </x:c>
      <x:c r="E482" s="117" t="str">
        <x:v>Museum and Gallery</x:v>
      </x:c>
      <x:c r="F482" s="117" t="str">
        <x:v>Unclassified</x:v>
      </x:c>
      <x:c r="G482" s="117" t="str">
        <x:v>Indoor</x:v>
      </x:c>
      <x:c r="H482" s="117" t="str">
        <x:v>Museum and Gallery; Alor Setar</x:v>
      </x:c>
      <x:c r="I482" s="117" t="str">
        <x:v>A visitor attraction in Alor Setar, Kedah, listed in Tourism Malaysia's state travel guide. Venue operation and the precise accessible route require confirmation.</x:v>
      </x:c>
      <x:c r="J482" s="117" t="str">
        <x:v>https://ebrochures.malaysia.travel/en/malaysia-travel-guide/kedah/</x:v>
      </x:c>
      <x:c r="K482" s="117" t="str">
        <x:v>https://ebrochures.malaysia.travel/en/malaysia-travel-guide/kedah/</x:v>
      </x:c>
      <x:c r="L482" s="117" t="str">
        <x:v>Tourism Malaysia listing; operation unconfirmed</x:v>
      </x:c>
      <x:c r="M482" s="117" t="str">
        <x:v>Nationwide expansion 2026-09-08</x:v>
      </x:c>
      <x:c r="N482" s="117"/>
      <x:c r="O482" s="117" t="str">
        <x:v>2026-09-08</x:v>
      </x:c>
      <x:c r="P482" s="117" t="str">
        <x:v>Complete</x:v>
      </x:c>
      <x:c r="Q482" s="117"/>
      <x:c r="R482" s="117" t="str">
        <x:f>IF(J482="","Missing Link",IF(AND(ISNUMBER(SEARCH("google.com/maps",J482)),ISERROR(SEARCH(";",J482))),"Discovery Link Only","Source Link Present"))</x:f>
        <x:v>Source Link Present</x:v>
      </x:c>
      <x:c r="S482" s="117" t="str">
        <x:v>Unknown</x:v>
      </x:c>
      <x:c r="T482" s="117" t="str">
        <x:v>Unknown</x:v>
      </x:c>
      <x:c r="U482" s="117" t="str">
        <x:v>Unknown</x:v>
      </x:c>
      <x:c r="V482" s="117" t="str">
        <x:v>Unknown</x:v>
      </x:c>
      <x:c r="W482" s="117" t="str">
        <x:v>Unknown</x:v>
      </x:c>
      <x:c r="X482" s="117" t="str">
        <x:v>Unknown</x:v>
      </x:c>
      <x:c r="Y482" s="117" t="str">
        <x:v>Unknown</x:v>
      </x:c>
      <x:c r="Z482" s="117"/>
      <x:c r="AA482" s="117" t="str">
        <x:v>Pending evidence</x:v>
      </x:c>
      <x:c r="AB482" s="117"/>
      <x:c r="AC482" s="117" t="str">
        <x:v>No qualifying accessibility conclusion established from the screened sources. This is unknown, not evidence that the attraction is inaccessible.</x:v>
      </x:c>
      <x:c r="AD482" s="117" t="str">
        <x:v>2026-09-08</x:v>
      </x:c>
      <x:c r="AE482" s="117" t="str">
        <x:v>MC0479</x:v>
      </x:c>
      <x:c r="AF482" s="117" t="str">
        <x:v>Distinct candidate</x:v>
      </x:c>
      <x:c r="AG482" s="117" t="str"/>
      <x:c r="AH482" s="117" t="str">
        <x:v>Listed by Tourism Malaysia</x:v>
      </x:c>
      <x:c r="AI482" s="117" t="str">
        <x:v>https://ebrochures.malaysia.travel/en/malaysia-travel-guide/kedah/</x:v>
      </x:c>
      <x:c r="AJ482" s="117" t="str">
        <x:v>Named visitor attraction in cited source; state-guide listings can be historical. Locality is catalogue metadata, not a surveyed address. Current operation remains unconfirmed.</x:v>
      </x:c>
      <x:c r="AK482" s="117" t="str">
        <x:v>Not independently confirmed</x:v>
      </x:c>
      <x:c r="AL482" s="117" t="str">
        <x:v>Screened sources; accessibility unresolved</x:v>
      </x:c>
      <x:c r="AM482" s="117" t="str">
        <x:v>2026-09-08</x:v>
      </x:c>
      <x:c r="AN482" s="117"/>
      <x:c r="AO482" s="117"/>
      <x:c r="AP482" s="117" t="str">
        <x:v>No usable pair located; image research pending</x:v>
      </x:c>
      <x:c r="AQ482" s="117"/>
    </x:row>
    <x:row r="483" ht="66" customHeight="1">
      <x:c r="A483" s="117" t="str">
        <x:v>MC0480</x:v>
      </x:c>
      <x:c r="B483" s="117" t="str">
        <x:v>Gunung Keriang Caves</x:v>
      </x:c>
      <x:c r="C483" s="117" t="str">
        <x:v>Kedah</x:v>
      </x:c>
      <x:c r="D483" s="117" t="str">
        <x:v>Alor Setar</x:v>
      </x:c>
      <x:c r="E483" s="117" t="str">
        <x:v>Nature</x:v>
      </x:c>
      <x:c r="F483" s="117" t="str">
        <x:v>Unclassified</x:v>
      </x:c>
      <x:c r="G483" s="117" t="str">
        <x:v>Outdoor</x:v>
      </x:c>
      <x:c r="H483" s="117" t="str">
        <x:v>Nature; Alor Setar</x:v>
      </x:c>
      <x:c r="I483" s="117" t="str">
        <x:v>A visitor attraction in Alor Setar, Kedah, listed in Tourism Malaysia's state travel guide. Venue operation and the precise accessible route require confirmation.</x:v>
      </x:c>
      <x:c r="J483" s="117" t="str">
        <x:v>https://ebrochures.malaysia.travel/en/malaysia-travel-guide/kedah/</x:v>
      </x:c>
      <x:c r="K483" s="117" t="str">
        <x:v>https://ebrochures.malaysia.travel/en/malaysia-travel-guide/kedah/</x:v>
      </x:c>
      <x:c r="L483" s="117" t="str">
        <x:v>Tourism Malaysia listing; operation unconfirmed</x:v>
      </x:c>
      <x:c r="M483" s="117" t="str">
        <x:v>Nationwide expansion 2026-09-08</x:v>
      </x:c>
      <x:c r="N483" s="117"/>
      <x:c r="O483" s="117" t="str">
        <x:v>2026-09-08</x:v>
      </x:c>
      <x:c r="P483" s="117" t="str">
        <x:v>Complete</x:v>
      </x:c>
      <x:c r="Q483" s="117"/>
      <x:c r="R483" s="117" t="str">
        <x:f>IF(J483="","Missing Link",IF(AND(ISNUMBER(SEARCH("google.com/maps",J483)),ISERROR(SEARCH(";",J483))),"Discovery Link Only","Source Link Present"))</x:f>
        <x:v>Source Link Present</x:v>
      </x:c>
      <x:c r="S483" s="117" t="str">
        <x:v>Unknown</x:v>
      </x:c>
      <x:c r="T483" s="117" t="str">
        <x:v>Unknown</x:v>
      </x:c>
      <x:c r="U483" s="117" t="str">
        <x:v>Unknown</x:v>
      </x:c>
      <x:c r="V483" s="117" t="str">
        <x:v>Unknown</x:v>
      </x:c>
      <x:c r="W483" s="117" t="str">
        <x:v>Unknown</x:v>
      </x:c>
      <x:c r="X483" s="117" t="str">
        <x:v>Unknown</x:v>
      </x:c>
      <x:c r="Y483" s="117" t="str">
        <x:v>Unknown</x:v>
      </x:c>
      <x:c r="Z483" s="117"/>
      <x:c r="AA483" s="117" t="str">
        <x:v>Pending evidence</x:v>
      </x:c>
      <x:c r="AB483" s="117"/>
      <x:c r="AC483" s="117" t="str">
        <x:v>No qualifying accessibility conclusion established from the screened sources. This is unknown, not evidence that the attraction is inaccessible.</x:v>
      </x:c>
      <x:c r="AD483" s="117" t="str">
        <x:v>2026-09-08</x:v>
      </x:c>
      <x:c r="AE483" s="117" t="str">
        <x:v>MC0480</x:v>
      </x:c>
      <x:c r="AF483" s="117" t="str">
        <x:v>Distinct candidate</x:v>
      </x:c>
      <x:c r="AG483" s="117" t="str"/>
      <x:c r="AH483" s="117" t="str">
        <x:v>Listed by Tourism Malaysia</x:v>
      </x:c>
      <x:c r="AI483" s="117" t="str">
        <x:v>https://ebrochures.malaysia.travel/en/malaysia-travel-guide/kedah/</x:v>
      </x:c>
      <x:c r="AJ483" s="117" t="str">
        <x:v>Named visitor attraction in cited source; state-guide listings can be historical. Locality is catalogue metadata, not a surveyed address. Current operation remains unconfirmed.</x:v>
      </x:c>
      <x:c r="AK483" s="117" t="str">
        <x:v>Not independently confirmed</x:v>
      </x:c>
      <x:c r="AL483" s="117" t="str">
        <x:v>Screened sources; accessibility unresolved</x:v>
      </x:c>
      <x:c r="AM483" s="117" t="str">
        <x:v>2026-09-08</x:v>
      </x:c>
      <x:c r="AN483" s="117"/>
      <x:c r="AO483" s="117"/>
      <x:c r="AP483" s="117" t="str">
        <x:v>No usable pair located; image research pending</x:v>
      </x:c>
      <x:c r="AQ483" s="117"/>
    </x:row>
    <x:row r="484" ht="66" customHeight="1">
      <x:c r="A484" s="117" t="str">
        <x:v>MC0481</x:v>
      </x:c>
      <x:c r="B484" s="117" t="str">
        <x:v>Balai Nobat</x:v>
      </x:c>
      <x:c r="C484" s="117" t="str">
        <x:v>Kedah</x:v>
      </x:c>
      <x:c r="D484" s="117" t="str">
        <x:v>Alor Setar</x:v>
      </x:c>
      <x:c r="E484" s="117" t="str">
        <x:v>Heritage and Visitor Attraction</x:v>
      </x:c>
      <x:c r="F484" s="117" t="str">
        <x:v>Unclassified</x:v>
      </x:c>
      <x:c r="G484" s="117" t="str">
        <x:v>Both</x:v>
      </x:c>
      <x:c r="H484" s="117" t="str">
        <x:v>Heritage and Visitor Attraction; Alor Setar</x:v>
      </x:c>
      <x:c r="I484" s="117" t="str">
        <x:v>A visitor attraction in Alor Setar, Kedah, listed in Tourism Malaysia's state travel guide. Venue operation and the precise accessible route require confirmation.</x:v>
      </x:c>
      <x:c r="J484" s="117" t="str">
        <x:v>https://ebrochures.malaysia.travel/en/malaysia-travel-guide/kedah/</x:v>
      </x:c>
      <x:c r="K484" s="117" t="str">
        <x:v>https://ebrochures.malaysia.travel/en/malaysia-travel-guide/kedah/</x:v>
      </x:c>
      <x:c r="L484" s="117" t="str">
        <x:v>Tourism Malaysia listing; operation unconfirmed</x:v>
      </x:c>
      <x:c r="M484" s="117" t="str">
        <x:v>Nationwide expansion 2026-09-08</x:v>
      </x:c>
      <x:c r="N484" s="117"/>
      <x:c r="O484" s="117" t="str">
        <x:v>2026-09-08</x:v>
      </x:c>
      <x:c r="P484" s="117" t="str">
        <x:v>Complete</x:v>
      </x:c>
      <x:c r="Q484" s="117"/>
      <x:c r="R484" s="117" t="str">
        <x:f>IF(J484="","Missing Link",IF(AND(ISNUMBER(SEARCH("google.com/maps",J484)),ISERROR(SEARCH(";",J484))),"Discovery Link Only","Source Link Present"))</x:f>
        <x:v>Source Link Present</x:v>
      </x:c>
      <x:c r="S484" s="117" t="str">
        <x:v>Unknown</x:v>
      </x:c>
      <x:c r="T484" s="117" t="str">
        <x:v>Unknown</x:v>
      </x:c>
      <x:c r="U484" s="117" t="str">
        <x:v>Unknown</x:v>
      </x:c>
      <x:c r="V484" s="117" t="str">
        <x:v>Unknown</x:v>
      </x:c>
      <x:c r="W484" s="117" t="str">
        <x:v>Unknown</x:v>
      </x:c>
      <x:c r="X484" s="117" t="str">
        <x:v>Unknown</x:v>
      </x:c>
      <x:c r="Y484" s="117" t="str">
        <x:v>Unknown</x:v>
      </x:c>
      <x:c r="Z484" s="117"/>
      <x:c r="AA484" s="117" t="str">
        <x:v>Pending evidence</x:v>
      </x:c>
      <x:c r="AB484" s="117"/>
      <x:c r="AC484" s="117" t="str">
        <x:v>No qualifying accessibility conclusion established from the screened sources. This is unknown, not evidence that the attraction is inaccessible.</x:v>
      </x:c>
      <x:c r="AD484" s="117" t="str">
        <x:v>2026-09-08</x:v>
      </x:c>
      <x:c r="AE484" s="117" t="str">
        <x:v>MC0481</x:v>
      </x:c>
      <x:c r="AF484" s="117" t="str">
        <x:v>Distinct candidate</x:v>
      </x:c>
      <x:c r="AG484" s="117" t="str"/>
      <x:c r="AH484" s="117" t="str">
        <x:v>Listed by Tourism Malaysia</x:v>
      </x:c>
      <x:c r="AI484" s="117" t="str">
        <x:v>https://ebrochures.malaysia.travel/en/malaysia-travel-guide/kedah/</x:v>
      </x:c>
      <x:c r="AJ484" s="117" t="str">
        <x:v>Named visitor attraction in cited source; state-guide listings can be historical. Locality is catalogue metadata, not a surveyed address. Current operation remains unconfirmed.</x:v>
      </x:c>
      <x:c r="AK484" s="117" t="str">
        <x:v>Not independently confirmed</x:v>
      </x:c>
      <x:c r="AL484" s="117" t="str">
        <x:v>Screened sources; accessibility unresolved</x:v>
      </x:c>
      <x:c r="AM484" s="117" t="str">
        <x:v>2026-09-08</x:v>
      </x:c>
      <x:c r="AN484" s="117" t="str">
        <x:v>https://upload.wikimedia.org/wikipedia/commons/5/53/Balai_nobat_kedah.jpg?utm_source=commons.wikimedia.org&amp;utm_campaign=imageinfo&amp;utm_content=thumbnail_unscaled</x:v>
      </x:c>
      <x:c r="AO484" s="117" t="str">
        <x:v>https://thumb.wikimedia.org/wikipedia/commons/thumb/3/34/Alor_Setar_%2829133137025%29.jpg/1280px-Alor_Setar_%2829133137025%29.jpg?utm_source=commons.wikimedia.org&amp;utm_campaign=imageinfo&amp;utm_content=thumbnail</x:v>
      </x:c>
      <x:c r="AP484" s="117" t="str">
        <x:v>2 metadata-matched images; visual review pending</x:v>
      </x:c>
      <x:c r="AQ484" s="117"/>
    </x:row>
    <x:row r="485" ht="66" customHeight="1">
      <x:c r="A485" s="117" t="str">
        <x:v>MC0482</x:v>
      </x:c>
      <x:c r="B485" s="117" t="str">
        <x:v>Rumah Merdeka</x:v>
      </x:c>
      <x:c r="C485" s="117" t="str">
        <x:v>Kedah</x:v>
      </x:c>
      <x:c r="D485" s="117" t="str">
        <x:v>Alor Setar</x:v>
      </x:c>
      <x:c r="E485" s="117" t="str">
        <x:v>Heritage and Visitor Attraction</x:v>
      </x:c>
      <x:c r="F485" s="117" t="str">
        <x:v>Unclassified</x:v>
      </x:c>
      <x:c r="G485" s="117" t="str">
        <x:v>Both</x:v>
      </x:c>
      <x:c r="H485" s="117" t="str">
        <x:v>Heritage and Visitor Attraction; Alor Setar</x:v>
      </x:c>
      <x:c r="I485" s="117" t="str">
        <x:v>A visitor attraction in Alor Setar, Kedah, listed in Tourism Malaysia's state travel guide. Venue operation and the precise accessible route require confirmation.</x:v>
      </x:c>
      <x:c r="J485" s="117" t="str">
        <x:v>https://ebrochures.malaysia.travel/en/malaysia-travel-guide/kedah/</x:v>
      </x:c>
      <x:c r="K485" s="117" t="str">
        <x:v>https://ebrochures.malaysia.travel/en/malaysia-travel-guide/kedah/</x:v>
      </x:c>
      <x:c r="L485" s="117" t="str">
        <x:v>Tourism Malaysia listing; operation unconfirmed</x:v>
      </x:c>
      <x:c r="M485" s="117" t="str">
        <x:v>Nationwide expansion 2026-09-08</x:v>
      </x:c>
      <x:c r="N485" s="117"/>
      <x:c r="O485" s="117" t="str">
        <x:v>2026-09-08</x:v>
      </x:c>
      <x:c r="P485" s="117" t="str">
        <x:v>Complete</x:v>
      </x:c>
      <x:c r="Q485" s="117"/>
      <x:c r="R485" s="117" t="str">
        <x:f>IF(J485="","Missing Link",IF(AND(ISNUMBER(SEARCH("google.com/maps",J485)),ISERROR(SEARCH(";",J485))),"Discovery Link Only","Source Link Present"))</x:f>
        <x:v>Source Link Present</x:v>
      </x:c>
      <x:c r="S485" s="117" t="str">
        <x:v>Unknown</x:v>
      </x:c>
      <x:c r="T485" s="117" t="str">
        <x:v>Unknown</x:v>
      </x:c>
      <x:c r="U485" s="117" t="str">
        <x:v>Unknown</x:v>
      </x:c>
      <x:c r="V485" s="117" t="str">
        <x:v>Unknown</x:v>
      </x:c>
      <x:c r="W485" s="117" t="str">
        <x:v>Unknown</x:v>
      </x:c>
      <x:c r="X485" s="117" t="str">
        <x:v>Unknown</x:v>
      </x:c>
      <x:c r="Y485" s="117" t="str">
        <x:v>Unknown</x:v>
      </x:c>
      <x:c r="Z485" s="117"/>
      <x:c r="AA485" s="117" t="str">
        <x:v>Pending evidence</x:v>
      </x:c>
      <x:c r="AB485" s="117"/>
      <x:c r="AC485" s="117" t="str">
        <x:v>No qualifying accessibility conclusion established from the screened sources. This is unknown, not evidence that the attraction is inaccessible.</x:v>
      </x:c>
      <x:c r="AD485" s="117" t="str">
        <x:v>2026-09-08</x:v>
      </x:c>
      <x:c r="AE485" s="117" t="str">
        <x:v>MC0482</x:v>
      </x:c>
      <x:c r="AF485" s="117" t="str">
        <x:v>Distinct candidate</x:v>
      </x:c>
      <x:c r="AG485" s="117" t="str"/>
      <x:c r="AH485" s="117" t="str">
        <x:v>Listed by Tourism Malaysia</x:v>
      </x:c>
      <x:c r="AI485" s="117" t="str">
        <x:v>https://ebrochures.malaysia.travel/en/malaysia-travel-guide/kedah/</x:v>
      </x:c>
      <x:c r="AJ485" s="117" t="str">
        <x:v>Named visitor attraction in cited source; state-guide listings can be historical. Locality is catalogue metadata, not a surveyed address. Current operation remains unconfirmed.</x:v>
      </x:c>
      <x:c r="AK485" s="117" t="str">
        <x:v>Not independently confirmed</x:v>
      </x:c>
      <x:c r="AL485" s="117" t="str">
        <x:v>Screened sources; accessibility unresolved</x:v>
      </x:c>
      <x:c r="AM485" s="117" t="str">
        <x:v>2026-09-08</x:v>
      </x:c>
      <x:c r="AN485" s="117"/>
      <x:c r="AO485" s="117"/>
      <x:c r="AP485" s="117" t="str">
        <x:v>No usable pair located; image research pending</x:v>
      </x:c>
      <x:c r="AQ485" s="117"/>
    </x:row>
    <x:row r="486" ht="66" customHeight="1">
      <x:c r="A486" s="117" t="str">
        <x:v>MC0483</x:v>
      </x:c>
      <x:c r="B486" s="117" t="str">
        <x:v>Taman Jubli Emas</x:v>
      </x:c>
      <x:c r="C486" s="117" t="str">
        <x:v>Kedah</x:v>
      </x:c>
      <x:c r="D486" s="117" t="str">
        <x:v>Alor Setar</x:v>
      </x:c>
      <x:c r="E486" s="117" t="str">
        <x:v>Heritage and Visitor Attraction</x:v>
      </x:c>
      <x:c r="F486" s="117" t="str">
        <x:v>Unclassified</x:v>
      </x:c>
      <x:c r="G486" s="117" t="str">
        <x:v>Both</x:v>
      </x:c>
      <x:c r="H486" s="117" t="str">
        <x:v>Heritage and Visitor Attraction; Alor Setar</x:v>
      </x:c>
      <x:c r="I486" s="117" t="str">
        <x:v>A visitor attraction in Alor Setar, Kedah, listed in Tourism Malaysia's state travel guide. Venue operation and the precise accessible route require confirmation.</x:v>
      </x:c>
      <x:c r="J486" s="117" t="str">
        <x:v>https://ebrochures.malaysia.travel/en/malaysia-travel-guide/kedah/</x:v>
      </x:c>
      <x:c r="K486" s="117" t="str">
        <x:v>https://ebrochures.malaysia.travel/en/malaysia-travel-guide/kedah/</x:v>
      </x:c>
      <x:c r="L486" s="117" t="str">
        <x:v>Tourism Malaysia listing; operation unconfirmed</x:v>
      </x:c>
      <x:c r="M486" s="117" t="str">
        <x:v>Nationwide expansion 2026-09-08</x:v>
      </x:c>
      <x:c r="N486" s="117"/>
      <x:c r="O486" s="117" t="str">
        <x:v>2026-09-08</x:v>
      </x:c>
      <x:c r="P486" s="117" t="str">
        <x:v>Complete</x:v>
      </x:c>
      <x:c r="Q486" s="117"/>
      <x:c r="R486" s="117" t="str">
        <x:f>IF(J486="","Missing Link",IF(AND(ISNUMBER(SEARCH("google.com/maps",J486)),ISERROR(SEARCH(";",J486))),"Discovery Link Only","Source Link Present"))</x:f>
        <x:v>Source Link Present</x:v>
      </x:c>
      <x:c r="S486" s="117" t="str">
        <x:v>Unknown</x:v>
      </x:c>
      <x:c r="T486" s="117" t="str">
        <x:v>Unknown</x:v>
      </x:c>
      <x:c r="U486" s="117" t="str">
        <x:v>Unknown</x:v>
      </x:c>
      <x:c r="V486" s="117" t="str">
        <x:v>Unknown</x:v>
      </x:c>
      <x:c r="W486" s="117" t="str">
        <x:v>Unknown</x:v>
      </x:c>
      <x:c r="X486" s="117" t="str">
        <x:v>Unknown</x:v>
      </x:c>
      <x:c r="Y486" s="117" t="str">
        <x:v>Unknown</x:v>
      </x:c>
      <x:c r="Z486" s="117"/>
      <x:c r="AA486" s="117" t="str">
        <x:v>Pending evidence</x:v>
      </x:c>
      <x:c r="AB486" s="117"/>
      <x:c r="AC486" s="117" t="str">
        <x:v>No qualifying accessibility conclusion established from the screened sources. This is unknown, not evidence that the attraction is inaccessible.</x:v>
      </x:c>
      <x:c r="AD486" s="117" t="str">
        <x:v>2026-09-08</x:v>
      </x:c>
      <x:c r="AE486" s="117" t="str">
        <x:v>MC0483</x:v>
      </x:c>
      <x:c r="AF486" s="117" t="str">
        <x:v>Distinct candidate</x:v>
      </x:c>
      <x:c r="AG486" s="117" t="str"/>
      <x:c r="AH486" s="117" t="str">
        <x:v>Listed by Tourism Malaysia</x:v>
      </x:c>
      <x:c r="AI486" s="117" t="str">
        <x:v>https://ebrochures.malaysia.travel/en/malaysia-travel-guide/kedah/</x:v>
      </x:c>
      <x:c r="AJ486" s="117" t="str">
        <x:v>Named visitor attraction in cited source; state-guide listings can be historical. Locality is catalogue metadata, not a surveyed address. Current operation remains unconfirmed.</x:v>
      </x:c>
      <x:c r="AK486" s="117" t="str">
        <x:v>Not independently confirmed</x:v>
      </x:c>
      <x:c r="AL486" s="117" t="str">
        <x:v>Screened sources; accessibility unresolved</x:v>
      </x:c>
      <x:c r="AM486" s="117" t="str">
        <x:v>2026-09-08</x:v>
      </x:c>
      <x:c r="AN486" s="117" t="str">
        <x:v>https://thumb.wikimedia.org/wikipedia/commons/thumb/b/b5/Music_Fountain_at_Taman_Jubli_Emas_%2817768047745%29.jpg/1280px-Music_Fountain_at_Taman_Jubli_Emas_%2817768047745%29.jpg?utm_source=commons.wikimedia.org&amp;utm_campaign=imageinfo&amp;utm_content=thumbnail</x:v>
      </x:c>
      <x:c r="AO486" s="117" t="str">
        <x:v>https://thumb.wikimedia.org/wikipedia/commons/thumb/a/a2/Music_Fountain_at_Taman_Jubli_Emas_%2817765770612%29.jpg/1280px-Music_Fountain_at_Taman_Jubli_Emas_%2817765770612%29.jpg?utm_source=commons.wikimedia.org&amp;utm_campaign=imageinfo&amp;utm_content=thumbnail</x:v>
      </x:c>
      <x:c r="AP486" s="117" t="str">
        <x:v>2 metadata-matched images; visual review pending</x:v>
      </x:c>
      <x:c r="AQ486" s="117"/>
    </x:row>
    <x:row r="487" ht="66" customHeight="1">
      <x:c r="A487" s="117" t="str">
        <x:v>MC0484</x:v>
      </x:c>
      <x:c r="B487" s="117" t="str">
        <x:v>Tunku Abdul Rahman Memorial</x:v>
      </x:c>
      <x:c r="C487" s="117" t="str">
        <x:v>Kedah</x:v>
      </x:c>
      <x:c r="D487" s="117" t="str">
        <x:v>Alor Setar</x:v>
      </x:c>
      <x:c r="E487" s="117" t="str">
        <x:v>Heritage and Visitor Attraction</x:v>
      </x:c>
      <x:c r="F487" s="117" t="str">
        <x:v>Unclassified</x:v>
      </x:c>
      <x:c r="G487" s="117" t="str">
        <x:v>Both</x:v>
      </x:c>
      <x:c r="H487" s="117" t="str">
        <x:v>Heritage and Visitor Attraction; Alor Setar</x:v>
      </x:c>
      <x:c r="I487" s="117" t="str">
        <x:v>A visitor attraction in Alor Setar, Kedah, listed in Tourism Malaysia's state travel guide. Venue operation and the precise accessible route require confirmation.</x:v>
      </x:c>
      <x:c r="J487" s="117" t="str">
        <x:v>https://ebrochures.malaysia.travel/en/malaysia-travel-guide/kedah/</x:v>
      </x:c>
      <x:c r="K487" s="117" t="str">
        <x:v>https://ebrochures.malaysia.travel/en/malaysia-travel-guide/kedah/</x:v>
      </x:c>
      <x:c r="L487" s="117" t="str">
        <x:v>Tourism Malaysia listing; operation unconfirmed</x:v>
      </x:c>
      <x:c r="M487" s="117" t="str">
        <x:v>Nationwide expansion 2026-09-08</x:v>
      </x:c>
      <x:c r="N487" s="117"/>
      <x:c r="O487" s="117" t="str">
        <x:v>2026-09-08</x:v>
      </x:c>
      <x:c r="P487" s="117" t="str">
        <x:v>Complete</x:v>
      </x:c>
      <x:c r="Q487" s="117"/>
      <x:c r="R487" s="117" t="str">
        <x:f>IF(J487="","Missing Link",IF(AND(ISNUMBER(SEARCH("google.com/maps",J487)),ISERROR(SEARCH(";",J487))),"Discovery Link Only","Source Link Present"))</x:f>
        <x:v>Source Link Present</x:v>
      </x:c>
      <x:c r="S487" s="117" t="str">
        <x:v>Unknown</x:v>
      </x:c>
      <x:c r="T487" s="117" t="str">
        <x:v>Unknown</x:v>
      </x:c>
      <x:c r="U487" s="117" t="str">
        <x:v>Unknown</x:v>
      </x:c>
      <x:c r="V487" s="117" t="str">
        <x:v>Unknown</x:v>
      </x:c>
      <x:c r="W487" s="117" t="str">
        <x:v>Unknown</x:v>
      </x:c>
      <x:c r="X487" s="117" t="str">
        <x:v>Unknown</x:v>
      </x:c>
      <x:c r="Y487" s="117" t="str">
        <x:v>Unknown</x:v>
      </x:c>
      <x:c r="Z487" s="117"/>
      <x:c r="AA487" s="117" t="str">
        <x:v>Pending evidence</x:v>
      </x:c>
      <x:c r="AB487" s="117"/>
      <x:c r="AC487" s="117" t="str">
        <x:v>No qualifying accessibility conclusion established from the screened sources. This is unknown, not evidence that the attraction is inaccessible.</x:v>
      </x:c>
      <x:c r="AD487" s="117" t="str">
        <x:v>2026-09-08</x:v>
      </x:c>
      <x:c r="AE487" s="117" t="str">
        <x:v>MC0484</x:v>
      </x:c>
      <x:c r="AF487" s="117" t="str">
        <x:v>Distinct candidate</x:v>
      </x:c>
      <x:c r="AG487" s="117" t="str"/>
      <x:c r="AH487" s="117" t="str">
        <x:v>Listed by Tourism Malaysia</x:v>
      </x:c>
      <x:c r="AI487" s="117" t="str">
        <x:v>https://ebrochures.malaysia.travel/en/malaysia-travel-guide/kedah/</x:v>
      </x:c>
      <x:c r="AJ487" s="117" t="str">
        <x:v>Named visitor attraction in cited source; state-guide listings can be historical. Locality is catalogue metadata, not a surveyed address. Current operation remains unconfirmed.</x:v>
      </x:c>
      <x:c r="AK487" s="117" t="str">
        <x:v>Not independently confirmed</x:v>
      </x:c>
      <x:c r="AL487" s="117" t="str">
        <x:v>Screened sources; accessibility unresolved</x:v>
      </x:c>
      <x:c r="AM487" s="117" t="str">
        <x:v>2026-09-08</x:v>
      </x:c>
      <x:c r="AN487" s="117"/>
      <x:c r="AO487" s="117"/>
      <x:c r="AP487" s="117" t="str">
        <x:v>No usable pair located; image research pending</x:v>
      </x:c>
      <x:c r="AQ487" s="117"/>
    </x:row>
    <x:row r="488" ht="66" customHeight="1">
      <x:c r="A488" s="117" t="str">
        <x:v>MC0485</x:v>
      </x:c>
      <x:c r="B488" s="117" t="str">
        <x:v>Ulu Muda Eco Park</x:v>
      </x:c>
      <x:c r="C488" s="117" t="str">
        <x:v>Kedah</x:v>
      </x:c>
      <x:c r="D488" s="117" t="str">
        <x:v>Sik</x:v>
      </x:c>
      <x:c r="E488" s="117" t="str">
        <x:v>Nature</x:v>
      </x:c>
      <x:c r="F488" s="117" t="str">
        <x:v>Unclassified</x:v>
      </x:c>
      <x:c r="G488" s="117" t="str">
        <x:v>Outdoor</x:v>
      </x:c>
      <x:c r="H488" s="117" t="str">
        <x:v>Nature; Sik</x:v>
      </x:c>
      <x:c r="I488" s="117" t="str">
        <x:v>A visitor attraction in Sik, Kedah, listed in Tourism Malaysia's state travel guide. Venue operation and the precise accessible route require confirmation.</x:v>
      </x:c>
      <x:c r="J488" s="117" t="str">
        <x:v>https://ebrochures.malaysia.travel/en/malaysia-travel-guide/kedah/</x:v>
      </x:c>
      <x:c r="K488" s="117" t="str">
        <x:v>https://ebrochures.malaysia.travel/en/malaysia-travel-guide/kedah/</x:v>
      </x:c>
      <x:c r="L488" s="117" t="str">
        <x:v>Tourism Malaysia listing; operation unconfirmed</x:v>
      </x:c>
      <x:c r="M488" s="117" t="str">
        <x:v>Nationwide expansion 2026-09-08</x:v>
      </x:c>
      <x:c r="N488" s="117"/>
      <x:c r="O488" s="117" t="str">
        <x:v>2026-09-08</x:v>
      </x:c>
      <x:c r="P488" s="117" t="str">
        <x:v>Complete</x:v>
      </x:c>
      <x:c r="Q488" s="117"/>
      <x:c r="R488" s="117" t="str">
        <x:f>IF(J488="","Missing Link",IF(AND(ISNUMBER(SEARCH("google.com/maps",J488)),ISERROR(SEARCH(";",J488))),"Discovery Link Only","Source Link Present"))</x:f>
        <x:v>Source Link Present</x:v>
      </x:c>
      <x:c r="S488" s="117" t="str">
        <x:v>Unknown</x:v>
      </x:c>
      <x:c r="T488" s="117" t="str">
        <x:v>Unknown</x:v>
      </x:c>
      <x:c r="U488" s="117" t="str">
        <x:v>Unknown</x:v>
      </x:c>
      <x:c r="V488" s="117" t="str">
        <x:v>Unknown</x:v>
      </x:c>
      <x:c r="W488" s="117" t="str">
        <x:v>Unknown</x:v>
      </x:c>
      <x:c r="X488" s="117" t="str">
        <x:v>Unknown</x:v>
      </x:c>
      <x:c r="Y488" s="117" t="str">
        <x:v>Unknown</x:v>
      </x:c>
      <x:c r="Z488" s="117"/>
      <x:c r="AA488" s="117" t="str">
        <x:v>Pending evidence</x:v>
      </x:c>
      <x:c r="AB488" s="117"/>
      <x:c r="AC488" s="117" t="str">
        <x:v>No qualifying accessibility conclusion established from the screened sources. This is unknown, not evidence that the attraction is inaccessible.</x:v>
      </x:c>
      <x:c r="AD488" s="117" t="str">
        <x:v>2026-09-08</x:v>
      </x:c>
      <x:c r="AE488" s="117" t="str">
        <x:v>MC0485</x:v>
      </x:c>
      <x:c r="AF488" s="117" t="str">
        <x:v>Distinct candidate</x:v>
      </x:c>
      <x:c r="AG488" s="117" t="str"/>
      <x:c r="AH488" s="117" t="str">
        <x:v>Listed by Tourism Malaysia</x:v>
      </x:c>
      <x:c r="AI488" s="117" t="str">
        <x:v>https://ebrochures.malaysia.travel/en/malaysia-travel-guide/kedah/</x:v>
      </x:c>
      <x:c r="AJ488" s="117" t="str">
        <x:v>Named visitor attraction in cited source; state-guide listings can be historical. Locality is catalogue metadata, not a surveyed address. Current operation remains unconfirmed.</x:v>
      </x:c>
      <x:c r="AK488" s="117" t="str">
        <x:v>Not independently confirmed</x:v>
      </x:c>
      <x:c r="AL488" s="117" t="str">
        <x:v>Screened sources; accessibility unresolved</x:v>
      </x:c>
      <x:c r="AM488" s="117" t="str">
        <x:v>2026-09-08</x:v>
      </x:c>
      <x:c r="AN488" s="117"/>
      <x:c r="AO488" s="117"/>
      <x:c r="AP488" s="117" t="str">
        <x:v>No usable pair located; image research pending</x:v>
      </x:c>
      <x:c r="AQ488" s="117"/>
    </x:row>
    <x:row r="489" ht="66" customHeight="1">
      <x:c r="A489" s="117" t="str">
        <x:v>MC0486</x:v>
      </x:c>
      <x:c r="B489" s="117" t="str">
        <x:v>Lata Mengkuang Recreational Forest</x:v>
      </x:c>
      <x:c r="C489" s="117" t="str">
        <x:v>Kedah</x:v>
      </x:c>
      <x:c r="D489" s="117" t="str">
        <x:v>Sik</x:v>
      </x:c>
      <x:c r="E489" s="117" t="str">
        <x:v>Nature</x:v>
      </x:c>
      <x:c r="F489" s="117" t="str">
        <x:v>Unclassified</x:v>
      </x:c>
      <x:c r="G489" s="117" t="str">
        <x:v>Outdoor</x:v>
      </x:c>
      <x:c r="H489" s="117" t="str">
        <x:v>Nature; Sik</x:v>
      </x:c>
      <x:c r="I489" s="117" t="str">
        <x:v>A visitor attraction in Sik, Kedah, listed in Tourism Malaysia's state travel guide. Venue operation and the precise accessible route require confirmation.</x:v>
      </x:c>
      <x:c r="J489" s="117" t="str">
        <x:v>https://ebrochures.malaysia.travel/en/malaysia-travel-guide/kedah/</x:v>
      </x:c>
      <x:c r="K489" s="117" t="str">
        <x:v>https://ebrochures.malaysia.travel/en/malaysia-travel-guide/kedah/</x:v>
      </x:c>
      <x:c r="L489" s="117" t="str">
        <x:v>Tourism Malaysia listing; operation unconfirmed</x:v>
      </x:c>
      <x:c r="M489" s="117" t="str">
        <x:v>Nationwide expansion 2026-09-08</x:v>
      </x:c>
      <x:c r="N489" s="117"/>
      <x:c r="O489" s="117" t="str">
        <x:v>2026-09-08</x:v>
      </x:c>
      <x:c r="P489" s="117" t="str">
        <x:v>Complete</x:v>
      </x:c>
      <x:c r="Q489" s="117"/>
      <x:c r="R489" s="117" t="str">
        <x:f>IF(J489="","Missing Link",IF(AND(ISNUMBER(SEARCH("google.com/maps",J489)),ISERROR(SEARCH(";",J489))),"Discovery Link Only","Source Link Present"))</x:f>
        <x:v>Source Link Present</x:v>
      </x:c>
      <x:c r="S489" s="117" t="str">
        <x:v>Unknown</x:v>
      </x:c>
      <x:c r="T489" s="117" t="str">
        <x:v>Unknown</x:v>
      </x:c>
      <x:c r="U489" s="117" t="str">
        <x:v>Unknown</x:v>
      </x:c>
      <x:c r="V489" s="117" t="str">
        <x:v>Unknown</x:v>
      </x:c>
      <x:c r="W489" s="117" t="str">
        <x:v>Unknown</x:v>
      </x:c>
      <x:c r="X489" s="117" t="str">
        <x:v>Unknown</x:v>
      </x:c>
      <x:c r="Y489" s="117" t="str">
        <x:v>Unknown</x:v>
      </x:c>
      <x:c r="Z489" s="117"/>
      <x:c r="AA489" s="117" t="str">
        <x:v>Pending evidence</x:v>
      </x:c>
      <x:c r="AB489" s="117"/>
      <x:c r="AC489" s="117" t="str">
        <x:v>No qualifying accessibility conclusion established from the screened sources. This is unknown, not evidence that the attraction is inaccessible.</x:v>
      </x:c>
      <x:c r="AD489" s="117" t="str">
        <x:v>2026-09-08</x:v>
      </x:c>
      <x:c r="AE489" s="117" t="str">
        <x:v>MC0486</x:v>
      </x:c>
      <x:c r="AF489" s="117" t="str">
        <x:v>Distinct candidate</x:v>
      </x:c>
      <x:c r="AG489" s="117" t="str"/>
      <x:c r="AH489" s="117" t="str">
        <x:v>Listed by Tourism Malaysia</x:v>
      </x:c>
      <x:c r="AI489" s="117" t="str">
        <x:v>https://ebrochures.malaysia.travel/en/malaysia-travel-guide/kedah/</x:v>
      </x:c>
      <x:c r="AJ489" s="117" t="str">
        <x:v>Named visitor attraction in cited source; state-guide listings can be historical. Locality is catalogue metadata, not a surveyed address. Current operation remains unconfirmed.</x:v>
      </x:c>
      <x:c r="AK489" s="117" t="str">
        <x:v>Not independently confirmed</x:v>
      </x:c>
      <x:c r="AL489" s="117" t="str">
        <x:v>Screened sources; accessibility unresolved</x:v>
      </x:c>
      <x:c r="AM489" s="117" t="str">
        <x:v>2026-09-08</x:v>
      </x:c>
      <x:c r="AN489" s="117"/>
      <x:c r="AO489" s="117"/>
      <x:c r="AP489" s="117" t="str">
        <x:v>No usable pair located; image research pending</x:v>
      </x:c>
      <x:c r="AQ489" s="117"/>
    </x:row>
    <x:row r="490" ht="66" customHeight="1">
      <x:c r="A490" s="117" t="str">
        <x:v>MC0487</x:v>
      </x:c>
      <x:c r="B490" s="117" t="str">
        <x:v>Bukit Wang Recreational Park</x:v>
      </x:c>
      <x:c r="C490" s="117" t="str">
        <x:v>Kedah</x:v>
      </x:c>
      <x:c r="D490" s="117" t="str">
        <x:v>Kubang Pasu</x:v>
      </x:c>
      <x:c r="E490" s="117" t="str">
        <x:v>Nature</x:v>
      </x:c>
      <x:c r="F490" s="117" t="str">
        <x:v>Unclassified</x:v>
      </x:c>
      <x:c r="G490" s="117" t="str">
        <x:v>Outdoor</x:v>
      </x:c>
      <x:c r="H490" s="117" t="str">
        <x:v>Nature; Kubang Pasu</x:v>
      </x:c>
      <x:c r="I490" s="117" t="str">
        <x:v>A visitor attraction in Kubang Pasu, Kedah, listed in Tourism Malaysia's state travel guide. Venue operation and the precise accessible route require confirmation.</x:v>
      </x:c>
      <x:c r="J490" s="117" t="str">
        <x:v>https://ebrochures.malaysia.travel/en/malaysia-travel-guide/kedah/</x:v>
      </x:c>
      <x:c r="K490" s="117" t="str">
        <x:v>https://ebrochures.malaysia.travel/en/malaysia-travel-guide/kedah/</x:v>
      </x:c>
      <x:c r="L490" s="117" t="str">
        <x:v>Tourism Malaysia listing; operation unconfirmed</x:v>
      </x:c>
      <x:c r="M490" s="117" t="str">
        <x:v>Nationwide expansion 2026-09-08</x:v>
      </x:c>
      <x:c r="N490" s="117"/>
      <x:c r="O490" s="117" t="str">
        <x:v>2026-09-08</x:v>
      </x:c>
      <x:c r="P490" s="117" t="str">
        <x:v>Complete</x:v>
      </x:c>
      <x:c r="Q490" s="117"/>
      <x:c r="R490" s="117" t="str">
        <x:f>IF(J490="","Missing Link",IF(AND(ISNUMBER(SEARCH("google.com/maps",J490)),ISERROR(SEARCH(";",J490))),"Discovery Link Only","Source Link Present"))</x:f>
        <x:v>Source Link Present</x:v>
      </x:c>
      <x:c r="S490" s="117" t="str">
        <x:v>Unknown</x:v>
      </x:c>
      <x:c r="T490" s="117" t="str">
        <x:v>Unknown</x:v>
      </x:c>
      <x:c r="U490" s="117" t="str">
        <x:v>Unknown</x:v>
      </x:c>
      <x:c r="V490" s="117" t="str">
        <x:v>Unknown</x:v>
      </x:c>
      <x:c r="W490" s="117" t="str">
        <x:v>Unknown</x:v>
      </x:c>
      <x:c r="X490" s="117" t="str">
        <x:v>Unknown</x:v>
      </x:c>
      <x:c r="Y490" s="117" t="str">
        <x:v>Unknown</x:v>
      </x:c>
      <x:c r="Z490" s="117"/>
      <x:c r="AA490" s="117" t="str">
        <x:v>Pending evidence</x:v>
      </x:c>
      <x:c r="AB490" s="117"/>
      <x:c r="AC490" s="117" t="str">
        <x:v>No qualifying accessibility conclusion established from the screened sources. This is unknown, not evidence that the attraction is inaccessible.</x:v>
      </x:c>
      <x:c r="AD490" s="117" t="str">
        <x:v>2026-09-08</x:v>
      </x:c>
      <x:c r="AE490" s="117" t="str">
        <x:v>MC0487</x:v>
      </x:c>
      <x:c r="AF490" s="117" t="str">
        <x:v>Distinct candidate</x:v>
      </x:c>
      <x:c r="AG490" s="117" t="str"/>
      <x:c r="AH490" s="117" t="str">
        <x:v>Listed by Tourism Malaysia</x:v>
      </x:c>
      <x:c r="AI490" s="117" t="str">
        <x:v>https://ebrochures.malaysia.travel/en/malaysia-travel-guide/kedah/</x:v>
      </x:c>
      <x:c r="AJ490" s="117" t="str">
        <x:v>Named visitor attraction in cited source; state-guide listings can be historical. Locality is catalogue metadata, not a surveyed address. Current operation remains unconfirmed.</x:v>
      </x:c>
      <x:c r="AK490" s="117" t="str">
        <x:v>Not independently confirmed</x:v>
      </x:c>
      <x:c r="AL490" s="117" t="str">
        <x:v>Screened sources; accessibility unresolved</x:v>
      </x:c>
      <x:c r="AM490" s="117" t="str">
        <x:v>2026-09-08</x:v>
      </x:c>
      <x:c r="AN490" s="117"/>
      <x:c r="AO490" s="117"/>
      <x:c r="AP490" s="117" t="str">
        <x:v>No usable pair located; image research pending</x:v>
      </x:c>
      <x:c r="AQ490" s="117"/>
    </x:row>
    <x:row r="491" ht="66" customHeight="1">
      <x:c r="A491" s="117" t="str">
        <x:v>MC0488</x:v>
      </x:c>
      <x:c r="B491" s="117" t="str">
        <x:v>Puncak Janing</x:v>
      </x:c>
      <x:c r="C491" s="117" t="str">
        <x:v>Kedah</x:v>
      </x:c>
      <x:c r="D491" s="117" t="str">
        <x:v>Kubang Pasu</x:v>
      </x:c>
      <x:c r="E491" s="117" t="str">
        <x:v>Heritage and Visitor Attraction</x:v>
      </x:c>
      <x:c r="F491" s="117" t="str">
        <x:v>Unclassified</x:v>
      </x:c>
      <x:c r="G491" s="117" t="str">
        <x:v>Both</x:v>
      </x:c>
      <x:c r="H491" s="117" t="str">
        <x:v>Heritage and Visitor Attraction; Kubang Pasu</x:v>
      </x:c>
      <x:c r="I491" s="117" t="str">
        <x:v>A visitor attraction in Kubang Pasu, Kedah, listed in Tourism Malaysia's state travel guide. Venue operation and the precise accessible route require confirmation.</x:v>
      </x:c>
      <x:c r="J491" s="117" t="str">
        <x:v>https://ebrochures.malaysia.travel/en/malaysia-travel-guide/kedah/</x:v>
      </x:c>
      <x:c r="K491" s="117" t="str">
        <x:v>https://ebrochures.malaysia.travel/en/malaysia-travel-guide/kedah/</x:v>
      </x:c>
      <x:c r="L491" s="117" t="str">
        <x:v>Tourism Malaysia listing; operation unconfirmed</x:v>
      </x:c>
      <x:c r="M491" s="117" t="str">
        <x:v>Nationwide expansion 2026-09-08</x:v>
      </x:c>
      <x:c r="N491" s="117"/>
      <x:c r="O491" s="117" t="str">
        <x:v>2026-09-08</x:v>
      </x:c>
      <x:c r="P491" s="117" t="str">
        <x:v>Complete</x:v>
      </x:c>
      <x:c r="Q491" s="117"/>
      <x:c r="R491" s="117" t="str">
        <x:f>IF(J491="","Missing Link",IF(AND(ISNUMBER(SEARCH("google.com/maps",J491)),ISERROR(SEARCH(";",J491))),"Discovery Link Only","Source Link Present"))</x:f>
        <x:v>Source Link Present</x:v>
      </x:c>
      <x:c r="S491" s="117" t="str">
        <x:v>Unknown</x:v>
      </x:c>
      <x:c r="T491" s="117" t="str">
        <x:v>Unknown</x:v>
      </x:c>
      <x:c r="U491" s="117" t="str">
        <x:v>Unknown</x:v>
      </x:c>
      <x:c r="V491" s="117" t="str">
        <x:v>Unknown</x:v>
      </x:c>
      <x:c r="W491" s="117" t="str">
        <x:v>Unknown</x:v>
      </x:c>
      <x:c r="X491" s="117" t="str">
        <x:v>Unknown</x:v>
      </x:c>
      <x:c r="Y491" s="117" t="str">
        <x:v>Unknown</x:v>
      </x:c>
      <x:c r="Z491" s="117"/>
      <x:c r="AA491" s="117" t="str">
        <x:v>Pending evidence</x:v>
      </x:c>
      <x:c r="AB491" s="117"/>
      <x:c r="AC491" s="117" t="str">
        <x:v>No qualifying accessibility conclusion established from the screened sources. This is unknown, not evidence that the attraction is inaccessible.</x:v>
      </x:c>
      <x:c r="AD491" s="117" t="str">
        <x:v>2026-09-08</x:v>
      </x:c>
      <x:c r="AE491" s="117" t="str">
        <x:v>MC0488</x:v>
      </x:c>
      <x:c r="AF491" s="117" t="str">
        <x:v>Distinct candidate</x:v>
      </x:c>
      <x:c r="AG491" s="117" t="str"/>
      <x:c r="AH491" s="117" t="str">
        <x:v>Listed by Tourism Malaysia</x:v>
      </x:c>
      <x:c r="AI491" s="117" t="str">
        <x:v>https://ebrochures.malaysia.travel/en/malaysia-travel-guide/kedah/</x:v>
      </x:c>
      <x:c r="AJ491" s="117" t="str">
        <x:v>Named visitor attraction in cited source; state-guide listings can be historical. Locality is catalogue metadata, not a surveyed address. Current operation remains unconfirmed.</x:v>
      </x:c>
      <x:c r="AK491" s="117" t="str">
        <x:v>Not independently confirmed</x:v>
      </x:c>
      <x:c r="AL491" s="117" t="str">
        <x:v>Screened sources; accessibility unresolved</x:v>
      </x:c>
      <x:c r="AM491" s="117" t="str">
        <x:v>2026-09-08</x:v>
      </x:c>
      <x:c r="AN491" s="117"/>
      <x:c r="AO491" s="117"/>
      <x:c r="AP491" s="117" t="str">
        <x:v>No usable pair located; image research pending</x:v>
      </x:c>
      <x:c r="AQ491" s="117"/>
    </x:row>
    <x:row r="492" ht="66" customHeight="1">
      <x:c r="A492" s="117" t="str">
        <x:v>MC0489</x:v>
      </x:c>
      <x:c r="B492" s="117" t="str">
        <x:v>Seri Perigi Waterfall</x:v>
      </x:c>
      <x:c r="C492" s="117" t="str">
        <x:v>Kedah</x:v>
      </x:c>
      <x:c r="D492" s="117" t="str">
        <x:v>Yan</x:v>
      </x:c>
      <x:c r="E492" s="117" t="str">
        <x:v>Nature</x:v>
      </x:c>
      <x:c r="F492" s="117" t="str">
        <x:v>Unclassified</x:v>
      </x:c>
      <x:c r="G492" s="117" t="str">
        <x:v>Outdoor</x:v>
      </x:c>
      <x:c r="H492" s="117" t="str">
        <x:v>Nature; Yan</x:v>
      </x:c>
      <x:c r="I492" s="117" t="str">
        <x:v>A visitor attraction in Yan, Kedah, listed in Tourism Malaysia's state travel guide. Venue operation and the precise accessible route require confirmation.</x:v>
      </x:c>
      <x:c r="J492" s="117" t="str">
        <x:v>https://ebrochures.malaysia.travel/en/malaysia-travel-guide/kedah/</x:v>
      </x:c>
      <x:c r="K492" s="117" t="str">
        <x:v>https://ebrochures.malaysia.travel/en/malaysia-travel-guide/kedah/</x:v>
      </x:c>
      <x:c r="L492" s="117" t="str">
        <x:v>Tourism Malaysia listing; operation unconfirmed</x:v>
      </x:c>
      <x:c r="M492" s="117" t="str">
        <x:v>Nationwide expansion 2026-09-08</x:v>
      </x:c>
      <x:c r="N492" s="117"/>
      <x:c r="O492" s="117" t="str">
        <x:v>2026-09-08</x:v>
      </x:c>
      <x:c r="P492" s="117" t="str">
        <x:v>Complete</x:v>
      </x:c>
      <x:c r="Q492" s="117"/>
      <x:c r="R492" s="117" t="str">
        <x:f>IF(J492="","Missing Link",IF(AND(ISNUMBER(SEARCH("google.com/maps",J492)),ISERROR(SEARCH(";",J492))),"Discovery Link Only","Source Link Present"))</x:f>
        <x:v>Source Link Present</x:v>
      </x:c>
      <x:c r="S492" s="117" t="str">
        <x:v>Unknown</x:v>
      </x:c>
      <x:c r="T492" s="117" t="str">
        <x:v>Unknown</x:v>
      </x:c>
      <x:c r="U492" s="117" t="str">
        <x:v>Unknown</x:v>
      </x:c>
      <x:c r="V492" s="117" t="str">
        <x:v>Unknown</x:v>
      </x:c>
      <x:c r="W492" s="117" t="str">
        <x:v>Unknown</x:v>
      </x:c>
      <x:c r="X492" s="117" t="str">
        <x:v>Unknown</x:v>
      </x:c>
      <x:c r="Y492" s="117" t="str">
        <x:v>Unknown</x:v>
      </x:c>
      <x:c r="Z492" s="117"/>
      <x:c r="AA492" s="117" t="str">
        <x:v>Pending evidence</x:v>
      </x:c>
      <x:c r="AB492" s="117"/>
      <x:c r="AC492" s="117" t="str">
        <x:v>No qualifying accessibility conclusion established from the screened sources. This is unknown, not evidence that the attraction is inaccessible.</x:v>
      </x:c>
      <x:c r="AD492" s="117" t="str">
        <x:v>2026-09-08</x:v>
      </x:c>
      <x:c r="AE492" s="117" t="str">
        <x:v>MC0489</x:v>
      </x:c>
      <x:c r="AF492" s="117" t="str">
        <x:v>Distinct candidate</x:v>
      </x:c>
      <x:c r="AG492" s="117" t="str"/>
      <x:c r="AH492" s="117" t="str">
        <x:v>Listed by Tourism Malaysia</x:v>
      </x:c>
      <x:c r="AI492" s="117" t="str">
        <x:v>https://ebrochures.malaysia.travel/en/malaysia-travel-guide/kedah/</x:v>
      </x:c>
      <x:c r="AJ492" s="117" t="str">
        <x:v>Named visitor attraction in cited source; state-guide listings can be historical. Locality is catalogue metadata, not a surveyed address. Current operation remains unconfirmed.</x:v>
      </x:c>
      <x:c r="AK492" s="117" t="str">
        <x:v>Not independently confirmed</x:v>
      </x:c>
      <x:c r="AL492" s="117" t="str">
        <x:v>Screened sources; accessibility unresolved</x:v>
      </x:c>
      <x:c r="AM492" s="117" t="str">
        <x:v>2026-09-08</x:v>
      </x:c>
      <x:c r="AN492" s="117" t="str">
        <x:v>https://thumb.wikimedia.org/wikipedia/commons/thumb/2/2f/Air_Terjun_Seri_Perigi_.jpg/1280px-Air_Terjun_Seri_Perigi_.jpg?utm_source=commons.wikimedia.org&amp;utm_campaign=imageinfo&amp;utm_content=thumbnail</x:v>
      </x:c>
      <x:c r="AO492" s="117" t="str">
        <x:v>https://thumb.wikimedia.org/wikipedia/commons/thumb/a/ad/Seri_Perigi.jpg/1280px-Seri_Perigi.jpg?utm_source=commons.wikimedia.org&amp;utm_campaign=imageinfo&amp;utm_content=thumbnail</x:v>
      </x:c>
      <x:c r="AP492" s="117" t="str">
        <x:v>2 metadata-matched images; visual review pending</x:v>
      </x:c>
      <x:c r="AQ492" s="117"/>
    </x:row>
    <x:row r="493" ht="66" customHeight="1">
      <x:c r="A493" s="117" t="str">
        <x:v>MC0490</x:v>
      </x:c>
      <x:c r="B493" s="117" t="str">
        <x:v>Batu Hampar Recreational Forest</x:v>
      </x:c>
      <x:c r="C493" s="117" t="str">
        <x:v>Kedah</x:v>
      </x:c>
      <x:c r="D493" s="117" t="str">
        <x:v>Yan</x:v>
      </x:c>
      <x:c r="E493" s="117" t="str">
        <x:v>Nature</x:v>
      </x:c>
      <x:c r="F493" s="117" t="str">
        <x:v>Unclassified</x:v>
      </x:c>
      <x:c r="G493" s="117" t="str">
        <x:v>Outdoor</x:v>
      </x:c>
      <x:c r="H493" s="117" t="str">
        <x:v>Nature; Yan</x:v>
      </x:c>
      <x:c r="I493" s="117" t="str">
        <x:v>A visitor attraction in Yan, Kedah, listed in Tourism Malaysia's state travel guide. Venue operation and the precise accessible route require confirmation.</x:v>
      </x:c>
      <x:c r="J493" s="117" t="str">
        <x:v>https://ebrochures.malaysia.travel/en/malaysia-travel-guide/kedah/</x:v>
      </x:c>
      <x:c r="K493" s="117" t="str">
        <x:v>https://ebrochures.malaysia.travel/en/malaysia-travel-guide/kedah/</x:v>
      </x:c>
      <x:c r="L493" s="117" t="str">
        <x:v>Tourism Malaysia listing; operation unconfirmed</x:v>
      </x:c>
      <x:c r="M493" s="117" t="str">
        <x:v>Nationwide expansion 2026-09-08</x:v>
      </x:c>
      <x:c r="N493" s="117"/>
      <x:c r="O493" s="117" t="str">
        <x:v>2026-09-08</x:v>
      </x:c>
      <x:c r="P493" s="117" t="str">
        <x:v>Complete</x:v>
      </x:c>
      <x:c r="Q493" s="117"/>
      <x:c r="R493" s="117" t="str">
        <x:f>IF(J493="","Missing Link",IF(AND(ISNUMBER(SEARCH("google.com/maps",J493)),ISERROR(SEARCH(";",J493))),"Discovery Link Only","Source Link Present"))</x:f>
        <x:v>Source Link Present</x:v>
      </x:c>
      <x:c r="S493" s="117" t="str">
        <x:v>Unknown</x:v>
      </x:c>
      <x:c r="T493" s="117" t="str">
        <x:v>Unknown</x:v>
      </x:c>
      <x:c r="U493" s="117" t="str">
        <x:v>Unknown</x:v>
      </x:c>
      <x:c r="V493" s="117" t="str">
        <x:v>Unknown</x:v>
      </x:c>
      <x:c r="W493" s="117" t="str">
        <x:v>Unknown</x:v>
      </x:c>
      <x:c r="X493" s="117" t="str">
        <x:v>Unknown</x:v>
      </x:c>
      <x:c r="Y493" s="117" t="str">
        <x:v>Unknown</x:v>
      </x:c>
      <x:c r="Z493" s="117"/>
      <x:c r="AA493" s="117" t="str">
        <x:v>Pending evidence</x:v>
      </x:c>
      <x:c r="AB493" s="117"/>
      <x:c r="AC493" s="117" t="str">
        <x:v>No qualifying accessibility conclusion established from the screened sources. This is unknown, not evidence that the attraction is inaccessible.</x:v>
      </x:c>
      <x:c r="AD493" s="117" t="str">
        <x:v>2026-09-08</x:v>
      </x:c>
      <x:c r="AE493" s="117" t="str">
        <x:v>MC0490</x:v>
      </x:c>
      <x:c r="AF493" s="117" t="str">
        <x:v>Distinct candidate</x:v>
      </x:c>
      <x:c r="AG493" s="117" t="str"/>
      <x:c r="AH493" s="117" t="str">
        <x:v>Listed by Tourism Malaysia</x:v>
      </x:c>
      <x:c r="AI493" s="117" t="str">
        <x:v>https://ebrochures.malaysia.travel/en/malaysia-travel-guide/kedah/</x:v>
      </x:c>
      <x:c r="AJ493" s="117" t="str">
        <x:v>Named visitor attraction in cited source; state-guide listings can be historical. Locality is catalogue metadata, not a surveyed address. Current operation remains unconfirmed.</x:v>
      </x:c>
      <x:c r="AK493" s="117" t="str">
        <x:v>Not independently confirmed</x:v>
      </x:c>
      <x:c r="AL493" s="117" t="str">
        <x:v>Screened sources; accessibility unresolved</x:v>
      </x:c>
      <x:c r="AM493" s="117" t="str">
        <x:v>2026-09-08</x:v>
      </x:c>
      <x:c r="AN493" s="117"/>
      <x:c r="AO493" s="117"/>
      <x:c r="AP493" s="117" t="str">
        <x:v>No usable pair located; image research pending</x:v>
      </x:c>
      <x:c r="AQ493" s="117"/>
    </x:row>
    <x:row r="494" ht="66" customHeight="1">
      <x:c r="A494" s="117" t="str">
        <x:v>MC0491</x:v>
      </x:c>
      <x:c r="B494" s="117" t="str">
        <x:v>Pantai Merdeka</x:v>
      </x:c>
      <x:c r="C494" s="117" t="str">
        <x:v>Kedah</x:v>
      </x:c>
      <x:c r="D494" s="117" t="str">
        <x:v>Kuala Muda</x:v>
      </x:c>
      <x:c r="E494" s="117" t="str">
        <x:v>Beach and Island</x:v>
      </x:c>
      <x:c r="F494" s="117" t="str">
        <x:v>Unclassified</x:v>
      </x:c>
      <x:c r="G494" s="117" t="str">
        <x:v>Outdoor</x:v>
      </x:c>
      <x:c r="H494" s="117" t="str">
        <x:v>Beach and Island; Kuala Muda</x:v>
      </x:c>
      <x:c r="I494" s="117" t="str">
        <x:v>A visitor attraction in Kuala Muda, Kedah, listed in Tourism Malaysia's state travel guide. Venue operation and the precise accessible route require confirmation.</x:v>
      </x:c>
      <x:c r="J494" s="117" t="str">
        <x:v>https://ebrochures.malaysia.travel/en/malaysia-travel-guide/kedah/</x:v>
      </x:c>
      <x:c r="K494" s="117" t="str">
        <x:v>https://ebrochures.malaysia.travel/en/malaysia-travel-guide/kedah/</x:v>
      </x:c>
      <x:c r="L494" s="117" t="str">
        <x:v>Tourism Malaysia listing; operation unconfirmed</x:v>
      </x:c>
      <x:c r="M494" s="117" t="str">
        <x:v>Nationwide expansion 2026-09-08</x:v>
      </x:c>
      <x:c r="N494" s="117"/>
      <x:c r="O494" s="117" t="str">
        <x:v>2026-09-08</x:v>
      </x:c>
      <x:c r="P494" s="117" t="str">
        <x:v>Complete</x:v>
      </x:c>
      <x:c r="Q494" s="117"/>
      <x:c r="R494" s="117" t="str">
        <x:f>IF(J494="","Missing Link",IF(AND(ISNUMBER(SEARCH("google.com/maps",J494)),ISERROR(SEARCH(";",J494))),"Discovery Link Only","Source Link Present"))</x:f>
        <x:v>Source Link Present</x:v>
      </x:c>
      <x:c r="S494" s="117" t="str">
        <x:v>Unknown</x:v>
      </x:c>
      <x:c r="T494" s="117" t="str">
        <x:v>Unknown</x:v>
      </x:c>
      <x:c r="U494" s="117" t="str">
        <x:v>Unknown</x:v>
      </x:c>
      <x:c r="V494" s="117" t="str">
        <x:v>Unknown</x:v>
      </x:c>
      <x:c r="W494" s="117" t="str">
        <x:v>Unknown</x:v>
      </x:c>
      <x:c r="X494" s="117" t="str">
        <x:v>Unknown</x:v>
      </x:c>
      <x:c r="Y494" s="117" t="str">
        <x:v>Unknown</x:v>
      </x:c>
      <x:c r="Z494" s="117"/>
      <x:c r="AA494" s="117" t="str">
        <x:v>Pending evidence</x:v>
      </x:c>
      <x:c r="AB494" s="117"/>
      <x:c r="AC494" s="117" t="str">
        <x:v>No qualifying accessibility conclusion established from the screened sources. This is unknown, not evidence that the attraction is inaccessible.</x:v>
      </x:c>
      <x:c r="AD494" s="117" t="str">
        <x:v>2026-09-08</x:v>
      </x:c>
      <x:c r="AE494" s="117" t="str">
        <x:v>MC0491</x:v>
      </x:c>
      <x:c r="AF494" s="117" t="str">
        <x:v>Distinct candidate</x:v>
      </x:c>
      <x:c r="AG494" s="117" t="str"/>
      <x:c r="AH494" s="117" t="str">
        <x:v>Listed by Tourism Malaysia</x:v>
      </x:c>
      <x:c r="AI494" s="117" t="str">
        <x:v>https://ebrochures.malaysia.travel/en/malaysia-travel-guide/kedah/</x:v>
      </x:c>
      <x:c r="AJ494" s="117" t="str">
        <x:v>Named visitor attraction in cited source; state-guide listings can be historical. Locality is catalogue metadata, not a surveyed address. Current operation remains unconfirmed.</x:v>
      </x:c>
      <x:c r="AK494" s="117" t="str">
        <x:v>Not independently confirmed</x:v>
      </x:c>
      <x:c r="AL494" s="117" t="str">
        <x:v>Screened sources; accessibility unresolved</x:v>
      </x:c>
      <x:c r="AM494" s="117" t="str">
        <x:v>2026-09-08</x:v>
      </x:c>
      <x:c r="AN494" s="117" t="str">
        <x:v>https://thumb.wikimedia.org/wikipedia/commons/thumb/4/45/Landmark_of_Pantai_Merdeka.jpg/1280px-Landmark_of_Pantai_Merdeka.jpg?utm_source=commons.wikimedia.org&amp;utm_campaign=imageinfo&amp;utm_content=thumbnail</x:v>
      </x:c>
      <x:c r="AO494" s="117" t="str">
        <x:v>https://thumb.wikimedia.org/wikipedia/commons/thumb/6/6a/Pantai_Merdeka_%2812185357735%29.jpg/1280px-Pantai_Merdeka_%2812185357735%29.jpg?utm_source=commons.wikimedia.org&amp;utm_campaign=imageinfo&amp;utm_content=thumbnail</x:v>
      </x:c>
      <x:c r="AP494" s="117" t="str">
        <x:v>2 metadata-matched images; visual review pending</x:v>
      </x:c>
      <x:c r="AQ494" s="117"/>
    </x:row>
    <x:row r="495" ht="66" customHeight="1">
      <x:c r="A495" s="117" t="str">
        <x:v>MC0492</x:v>
      </x:c>
      <x:c r="B495" s="117" t="str">
        <x:v>Tanjung Dawai</x:v>
      </x:c>
      <x:c r="C495" s="117" t="str">
        <x:v>Kedah</x:v>
      </x:c>
      <x:c r="D495" s="117" t="str">
        <x:v>Kuala Muda</x:v>
      </x:c>
      <x:c r="E495" s="117" t="str">
        <x:v>Heritage and Visitor Attraction</x:v>
      </x:c>
      <x:c r="F495" s="117" t="str">
        <x:v>Unclassified</x:v>
      </x:c>
      <x:c r="G495" s="117" t="str">
        <x:v>Both</x:v>
      </x:c>
      <x:c r="H495" s="117" t="str">
        <x:v>Heritage and Visitor Attraction; Kuala Muda</x:v>
      </x:c>
      <x:c r="I495" s="117" t="str">
        <x:v>A visitor attraction in Kuala Muda, Kedah, listed in Tourism Malaysia's state travel guide. Venue operation and the precise accessible route require confirmation.</x:v>
      </x:c>
      <x:c r="J495" s="117" t="str">
        <x:v>https://ebrochures.malaysia.travel/en/malaysia-travel-guide/kedah/</x:v>
      </x:c>
      <x:c r="K495" s="117" t="str">
        <x:v>https://ebrochures.malaysia.travel/en/malaysia-travel-guide/kedah/</x:v>
      </x:c>
      <x:c r="L495" s="117" t="str">
        <x:v>Tourism Malaysia listing; operation unconfirmed</x:v>
      </x:c>
      <x:c r="M495" s="117" t="str">
        <x:v>Nationwide expansion 2026-09-08</x:v>
      </x:c>
      <x:c r="N495" s="117"/>
      <x:c r="O495" s="117" t="str">
        <x:v>2026-09-08</x:v>
      </x:c>
      <x:c r="P495" s="117" t="str">
        <x:v>Complete</x:v>
      </x:c>
      <x:c r="Q495" s="117"/>
      <x:c r="R495" s="117" t="str">
        <x:f>IF(J495="","Missing Link",IF(AND(ISNUMBER(SEARCH("google.com/maps",J495)),ISERROR(SEARCH(";",J495))),"Discovery Link Only","Source Link Present"))</x:f>
        <x:v>Source Link Present</x:v>
      </x:c>
      <x:c r="S495" s="117" t="str">
        <x:v>Unknown</x:v>
      </x:c>
      <x:c r="T495" s="117" t="str">
        <x:v>Unknown</x:v>
      </x:c>
      <x:c r="U495" s="117" t="str">
        <x:v>Unknown</x:v>
      </x:c>
      <x:c r="V495" s="117" t="str">
        <x:v>Unknown</x:v>
      </x:c>
      <x:c r="W495" s="117" t="str">
        <x:v>Unknown</x:v>
      </x:c>
      <x:c r="X495" s="117" t="str">
        <x:v>Unknown</x:v>
      </x:c>
      <x:c r="Y495" s="117" t="str">
        <x:v>Unknown</x:v>
      </x:c>
      <x:c r="Z495" s="117"/>
      <x:c r="AA495" s="117" t="str">
        <x:v>Pending evidence</x:v>
      </x:c>
      <x:c r="AB495" s="117"/>
      <x:c r="AC495" s="117" t="str">
        <x:v>No qualifying accessibility conclusion established from the screened sources. This is unknown, not evidence that the attraction is inaccessible.</x:v>
      </x:c>
      <x:c r="AD495" s="117" t="str">
        <x:v>2026-09-08</x:v>
      </x:c>
      <x:c r="AE495" s="117" t="str">
        <x:v>MC0492</x:v>
      </x:c>
      <x:c r="AF495" s="117" t="str">
        <x:v>Distinct candidate</x:v>
      </x:c>
      <x:c r="AG495" s="117" t="str"/>
      <x:c r="AH495" s="117" t="str">
        <x:v>Listed by Tourism Malaysia</x:v>
      </x:c>
      <x:c r="AI495" s="117" t="str">
        <x:v>https://ebrochures.malaysia.travel/en/malaysia-travel-guide/kedah/</x:v>
      </x:c>
      <x:c r="AJ495" s="117" t="str">
        <x:v>Named visitor attraction in cited source; state-guide listings can be historical. Locality is catalogue metadata, not a surveyed address. Current operation remains unconfirmed.</x:v>
      </x:c>
      <x:c r="AK495" s="117" t="str">
        <x:v>Not independently confirmed</x:v>
      </x:c>
      <x:c r="AL495" s="117" t="str">
        <x:v>Screened sources; accessibility unresolved</x:v>
      </x:c>
      <x:c r="AM495" s="117" t="str">
        <x:v>2026-09-08</x:v>
      </x:c>
      <x:c r="AN495" s="117" t="str">
        <x:v>https://thumb.wikimedia.org/wikipedia/commons/thumb/f/fa/Jetty_Tanjung_Dawai_%2812300742444%29.jpg/1280px-Jetty_Tanjung_Dawai_%2812300742444%29.jpg?utm_source=commons.wikimedia.org&amp;utm_campaign=imageinfo&amp;utm_content=thumbnail</x:v>
      </x:c>
      <x:c r="AO495" s="117" t="str">
        <x:v>https://thumb.wikimedia.org/wikipedia/commons/thumb/a/a8/Tanjung_Dawai_%2812184883876%29.jpg/1280px-Tanjung_Dawai_%2812184883876%29.jpg?utm_source=commons.wikimedia.org&amp;utm_campaign=imageinfo&amp;utm_content=thumbnail</x:v>
      </x:c>
      <x:c r="AP495" s="117" t="str">
        <x:v>2 metadata-matched images; visual review pending</x:v>
      </x:c>
      <x:c r="AQ495" s="117"/>
    </x:row>
    <x:row r="496" ht="66" customHeight="1">
      <x:c r="A496" s="117" t="str">
        <x:v>MC0493</x:v>
      </x:c>
      <x:c r="B496" s="117" t="str">
        <x:v>Bukit Hijau Recreational Forest</x:v>
      </x:c>
      <x:c r="C496" s="117" t="str">
        <x:v>Kedah</x:v>
      </x:c>
      <x:c r="D496" s="117" t="str">
        <x:v>Baling</x:v>
      </x:c>
      <x:c r="E496" s="117" t="str">
        <x:v>Nature</x:v>
      </x:c>
      <x:c r="F496" s="117" t="str">
        <x:v>Unclassified</x:v>
      </x:c>
      <x:c r="G496" s="117" t="str">
        <x:v>Outdoor</x:v>
      </x:c>
      <x:c r="H496" s="117" t="str">
        <x:v>Nature; Baling</x:v>
      </x:c>
      <x:c r="I496" s="117" t="str">
        <x:v>A visitor attraction in Baling, Kedah, listed in Tourism Malaysia's state travel guide. Venue operation and the precise accessible route require confirmation.</x:v>
      </x:c>
      <x:c r="J496" s="117" t="str">
        <x:v>https://ebrochures.malaysia.travel/en/malaysia-travel-guide/kedah/</x:v>
      </x:c>
      <x:c r="K496" s="117" t="str">
        <x:v>https://ebrochures.malaysia.travel/en/malaysia-travel-guide/kedah/</x:v>
      </x:c>
      <x:c r="L496" s="117" t="str">
        <x:v>Tourism Malaysia listing; operation unconfirmed</x:v>
      </x:c>
      <x:c r="M496" s="117" t="str">
        <x:v>Nationwide expansion 2026-09-08</x:v>
      </x:c>
      <x:c r="N496" s="117"/>
      <x:c r="O496" s="117" t="str">
        <x:v>2026-09-08</x:v>
      </x:c>
      <x:c r="P496" s="117" t="str">
        <x:v>Complete</x:v>
      </x:c>
      <x:c r="Q496" s="117"/>
      <x:c r="R496" s="117" t="str">
        <x:f>IF(J496="","Missing Link",IF(AND(ISNUMBER(SEARCH("google.com/maps",J496)),ISERROR(SEARCH(";",J496))),"Discovery Link Only","Source Link Present"))</x:f>
        <x:v>Source Link Present</x:v>
      </x:c>
      <x:c r="S496" s="117" t="str">
        <x:v>Unknown</x:v>
      </x:c>
      <x:c r="T496" s="117" t="str">
        <x:v>Unknown</x:v>
      </x:c>
      <x:c r="U496" s="117" t="str">
        <x:v>Unknown</x:v>
      </x:c>
      <x:c r="V496" s="117" t="str">
        <x:v>Unknown</x:v>
      </x:c>
      <x:c r="W496" s="117" t="str">
        <x:v>Unknown</x:v>
      </x:c>
      <x:c r="X496" s="117" t="str">
        <x:v>Unknown</x:v>
      </x:c>
      <x:c r="Y496" s="117" t="str">
        <x:v>Unknown</x:v>
      </x:c>
      <x:c r="Z496" s="117"/>
      <x:c r="AA496" s="117" t="str">
        <x:v>Pending evidence</x:v>
      </x:c>
      <x:c r="AB496" s="117"/>
      <x:c r="AC496" s="117" t="str">
        <x:v>No qualifying accessibility conclusion established from the screened sources. This is unknown, not evidence that the attraction is inaccessible.</x:v>
      </x:c>
      <x:c r="AD496" s="117" t="str">
        <x:v>2026-09-08</x:v>
      </x:c>
      <x:c r="AE496" s="117" t="str">
        <x:v>MC0493</x:v>
      </x:c>
      <x:c r="AF496" s="117" t="str">
        <x:v>Distinct candidate</x:v>
      </x:c>
      <x:c r="AG496" s="117" t="str"/>
      <x:c r="AH496" s="117" t="str">
        <x:v>Listed by Tourism Malaysia</x:v>
      </x:c>
      <x:c r="AI496" s="117" t="str">
        <x:v>https://ebrochures.malaysia.travel/en/malaysia-travel-guide/kedah/</x:v>
      </x:c>
      <x:c r="AJ496" s="117" t="str">
        <x:v>Named visitor attraction in cited source; state-guide listings can be historical. Locality is catalogue metadata, not a surveyed address. Current operation remains unconfirmed.</x:v>
      </x:c>
      <x:c r="AK496" s="117" t="str">
        <x:v>Not independently confirmed</x:v>
      </x:c>
      <x:c r="AL496" s="117" t="str">
        <x:v>Screened sources; accessibility unresolved</x:v>
      </x:c>
      <x:c r="AM496" s="117" t="str">
        <x:v>2026-09-08</x:v>
      </x:c>
      <x:c r="AN496" s="117"/>
      <x:c r="AO496" s="117"/>
      <x:c r="AP496" s="117" t="str">
        <x:v>No usable pair located; image research pending</x:v>
      </x:c>
      <x:c r="AQ496" s="117"/>
    </x:row>
    <x:row r="497" ht="66" customHeight="1">
      <x:c r="A497" s="117" t="str">
        <x:v>MC0494</x:v>
      </x:c>
      <x:c r="B497" s="117" t="str">
        <x:v>Junjung Waterfall</x:v>
      </x:c>
      <x:c r="C497" s="117" t="str">
        <x:v>Kedah</x:v>
      </x:c>
      <x:c r="D497" s="117" t="str">
        <x:v>Kulim</x:v>
      </x:c>
      <x:c r="E497" s="117" t="str">
        <x:v>Nature</x:v>
      </x:c>
      <x:c r="F497" s="117" t="str">
        <x:v>Unclassified</x:v>
      </x:c>
      <x:c r="G497" s="117" t="str">
        <x:v>Outdoor</x:v>
      </x:c>
      <x:c r="H497" s="117" t="str">
        <x:v>Nature; Kulim</x:v>
      </x:c>
      <x:c r="I497" s="117" t="str">
        <x:v>A visitor attraction in Kulim, Kedah, listed in Tourism Malaysia's state travel guide. Venue operation and the precise accessible route require confirmation.</x:v>
      </x:c>
      <x:c r="J497" s="117" t="str">
        <x:v>https://ebrochures.malaysia.travel/en/malaysia-travel-guide/kedah/</x:v>
      </x:c>
      <x:c r="K497" s="117" t="str">
        <x:v>https://ebrochures.malaysia.travel/en/malaysia-travel-guide/kedah/</x:v>
      </x:c>
      <x:c r="L497" s="117" t="str">
        <x:v>Tourism Malaysia listing; operation unconfirmed</x:v>
      </x:c>
      <x:c r="M497" s="117" t="str">
        <x:v>Nationwide expansion 2026-09-08</x:v>
      </x:c>
      <x:c r="N497" s="117"/>
      <x:c r="O497" s="117" t="str">
        <x:v>2026-09-08</x:v>
      </x:c>
      <x:c r="P497" s="117" t="str">
        <x:v>Complete</x:v>
      </x:c>
      <x:c r="Q497" s="117"/>
      <x:c r="R497" s="117" t="str">
        <x:f>IF(J497="","Missing Link",IF(AND(ISNUMBER(SEARCH("google.com/maps",J497)),ISERROR(SEARCH(";",J497))),"Discovery Link Only","Source Link Present"))</x:f>
        <x:v>Source Link Present</x:v>
      </x:c>
      <x:c r="S497" s="117" t="str">
        <x:v>Unknown</x:v>
      </x:c>
      <x:c r="T497" s="117" t="str">
        <x:v>Unknown</x:v>
      </x:c>
      <x:c r="U497" s="117" t="str">
        <x:v>Unknown</x:v>
      </x:c>
      <x:c r="V497" s="117" t="str">
        <x:v>Unknown</x:v>
      </x:c>
      <x:c r="W497" s="117" t="str">
        <x:v>Unknown</x:v>
      </x:c>
      <x:c r="X497" s="117" t="str">
        <x:v>Unknown</x:v>
      </x:c>
      <x:c r="Y497" s="117" t="str">
        <x:v>Unknown</x:v>
      </x:c>
      <x:c r="Z497" s="117"/>
      <x:c r="AA497" s="117" t="str">
        <x:v>Pending evidence</x:v>
      </x:c>
      <x:c r="AB497" s="117"/>
      <x:c r="AC497" s="117" t="str">
        <x:v>No qualifying accessibility conclusion established from the screened sources. This is unknown, not evidence that the attraction is inaccessible.</x:v>
      </x:c>
      <x:c r="AD497" s="117" t="str">
        <x:v>2026-09-08</x:v>
      </x:c>
      <x:c r="AE497" s="117" t="str">
        <x:v>MC0494</x:v>
      </x:c>
      <x:c r="AF497" s="117" t="str">
        <x:v>Distinct candidate</x:v>
      </x:c>
      <x:c r="AG497" s="117" t="str"/>
      <x:c r="AH497" s="117" t="str">
        <x:v>Listed by Tourism Malaysia</x:v>
      </x:c>
      <x:c r="AI497" s="117" t="str">
        <x:v>https://ebrochures.malaysia.travel/en/malaysia-travel-guide/kedah/</x:v>
      </x:c>
      <x:c r="AJ497" s="117" t="str">
        <x:v>Named visitor attraction in cited source; state-guide listings can be historical. Locality is catalogue metadata, not a surveyed address. Current operation remains unconfirmed.</x:v>
      </x:c>
      <x:c r="AK497" s="117" t="str">
        <x:v>Not independently confirmed</x:v>
      </x:c>
      <x:c r="AL497" s="117" t="str">
        <x:v>Screened sources; accessibility unresolved</x:v>
      </x:c>
      <x:c r="AM497" s="117" t="str">
        <x:v>2026-09-08</x:v>
      </x:c>
      <x:c r="AN497" s="117"/>
      <x:c r="AO497" s="117"/>
      <x:c r="AP497" s="117" t="str">
        <x:v>No usable pair located; image research pending</x:v>
      </x:c>
      <x:c r="AQ497" s="117"/>
    </x:row>
    <x:row r="498" ht="66" customHeight="1">
      <x:c r="A498" s="117" t="str">
        <x:v>MC0495</x:v>
      </x:c>
      <x:c r="B498" s="117" t="str">
        <x:v>Ulu Paip Recreational Forest</x:v>
      </x:c>
      <x:c r="C498" s="117" t="str">
        <x:v>Kedah</x:v>
      </x:c>
      <x:c r="D498" s="117" t="str">
        <x:v>Kulim</x:v>
      </x:c>
      <x:c r="E498" s="117" t="str">
        <x:v>Nature</x:v>
      </x:c>
      <x:c r="F498" s="117" t="str">
        <x:v>Unclassified</x:v>
      </x:c>
      <x:c r="G498" s="117" t="str">
        <x:v>Outdoor</x:v>
      </x:c>
      <x:c r="H498" s="117" t="str">
        <x:v>Nature; Kulim</x:v>
      </x:c>
      <x:c r="I498" s="117" t="str">
        <x:v>A visitor attraction in Kulim, Kedah, listed in Tourism Malaysia's state travel guide. Venue operation and the precise accessible route require confirmation.</x:v>
      </x:c>
      <x:c r="J498" s="117" t="str">
        <x:v>https://ebrochures.malaysia.travel/en/malaysia-travel-guide/kedah/</x:v>
      </x:c>
      <x:c r="K498" s="117" t="str">
        <x:v>https://ebrochures.malaysia.travel/en/malaysia-travel-guide/kedah/</x:v>
      </x:c>
      <x:c r="L498" s="117" t="str">
        <x:v>Tourism Malaysia listing; operation unconfirmed</x:v>
      </x:c>
      <x:c r="M498" s="117" t="str">
        <x:v>Nationwide expansion 2026-09-08</x:v>
      </x:c>
      <x:c r="N498" s="117"/>
      <x:c r="O498" s="117" t="str">
        <x:v>2026-09-08</x:v>
      </x:c>
      <x:c r="P498" s="117" t="str">
        <x:v>Complete</x:v>
      </x:c>
      <x:c r="Q498" s="117"/>
      <x:c r="R498" s="117" t="str">
        <x:f>IF(J498="","Missing Link",IF(AND(ISNUMBER(SEARCH("google.com/maps",J498)),ISERROR(SEARCH(";",J498))),"Discovery Link Only","Source Link Present"))</x:f>
        <x:v>Source Link Present</x:v>
      </x:c>
      <x:c r="S498" s="117" t="str">
        <x:v>Unknown</x:v>
      </x:c>
      <x:c r="T498" s="117" t="str">
        <x:v>Unknown</x:v>
      </x:c>
      <x:c r="U498" s="117" t="str">
        <x:v>Unknown</x:v>
      </x:c>
      <x:c r="V498" s="117" t="str">
        <x:v>Unknown</x:v>
      </x:c>
      <x:c r="W498" s="117" t="str">
        <x:v>Unknown</x:v>
      </x:c>
      <x:c r="X498" s="117" t="str">
        <x:v>Unknown</x:v>
      </x:c>
      <x:c r="Y498" s="117" t="str">
        <x:v>Unknown</x:v>
      </x:c>
      <x:c r="Z498" s="117"/>
      <x:c r="AA498" s="117" t="str">
        <x:v>Pending evidence</x:v>
      </x:c>
      <x:c r="AB498" s="117"/>
      <x:c r="AC498" s="117" t="str">
        <x:v>No qualifying accessibility conclusion established from the screened sources. This is unknown, not evidence that the attraction is inaccessible.</x:v>
      </x:c>
      <x:c r="AD498" s="117" t="str">
        <x:v>2026-09-08</x:v>
      </x:c>
      <x:c r="AE498" s="117" t="str">
        <x:v>MC0495</x:v>
      </x:c>
      <x:c r="AF498" s="117" t="str">
        <x:v>Distinct candidate</x:v>
      </x:c>
      <x:c r="AG498" s="117" t="str"/>
      <x:c r="AH498" s="117" t="str">
        <x:v>Listed by Tourism Malaysia</x:v>
      </x:c>
      <x:c r="AI498" s="117" t="str">
        <x:v>https://ebrochures.malaysia.travel/en/malaysia-travel-guide/kedah/</x:v>
      </x:c>
      <x:c r="AJ498" s="117" t="str">
        <x:v>Named visitor attraction in cited source; state-guide listings can be historical. Locality is catalogue metadata, not a surveyed address. Current operation remains unconfirmed.</x:v>
      </x:c>
      <x:c r="AK498" s="117" t="str">
        <x:v>Not independently confirmed</x:v>
      </x:c>
      <x:c r="AL498" s="117" t="str">
        <x:v>Screened sources; accessibility unresolved</x:v>
      </x:c>
      <x:c r="AM498" s="117" t="str">
        <x:v>2026-09-08</x:v>
      </x:c>
      <x:c r="AN498" s="117"/>
      <x:c r="AO498" s="117"/>
      <x:c r="AP498" s="117" t="str">
        <x:v>No usable pair located; image research pending</x:v>
      </x:c>
      <x:c r="AQ498" s="117"/>
    </x:row>
    <x:row r="499" ht="66" customHeight="1">
      <x:c r="A499" s="117" t="str">
        <x:v>MC0496</x:v>
      </x:c>
      <x:c r="B499" s="117" t="str">
        <x:v>Gelanggang Seni</x:v>
      </x:c>
      <x:c r="C499" s="117" t="str">
        <x:v>Kelantan</x:v>
      </x:c>
      <x:c r="D499" s="117" t="str">
        <x:v>Kota Bharu</x:v>
      </x:c>
      <x:c r="E499" s="117" t="str">
        <x:v>Heritage and Visitor Attraction</x:v>
      </x:c>
      <x:c r="F499" s="117" t="str">
        <x:v>Unclassified</x:v>
      </x:c>
      <x:c r="G499" s="117" t="str">
        <x:v>Both</x:v>
      </x:c>
      <x:c r="H499" s="117" t="str">
        <x:v>Heritage and Visitor Attraction; Kota Bharu</x:v>
      </x:c>
      <x:c r="I499" s="117" t="str">
        <x:v>A visitor attraction in Kota Bharu, Kelantan, listed in Tourism Malaysia's state travel guide. Venue operation and the precise accessible route require confirmation.</x:v>
      </x:c>
      <x:c r="J499" s="117" t="str">
        <x:v>https://ebrochures.malaysia.travel/en/malaysia-travel-guide/kelantan/</x:v>
      </x:c>
      <x:c r="K499" s="117" t="str">
        <x:v>https://ebrochures.malaysia.travel/en/malaysia-travel-guide/kelantan/</x:v>
      </x:c>
      <x:c r="L499" s="117" t="str">
        <x:v>Tourism Malaysia listing; operation unconfirmed</x:v>
      </x:c>
      <x:c r="M499" s="117" t="str">
        <x:v>Nationwide expansion 2026-09-08</x:v>
      </x:c>
      <x:c r="N499" s="117"/>
      <x:c r="O499" s="117" t="str">
        <x:v>2026-09-08</x:v>
      </x:c>
      <x:c r="P499" s="117" t="str">
        <x:v>Complete</x:v>
      </x:c>
      <x:c r="Q499" s="117"/>
      <x:c r="R499" s="117" t="str">
        <x:f>IF(J499="","Missing Link",IF(AND(ISNUMBER(SEARCH("google.com/maps",J499)),ISERROR(SEARCH(";",J499))),"Discovery Link Only","Source Link Present"))</x:f>
        <x:v>Source Link Present</x:v>
      </x:c>
      <x:c r="S499" s="117" t="str">
        <x:v>Unknown</x:v>
      </x:c>
      <x:c r="T499" s="117" t="str">
        <x:v>Unknown</x:v>
      </x:c>
      <x:c r="U499" s="117" t="str">
        <x:v>Unknown</x:v>
      </x:c>
      <x:c r="V499" s="117" t="str">
        <x:v>Unknown</x:v>
      </x:c>
      <x:c r="W499" s="117" t="str">
        <x:v>Unknown</x:v>
      </x:c>
      <x:c r="X499" s="117" t="str">
        <x:v>Unknown</x:v>
      </x:c>
      <x:c r="Y499" s="117" t="str">
        <x:v>Unknown</x:v>
      </x:c>
      <x:c r="Z499" s="117"/>
      <x:c r="AA499" s="117" t="str">
        <x:v>Pending evidence</x:v>
      </x:c>
      <x:c r="AB499" s="117"/>
      <x:c r="AC499" s="117" t="str">
        <x:v>No qualifying accessibility conclusion established from the screened sources. This is unknown, not evidence that the attraction is inaccessible.</x:v>
      </x:c>
      <x:c r="AD499" s="117" t="str">
        <x:v>2026-09-08</x:v>
      </x:c>
      <x:c r="AE499" s="117" t="str">
        <x:v>MC0496</x:v>
      </x:c>
      <x:c r="AF499" s="117" t="str">
        <x:v>Distinct candidate</x:v>
      </x:c>
      <x:c r="AG499" s="117" t="str"/>
      <x:c r="AH499" s="117" t="str">
        <x:v>Listed by Tourism Malaysia</x:v>
      </x:c>
      <x:c r="AI499" s="117" t="str">
        <x:v>https://ebrochures.malaysia.travel/en/malaysia-travel-guide/kelantan/</x:v>
      </x:c>
      <x:c r="AJ499" s="117" t="str">
        <x:v>Named visitor attraction in cited source; state-guide listings can be historical. Locality is catalogue metadata, not a surveyed address. Current operation remains unconfirmed.</x:v>
      </x:c>
      <x:c r="AK499" s="117" t="str">
        <x:v>Not independently confirmed</x:v>
      </x:c>
      <x:c r="AL499" s="117" t="str">
        <x:v>Screened sources; accessibility unresolved</x:v>
      </x:c>
      <x:c r="AM499" s="117" t="str">
        <x:v>2026-09-08</x:v>
      </x:c>
      <x:c r="AN499" s="117"/>
      <x:c r="AO499" s="117"/>
      <x:c r="AP499" s="117" t="str">
        <x:v>No usable pair located; image research pending</x:v>
      </x:c>
      <x:c r="AQ499" s="117"/>
    </x:row>
    <x:row r="500" ht="66" customHeight="1">
      <x:c r="A500" s="117" t="str">
        <x:v>MC0497</x:v>
      </x:c>
      <x:c r="B500" s="117" t="str">
        <x:v>Pak Safie and Sons Wau Gallery</x:v>
      </x:c>
      <x:c r="C500" s="117" t="str">
        <x:v>Kelantan</x:v>
      </x:c>
      <x:c r="D500" s="117" t="str">
        <x:v>Kota Bharu</x:v>
      </x:c>
      <x:c r="E500" s="117" t="str">
        <x:v>Museum and Gallery</x:v>
      </x:c>
      <x:c r="F500" s="117" t="str">
        <x:v>Unclassified</x:v>
      </x:c>
      <x:c r="G500" s="117" t="str">
        <x:v>Indoor</x:v>
      </x:c>
      <x:c r="H500" s="117" t="str">
        <x:v>Museum and Gallery; Kota Bharu</x:v>
      </x:c>
      <x:c r="I500" s="117" t="str">
        <x:v>A visitor attraction in Kota Bharu, Kelantan, listed in Tourism Malaysia's state travel guide. Venue operation and the precise accessible route require confirmation.</x:v>
      </x:c>
      <x:c r="J500" s="117" t="str">
        <x:v>https://ebrochures.malaysia.travel/en/malaysia-travel-guide/kelantan/</x:v>
      </x:c>
      <x:c r="K500" s="117" t="str">
        <x:v>https://ebrochures.malaysia.travel/en/malaysia-travel-guide/kelantan/</x:v>
      </x:c>
      <x:c r="L500" s="117" t="str">
        <x:v>Tourism Malaysia listing; operation unconfirmed</x:v>
      </x:c>
      <x:c r="M500" s="117" t="str">
        <x:v>Nationwide expansion 2026-09-08</x:v>
      </x:c>
      <x:c r="N500" s="117"/>
      <x:c r="O500" s="117" t="str">
        <x:v>2026-09-08</x:v>
      </x:c>
      <x:c r="P500" s="117" t="str">
        <x:v>Complete</x:v>
      </x:c>
      <x:c r="Q500" s="117"/>
      <x:c r="R500" s="117" t="str">
        <x:f>IF(J500="","Missing Link",IF(AND(ISNUMBER(SEARCH("google.com/maps",J500)),ISERROR(SEARCH(";",J500))),"Discovery Link Only","Source Link Present"))</x:f>
        <x:v>Source Link Present</x:v>
      </x:c>
      <x:c r="S500" s="117" t="str">
        <x:v>Unknown</x:v>
      </x:c>
      <x:c r="T500" s="117" t="str">
        <x:v>Unknown</x:v>
      </x:c>
      <x:c r="U500" s="117" t="str">
        <x:v>Unknown</x:v>
      </x:c>
      <x:c r="V500" s="117" t="str">
        <x:v>Unknown</x:v>
      </x:c>
      <x:c r="W500" s="117" t="str">
        <x:v>Unknown</x:v>
      </x:c>
      <x:c r="X500" s="117" t="str">
        <x:v>Unknown</x:v>
      </x:c>
      <x:c r="Y500" s="117" t="str">
        <x:v>Unknown</x:v>
      </x:c>
      <x:c r="Z500" s="117"/>
      <x:c r="AA500" s="117" t="str">
        <x:v>Pending evidence</x:v>
      </x:c>
      <x:c r="AB500" s="117"/>
      <x:c r="AC500" s="117" t="str">
        <x:v>No qualifying accessibility conclusion established from the screened sources. This is unknown, not evidence that the attraction is inaccessible.</x:v>
      </x:c>
      <x:c r="AD500" s="117" t="str">
        <x:v>2026-09-08</x:v>
      </x:c>
      <x:c r="AE500" s="117" t="str">
        <x:v>MC0497</x:v>
      </x:c>
      <x:c r="AF500" s="117" t="str">
        <x:v>Distinct candidate</x:v>
      </x:c>
      <x:c r="AG500" s="117" t="str"/>
      <x:c r="AH500" s="117" t="str">
        <x:v>Listed by Tourism Malaysia</x:v>
      </x:c>
      <x:c r="AI500" s="117" t="str">
        <x:v>https://ebrochures.malaysia.travel/en/malaysia-travel-guide/kelantan/</x:v>
      </x:c>
      <x:c r="AJ500" s="117" t="str">
        <x:v>Named visitor attraction in cited source; state-guide listings can be historical. Locality is catalogue metadata, not a surveyed address. Current operation remains unconfirmed.</x:v>
      </x:c>
      <x:c r="AK500" s="117" t="str">
        <x:v>Not independently confirmed</x:v>
      </x:c>
      <x:c r="AL500" s="117" t="str">
        <x:v>Screened sources; accessibility unresolved</x:v>
      </x:c>
      <x:c r="AM500" s="117" t="str">
        <x:v>2026-09-08</x:v>
      </x:c>
      <x:c r="AN500" s="117"/>
      <x:c r="AO500" s="117"/>
      <x:c r="AP500" s="117" t="str">
        <x:v>No usable pair located; image research pending</x:v>
      </x:c>
      <x:c r="AQ500" s="117"/>
    </x:row>
    <x:row r="501" ht="66" customHeight="1">
      <x:c r="A501" s="117" t="str">
        <x:v>MC0498</x:v>
      </x:c>
      <x:c r="B501" s="117" t="str">
        <x:v>Islamic Museum Kelantan</x:v>
      </x:c>
      <x:c r="C501" s="117" t="str">
        <x:v>Kelantan</x:v>
      </x:c>
      <x:c r="D501" s="117" t="str">
        <x:v>Kota Bharu</x:v>
      </x:c>
      <x:c r="E501" s="117" t="str">
        <x:v>Museum and Gallery</x:v>
      </x:c>
      <x:c r="F501" s="117" t="str">
        <x:v>Unclassified</x:v>
      </x:c>
      <x:c r="G501" s="117" t="str">
        <x:v>Indoor</x:v>
      </x:c>
      <x:c r="H501" s="117" t="str">
        <x:v>Museum and Gallery; Kota Bharu</x:v>
      </x:c>
      <x:c r="I501" s="117" t="str">
        <x:v>A visitor attraction in Kota Bharu, Kelantan, listed in Tourism Malaysia's state travel guide. Venue operation and the precise accessible route require confirmation.</x:v>
      </x:c>
      <x:c r="J501" s="117" t="str">
        <x:v>https://ebrochures.malaysia.travel/en/malaysia-travel-guide/kelantan/</x:v>
      </x:c>
      <x:c r="K501" s="117" t="str">
        <x:v>https://ebrochures.malaysia.travel/en/malaysia-travel-guide/kelantan/</x:v>
      </x:c>
      <x:c r="L501" s="117" t="str">
        <x:v>Tourism Malaysia listing; operation unconfirmed</x:v>
      </x:c>
      <x:c r="M501" s="117" t="str">
        <x:v>Nationwide expansion 2026-09-08</x:v>
      </x:c>
      <x:c r="N501" s="117"/>
      <x:c r="O501" s="117" t="str">
        <x:v>2026-09-08</x:v>
      </x:c>
      <x:c r="P501" s="117" t="str">
        <x:v>Complete</x:v>
      </x:c>
      <x:c r="Q501" s="117"/>
      <x:c r="R501" s="117" t="str">
        <x:f>IF(J501="","Missing Link",IF(AND(ISNUMBER(SEARCH("google.com/maps",J501)),ISERROR(SEARCH(";",J501))),"Discovery Link Only","Source Link Present"))</x:f>
        <x:v>Source Link Present</x:v>
      </x:c>
      <x:c r="S501" s="117" t="str">
        <x:v>Unknown</x:v>
      </x:c>
      <x:c r="T501" s="117" t="str">
        <x:v>Unknown</x:v>
      </x:c>
      <x:c r="U501" s="117" t="str">
        <x:v>Unknown</x:v>
      </x:c>
      <x:c r="V501" s="117" t="str">
        <x:v>Unknown</x:v>
      </x:c>
      <x:c r="W501" s="117" t="str">
        <x:v>Unknown</x:v>
      </x:c>
      <x:c r="X501" s="117" t="str">
        <x:v>Unknown</x:v>
      </x:c>
      <x:c r="Y501" s="117" t="str">
        <x:v>Unknown</x:v>
      </x:c>
      <x:c r="Z501" s="117"/>
      <x:c r="AA501" s="117" t="str">
        <x:v>Pending evidence</x:v>
      </x:c>
      <x:c r="AB501" s="117"/>
      <x:c r="AC501" s="117" t="str">
        <x:v>No qualifying accessibility conclusion established from the screened sources. This is unknown, not evidence that the attraction is inaccessible.</x:v>
      </x:c>
      <x:c r="AD501" s="117" t="str">
        <x:v>2026-09-08</x:v>
      </x:c>
      <x:c r="AE501" s="117" t="str">
        <x:v>MC0498</x:v>
      </x:c>
      <x:c r="AF501" s="117" t="str">
        <x:v>Distinct candidate</x:v>
      </x:c>
      <x:c r="AG501" s="117" t="str"/>
      <x:c r="AH501" s="117" t="str">
        <x:v>Listed by Tourism Malaysia</x:v>
      </x:c>
      <x:c r="AI501" s="117" t="str">
        <x:v>https://ebrochures.malaysia.travel/en/malaysia-travel-guide/kelantan/</x:v>
      </x:c>
      <x:c r="AJ501" s="117" t="str">
        <x:v>Named visitor attraction in cited source; state-guide listings can be historical. Locality is catalogue metadata, not a surveyed address. Current operation remains unconfirmed.</x:v>
      </x:c>
      <x:c r="AK501" s="117" t="str">
        <x:v>Not independently confirmed</x:v>
      </x:c>
      <x:c r="AL501" s="117" t="str">
        <x:v>Screened sources; accessibility unresolved</x:v>
      </x:c>
      <x:c r="AM501" s="117" t="str">
        <x:v>2026-09-08</x:v>
      </x:c>
      <x:c r="AN501" s="117"/>
      <x:c r="AO501" s="117"/>
      <x:c r="AP501" s="117" t="str">
        <x:v>No usable pair located; image research pending</x:v>
      </x:c>
      <x:c r="AQ501" s="117"/>
    </x:row>
    <x:row r="502" ht="66" customHeight="1">
      <x:c r="A502" s="117" t="str">
        <x:v>MC0499</x:v>
      </x:c>
      <x:c r="B502" s="117" t="str">
        <x:v>Langgar Mosque</x:v>
      </x:c>
      <x:c r="C502" s="117" t="str">
        <x:v>Kelantan</x:v>
      </x:c>
      <x:c r="D502" s="117" t="str">
        <x:v>Kota Bharu</x:v>
      </x:c>
      <x:c r="E502" s="117" t="str">
        <x:v>Religious Site</x:v>
      </x:c>
      <x:c r="F502" s="117" t="str">
        <x:v>Unclassified</x:v>
      </x:c>
      <x:c r="G502" s="117" t="str">
        <x:v>Both</x:v>
      </x:c>
      <x:c r="H502" s="117" t="str">
        <x:v>Religious Site; Kota Bharu</x:v>
      </x:c>
      <x:c r="I502" s="117" t="str">
        <x:v>A visitor attraction in Kota Bharu, Kelantan, listed in Tourism Malaysia's state travel guide. Venue operation and the precise accessible route require confirmation.</x:v>
      </x:c>
      <x:c r="J502" s="117" t="str">
        <x:v>https://ebrochures.malaysia.travel/en/malaysia-travel-guide/kelantan/</x:v>
      </x:c>
      <x:c r="K502" s="117" t="str">
        <x:v>https://ebrochures.malaysia.travel/en/malaysia-travel-guide/kelantan/</x:v>
      </x:c>
      <x:c r="L502" s="117" t="str">
        <x:v>Tourism Malaysia listing; operation unconfirmed</x:v>
      </x:c>
      <x:c r="M502" s="117" t="str">
        <x:v>Nationwide expansion 2026-09-08</x:v>
      </x:c>
      <x:c r="N502" s="117"/>
      <x:c r="O502" s="117" t="str">
        <x:v>2026-09-08</x:v>
      </x:c>
      <x:c r="P502" s="117" t="str">
        <x:v>Complete</x:v>
      </x:c>
      <x:c r="Q502" s="117"/>
      <x:c r="R502" s="117" t="str">
        <x:f>IF(J502="","Missing Link",IF(AND(ISNUMBER(SEARCH("google.com/maps",J502)),ISERROR(SEARCH(";",J502))),"Discovery Link Only","Source Link Present"))</x:f>
        <x:v>Source Link Present</x:v>
      </x:c>
      <x:c r="S502" s="117" t="str">
        <x:v>Unknown</x:v>
      </x:c>
      <x:c r="T502" s="117" t="str">
        <x:v>Unknown</x:v>
      </x:c>
      <x:c r="U502" s="117" t="str">
        <x:v>Unknown</x:v>
      </x:c>
      <x:c r="V502" s="117" t="str">
        <x:v>Unknown</x:v>
      </x:c>
      <x:c r="W502" s="117" t="str">
        <x:v>Unknown</x:v>
      </x:c>
      <x:c r="X502" s="117" t="str">
        <x:v>Unknown</x:v>
      </x:c>
      <x:c r="Y502" s="117" t="str">
        <x:v>Unknown</x:v>
      </x:c>
      <x:c r="Z502" s="117"/>
      <x:c r="AA502" s="117" t="str">
        <x:v>Pending evidence</x:v>
      </x:c>
      <x:c r="AB502" s="117"/>
      <x:c r="AC502" s="117" t="str">
        <x:v>No qualifying accessibility conclusion established from the screened sources. This is unknown, not evidence that the attraction is inaccessible.</x:v>
      </x:c>
      <x:c r="AD502" s="117" t="str">
        <x:v>2026-09-08</x:v>
      </x:c>
      <x:c r="AE502" s="117" t="str">
        <x:v>MC0499</x:v>
      </x:c>
      <x:c r="AF502" s="117" t="str">
        <x:v>Distinct candidate</x:v>
      </x:c>
      <x:c r="AG502" s="117" t="str"/>
      <x:c r="AH502" s="117" t="str">
        <x:v>Listed by Tourism Malaysia</x:v>
      </x:c>
      <x:c r="AI502" s="117" t="str">
        <x:v>https://ebrochures.malaysia.travel/en/malaysia-travel-guide/kelantan/</x:v>
      </x:c>
      <x:c r="AJ502" s="117" t="str">
        <x:v>Named visitor attraction in cited source; state-guide listings can be historical. Locality is catalogue metadata, not a surveyed address. Current operation remains unconfirmed.</x:v>
      </x:c>
      <x:c r="AK502" s="117" t="str">
        <x:v>Not independently confirmed</x:v>
      </x:c>
      <x:c r="AL502" s="117" t="str">
        <x:v>Screened sources; accessibility unresolved</x:v>
      </x:c>
      <x:c r="AM502" s="117" t="str">
        <x:v>2026-09-08</x:v>
      </x:c>
      <x:c r="AN502" s="117" t="str">
        <x:v>https://thumb.wikimedia.org/wikipedia/commons/thumb/1/1e/Masjid_Langgar%2C_Jalan_Langgar%2C_Kota_Bharu%2C_Kelantan_%28gambar_dari_dalam_perkarangan_Makam_Diraja_Langgar%29_-_panoramio.jpg/1280px-Masjid_Langgar%2C_Jalan_Langgar%2C_Kota_Bharu%2C_Kelantan_%28gambar_dari_dalam_perkarangan_Makam_Diraja_Langgar%29_-_panoramio.jpg?utm_source=commons.wikimedia.org&amp;utm_campaign=imageinfo&amp;utm_content=thumbnail</x:v>
      </x:c>
      <x:c r="AO502" s="117" t="str">
        <x:v>https://thumb.wikimedia.org/wikipedia/commons/thumb/e/e8/Masjid_Langgar%2C_Jalan_Langgar%2C_Kota_Bharu%2C_Kelantan_-_panoramio.jpg/1280px-Masjid_Langgar%2C_Jalan_Langgar%2C_Kota_Bharu%2C_Kelantan_-_panoramio.jpg?utm_source=commons.wikimedia.org&amp;utm_campaign=imageinfo&amp;utm_content=thumbnail</x:v>
      </x:c>
      <x:c r="AP502" s="117" t="str">
        <x:v>2 metadata-matched images; visual review pending</x:v>
      </x:c>
      <x:c r="AQ502" s="117"/>
    </x:row>
    <x:row r="503" ht="66" customHeight="1">
      <x:c r="A503" s="117" t="str">
        <x:v>MC0500</x:v>
      </x:c>
      <x:c r="B503" s="117" t="str">
        <x:v>Pantai Sabak Fishing Village</x:v>
      </x:c>
      <x:c r="C503" s="117" t="str">
        <x:v>Kelantan</x:v>
      </x:c>
      <x:c r="D503" s="117" t="str">
        <x:v>Kota Bharu</x:v>
      </x:c>
      <x:c r="E503" s="117" t="str">
        <x:v>Beach and Island</x:v>
      </x:c>
      <x:c r="F503" s="117" t="str">
        <x:v>Unclassified</x:v>
      </x:c>
      <x:c r="G503" s="117" t="str">
        <x:v>Outdoor</x:v>
      </x:c>
      <x:c r="H503" s="117" t="str">
        <x:v>Beach and Island; Kota Bharu</x:v>
      </x:c>
      <x:c r="I503" s="117" t="str">
        <x:v>A visitor attraction in Kota Bharu, Kelantan, listed in Tourism Malaysia's state travel guide. Venue operation and the precise accessible route require confirmation.</x:v>
      </x:c>
      <x:c r="J503" s="117" t="str">
        <x:v>https://ebrochures.malaysia.travel/en/malaysia-travel-guide/kelantan/</x:v>
      </x:c>
      <x:c r="K503" s="117" t="str">
        <x:v>https://ebrochures.malaysia.travel/en/malaysia-travel-guide/kelantan/</x:v>
      </x:c>
      <x:c r="L503" s="117" t="str">
        <x:v>Tourism Malaysia listing; operation unconfirmed</x:v>
      </x:c>
      <x:c r="M503" s="117" t="str">
        <x:v>Nationwide expansion 2026-09-08</x:v>
      </x:c>
      <x:c r="N503" s="117"/>
      <x:c r="O503" s="117" t="str">
        <x:v>2026-09-08</x:v>
      </x:c>
      <x:c r="P503" s="117" t="str">
        <x:v>Complete</x:v>
      </x:c>
      <x:c r="Q503" s="117"/>
      <x:c r="R503" s="117" t="str">
        <x:f>IF(J503="","Missing Link",IF(AND(ISNUMBER(SEARCH("google.com/maps",J503)),ISERROR(SEARCH(";",J503))),"Discovery Link Only","Source Link Present"))</x:f>
        <x:v>Source Link Present</x:v>
      </x:c>
      <x:c r="S503" s="117" t="str">
        <x:v>Unknown</x:v>
      </x:c>
      <x:c r="T503" s="117" t="str">
        <x:v>Unknown</x:v>
      </x:c>
      <x:c r="U503" s="117" t="str">
        <x:v>Unknown</x:v>
      </x:c>
      <x:c r="V503" s="117" t="str">
        <x:v>Unknown</x:v>
      </x:c>
      <x:c r="W503" s="117" t="str">
        <x:v>Unknown</x:v>
      </x:c>
      <x:c r="X503" s="117" t="str">
        <x:v>Unknown</x:v>
      </x:c>
      <x:c r="Y503" s="117" t="str">
        <x:v>Unknown</x:v>
      </x:c>
      <x:c r="Z503" s="117"/>
      <x:c r="AA503" s="117" t="str">
        <x:v>Pending evidence</x:v>
      </x:c>
      <x:c r="AB503" s="117"/>
      <x:c r="AC503" s="117" t="str">
        <x:v>No qualifying accessibility conclusion established from the screened sources. This is unknown, not evidence that the attraction is inaccessible.</x:v>
      </x:c>
      <x:c r="AD503" s="117" t="str">
        <x:v>2026-09-08</x:v>
      </x:c>
      <x:c r="AE503" s="117" t="str">
        <x:v>MC0500</x:v>
      </x:c>
      <x:c r="AF503" s="117" t="str">
        <x:v>Distinct candidate</x:v>
      </x:c>
      <x:c r="AG503" s="117" t="str"/>
      <x:c r="AH503" s="117" t="str">
        <x:v>Listed by Tourism Malaysia</x:v>
      </x:c>
      <x:c r="AI503" s="117" t="str">
        <x:v>https://ebrochures.malaysia.travel/en/malaysia-travel-guide/kelantan/</x:v>
      </x:c>
      <x:c r="AJ503" s="117" t="str">
        <x:v>Named visitor attraction in cited source; state-guide listings can be historical. Locality is catalogue metadata, not a surveyed address. Current operation remains unconfirmed.</x:v>
      </x:c>
      <x:c r="AK503" s="117" t="str">
        <x:v>Not independently confirmed</x:v>
      </x:c>
      <x:c r="AL503" s="117" t="str">
        <x:v>Screened sources; accessibility unresolved</x:v>
      </x:c>
      <x:c r="AM503" s="117" t="str">
        <x:v>2026-09-08</x:v>
      </x:c>
      <x:c r="AN503" s="117"/>
      <x:c r="AO503" s="117"/>
      <x:c r="AP503" s="117" t="str">
        <x:v>No usable pair located; image research pending</x:v>
      </x:c>
      <x:c r="AQ503" s="117"/>
    </x:row>
    <x:row r="504" ht="66" customHeight="1">
      <x:c r="A504" s="117" t="str">
        <x:v>MC0501</x:v>
      </x:c>
      <x:c r="B504" s="117" t="str">
        <x:v>Gerbang Sultan Ismail Petra</x:v>
      </x:c>
      <x:c r="C504" s="117" t="str">
        <x:v>Kelantan</x:v>
      </x:c>
      <x:c r="D504" s="117" t="str">
        <x:v>Kota Bharu</x:v>
      </x:c>
      <x:c r="E504" s="117" t="str">
        <x:v>Heritage and Visitor Attraction</x:v>
      </x:c>
      <x:c r="F504" s="117" t="str">
        <x:v>Unclassified</x:v>
      </x:c>
      <x:c r="G504" s="117" t="str">
        <x:v>Both</x:v>
      </x:c>
      <x:c r="H504" s="117" t="str">
        <x:v>Heritage and Visitor Attraction; Kota Bharu</x:v>
      </x:c>
      <x:c r="I504" s="117" t="str">
        <x:v>A visitor attraction in Kota Bharu, Kelantan, listed in Tourism Malaysia's state travel guide. Venue operation and the precise accessible route require confirmation.</x:v>
      </x:c>
      <x:c r="J504" s="117" t="str">
        <x:v>https://ebrochures.malaysia.travel/en/malaysia-travel-guide/kelantan/</x:v>
      </x:c>
      <x:c r="K504" s="117" t="str">
        <x:v>https://ebrochures.malaysia.travel/en/malaysia-travel-guide/kelantan/</x:v>
      </x:c>
      <x:c r="L504" s="117" t="str">
        <x:v>Tourism Malaysia listing; operation unconfirmed</x:v>
      </x:c>
      <x:c r="M504" s="117" t="str">
        <x:v>Nationwide expansion 2026-09-08</x:v>
      </x:c>
      <x:c r="N504" s="117"/>
      <x:c r="O504" s="117" t="str">
        <x:v>2026-09-08</x:v>
      </x:c>
      <x:c r="P504" s="117" t="str">
        <x:v>Complete</x:v>
      </x:c>
      <x:c r="Q504" s="117"/>
      <x:c r="R504" s="117" t="str">
        <x:f>IF(J504="","Missing Link",IF(AND(ISNUMBER(SEARCH("google.com/maps",J504)),ISERROR(SEARCH(";",J504))),"Discovery Link Only","Source Link Present"))</x:f>
        <x:v>Source Link Present</x:v>
      </x:c>
      <x:c r="S504" s="117" t="str">
        <x:v>Unknown</x:v>
      </x:c>
      <x:c r="T504" s="117" t="str">
        <x:v>Unknown</x:v>
      </x:c>
      <x:c r="U504" s="117" t="str">
        <x:v>Unknown</x:v>
      </x:c>
      <x:c r="V504" s="117" t="str">
        <x:v>Unknown</x:v>
      </x:c>
      <x:c r="W504" s="117" t="str">
        <x:v>Unknown</x:v>
      </x:c>
      <x:c r="X504" s="117" t="str">
        <x:v>Unknown</x:v>
      </x:c>
      <x:c r="Y504" s="117" t="str">
        <x:v>Unknown</x:v>
      </x:c>
      <x:c r="Z504" s="117"/>
      <x:c r="AA504" s="117" t="str">
        <x:v>Pending evidence</x:v>
      </x:c>
      <x:c r="AB504" s="117"/>
      <x:c r="AC504" s="117" t="str">
        <x:v>No qualifying accessibility conclusion established from the screened sources. This is unknown, not evidence that the attraction is inaccessible.</x:v>
      </x:c>
      <x:c r="AD504" s="117" t="str">
        <x:v>2026-09-08</x:v>
      </x:c>
      <x:c r="AE504" s="117" t="str">
        <x:v>MC0501</x:v>
      </x:c>
      <x:c r="AF504" s="117" t="str">
        <x:v>Distinct candidate</x:v>
      </x:c>
      <x:c r="AG504" s="117" t="str"/>
      <x:c r="AH504" s="117" t="str">
        <x:v>Listed by Tourism Malaysia</x:v>
      </x:c>
      <x:c r="AI504" s="117" t="str">
        <x:v>https://ebrochures.malaysia.travel/en/malaysia-travel-guide/kelantan/</x:v>
      </x:c>
      <x:c r="AJ504" s="117" t="str">
        <x:v>Named visitor attraction in cited source; state-guide listings can be historical. Locality is catalogue metadata, not a surveyed address. Current operation remains unconfirmed.</x:v>
      </x:c>
      <x:c r="AK504" s="117" t="str">
        <x:v>Not independently confirmed</x:v>
      </x:c>
      <x:c r="AL504" s="117" t="str">
        <x:v>Screened sources; accessibility unresolved</x:v>
      </x:c>
      <x:c r="AM504" s="117" t="str">
        <x:v>2026-09-08</x:v>
      </x:c>
      <x:c r="AN504" s="117" t="str">
        <x:v>https://thumb.wikimedia.org/wikipedia/commons/thumb/e/eb/Gerbang_Sultan_Ismail_Petra.JPG/1280px-Gerbang_Sultan_Ismail_Petra.JPG?utm_source=commons.wikimedia.org&amp;utm_campaign=imageinfo&amp;utm_content=thumbnail</x:v>
      </x:c>
      <x:c r="AO504" s="117"/>
      <x:c r="AP504" s="117" t="str">
        <x:v>1 metadata-matched images; visual review pending</x:v>
      </x:c>
      <x:c r="AQ504" s="117"/>
    </x:row>
    <x:row r="505" ht="66" customHeight="1">
      <x:c r="A505" s="117" t="str">
        <x:v>MC0502</x:v>
      </x:c>
      <x:c r="B505" s="117" t="str">
        <x:v>Menara Tinjau Tambatan Diraja</x:v>
      </x:c>
      <x:c r="C505" s="117" t="str">
        <x:v>Kelantan</x:v>
      </x:c>
      <x:c r="D505" s="117" t="str">
        <x:v>Kota Bharu</x:v>
      </x:c>
      <x:c r="E505" s="117" t="str">
        <x:v>Heritage and Visitor Attraction</x:v>
      </x:c>
      <x:c r="F505" s="117" t="str">
        <x:v>Unclassified</x:v>
      </x:c>
      <x:c r="G505" s="117" t="str">
        <x:v>Both</x:v>
      </x:c>
      <x:c r="H505" s="117" t="str">
        <x:v>Heritage and Visitor Attraction; Kota Bharu</x:v>
      </x:c>
      <x:c r="I505" s="117" t="str">
        <x:v>A visitor attraction in Kota Bharu, Kelantan, listed in Tourism Malaysia's state travel guide. Venue operation and the precise accessible route require confirmation.</x:v>
      </x:c>
      <x:c r="J505" s="117" t="str">
        <x:v>https://ebrochures.malaysia.travel/en/malaysia-travel-guide/kelantan/</x:v>
      </x:c>
      <x:c r="K505" s="117" t="str">
        <x:v>https://ebrochures.malaysia.travel/en/malaysia-travel-guide/kelantan/</x:v>
      </x:c>
      <x:c r="L505" s="117" t="str">
        <x:v>Tourism Malaysia listing; operation unconfirmed</x:v>
      </x:c>
      <x:c r="M505" s="117" t="str">
        <x:v>Nationwide expansion 2026-09-08</x:v>
      </x:c>
      <x:c r="N505" s="117"/>
      <x:c r="O505" s="117" t="str">
        <x:v>2026-09-08</x:v>
      </x:c>
      <x:c r="P505" s="117" t="str">
        <x:v>Complete</x:v>
      </x:c>
      <x:c r="Q505" s="117"/>
      <x:c r="R505" s="117" t="str">
        <x:f>IF(J505="","Missing Link",IF(AND(ISNUMBER(SEARCH("google.com/maps",J505)),ISERROR(SEARCH(";",J505))),"Discovery Link Only","Source Link Present"))</x:f>
        <x:v>Source Link Present</x:v>
      </x:c>
      <x:c r="S505" s="117" t="str">
        <x:v>Unknown</x:v>
      </x:c>
      <x:c r="T505" s="117" t="str">
        <x:v>Unknown</x:v>
      </x:c>
      <x:c r="U505" s="117" t="str">
        <x:v>Unknown</x:v>
      </x:c>
      <x:c r="V505" s="117" t="str">
        <x:v>Unknown</x:v>
      </x:c>
      <x:c r="W505" s="117" t="str">
        <x:v>Unknown</x:v>
      </x:c>
      <x:c r="X505" s="117" t="str">
        <x:v>Unknown</x:v>
      </x:c>
      <x:c r="Y505" s="117" t="str">
        <x:v>Unknown</x:v>
      </x:c>
      <x:c r="Z505" s="117"/>
      <x:c r="AA505" s="117" t="str">
        <x:v>Pending evidence</x:v>
      </x:c>
      <x:c r="AB505" s="117"/>
      <x:c r="AC505" s="117" t="str">
        <x:v>No qualifying accessibility conclusion established from the screened sources. This is unknown, not evidence that the attraction is inaccessible.</x:v>
      </x:c>
      <x:c r="AD505" s="117" t="str">
        <x:v>2026-09-08</x:v>
      </x:c>
      <x:c r="AE505" s="117" t="str">
        <x:v>MC0502</x:v>
      </x:c>
      <x:c r="AF505" s="117" t="str">
        <x:v>Distinct candidate</x:v>
      </x:c>
      <x:c r="AG505" s="117" t="str"/>
      <x:c r="AH505" s="117" t="str">
        <x:v>Listed by Tourism Malaysia</x:v>
      </x:c>
      <x:c r="AI505" s="117" t="str">
        <x:v>https://ebrochures.malaysia.travel/en/malaysia-travel-guide/kelantan/</x:v>
      </x:c>
      <x:c r="AJ505" s="117" t="str">
        <x:v>Named visitor attraction in cited source; state-guide listings can be historical. Locality is catalogue metadata, not a surveyed address. Current operation remains unconfirmed.</x:v>
      </x:c>
      <x:c r="AK505" s="117" t="str">
        <x:v>Not independently confirmed</x:v>
      </x:c>
      <x:c r="AL505" s="117" t="str">
        <x:v>Screened sources; accessibility unresolved</x:v>
      </x:c>
      <x:c r="AM505" s="117" t="str">
        <x:v>2026-09-08</x:v>
      </x:c>
      <x:c r="AN505" s="117"/>
      <x:c r="AO505" s="117"/>
      <x:c r="AP505" s="117" t="str">
        <x:v>No usable pair located; image research pending</x:v>
      </x:c>
      <x:c r="AQ505" s="117"/>
    </x:row>
    <x:row r="506" ht="66" customHeight="1">
      <x:c r="A506" s="117" t="str">
        <x:v>MC0503</x:v>
      </x:c>
      <x:c r="B506" s="117" t="str">
        <x:v>Balai Kartun Rossem</x:v>
      </x:c>
      <x:c r="C506" s="117" t="str">
        <x:v>Kelantan</x:v>
      </x:c>
      <x:c r="D506" s="117" t="str">
        <x:v>Kota Bharu</x:v>
      </x:c>
      <x:c r="E506" s="117" t="str">
        <x:v>Heritage and Visitor Attraction</x:v>
      </x:c>
      <x:c r="F506" s="117" t="str">
        <x:v>Unclassified</x:v>
      </x:c>
      <x:c r="G506" s="117" t="str">
        <x:v>Both</x:v>
      </x:c>
      <x:c r="H506" s="117" t="str">
        <x:v>Heritage and Visitor Attraction; Kota Bharu</x:v>
      </x:c>
      <x:c r="I506" s="117" t="str">
        <x:v>A visitor attraction in Kota Bharu, Kelantan, listed in Tourism Malaysia's state travel guide. Venue operation and the precise accessible route require confirmation.</x:v>
      </x:c>
      <x:c r="J506" s="117" t="str">
        <x:v>https://ebrochures.malaysia.travel/en/malaysia-travel-guide/kelantan/</x:v>
      </x:c>
      <x:c r="K506" s="117" t="str">
        <x:v>https://ebrochures.malaysia.travel/en/malaysia-travel-guide/kelantan/</x:v>
      </x:c>
      <x:c r="L506" s="117" t="str">
        <x:v>Tourism Malaysia listing; operation unconfirmed</x:v>
      </x:c>
      <x:c r="M506" s="117" t="str">
        <x:v>Nationwide expansion 2026-09-08</x:v>
      </x:c>
      <x:c r="N506" s="117"/>
      <x:c r="O506" s="117" t="str">
        <x:v>2026-09-08</x:v>
      </x:c>
      <x:c r="P506" s="117" t="str">
        <x:v>Complete</x:v>
      </x:c>
      <x:c r="Q506" s="117"/>
      <x:c r="R506" s="117" t="str">
        <x:f>IF(J506="","Missing Link",IF(AND(ISNUMBER(SEARCH("google.com/maps",J506)),ISERROR(SEARCH(";",J506))),"Discovery Link Only","Source Link Present"))</x:f>
        <x:v>Source Link Present</x:v>
      </x:c>
      <x:c r="S506" s="117" t="str">
        <x:v>Unknown</x:v>
      </x:c>
      <x:c r="T506" s="117" t="str">
        <x:v>Unknown</x:v>
      </x:c>
      <x:c r="U506" s="117" t="str">
        <x:v>Unknown</x:v>
      </x:c>
      <x:c r="V506" s="117" t="str">
        <x:v>Unknown</x:v>
      </x:c>
      <x:c r="W506" s="117" t="str">
        <x:v>Unknown</x:v>
      </x:c>
      <x:c r="X506" s="117" t="str">
        <x:v>Unknown</x:v>
      </x:c>
      <x:c r="Y506" s="117" t="str">
        <x:v>Unknown</x:v>
      </x:c>
      <x:c r="Z506" s="117"/>
      <x:c r="AA506" s="117" t="str">
        <x:v>Pending evidence</x:v>
      </x:c>
      <x:c r="AB506" s="117"/>
      <x:c r="AC506" s="117" t="str">
        <x:v>No qualifying accessibility conclusion established from the screened sources. This is unknown, not evidence that the attraction is inaccessible.</x:v>
      </x:c>
      <x:c r="AD506" s="117" t="str">
        <x:v>2026-09-08</x:v>
      </x:c>
      <x:c r="AE506" s="117" t="str">
        <x:v>MC0503</x:v>
      </x:c>
      <x:c r="AF506" s="117" t="str">
        <x:v>Distinct candidate</x:v>
      </x:c>
      <x:c r="AG506" s="117" t="str"/>
      <x:c r="AH506" s="117" t="str">
        <x:v>Listed by Tourism Malaysia</x:v>
      </x:c>
      <x:c r="AI506" s="117" t="str">
        <x:v>https://ebrochures.malaysia.travel/en/malaysia-travel-guide/kelantan/</x:v>
      </x:c>
      <x:c r="AJ506" s="117" t="str">
        <x:v>Named visitor attraction in cited source; state-guide listings can be historical. Locality is catalogue metadata, not a surveyed address. Current operation remains unconfirmed.</x:v>
      </x:c>
      <x:c r="AK506" s="117" t="str">
        <x:v>Not independently confirmed</x:v>
      </x:c>
      <x:c r="AL506" s="117" t="str">
        <x:v>Screened sources; accessibility unresolved</x:v>
      </x:c>
      <x:c r="AM506" s="117" t="str">
        <x:v>2026-09-08</x:v>
      </x:c>
      <x:c r="AN506" s="117"/>
      <x:c r="AO506" s="117"/>
      <x:c r="AP506" s="117" t="str">
        <x:v>No usable pair located; image research pending</x:v>
      </x:c>
      <x:c r="AQ506" s="117"/>
    </x:row>
    <x:row r="507" ht="66" customHeight="1">
      <x:c r="A507" s="117" t="str">
        <x:v>MC0504</x:v>
      </x:c>
      <x:c r="B507" s="117" t="str">
        <x:v>Pulau Suri Floating Market</x:v>
      </x:c>
      <x:c r="C507" s="117" t="str">
        <x:v>Kelantan</x:v>
      </x:c>
      <x:c r="D507" s="117" t="str">
        <x:v>Tumpat</x:v>
      </x:c>
      <x:c r="E507" s="117" t="str">
        <x:v>Beach and Island</x:v>
      </x:c>
      <x:c r="F507" s="117" t="str">
        <x:v>Unclassified</x:v>
      </x:c>
      <x:c r="G507" s="117" t="str">
        <x:v>Outdoor</x:v>
      </x:c>
      <x:c r="H507" s="117" t="str">
        <x:v>Beach and Island; Tumpat</x:v>
      </x:c>
      <x:c r="I507" s="117" t="str">
        <x:v>A visitor attraction in Tumpat, Kelantan, listed in Tourism Malaysia's state travel guide. Venue operation and the precise accessible route require confirmation.</x:v>
      </x:c>
      <x:c r="J507" s="117" t="str">
        <x:v>https://ebrochures.malaysia.travel/en/malaysia-travel-guide/kelantan/</x:v>
      </x:c>
      <x:c r="K507" s="117" t="str">
        <x:v>https://ebrochures.malaysia.travel/en/malaysia-travel-guide/kelantan/</x:v>
      </x:c>
      <x:c r="L507" s="117" t="str">
        <x:v>Tourism Malaysia listing; operation unconfirmed</x:v>
      </x:c>
      <x:c r="M507" s="117" t="str">
        <x:v>Nationwide expansion 2026-09-08</x:v>
      </x:c>
      <x:c r="N507" s="117"/>
      <x:c r="O507" s="117" t="str">
        <x:v>2026-09-08</x:v>
      </x:c>
      <x:c r="P507" s="117" t="str">
        <x:v>Complete</x:v>
      </x:c>
      <x:c r="Q507" s="117"/>
      <x:c r="R507" s="117" t="str">
        <x:f>IF(J507="","Missing Link",IF(AND(ISNUMBER(SEARCH("google.com/maps",J507)),ISERROR(SEARCH(";",J507))),"Discovery Link Only","Source Link Present"))</x:f>
        <x:v>Source Link Present</x:v>
      </x:c>
      <x:c r="S507" s="117" t="str">
        <x:v>Unknown</x:v>
      </x:c>
      <x:c r="T507" s="117" t="str">
        <x:v>Unknown</x:v>
      </x:c>
      <x:c r="U507" s="117" t="str">
        <x:v>Unknown</x:v>
      </x:c>
      <x:c r="V507" s="117" t="str">
        <x:v>Unknown</x:v>
      </x:c>
      <x:c r="W507" s="117" t="str">
        <x:v>Unknown</x:v>
      </x:c>
      <x:c r="X507" s="117" t="str">
        <x:v>Unknown</x:v>
      </x:c>
      <x:c r="Y507" s="117" t="str">
        <x:v>Unknown</x:v>
      </x:c>
      <x:c r="Z507" s="117"/>
      <x:c r="AA507" s="117" t="str">
        <x:v>Pending evidence</x:v>
      </x:c>
      <x:c r="AB507" s="117"/>
      <x:c r="AC507" s="117" t="str">
        <x:v>No qualifying accessibility conclusion established from the screened sources. This is unknown, not evidence that the attraction is inaccessible.</x:v>
      </x:c>
      <x:c r="AD507" s="117" t="str">
        <x:v>2026-09-08</x:v>
      </x:c>
      <x:c r="AE507" s="117" t="str">
        <x:v>MC0504</x:v>
      </x:c>
      <x:c r="AF507" s="117" t="str">
        <x:v>Distinct candidate</x:v>
      </x:c>
      <x:c r="AG507" s="117" t="str"/>
      <x:c r="AH507" s="117" t="str">
        <x:v>Listed by Tourism Malaysia</x:v>
      </x:c>
      <x:c r="AI507" s="117" t="str">
        <x:v>https://ebrochures.malaysia.travel/en/malaysia-travel-guide/kelantan/</x:v>
      </x:c>
      <x:c r="AJ507" s="117" t="str">
        <x:v>Named visitor attraction in cited source; state-guide listings can be historical. Locality is catalogue metadata, not a surveyed address. Current operation remains unconfirmed.</x:v>
      </x:c>
      <x:c r="AK507" s="117" t="str">
        <x:v>Not independently confirmed</x:v>
      </x:c>
      <x:c r="AL507" s="117" t="str">
        <x:v>Screened sources; accessibility unresolved</x:v>
      </x:c>
      <x:c r="AM507" s="117" t="str">
        <x:v>2026-09-08</x:v>
      </x:c>
      <x:c r="AN507" s="117" t="str">
        <x:v>https://upload.wikimedia.org/wikipedia/commons/b/b1/Floating_Market_Pulau_Suri.jpg?utm_source=commons.wikimedia.org&amp;utm_campaign=imageinfo&amp;utm_content=thumbnail_unscaled</x:v>
      </x:c>
      <x:c r="AO507" s="117"/>
      <x:c r="AP507" s="117" t="str">
        <x:v>1 metadata-matched images; visual review pending</x:v>
      </x:c>
      <x:c r="AQ507" s="117"/>
    </x:row>
    <x:row r="508" ht="66" customHeight="1">
      <x:c r="A508" s="117" t="str">
        <x:v>MC0505</x:v>
      </x:c>
      <x:c r="B508" s="117" t="str">
        <x:v>Kampung Laut</x:v>
      </x:c>
      <x:c r="C508" s="117" t="str">
        <x:v>Kelantan</x:v>
      </x:c>
      <x:c r="D508" s="117" t="str">
        <x:v>Tumpat</x:v>
      </x:c>
      <x:c r="E508" s="117" t="str">
        <x:v>Heritage and Visitor Attraction</x:v>
      </x:c>
      <x:c r="F508" s="117" t="str">
        <x:v>Unclassified</x:v>
      </x:c>
      <x:c r="G508" s="117" t="str">
        <x:v>Both</x:v>
      </x:c>
      <x:c r="H508" s="117" t="str">
        <x:v>Heritage and Visitor Attraction; Tumpat</x:v>
      </x:c>
      <x:c r="I508" s="117" t="str">
        <x:v>A visitor attraction in Tumpat, Kelantan, listed in Tourism Malaysia's state travel guide. Venue operation and the precise accessible route require confirmation.</x:v>
      </x:c>
      <x:c r="J508" s="117" t="str">
        <x:v>https://ebrochures.malaysia.travel/en/malaysia-travel-guide/kelantan/</x:v>
      </x:c>
      <x:c r="K508" s="117" t="str">
        <x:v>https://ebrochures.malaysia.travel/en/malaysia-travel-guide/kelantan/</x:v>
      </x:c>
      <x:c r="L508" s="117" t="str">
        <x:v>Tourism Malaysia listing; operation unconfirmed</x:v>
      </x:c>
      <x:c r="M508" s="117" t="str">
        <x:v>Nationwide expansion 2026-09-08</x:v>
      </x:c>
      <x:c r="N508" s="117"/>
      <x:c r="O508" s="117" t="str">
        <x:v>2026-09-08</x:v>
      </x:c>
      <x:c r="P508" s="117" t="str">
        <x:v>Complete</x:v>
      </x:c>
      <x:c r="Q508" s="117"/>
      <x:c r="R508" s="117" t="str">
        <x:f>IF(J508="","Missing Link",IF(AND(ISNUMBER(SEARCH("google.com/maps",J508)),ISERROR(SEARCH(";",J508))),"Discovery Link Only","Source Link Present"))</x:f>
        <x:v>Source Link Present</x:v>
      </x:c>
      <x:c r="S508" s="117" t="str">
        <x:v>Unknown</x:v>
      </x:c>
      <x:c r="T508" s="117" t="str">
        <x:v>Unknown</x:v>
      </x:c>
      <x:c r="U508" s="117" t="str">
        <x:v>Unknown</x:v>
      </x:c>
      <x:c r="V508" s="117" t="str">
        <x:v>Unknown</x:v>
      </x:c>
      <x:c r="W508" s="117" t="str">
        <x:v>Unknown</x:v>
      </x:c>
      <x:c r="X508" s="117" t="str">
        <x:v>Unknown</x:v>
      </x:c>
      <x:c r="Y508" s="117" t="str">
        <x:v>Unknown</x:v>
      </x:c>
      <x:c r="Z508" s="117"/>
      <x:c r="AA508" s="117" t="str">
        <x:v>Pending evidence</x:v>
      </x:c>
      <x:c r="AB508" s="117"/>
      <x:c r="AC508" s="117" t="str">
        <x:v>No qualifying accessibility conclusion established from the screened sources. This is unknown, not evidence that the attraction is inaccessible.</x:v>
      </x:c>
      <x:c r="AD508" s="117" t="str">
        <x:v>2026-09-08</x:v>
      </x:c>
      <x:c r="AE508" s="117" t="str">
        <x:v>MC0505</x:v>
      </x:c>
      <x:c r="AF508" s="117" t="str">
        <x:v>Distinct candidate</x:v>
      </x:c>
      <x:c r="AG508" s="117" t="str"/>
      <x:c r="AH508" s="117" t="str">
        <x:v>Listed by Tourism Malaysia</x:v>
      </x:c>
      <x:c r="AI508" s="117" t="str">
        <x:v>https://ebrochures.malaysia.travel/en/malaysia-travel-guide/kelantan/</x:v>
      </x:c>
      <x:c r="AJ508" s="117" t="str">
        <x:v>Named visitor attraction in cited source; state-guide listings can be historical. Locality is catalogue metadata, not a surveyed address. Current operation remains unconfirmed.</x:v>
      </x:c>
      <x:c r="AK508" s="117" t="str">
        <x:v>Not independently confirmed</x:v>
      </x:c>
      <x:c r="AL508" s="117" t="str">
        <x:v>Screened sources; accessibility unresolved</x:v>
      </x:c>
      <x:c r="AM508" s="117" t="str">
        <x:v>2026-09-08</x:v>
      </x:c>
      <x:c r="AN508" s="117" t="str">
        <x:v>https://thumb.wikimedia.org/wikipedia/commons/thumb/a/ab/Kolak_Sekancil_2.jpg/1280px-Kolak_Sekancil_2.jpg?utm_source=commons.wikimedia.org&amp;utm_campaign=imageinfo&amp;utm_content=thumbnail</x:v>
      </x:c>
      <x:c r="AO508" s="117" t="str">
        <x:v>https://thumb.wikimedia.org/wikipedia/commons/thumb/2/22/Peta_Batas_Wilayah_Klaces.jpg/1280px-Peta_Batas_Wilayah_Klaces.jpg?utm_source=commons.wikimedia.org&amp;utm_campaign=imageinfo&amp;utm_content=thumbnail</x:v>
      </x:c>
      <x:c r="AP508" s="117" t="str">
        <x:v>2 metadata-matched images; visual review pending</x:v>
      </x:c>
      <x:c r="AQ508" s="117"/>
    </x:row>
    <x:row r="509" ht="66" customHeight="1">
      <x:c r="A509" s="117" t="str">
        <x:v>MC0506</x:v>
      </x:c>
      <x:c r="B509" s="117" t="str">
        <x:v>Pak Dain Shadow Play Gallery</x:v>
      </x:c>
      <x:c r="C509" s="117" t="str">
        <x:v>Kelantan</x:v>
      </x:c>
      <x:c r="D509" s="117" t="str">
        <x:v>Tumpat</x:v>
      </x:c>
      <x:c r="E509" s="117" t="str">
        <x:v>Museum and Gallery</x:v>
      </x:c>
      <x:c r="F509" s="117" t="str">
        <x:v>Unclassified</x:v>
      </x:c>
      <x:c r="G509" s="117" t="str">
        <x:v>Indoor</x:v>
      </x:c>
      <x:c r="H509" s="117" t="str">
        <x:v>Museum and Gallery; Tumpat</x:v>
      </x:c>
      <x:c r="I509" s="117" t="str">
        <x:v>A visitor attraction in Tumpat, Kelantan, listed in Tourism Malaysia's state travel guide. Venue operation and the precise accessible route require confirmation.</x:v>
      </x:c>
      <x:c r="J509" s="117" t="str">
        <x:v>https://ebrochures.malaysia.travel/en/malaysia-travel-guide/kelantan/</x:v>
      </x:c>
      <x:c r="K509" s="117" t="str">
        <x:v>https://ebrochures.malaysia.travel/en/malaysia-travel-guide/kelantan/</x:v>
      </x:c>
      <x:c r="L509" s="117" t="str">
        <x:v>Tourism Malaysia listing; operation unconfirmed</x:v>
      </x:c>
      <x:c r="M509" s="117" t="str">
        <x:v>Nationwide expansion 2026-09-08</x:v>
      </x:c>
      <x:c r="N509" s="117"/>
      <x:c r="O509" s="117" t="str">
        <x:v>2026-09-08</x:v>
      </x:c>
      <x:c r="P509" s="117" t="str">
        <x:v>Complete</x:v>
      </x:c>
      <x:c r="Q509" s="117"/>
      <x:c r="R509" s="117" t="str">
        <x:f>IF(J509="","Missing Link",IF(AND(ISNUMBER(SEARCH("google.com/maps",J509)),ISERROR(SEARCH(";",J509))),"Discovery Link Only","Source Link Present"))</x:f>
        <x:v>Source Link Present</x:v>
      </x:c>
      <x:c r="S509" s="117" t="str">
        <x:v>Unknown</x:v>
      </x:c>
      <x:c r="T509" s="117" t="str">
        <x:v>Unknown</x:v>
      </x:c>
      <x:c r="U509" s="117" t="str">
        <x:v>Unknown</x:v>
      </x:c>
      <x:c r="V509" s="117" t="str">
        <x:v>Unknown</x:v>
      </x:c>
      <x:c r="W509" s="117" t="str">
        <x:v>Unknown</x:v>
      </x:c>
      <x:c r="X509" s="117" t="str">
        <x:v>Unknown</x:v>
      </x:c>
      <x:c r="Y509" s="117" t="str">
        <x:v>Unknown</x:v>
      </x:c>
      <x:c r="Z509" s="117"/>
      <x:c r="AA509" s="117" t="str">
        <x:v>Pending evidence</x:v>
      </x:c>
      <x:c r="AB509" s="117"/>
      <x:c r="AC509" s="117" t="str">
        <x:v>No qualifying accessibility conclusion established from the screened sources. This is unknown, not evidence that the attraction is inaccessible.</x:v>
      </x:c>
      <x:c r="AD509" s="117" t="str">
        <x:v>2026-09-08</x:v>
      </x:c>
      <x:c r="AE509" s="117" t="str">
        <x:v>MC0506</x:v>
      </x:c>
      <x:c r="AF509" s="117" t="str">
        <x:v>Distinct candidate</x:v>
      </x:c>
      <x:c r="AG509" s="117" t="str"/>
      <x:c r="AH509" s="117" t="str">
        <x:v>Listed by Tourism Malaysia</x:v>
      </x:c>
      <x:c r="AI509" s="117" t="str">
        <x:v>https://ebrochures.malaysia.travel/en/malaysia-travel-guide/kelantan/</x:v>
      </x:c>
      <x:c r="AJ509" s="117" t="str">
        <x:v>Named visitor attraction in cited source; state-guide listings can be historical. Locality is catalogue metadata, not a surveyed address. Current operation remains unconfirmed.</x:v>
      </x:c>
      <x:c r="AK509" s="117" t="str">
        <x:v>Not independently confirmed</x:v>
      </x:c>
      <x:c r="AL509" s="117" t="str">
        <x:v>Screened sources; accessibility unresolved</x:v>
      </x:c>
      <x:c r="AM509" s="117" t="str">
        <x:v>2026-09-08</x:v>
      </x:c>
      <x:c r="AN509" s="117"/>
      <x:c r="AO509" s="117"/>
      <x:c r="AP509" s="117" t="str">
        <x:v>No usable pair located; image research pending</x:v>
      </x:c>
      <x:c r="AQ509" s="117"/>
    </x:row>
    <x:row r="510" ht="66" customHeight="1">
      <x:c r="A510" s="117" t="str">
        <x:v>MC0507</x:v>
      </x:c>
      <x:c r="B510" s="117" t="str">
        <x:v>Suluk Tok Selehor</x:v>
      </x:c>
      <x:c r="C510" s="117" t="str">
        <x:v>Kelantan</x:v>
      </x:c>
      <x:c r="D510" s="117" t="str">
        <x:v>Tumpat</x:v>
      </x:c>
      <x:c r="E510" s="117" t="str">
        <x:v>Heritage and Visitor Attraction</x:v>
      </x:c>
      <x:c r="F510" s="117" t="str">
        <x:v>Unclassified</x:v>
      </x:c>
      <x:c r="G510" s="117" t="str">
        <x:v>Both</x:v>
      </x:c>
      <x:c r="H510" s="117" t="str">
        <x:v>Heritage and Visitor Attraction; Tumpat</x:v>
      </x:c>
      <x:c r="I510" s="117" t="str">
        <x:v>A visitor attraction in Tumpat, Kelantan, listed in Tourism Malaysia's state travel guide. Venue operation and the precise accessible route require confirmation.</x:v>
      </x:c>
      <x:c r="J510" s="117" t="str">
        <x:v>https://ebrochures.malaysia.travel/en/malaysia-travel-guide/kelantan/</x:v>
      </x:c>
      <x:c r="K510" s="117" t="str">
        <x:v>https://ebrochures.malaysia.travel/en/malaysia-travel-guide/kelantan/</x:v>
      </x:c>
      <x:c r="L510" s="117" t="str">
        <x:v>Tourism Malaysia listing; operation unconfirmed</x:v>
      </x:c>
      <x:c r="M510" s="117" t="str">
        <x:v>Nationwide expansion 2026-09-08</x:v>
      </x:c>
      <x:c r="N510" s="117"/>
      <x:c r="O510" s="117" t="str">
        <x:v>2026-09-08</x:v>
      </x:c>
      <x:c r="P510" s="117" t="str">
        <x:v>Complete</x:v>
      </x:c>
      <x:c r="Q510" s="117"/>
      <x:c r="R510" s="117" t="str">
        <x:f>IF(J510="","Missing Link",IF(AND(ISNUMBER(SEARCH("google.com/maps",J510)),ISERROR(SEARCH(";",J510))),"Discovery Link Only","Source Link Present"))</x:f>
        <x:v>Source Link Present</x:v>
      </x:c>
      <x:c r="S510" s="117" t="str">
        <x:v>Unknown</x:v>
      </x:c>
      <x:c r="T510" s="117" t="str">
        <x:v>Unknown</x:v>
      </x:c>
      <x:c r="U510" s="117" t="str">
        <x:v>Unknown</x:v>
      </x:c>
      <x:c r="V510" s="117" t="str">
        <x:v>Unknown</x:v>
      </x:c>
      <x:c r="W510" s="117" t="str">
        <x:v>Unknown</x:v>
      </x:c>
      <x:c r="X510" s="117" t="str">
        <x:v>Unknown</x:v>
      </x:c>
      <x:c r="Y510" s="117" t="str">
        <x:v>Unknown</x:v>
      </x:c>
      <x:c r="Z510" s="117"/>
      <x:c r="AA510" s="117" t="str">
        <x:v>Pending evidence</x:v>
      </x:c>
      <x:c r="AB510" s="117"/>
      <x:c r="AC510" s="117" t="str">
        <x:v>No qualifying accessibility conclusion established from the screened sources. This is unknown, not evidence that the attraction is inaccessible.</x:v>
      </x:c>
      <x:c r="AD510" s="117" t="str">
        <x:v>2026-09-08</x:v>
      </x:c>
      <x:c r="AE510" s="117" t="str">
        <x:v>MC0507</x:v>
      </x:c>
      <x:c r="AF510" s="117" t="str">
        <x:v>Distinct candidate</x:v>
      </x:c>
      <x:c r="AG510" s="117" t="str"/>
      <x:c r="AH510" s="117" t="str">
        <x:v>Listed by Tourism Malaysia</x:v>
      </x:c>
      <x:c r="AI510" s="117" t="str">
        <x:v>https://ebrochures.malaysia.travel/en/malaysia-travel-guide/kelantan/</x:v>
      </x:c>
      <x:c r="AJ510" s="117" t="str">
        <x:v>Named visitor attraction in cited source; state-guide listings can be historical. Locality is catalogue metadata, not a surveyed address. Current operation remains unconfirmed.</x:v>
      </x:c>
      <x:c r="AK510" s="117" t="str">
        <x:v>Not independently confirmed</x:v>
      </x:c>
      <x:c r="AL510" s="117" t="str">
        <x:v>Screened sources; accessibility unresolved</x:v>
      </x:c>
      <x:c r="AM510" s="117" t="str">
        <x:v>2026-09-08</x:v>
      </x:c>
      <x:c r="AN510" s="117"/>
      <x:c r="AO510" s="117"/>
      <x:c r="AP510" s="117" t="str">
        <x:v>No usable pair located; image research pending</x:v>
      </x:c>
      <x:c r="AQ510" s="117"/>
    </x:row>
    <x:row r="511" ht="66" customHeight="1">
      <x:c r="A511" s="117" t="str">
        <x:v>MC0508</x:v>
      </x:c>
      <x:c r="B511" s="117" t="str">
        <x:v>Kite Museum</x:v>
      </x:c>
      <x:c r="C511" s="117" t="str">
        <x:v>Kelantan</x:v>
      </x:c>
      <x:c r="D511" s="117" t="str">
        <x:v>Tumpat</x:v>
      </x:c>
      <x:c r="E511" s="117" t="str">
        <x:v>Museum and Gallery</x:v>
      </x:c>
      <x:c r="F511" s="117" t="str">
        <x:v>Unclassified</x:v>
      </x:c>
      <x:c r="G511" s="117" t="str">
        <x:v>Indoor</x:v>
      </x:c>
      <x:c r="H511" s="117" t="str">
        <x:v>Museum and Gallery; Tumpat</x:v>
      </x:c>
      <x:c r="I511" s="117" t="str">
        <x:v>A visitor attraction in Tumpat, Kelantan, listed in Tourism Malaysia's state travel guide. Venue operation and the precise accessible route require confirmation.</x:v>
      </x:c>
      <x:c r="J511" s="117" t="str">
        <x:v>https://ebrochures.malaysia.travel/en/malaysia-travel-guide/kelantan/</x:v>
      </x:c>
      <x:c r="K511" s="117" t="str">
        <x:v>https://ebrochures.malaysia.travel/en/malaysia-travel-guide/kelantan/</x:v>
      </x:c>
      <x:c r="L511" s="117" t="str">
        <x:v>Tourism Malaysia listing; operation unconfirmed</x:v>
      </x:c>
      <x:c r="M511" s="117" t="str">
        <x:v>Nationwide expansion 2026-09-08</x:v>
      </x:c>
      <x:c r="N511" s="117"/>
      <x:c r="O511" s="117" t="str">
        <x:v>2026-09-08</x:v>
      </x:c>
      <x:c r="P511" s="117" t="str">
        <x:v>Complete</x:v>
      </x:c>
      <x:c r="Q511" s="117"/>
      <x:c r="R511" s="117" t="str">
        <x:f>IF(J511="","Missing Link",IF(AND(ISNUMBER(SEARCH("google.com/maps",J511)),ISERROR(SEARCH(";",J511))),"Discovery Link Only","Source Link Present"))</x:f>
        <x:v>Source Link Present</x:v>
      </x:c>
      <x:c r="S511" s="117" t="str">
        <x:v>Unknown</x:v>
      </x:c>
      <x:c r="T511" s="117" t="str">
        <x:v>Unknown</x:v>
      </x:c>
      <x:c r="U511" s="117" t="str">
        <x:v>Unknown</x:v>
      </x:c>
      <x:c r="V511" s="117" t="str">
        <x:v>Unknown</x:v>
      </x:c>
      <x:c r="W511" s="117" t="str">
        <x:v>Unknown</x:v>
      </x:c>
      <x:c r="X511" s="117" t="str">
        <x:v>Unknown</x:v>
      </x:c>
      <x:c r="Y511" s="117" t="str">
        <x:v>Unknown</x:v>
      </x:c>
      <x:c r="Z511" s="117"/>
      <x:c r="AA511" s="117" t="str">
        <x:v>Pending evidence</x:v>
      </x:c>
      <x:c r="AB511" s="117"/>
      <x:c r="AC511" s="117" t="str">
        <x:v>No qualifying accessibility conclusion established from the screened sources. This is unknown, not evidence that the attraction is inaccessible.</x:v>
      </x:c>
      <x:c r="AD511" s="117" t="str">
        <x:v>2026-09-08</x:v>
      </x:c>
      <x:c r="AE511" s="117" t="str">
        <x:v>MC0508</x:v>
      </x:c>
      <x:c r="AF511" s="117" t="str">
        <x:v>Distinct candidate</x:v>
      </x:c>
      <x:c r="AG511" s="117" t="str"/>
      <x:c r="AH511" s="117" t="str">
        <x:v>Listed by Tourism Malaysia</x:v>
      </x:c>
      <x:c r="AI511" s="117" t="str">
        <x:v>https://ebrochures.malaysia.travel/en/malaysia-travel-guide/kelantan/</x:v>
      </x:c>
      <x:c r="AJ511" s="117" t="str">
        <x:v>Named visitor attraction in cited source; state-guide listings can be historical. Locality is catalogue metadata, not a surveyed address. Current operation remains unconfirmed.</x:v>
      </x:c>
      <x:c r="AK511" s="117" t="str">
        <x:v>Not independently confirmed</x:v>
      </x:c>
      <x:c r="AL511" s="117" t="str">
        <x:v>Screened sources; accessibility unresolved</x:v>
      </x:c>
      <x:c r="AM511" s="117" t="str">
        <x:v>2026-09-08</x:v>
      </x:c>
      <x:c r="AN511" s="117"/>
      <x:c r="AO511" s="117"/>
      <x:c r="AP511" s="117" t="str">
        <x:v>No usable pair located; image research pending</x:v>
      </x:c>
      <x:c r="AQ511" s="117"/>
    </x:row>
    <x:row r="512" ht="66" customHeight="1">
      <x:c r="A512" s="117" t="str">
        <x:v>MC0509</x:v>
      </x:c>
      <x:c r="B512" s="117" t="str">
        <x:v>Tok Janggut Tomb</x:v>
      </x:c>
      <x:c r="C512" s="117" t="str">
        <x:v>Kelantan</x:v>
      </x:c>
      <x:c r="D512" s="117" t="str">
        <x:v>Tumpat</x:v>
      </x:c>
      <x:c r="E512" s="117" t="str">
        <x:v>Heritage and Visitor Attraction</x:v>
      </x:c>
      <x:c r="F512" s="117" t="str">
        <x:v>Unclassified</x:v>
      </x:c>
      <x:c r="G512" s="117" t="str">
        <x:v>Both</x:v>
      </x:c>
      <x:c r="H512" s="117" t="str">
        <x:v>Heritage and Visitor Attraction; Tumpat</x:v>
      </x:c>
      <x:c r="I512" s="117" t="str">
        <x:v>A visitor attraction in Tumpat, Kelantan, listed in Tourism Malaysia's state travel guide. Venue operation and the precise accessible route require confirmation.</x:v>
      </x:c>
      <x:c r="J512" s="117" t="str">
        <x:v>https://ebrochures.malaysia.travel/en/malaysia-travel-guide/kelantan/</x:v>
      </x:c>
      <x:c r="K512" s="117" t="str">
        <x:v>https://ebrochures.malaysia.travel/en/malaysia-travel-guide/kelantan/</x:v>
      </x:c>
      <x:c r="L512" s="117" t="str">
        <x:v>Tourism Malaysia listing; operation unconfirmed</x:v>
      </x:c>
      <x:c r="M512" s="117" t="str">
        <x:v>Nationwide expansion 2026-09-08</x:v>
      </x:c>
      <x:c r="N512" s="117"/>
      <x:c r="O512" s="117" t="str">
        <x:v>2026-09-08</x:v>
      </x:c>
      <x:c r="P512" s="117" t="str">
        <x:v>Complete</x:v>
      </x:c>
      <x:c r="Q512" s="117"/>
      <x:c r="R512" s="117" t="str">
        <x:f>IF(J512="","Missing Link",IF(AND(ISNUMBER(SEARCH("google.com/maps",J512)),ISERROR(SEARCH(";",J512))),"Discovery Link Only","Source Link Present"))</x:f>
        <x:v>Source Link Present</x:v>
      </x:c>
      <x:c r="S512" s="117" t="str">
        <x:v>Unknown</x:v>
      </x:c>
      <x:c r="T512" s="117" t="str">
        <x:v>Unknown</x:v>
      </x:c>
      <x:c r="U512" s="117" t="str">
        <x:v>Unknown</x:v>
      </x:c>
      <x:c r="V512" s="117" t="str">
        <x:v>Unknown</x:v>
      </x:c>
      <x:c r="W512" s="117" t="str">
        <x:v>Unknown</x:v>
      </x:c>
      <x:c r="X512" s="117" t="str">
        <x:v>Unknown</x:v>
      </x:c>
      <x:c r="Y512" s="117" t="str">
        <x:v>Unknown</x:v>
      </x:c>
      <x:c r="Z512" s="117"/>
      <x:c r="AA512" s="117" t="str">
        <x:v>Pending evidence</x:v>
      </x:c>
      <x:c r="AB512" s="117"/>
      <x:c r="AC512" s="117" t="str">
        <x:v>No qualifying accessibility conclusion established from the screened sources. This is unknown, not evidence that the attraction is inaccessible.</x:v>
      </x:c>
      <x:c r="AD512" s="117" t="str">
        <x:v>2026-09-08</x:v>
      </x:c>
      <x:c r="AE512" s="117" t="str">
        <x:v>MC0509</x:v>
      </x:c>
      <x:c r="AF512" s="117" t="str">
        <x:v>Distinct candidate</x:v>
      </x:c>
      <x:c r="AG512" s="117" t="str"/>
      <x:c r="AH512" s="117" t="str">
        <x:v>Listed by Tourism Malaysia</x:v>
      </x:c>
      <x:c r="AI512" s="117" t="str">
        <x:v>https://ebrochures.malaysia.travel/en/malaysia-travel-guide/kelantan/</x:v>
      </x:c>
      <x:c r="AJ512" s="117" t="str">
        <x:v>Named visitor attraction in cited source; state-guide listings can be historical. Locality is catalogue metadata, not a surveyed address. Current operation remains unconfirmed.</x:v>
      </x:c>
      <x:c r="AK512" s="117" t="str">
        <x:v>Not independently confirmed</x:v>
      </x:c>
      <x:c r="AL512" s="117" t="str">
        <x:v>Screened sources; accessibility unresolved</x:v>
      </x:c>
      <x:c r="AM512" s="117" t="str">
        <x:v>2026-09-08</x:v>
      </x:c>
      <x:c r="AN512" s="117"/>
      <x:c r="AO512" s="117"/>
      <x:c r="AP512" s="117" t="str">
        <x:v>No usable pair located; image research pending</x:v>
      </x:c>
      <x:c r="AQ512" s="117"/>
    </x:row>
    <x:row r="513" ht="66" customHeight="1">
      <x:c r="A513" s="117" t="str">
        <x:v>MC0510</x:v>
      </x:c>
      <x:c r="B513" s="117" t="str">
        <x:v>Gua Ikan</x:v>
      </x:c>
      <x:c r="C513" s="117" t="str">
        <x:v>Kelantan</x:v>
      </x:c>
      <x:c r="D513" s="117" t="str">
        <x:v>Dabong</x:v>
      </x:c>
      <x:c r="E513" s="117" t="str">
        <x:v>Nature</x:v>
      </x:c>
      <x:c r="F513" s="117" t="str">
        <x:v>Unclassified</x:v>
      </x:c>
      <x:c r="G513" s="117" t="str">
        <x:v>Outdoor</x:v>
      </x:c>
      <x:c r="H513" s="117" t="str">
        <x:v>Nature; Dabong</x:v>
      </x:c>
      <x:c r="I513" s="117" t="str">
        <x:v>A visitor attraction in Dabong, Kelantan, listed in Tourism Malaysia's state travel guide. Venue operation and the precise accessible route require confirmation.</x:v>
      </x:c>
      <x:c r="J513" s="117" t="str">
        <x:v>https://ebrochures.malaysia.travel/en/malaysia-travel-guide/kelantan/</x:v>
      </x:c>
      <x:c r="K513" s="117" t="str">
        <x:v>https://ebrochures.malaysia.travel/en/malaysia-travel-guide/kelantan/</x:v>
      </x:c>
      <x:c r="L513" s="117" t="str">
        <x:v>Tourism Malaysia listing; operation unconfirmed</x:v>
      </x:c>
      <x:c r="M513" s="117" t="str">
        <x:v>Nationwide expansion 2026-09-08</x:v>
      </x:c>
      <x:c r="N513" s="117"/>
      <x:c r="O513" s="117" t="str">
        <x:v>2026-09-08</x:v>
      </x:c>
      <x:c r="P513" s="117" t="str">
        <x:v>Complete</x:v>
      </x:c>
      <x:c r="Q513" s="117"/>
      <x:c r="R513" s="117" t="str">
        <x:f>IF(J513="","Missing Link",IF(AND(ISNUMBER(SEARCH("google.com/maps",J513)),ISERROR(SEARCH(";",J513))),"Discovery Link Only","Source Link Present"))</x:f>
        <x:v>Source Link Present</x:v>
      </x:c>
      <x:c r="S513" s="117" t="str">
        <x:v>Unknown</x:v>
      </x:c>
      <x:c r="T513" s="117" t="str">
        <x:v>Unknown</x:v>
      </x:c>
      <x:c r="U513" s="117" t="str">
        <x:v>Unknown</x:v>
      </x:c>
      <x:c r="V513" s="117" t="str">
        <x:v>Unknown</x:v>
      </x:c>
      <x:c r="W513" s="117" t="str">
        <x:v>Unknown</x:v>
      </x:c>
      <x:c r="X513" s="117" t="str">
        <x:v>Unknown</x:v>
      </x:c>
      <x:c r="Y513" s="117" t="str">
        <x:v>Unknown</x:v>
      </x:c>
      <x:c r="Z513" s="117"/>
      <x:c r="AA513" s="117" t="str">
        <x:v>Pending evidence</x:v>
      </x:c>
      <x:c r="AB513" s="117"/>
      <x:c r="AC513" s="117" t="str">
        <x:v>No qualifying accessibility conclusion established from the screened sources. This is unknown, not evidence that the attraction is inaccessible.</x:v>
      </x:c>
      <x:c r="AD513" s="117" t="str">
        <x:v>2026-09-08</x:v>
      </x:c>
      <x:c r="AE513" s="117" t="str">
        <x:v>MC0510</x:v>
      </x:c>
      <x:c r="AF513" s="117" t="str">
        <x:v>Distinct candidate</x:v>
      </x:c>
      <x:c r="AG513" s="117" t="str"/>
      <x:c r="AH513" s="117" t="str">
        <x:v>Listed by Tourism Malaysia</x:v>
      </x:c>
      <x:c r="AI513" s="117" t="str">
        <x:v>https://ebrochures.malaysia.travel/en/malaysia-travel-guide/kelantan/</x:v>
      </x:c>
      <x:c r="AJ513" s="117" t="str">
        <x:v>Named visitor attraction in cited source; state-guide listings can be historical. Locality is catalogue metadata, not a surveyed address. Current operation remains unconfirmed.</x:v>
      </x:c>
      <x:c r="AK513" s="117" t="str">
        <x:v>Not independently confirmed</x:v>
      </x:c>
      <x:c r="AL513" s="117" t="str">
        <x:v>Screened sources; accessibility unresolved</x:v>
      </x:c>
      <x:c r="AM513" s="117" t="str">
        <x:v>2026-09-08</x:v>
      </x:c>
      <x:c r="AN513" s="117"/>
      <x:c r="AO513" s="117"/>
      <x:c r="AP513" s="117" t="str">
        <x:v>No usable pair located; image research pending</x:v>
      </x:c>
      <x:c r="AQ513" s="117"/>
    </x:row>
    <x:row r="514" ht="66" customHeight="1">
      <x:c r="A514" s="117" t="str">
        <x:v>MC0511</x:v>
      </x:c>
      <x:c r="B514" s="117" t="str">
        <x:v>Gua Gelap</x:v>
      </x:c>
      <x:c r="C514" s="117" t="str">
        <x:v>Kelantan</x:v>
      </x:c>
      <x:c r="D514" s="117" t="str">
        <x:v>Dabong</x:v>
      </x:c>
      <x:c r="E514" s="117" t="str">
        <x:v>Nature</x:v>
      </x:c>
      <x:c r="F514" s="117" t="str">
        <x:v>Unclassified</x:v>
      </x:c>
      <x:c r="G514" s="117" t="str">
        <x:v>Outdoor</x:v>
      </x:c>
      <x:c r="H514" s="117" t="str">
        <x:v>Nature; Dabong</x:v>
      </x:c>
      <x:c r="I514" s="117" t="str">
        <x:v>A visitor attraction in Dabong, Kelantan, listed in Tourism Malaysia's state travel guide. Venue operation and the precise accessible route require confirmation.</x:v>
      </x:c>
      <x:c r="J514" s="117" t="str">
        <x:v>https://ebrochures.malaysia.travel/en/malaysia-travel-guide/kelantan/</x:v>
      </x:c>
      <x:c r="K514" s="117" t="str">
        <x:v>https://ebrochures.malaysia.travel/en/malaysia-travel-guide/kelantan/</x:v>
      </x:c>
      <x:c r="L514" s="117" t="str">
        <x:v>Tourism Malaysia listing; operation unconfirmed</x:v>
      </x:c>
      <x:c r="M514" s="117" t="str">
        <x:v>Nationwide expansion 2026-09-08</x:v>
      </x:c>
      <x:c r="N514" s="117"/>
      <x:c r="O514" s="117" t="str">
        <x:v>2026-09-08</x:v>
      </x:c>
      <x:c r="P514" s="117" t="str">
        <x:v>Complete</x:v>
      </x:c>
      <x:c r="Q514" s="117"/>
      <x:c r="R514" s="117" t="str">
        <x:f>IF(J514="","Missing Link",IF(AND(ISNUMBER(SEARCH("google.com/maps",J514)),ISERROR(SEARCH(";",J514))),"Discovery Link Only","Source Link Present"))</x:f>
        <x:v>Source Link Present</x:v>
      </x:c>
      <x:c r="S514" s="117" t="str">
        <x:v>Unknown</x:v>
      </x:c>
      <x:c r="T514" s="117" t="str">
        <x:v>Unknown</x:v>
      </x:c>
      <x:c r="U514" s="117" t="str">
        <x:v>Unknown</x:v>
      </x:c>
      <x:c r="V514" s="117" t="str">
        <x:v>Unknown</x:v>
      </x:c>
      <x:c r="W514" s="117" t="str">
        <x:v>Unknown</x:v>
      </x:c>
      <x:c r="X514" s="117" t="str">
        <x:v>Unknown</x:v>
      </x:c>
      <x:c r="Y514" s="117" t="str">
        <x:v>Unknown</x:v>
      </x:c>
      <x:c r="Z514" s="117"/>
      <x:c r="AA514" s="117" t="str">
        <x:v>Pending evidence</x:v>
      </x:c>
      <x:c r="AB514" s="117"/>
      <x:c r="AC514" s="117" t="str">
        <x:v>No qualifying accessibility conclusion established from the screened sources. This is unknown, not evidence that the attraction is inaccessible.</x:v>
      </x:c>
      <x:c r="AD514" s="117" t="str">
        <x:v>2026-09-08</x:v>
      </x:c>
      <x:c r="AE514" s="117" t="str">
        <x:v>MC0511</x:v>
      </x:c>
      <x:c r="AF514" s="117" t="str">
        <x:v>Distinct candidate</x:v>
      </x:c>
      <x:c r="AG514" s="117" t="str"/>
      <x:c r="AH514" s="117" t="str">
        <x:v>Listed by Tourism Malaysia</x:v>
      </x:c>
      <x:c r="AI514" s="117" t="str">
        <x:v>https://ebrochures.malaysia.travel/en/malaysia-travel-guide/kelantan/</x:v>
      </x:c>
      <x:c r="AJ514" s="117" t="str">
        <x:v>Named visitor attraction in cited source; state-guide listings can be historical. Locality is catalogue metadata, not a surveyed address. Current operation remains unconfirmed.</x:v>
      </x:c>
      <x:c r="AK514" s="117" t="str">
        <x:v>Not independently confirmed</x:v>
      </x:c>
      <x:c r="AL514" s="117" t="str">
        <x:v>Screened sources; accessibility unresolved</x:v>
      </x:c>
      <x:c r="AM514" s="117" t="str">
        <x:v>2026-09-08</x:v>
      </x:c>
      <x:c r="AN514" s="117" t="str">
        <x:v>https://upload.wikimedia.org/wikipedia/commons/5/59/Gua_Ikan_3.jpg?utm_source=commons.wikimedia.org&amp;utm_campaign=imageinfo&amp;utm_content=thumbnail_unscaled</x:v>
      </x:c>
      <x:c r="AO514" s="117" t="str">
        <x:v>https://upload.wikimedia.org/wikipedia/commons/1/18/Gua_Ikan_entrance.jpg?utm_source=commons.wikimedia.org&amp;utm_campaign=imageinfo&amp;utm_content=thumbnail_unscaled</x:v>
      </x:c>
      <x:c r="AP514" s="117" t="str">
        <x:v>2 metadata-matched images; visual review pending</x:v>
      </x:c>
      <x:c r="AQ514" s="117"/>
    </x:row>
    <x:row r="515" ht="66" customHeight="1">
      <x:c r="A515" s="117" t="str">
        <x:v>MC0512</x:v>
      </x:c>
      <x:c r="B515" s="117" t="str">
        <x:v>Lata Beringin</x:v>
      </x:c>
      <x:c r="C515" s="117" t="str">
        <x:v>Kelantan</x:v>
      </x:c>
      <x:c r="D515" s="117" t="str">
        <x:v>Kuala Krai</x:v>
      </x:c>
      <x:c r="E515" s="117" t="str">
        <x:v>Nature</x:v>
      </x:c>
      <x:c r="F515" s="117" t="str">
        <x:v>Unclassified</x:v>
      </x:c>
      <x:c r="G515" s="117" t="str">
        <x:v>Outdoor</x:v>
      </x:c>
      <x:c r="H515" s="117" t="str">
        <x:v>Nature; Kuala Krai</x:v>
      </x:c>
      <x:c r="I515" s="117" t="str">
        <x:v>A visitor attraction in Kuala Krai, Kelantan, listed in Tourism Malaysia's state travel guide. Venue operation and the precise accessible route require confirmation.</x:v>
      </x:c>
      <x:c r="J515" s="117" t="str">
        <x:v>https://ebrochures.malaysia.travel/en/malaysia-travel-guide/kelantan/</x:v>
      </x:c>
      <x:c r="K515" s="117" t="str">
        <x:v>https://ebrochures.malaysia.travel/en/malaysia-travel-guide/kelantan/</x:v>
      </x:c>
      <x:c r="L515" s="117" t="str">
        <x:v>Tourism Malaysia listing; operation unconfirmed</x:v>
      </x:c>
      <x:c r="M515" s="117" t="str">
        <x:v>Nationwide expansion 2026-09-08</x:v>
      </x:c>
      <x:c r="N515" s="117"/>
      <x:c r="O515" s="117" t="str">
        <x:v>2026-09-08</x:v>
      </x:c>
      <x:c r="P515" s="117" t="str">
        <x:v>Complete</x:v>
      </x:c>
      <x:c r="Q515" s="117"/>
      <x:c r="R515" s="117" t="str">
        <x:f>IF(J515="","Missing Link",IF(AND(ISNUMBER(SEARCH("google.com/maps",J515)),ISERROR(SEARCH(";",J515))),"Discovery Link Only","Source Link Present"))</x:f>
        <x:v>Source Link Present</x:v>
      </x:c>
      <x:c r="S515" s="117" t="str">
        <x:v>Unknown</x:v>
      </x:c>
      <x:c r="T515" s="117" t="str">
        <x:v>Unknown</x:v>
      </x:c>
      <x:c r="U515" s="117" t="str">
        <x:v>Unknown</x:v>
      </x:c>
      <x:c r="V515" s="117" t="str">
        <x:v>Unknown</x:v>
      </x:c>
      <x:c r="W515" s="117" t="str">
        <x:v>Unknown</x:v>
      </x:c>
      <x:c r="X515" s="117" t="str">
        <x:v>Unknown</x:v>
      </x:c>
      <x:c r="Y515" s="117" t="str">
        <x:v>Unknown</x:v>
      </x:c>
      <x:c r="Z515" s="117"/>
      <x:c r="AA515" s="117" t="str">
        <x:v>Pending evidence</x:v>
      </x:c>
      <x:c r="AB515" s="117"/>
      <x:c r="AC515" s="117" t="str">
        <x:v>No qualifying accessibility conclusion established from the screened sources. This is unknown, not evidence that the attraction is inaccessible.</x:v>
      </x:c>
      <x:c r="AD515" s="117" t="str">
        <x:v>2026-09-08</x:v>
      </x:c>
      <x:c r="AE515" s="117" t="str">
        <x:v>MC0512</x:v>
      </x:c>
      <x:c r="AF515" s="117" t="str">
        <x:v>Distinct candidate</x:v>
      </x:c>
      <x:c r="AG515" s="117" t="str"/>
      <x:c r="AH515" s="117" t="str">
        <x:v>Listed by Tourism Malaysia</x:v>
      </x:c>
      <x:c r="AI515" s="117" t="str">
        <x:v>https://ebrochures.malaysia.travel/en/malaysia-travel-guide/kelantan/</x:v>
      </x:c>
      <x:c r="AJ515" s="117" t="str">
        <x:v>Named visitor attraction in cited source; state-guide listings can be historical. Locality is catalogue metadata, not a surveyed address. Current operation remains unconfirmed.</x:v>
      </x:c>
      <x:c r="AK515" s="117" t="str">
        <x:v>Not independently confirmed</x:v>
      </x:c>
      <x:c r="AL515" s="117" t="str">
        <x:v>Screened sources; accessibility unresolved</x:v>
      </x:c>
      <x:c r="AM515" s="117" t="str">
        <x:v>2026-09-08</x:v>
      </x:c>
      <x:c r="AN515" s="117"/>
      <x:c r="AO515" s="117"/>
      <x:c r="AP515" s="117" t="str">
        <x:v>No usable pair located; image research pending</x:v>
      </x:c>
      <x:c r="AQ515" s="117"/>
    </x:row>
    <x:row r="516" ht="66" customHeight="1">
      <x:c r="A516" s="117" t="str">
        <x:v>MC0513</x:v>
      </x:c>
      <x:c r="B516" s="117" t="str">
        <x:v>Lata Kertas</x:v>
      </x:c>
      <x:c r="C516" s="117" t="str">
        <x:v>Kelantan</x:v>
      </x:c>
      <x:c r="D516" s="117" t="str">
        <x:v>Kuala Krai</x:v>
      </x:c>
      <x:c r="E516" s="117" t="str">
        <x:v>Nature</x:v>
      </x:c>
      <x:c r="F516" s="117" t="str">
        <x:v>Unclassified</x:v>
      </x:c>
      <x:c r="G516" s="117" t="str">
        <x:v>Outdoor</x:v>
      </x:c>
      <x:c r="H516" s="117" t="str">
        <x:v>Nature; Kuala Krai</x:v>
      </x:c>
      <x:c r="I516" s="117" t="str">
        <x:v>A visitor attraction in Kuala Krai, Kelantan, listed in Tourism Malaysia's state travel guide. Venue operation and the precise accessible route require confirmation.</x:v>
      </x:c>
      <x:c r="J516" s="117" t="str">
        <x:v>https://ebrochures.malaysia.travel/en/malaysia-travel-guide/kelantan/</x:v>
      </x:c>
      <x:c r="K516" s="117" t="str">
        <x:v>https://ebrochures.malaysia.travel/en/malaysia-travel-guide/kelantan/</x:v>
      </x:c>
      <x:c r="L516" s="117" t="str">
        <x:v>Tourism Malaysia listing; operation unconfirmed</x:v>
      </x:c>
      <x:c r="M516" s="117" t="str">
        <x:v>Nationwide expansion 2026-09-08</x:v>
      </x:c>
      <x:c r="N516" s="117"/>
      <x:c r="O516" s="117" t="str">
        <x:v>2026-09-08</x:v>
      </x:c>
      <x:c r="P516" s="117" t="str">
        <x:v>Complete</x:v>
      </x:c>
      <x:c r="Q516" s="117"/>
      <x:c r="R516" s="117" t="str">
        <x:f>IF(J516="","Missing Link",IF(AND(ISNUMBER(SEARCH("google.com/maps",J516)),ISERROR(SEARCH(";",J516))),"Discovery Link Only","Source Link Present"))</x:f>
        <x:v>Source Link Present</x:v>
      </x:c>
      <x:c r="S516" s="117" t="str">
        <x:v>Unknown</x:v>
      </x:c>
      <x:c r="T516" s="117" t="str">
        <x:v>Unknown</x:v>
      </x:c>
      <x:c r="U516" s="117" t="str">
        <x:v>Unknown</x:v>
      </x:c>
      <x:c r="V516" s="117" t="str">
        <x:v>Unknown</x:v>
      </x:c>
      <x:c r="W516" s="117" t="str">
        <x:v>Unknown</x:v>
      </x:c>
      <x:c r="X516" s="117" t="str">
        <x:v>Unknown</x:v>
      </x:c>
      <x:c r="Y516" s="117" t="str">
        <x:v>Unknown</x:v>
      </x:c>
      <x:c r="Z516" s="117"/>
      <x:c r="AA516" s="117" t="str">
        <x:v>Pending evidence</x:v>
      </x:c>
      <x:c r="AB516" s="117"/>
      <x:c r="AC516" s="117" t="str">
        <x:v>No qualifying accessibility conclusion established from the screened sources. This is unknown, not evidence that the attraction is inaccessible.</x:v>
      </x:c>
      <x:c r="AD516" s="117" t="str">
        <x:v>2026-09-08</x:v>
      </x:c>
      <x:c r="AE516" s="117" t="str">
        <x:v>MC0513</x:v>
      </x:c>
      <x:c r="AF516" s="117" t="str">
        <x:v>Distinct candidate</x:v>
      </x:c>
      <x:c r="AG516" s="117" t="str"/>
      <x:c r="AH516" s="117" t="str">
        <x:v>Listed by Tourism Malaysia</x:v>
      </x:c>
      <x:c r="AI516" s="117" t="str">
        <x:v>https://ebrochures.malaysia.travel/en/malaysia-travel-guide/kelantan/</x:v>
      </x:c>
      <x:c r="AJ516" s="117" t="str">
        <x:v>Named visitor attraction in cited source; state-guide listings can be historical. Locality is catalogue metadata, not a surveyed address. Current operation remains unconfirmed.</x:v>
      </x:c>
      <x:c r="AK516" s="117" t="str">
        <x:v>Not independently confirmed</x:v>
      </x:c>
      <x:c r="AL516" s="117" t="str">
        <x:v>Screened sources; accessibility unresolved</x:v>
      </x:c>
      <x:c r="AM516" s="117" t="str">
        <x:v>2026-09-08</x:v>
      </x:c>
      <x:c r="AN516" s="117"/>
      <x:c r="AO516" s="117"/>
      <x:c r="AP516" s="117" t="str">
        <x:v>No usable pair located; image research pending</x:v>
      </x:c>
      <x:c r="AQ516" s="117"/>
    </x:row>
    <x:row r="517" ht="66" customHeight="1">
      <x:c r="A517" s="117" t="str">
        <x:v>MC0514</x:v>
      </x:c>
      <x:c r="B517" s="117" t="str">
        <x:v>Melawi Beach</x:v>
      </x:c>
      <x:c r="C517" s="117" t="str">
        <x:v>Kelantan</x:v>
      </x:c>
      <x:c r="D517" s="117" t="str">
        <x:v>Bachok</x:v>
      </x:c>
      <x:c r="E517" s="117" t="str">
        <x:v>Beach and Island</x:v>
      </x:c>
      <x:c r="F517" s="117" t="str">
        <x:v>Unclassified</x:v>
      </x:c>
      <x:c r="G517" s="117" t="str">
        <x:v>Outdoor</x:v>
      </x:c>
      <x:c r="H517" s="117" t="str">
        <x:v>Beach and Island; Bachok</x:v>
      </x:c>
      <x:c r="I517" s="117" t="str">
        <x:v>A visitor attraction in Bachok, Kelantan, listed in Tourism Malaysia's state travel guide. Venue operation and the precise accessible route require confirmation.</x:v>
      </x:c>
      <x:c r="J517" s="117" t="str">
        <x:v>https://ebrochures.malaysia.travel/en/malaysia-travel-guide/kelantan/</x:v>
      </x:c>
      <x:c r="K517" s="117" t="str">
        <x:v>https://ebrochures.malaysia.travel/en/malaysia-travel-guide/kelantan/</x:v>
      </x:c>
      <x:c r="L517" s="117" t="str">
        <x:v>Tourism Malaysia listing; operation unconfirmed</x:v>
      </x:c>
      <x:c r="M517" s="117" t="str">
        <x:v>Nationwide expansion 2026-09-08</x:v>
      </x:c>
      <x:c r="N517" s="117"/>
      <x:c r="O517" s="117" t="str">
        <x:v>2026-09-08</x:v>
      </x:c>
      <x:c r="P517" s="117" t="str">
        <x:v>Complete</x:v>
      </x:c>
      <x:c r="Q517" s="117"/>
      <x:c r="R517" s="117" t="str">
        <x:f>IF(J517="","Missing Link",IF(AND(ISNUMBER(SEARCH("google.com/maps",J517)),ISERROR(SEARCH(";",J517))),"Discovery Link Only","Source Link Present"))</x:f>
        <x:v>Source Link Present</x:v>
      </x:c>
      <x:c r="S517" s="117" t="str">
        <x:v>Unknown</x:v>
      </x:c>
      <x:c r="T517" s="117" t="str">
        <x:v>Unknown</x:v>
      </x:c>
      <x:c r="U517" s="117" t="str">
        <x:v>Unknown</x:v>
      </x:c>
      <x:c r="V517" s="117" t="str">
        <x:v>Unknown</x:v>
      </x:c>
      <x:c r="W517" s="117" t="str">
        <x:v>Unknown</x:v>
      </x:c>
      <x:c r="X517" s="117" t="str">
        <x:v>Unknown</x:v>
      </x:c>
      <x:c r="Y517" s="117" t="str">
        <x:v>Unknown</x:v>
      </x:c>
      <x:c r="Z517" s="117"/>
      <x:c r="AA517" s="117" t="str">
        <x:v>Pending evidence</x:v>
      </x:c>
      <x:c r="AB517" s="117"/>
      <x:c r="AC517" s="117" t="str">
        <x:v>No qualifying accessibility conclusion established from the screened sources. This is unknown, not evidence that the attraction is inaccessible.</x:v>
      </x:c>
      <x:c r="AD517" s="117" t="str">
        <x:v>2026-09-08</x:v>
      </x:c>
      <x:c r="AE517" s="117" t="str">
        <x:v>MC0514</x:v>
      </x:c>
      <x:c r="AF517" s="117" t="str">
        <x:v>Distinct candidate</x:v>
      </x:c>
      <x:c r="AG517" s="117" t="str"/>
      <x:c r="AH517" s="117" t="str">
        <x:v>Listed by Tourism Malaysia</x:v>
      </x:c>
      <x:c r="AI517" s="117" t="str">
        <x:v>https://ebrochures.malaysia.travel/en/malaysia-travel-guide/kelantan/</x:v>
      </x:c>
      <x:c r="AJ517" s="117" t="str">
        <x:v>Named visitor attraction in cited source; state-guide listings can be historical. Locality is catalogue metadata, not a surveyed address. Current operation remains unconfirmed.</x:v>
      </x:c>
      <x:c r="AK517" s="117" t="str">
        <x:v>Not independently confirmed</x:v>
      </x:c>
      <x:c r="AL517" s="117" t="str">
        <x:v>Screened sources; accessibility unresolved</x:v>
      </x:c>
      <x:c r="AM517" s="117" t="str">
        <x:v>2026-09-08</x:v>
      </x:c>
      <x:c r="AN517" s="117"/>
      <x:c r="AO517" s="117"/>
      <x:c r="AP517" s="117" t="str">
        <x:v>No usable pair located; image research pending</x:v>
      </x:c>
      <x:c r="AQ517" s="117"/>
    </x:row>
    <x:row r="518" ht="66" customHeight="1">
      <x:c r="A518" s="117" t="str">
        <x:v>MC0515</x:v>
      </x:c>
      <x:c r="B518" s="117" t="str">
        <x:v>Wat Phothikyan</x:v>
      </x:c>
      <x:c r="C518" s="117" t="str">
        <x:v>Kelantan</x:v>
      </x:c>
      <x:c r="D518" s="117" t="str">
        <x:v>Bachok</x:v>
      </x:c>
      <x:c r="E518" s="117" t="str">
        <x:v>Heritage and Visitor Attraction</x:v>
      </x:c>
      <x:c r="F518" s="117" t="str">
        <x:v>Unclassified</x:v>
      </x:c>
      <x:c r="G518" s="117" t="str">
        <x:v>Both</x:v>
      </x:c>
      <x:c r="H518" s="117" t="str">
        <x:v>Heritage and Visitor Attraction; Bachok</x:v>
      </x:c>
      <x:c r="I518" s="117" t="str">
        <x:v>A visitor attraction in Bachok, Kelantan, listed in Tourism Malaysia's state travel guide. Venue operation and the precise accessible route require confirmation.</x:v>
      </x:c>
      <x:c r="J518" s="117" t="str">
        <x:v>https://ebrochures.malaysia.travel/en/malaysia-travel-guide/kelantan/</x:v>
      </x:c>
      <x:c r="K518" s="117" t="str">
        <x:v>https://ebrochures.malaysia.travel/en/malaysia-travel-guide/kelantan/</x:v>
      </x:c>
      <x:c r="L518" s="117" t="str">
        <x:v>Tourism Malaysia listing; operation unconfirmed</x:v>
      </x:c>
      <x:c r="M518" s="117" t="str">
        <x:v>Nationwide expansion 2026-09-08</x:v>
      </x:c>
      <x:c r="N518" s="117"/>
      <x:c r="O518" s="117" t="str">
        <x:v>2026-09-08</x:v>
      </x:c>
      <x:c r="P518" s="117" t="str">
        <x:v>Complete</x:v>
      </x:c>
      <x:c r="Q518" s="117"/>
      <x:c r="R518" s="117" t="str">
        <x:f>IF(J518="","Missing Link",IF(AND(ISNUMBER(SEARCH("google.com/maps",J518)),ISERROR(SEARCH(";",J518))),"Discovery Link Only","Source Link Present"))</x:f>
        <x:v>Source Link Present</x:v>
      </x:c>
      <x:c r="S518" s="117" t="str">
        <x:v>Unknown</x:v>
      </x:c>
      <x:c r="T518" s="117" t="str">
        <x:v>Unknown</x:v>
      </x:c>
      <x:c r="U518" s="117" t="str">
        <x:v>Unknown</x:v>
      </x:c>
      <x:c r="V518" s="117" t="str">
        <x:v>Unknown</x:v>
      </x:c>
      <x:c r="W518" s="117" t="str">
        <x:v>Unknown</x:v>
      </x:c>
      <x:c r="X518" s="117" t="str">
        <x:v>Unknown</x:v>
      </x:c>
      <x:c r="Y518" s="117" t="str">
        <x:v>Unknown</x:v>
      </x:c>
      <x:c r="Z518" s="117"/>
      <x:c r="AA518" s="117" t="str">
        <x:v>Pending evidence</x:v>
      </x:c>
      <x:c r="AB518" s="117"/>
      <x:c r="AC518" s="117" t="str">
        <x:v>No qualifying accessibility conclusion established from the screened sources. This is unknown, not evidence that the attraction is inaccessible.</x:v>
      </x:c>
      <x:c r="AD518" s="117" t="str">
        <x:v>2026-09-08</x:v>
      </x:c>
      <x:c r="AE518" s="117" t="str">
        <x:v>MC0515</x:v>
      </x:c>
      <x:c r="AF518" s="117" t="str">
        <x:v>Distinct candidate</x:v>
      </x:c>
      <x:c r="AG518" s="117" t="str"/>
      <x:c r="AH518" s="117" t="str">
        <x:v>Listed by Tourism Malaysia</x:v>
      </x:c>
      <x:c r="AI518" s="117" t="str">
        <x:v>https://ebrochures.malaysia.travel/en/malaysia-travel-guide/kelantan/</x:v>
      </x:c>
      <x:c r="AJ518" s="117" t="str">
        <x:v>Named visitor attraction in cited source; state-guide listings can be historical. Locality is catalogue metadata, not a surveyed address. Current operation remains unconfirmed.</x:v>
      </x:c>
      <x:c r="AK518" s="117" t="str">
        <x:v>Not independently confirmed</x:v>
      </x:c>
      <x:c r="AL518" s="117" t="str">
        <x:v>Screened sources; accessibility unresolved</x:v>
      </x:c>
      <x:c r="AM518" s="117" t="str">
        <x:v>2026-09-08</x:v>
      </x:c>
      <x:c r="AN518" s="117"/>
      <x:c r="AO518" s="117"/>
      <x:c r="AP518" s="117" t="str">
        <x:v>No usable pair located; image research pending</x:v>
      </x:c>
      <x:c r="AQ518" s="117"/>
    </x:row>
    <x:row r="519" ht="66" customHeight="1">
      <x:c r="A519" s="117" t="str">
        <x:v>MC0516</x:v>
      </x:c>
      <x:c r="B519" s="117" t="str">
        <x:v>Pantai Bisikan Bayu</x:v>
      </x:c>
      <x:c r="C519" s="117" t="str">
        <x:v>Kelantan</x:v>
      </x:c>
      <x:c r="D519" s="117" t="str">
        <x:v>Pasir Puteh</x:v>
      </x:c>
      <x:c r="E519" s="117" t="str">
        <x:v>Beach and Island</x:v>
      </x:c>
      <x:c r="F519" s="117" t="str">
        <x:v>Unclassified</x:v>
      </x:c>
      <x:c r="G519" s="117" t="str">
        <x:v>Outdoor</x:v>
      </x:c>
      <x:c r="H519" s="117" t="str">
        <x:v>Beach and Island; Pasir Puteh</x:v>
      </x:c>
      <x:c r="I519" s="117" t="str">
        <x:v>A visitor attraction in Pasir Puteh, Kelantan, listed in Tourism Malaysia's state travel guide. Venue operation and the precise accessible route require confirmation.</x:v>
      </x:c>
      <x:c r="J519" s="117" t="str">
        <x:v>https://ebrochures.malaysia.travel/en/malaysia-travel-guide/kelantan/</x:v>
      </x:c>
      <x:c r="K519" s="117" t="str">
        <x:v>https://ebrochures.malaysia.travel/en/malaysia-travel-guide/kelantan/</x:v>
      </x:c>
      <x:c r="L519" s="117" t="str">
        <x:v>Tourism Malaysia listing; operation unconfirmed</x:v>
      </x:c>
      <x:c r="M519" s="117" t="str">
        <x:v>Nationwide expansion 2026-09-08</x:v>
      </x:c>
      <x:c r="N519" s="117"/>
      <x:c r="O519" s="117" t="str">
        <x:v>2026-09-08</x:v>
      </x:c>
      <x:c r="P519" s="117" t="str">
        <x:v>Complete</x:v>
      </x:c>
      <x:c r="Q519" s="117"/>
      <x:c r="R519" s="117" t="str">
        <x:f>IF(J519="","Missing Link",IF(AND(ISNUMBER(SEARCH("google.com/maps",J519)),ISERROR(SEARCH(";",J519))),"Discovery Link Only","Source Link Present"))</x:f>
        <x:v>Source Link Present</x:v>
      </x:c>
      <x:c r="S519" s="117" t="str">
        <x:v>Unknown</x:v>
      </x:c>
      <x:c r="T519" s="117" t="str">
        <x:v>Unknown</x:v>
      </x:c>
      <x:c r="U519" s="117" t="str">
        <x:v>Unknown</x:v>
      </x:c>
      <x:c r="V519" s="117" t="str">
        <x:v>Unknown</x:v>
      </x:c>
      <x:c r="W519" s="117" t="str">
        <x:v>Unknown</x:v>
      </x:c>
      <x:c r="X519" s="117" t="str">
        <x:v>Unknown</x:v>
      </x:c>
      <x:c r="Y519" s="117" t="str">
        <x:v>Unknown</x:v>
      </x:c>
      <x:c r="Z519" s="117"/>
      <x:c r="AA519" s="117" t="str">
        <x:v>Pending evidence</x:v>
      </x:c>
      <x:c r="AB519" s="117"/>
      <x:c r="AC519" s="117" t="str">
        <x:v>No qualifying accessibility conclusion established from the screened sources. This is unknown, not evidence that the attraction is inaccessible.</x:v>
      </x:c>
      <x:c r="AD519" s="117" t="str">
        <x:v>2026-09-08</x:v>
      </x:c>
      <x:c r="AE519" s="117" t="str">
        <x:v>MC0516</x:v>
      </x:c>
      <x:c r="AF519" s="117" t="str">
        <x:v>Distinct candidate</x:v>
      </x:c>
      <x:c r="AG519" s="117" t="str"/>
      <x:c r="AH519" s="117" t="str">
        <x:v>Listed by Tourism Malaysia</x:v>
      </x:c>
      <x:c r="AI519" s="117" t="str">
        <x:v>https://ebrochures.malaysia.travel/en/malaysia-travel-guide/kelantan/</x:v>
      </x:c>
      <x:c r="AJ519" s="117" t="str">
        <x:v>Named visitor attraction in cited source; state-guide listings can be historical. Locality is catalogue metadata, not a surveyed address. Current operation remains unconfirmed.</x:v>
      </x:c>
      <x:c r="AK519" s="117" t="str">
        <x:v>Not independently confirmed</x:v>
      </x:c>
      <x:c r="AL519" s="117" t="str">
        <x:v>Screened sources; accessibility unresolved</x:v>
      </x:c>
      <x:c r="AM519" s="117" t="str">
        <x:v>2026-09-08</x:v>
      </x:c>
      <x:c r="AN519" s="117" t="str">
        <x:v>https://thumb.wikimedia.org/wikipedia/commons/thumb/d/d7/Pantai_Bisikan_Bayu_04.jpg/1280px-Pantai_Bisikan_Bayu_04.jpg?utm_source=commons.wikimedia.org&amp;utm_campaign=imageinfo&amp;utm_content=thumbnail</x:v>
      </x:c>
      <x:c r="AO519" s="117" t="str">
        <x:v>https://thumb.wikimedia.org/wikipedia/commons/thumb/a/a8/Pantai_Bisikan_Bayu_09.jpg/1280px-Pantai_Bisikan_Bayu_09.jpg?utm_source=commons.wikimedia.org&amp;utm_campaign=imageinfo&amp;utm_content=thumbnail</x:v>
      </x:c>
      <x:c r="AP519" s="117" t="str">
        <x:v>2 metadata-matched images; visual review pending</x:v>
      </x:c>
      <x:c r="AQ519" s="117"/>
    </x:row>
    <x:row r="520" ht="66" customHeight="1">
      <x:c r="A520" s="117" t="str">
        <x:v>MC0517</x:v>
      </x:c>
      <x:c r="B520" s="117" t="str">
        <x:v>Jeram Pasu Waterfall</x:v>
      </x:c>
      <x:c r="C520" s="117" t="str">
        <x:v>Kelantan</x:v>
      </x:c>
      <x:c r="D520" s="117" t="str">
        <x:v>Pasir Puteh</x:v>
      </x:c>
      <x:c r="E520" s="117" t="str">
        <x:v>Nature</x:v>
      </x:c>
      <x:c r="F520" s="117" t="str">
        <x:v>Unclassified</x:v>
      </x:c>
      <x:c r="G520" s="117" t="str">
        <x:v>Outdoor</x:v>
      </x:c>
      <x:c r="H520" s="117" t="str">
        <x:v>Nature; Pasir Puteh</x:v>
      </x:c>
      <x:c r="I520" s="117" t="str">
        <x:v>A visitor attraction in Pasir Puteh, Kelantan, listed in Tourism Malaysia's state travel guide. Venue operation and the precise accessible route require confirmation.</x:v>
      </x:c>
      <x:c r="J520" s="117" t="str">
        <x:v>https://ebrochures.malaysia.travel/en/malaysia-travel-guide/kelantan/</x:v>
      </x:c>
      <x:c r="K520" s="117" t="str">
        <x:v>https://ebrochures.malaysia.travel/en/malaysia-travel-guide/kelantan/</x:v>
      </x:c>
      <x:c r="L520" s="117" t="str">
        <x:v>Tourism Malaysia listing; operation unconfirmed</x:v>
      </x:c>
      <x:c r="M520" s="117" t="str">
        <x:v>Nationwide expansion 2026-09-08</x:v>
      </x:c>
      <x:c r="N520" s="117"/>
      <x:c r="O520" s="117" t="str">
        <x:v>2026-09-08</x:v>
      </x:c>
      <x:c r="P520" s="117" t="str">
        <x:v>Complete</x:v>
      </x:c>
      <x:c r="Q520" s="117"/>
      <x:c r="R520" s="117" t="str">
        <x:f>IF(J520="","Missing Link",IF(AND(ISNUMBER(SEARCH("google.com/maps",J520)),ISERROR(SEARCH(";",J520))),"Discovery Link Only","Source Link Present"))</x:f>
        <x:v>Source Link Present</x:v>
      </x:c>
      <x:c r="S520" s="117" t="str">
        <x:v>Unknown</x:v>
      </x:c>
      <x:c r="T520" s="117" t="str">
        <x:v>Unknown</x:v>
      </x:c>
      <x:c r="U520" s="117" t="str">
        <x:v>Unknown</x:v>
      </x:c>
      <x:c r="V520" s="117" t="str">
        <x:v>Unknown</x:v>
      </x:c>
      <x:c r="W520" s="117" t="str">
        <x:v>Unknown</x:v>
      </x:c>
      <x:c r="X520" s="117" t="str">
        <x:v>Unknown</x:v>
      </x:c>
      <x:c r="Y520" s="117" t="str">
        <x:v>Unknown</x:v>
      </x:c>
      <x:c r="Z520" s="117"/>
      <x:c r="AA520" s="117" t="str">
        <x:v>Pending evidence</x:v>
      </x:c>
      <x:c r="AB520" s="117"/>
      <x:c r="AC520" s="117" t="str">
        <x:v>No qualifying accessibility conclusion established from the screened sources. This is unknown, not evidence that the attraction is inaccessible.</x:v>
      </x:c>
      <x:c r="AD520" s="117" t="str">
        <x:v>2026-09-08</x:v>
      </x:c>
      <x:c r="AE520" s="117" t="str">
        <x:v>MC0517</x:v>
      </x:c>
      <x:c r="AF520" s="117" t="str">
        <x:v>Distinct candidate</x:v>
      </x:c>
      <x:c r="AG520" s="117" t="str"/>
      <x:c r="AH520" s="117" t="str">
        <x:v>Listed by Tourism Malaysia</x:v>
      </x:c>
      <x:c r="AI520" s="117" t="str">
        <x:v>https://ebrochures.malaysia.travel/en/malaysia-travel-guide/kelantan/</x:v>
      </x:c>
      <x:c r="AJ520" s="117" t="str">
        <x:v>Named visitor attraction in cited source; state-guide listings can be historical. Locality is catalogue metadata, not a surveyed address. Current operation remains unconfirmed.</x:v>
      </x:c>
      <x:c r="AK520" s="117" t="str">
        <x:v>Not independently confirmed</x:v>
      </x:c>
      <x:c r="AL520" s="117" t="str">
        <x:v>Screened sources; accessibility unresolved</x:v>
      </x:c>
      <x:c r="AM520" s="117" t="str">
        <x:v>2026-09-08</x:v>
      </x:c>
      <x:c r="AN520" s="117"/>
      <x:c r="AO520" s="117"/>
      <x:c r="AP520" s="117" t="str">
        <x:v>No usable pair located; image research pending</x:v>
      </x:c>
      <x:c r="AQ520" s="117"/>
    </x:row>
    <x:row r="521" ht="66" customHeight="1">
      <x:c r="A521" s="117" t="str">
        <x:v>MC0518</x:v>
      </x:c>
      <x:c r="B521" s="117" t="str">
        <x:v>Guillemard Bridge</x:v>
      </x:c>
      <x:c r="C521" s="117" t="str">
        <x:v>Kelantan</x:v>
      </x:c>
      <x:c r="D521" s="117" t="str">
        <x:v>Tanah Merah</x:v>
      </x:c>
      <x:c r="E521" s="117" t="str">
        <x:v>Heritage and Visitor Attraction</x:v>
      </x:c>
      <x:c r="F521" s="117" t="str">
        <x:v>Unclassified</x:v>
      </x:c>
      <x:c r="G521" s="117" t="str">
        <x:v>Both</x:v>
      </x:c>
      <x:c r="H521" s="117" t="str">
        <x:v>Heritage and Visitor Attraction; Tanah Merah</x:v>
      </x:c>
      <x:c r="I521" s="117" t="str">
        <x:v>A visitor attraction in Tanah Merah, Kelantan, listed in Tourism Malaysia's state travel guide. Venue operation and the precise accessible route require confirmation.</x:v>
      </x:c>
      <x:c r="J521" s="117" t="str">
        <x:v>https://ebrochures.malaysia.travel/en/malaysia-travel-guide/kelantan/</x:v>
      </x:c>
      <x:c r="K521" s="117" t="str">
        <x:v>https://ebrochures.malaysia.travel/en/malaysia-travel-guide/kelantan/</x:v>
      </x:c>
      <x:c r="L521" s="117" t="str">
        <x:v>Tourism Malaysia listing; operation unconfirmed</x:v>
      </x:c>
      <x:c r="M521" s="117" t="str">
        <x:v>Nationwide expansion 2026-09-08</x:v>
      </x:c>
      <x:c r="N521" s="117"/>
      <x:c r="O521" s="117" t="str">
        <x:v>2026-09-08</x:v>
      </x:c>
      <x:c r="P521" s="117" t="str">
        <x:v>Complete</x:v>
      </x:c>
      <x:c r="Q521" s="117"/>
      <x:c r="R521" s="117" t="str">
        <x:f>IF(J521="","Missing Link",IF(AND(ISNUMBER(SEARCH("google.com/maps",J521)),ISERROR(SEARCH(";",J521))),"Discovery Link Only","Source Link Present"))</x:f>
        <x:v>Source Link Present</x:v>
      </x:c>
      <x:c r="S521" s="117" t="str">
        <x:v>Unknown</x:v>
      </x:c>
      <x:c r="T521" s="117" t="str">
        <x:v>Unknown</x:v>
      </x:c>
      <x:c r="U521" s="117" t="str">
        <x:v>Unknown</x:v>
      </x:c>
      <x:c r="V521" s="117" t="str">
        <x:v>Unknown</x:v>
      </x:c>
      <x:c r="W521" s="117" t="str">
        <x:v>Unknown</x:v>
      </x:c>
      <x:c r="X521" s="117" t="str">
        <x:v>Unknown</x:v>
      </x:c>
      <x:c r="Y521" s="117" t="str">
        <x:v>Unknown</x:v>
      </x:c>
      <x:c r="Z521" s="117"/>
      <x:c r="AA521" s="117" t="str">
        <x:v>Pending evidence</x:v>
      </x:c>
      <x:c r="AB521" s="117"/>
      <x:c r="AC521" s="117" t="str">
        <x:v>No qualifying accessibility conclusion established from the screened sources. This is unknown, not evidence that the attraction is inaccessible.</x:v>
      </x:c>
      <x:c r="AD521" s="117" t="str">
        <x:v>2026-09-08</x:v>
      </x:c>
      <x:c r="AE521" s="117" t="str">
        <x:v>MC0518</x:v>
      </x:c>
      <x:c r="AF521" s="117" t="str">
        <x:v>Distinct candidate</x:v>
      </x:c>
      <x:c r="AG521" s="117" t="str"/>
      <x:c r="AH521" s="117" t="str">
        <x:v>Listed by Tourism Malaysia</x:v>
      </x:c>
      <x:c r="AI521" s="117" t="str">
        <x:v>https://ebrochures.malaysia.travel/en/malaysia-travel-guide/kelantan/</x:v>
      </x:c>
      <x:c r="AJ521" s="117" t="str">
        <x:v>Named visitor attraction in cited source; state-guide listings can be historical. Locality is catalogue metadata, not a surveyed address. Current operation remains unconfirmed.</x:v>
      </x:c>
      <x:c r="AK521" s="117" t="str">
        <x:v>Not independently confirmed</x:v>
      </x:c>
      <x:c r="AL521" s="117" t="str">
        <x:v>Screened sources; accessibility unresolved</x:v>
      </x:c>
      <x:c r="AM521" s="117" t="str">
        <x:v>2026-09-08</x:v>
      </x:c>
      <x:c r="AN521" s="117" t="str">
        <x:v>https://thumb.wikimedia.org/wikipedia/commons/thumb/0/06/Guillemard_Bridge_from_Machang_side.jpg/1280px-Guillemard_Bridge_from_Machang_side.jpg?utm_source=commons.wikimedia.org&amp;utm_campaign=imageinfo&amp;utm_content=thumbnail</x:v>
      </x:c>
      <x:c r="AO521" s="117" t="str">
        <x:v>https://thumb.wikimedia.org/wikipedia/commons/thumb/3/3a/Bridgehead_from_Machang_side.jpg/1280px-Bridgehead_from_Machang_side.jpg?utm_source=commons.wikimedia.org&amp;utm_campaign=imageinfo&amp;utm_content=thumbnail</x:v>
      </x:c>
      <x:c r="AP521" s="117" t="str">
        <x:v>2 metadata-matched images; visual review pending</x:v>
      </x:c>
      <x:c r="AQ521" s="117"/>
    </x:row>
    <x:row r="522" ht="66" customHeight="1">
      <x:c r="A522" s="117" t="str">
        <x:v>MC0519</x:v>
      </x:c>
      <x:c r="B522" s="117" t="str">
        <x:v>Gunung Reng</x:v>
      </x:c>
      <x:c r="C522" s="117" t="str">
        <x:v>Kelantan</x:v>
      </x:c>
      <x:c r="D522" s="117" t="str">
        <x:v>Jeli</x:v>
      </x:c>
      <x:c r="E522" s="117" t="str">
        <x:v>Nature</x:v>
      </x:c>
      <x:c r="F522" s="117" t="str">
        <x:v>Unclassified</x:v>
      </x:c>
      <x:c r="G522" s="117" t="str">
        <x:v>Outdoor</x:v>
      </x:c>
      <x:c r="H522" s="117" t="str">
        <x:v>Nature; Jeli</x:v>
      </x:c>
      <x:c r="I522" s="117" t="str">
        <x:v>A visitor attraction in Jeli, Kelantan, listed in Tourism Malaysia's state travel guide. Venue operation and the precise accessible route require confirmation.</x:v>
      </x:c>
      <x:c r="J522" s="117" t="str">
        <x:v>https://ebrochures.malaysia.travel/en/malaysia-travel-guide/kelantan/</x:v>
      </x:c>
      <x:c r="K522" s="117" t="str">
        <x:v>https://ebrochures.malaysia.travel/en/malaysia-travel-guide/kelantan/</x:v>
      </x:c>
      <x:c r="L522" s="117" t="str">
        <x:v>Tourism Malaysia listing; operation unconfirmed</x:v>
      </x:c>
      <x:c r="M522" s="117" t="str">
        <x:v>Nationwide expansion 2026-09-08</x:v>
      </x:c>
      <x:c r="N522" s="117"/>
      <x:c r="O522" s="117" t="str">
        <x:v>2026-09-08</x:v>
      </x:c>
      <x:c r="P522" s="117" t="str">
        <x:v>Complete</x:v>
      </x:c>
      <x:c r="Q522" s="117"/>
      <x:c r="R522" s="117" t="str">
        <x:f>IF(J522="","Missing Link",IF(AND(ISNUMBER(SEARCH("google.com/maps",J522)),ISERROR(SEARCH(";",J522))),"Discovery Link Only","Source Link Present"))</x:f>
        <x:v>Source Link Present</x:v>
      </x:c>
      <x:c r="S522" s="117" t="str">
        <x:v>Unknown</x:v>
      </x:c>
      <x:c r="T522" s="117" t="str">
        <x:v>Unknown</x:v>
      </x:c>
      <x:c r="U522" s="117" t="str">
        <x:v>Unknown</x:v>
      </x:c>
      <x:c r="V522" s="117" t="str">
        <x:v>Unknown</x:v>
      </x:c>
      <x:c r="W522" s="117" t="str">
        <x:v>Unknown</x:v>
      </x:c>
      <x:c r="X522" s="117" t="str">
        <x:v>Unknown</x:v>
      </x:c>
      <x:c r="Y522" s="117" t="str">
        <x:v>Unknown</x:v>
      </x:c>
      <x:c r="Z522" s="117"/>
      <x:c r="AA522" s="117" t="str">
        <x:v>Pending evidence</x:v>
      </x:c>
      <x:c r="AB522" s="117"/>
      <x:c r="AC522" s="117" t="str">
        <x:v>No qualifying accessibility conclusion established from the screened sources. This is unknown, not evidence that the attraction is inaccessible.</x:v>
      </x:c>
      <x:c r="AD522" s="117" t="str">
        <x:v>2026-09-08</x:v>
      </x:c>
      <x:c r="AE522" s="117" t="str">
        <x:v>MC0519</x:v>
      </x:c>
      <x:c r="AF522" s="117" t="str">
        <x:v>Distinct candidate</x:v>
      </x:c>
      <x:c r="AG522" s="117" t="str"/>
      <x:c r="AH522" s="117" t="str">
        <x:v>Listed by Tourism Malaysia</x:v>
      </x:c>
      <x:c r="AI522" s="117" t="str">
        <x:v>https://ebrochures.malaysia.travel/en/malaysia-travel-guide/kelantan/</x:v>
      </x:c>
      <x:c r="AJ522" s="117" t="str">
        <x:v>Named visitor attraction in cited source; state-guide listings can be historical. Locality is catalogue metadata, not a surveyed address. Current operation remains unconfirmed.</x:v>
      </x:c>
      <x:c r="AK522" s="117" t="str">
        <x:v>Not independently confirmed</x:v>
      </x:c>
      <x:c r="AL522" s="117" t="str">
        <x:v>Screened sources; accessibility unresolved</x:v>
      </x:c>
      <x:c r="AM522" s="117" t="str">
        <x:v>2026-09-08</x:v>
      </x:c>
      <x:c r="AN522" s="117" t="str">
        <x:v>https://upload.wikimedia.org/wikipedia/commons/b/b8/Gunung_Reng%2C_Batu_Melintang.jpg?utm_source=commons.wikimedia.org&amp;utm_campaign=imageinfo&amp;utm_content=thumbnail_unscaled</x:v>
      </x:c>
      <x:c r="AO522" s="117" t="str">
        <x:v>https://upload.wikimedia.org/wikipedia/commons/2/21/Gunung_Reng_Ecopark.jpg?utm_source=commons.wikimedia.org&amp;utm_campaign=imageinfo&amp;utm_content=thumbnail_unscaled</x:v>
      </x:c>
      <x:c r="AP522" s="117" t="str">
        <x:v>2 metadata-matched images; visual review pending</x:v>
      </x:c>
      <x:c r="AQ522" s="117"/>
    </x:row>
    <x:row r="523" ht="66" customHeight="1">
      <x:c r="A523" s="117" t="str">
        <x:v>MC0520</x:v>
      </x:c>
      <x:c r="B523" s="117" t="str">
        <x:v>Tok Bok Hot Spring</x:v>
      </x:c>
      <x:c r="C523" s="117" t="str">
        <x:v>Kelantan</x:v>
      </x:c>
      <x:c r="D523" s="117" t="str">
        <x:v>Machang</x:v>
      </x:c>
      <x:c r="E523" s="117" t="str">
        <x:v>Nature</x:v>
      </x:c>
      <x:c r="F523" s="117" t="str">
        <x:v>Unclassified</x:v>
      </x:c>
      <x:c r="G523" s="117" t="str">
        <x:v>Outdoor</x:v>
      </x:c>
      <x:c r="H523" s="117" t="str">
        <x:v>Nature; Machang</x:v>
      </x:c>
      <x:c r="I523" s="117" t="str">
        <x:v>A visitor attraction in Machang, Kelantan, listed in Tourism Malaysia's state travel guide. Venue operation and the precise accessible route require confirmation.</x:v>
      </x:c>
      <x:c r="J523" s="117" t="str">
        <x:v>https://ebrochures.malaysia.travel/en/malaysia-travel-guide/kelantan/</x:v>
      </x:c>
      <x:c r="K523" s="117" t="str">
        <x:v>https://ebrochures.malaysia.travel/en/malaysia-travel-guide/kelantan/</x:v>
      </x:c>
      <x:c r="L523" s="117" t="str">
        <x:v>Tourism Malaysia listing; operation unconfirmed</x:v>
      </x:c>
      <x:c r="M523" s="117" t="str">
        <x:v>Nationwide expansion 2026-09-08</x:v>
      </x:c>
      <x:c r="N523" s="117"/>
      <x:c r="O523" s="117" t="str">
        <x:v>2026-09-08</x:v>
      </x:c>
      <x:c r="P523" s="117" t="str">
        <x:v>Complete</x:v>
      </x:c>
      <x:c r="Q523" s="117"/>
      <x:c r="R523" s="117" t="str">
        <x:f>IF(J523="","Missing Link",IF(AND(ISNUMBER(SEARCH("google.com/maps",J523)),ISERROR(SEARCH(";",J523))),"Discovery Link Only","Source Link Present"))</x:f>
        <x:v>Source Link Present</x:v>
      </x:c>
      <x:c r="S523" s="117" t="str">
        <x:v>Unknown</x:v>
      </x:c>
      <x:c r="T523" s="117" t="str">
        <x:v>Unknown</x:v>
      </x:c>
      <x:c r="U523" s="117" t="str">
        <x:v>Unknown</x:v>
      </x:c>
      <x:c r="V523" s="117" t="str">
        <x:v>Unknown</x:v>
      </x:c>
      <x:c r="W523" s="117" t="str">
        <x:v>Unknown</x:v>
      </x:c>
      <x:c r="X523" s="117" t="str">
        <x:v>Unknown</x:v>
      </x:c>
      <x:c r="Y523" s="117" t="str">
        <x:v>Unknown</x:v>
      </x:c>
      <x:c r="Z523" s="117"/>
      <x:c r="AA523" s="117" t="str">
        <x:v>Pending evidence</x:v>
      </x:c>
      <x:c r="AB523" s="117"/>
      <x:c r="AC523" s="117" t="str">
        <x:v>No qualifying accessibility conclusion established from the screened sources. This is unknown, not evidence that the attraction is inaccessible.</x:v>
      </x:c>
      <x:c r="AD523" s="117" t="str">
        <x:v>2026-09-08</x:v>
      </x:c>
      <x:c r="AE523" s="117" t="str">
        <x:v>MC0520</x:v>
      </x:c>
      <x:c r="AF523" s="117" t="str">
        <x:v>Distinct candidate</x:v>
      </x:c>
      <x:c r="AG523" s="117" t="str"/>
      <x:c r="AH523" s="117" t="str">
        <x:v>Listed by Tourism Malaysia</x:v>
      </x:c>
      <x:c r="AI523" s="117" t="str">
        <x:v>https://ebrochures.malaysia.travel/en/malaysia-travel-guide/kelantan/</x:v>
      </x:c>
      <x:c r="AJ523" s="117" t="str">
        <x:v>Named visitor attraction in cited source; state-guide listings can be historical. Locality is catalogue metadata, not a surveyed address. Current operation remains unconfirmed.</x:v>
      </x:c>
      <x:c r="AK523" s="117" t="str">
        <x:v>Not independently confirmed</x:v>
      </x:c>
      <x:c r="AL523" s="117" t="str">
        <x:v>Screened sources; accessibility unresolved</x:v>
      </x:c>
      <x:c r="AM523" s="117" t="str">
        <x:v>2026-09-08</x:v>
      </x:c>
      <x:c r="AN523" s="117"/>
      <x:c r="AO523" s="117"/>
      <x:c r="AP523" s="117" t="str">
        <x:v>No usable pair located; image research pending</x:v>
      </x:c>
      <x:c r="AQ523" s="117"/>
    </x:row>
    <x:row r="524" ht="66" customHeight="1">
      <x:c r="A524" s="117" t="str">
        <x:v>MC0521</x:v>
      </x:c>
      <x:c r="B524" s="117" t="str">
        <x:v>Bukit Bakar Waterfall</x:v>
      </x:c>
      <x:c r="C524" s="117" t="str">
        <x:v>Kelantan</x:v>
      </x:c>
      <x:c r="D524" s="117" t="str">
        <x:v>Machang</x:v>
      </x:c>
      <x:c r="E524" s="117" t="str">
        <x:v>Nature</x:v>
      </x:c>
      <x:c r="F524" s="117" t="str">
        <x:v>Unclassified</x:v>
      </x:c>
      <x:c r="G524" s="117" t="str">
        <x:v>Outdoor</x:v>
      </x:c>
      <x:c r="H524" s="117" t="str">
        <x:v>Nature; Machang</x:v>
      </x:c>
      <x:c r="I524" s="117" t="str">
        <x:v>A visitor attraction in Machang, Kelantan, listed in Tourism Malaysia's state travel guide. Venue operation and the precise accessible route require confirmation.</x:v>
      </x:c>
      <x:c r="J524" s="117" t="str">
        <x:v>https://ebrochures.malaysia.travel/en/malaysia-travel-guide/kelantan/</x:v>
      </x:c>
      <x:c r="K524" s="117" t="str">
        <x:v>https://ebrochures.malaysia.travel/en/malaysia-travel-guide/kelantan/</x:v>
      </x:c>
      <x:c r="L524" s="117" t="str">
        <x:v>Tourism Malaysia listing; operation unconfirmed</x:v>
      </x:c>
      <x:c r="M524" s="117" t="str">
        <x:v>Nationwide expansion 2026-09-08</x:v>
      </x:c>
      <x:c r="N524" s="117"/>
      <x:c r="O524" s="117" t="str">
        <x:v>2026-09-08</x:v>
      </x:c>
      <x:c r="P524" s="117" t="str">
        <x:v>Complete</x:v>
      </x:c>
      <x:c r="Q524" s="117"/>
      <x:c r="R524" s="117" t="str">
        <x:f>IF(J524="","Missing Link",IF(AND(ISNUMBER(SEARCH("google.com/maps",J524)),ISERROR(SEARCH(";",J524))),"Discovery Link Only","Source Link Present"))</x:f>
        <x:v>Source Link Present</x:v>
      </x:c>
      <x:c r="S524" s="117" t="str">
        <x:v>Unknown</x:v>
      </x:c>
      <x:c r="T524" s="117" t="str">
        <x:v>Unknown</x:v>
      </x:c>
      <x:c r="U524" s="117" t="str">
        <x:v>Unknown</x:v>
      </x:c>
      <x:c r="V524" s="117" t="str">
        <x:v>Unknown</x:v>
      </x:c>
      <x:c r="W524" s="117" t="str">
        <x:v>Unknown</x:v>
      </x:c>
      <x:c r="X524" s="117" t="str">
        <x:v>Unknown</x:v>
      </x:c>
      <x:c r="Y524" s="117" t="str">
        <x:v>Unknown</x:v>
      </x:c>
      <x:c r="Z524" s="117"/>
      <x:c r="AA524" s="117" t="str">
        <x:v>Pending evidence</x:v>
      </x:c>
      <x:c r="AB524" s="117"/>
      <x:c r="AC524" s="117" t="str">
        <x:v>No qualifying accessibility conclusion established from the screened sources. This is unknown, not evidence that the attraction is inaccessible.</x:v>
      </x:c>
      <x:c r="AD524" s="117" t="str">
        <x:v>2026-09-08</x:v>
      </x:c>
      <x:c r="AE524" s="117" t="str">
        <x:v>MC0521</x:v>
      </x:c>
      <x:c r="AF524" s="117" t="str">
        <x:v>Distinct candidate</x:v>
      </x:c>
      <x:c r="AG524" s="117" t="str"/>
      <x:c r="AH524" s="117" t="str">
        <x:v>Listed by Tourism Malaysia</x:v>
      </x:c>
      <x:c r="AI524" s="117" t="str">
        <x:v>https://ebrochures.malaysia.travel/en/malaysia-travel-guide/kelantan/</x:v>
      </x:c>
      <x:c r="AJ524" s="117" t="str">
        <x:v>Named visitor attraction in cited source; state-guide listings can be historical. Locality is catalogue metadata, not a surveyed address. Current operation remains unconfirmed.</x:v>
      </x:c>
      <x:c r="AK524" s="117" t="str">
        <x:v>Not independently confirmed</x:v>
      </x:c>
      <x:c r="AL524" s="117" t="str">
        <x:v>Screened sources; accessibility unresolved</x:v>
      </x:c>
      <x:c r="AM524" s="117" t="str">
        <x:v>2026-09-08</x:v>
      </x:c>
      <x:c r="AN524" s="117"/>
      <x:c r="AO524" s="117"/>
      <x:c r="AP524" s="117" t="str">
        <x:v>No usable pair located; image research pending</x:v>
      </x:c>
      <x:c r="AQ524" s="117"/>
    </x:row>
    <x:row r="525" ht="66" customHeight="1">
      <x:c r="A525" s="117" t="str">
        <x:v>MC0522</x:v>
      </x:c>
      <x:c r="B525" s="117" t="str">
        <x:v>Gua Cha</x:v>
      </x:c>
      <x:c r="C525" s="117" t="str">
        <x:v>Kelantan</x:v>
      </x:c>
      <x:c r="D525" s="117" t="str">
        <x:v>Gua Musang</x:v>
      </x:c>
      <x:c r="E525" s="117" t="str">
        <x:v>Nature</x:v>
      </x:c>
      <x:c r="F525" s="117" t="str">
        <x:v>Unclassified</x:v>
      </x:c>
      <x:c r="G525" s="117" t="str">
        <x:v>Outdoor</x:v>
      </x:c>
      <x:c r="H525" s="117" t="str">
        <x:v>Nature; Gua Musang</x:v>
      </x:c>
      <x:c r="I525" s="117" t="str">
        <x:v>A visitor attraction in Gua Musang, Kelantan, listed in Tourism Malaysia's state travel guide. Venue operation and the precise accessible route require confirmation.</x:v>
      </x:c>
      <x:c r="J525" s="117" t="str">
        <x:v>https://ebrochures.malaysia.travel/en/malaysia-travel-guide/kelantan/</x:v>
      </x:c>
      <x:c r="K525" s="117" t="str">
        <x:v>https://ebrochures.malaysia.travel/en/malaysia-travel-guide/kelantan/</x:v>
      </x:c>
      <x:c r="L525" s="117" t="str">
        <x:v>Tourism Malaysia listing; operation unconfirmed</x:v>
      </x:c>
      <x:c r="M525" s="117" t="str">
        <x:v>Nationwide expansion 2026-09-08</x:v>
      </x:c>
      <x:c r="N525" s="117"/>
      <x:c r="O525" s="117" t="str">
        <x:v>2026-09-08</x:v>
      </x:c>
      <x:c r="P525" s="117" t="str">
        <x:v>Complete</x:v>
      </x:c>
      <x:c r="Q525" s="117"/>
      <x:c r="R525" s="117" t="str">
        <x:f>IF(J525="","Missing Link",IF(AND(ISNUMBER(SEARCH("google.com/maps",J525)),ISERROR(SEARCH(";",J525))),"Discovery Link Only","Source Link Present"))</x:f>
        <x:v>Source Link Present</x:v>
      </x:c>
      <x:c r="S525" s="117" t="str">
        <x:v>Unknown</x:v>
      </x:c>
      <x:c r="T525" s="117" t="str">
        <x:v>Unknown</x:v>
      </x:c>
      <x:c r="U525" s="117" t="str">
        <x:v>Unknown</x:v>
      </x:c>
      <x:c r="V525" s="117" t="str">
        <x:v>Unknown</x:v>
      </x:c>
      <x:c r="W525" s="117" t="str">
        <x:v>Unknown</x:v>
      </x:c>
      <x:c r="X525" s="117" t="str">
        <x:v>Unknown</x:v>
      </x:c>
      <x:c r="Y525" s="117" t="str">
        <x:v>Unknown</x:v>
      </x:c>
      <x:c r="Z525" s="117"/>
      <x:c r="AA525" s="117" t="str">
        <x:v>Pending evidence</x:v>
      </x:c>
      <x:c r="AB525" s="117"/>
      <x:c r="AC525" s="117" t="str">
        <x:v>No qualifying accessibility conclusion established from the screened sources. This is unknown, not evidence that the attraction is inaccessible.</x:v>
      </x:c>
      <x:c r="AD525" s="117" t="str">
        <x:v>2026-09-08</x:v>
      </x:c>
      <x:c r="AE525" s="117" t="str">
        <x:v>MC0522</x:v>
      </x:c>
      <x:c r="AF525" s="117" t="str">
        <x:v>Distinct candidate</x:v>
      </x:c>
      <x:c r="AG525" s="117" t="str"/>
      <x:c r="AH525" s="117" t="str">
        <x:v>Listed by Tourism Malaysia</x:v>
      </x:c>
      <x:c r="AI525" s="117" t="str">
        <x:v>https://ebrochures.malaysia.travel/en/malaysia-travel-guide/kelantan/</x:v>
      </x:c>
      <x:c r="AJ525" s="117" t="str">
        <x:v>Named visitor attraction in cited source; state-guide listings can be historical. Locality is catalogue metadata, not a surveyed address. Current operation remains unconfirmed.</x:v>
      </x:c>
      <x:c r="AK525" s="117" t="str">
        <x:v>Not independently confirmed</x:v>
      </x:c>
      <x:c r="AL525" s="117" t="str">
        <x:v>Screened sources; accessibility unresolved</x:v>
      </x:c>
      <x:c r="AM525" s="117" t="str">
        <x:v>2026-09-08</x:v>
      </x:c>
      <x:c r="AN525" s="117" t="str">
        <x:v>https://thumb.wikimedia.org/wikipedia/commons/thumb/c/c6/Skeleton_of_an_infant_from_Gua_Cha%2C_Kelantan_at_Muzium_Negara_%28DSCF0852%29.jpg/1280px-Skeleton_of_an_infant_from_Gua_Cha%2C_Kelantan_at_Muzium_Negara_%28DSCF0852%29.jpg?utm_source=commons.wikimedia.org&amp;utm_campaign=imageinfo&amp;utm_content=thumbnail</x:v>
      </x:c>
      <x:c r="AO525" s="117" t="str">
        <x:v>https://thumb.wikimedia.org/wikipedia/commons/thumb/2/26/Nauclea_subdita_Steud._nmnhbotany_13715134_NMNH-02370647.jpg/1280px-Nauclea_subdita_Steud._nmnhbotany_13715134_NMNH-02370647.jpg?utm_source=commons.wikimedia.org&amp;utm_campaign=imageinfo&amp;utm_content=thumbnail</x:v>
      </x:c>
      <x:c r="AP525" s="117" t="str">
        <x:v>2 metadata-matched images; visual review pending</x:v>
      </x:c>
      <x:c r="AQ525" s="117"/>
    </x:row>
    <x:row r="526" ht="66" customHeight="1">
      <x:c r="A526" s="117" t="str">
        <x:v>MC0523</x:v>
      </x:c>
      <x:c r="B526" s="117" t="str">
        <x:v>Gunung Rabong</x:v>
      </x:c>
      <x:c r="C526" s="117" t="str">
        <x:v>Kelantan</x:v>
      </x:c>
      <x:c r="D526" s="117" t="str">
        <x:v>Gua Musang</x:v>
      </x:c>
      <x:c r="E526" s="117" t="str">
        <x:v>Nature</x:v>
      </x:c>
      <x:c r="F526" s="117" t="str">
        <x:v>Unclassified</x:v>
      </x:c>
      <x:c r="G526" s="117" t="str">
        <x:v>Outdoor</x:v>
      </x:c>
      <x:c r="H526" s="117" t="str">
        <x:v>Nature; Gua Musang</x:v>
      </x:c>
      <x:c r="I526" s="117" t="str">
        <x:v>A visitor attraction in Gua Musang, Kelantan, listed in Tourism Malaysia's state travel guide. Venue operation and the precise accessible route require confirmation.</x:v>
      </x:c>
      <x:c r="J526" s="117" t="str">
        <x:v>https://ebrochures.malaysia.travel/en/malaysia-travel-guide/kelantan/</x:v>
      </x:c>
      <x:c r="K526" s="117" t="str">
        <x:v>https://ebrochures.malaysia.travel/en/malaysia-travel-guide/kelantan/</x:v>
      </x:c>
      <x:c r="L526" s="117" t="str">
        <x:v>Tourism Malaysia listing; operation unconfirmed</x:v>
      </x:c>
      <x:c r="M526" s="117" t="str">
        <x:v>Nationwide expansion 2026-09-08</x:v>
      </x:c>
      <x:c r="N526" s="117"/>
      <x:c r="O526" s="117" t="str">
        <x:v>2026-09-08</x:v>
      </x:c>
      <x:c r="P526" s="117" t="str">
        <x:v>Complete</x:v>
      </x:c>
      <x:c r="Q526" s="117"/>
      <x:c r="R526" s="117" t="str">
        <x:f>IF(J526="","Missing Link",IF(AND(ISNUMBER(SEARCH("google.com/maps",J526)),ISERROR(SEARCH(";",J526))),"Discovery Link Only","Source Link Present"))</x:f>
        <x:v>Source Link Present</x:v>
      </x:c>
      <x:c r="S526" s="117" t="str">
        <x:v>Unknown</x:v>
      </x:c>
      <x:c r="T526" s="117" t="str">
        <x:v>Unknown</x:v>
      </x:c>
      <x:c r="U526" s="117" t="str">
        <x:v>Unknown</x:v>
      </x:c>
      <x:c r="V526" s="117" t="str">
        <x:v>Unknown</x:v>
      </x:c>
      <x:c r="W526" s="117" t="str">
        <x:v>Unknown</x:v>
      </x:c>
      <x:c r="X526" s="117" t="str">
        <x:v>Unknown</x:v>
      </x:c>
      <x:c r="Y526" s="117" t="str">
        <x:v>Unknown</x:v>
      </x:c>
      <x:c r="Z526" s="117"/>
      <x:c r="AA526" s="117" t="str">
        <x:v>Pending evidence</x:v>
      </x:c>
      <x:c r="AB526" s="117"/>
      <x:c r="AC526" s="117" t="str">
        <x:v>No qualifying accessibility conclusion established from the screened sources. This is unknown, not evidence that the attraction is inaccessible.</x:v>
      </x:c>
      <x:c r="AD526" s="117" t="str">
        <x:v>2026-09-08</x:v>
      </x:c>
      <x:c r="AE526" s="117" t="str">
        <x:v>MC0523</x:v>
      </x:c>
      <x:c r="AF526" s="117" t="str">
        <x:v>Distinct candidate</x:v>
      </x:c>
      <x:c r="AG526" s="117" t="str"/>
      <x:c r="AH526" s="117" t="str">
        <x:v>Listed by Tourism Malaysia</x:v>
      </x:c>
      <x:c r="AI526" s="117" t="str">
        <x:v>https://ebrochures.malaysia.travel/en/malaysia-travel-guide/kelantan/</x:v>
      </x:c>
      <x:c r="AJ526" s="117" t="str">
        <x:v>Named visitor attraction in cited source; state-guide listings can be historical. Locality is catalogue metadata, not a surveyed address. Current operation remains unconfirmed.</x:v>
      </x:c>
      <x:c r="AK526" s="117" t="str">
        <x:v>Not independently confirmed</x:v>
      </x:c>
      <x:c r="AL526" s="117" t="str">
        <x:v>Screened sources; accessibility unresolved</x:v>
      </x:c>
      <x:c r="AM526" s="117" t="str">
        <x:v>2026-09-08</x:v>
      </x:c>
      <x:c r="AN526" s="117" t="str">
        <x:v>https://thumb.wikimedia.org/wikipedia/commons/thumb/1/14/Daphniphyllum_glaucescens_Blume_nmnhbotany_11590878_NMNH-01282984.jpg/1280px-Daphniphyllum_glaucescens_Blume_nmnhbotany_11590878_NMNH-01282984.jpg?utm_source=commons.wikimedia.org&amp;utm_campaign=imageinfo&amp;utm_content=thumbnail</x:v>
      </x:c>
      <x:c r="AO526" s="117"/>
      <x:c r="AP526" s="117" t="str">
        <x:v>1 metadata-matched images; visual review pending</x:v>
      </x:c>
      <x:c r="AQ526" s="117"/>
    </x:row>
    <x:row r="527" ht="66" customHeight="1">
      <x:c r="A527" s="117" t="str">
        <x:v>MC0524</x:v>
      </x:c>
      <x:c r="B527" s="117" t="str">
        <x:v>Lojing Highlands</x:v>
      </x:c>
      <x:c r="C527" s="117" t="str">
        <x:v>Kelantan</x:v>
      </x:c>
      <x:c r="D527" s="117" t="str">
        <x:v>Gua Musang</x:v>
      </x:c>
      <x:c r="E527" s="117" t="str">
        <x:v>Heritage and Visitor Attraction</x:v>
      </x:c>
      <x:c r="F527" s="117" t="str">
        <x:v>Unclassified</x:v>
      </x:c>
      <x:c r="G527" s="117" t="str">
        <x:v>Both</x:v>
      </x:c>
      <x:c r="H527" s="117" t="str">
        <x:v>Heritage and Visitor Attraction; Gua Musang</x:v>
      </x:c>
      <x:c r="I527" s="117" t="str">
        <x:v>A visitor attraction in Gua Musang, Kelantan, listed in Tourism Malaysia's state travel guide. Venue operation and the precise accessible route require confirmation.</x:v>
      </x:c>
      <x:c r="J527" s="117" t="str">
        <x:v>https://ebrochures.malaysia.travel/en/malaysia-travel-guide/kelantan/</x:v>
      </x:c>
      <x:c r="K527" s="117" t="str">
        <x:v>https://ebrochures.malaysia.travel/en/malaysia-travel-guide/kelantan/</x:v>
      </x:c>
      <x:c r="L527" s="117" t="str">
        <x:v>Tourism Malaysia listing; operation unconfirmed</x:v>
      </x:c>
      <x:c r="M527" s="117" t="str">
        <x:v>Nationwide expansion 2026-09-08</x:v>
      </x:c>
      <x:c r="N527" s="117"/>
      <x:c r="O527" s="117" t="str">
        <x:v>2026-09-08</x:v>
      </x:c>
      <x:c r="P527" s="117" t="str">
        <x:v>Complete</x:v>
      </x:c>
      <x:c r="Q527" s="117"/>
      <x:c r="R527" s="117" t="str">
        <x:f>IF(J527="","Missing Link",IF(AND(ISNUMBER(SEARCH("google.com/maps",J527)),ISERROR(SEARCH(";",J527))),"Discovery Link Only","Source Link Present"))</x:f>
        <x:v>Source Link Present</x:v>
      </x:c>
      <x:c r="S527" s="117" t="str">
        <x:v>Unknown</x:v>
      </x:c>
      <x:c r="T527" s="117" t="str">
        <x:v>Unknown</x:v>
      </x:c>
      <x:c r="U527" s="117" t="str">
        <x:v>Unknown</x:v>
      </x:c>
      <x:c r="V527" s="117" t="str">
        <x:v>Unknown</x:v>
      </x:c>
      <x:c r="W527" s="117" t="str">
        <x:v>Unknown</x:v>
      </x:c>
      <x:c r="X527" s="117" t="str">
        <x:v>Unknown</x:v>
      </x:c>
      <x:c r="Y527" s="117" t="str">
        <x:v>Unknown</x:v>
      </x:c>
      <x:c r="Z527" s="117"/>
      <x:c r="AA527" s="117" t="str">
        <x:v>Pending evidence</x:v>
      </x:c>
      <x:c r="AB527" s="117"/>
      <x:c r="AC527" s="117" t="str">
        <x:v>No qualifying accessibility conclusion established from the screened sources. This is unknown, not evidence that the attraction is inaccessible.</x:v>
      </x:c>
      <x:c r="AD527" s="117" t="str">
        <x:v>2026-09-08</x:v>
      </x:c>
      <x:c r="AE527" s="117" t="str">
        <x:v>MC0524</x:v>
      </x:c>
      <x:c r="AF527" s="117" t="str">
        <x:v>Distinct candidate</x:v>
      </x:c>
      <x:c r="AG527" s="117" t="str"/>
      <x:c r="AH527" s="117" t="str">
        <x:v>Listed by Tourism Malaysia</x:v>
      </x:c>
      <x:c r="AI527" s="117" t="str">
        <x:v>https://ebrochures.malaysia.travel/en/malaysia-travel-guide/kelantan/</x:v>
      </x:c>
      <x:c r="AJ527" s="117" t="str">
        <x:v>Named visitor attraction in cited source; state-guide listings can be historical. Locality is catalogue metadata, not a surveyed address. Current operation remains unconfirmed.</x:v>
      </x:c>
      <x:c r="AK527" s="117" t="str">
        <x:v>Not independently confirmed</x:v>
      </x:c>
      <x:c r="AL527" s="117" t="str">
        <x:v>Screened sources; accessibility unresolved</x:v>
      </x:c>
      <x:c r="AM527" s="117" t="str">
        <x:v>2026-09-08</x:v>
      </x:c>
      <x:c r="AN527" s="117" t="str">
        <x:v>https://thumb.wikimedia.org/wikipedia/commons/thumb/0/06/Lojing_3.jpg/1280px-Lojing_3.jpg?utm_source=commons.wikimedia.org&amp;utm_campaign=imageinfo&amp;utm_content=thumbnail</x:v>
      </x:c>
      <x:c r="AO527" s="117" t="str">
        <x:v>https://thumb.wikimedia.org/wikipedia/commons/thumb/e/e3/Lojing_4.jpg/1280px-Lojing_4.jpg?utm_source=commons.wikimedia.org&amp;utm_campaign=imageinfo&amp;utm_content=thumbnail</x:v>
      </x:c>
      <x:c r="AP527" s="117" t="str">
        <x:v>2 metadata-matched images; visual review pending</x:v>
      </x:c>
      <x:c r="AQ527" s="117"/>
    </x:row>
    <x:row r="528" ht="66" customHeight="1">
      <x:c r="A528" s="117" t="str">
        <x:v>MC0525</x:v>
      </x:c>
      <x:c r="B528" s="117" t="str">
        <x:v>Beijing Mosque</x:v>
      </x:c>
      <x:c r="C528" s="117" t="str">
        <x:v>Kelantan</x:v>
      </x:c>
      <x:c r="D528" s="117" t="str">
        <x:v>Pasir Mas</x:v>
      </x:c>
      <x:c r="E528" s="117" t="str">
        <x:v>Religious Site</x:v>
      </x:c>
      <x:c r="F528" s="117" t="str">
        <x:v>Unclassified</x:v>
      </x:c>
      <x:c r="G528" s="117" t="str">
        <x:v>Both</x:v>
      </x:c>
      <x:c r="H528" s="117" t="str">
        <x:v>Religious Site; Pasir Mas</x:v>
      </x:c>
      <x:c r="I528" s="117" t="str">
        <x:v>A visitor attraction in Pasir Mas, Kelantan, listed in Tourism Malaysia's state travel guide. Venue operation and the precise accessible route require confirmation.</x:v>
      </x:c>
      <x:c r="J528" s="117" t="str">
        <x:v>https://ebrochures.malaysia.travel/en/malaysia-travel-guide/kelantan/</x:v>
      </x:c>
      <x:c r="K528" s="117" t="str">
        <x:v>https://ebrochures.malaysia.travel/en/malaysia-travel-guide/kelantan/</x:v>
      </x:c>
      <x:c r="L528" s="117" t="str">
        <x:v>Tourism Malaysia listing; operation unconfirmed</x:v>
      </x:c>
      <x:c r="M528" s="117" t="str">
        <x:v>Nationwide expansion 2026-09-08</x:v>
      </x:c>
      <x:c r="N528" s="117"/>
      <x:c r="O528" s="117" t="str">
        <x:v>2026-09-08</x:v>
      </x:c>
      <x:c r="P528" s="117" t="str">
        <x:v>Complete</x:v>
      </x:c>
      <x:c r="Q528" s="117"/>
      <x:c r="R528" s="117" t="str">
        <x:f>IF(J528="","Missing Link",IF(AND(ISNUMBER(SEARCH("google.com/maps",J528)),ISERROR(SEARCH(";",J528))),"Discovery Link Only","Source Link Present"))</x:f>
        <x:v>Source Link Present</x:v>
      </x:c>
      <x:c r="S528" s="117" t="str">
        <x:v>Unknown</x:v>
      </x:c>
      <x:c r="T528" s="117" t="str">
        <x:v>Unknown</x:v>
      </x:c>
      <x:c r="U528" s="117" t="str">
        <x:v>Unknown</x:v>
      </x:c>
      <x:c r="V528" s="117" t="str">
        <x:v>Unknown</x:v>
      </x:c>
      <x:c r="W528" s="117" t="str">
        <x:v>Unknown</x:v>
      </x:c>
      <x:c r="X528" s="117" t="str">
        <x:v>Unknown</x:v>
      </x:c>
      <x:c r="Y528" s="117" t="str">
        <x:v>Unknown</x:v>
      </x:c>
      <x:c r="Z528" s="117"/>
      <x:c r="AA528" s="117" t="str">
        <x:v>Pending evidence</x:v>
      </x:c>
      <x:c r="AB528" s="117"/>
      <x:c r="AC528" s="117" t="str">
        <x:v>No qualifying accessibility conclusion established from the screened sources. This is unknown, not evidence that the attraction is inaccessible.</x:v>
      </x:c>
      <x:c r="AD528" s="117" t="str">
        <x:v>2026-09-08</x:v>
      </x:c>
      <x:c r="AE528" s="117" t="str">
        <x:v>MC0525</x:v>
      </x:c>
      <x:c r="AF528" s="117" t="str">
        <x:v>Distinct candidate</x:v>
      </x:c>
      <x:c r="AG528" s="117" t="str"/>
      <x:c r="AH528" s="117" t="str">
        <x:v>Listed by Tourism Malaysia</x:v>
      </x:c>
      <x:c r="AI528" s="117" t="str">
        <x:v>https://ebrochures.malaysia.travel/en/malaysia-travel-guide/kelantan/</x:v>
      </x:c>
      <x:c r="AJ528" s="117" t="str">
        <x:v>Named visitor attraction in cited source; state-guide listings can be historical. Locality is catalogue metadata, not a surveyed address. Current operation remains unconfirmed.</x:v>
      </x:c>
      <x:c r="AK528" s="117" t="str">
        <x:v>Not independently confirmed</x:v>
      </x:c>
      <x:c r="AL528" s="117" t="str">
        <x:v>Screened sources; accessibility unresolved</x:v>
      </x:c>
      <x:c r="AM528" s="117" t="str">
        <x:v>2026-09-08</x:v>
      </x:c>
      <x:c r="AN528" s="117"/>
      <x:c r="AO528" s="117"/>
      <x:c r="AP528" s="117" t="str">
        <x:v>No usable pair located; image research pending</x:v>
      </x:c>
      <x:c r="AQ528" s="117"/>
    </x:row>
    <x:row r="529" ht="66" customHeight="1">
      <x:c r="A529" s="117" t="str">
        <x:v>MC0526</x:v>
      </x:c>
      <x:c r="B529" s="117" t="str">
        <x:v>Encore Melaka</x:v>
      </x:c>
      <x:c r="C529" s="117" t="str">
        <x:v>Melaka</x:v>
      </x:c>
      <x:c r="D529" s="117" t="str">
        <x:v>Melaka City</x:v>
      </x:c>
      <x:c r="E529" s="117" t="str">
        <x:v>Performance and Culture</x:v>
      </x:c>
      <x:c r="F529" s="117" t="str">
        <x:v>Unclassified</x:v>
      </x:c>
      <x:c r="G529" s="117" t="str">
        <x:v>Indoor</x:v>
      </x:c>
      <x:c r="H529" s="117" t="str">
        <x:v>Performance and Culture; Melaka City</x:v>
      </x:c>
      <x:c r="I529" s="117" t="str">
        <x:v>A visitor attraction in Melaka City, Melaka, listed in Tourism Malaysia's state travel guide. Venue operation and the precise accessible route require confirmation.</x:v>
      </x:c>
      <x:c r="J529" s="117" t="str">
        <x:v>https://ebrochures.malaysia.travel/en/malaysia-travel-guide/melaka/</x:v>
      </x:c>
      <x:c r="K529" s="117" t="str">
        <x:v>https://ebrochures.malaysia.travel/en/malaysia-travel-guide/melaka/</x:v>
      </x:c>
      <x:c r="L529" s="117" t="str">
        <x:v>Tourism Malaysia listing; operation unconfirmed</x:v>
      </x:c>
      <x:c r="M529" s="117" t="str">
        <x:v>Nationwide expansion 2026-09-08</x:v>
      </x:c>
      <x:c r="N529" s="117"/>
      <x:c r="O529" s="117" t="str">
        <x:v>2026-09-08</x:v>
      </x:c>
      <x:c r="P529" s="117" t="str">
        <x:v>Complete</x:v>
      </x:c>
      <x:c r="Q529" s="117"/>
      <x:c r="R529" s="117" t="str">
        <x:f>IF(J529="","Missing Link",IF(AND(ISNUMBER(SEARCH("google.com/maps",J529)),ISERROR(SEARCH(";",J529))),"Discovery Link Only","Source Link Present"))</x:f>
        <x:v>Source Link Present</x:v>
      </x:c>
      <x:c r="S529" s="117" t="str">
        <x:v>Not measured</x:v>
      </x:c>
      <x:c r="T529" s="117" t="str">
        <x:v>Unknown</x:v>
      </x:c>
      <x:c r="U529" s="117" t="str">
        <x:v>Yes - theatre seating</x:v>
      </x:c>
      <x:c r="V529" s="117" t="str">
        <x:v>Unknown</x:v>
      </x:c>
      <x:c r="W529" s="117" t="str">
        <x:v>Unknown</x:v>
      </x:c>
      <x:c r="X529" s="117" t="str">
        <x:v>Yes - theatre</x:v>
      </x:c>
      <x:c r="Y529" s="117" t="str">
        <x:v>Conditional on mobility and route</x:v>
      </x:c>
      <x:c r="Z529" s="117" t="str">
        <x:v>The booking system offers wheelchair places. Confirm availability, the entrance route and companion seating; a ticket category alone does not prove all facilities are accessible.</x:v>
      </x:c>
      <x:c r="AA529" s="117" t="str">
        <x:v>Documented support - conditional</x:v>
      </x:c>
      <x:c r="AB529" s="117" t="str">
        <x:v>https://ticket.encore-melaka.com/selection_show.aspx</x:v>
      </x:c>
      <x:c r="AC529" s="117" t="str">
        <x:v>Theatre wheelchair seating allocation</x:v>
      </x:c>
      <x:c r="AD529" s="117" t="str">
        <x:v>2026-09-08</x:v>
      </x:c>
      <x:c r="AE529" s="117" t="str">
        <x:v>MC0526</x:v>
      </x:c>
      <x:c r="AF529" s="117" t="str">
        <x:v>Distinct candidate</x:v>
      </x:c>
      <x:c r="AG529" s="117" t="str"/>
      <x:c r="AH529" s="117" t="str">
        <x:v>Venue-specific source reviewed</x:v>
      </x:c>
      <x:c r="AI529" s="117" t="str">
        <x:v>https://ticket.encore-melaka.com/selection_show.aspx</x:v>
      </x:c>
      <x:c r="AJ529" s="117" t="str">
        <x:v>Named visitor attraction in cited source; state-guide listings can be historical. Locality is catalogue metadata, not a surveyed address. Current operation remains unconfirmed.</x:v>
      </x:c>
      <x:c r="AK529" s="117" t="str">
        <x:v>Not independently confirmed</x:v>
      </x:c>
      <x:c r="AL529" s="117" t="str">
        <x:v>Primary accessibility evidence reviewed</x:v>
      </x:c>
      <x:c r="AM529" s="117" t="str">
        <x:v>2026-09-08</x:v>
      </x:c>
      <x:c r="AN529" s="117" t="str">
        <x:v>https://thumb.wikimedia.org/wikipedia/commons/thumb/0/02/201906_Encore_Melaka_03.jpg/1280px-201906_Encore_Melaka_03.jpg?utm_source=commons.wikimedia.org&amp;utm_campaign=imageinfo&amp;utm_content=thumbnail</x:v>
      </x:c>
      <x:c r="AO529" s="117" t="str">
        <x:v>https://thumb.wikimedia.org/wikipedia/commons/thumb/7/72/Encore_Melaka.jpg/1280px-Encore_Melaka.jpg?utm_source=commons.wikimedia.org&amp;utm_campaign=imageinfo&amp;utm_content=thumbnail</x:v>
      </x:c>
      <x:c r="AP529" s="117" t="str">
        <x:v>2 metadata-matched images; visual review pending</x:v>
      </x:c>
      <x:c r="AQ529" s="117"/>
    </x:row>
    <x:row r="530" ht="66" customHeight="1">
      <x:c r="A530" s="117" t="str">
        <x:v>MC0527</x:v>
      </x:c>
      <x:c r="B530" s="117" t="str">
        <x:v>Taming Sari Tower</x:v>
      </x:c>
      <x:c r="C530" s="117" t="str">
        <x:v>Melaka</x:v>
      </x:c>
      <x:c r="D530" s="117" t="str">
        <x:v>Melaka City</x:v>
      </x:c>
      <x:c r="E530" s="117" t="str">
        <x:v>Heritage and Visitor Attraction</x:v>
      </x:c>
      <x:c r="F530" s="117" t="str">
        <x:v>Unclassified</x:v>
      </x:c>
      <x:c r="G530" s="117" t="str">
        <x:v>Both</x:v>
      </x:c>
      <x:c r="H530" s="117" t="str">
        <x:v>Heritage and Visitor Attraction; Melaka City</x:v>
      </x:c>
      <x:c r="I530" s="117" t="str">
        <x:v>A visitor attraction in Melaka City, Melaka, listed in Tourism Malaysia's state travel guide. Venue operation and the precise accessible route require confirmation.</x:v>
      </x:c>
      <x:c r="J530" s="117" t="str">
        <x:v>https://ebrochures.malaysia.travel/en/malaysia-travel-guide/melaka/</x:v>
      </x:c>
      <x:c r="K530" s="117" t="str">
        <x:v>https://ebrochures.malaysia.travel/en/malaysia-travel-guide/melaka/</x:v>
      </x:c>
      <x:c r="L530" s="117" t="str">
        <x:v>Tourism Malaysia listing; operation unconfirmed</x:v>
      </x:c>
      <x:c r="M530" s="117" t="str">
        <x:v>Nationwide expansion 2026-09-08</x:v>
      </x:c>
      <x:c r="N530" s="117"/>
      <x:c r="O530" s="117" t="str">
        <x:v>2026-09-08</x:v>
      </x:c>
      <x:c r="P530" s="117" t="str">
        <x:v>Complete</x:v>
      </x:c>
      <x:c r="Q530" s="117"/>
      <x:c r="R530" s="117" t="str">
        <x:f>IF(J530="","Missing Link",IF(AND(ISNUMBER(SEARCH("google.com/maps",J530)),ISERROR(SEARCH(";",J530))),"Discovery Link Only","Source Link Present"))</x:f>
        <x:v>Source Link Present</x:v>
      </x:c>
      <x:c r="S530" s="117" t="str">
        <x:v>Unknown</x:v>
      </x:c>
      <x:c r="T530" s="117" t="str">
        <x:v>Unknown</x:v>
      </x:c>
      <x:c r="U530" s="117" t="str">
        <x:v>Unknown</x:v>
      </x:c>
      <x:c r="V530" s="117" t="str">
        <x:v>Unknown</x:v>
      </x:c>
      <x:c r="W530" s="117" t="str">
        <x:v>Unknown</x:v>
      </x:c>
      <x:c r="X530" s="117" t="str">
        <x:v>Unknown</x:v>
      </x:c>
      <x:c r="Y530" s="117" t="str">
        <x:v>Unknown</x:v>
      </x:c>
      <x:c r="Z530" s="117"/>
      <x:c r="AA530" s="117" t="str">
        <x:v>Pending evidence</x:v>
      </x:c>
      <x:c r="AB530" s="117"/>
      <x:c r="AC530" s="117" t="str">
        <x:v>No qualifying accessibility conclusion established from the screened sources. This is unknown, not evidence that the attraction is inaccessible.</x:v>
      </x:c>
      <x:c r="AD530" s="117" t="str">
        <x:v>2026-09-08</x:v>
      </x:c>
      <x:c r="AE530" s="117" t="str">
        <x:v>MC0527</x:v>
      </x:c>
      <x:c r="AF530" s="117" t="str">
        <x:v>Distinct candidate</x:v>
      </x:c>
      <x:c r="AG530" s="117" t="str"/>
      <x:c r="AH530" s="117" t="str">
        <x:v>Listed by Tourism Malaysia</x:v>
      </x:c>
      <x:c r="AI530" s="117" t="str">
        <x:v>https://ebrochures.malaysia.travel/en/malaysia-travel-guide/melaka/</x:v>
      </x:c>
      <x:c r="AJ530" s="117" t="str">
        <x:v>Named visitor attraction in cited source; state-guide listings can be historical. Locality is catalogue metadata, not a surveyed address. Current operation remains unconfirmed.</x:v>
      </x:c>
      <x:c r="AK530" s="117" t="str">
        <x:v>Not independently confirmed</x:v>
      </x:c>
      <x:c r="AL530" s="117" t="str">
        <x:v>Screened sources; accessibility unresolved</x:v>
      </x:c>
      <x:c r="AM530" s="117" t="str">
        <x:v>2026-09-08</x:v>
      </x:c>
      <x:c r="AN530" s="117" t="str">
        <x:v>https://thumb.wikimedia.org/wikipedia/commons/thumb/d/de/Taming_Sari_Tower.JPG/1280px-Taming_Sari_Tower.JPG?utm_source=commons.wikimedia.org&amp;utm_campaign=imageinfo&amp;utm_content=thumbnail</x:v>
      </x:c>
      <x:c r="AO530" s="117" t="str">
        <x:v>https://thumb.wikimedia.org/wikipedia/commons/thumb/f/f1/2016_Malakka%2C_Wie%C5%BCa_Taming_Sari_%2801%29.jpg/1280px-2016_Malakka%2C_Wie%C5%BCa_Taming_Sari_%2801%29.jpg?utm_source=commons.wikimedia.org&amp;utm_campaign=imageinfo&amp;utm_content=thumbnail</x:v>
      </x:c>
      <x:c r="AP530" s="117" t="str">
        <x:v>2 metadata-matched images; visual review pending</x:v>
      </x:c>
      <x:c r="AQ530" s="117"/>
    </x:row>
    <x:row r="531" ht="66" customHeight="1">
      <x:c r="A531" s="117" t="str">
        <x:v>MC0528</x:v>
      </x:c>
      <x:c r="B531" s="117" t="str">
        <x:v>Kampung Morten</x:v>
      </x:c>
      <x:c r="C531" s="117" t="str">
        <x:v>Melaka</x:v>
      </x:c>
      <x:c r="D531" s="117" t="str">
        <x:v>Melaka City</x:v>
      </x:c>
      <x:c r="E531" s="117" t="str">
        <x:v>Heritage and Visitor Attraction</x:v>
      </x:c>
      <x:c r="F531" s="117" t="str">
        <x:v>Unclassified</x:v>
      </x:c>
      <x:c r="G531" s="117" t="str">
        <x:v>Both</x:v>
      </x:c>
      <x:c r="H531" s="117" t="str">
        <x:v>Heritage and Visitor Attraction; Melaka City</x:v>
      </x:c>
      <x:c r="I531" s="117" t="str">
        <x:v>A visitor attraction in Melaka City, Melaka, listed in Tourism Malaysia's state travel guide. Venue operation and the precise accessible route require confirmation.</x:v>
      </x:c>
      <x:c r="J531" s="117" t="str">
        <x:v>https://ebrochures.malaysia.travel/en/malaysia-travel-guide/melaka/</x:v>
      </x:c>
      <x:c r="K531" s="117" t="str">
        <x:v>https://ebrochures.malaysia.travel/en/malaysia-travel-guide/melaka/</x:v>
      </x:c>
      <x:c r="L531" s="117" t="str">
        <x:v>Tourism Malaysia listing; operation unconfirmed</x:v>
      </x:c>
      <x:c r="M531" s="117" t="str">
        <x:v>Nationwide expansion 2026-09-08</x:v>
      </x:c>
      <x:c r="N531" s="117"/>
      <x:c r="O531" s="117" t="str">
        <x:v>2026-09-08</x:v>
      </x:c>
      <x:c r="P531" s="117" t="str">
        <x:v>Complete</x:v>
      </x:c>
      <x:c r="Q531" s="117"/>
      <x:c r="R531" s="117" t="str">
        <x:f>IF(J531="","Missing Link",IF(AND(ISNUMBER(SEARCH("google.com/maps",J531)),ISERROR(SEARCH(";",J531))),"Discovery Link Only","Source Link Present"))</x:f>
        <x:v>Source Link Present</x:v>
      </x:c>
      <x:c r="S531" s="117" t="str">
        <x:v>Unknown</x:v>
      </x:c>
      <x:c r="T531" s="117" t="str">
        <x:v>Unknown</x:v>
      </x:c>
      <x:c r="U531" s="117" t="str">
        <x:v>Unknown</x:v>
      </x:c>
      <x:c r="V531" s="117" t="str">
        <x:v>Unknown</x:v>
      </x:c>
      <x:c r="W531" s="117" t="str">
        <x:v>Unknown</x:v>
      </x:c>
      <x:c r="X531" s="117" t="str">
        <x:v>Unknown</x:v>
      </x:c>
      <x:c r="Y531" s="117" t="str">
        <x:v>Unknown</x:v>
      </x:c>
      <x:c r="Z531" s="117"/>
      <x:c r="AA531" s="117" t="str">
        <x:v>Pending evidence</x:v>
      </x:c>
      <x:c r="AB531" s="117"/>
      <x:c r="AC531" s="117" t="str">
        <x:v>No qualifying accessibility conclusion established from the screened sources. This is unknown, not evidence that the attraction is inaccessible.</x:v>
      </x:c>
      <x:c r="AD531" s="117" t="str">
        <x:v>2026-09-08</x:v>
      </x:c>
      <x:c r="AE531" s="117" t="str">
        <x:v>MC0528</x:v>
      </x:c>
      <x:c r="AF531" s="117" t="str">
        <x:v>Distinct candidate</x:v>
      </x:c>
      <x:c r="AG531" s="117" t="str"/>
      <x:c r="AH531" s="117" t="str">
        <x:v>Listed by Tourism Malaysia</x:v>
      </x:c>
      <x:c r="AI531" s="117" t="str">
        <x:v>https://ebrochures.malaysia.travel/en/malaysia-travel-guide/melaka/</x:v>
      </x:c>
      <x:c r="AJ531" s="117" t="str">
        <x:v>Named visitor attraction in cited source; state-guide listings can be historical. Locality is catalogue metadata, not a surveyed address. Current operation remains unconfirmed.</x:v>
      </x:c>
      <x:c r="AK531" s="117" t="str">
        <x:v>Not independently confirmed</x:v>
      </x:c>
      <x:c r="AL531" s="117" t="str">
        <x:v>Screened sources; accessibility unresolved</x:v>
      </x:c>
      <x:c r="AM531" s="117" t="str">
        <x:v>2026-09-08</x:v>
      </x:c>
      <x:c r="AN531" s="117" t="str">
        <x:v>https://thumb.wikimedia.org/wikipedia/commons/thumb/6/69/Lorong_Tun_Mamat_3_Kampung_Morten_sign.jpg/1280px-Lorong_Tun_Mamat_3_Kampung_Morten_sign.jpg?utm_source=commons.wikimedia.org&amp;utm_campaign=imageinfo&amp;utm_content=thumbnail</x:v>
      </x:c>
      <x:c r="AO531" s="117" t="str">
        <x:v>https://thumb.wikimedia.org/wikipedia/commons/thumb/1/16/Lorong_Tun_Mamat_3_Kampung_Morten.jpg/1280px-Lorong_Tun_Mamat_3_Kampung_Morten.jpg?utm_source=commons.wikimedia.org&amp;utm_campaign=imageinfo&amp;utm_content=thumbnail</x:v>
      </x:c>
      <x:c r="AP531" s="117" t="str">
        <x:v>2 metadata-matched images; visual review pending</x:v>
      </x:c>
      <x:c r="AQ531" s="117"/>
    </x:row>
    <x:row r="532" ht="66" customHeight="1">
      <x:c r="A532" s="117" t="str">
        <x:v>MC0529</x:v>
      </x:c>
      <x:c r="B532" s="117" t="str">
        <x:v>The Shore Oceanarium</x:v>
      </x:c>
      <x:c r="C532" s="117" t="str">
        <x:v>Melaka</x:v>
      </x:c>
      <x:c r="D532" s="117" t="str">
        <x:v>Melaka City</x:v>
      </x:c>
      <x:c r="E532" s="117" t="str">
        <x:v>Heritage and Visitor Attraction</x:v>
      </x:c>
      <x:c r="F532" s="117" t="str">
        <x:v>Unclassified</x:v>
      </x:c>
      <x:c r="G532" s="117" t="str">
        <x:v>Both</x:v>
      </x:c>
      <x:c r="H532" s="117" t="str">
        <x:v>Heritage and Visitor Attraction; Melaka City</x:v>
      </x:c>
      <x:c r="I532" s="117" t="str">
        <x:v>A visitor attraction in Melaka City, Melaka, listed in Tourism Malaysia's state travel guide. Venue operation and the precise accessible route require confirmation.</x:v>
      </x:c>
      <x:c r="J532" s="117" t="str">
        <x:v>https://ebrochures.malaysia.travel/en/malaysia-travel-guide/melaka/</x:v>
      </x:c>
      <x:c r="K532" s="117" t="str">
        <x:v>https://ebrochures.malaysia.travel/en/malaysia-travel-guide/melaka/</x:v>
      </x:c>
      <x:c r="L532" s="117" t="str">
        <x:v>Tourism Malaysia listing; operation unconfirmed</x:v>
      </x:c>
      <x:c r="M532" s="117" t="str">
        <x:v>Nationwide expansion 2026-09-08</x:v>
      </x:c>
      <x:c r="N532" s="117"/>
      <x:c r="O532" s="117" t="str">
        <x:v>2026-09-08</x:v>
      </x:c>
      <x:c r="P532" s="117" t="str">
        <x:v>Complete</x:v>
      </x:c>
      <x:c r="Q532" s="117"/>
      <x:c r="R532" s="117" t="str">
        <x:f>IF(J532="","Missing Link",IF(AND(ISNUMBER(SEARCH("google.com/maps",J532)),ISERROR(SEARCH(";",J532))),"Discovery Link Only","Source Link Present"))</x:f>
        <x:v>Source Link Present</x:v>
      </x:c>
      <x:c r="S532" s="117" t="str">
        <x:v>Unknown</x:v>
      </x:c>
      <x:c r="T532" s="117" t="str">
        <x:v>Unknown</x:v>
      </x:c>
      <x:c r="U532" s="117" t="str">
        <x:v>Unknown</x:v>
      </x:c>
      <x:c r="V532" s="117" t="str">
        <x:v>Unknown</x:v>
      </x:c>
      <x:c r="W532" s="117" t="str">
        <x:v>Unknown</x:v>
      </x:c>
      <x:c r="X532" s="117" t="str">
        <x:v>Unknown</x:v>
      </x:c>
      <x:c r="Y532" s="117" t="str">
        <x:v>Unknown</x:v>
      </x:c>
      <x:c r="Z532" s="117"/>
      <x:c r="AA532" s="117" t="str">
        <x:v>Pending evidence</x:v>
      </x:c>
      <x:c r="AB532" s="117"/>
      <x:c r="AC532" s="117" t="str">
        <x:v>No qualifying accessibility conclusion established from the screened sources. This is unknown, not evidence that the attraction is inaccessible.</x:v>
      </x:c>
      <x:c r="AD532" s="117" t="str">
        <x:v>2026-09-08</x:v>
      </x:c>
      <x:c r="AE532" s="117" t="str">
        <x:v>MC0529</x:v>
      </x:c>
      <x:c r="AF532" s="117" t="str">
        <x:v>Distinct candidate</x:v>
      </x:c>
      <x:c r="AG532" s="117" t="str"/>
      <x:c r="AH532" s="117" t="str">
        <x:v>Listed by Tourism Malaysia</x:v>
      </x:c>
      <x:c r="AI532" s="117" t="str">
        <x:v>https://ebrochures.malaysia.travel/en/malaysia-travel-guide/melaka/</x:v>
      </x:c>
      <x:c r="AJ532" s="117" t="str">
        <x:v>Named visitor attraction in cited source; state-guide listings can be historical. Locality is catalogue metadata, not a surveyed address. Current operation remains unconfirmed.</x:v>
      </x:c>
      <x:c r="AK532" s="117" t="str">
        <x:v>Not independently confirmed</x:v>
      </x:c>
      <x:c r="AL532" s="117" t="str">
        <x:v>Screened sources; accessibility unresolved</x:v>
      </x:c>
      <x:c r="AM532" s="117" t="str">
        <x:v>2026-09-08</x:v>
      </x:c>
      <x:c r="AN532" s="117"/>
      <x:c r="AO532" s="117"/>
      <x:c r="AP532" s="117" t="str">
        <x:v>No usable pair located; image research pending</x:v>
      </x:c>
      <x:c r="AQ532" s="117"/>
    </x:row>
    <x:row r="533" ht="66" customHeight="1">
      <x:c r="A533" s="117" t="str">
        <x:v>MC0530</x:v>
      </x:c>
      <x:c r="B533" s="117" t="str">
        <x:v>Hang Tuah Centre</x:v>
      </x:c>
      <x:c r="C533" s="117" t="str">
        <x:v>Melaka</x:v>
      </x:c>
      <x:c r="D533" s="117" t="str">
        <x:v>Melaka City</x:v>
      </x:c>
      <x:c r="E533" s="117" t="str">
        <x:v>Heritage and Visitor Attraction</x:v>
      </x:c>
      <x:c r="F533" s="117" t="str">
        <x:v>Unclassified</x:v>
      </x:c>
      <x:c r="G533" s="117" t="str">
        <x:v>Both</x:v>
      </x:c>
      <x:c r="H533" s="117" t="str">
        <x:v>Heritage and Visitor Attraction; Melaka City</x:v>
      </x:c>
      <x:c r="I533" s="117" t="str">
        <x:v>A visitor attraction in Melaka City, Melaka, listed in Tourism Malaysia's state travel guide. Venue operation and the precise accessible route require confirmation.</x:v>
      </x:c>
      <x:c r="J533" s="117" t="str">
        <x:v>https://ebrochures.malaysia.travel/en/malaysia-travel-guide/melaka/</x:v>
      </x:c>
      <x:c r="K533" s="117" t="str">
        <x:v>https://ebrochures.malaysia.travel/en/malaysia-travel-guide/melaka/</x:v>
      </x:c>
      <x:c r="L533" s="117" t="str">
        <x:v>Tourism Malaysia listing; operation unconfirmed</x:v>
      </x:c>
      <x:c r="M533" s="117" t="str">
        <x:v>Nationwide expansion 2026-09-08</x:v>
      </x:c>
      <x:c r="N533" s="117"/>
      <x:c r="O533" s="117" t="str">
        <x:v>2026-09-08</x:v>
      </x:c>
      <x:c r="P533" s="117" t="str">
        <x:v>Complete</x:v>
      </x:c>
      <x:c r="Q533" s="117"/>
      <x:c r="R533" s="117" t="str">
        <x:f>IF(J533="","Missing Link",IF(AND(ISNUMBER(SEARCH("google.com/maps",J533)),ISERROR(SEARCH(";",J533))),"Discovery Link Only","Source Link Present"))</x:f>
        <x:v>Source Link Present</x:v>
      </x:c>
      <x:c r="S533" s="117" t="str">
        <x:v>Unknown</x:v>
      </x:c>
      <x:c r="T533" s="117" t="str">
        <x:v>Unknown</x:v>
      </x:c>
      <x:c r="U533" s="117" t="str">
        <x:v>Unknown</x:v>
      </x:c>
      <x:c r="V533" s="117" t="str">
        <x:v>Unknown</x:v>
      </x:c>
      <x:c r="W533" s="117" t="str">
        <x:v>Unknown</x:v>
      </x:c>
      <x:c r="X533" s="117" t="str">
        <x:v>Unknown</x:v>
      </x:c>
      <x:c r="Y533" s="117" t="str">
        <x:v>Unknown</x:v>
      </x:c>
      <x:c r="Z533" s="117"/>
      <x:c r="AA533" s="117" t="str">
        <x:v>Pending evidence</x:v>
      </x:c>
      <x:c r="AB533" s="117"/>
      <x:c r="AC533" s="117" t="str">
        <x:v>No qualifying accessibility conclusion established from the screened sources. This is unknown, not evidence that the attraction is inaccessible.</x:v>
      </x:c>
      <x:c r="AD533" s="117" t="str">
        <x:v>2026-09-08</x:v>
      </x:c>
      <x:c r="AE533" s="117" t="str">
        <x:v>MC0530</x:v>
      </x:c>
      <x:c r="AF533" s="117" t="str">
        <x:v>Distinct candidate</x:v>
      </x:c>
      <x:c r="AG533" s="117" t="str"/>
      <x:c r="AH533" s="117" t="str">
        <x:v>Listed by Tourism Malaysia</x:v>
      </x:c>
      <x:c r="AI533" s="117" t="str">
        <x:v>https://ebrochures.malaysia.travel/en/malaysia-travel-guide/melaka/</x:v>
      </x:c>
      <x:c r="AJ533" s="117" t="str">
        <x:v>Named visitor attraction in cited source; state-guide listings can be historical. Locality is catalogue metadata, not a surveyed address. Current operation remains unconfirmed.</x:v>
      </x:c>
      <x:c r="AK533" s="117" t="str">
        <x:v>Not independently confirmed</x:v>
      </x:c>
      <x:c r="AL533" s="117" t="str">
        <x:v>Screened sources; accessibility unresolved</x:v>
      </x:c>
      <x:c r="AM533" s="117" t="str">
        <x:v>2026-09-08</x:v>
      </x:c>
      <x:c r="AN533" s="117"/>
      <x:c r="AO533" s="117"/>
      <x:c r="AP533" s="117" t="str">
        <x:v>No usable pair located; image research pending</x:v>
      </x:c>
      <x:c r="AQ533" s="117"/>
    </x:row>
    <x:row r="534" ht="66" customHeight="1">
      <x:c r="A534" s="117" t="str">
        <x:v>MC0531</x:v>
      </x:c>
      <x:c r="B534" s="117" t="str">
        <x:v>Upside Down Melaka</x:v>
      </x:c>
      <x:c r="C534" s="117" t="str">
        <x:v>Melaka</x:v>
      </x:c>
      <x:c r="D534" s="117" t="str">
        <x:v>Melaka City</x:v>
      </x:c>
      <x:c r="E534" s="117" t="str">
        <x:v>Heritage and Visitor Attraction</x:v>
      </x:c>
      <x:c r="F534" s="117" t="str">
        <x:v>Unclassified</x:v>
      </x:c>
      <x:c r="G534" s="117" t="str">
        <x:v>Both</x:v>
      </x:c>
      <x:c r="H534" s="117" t="str">
        <x:v>Heritage and Visitor Attraction; Melaka City</x:v>
      </x:c>
      <x:c r="I534" s="117" t="str">
        <x:v>A visitor attraction in Melaka City, Melaka, listed in Tourism Malaysia's state travel guide. Venue operation and the precise accessible route require confirmation.</x:v>
      </x:c>
      <x:c r="J534" s="117" t="str">
        <x:v>https://ebrochures.malaysia.travel/en/malaysia-travel-guide/melaka/</x:v>
      </x:c>
      <x:c r="K534" s="117" t="str">
        <x:v>https://ebrochures.malaysia.travel/en/malaysia-travel-guide/melaka/</x:v>
      </x:c>
      <x:c r="L534" s="117" t="str">
        <x:v>Tourism Malaysia listing; operation unconfirmed</x:v>
      </x:c>
      <x:c r="M534" s="117" t="str">
        <x:v>Nationwide expansion 2026-09-08</x:v>
      </x:c>
      <x:c r="N534" s="117"/>
      <x:c r="O534" s="117" t="str">
        <x:v>2026-09-08</x:v>
      </x:c>
      <x:c r="P534" s="117" t="str">
        <x:v>Complete</x:v>
      </x:c>
      <x:c r="Q534" s="117"/>
      <x:c r="R534" s="117" t="str">
        <x:f>IF(J534="","Missing Link",IF(AND(ISNUMBER(SEARCH("google.com/maps",J534)),ISERROR(SEARCH(";",J534))),"Discovery Link Only","Source Link Present"))</x:f>
        <x:v>Source Link Present</x:v>
      </x:c>
      <x:c r="S534" s="117" t="str">
        <x:v>Unknown</x:v>
      </x:c>
      <x:c r="T534" s="117" t="str">
        <x:v>Unknown</x:v>
      </x:c>
      <x:c r="U534" s="117" t="str">
        <x:v>Unknown</x:v>
      </x:c>
      <x:c r="V534" s="117" t="str">
        <x:v>Unknown</x:v>
      </x:c>
      <x:c r="W534" s="117" t="str">
        <x:v>Unknown</x:v>
      </x:c>
      <x:c r="X534" s="117" t="str">
        <x:v>Unknown</x:v>
      </x:c>
      <x:c r="Y534" s="117" t="str">
        <x:v>Unknown</x:v>
      </x:c>
      <x:c r="Z534" s="117"/>
      <x:c r="AA534" s="117" t="str">
        <x:v>Pending evidence</x:v>
      </x:c>
      <x:c r="AB534" s="117"/>
      <x:c r="AC534" s="117" t="str">
        <x:v>No qualifying accessibility conclusion established from the screened sources. This is unknown, not evidence that the attraction is inaccessible.</x:v>
      </x:c>
      <x:c r="AD534" s="117" t="str">
        <x:v>2026-09-08</x:v>
      </x:c>
      <x:c r="AE534" s="117" t="str">
        <x:v>MC0531</x:v>
      </x:c>
      <x:c r="AF534" s="117" t="str">
        <x:v>Distinct candidate</x:v>
      </x:c>
      <x:c r="AG534" s="117" t="str"/>
      <x:c r="AH534" s="117" t="str">
        <x:v>Listed by Tourism Malaysia</x:v>
      </x:c>
      <x:c r="AI534" s="117" t="str">
        <x:v>https://ebrochures.malaysia.travel/en/malaysia-travel-guide/melaka/</x:v>
      </x:c>
      <x:c r="AJ534" s="117" t="str">
        <x:v>Named visitor attraction in cited source; state-guide listings can be historical. Locality is catalogue metadata, not a surveyed address. Current operation remains unconfirmed.</x:v>
      </x:c>
      <x:c r="AK534" s="117" t="str">
        <x:v>Not independently confirmed</x:v>
      </x:c>
      <x:c r="AL534" s="117" t="str">
        <x:v>Screened sources; accessibility unresolved</x:v>
      </x:c>
      <x:c r="AM534" s="117" t="str">
        <x:v>2026-09-08</x:v>
      </x:c>
      <x:c r="AN534" s="117"/>
      <x:c r="AO534" s="117"/>
      <x:c r="AP534" s="117" t="str">
        <x:v>No usable pair located; image research pending</x:v>
      </x:c>
      <x:c r="AQ534" s="117"/>
    </x:row>
    <x:row r="535" ht="66" customHeight="1">
      <x:c r="A535" s="117" t="str">
        <x:v>MC0532</x:v>
      </x:c>
      <x:c r="B535" s="117" t="str">
        <x:v>Melaka Zoo</x:v>
      </x:c>
      <x:c r="C535" s="117" t="str">
        <x:v>Melaka</x:v>
      </x:c>
      <x:c r="D535" s="117" t="str">
        <x:v>Ayer Keroh</x:v>
      </x:c>
      <x:c r="E535" s="117" t="str">
        <x:v>Wildlife</x:v>
      </x:c>
      <x:c r="F535" s="117" t="str">
        <x:v>Unclassified</x:v>
      </x:c>
      <x:c r="G535" s="117" t="str">
        <x:v>Outdoor</x:v>
      </x:c>
      <x:c r="H535" s="117" t="str">
        <x:v>Wildlife; Ayer Keroh</x:v>
      </x:c>
      <x:c r="I535" s="117" t="str">
        <x:v>A visitor attraction in Ayer Keroh, Melaka, listed in Tourism Malaysia's state travel guide. Venue operation and the precise accessible route require confirmation.</x:v>
      </x:c>
      <x:c r="J535" s="117" t="str">
        <x:v>https://ebrochures.malaysia.travel/en/malaysia-travel-guide/melaka/</x:v>
      </x:c>
      <x:c r="K535" s="117" t="str">
        <x:v>https://ebrochures.malaysia.travel/en/malaysia-travel-guide/melaka/</x:v>
      </x:c>
      <x:c r="L535" s="117" t="str">
        <x:v>Tourism Malaysia listing; operation unconfirmed</x:v>
      </x:c>
      <x:c r="M535" s="117" t="str">
        <x:v>Nationwide expansion 2026-09-08</x:v>
      </x:c>
      <x:c r="N535" s="117"/>
      <x:c r="O535" s="117" t="str">
        <x:v>2026-09-08</x:v>
      </x:c>
      <x:c r="P535" s="117" t="str">
        <x:v>Complete</x:v>
      </x:c>
      <x:c r="Q535" s="117"/>
      <x:c r="R535" s="117" t="str">
        <x:f>IF(J535="","Missing Link",IF(AND(ISNUMBER(SEARCH("google.com/maps",J535)),ISERROR(SEARCH(";",J535))),"Discovery Link Only","Source Link Present"))</x:f>
        <x:v>Source Link Present</x:v>
      </x:c>
      <x:c r="S535" s="117" t="str">
        <x:v>Unknown</x:v>
      </x:c>
      <x:c r="T535" s="117" t="str">
        <x:v>Unknown</x:v>
      </x:c>
      <x:c r="U535" s="117" t="str">
        <x:v>Unknown</x:v>
      </x:c>
      <x:c r="V535" s="117" t="str">
        <x:v>Unknown</x:v>
      </x:c>
      <x:c r="W535" s="117" t="str">
        <x:v>Unknown</x:v>
      </x:c>
      <x:c r="X535" s="117" t="str">
        <x:v>Unknown</x:v>
      </x:c>
      <x:c r="Y535" s="117" t="str">
        <x:v>Unknown</x:v>
      </x:c>
      <x:c r="Z535" s="117"/>
      <x:c r="AA535" s="117" t="str">
        <x:v>Pending evidence</x:v>
      </x:c>
      <x:c r="AB535" s="117"/>
      <x:c r="AC535" s="117" t="str">
        <x:v>No qualifying accessibility conclusion established from the screened sources. This is unknown, not evidence that the attraction is inaccessible.</x:v>
      </x:c>
      <x:c r="AD535" s="117" t="str">
        <x:v>2026-09-08</x:v>
      </x:c>
      <x:c r="AE535" s="117" t="str">
        <x:v>MC0532</x:v>
      </x:c>
      <x:c r="AF535" s="117" t="str">
        <x:v>Distinct candidate</x:v>
      </x:c>
      <x:c r="AG535" s="117" t="str"/>
      <x:c r="AH535" s="117" t="str">
        <x:v>Listed by Tourism Malaysia</x:v>
      </x:c>
      <x:c r="AI535" s="117" t="str">
        <x:v>https://ebrochures.malaysia.travel/en/malaysia-travel-guide/melaka/</x:v>
      </x:c>
      <x:c r="AJ535" s="117" t="str">
        <x:v>Named visitor attraction in cited source; state-guide listings can be historical. Locality is catalogue metadata, not a surveyed address. Current operation remains unconfirmed.</x:v>
      </x:c>
      <x:c r="AK535" s="117" t="str">
        <x:v>Not independently confirmed</x:v>
      </x:c>
      <x:c r="AL535" s="117" t="str">
        <x:v>Screened sources; accessibility unresolved</x:v>
      </x:c>
      <x:c r="AM535" s="117" t="str">
        <x:v>2026-09-08</x:v>
      </x:c>
      <x:c r="AN535" s="117" t="str">
        <x:v>https://thumb.wikimedia.org/wikipedia/commons/thumb/2/25/Malacca_Zoo_and_Bird_Farm.jpg/1280px-Malacca_Zoo_and_Bird_Farm.jpg?utm_source=commons.wikimedia.org&amp;utm_campaign=imageinfo&amp;utm_content=thumbnail</x:v>
      </x:c>
      <x:c r="AO535" s="117" t="str">
        <x:v>https://thumb.wikimedia.org/wikipedia/commons/thumb/6/6b/Melaka_Zoo_and_Night_Safari.jpg/1280px-Melaka_Zoo_and_Night_Safari.jpg?utm_source=commons.wikimedia.org&amp;utm_campaign=imageinfo&amp;utm_content=thumbnail</x:v>
      </x:c>
      <x:c r="AP535" s="117" t="str">
        <x:v>2 metadata-matched images; visual review pending</x:v>
      </x:c>
      <x:c r="AQ535" s="117"/>
    </x:row>
    <x:row r="536" ht="66" customHeight="1">
      <x:c r="A536" s="117" t="str">
        <x:v>MC0533</x:v>
      </x:c>
      <x:c r="B536" s="117" t="str">
        <x:v>Taman Seribu Bunga</x:v>
      </x:c>
      <x:c r="C536" s="117" t="str">
        <x:v>Melaka</x:v>
      </x:c>
      <x:c r="D536" s="117" t="str">
        <x:v>Ayer Keroh</x:v>
      </x:c>
      <x:c r="E536" s="117" t="str">
        <x:v>Heritage and Visitor Attraction</x:v>
      </x:c>
      <x:c r="F536" s="117" t="str">
        <x:v>Unclassified</x:v>
      </x:c>
      <x:c r="G536" s="117" t="str">
        <x:v>Both</x:v>
      </x:c>
      <x:c r="H536" s="117" t="str">
        <x:v>Heritage and Visitor Attraction; Ayer Keroh</x:v>
      </x:c>
      <x:c r="I536" s="117" t="str">
        <x:v>A visitor attraction in Ayer Keroh, Melaka, listed in Tourism Malaysia's state travel guide. Venue operation and the precise accessible route require confirmation.</x:v>
      </x:c>
      <x:c r="J536" s="117" t="str">
        <x:v>https://ebrochures.malaysia.travel/en/malaysia-travel-guide/melaka/</x:v>
      </x:c>
      <x:c r="K536" s="117" t="str">
        <x:v>https://ebrochures.malaysia.travel/en/malaysia-travel-guide/melaka/</x:v>
      </x:c>
      <x:c r="L536" s="117" t="str">
        <x:v>Tourism Malaysia listing; operation unconfirmed</x:v>
      </x:c>
      <x:c r="M536" s="117" t="str">
        <x:v>Nationwide expansion 2026-09-08</x:v>
      </x:c>
      <x:c r="N536" s="117"/>
      <x:c r="O536" s="117" t="str">
        <x:v>2026-09-08</x:v>
      </x:c>
      <x:c r="P536" s="117" t="str">
        <x:v>Complete</x:v>
      </x:c>
      <x:c r="Q536" s="117"/>
      <x:c r="R536" s="117" t="str">
        <x:f>IF(J536="","Missing Link",IF(AND(ISNUMBER(SEARCH("google.com/maps",J536)),ISERROR(SEARCH(";",J536))),"Discovery Link Only","Source Link Present"))</x:f>
        <x:v>Source Link Present</x:v>
      </x:c>
      <x:c r="S536" s="117" t="str">
        <x:v>Unknown</x:v>
      </x:c>
      <x:c r="T536" s="117" t="str">
        <x:v>Unknown</x:v>
      </x:c>
      <x:c r="U536" s="117" t="str">
        <x:v>Unknown</x:v>
      </x:c>
      <x:c r="V536" s="117" t="str">
        <x:v>Unknown</x:v>
      </x:c>
      <x:c r="W536" s="117" t="str">
        <x:v>Unknown</x:v>
      </x:c>
      <x:c r="X536" s="117" t="str">
        <x:v>Unknown</x:v>
      </x:c>
      <x:c r="Y536" s="117" t="str">
        <x:v>Unknown</x:v>
      </x:c>
      <x:c r="Z536" s="117"/>
      <x:c r="AA536" s="117" t="str">
        <x:v>Pending evidence</x:v>
      </x:c>
      <x:c r="AB536" s="117"/>
      <x:c r="AC536" s="117" t="str">
        <x:v>No qualifying accessibility conclusion established from the screened sources. This is unknown, not evidence that the attraction is inaccessible.</x:v>
      </x:c>
      <x:c r="AD536" s="117" t="str">
        <x:v>2026-09-08</x:v>
      </x:c>
      <x:c r="AE536" s="117" t="str">
        <x:v>MC0533</x:v>
      </x:c>
      <x:c r="AF536" s="117" t="str">
        <x:v>Distinct candidate</x:v>
      </x:c>
      <x:c r="AG536" s="117" t="str"/>
      <x:c r="AH536" s="117" t="str">
        <x:v>Listed by Tourism Malaysia</x:v>
      </x:c>
      <x:c r="AI536" s="117" t="str">
        <x:v>https://ebrochures.malaysia.travel/en/malaysia-travel-guide/melaka/</x:v>
      </x:c>
      <x:c r="AJ536" s="117" t="str">
        <x:v>Named visitor attraction in cited source; state-guide listings can be historical. Locality is catalogue metadata, not a surveyed address. Current operation remains unconfirmed.</x:v>
      </x:c>
      <x:c r="AK536" s="117" t="str">
        <x:v>Not independently confirmed</x:v>
      </x:c>
      <x:c r="AL536" s="117" t="str">
        <x:v>Screened sources; accessibility unresolved</x:v>
      </x:c>
      <x:c r="AM536" s="117" t="str">
        <x:v>2026-09-08</x:v>
      </x:c>
      <x:c r="AN536" s="117" t="str">
        <x:v>https://thumb.wikimedia.org/wikipedia/commons/thumb/e/ea/Taman_seribu_bunga_green_paradise.jpg/1280px-Taman_seribu_bunga_green_paradise.jpg?utm_source=commons.wikimedia.org&amp;utm_campaign=imageinfo&amp;utm_content=thumbnail</x:v>
      </x:c>
      <x:c r="AO536" s="117"/>
      <x:c r="AP536" s="117" t="str">
        <x:v>1 metadata-matched images; visual review pending</x:v>
      </x:c>
      <x:c r="AQ536" s="117"/>
    </x:row>
    <x:row r="537" ht="66" customHeight="1">
      <x:c r="A537" s="117" t="str">
        <x:v>MC0534</x:v>
      </x:c>
      <x:c r="B537" s="117" t="str">
        <x:v>Melaka Tropical Fruit Farm</x:v>
      </x:c>
      <x:c r="C537" s="117" t="str">
        <x:v>Melaka</x:v>
      </x:c>
      <x:c r="D537" s="117" t="str">
        <x:v>Sungai Udang</x:v>
      </x:c>
      <x:c r="E537" s="117" t="str">
        <x:v>Farm and Visitor Experience</x:v>
      </x:c>
      <x:c r="F537" s="117" t="str">
        <x:v>Unclassified</x:v>
      </x:c>
      <x:c r="G537" s="117" t="str">
        <x:v>Both</x:v>
      </x:c>
      <x:c r="H537" s="117" t="str">
        <x:v>Farm and Visitor Experience; Sungai Udang</x:v>
      </x:c>
      <x:c r="I537" s="117" t="str">
        <x:v>A visitor attraction in Sungai Udang, Melaka, listed in Tourism Malaysia's state travel guide. Venue operation and the precise accessible route require confirmation.</x:v>
      </x:c>
      <x:c r="J537" s="117" t="str">
        <x:v>https://ebrochures.malaysia.travel/en/malaysia-travel-guide/melaka/</x:v>
      </x:c>
      <x:c r="K537" s="117" t="str">
        <x:v>https://ebrochures.malaysia.travel/en/malaysia-travel-guide/melaka/</x:v>
      </x:c>
      <x:c r="L537" s="117" t="str">
        <x:v>Tourism Malaysia listing; operation unconfirmed</x:v>
      </x:c>
      <x:c r="M537" s="117" t="str">
        <x:v>Nationwide expansion 2026-09-08</x:v>
      </x:c>
      <x:c r="N537" s="117"/>
      <x:c r="O537" s="117" t="str">
        <x:v>2026-09-08</x:v>
      </x:c>
      <x:c r="P537" s="117" t="str">
        <x:v>Complete</x:v>
      </x:c>
      <x:c r="Q537" s="117"/>
      <x:c r="R537" s="117" t="str">
        <x:f>IF(J537="","Missing Link",IF(AND(ISNUMBER(SEARCH("google.com/maps",J537)),ISERROR(SEARCH(";",J537))),"Discovery Link Only","Source Link Present"))</x:f>
        <x:v>Source Link Present</x:v>
      </x:c>
      <x:c r="S537" s="117" t="str">
        <x:v>Unknown</x:v>
      </x:c>
      <x:c r="T537" s="117" t="str">
        <x:v>Unknown</x:v>
      </x:c>
      <x:c r="U537" s="117" t="str">
        <x:v>Unknown</x:v>
      </x:c>
      <x:c r="V537" s="117" t="str">
        <x:v>Unknown</x:v>
      </x:c>
      <x:c r="W537" s="117" t="str">
        <x:v>Unknown</x:v>
      </x:c>
      <x:c r="X537" s="117" t="str">
        <x:v>Unknown</x:v>
      </x:c>
      <x:c r="Y537" s="117" t="str">
        <x:v>Unknown</x:v>
      </x:c>
      <x:c r="Z537" s="117"/>
      <x:c r="AA537" s="117" t="str">
        <x:v>Pending evidence</x:v>
      </x:c>
      <x:c r="AB537" s="117"/>
      <x:c r="AC537" s="117" t="str">
        <x:v>No qualifying accessibility conclusion established from the screened sources. This is unknown, not evidence that the attraction is inaccessible.</x:v>
      </x:c>
      <x:c r="AD537" s="117" t="str">
        <x:v>2026-09-08</x:v>
      </x:c>
      <x:c r="AE537" s="117" t="str">
        <x:v>MC0534</x:v>
      </x:c>
      <x:c r="AF537" s="117" t="str">
        <x:v>Distinct candidate</x:v>
      </x:c>
      <x:c r="AG537" s="117" t="str"/>
      <x:c r="AH537" s="117" t="str">
        <x:v>Listed by Tourism Malaysia</x:v>
      </x:c>
      <x:c r="AI537" s="117" t="str">
        <x:v>https://ebrochures.malaysia.travel/en/malaysia-travel-guide/melaka/</x:v>
      </x:c>
      <x:c r="AJ537" s="117" t="str">
        <x:v>Named visitor attraction in cited source; state-guide listings can be historical. Locality is catalogue metadata, not a surveyed address. Current operation remains unconfirmed.</x:v>
      </x:c>
      <x:c r="AK537" s="117" t="str">
        <x:v>Not independently confirmed</x:v>
      </x:c>
      <x:c r="AL537" s="117" t="str">
        <x:v>Screened sources; accessibility unresolved</x:v>
      </x:c>
      <x:c r="AM537" s="117" t="str">
        <x:v>2026-09-08</x:v>
      </x:c>
      <x:c r="AN537" s="117" t="str">
        <x:v>https://thumb.wikimedia.org/wikipedia/commons/thumb/f/f1/Melaka_Tropical_Fruit_Farm.jpg/1280px-Melaka_Tropical_Fruit_Farm.jpg?utm_source=commons.wikimedia.org&amp;utm_campaign=imageinfo&amp;utm_content=thumbnail</x:v>
      </x:c>
      <x:c r="AO537" s="117" t="str">
        <x:v>https://thumb.wikimedia.org/wikipedia/commons/thumb/d/dc/Melaka_Tropical_Fruit_Farm_-_Interior.jpg/1280px-Melaka_Tropical_Fruit_Farm_-_Interior.jpg?utm_source=commons.wikimedia.org&amp;utm_campaign=imageinfo&amp;utm_content=thumbnail</x:v>
      </x:c>
      <x:c r="AP537" s="117" t="str">
        <x:v>2 metadata-matched images; visual review pending</x:v>
      </x:c>
      <x:c r="AQ537" s="117"/>
    </x:row>
    <x:row r="538" ht="66" customHeight="1">
      <x:c r="A538" s="117" t="str">
        <x:v>MC0535</x:v>
      </x:c>
      <x:c r="B538" s="117" t="str">
        <x:v>Sungai Udang Recreational Forest</x:v>
      </x:c>
      <x:c r="C538" s="117" t="str">
        <x:v>Melaka</x:v>
      </x:c>
      <x:c r="D538" s="117" t="str">
        <x:v>Sungai Udang</x:v>
      </x:c>
      <x:c r="E538" s="117" t="str">
        <x:v>Nature</x:v>
      </x:c>
      <x:c r="F538" s="117" t="str">
        <x:v>Unclassified</x:v>
      </x:c>
      <x:c r="G538" s="117" t="str">
        <x:v>Outdoor</x:v>
      </x:c>
      <x:c r="H538" s="117" t="str">
        <x:v>Nature; Sungai Udang</x:v>
      </x:c>
      <x:c r="I538" s="117" t="str">
        <x:v>A visitor attraction in Sungai Udang, Melaka, listed in Tourism Malaysia's state travel guide. Venue operation and the precise accessible route require confirmation.</x:v>
      </x:c>
      <x:c r="J538" s="117" t="str">
        <x:v>https://ebrochures.malaysia.travel/en/malaysia-travel-guide/melaka/</x:v>
      </x:c>
      <x:c r="K538" s="117" t="str">
        <x:v>https://ebrochures.malaysia.travel/en/malaysia-travel-guide/melaka/</x:v>
      </x:c>
      <x:c r="L538" s="117" t="str">
        <x:v>Tourism Malaysia listing; operation unconfirmed</x:v>
      </x:c>
      <x:c r="M538" s="117" t="str">
        <x:v>Nationwide expansion 2026-09-08</x:v>
      </x:c>
      <x:c r="N538" s="117"/>
      <x:c r="O538" s="117" t="str">
        <x:v>2026-09-08</x:v>
      </x:c>
      <x:c r="P538" s="117" t="str">
        <x:v>Complete</x:v>
      </x:c>
      <x:c r="Q538" s="117"/>
      <x:c r="R538" s="117" t="str">
        <x:f>IF(J538="","Missing Link",IF(AND(ISNUMBER(SEARCH("google.com/maps",J538)),ISERROR(SEARCH(";",J538))),"Discovery Link Only","Source Link Present"))</x:f>
        <x:v>Source Link Present</x:v>
      </x:c>
      <x:c r="S538" s="117" t="str">
        <x:v>Unknown</x:v>
      </x:c>
      <x:c r="T538" s="117" t="str">
        <x:v>Unknown</x:v>
      </x:c>
      <x:c r="U538" s="117" t="str">
        <x:v>Unknown</x:v>
      </x:c>
      <x:c r="V538" s="117" t="str">
        <x:v>Unknown</x:v>
      </x:c>
      <x:c r="W538" s="117" t="str">
        <x:v>Unknown</x:v>
      </x:c>
      <x:c r="X538" s="117" t="str">
        <x:v>Unknown</x:v>
      </x:c>
      <x:c r="Y538" s="117" t="str">
        <x:v>Unknown</x:v>
      </x:c>
      <x:c r="Z538" s="117"/>
      <x:c r="AA538" s="117" t="str">
        <x:v>Pending evidence</x:v>
      </x:c>
      <x:c r="AB538" s="117"/>
      <x:c r="AC538" s="117" t="str">
        <x:v>No qualifying accessibility conclusion established from the screened sources. This is unknown, not evidence that the attraction is inaccessible.</x:v>
      </x:c>
      <x:c r="AD538" s="117" t="str">
        <x:v>2026-09-08</x:v>
      </x:c>
      <x:c r="AE538" s="117" t="str">
        <x:v>MC0535</x:v>
      </x:c>
      <x:c r="AF538" s="117" t="str">
        <x:v>Distinct candidate</x:v>
      </x:c>
      <x:c r="AG538" s="117" t="str"/>
      <x:c r="AH538" s="117" t="str">
        <x:v>Listed by Tourism Malaysia</x:v>
      </x:c>
      <x:c r="AI538" s="117" t="str">
        <x:v>https://ebrochures.malaysia.travel/en/malaysia-travel-guide/melaka/</x:v>
      </x:c>
      <x:c r="AJ538" s="117" t="str">
        <x:v>Named visitor attraction in cited source; state-guide listings can be historical. Locality is catalogue metadata, not a surveyed address. Current operation remains unconfirmed.</x:v>
      </x:c>
      <x:c r="AK538" s="117" t="str">
        <x:v>Not independently confirmed</x:v>
      </x:c>
      <x:c r="AL538" s="117" t="str">
        <x:v>Screened sources; accessibility unresolved</x:v>
      </x:c>
      <x:c r="AM538" s="117" t="str">
        <x:v>2026-09-08</x:v>
      </x:c>
      <x:c r="AN538" s="117" t="str">
        <x:v>https://thumb.wikimedia.org/wikipedia/commons/thumb/4/4c/Sungai_Udang_Recreational_Forest.JPG/1280px-Sungai_Udang_Recreational_Forest.JPG?utm_source=commons.wikimedia.org&amp;utm_campaign=imageinfo&amp;utm_content=thumbnail</x:v>
      </x:c>
      <x:c r="AO538" s="117" t="str">
        <x:v>https://thumb.wikimedia.org/wikipedia/commons/thumb/c/c9/Hutan_Rekreasi_Sg_Udang.jpg/1280px-Hutan_Rekreasi_Sg_Udang.jpg?utm_source=commons.wikimedia.org&amp;utm_campaign=imageinfo&amp;utm_content=thumbnail</x:v>
      </x:c>
      <x:c r="AP538" s="117" t="str">
        <x:v>2 metadata-matched images; visual review pending</x:v>
      </x:c>
      <x:c r="AQ538" s="117"/>
    </x:row>
    <x:row r="539" ht="66" customHeight="1">
      <x:c r="A539" s="117" t="str">
        <x:v>MC0536</x:v>
      </x:c>
      <x:c r="B539" s="117" t="str">
        <x:v>Al-Khawarizmi Astronomy Complex</x:v>
      </x:c>
      <x:c r="C539" s="117" t="str">
        <x:v>Melaka</x:v>
      </x:c>
      <x:c r="D539" s="117" t="str">
        <x:v>Alor Gajah</x:v>
      </x:c>
      <x:c r="E539" s="117" t="str">
        <x:v>Heritage and Visitor Attraction</x:v>
      </x:c>
      <x:c r="F539" s="117" t="str">
        <x:v>Unclassified</x:v>
      </x:c>
      <x:c r="G539" s="117" t="str">
        <x:v>Both</x:v>
      </x:c>
      <x:c r="H539" s="117" t="str">
        <x:v>Heritage and Visitor Attraction; Alor Gajah</x:v>
      </x:c>
      <x:c r="I539" s="117" t="str">
        <x:v>A visitor attraction in Alor Gajah, Melaka, listed in Tourism Malaysia's state travel guide. Venue operation and the precise accessible route require confirmation.</x:v>
      </x:c>
      <x:c r="J539" s="117" t="str">
        <x:v>https://ebrochures.malaysia.travel/en/malaysia-travel-guide/melaka/</x:v>
      </x:c>
      <x:c r="K539" s="117" t="str">
        <x:v>https://ebrochures.malaysia.travel/en/malaysia-travel-guide/melaka/</x:v>
      </x:c>
      <x:c r="L539" s="117" t="str">
        <x:v>Tourism Malaysia listing; operation unconfirmed</x:v>
      </x:c>
      <x:c r="M539" s="117" t="str">
        <x:v>Nationwide expansion 2026-09-08</x:v>
      </x:c>
      <x:c r="N539" s="117"/>
      <x:c r="O539" s="117" t="str">
        <x:v>2026-09-08</x:v>
      </x:c>
      <x:c r="P539" s="117" t="str">
        <x:v>Complete</x:v>
      </x:c>
      <x:c r="Q539" s="117"/>
      <x:c r="R539" s="117" t="str">
        <x:f>IF(J539="","Missing Link",IF(AND(ISNUMBER(SEARCH("google.com/maps",J539)),ISERROR(SEARCH(";",J539))),"Discovery Link Only","Source Link Present"))</x:f>
        <x:v>Source Link Present</x:v>
      </x:c>
      <x:c r="S539" s="117" t="str">
        <x:v>Unknown</x:v>
      </x:c>
      <x:c r="T539" s="117" t="str">
        <x:v>Unknown</x:v>
      </x:c>
      <x:c r="U539" s="117" t="str">
        <x:v>Unknown</x:v>
      </x:c>
      <x:c r="V539" s="117" t="str">
        <x:v>Unknown</x:v>
      </x:c>
      <x:c r="W539" s="117" t="str">
        <x:v>Unknown</x:v>
      </x:c>
      <x:c r="X539" s="117" t="str">
        <x:v>Unknown</x:v>
      </x:c>
      <x:c r="Y539" s="117" t="str">
        <x:v>Unknown</x:v>
      </x:c>
      <x:c r="Z539" s="117"/>
      <x:c r="AA539" s="117" t="str">
        <x:v>Pending evidence</x:v>
      </x:c>
      <x:c r="AB539" s="117"/>
      <x:c r="AC539" s="117" t="str">
        <x:v>No qualifying accessibility conclusion established from the screened sources. This is unknown, not evidence that the attraction is inaccessible.</x:v>
      </x:c>
      <x:c r="AD539" s="117" t="str">
        <x:v>2026-09-08</x:v>
      </x:c>
      <x:c r="AE539" s="117" t="str">
        <x:v>MC0536</x:v>
      </x:c>
      <x:c r="AF539" s="117" t="str">
        <x:v>Distinct candidate</x:v>
      </x:c>
      <x:c r="AG539" s="117" t="str"/>
      <x:c r="AH539" s="117" t="str">
        <x:v>Listed by Tourism Malaysia</x:v>
      </x:c>
      <x:c r="AI539" s="117" t="str">
        <x:v>https://ebrochures.malaysia.travel/en/malaysia-travel-guide/melaka/</x:v>
      </x:c>
      <x:c r="AJ539" s="117" t="str">
        <x:v>Named visitor attraction in cited source; state-guide listings can be historical. Locality is catalogue metadata, not a surveyed address. Current operation remains unconfirmed.</x:v>
      </x:c>
      <x:c r="AK539" s="117" t="str">
        <x:v>Not independently confirmed</x:v>
      </x:c>
      <x:c r="AL539" s="117" t="str">
        <x:v>Screened sources; accessibility unresolved</x:v>
      </x:c>
      <x:c r="AM539" s="117" t="str">
        <x:v>2026-09-08</x:v>
      </x:c>
      <x:c r="AN539" s="117" t="str">
        <x:v>https://thumb.wikimedia.org/wikipedia/commons/thumb/c/c2/Al-Khawarizmi_Astronomy_Complex.JPG/1280px-Al-Khawarizmi_Astronomy_Complex.JPG?utm_source=commons.wikimedia.org&amp;utm_campaign=imageinfo&amp;utm_content=thumbnail</x:v>
      </x:c>
      <x:c r="AO539" s="117"/>
      <x:c r="AP539" s="117" t="str">
        <x:v>1 metadata-matched images; visual review pending</x:v>
      </x:c>
      <x:c r="AQ539" s="117"/>
    </x:row>
    <x:row r="540" ht="66" customHeight="1">
      <x:c r="A540" s="117" t="str">
        <x:v>MC0537</x:v>
      </x:c>
      <x:c r="B540" s="117" t="str">
        <x:v>Gadek Hot Springs</x:v>
      </x:c>
      <x:c r="C540" s="117" t="str">
        <x:v>Melaka</x:v>
      </x:c>
      <x:c r="D540" s="117" t="str">
        <x:v>Alor Gajah</x:v>
      </x:c>
      <x:c r="E540" s="117" t="str">
        <x:v>Nature</x:v>
      </x:c>
      <x:c r="F540" s="117" t="str">
        <x:v>Unclassified</x:v>
      </x:c>
      <x:c r="G540" s="117" t="str">
        <x:v>Outdoor</x:v>
      </x:c>
      <x:c r="H540" s="117" t="str">
        <x:v>Nature; Alor Gajah</x:v>
      </x:c>
      <x:c r="I540" s="117" t="str">
        <x:v>A visitor attraction in Alor Gajah, Melaka, listed in Tourism Malaysia's state travel guide. Venue operation and the precise accessible route require confirmation.</x:v>
      </x:c>
      <x:c r="J540" s="117" t="str">
        <x:v>https://ebrochures.malaysia.travel/en/malaysia-travel-guide/melaka/</x:v>
      </x:c>
      <x:c r="K540" s="117" t="str">
        <x:v>https://ebrochures.malaysia.travel/en/malaysia-travel-guide/melaka/</x:v>
      </x:c>
      <x:c r="L540" s="117" t="str">
        <x:v>Tourism Malaysia listing; operation unconfirmed</x:v>
      </x:c>
      <x:c r="M540" s="117" t="str">
        <x:v>Nationwide expansion 2026-09-08</x:v>
      </x:c>
      <x:c r="N540" s="117"/>
      <x:c r="O540" s="117" t="str">
        <x:v>2026-09-08</x:v>
      </x:c>
      <x:c r="P540" s="117" t="str">
        <x:v>Complete</x:v>
      </x:c>
      <x:c r="Q540" s="117"/>
      <x:c r="R540" s="117" t="str">
        <x:f>IF(J540="","Missing Link",IF(AND(ISNUMBER(SEARCH("google.com/maps",J540)),ISERROR(SEARCH(";",J540))),"Discovery Link Only","Source Link Present"))</x:f>
        <x:v>Source Link Present</x:v>
      </x:c>
      <x:c r="S540" s="117" t="str">
        <x:v>Unknown</x:v>
      </x:c>
      <x:c r="T540" s="117" t="str">
        <x:v>Unknown</x:v>
      </x:c>
      <x:c r="U540" s="117" t="str">
        <x:v>Unknown</x:v>
      </x:c>
      <x:c r="V540" s="117" t="str">
        <x:v>Unknown</x:v>
      </x:c>
      <x:c r="W540" s="117" t="str">
        <x:v>Unknown</x:v>
      </x:c>
      <x:c r="X540" s="117" t="str">
        <x:v>Unknown</x:v>
      </x:c>
      <x:c r="Y540" s="117" t="str">
        <x:v>Unknown</x:v>
      </x:c>
      <x:c r="Z540" s="117"/>
      <x:c r="AA540" s="117" t="str">
        <x:v>Pending evidence</x:v>
      </x:c>
      <x:c r="AB540" s="117"/>
      <x:c r="AC540" s="117" t="str">
        <x:v>No qualifying accessibility conclusion established from the screened sources. This is unknown, not evidence that the attraction is inaccessible.</x:v>
      </x:c>
      <x:c r="AD540" s="117" t="str">
        <x:v>2026-09-08</x:v>
      </x:c>
      <x:c r="AE540" s="117" t="str">
        <x:v>MC0537</x:v>
      </x:c>
      <x:c r="AF540" s="117" t="str">
        <x:v>Distinct candidate</x:v>
      </x:c>
      <x:c r="AG540" s="117" t="str"/>
      <x:c r="AH540" s="117" t="str">
        <x:v>Listed by Tourism Malaysia</x:v>
      </x:c>
      <x:c r="AI540" s="117" t="str">
        <x:v>https://ebrochures.malaysia.travel/en/malaysia-travel-guide/melaka/</x:v>
      </x:c>
      <x:c r="AJ540" s="117" t="str">
        <x:v>Named visitor attraction in cited source; state-guide listings can be historical. Locality is catalogue metadata, not a surveyed address. Current operation remains unconfirmed.</x:v>
      </x:c>
      <x:c r="AK540" s="117" t="str">
        <x:v>Not independently confirmed</x:v>
      </x:c>
      <x:c r="AL540" s="117" t="str">
        <x:v>Screened sources; accessibility unresolved</x:v>
      </x:c>
      <x:c r="AM540" s="117" t="str">
        <x:v>2026-09-08</x:v>
      </x:c>
      <x:c r="AN540" s="117"/>
      <x:c r="AO540" s="117"/>
      <x:c r="AP540" s="117" t="str">
        <x:v>No usable pair located; image research pending</x:v>
      </x:c>
      <x:c r="AQ540" s="117"/>
    </x:row>
    <x:row r="541" ht="66" customHeight="1">
      <x:c r="A541" s="117" t="str">
        <x:v>MC0538</x:v>
      </x:c>
      <x:c r="B541" s="117" t="str">
        <x:v>Padang Kemunting Turtle Management Centre</x:v>
      </x:c>
      <x:c r="C541" s="117" t="str">
        <x:v>Melaka</x:v>
      </x:c>
      <x:c r="D541" s="117" t="str">
        <x:v>Alor Gajah</x:v>
      </x:c>
      <x:c r="E541" s="117" t="str">
        <x:v>Wildlife</x:v>
      </x:c>
      <x:c r="F541" s="117" t="str">
        <x:v>Unclassified</x:v>
      </x:c>
      <x:c r="G541" s="117" t="str">
        <x:v>Outdoor</x:v>
      </x:c>
      <x:c r="H541" s="117" t="str">
        <x:v>Wildlife; Alor Gajah</x:v>
      </x:c>
      <x:c r="I541" s="117" t="str">
        <x:v>A visitor attraction in Alor Gajah, Melaka, listed in Tourism Malaysia's state travel guide. Venue operation and the precise accessible route require confirmation.</x:v>
      </x:c>
      <x:c r="J541" s="117" t="str">
        <x:v>https://ebrochures.malaysia.travel/en/malaysia-travel-guide/melaka/</x:v>
      </x:c>
      <x:c r="K541" s="117" t="str">
        <x:v>https://ebrochures.malaysia.travel/en/malaysia-travel-guide/melaka/</x:v>
      </x:c>
      <x:c r="L541" s="117" t="str">
        <x:v>Tourism Malaysia listing; operation unconfirmed</x:v>
      </x:c>
      <x:c r="M541" s="117" t="str">
        <x:v>Nationwide expansion 2026-09-08</x:v>
      </x:c>
      <x:c r="N541" s="117"/>
      <x:c r="O541" s="117" t="str">
        <x:v>2026-09-08</x:v>
      </x:c>
      <x:c r="P541" s="117" t="str">
        <x:v>Complete</x:v>
      </x:c>
      <x:c r="Q541" s="117"/>
      <x:c r="R541" s="117" t="str">
        <x:f>IF(J541="","Missing Link",IF(AND(ISNUMBER(SEARCH("google.com/maps",J541)),ISERROR(SEARCH(";",J541))),"Discovery Link Only","Source Link Present"))</x:f>
        <x:v>Source Link Present</x:v>
      </x:c>
      <x:c r="S541" s="117" t="str">
        <x:v>Unknown</x:v>
      </x:c>
      <x:c r="T541" s="117" t="str">
        <x:v>Unknown</x:v>
      </x:c>
      <x:c r="U541" s="117" t="str">
        <x:v>Unknown</x:v>
      </x:c>
      <x:c r="V541" s="117" t="str">
        <x:v>Unknown</x:v>
      </x:c>
      <x:c r="W541" s="117" t="str">
        <x:v>Unknown</x:v>
      </x:c>
      <x:c r="X541" s="117" t="str">
        <x:v>Unknown</x:v>
      </x:c>
      <x:c r="Y541" s="117" t="str">
        <x:v>Unknown</x:v>
      </x:c>
      <x:c r="Z541" s="117"/>
      <x:c r="AA541" s="117" t="str">
        <x:v>Pending evidence</x:v>
      </x:c>
      <x:c r="AB541" s="117"/>
      <x:c r="AC541" s="117" t="str">
        <x:v>No qualifying accessibility conclusion established from the screened sources. This is unknown, not evidence that the attraction is inaccessible.</x:v>
      </x:c>
      <x:c r="AD541" s="117" t="str">
        <x:v>2026-09-08</x:v>
      </x:c>
      <x:c r="AE541" s="117" t="str">
        <x:v>MC0538</x:v>
      </x:c>
      <x:c r="AF541" s="117" t="str">
        <x:v>Distinct candidate</x:v>
      </x:c>
      <x:c r="AG541" s="117" t="str"/>
      <x:c r="AH541" s="117" t="str">
        <x:v>Listed by Tourism Malaysia</x:v>
      </x:c>
      <x:c r="AI541" s="117" t="str">
        <x:v>https://ebrochures.malaysia.travel/en/malaysia-travel-guide/melaka/</x:v>
      </x:c>
      <x:c r="AJ541" s="117" t="str">
        <x:v>Named visitor attraction in cited source; state-guide listings can be historical. Locality is catalogue metadata, not a surveyed address. Current operation remains unconfirmed.</x:v>
      </x:c>
      <x:c r="AK541" s="117" t="str">
        <x:v>Not independently confirmed</x:v>
      </x:c>
      <x:c r="AL541" s="117" t="str">
        <x:v>Screened sources; accessibility unresolved</x:v>
      </x:c>
      <x:c r="AM541" s="117" t="str">
        <x:v>2026-09-08</x:v>
      </x:c>
      <x:c r="AN541" s="117"/>
      <x:c r="AO541" s="117"/>
      <x:c r="AP541" s="117" t="str">
        <x:v>No usable pair located; image research pending</x:v>
      </x:c>
      <x:c r="AQ541" s="117"/>
    </x:row>
    <x:row r="542" ht="66" customHeight="1">
      <x:c r="A542" s="117" t="str">
        <x:v>MC0539</x:v>
      </x:c>
      <x:c r="B542" s="117" t="str">
        <x:v>Fort Supai Kuala Linggi</x:v>
      </x:c>
      <x:c r="C542" s="117" t="str">
        <x:v>Melaka</x:v>
      </x:c>
      <x:c r="D542" s="117" t="str">
        <x:v>Alor Gajah</x:v>
      </x:c>
      <x:c r="E542" s="117" t="str">
        <x:v>Heritage and Visitor Attraction</x:v>
      </x:c>
      <x:c r="F542" s="117" t="str">
        <x:v>Unclassified</x:v>
      </x:c>
      <x:c r="G542" s="117" t="str">
        <x:v>Both</x:v>
      </x:c>
      <x:c r="H542" s="117" t="str">
        <x:v>Heritage and Visitor Attraction; Alor Gajah</x:v>
      </x:c>
      <x:c r="I542" s="117" t="str">
        <x:v>A visitor attraction in Alor Gajah, Melaka, listed in Tourism Malaysia's state travel guide. Venue operation and the precise accessible route require confirmation.</x:v>
      </x:c>
      <x:c r="J542" s="117" t="str">
        <x:v>https://ebrochures.malaysia.travel/en/malaysia-travel-guide/melaka/</x:v>
      </x:c>
      <x:c r="K542" s="117" t="str">
        <x:v>https://ebrochures.malaysia.travel/en/malaysia-travel-guide/melaka/</x:v>
      </x:c>
      <x:c r="L542" s="117" t="str">
        <x:v>Tourism Malaysia listing; operation unconfirmed</x:v>
      </x:c>
      <x:c r="M542" s="117" t="str">
        <x:v>Nationwide expansion 2026-09-08</x:v>
      </x:c>
      <x:c r="N542" s="117"/>
      <x:c r="O542" s="117" t="str">
        <x:v>2026-09-08</x:v>
      </x:c>
      <x:c r="P542" s="117" t="str">
        <x:v>Complete</x:v>
      </x:c>
      <x:c r="Q542" s="117"/>
      <x:c r="R542" s="117" t="str">
        <x:f>IF(J542="","Missing Link",IF(AND(ISNUMBER(SEARCH("google.com/maps",J542)),ISERROR(SEARCH(";",J542))),"Discovery Link Only","Source Link Present"))</x:f>
        <x:v>Source Link Present</x:v>
      </x:c>
      <x:c r="S542" s="117" t="str">
        <x:v>Unknown</x:v>
      </x:c>
      <x:c r="T542" s="117" t="str">
        <x:v>Unknown</x:v>
      </x:c>
      <x:c r="U542" s="117" t="str">
        <x:v>Unknown</x:v>
      </x:c>
      <x:c r="V542" s="117" t="str">
        <x:v>Unknown</x:v>
      </x:c>
      <x:c r="W542" s="117" t="str">
        <x:v>Unknown</x:v>
      </x:c>
      <x:c r="X542" s="117" t="str">
        <x:v>Unknown</x:v>
      </x:c>
      <x:c r="Y542" s="117" t="str">
        <x:v>Unknown</x:v>
      </x:c>
      <x:c r="Z542" s="117"/>
      <x:c r="AA542" s="117" t="str">
        <x:v>Pending evidence</x:v>
      </x:c>
      <x:c r="AB542" s="117"/>
      <x:c r="AC542" s="117" t="str">
        <x:v>No qualifying accessibility conclusion established from the screened sources. This is unknown, not evidence that the attraction is inaccessible.</x:v>
      </x:c>
      <x:c r="AD542" s="117" t="str">
        <x:v>2026-09-08</x:v>
      </x:c>
      <x:c r="AE542" s="117" t="str">
        <x:v>MC0539</x:v>
      </x:c>
      <x:c r="AF542" s="117" t="str">
        <x:v>Distinct candidate</x:v>
      </x:c>
      <x:c r="AG542" s="117" t="str"/>
      <x:c r="AH542" s="117" t="str">
        <x:v>Listed by Tourism Malaysia</x:v>
      </x:c>
      <x:c r="AI542" s="117" t="str">
        <x:v>https://ebrochures.malaysia.travel/en/malaysia-travel-guide/melaka/</x:v>
      </x:c>
      <x:c r="AJ542" s="117" t="str">
        <x:v>Named visitor attraction in cited source; state-guide listings can be historical. Locality is catalogue metadata, not a surveyed address. Current operation remains unconfirmed.</x:v>
      </x:c>
      <x:c r="AK542" s="117" t="str">
        <x:v>Not independently confirmed</x:v>
      </x:c>
      <x:c r="AL542" s="117" t="str">
        <x:v>Screened sources; accessibility unresolved</x:v>
      </x:c>
      <x:c r="AM542" s="117" t="str">
        <x:v>2026-09-08</x:v>
      </x:c>
      <x:c r="AN542" s="117"/>
      <x:c r="AO542" s="117"/>
      <x:c r="AP542" s="117" t="str">
        <x:v>No usable pair located; image research pending</x:v>
      </x:c>
      <x:c r="AQ542" s="117"/>
    </x:row>
    <x:row r="543" ht="66" customHeight="1">
      <x:c r="A543" s="117" t="str">
        <x:v>MC0540</x:v>
      </x:c>
      <x:c r="B543" s="117" t="str">
        <x:v>Museum of Customs and Traditions</x:v>
      </x:c>
      <x:c r="C543" s="117" t="str">
        <x:v>Melaka</x:v>
      </x:c>
      <x:c r="D543" s="117" t="str">
        <x:v>Alor Gajah</x:v>
      </x:c>
      <x:c r="E543" s="117" t="str">
        <x:v>Museum and Gallery</x:v>
      </x:c>
      <x:c r="F543" s="117" t="str">
        <x:v>Unclassified</x:v>
      </x:c>
      <x:c r="G543" s="117" t="str">
        <x:v>Indoor</x:v>
      </x:c>
      <x:c r="H543" s="117" t="str">
        <x:v>Museum and Gallery; Alor Gajah</x:v>
      </x:c>
      <x:c r="I543" s="117" t="str">
        <x:v>A visitor attraction in Alor Gajah, Melaka, listed in Tourism Malaysia's state travel guide. Venue operation and the precise accessible route require confirmation.</x:v>
      </x:c>
      <x:c r="J543" s="117" t="str">
        <x:v>https://ebrochures.malaysia.travel/en/malaysia-travel-guide/melaka/</x:v>
      </x:c>
      <x:c r="K543" s="117" t="str">
        <x:v>https://ebrochures.malaysia.travel/en/malaysia-travel-guide/melaka/</x:v>
      </x:c>
      <x:c r="L543" s="117" t="str">
        <x:v>Tourism Malaysia listing; operation unconfirmed</x:v>
      </x:c>
      <x:c r="M543" s="117" t="str">
        <x:v>Nationwide expansion 2026-09-08</x:v>
      </x:c>
      <x:c r="N543" s="117"/>
      <x:c r="O543" s="117" t="str">
        <x:v>2026-09-08</x:v>
      </x:c>
      <x:c r="P543" s="117" t="str">
        <x:v>Complete</x:v>
      </x:c>
      <x:c r="Q543" s="117"/>
      <x:c r="R543" s="117" t="str">
        <x:f>IF(J543="","Missing Link",IF(AND(ISNUMBER(SEARCH("google.com/maps",J543)),ISERROR(SEARCH(";",J543))),"Discovery Link Only","Source Link Present"))</x:f>
        <x:v>Source Link Present</x:v>
      </x:c>
      <x:c r="S543" s="117" t="str">
        <x:v>Unknown</x:v>
      </x:c>
      <x:c r="T543" s="117" t="str">
        <x:v>Unknown</x:v>
      </x:c>
      <x:c r="U543" s="117" t="str">
        <x:v>Unknown</x:v>
      </x:c>
      <x:c r="V543" s="117" t="str">
        <x:v>Unknown</x:v>
      </x:c>
      <x:c r="W543" s="117" t="str">
        <x:v>Unknown</x:v>
      </x:c>
      <x:c r="X543" s="117" t="str">
        <x:v>Unknown</x:v>
      </x:c>
      <x:c r="Y543" s="117" t="str">
        <x:v>Unknown</x:v>
      </x:c>
      <x:c r="Z543" s="117"/>
      <x:c r="AA543" s="117" t="str">
        <x:v>Pending evidence</x:v>
      </x:c>
      <x:c r="AB543" s="117"/>
      <x:c r="AC543" s="117" t="str">
        <x:v>No qualifying accessibility conclusion established from the screened sources. This is unknown, not evidence that the attraction is inaccessible.</x:v>
      </x:c>
      <x:c r="AD543" s="117" t="str">
        <x:v>2026-09-08</x:v>
      </x:c>
      <x:c r="AE543" s="117" t="str">
        <x:v>MC0540</x:v>
      </x:c>
      <x:c r="AF543" s="117" t="str">
        <x:v>Distinct candidate</x:v>
      </x:c>
      <x:c r="AG543" s="117" t="str"/>
      <x:c r="AH543" s="117" t="str">
        <x:v>Listed by Tourism Malaysia</x:v>
      </x:c>
      <x:c r="AI543" s="117" t="str">
        <x:v>https://ebrochures.malaysia.travel/en/malaysia-travel-guide/melaka/</x:v>
      </x:c>
      <x:c r="AJ543" s="117" t="str">
        <x:v>Named visitor attraction in cited source; state-guide listings can be historical. Locality is catalogue metadata, not a surveyed address. Current operation remains unconfirmed.</x:v>
      </x:c>
      <x:c r="AK543" s="117" t="str">
        <x:v>Not independently confirmed</x:v>
      </x:c>
      <x:c r="AL543" s="117" t="str">
        <x:v>Screened sources; accessibility unresolved</x:v>
      </x:c>
      <x:c r="AM543" s="117" t="str">
        <x:v>2026-09-08</x:v>
      </x:c>
      <x:c r="AN543" s="117"/>
      <x:c r="AO543" s="117"/>
      <x:c r="AP543" s="117" t="str">
        <x:v>No usable pair located; image research pending</x:v>
      </x:c>
      <x:c r="AQ543" s="117"/>
    </x:row>
    <x:row r="544" ht="66" customHeight="1">
      <x:c r="A544" s="117" t="str">
        <x:v>MC0541</x:v>
      </x:c>
      <x:c r="B544" s="117" t="str">
        <x:v>Cherana Putih Hot Springs</x:v>
      </x:c>
      <x:c r="C544" s="117" t="str">
        <x:v>Melaka</x:v>
      </x:c>
      <x:c r="D544" s="117" t="str">
        <x:v>Alor Gajah</x:v>
      </x:c>
      <x:c r="E544" s="117" t="str">
        <x:v>Nature</x:v>
      </x:c>
      <x:c r="F544" s="117" t="str">
        <x:v>Unclassified</x:v>
      </x:c>
      <x:c r="G544" s="117" t="str">
        <x:v>Outdoor</x:v>
      </x:c>
      <x:c r="H544" s="117" t="str">
        <x:v>Nature; Alor Gajah</x:v>
      </x:c>
      <x:c r="I544" s="117" t="str">
        <x:v>A visitor attraction in Alor Gajah, Melaka, listed in Tourism Malaysia's state travel guide. Venue operation and the precise accessible route require confirmation.</x:v>
      </x:c>
      <x:c r="J544" s="117" t="str">
        <x:v>https://ebrochures.malaysia.travel/en/malaysia-travel-guide/melaka/</x:v>
      </x:c>
      <x:c r="K544" s="117" t="str">
        <x:v>https://ebrochures.malaysia.travel/en/malaysia-travel-guide/melaka/</x:v>
      </x:c>
      <x:c r="L544" s="117" t="str">
        <x:v>Tourism Malaysia listing; operation unconfirmed</x:v>
      </x:c>
      <x:c r="M544" s="117" t="str">
        <x:v>Nationwide expansion 2026-09-08</x:v>
      </x:c>
      <x:c r="N544" s="117"/>
      <x:c r="O544" s="117" t="str">
        <x:v>2026-09-08</x:v>
      </x:c>
      <x:c r="P544" s="117" t="str">
        <x:v>Complete</x:v>
      </x:c>
      <x:c r="Q544" s="117"/>
      <x:c r="R544" s="117" t="str">
        <x:f>IF(J544="","Missing Link",IF(AND(ISNUMBER(SEARCH("google.com/maps",J544)),ISERROR(SEARCH(";",J544))),"Discovery Link Only","Source Link Present"))</x:f>
        <x:v>Source Link Present</x:v>
      </x:c>
      <x:c r="S544" s="117" t="str">
        <x:v>Unknown</x:v>
      </x:c>
      <x:c r="T544" s="117" t="str">
        <x:v>Unknown</x:v>
      </x:c>
      <x:c r="U544" s="117" t="str">
        <x:v>Unknown</x:v>
      </x:c>
      <x:c r="V544" s="117" t="str">
        <x:v>Unknown</x:v>
      </x:c>
      <x:c r="W544" s="117" t="str">
        <x:v>Unknown</x:v>
      </x:c>
      <x:c r="X544" s="117" t="str">
        <x:v>Unknown</x:v>
      </x:c>
      <x:c r="Y544" s="117" t="str">
        <x:v>Unknown</x:v>
      </x:c>
      <x:c r="Z544" s="117"/>
      <x:c r="AA544" s="117" t="str">
        <x:v>Pending evidence</x:v>
      </x:c>
      <x:c r="AB544" s="117"/>
      <x:c r="AC544" s="117" t="str">
        <x:v>No qualifying accessibility conclusion established from the screened sources. This is unknown, not evidence that the attraction is inaccessible.</x:v>
      </x:c>
      <x:c r="AD544" s="117" t="str">
        <x:v>2026-09-08</x:v>
      </x:c>
      <x:c r="AE544" s="117" t="str">
        <x:v>MC0541</x:v>
      </x:c>
      <x:c r="AF544" s="117" t="str">
        <x:v>Distinct candidate</x:v>
      </x:c>
      <x:c r="AG544" s="117" t="str"/>
      <x:c r="AH544" s="117" t="str">
        <x:v>Listed by Tourism Malaysia</x:v>
      </x:c>
      <x:c r="AI544" s="117" t="str">
        <x:v>https://ebrochures.malaysia.travel/en/malaysia-travel-guide/melaka/</x:v>
      </x:c>
      <x:c r="AJ544" s="117" t="str">
        <x:v>Named visitor attraction in cited source; state-guide listings can be historical. Locality is catalogue metadata, not a surveyed address. Current operation remains unconfirmed.</x:v>
      </x:c>
      <x:c r="AK544" s="117" t="str">
        <x:v>Not independently confirmed</x:v>
      </x:c>
      <x:c r="AL544" s="117" t="str">
        <x:v>Screened sources; accessibility unresolved</x:v>
      </x:c>
      <x:c r="AM544" s="117" t="str">
        <x:v>2026-09-08</x:v>
      </x:c>
      <x:c r="AN544" s="117"/>
      <x:c r="AO544" s="117"/>
      <x:c r="AP544" s="117" t="str">
        <x:v>No usable pair located; image research pending</x:v>
      </x:c>
      <x:c r="AQ544" s="117"/>
    </x:row>
    <x:row r="545" ht="66" customHeight="1">
      <x:c r="A545" s="117" t="str">
        <x:v>MC0542</x:v>
      </x:c>
      <x:c r="B545" s="117" t="str">
        <x:v>Pulau Besar Melaka</x:v>
      </x:c>
      <x:c r="C545" s="117" t="str">
        <x:v>Melaka</x:v>
      </x:c>
      <x:c r="D545" s="117" t="str">
        <x:v>Jasin</x:v>
      </x:c>
      <x:c r="E545" s="117" t="str">
        <x:v>Beach and Island</x:v>
      </x:c>
      <x:c r="F545" s="117" t="str">
        <x:v>Unclassified</x:v>
      </x:c>
      <x:c r="G545" s="117" t="str">
        <x:v>Outdoor</x:v>
      </x:c>
      <x:c r="H545" s="117" t="str">
        <x:v>Beach and Island; Jasin</x:v>
      </x:c>
      <x:c r="I545" s="117" t="str">
        <x:v>A visitor attraction in Jasin, Melaka, listed in Tourism Malaysia's state travel guide. Venue operation and the precise accessible route require confirmation.</x:v>
      </x:c>
      <x:c r="J545" s="117" t="str">
        <x:v>https://ebrochures.malaysia.travel/en/malaysia-travel-guide/melaka/</x:v>
      </x:c>
      <x:c r="K545" s="117" t="str">
        <x:v>https://ebrochures.malaysia.travel/en/malaysia-travel-guide/melaka/</x:v>
      </x:c>
      <x:c r="L545" s="117" t="str">
        <x:v>Tourism Malaysia listing; operation unconfirmed</x:v>
      </x:c>
      <x:c r="M545" s="117" t="str">
        <x:v>Nationwide expansion 2026-09-08</x:v>
      </x:c>
      <x:c r="N545" s="117"/>
      <x:c r="O545" s="117" t="str">
        <x:v>2026-09-08</x:v>
      </x:c>
      <x:c r="P545" s="117" t="str">
        <x:v>Complete</x:v>
      </x:c>
      <x:c r="Q545" s="117"/>
      <x:c r="R545" s="117" t="str">
        <x:f>IF(J545="","Missing Link",IF(AND(ISNUMBER(SEARCH("google.com/maps",J545)),ISERROR(SEARCH(";",J545))),"Discovery Link Only","Source Link Present"))</x:f>
        <x:v>Source Link Present</x:v>
      </x:c>
      <x:c r="S545" s="117" t="str">
        <x:v>Unknown</x:v>
      </x:c>
      <x:c r="T545" s="117" t="str">
        <x:v>Unknown</x:v>
      </x:c>
      <x:c r="U545" s="117" t="str">
        <x:v>Unknown</x:v>
      </x:c>
      <x:c r="V545" s="117" t="str">
        <x:v>Unknown</x:v>
      </x:c>
      <x:c r="W545" s="117" t="str">
        <x:v>Unknown</x:v>
      </x:c>
      <x:c r="X545" s="117" t="str">
        <x:v>Unknown</x:v>
      </x:c>
      <x:c r="Y545" s="117" t="str">
        <x:v>Unknown</x:v>
      </x:c>
      <x:c r="Z545" s="117"/>
      <x:c r="AA545" s="117" t="str">
        <x:v>Pending evidence</x:v>
      </x:c>
      <x:c r="AB545" s="117"/>
      <x:c r="AC545" s="117" t="str">
        <x:v>No qualifying accessibility conclusion established from the screened sources. This is unknown, not evidence that the attraction is inaccessible.</x:v>
      </x:c>
      <x:c r="AD545" s="117" t="str">
        <x:v>2026-09-08</x:v>
      </x:c>
      <x:c r="AE545" s="117" t="str">
        <x:v>MC0542</x:v>
      </x:c>
      <x:c r="AF545" s="117" t="str">
        <x:v>Distinct candidate</x:v>
      </x:c>
      <x:c r="AG545" s="117" t="str"/>
      <x:c r="AH545" s="117" t="str">
        <x:v>Listed by Tourism Malaysia</x:v>
      </x:c>
      <x:c r="AI545" s="117" t="str">
        <x:v>https://ebrochures.malaysia.travel/en/malaysia-travel-guide/melaka/</x:v>
      </x:c>
      <x:c r="AJ545" s="117" t="str">
        <x:v>Named visitor attraction in cited source; state-guide listings can be historical. Locality is catalogue metadata, not a surveyed address. Current operation remains unconfirmed.</x:v>
      </x:c>
      <x:c r="AK545" s="117" t="str">
        <x:v>Not independently confirmed</x:v>
      </x:c>
      <x:c r="AL545" s="117" t="str">
        <x:v>Screened sources; accessibility unresolved</x:v>
      </x:c>
      <x:c r="AM545" s="117" t="str">
        <x:v>2026-09-08</x:v>
      </x:c>
      <x:c r="AN545" s="117" t="str">
        <x:v>https://upload.wikimedia.org/wikipedia/commons/5/58/Mohd_Islam_Abdul_Amin_At_Pulau_Besar_Melaka.png?utm_source=commons.wikimedia.org&amp;utm_campaign=imageinfo&amp;utm_content=thumbnail_unscaled</x:v>
      </x:c>
      <x:c r="AO545" s="117"/>
      <x:c r="AP545" s="117" t="str">
        <x:v>1 metadata-matched images; visual review pending</x:v>
      </x:c>
      <x:c r="AQ545" s="117"/>
    </x:row>
    <x:row r="546" ht="66" customHeight="1">
      <x:c r="A546" s="117" t="str">
        <x:v>MC0543</x:v>
      </x:c>
      <x:c r="B546" s="117" t="str">
        <x:v>Sungai Rambai River Cruise</x:v>
      </x:c>
      <x:c r="C546" s="117" t="str">
        <x:v>Melaka</x:v>
      </x:c>
      <x:c r="D546" s="117" t="str">
        <x:v>Jasin</x:v>
      </x:c>
      <x:c r="E546" s="117" t="str">
        <x:v>Scenic Transport</x:v>
      </x:c>
      <x:c r="F546" s="117" t="str">
        <x:v>Unclassified</x:v>
      </x:c>
      <x:c r="G546" s="117" t="str">
        <x:v>Both</x:v>
      </x:c>
      <x:c r="H546" s="117" t="str">
        <x:v>Scenic Transport; Jasin</x:v>
      </x:c>
      <x:c r="I546" s="117" t="str">
        <x:v>A visitor attraction in Jasin, Melaka, listed in Tourism Malaysia's state travel guide. Venue operation and the precise accessible route require confirmation.</x:v>
      </x:c>
      <x:c r="J546" s="117" t="str">
        <x:v>https://ebrochures.malaysia.travel/en/malaysia-travel-guide/melaka/</x:v>
      </x:c>
      <x:c r="K546" s="117" t="str">
        <x:v>https://ebrochures.malaysia.travel/en/malaysia-travel-guide/melaka/</x:v>
      </x:c>
      <x:c r="L546" s="117" t="str">
        <x:v>Tourism Malaysia listing; operation unconfirmed</x:v>
      </x:c>
      <x:c r="M546" s="117" t="str">
        <x:v>Nationwide expansion 2026-09-08</x:v>
      </x:c>
      <x:c r="N546" s="117"/>
      <x:c r="O546" s="117" t="str">
        <x:v>2026-09-08</x:v>
      </x:c>
      <x:c r="P546" s="117" t="str">
        <x:v>Complete</x:v>
      </x:c>
      <x:c r="Q546" s="117"/>
      <x:c r="R546" s="117" t="str">
        <x:f>IF(J546="","Missing Link",IF(AND(ISNUMBER(SEARCH("google.com/maps",J546)),ISERROR(SEARCH(";",J546))),"Discovery Link Only","Source Link Present"))</x:f>
        <x:v>Source Link Present</x:v>
      </x:c>
      <x:c r="S546" s="117" t="str">
        <x:v>Unknown</x:v>
      </x:c>
      <x:c r="T546" s="117" t="str">
        <x:v>Unknown</x:v>
      </x:c>
      <x:c r="U546" s="117" t="str">
        <x:v>Unknown</x:v>
      </x:c>
      <x:c r="V546" s="117" t="str">
        <x:v>Unknown</x:v>
      </x:c>
      <x:c r="W546" s="117" t="str">
        <x:v>Unknown</x:v>
      </x:c>
      <x:c r="X546" s="117" t="str">
        <x:v>Unknown</x:v>
      </x:c>
      <x:c r="Y546" s="117" t="str">
        <x:v>Unknown</x:v>
      </x:c>
      <x:c r="Z546" s="117"/>
      <x:c r="AA546" s="117" t="str">
        <x:v>Pending evidence</x:v>
      </x:c>
      <x:c r="AB546" s="117"/>
      <x:c r="AC546" s="117" t="str">
        <x:v>No qualifying accessibility conclusion established from the screened sources. This is unknown, not evidence that the attraction is inaccessible.</x:v>
      </x:c>
      <x:c r="AD546" s="117" t="str">
        <x:v>2026-09-08</x:v>
      </x:c>
      <x:c r="AE546" s="117" t="str">
        <x:v>MC0543</x:v>
      </x:c>
      <x:c r="AF546" s="117" t="str">
        <x:v>Distinct candidate</x:v>
      </x:c>
      <x:c r="AG546" s="117" t="str"/>
      <x:c r="AH546" s="117" t="str">
        <x:v>Listed by Tourism Malaysia</x:v>
      </x:c>
      <x:c r="AI546" s="117" t="str">
        <x:v>https://ebrochures.malaysia.travel/en/malaysia-travel-guide/melaka/</x:v>
      </x:c>
      <x:c r="AJ546" s="117" t="str">
        <x:v>Named visitor attraction in cited source; state-guide listings can be historical. Locality is catalogue metadata, not a surveyed address. Current operation remains unconfirmed.</x:v>
      </x:c>
      <x:c r="AK546" s="117" t="str">
        <x:v>Not independently confirmed</x:v>
      </x:c>
      <x:c r="AL546" s="117" t="str">
        <x:v>Screened sources; accessibility unresolved</x:v>
      </x:c>
      <x:c r="AM546" s="117" t="str">
        <x:v>2026-09-08</x:v>
      </x:c>
      <x:c r="AN546" s="117"/>
      <x:c r="AO546" s="117"/>
      <x:c r="AP546" s="117" t="str">
        <x:v>No usable pair located; image research pending</x:v>
      </x:c>
      <x:c r="AQ546" s="117"/>
    </x:row>
    <x:row r="547" ht="66" customHeight="1">
      <x:c r="A547" s="117" t="str">
        <x:v>MC0544</x:v>
      </x:c>
      <x:c r="B547" s="117" t="str">
        <x:v>Bukit Batu Lebah Recreational Forest</x:v>
      </x:c>
      <x:c r="C547" s="117" t="str">
        <x:v>Melaka</x:v>
      </x:c>
      <x:c r="D547" s="117" t="str">
        <x:v>Jasin</x:v>
      </x:c>
      <x:c r="E547" s="117" t="str">
        <x:v>Nature</x:v>
      </x:c>
      <x:c r="F547" s="117" t="str">
        <x:v>Unclassified</x:v>
      </x:c>
      <x:c r="G547" s="117" t="str">
        <x:v>Outdoor</x:v>
      </x:c>
      <x:c r="H547" s="117" t="str">
        <x:v>Nature; Jasin</x:v>
      </x:c>
      <x:c r="I547" s="117" t="str">
        <x:v>A visitor attraction in Jasin, Melaka, listed in Tourism Malaysia's state travel guide. Venue operation and the precise accessible route require confirmation.</x:v>
      </x:c>
      <x:c r="J547" s="117" t="str">
        <x:v>https://ebrochures.malaysia.travel/en/malaysia-travel-guide/melaka/</x:v>
      </x:c>
      <x:c r="K547" s="117" t="str">
        <x:v>https://ebrochures.malaysia.travel/en/malaysia-travel-guide/melaka/</x:v>
      </x:c>
      <x:c r="L547" s="117" t="str">
        <x:v>Tourism Malaysia listing; operation unconfirmed</x:v>
      </x:c>
      <x:c r="M547" s="117" t="str">
        <x:v>Nationwide expansion 2026-09-08</x:v>
      </x:c>
      <x:c r="N547" s="117"/>
      <x:c r="O547" s="117" t="str">
        <x:v>2026-09-08</x:v>
      </x:c>
      <x:c r="P547" s="117" t="str">
        <x:v>Complete</x:v>
      </x:c>
      <x:c r="Q547" s="117"/>
      <x:c r="R547" s="117" t="str">
        <x:f>IF(J547="","Missing Link",IF(AND(ISNUMBER(SEARCH("google.com/maps",J547)),ISERROR(SEARCH(";",J547))),"Discovery Link Only","Source Link Present"))</x:f>
        <x:v>Source Link Present</x:v>
      </x:c>
      <x:c r="S547" s="117" t="str">
        <x:v>Unknown</x:v>
      </x:c>
      <x:c r="T547" s="117" t="str">
        <x:v>Unknown</x:v>
      </x:c>
      <x:c r="U547" s="117" t="str">
        <x:v>Unknown</x:v>
      </x:c>
      <x:c r="V547" s="117" t="str">
        <x:v>Unknown</x:v>
      </x:c>
      <x:c r="W547" s="117" t="str">
        <x:v>Unknown</x:v>
      </x:c>
      <x:c r="X547" s="117" t="str">
        <x:v>Unknown</x:v>
      </x:c>
      <x:c r="Y547" s="117" t="str">
        <x:v>Unknown</x:v>
      </x:c>
      <x:c r="Z547" s="117"/>
      <x:c r="AA547" s="117" t="str">
        <x:v>Pending evidence</x:v>
      </x:c>
      <x:c r="AB547" s="117"/>
      <x:c r="AC547" s="117" t="str">
        <x:v>No qualifying accessibility conclusion established from the screened sources. This is unknown, not evidence that the attraction is inaccessible.</x:v>
      </x:c>
      <x:c r="AD547" s="117" t="str">
        <x:v>2026-09-08</x:v>
      </x:c>
      <x:c r="AE547" s="117" t="str">
        <x:v>MC0544</x:v>
      </x:c>
      <x:c r="AF547" s="117" t="str">
        <x:v>Distinct candidate</x:v>
      </x:c>
      <x:c r="AG547" s="117" t="str"/>
      <x:c r="AH547" s="117" t="str">
        <x:v>Listed by Tourism Malaysia</x:v>
      </x:c>
      <x:c r="AI547" s="117" t="str">
        <x:v>https://ebrochures.malaysia.travel/en/malaysia-travel-guide/melaka/</x:v>
      </x:c>
      <x:c r="AJ547" s="117" t="str">
        <x:v>Named visitor attraction in cited source; state-guide listings can be historical. Locality is catalogue metadata, not a surveyed address. Current operation remains unconfirmed.</x:v>
      </x:c>
      <x:c r="AK547" s="117" t="str">
        <x:v>Not independently confirmed</x:v>
      </x:c>
      <x:c r="AL547" s="117" t="str">
        <x:v>Screened sources; accessibility unresolved</x:v>
      </x:c>
      <x:c r="AM547" s="117" t="str">
        <x:v>2026-09-08</x:v>
      </x:c>
      <x:c r="AN547" s="117" t="str">
        <x:v>https://thumb.wikimedia.org/wikipedia/commons/thumb/4/44/Bukit_Batu_Lebah_Recreational_Forest.JPG/1280px-Bukit_Batu_Lebah_Recreational_Forest.JPG?utm_source=commons.wikimedia.org&amp;utm_campaign=imageinfo&amp;utm_content=thumbnail</x:v>
      </x:c>
      <x:c r="AO547" s="117"/>
      <x:c r="AP547" s="117" t="str">
        <x:v>1 metadata-matched images; visual review pending</x:v>
      </x:c>
      <x:c r="AQ547" s="117"/>
    </x:row>
    <x:row r="548" ht="66" customHeight="1">
      <x:c r="A548" s="117" t="str">
        <x:v>MC0545</x:v>
      </x:c>
      <x:c r="B548" s="117" t="str">
        <x:v>Tun Teja Mausoleum</x:v>
      </x:c>
      <x:c r="C548" s="117" t="str">
        <x:v>Melaka</x:v>
      </x:c>
      <x:c r="D548" s="117" t="str">
        <x:v>Jasin</x:v>
      </x:c>
      <x:c r="E548" s="117" t="str">
        <x:v>Heritage and Visitor Attraction</x:v>
      </x:c>
      <x:c r="F548" s="117" t="str">
        <x:v>Unclassified</x:v>
      </x:c>
      <x:c r="G548" s="117" t="str">
        <x:v>Both</x:v>
      </x:c>
      <x:c r="H548" s="117" t="str">
        <x:v>Heritage and Visitor Attraction; Jasin</x:v>
      </x:c>
      <x:c r="I548" s="117" t="str">
        <x:v>A visitor attraction in Jasin, Melaka, listed in Tourism Malaysia's state travel guide. Venue operation and the precise accessible route require confirmation.</x:v>
      </x:c>
      <x:c r="J548" s="117" t="str">
        <x:v>https://ebrochures.malaysia.travel/en/malaysia-travel-guide/melaka/</x:v>
      </x:c>
      <x:c r="K548" s="117" t="str">
        <x:v>https://ebrochures.malaysia.travel/en/malaysia-travel-guide/melaka/</x:v>
      </x:c>
      <x:c r="L548" s="117" t="str">
        <x:v>Tourism Malaysia listing; operation unconfirmed</x:v>
      </x:c>
      <x:c r="M548" s="117" t="str">
        <x:v>Nationwide expansion 2026-09-08</x:v>
      </x:c>
      <x:c r="N548" s="117"/>
      <x:c r="O548" s="117" t="str">
        <x:v>2026-09-08</x:v>
      </x:c>
      <x:c r="P548" s="117" t="str">
        <x:v>Complete</x:v>
      </x:c>
      <x:c r="Q548" s="117"/>
      <x:c r="R548" s="117" t="str">
        <x:f>IF(J548="","Missing Link",IF(AND(ISNUMBER(SEARCH("google.com/maps",J548)),ISERROR(SEARCH(";",J548))),"Discovery Link Only","Source Link Present"))</x:f>
        <x:v>Source Link Present</x:v>
      </x:c>
      <x:c r="S548" s="117" t="str">
        <x:v>Unknown</x:v>
      </x:c>
      <x:c r="T548" s="117" t="str">
        <x:v>Unknown</x:v>
      </x:c>
      <x:c r="U548" s="117" t="str">
        <x:v>Unknown</x:v>
      </x:c>
      <x:c r="V548" s="117" t="str">
        <x:v>Unknown</x:v>
      </x:c>
      <x:c r="W548" s="117" t="str">
        <x:v>Unknown</x:v>
      </x:c>
      <x:c r="X548" s="117" t="str">
        <x:v>Unknown</x:v>
      </x:c>
      <x:c r="Y548" s="117" t="str">
        <x:v>Unknown</x:v>
      </x:c>
      <x:c r="Z548" s="117"/>
      <x:c r="AA548" s="117" t="str">
        <x:v>Pending evidence</x:v>
      </x:c>
      <x:c r="AB548" s="117"/>
      <x:c r="AC548" s="117" t="str">
        <x:v>No qualifying accessibility conclusion established from the screened sources. This is unknown, not evidence that the attraction is inaccessible.</x:v>
      </x:c>
      <x:c r="AD548" s="117" t="str">
        <x:v>2026-09-08</x:v>
      </x:c>
      <x:c r="AE548" s="117" t="str">
        <x:v>MC0545</x:v>
      </x:c>
      <x:c r="AF548" s="117" t="str">
        <x:v>Distinct candidate</x:v>
      </x:c>
      <x:c r="AG548" s="117" t="str"/>
      <x:c r="AH548" s="117" t="str">
        <x:v>Listed by Tourism Malaysia</x:v>
      </x:c>
      <x:c r="AI548" s="117" t="str">
        <x:v>https://ebrochures.malaysia.travel/en/malaysia-travel-guide/melaka/</x:v>
      </x:c>
      <x:c r="AJ548" s="117" t="str">
        <x:v>Named visitor attraction in cited source; state-guide listings can be historical. Locality is catalogue metadata, not a surveyed address. Current operation remains unconfirmed.</x:v>
      </x:c>
      <x:c r="AK548" s="117" t="str">
        <x:v>Not independently confirmed</x:v>
      </x:c>
      <x:c r="AL548" s="117" t="str">
        <x:v>Screened sources; accessibility unresolved</x:v>
      </x:c>
      <x:c r="AM548" s="117" t="str">
        <x:v>2026-09-08</x:v>
      </x:c>
      <x:c r="AN548" s="117" t="str">
        <x:v>https://thumb.wikimedia.org/wikipedia/commons/thumb/8/81/Tun_Teja_Mausoleum_-_Entrance_Gate.JPG/1280px-Tun_Teja_Mausoleum_-_Entrance_Gate.JPG?utm_source=commons.wikimedia.org&amp;utm_campaign=imageinfo&amp;utm_content=thumbnail</x:v>
      </x:c>
      <x:c r="AO548" s="117" t="str">
        <x:v>https://thumb.wikimedia.org/wikipedia/commons/thumb/a/ab/Tun_Teja_Mausoleum.jpg/1280px-Tun_Teja_Mausoleum.jpg?utm_source=commons.wikimedia.org&amp;utm_campaign=imageinfo&amp;utm_content=thumbnail</x:v>
      </x:c>
      <x:c r="AP548" s="117" t="str">
        <x:v>2 metadata-matched images; visual review pending</x:v>
      </x:c>
      <x:c r="AQ548" s="117"/>
    </x:row>
    <x:row r="549" ht="66" customHeight="1">
      <x:c r="A549" s="117" t="str">
        <x:v>MC0546</x:v>
      </x:c>
      <x:c r="B549" s="117" t="str">
        <x:v>Portuguese Well Merlimau</x:v>
      </x:c>
      <x:c r="C549" s="117" t="str">
        <x:v>Melaka</x:v>
      </x:c>
      <x:c r="D549" s="117" t="str">
        <x:v>Jasin</x:v>
      </x:c>
      <x:c r="E549" s="117" t="str">
        <x:v>Heritage and Visitor Attraction</x:v>
      </x:c>
      <x:c r="F549" s="117" t="str">
        <x:v>Unclassified</x:v>
      </x:c>
      <x:c r="G549" s="117" t="str">
        <x:v>Both</x:v>
      </x:c>
      <x:c r="H549" s="117" t="str">
        <x:v>Heritage and Visitor Attraction; Jasin</x:v>
      </x:c>
      <x:c r="I549" s="117" t="str">
        <x:v>A visitor attraction in Jasin, Melaka, listed in Tourism Malaysia's state travel guide. Venue operation and the precise accessible route require confirmation.</x:v>
      </x:c>
      <x:c r="J549" s="117" t="str">
        <x:v>https://ebrochures.malaysia.travel/en/malaysia-travel-guide/melaka/</x:v>
      </x:c>
      <x:c r="K549" s="117" t="str">
        <x:v>https://ebrochures.malaysia.travel/en/malaysia-travel-guide/melaka/</x:v>
      </x:c>
      <x:c r="L549" s="117" t="str">
        <x:v>Tourism Malaysia listing; operation unconfirmed</x:v>
      </x:c>
      <x:c r="M549" s="117" t="str">
        <x:v>Nationwide expansion 2026-09-08</x:v>
      </x:c>
      <x:c r="N549" s="117"/>
      <x:c r="O549" s="117" t="str">
        <x:v>2026-09-08</x:v>
      </x:c>
      <x:c r="P549" s="117" t="str">
        <x:v>Complete</x:v>
      </x:c>
      <x:c r="Q549" s="117"/>
      <x:c r="R549" s="117" t="str">
        <x:f>IF(J549="","Missing Link",IF(AND(ISNUMBER(SEARCH("google.com/maps",J549)),ISERROR(SEARCH(";",J549))),"Discovery Link Only","Source Link Present"))</x:f>
        <x:v>Source Link Present</x:v>
      </x:c>
      <x:c r="S549" s="117" t="str">
        <x:v>Unknown</x:v>
      </x:c>
      <x:c r="T549" s="117" t="str">
        <x:v>Unknown</x:v>
      </x:c>
      <x:c r="U549" s="117" t="str">
        <x:v>Unknown</x:v>
      </x:c>
      <x:c r="V549" s="117" t="str">
        <x:v>Unknown</x:v>
      </x:c>
      <x:c r="W549" s="117" t="str">
        <x:v>Unknown</x:v>
      </x:c>
      <x:c r="X549" s="117" t="str">
        <x:v>Unknown</x:v>
      </x:c>
      <x:c r="Y549" s="117" t="str">
        <x:v>Unknown</x:v>
      </x:c>
      <x:c r="Z549" s="117"/>
      <x:c r="AA549" s="117" t="str">
        <x:v>Pending evidence</x:v>
      </x:c>
      <x:c r="AB549" s="117"/>
      <x:c r="AC549" s="117" t="str">
        <x:v>No qualifying accessibility conclusion established from the screened sources. This is unknown, not evidence that the attraction is inaccessible.</x:v>
      </x:c>
      <x:c r="AD549" s="117" t="str">
        <x:v>2026-09-08</x:v>
      </x:c>
      <x:c r="AE549" s="117" t="str">
        <x:v>MC0546</x:v>
      </x:c>
      <x:c r="AF549" s="117" t="str">
        <x:v>Distinct candidate</x:v>
      </x:c>
      <x:c r="AG549" s="117" t="str"/>
      <x:c r="AH549" s="117" t="str">
        <x:v>Listed by Tourism Malaysia</x:v>
      </x:c>
      <x:c r="AI549" s="117" t="str">
        <x:v>https://ebrochures.malaysia.travel/en/malaysia-travel-guide/melaka/</x:v>
      </x:c>
      <x:c r="AJ549" s="117" t="str">
        <x:v>Named visitor attraction in cited source; state-guide listings can be historical. Locality is catalogue metadata, not a surveyed address. Current operation remains unconfirmed.</x:v>
      </x:c>
      <x:c r="AK549" s="117" t="str">
        <x:v>Not independently confirmed</x:v>
      </x:c>
      <x:c r="AL549" s="117" t="str">
        <x:v>Screened sources; accessibility unresolved</x:v>
      </x:c>
      <x:c r="AM549" s="117" t="str">
        <x:v>2026-09-08</x:v>
      </x:c>
      <x:c r="AN549" s="117" t="str">
        <x:v>https://thumb.wikimedia.org/wikipedia/commons/thumb/2/2e/Portuguese_Well_-_Entrance_Gate.JPG/1280px-Portuguese_Well_-_Entrance_Gate.JPG?utm_source=commons.wikimedia.org&amp;utm_campaign=imageinfo&amp;utm_content=thumbnail</x:v>
      </x:c>
      <x:c r="AO549" s="117" t="str">
        <x:v>https://thumb.wikimedia.org/wikipedia/commons/thumb/0/05/Portuguese_Well.JPG/1280px-Portuguese_Well.JPG?utm_source=commons.wikimedia.org&amp;utm_campaign=imageinfo&amp;utm_content=thumbnail</x:v>
      </x:c>
      <x:c r="AP549" s="117" t="str">
        <x:v>2 metadata-matched images; visual review pending</x:v>
      </x:c>
      <x:c r="AQ549" s="117"/>
    </x:row>
    <x:row r="550" ht="66" customHeight="1">
      <x:c r="A550" s="117" t="str">
        <x:v>MC0547</x:v>
      </x:c>
      <x:c r="B550" s="117" t="str">
        <x:v>Sungai Menyala Eco-Edu Tourism Centre</x:v>
      </x:c>
      <x:c r="C550" s="117" t="str">
        <x:v>Negeri Sembilan</x:v>
      </x:c>
      <x:c r="D550" s="117" t="str">
        <x:v>Port Dickson</x:v>
      </x:c>
      <x:c r="E550" s="117" t="str">
        <x:v>Heritage and Visitor Attraction</x:v>
      </x:c>
      <x:c r="F550" s="117" t="str">
        <x:v>Unclassified</x:v>
      </x:c>
      <x:c r="G550" s="117" t="str">
        <x:v>Both</x:v>
      </x:c>
      <x:c r="H550" s="117" t="str">
        <x:v>Heritage and Visitor Attraction; Port Dickson</x:v>
      </x:c>
      <x:c r="I550" s="117" t="str">
        <x:v>A visitor attraction in Port Dickson, Negeri Sembilan, listed in Tourism Malaysia's state travel guide. Venue operation and the precise accessible route require confirmation.</x:v>
      </x:c>
      <x:c r="J550" s="117" t="str">
        <x:v>https://ebrochures.malaysia.travel/en/malaysia-travel-guide/negeri-sembilan/</x:v>
      </x:c>
      <x:c r="K550" s="117" t="str">
        <x:v>https://ebrochures.malaysia.travel/en/malaysia-travel-guide/negeri-sembilan/</x:v>
      </x:c>
      <x:c r="L550" s="117" t="str">
        <x:v>Tourism Malaysia listing; operation unconfirmed</x:v>
      </x:c>
      <x:c r="M550" s="117" t="str">
        <x:v>Nationwide expansion 2026-09-08</x:v>
      </x:c>
      <x:c r="N550" s="117"/>
      <x:c r="O550" s="117" t="str">
        <x:v>2026-09-08</x:v>
      </x:c>
      <x:c r="P550" s="117" t="str">
        <x:v>Complete</x:v>
      </x:c>
      <x:c r="Q550" s="117"/>
      <x:c r="R550" s="117" t="str">
        <x:f>IF(J550="","Missing Link",IF(AND(ISNUMBER(SEARCH("google.com/maps",J550)),ISERROR(SEARCH(";",J550))),"Discovery Link Only","Source Link Present"))</x:f>
        <x:v>Source Link Present</x:v>
      </x:c>
      <x:c r="S550" s="117" t="str">
        <x:v>Unknown</x:v>
      </x:c>
      <x:c r="T550" s="117" t="str">
        <x:v>Unknown</x:v>
      </x:c>
      <x:c r="U550" s="117" t="str">
        <x:v>Unknown</x:v>
      </x:c>
      <x:c r="V550" s="117" t="str">
        <x:v>Unknown</x:v>
      </x:c>
      <x:c r="W550" s="117" t="str">
        <x:v>Unknown</x:v>
      </x:c>
      <x:c r="X550" s="117" t="str">
        <x:v>Unknown</x:v>
      </x:c>
      <x:c r="Y550" s="117" t="str">
        <x:v>Unknown</x:v>
      </x:c>
      <x:c r="Z550" s="117"/>
      <x:c r="AA550" s="117" t="str">
        <x:v>Pending evidence</x:v>
      </x:c>
      <x:c r="AB550" s="117"/>
      <x:c r="AC550" s="117" t="str">
        <x:v>No qualifying accessibility conclusion established from the screened sources. This is unknown, not evidence that the attraction is inaccessible.</x:v>
      </x:c>
      <x:c r="AD550" s="117" t="str">
        <x:v>2026-09-08</x:v>
      </x:c>
      <x:c r="AE550" s="117" t="str">
        <x:v>MC0547</x:v>
      </x:c>
      <x:c r="AF550" s="117" t="str">
        <x:v>Distinct candidate</x:v>
      </x:c>
      <x:c r="AG550" s="117" t="str"/>
      <x:c r="AH550" s="117" t="str">
        <x:v>Listed by Tourism Malaysia</x:v>
      </x:c>
      <x:c r="AI550" s="117" t="str">
        <x:v>https://ebrochures.malaysia.travel/en/malaysia-travel-guide/negeri-sembilan/</x:v>
      </x:c>
      <x:c r="AJ550" s="117" t="str">
        <x:v>Named visitor attraction in cited source; state-guide listings can be historical. Locality is catalogue metadata, not a surveyed address. Current operation remains unconfirmed.</x:v>
      </x:c>
      <x:c r="AK550" s="117" t="str">
        <x:v>Not independently confirmed</x:v>
      </x:c>
      <x:c r="AL550" s="117" t="str">
        <x:v>Screened sources; accessibility unresolved</x:v>
      </x:c>
      <x:c r="AM550" s="117" t="str">
        <x:v>2026-09-08</x:v>
      </x:c>
      <x:c r="AN550" s="117"/>
      <x:c r="AO550" s="117"/>
      <x:c r="AP550" s="117" t="str">
        <x:v>No usable pair located; image research pending</x:v>
      </x:c>
      <x:c r="AQ550" s="117"/>
    </x:row>
    <x:row r="551" ht="66" customHeight="1">
      <x:c r="A551" s="117" t="str">
        <x:v>MC0548</x:v>
      </x:c>
      <x:c r="B551" s="117" t="str">
        <x:v>Alive 3D Art Gallery</x:v>
      </x:c>
      <x:c r="C551" s="117" t="str">
        <x:v>Negeri Sembilan</x:v>
      </x:c>
      <x:c r="D551" s="117" t="str">
        <x:v>Port Dickson</x:v>
      </x:c>
      <x:c r="E551" s="117" t="str">
        <x:v>Museum and Gallery</x:v>
      </x:c>
      <x:c r="F551" s="117" t="str">
        <x:v>Unclassified</x:v>
      </x:c>
      <x:c r="G551" s="117" t="str">
        <x:v>Indoor</x:v>
      </x:c>
      <x:c r="H551" s="117" t="str">
        <x:v>Museum and Gallery; Port Dickson</x:v>
      </x:c>
      <x:c r="I551" s="117" t="str">
        <x:v>A visitor attraction in Port Dickson, Negeri Sembilan, listed in Tourism Malaysia's state travel guide. Venue operation and the precise accessible route require confirmation.</x:v>
      </x:c>
      <x:c r="J551" s="117" t="str">
        <x:v>https://ebrochures.malaysia.travel/en/malaysia-travel-guide/negeri-sembilan/</x:v>
      </x:c>
      <x:c r="K551" s="117" t="str">
        <x:v>https://ebrochures.malaysia.travel/en/malaysia-travel-guide/negeri-sembilan/</x:v>
      </x:c>
      <x:c r="L551" s="117" t="str">
        <x:v>Tourism Malaysia listing; operation unconfirmed</x:v>
      </x:c>
      <x:c r="M551" s="117" t="str">
        <x:v>Nationwide expansion 2026-09-08</x:v>
      </x:c>
      <x:c r="N551" s="117"/>
      <x:c r="O551" s="117" t="str">
        <x:v>2026-09-08</x:v>
      </x:c>
      <x:c r="P551" s="117" t="str">
        <x:v>Complete</x:v>
      </x:c>
      <x:c r="Q551" s="117"/>
      <x:c r="R551" s="117" t="str">
        <x:f>IF(J551="","Missing Link",IF(AND(ISNUMBER(SEARCH("google.com/maps",J551)),ISERROR(SEARCH(";",J551))),"Discovery Link Only","Source Link Present"))</x:f>
        <x:v>Source Link Present</x:v>
      </x:c>
      <x:c r="S551" s="117" t="str">
        <x:v>Unknown</x:v>
      </x:c>
      <x:c r="T551" s="117" t="str">
        <x:v>Unknown</x:v>
      </x:c>
      <x:c r="U551" s="117" t="str">
        <x:v>Unknown</x:v>
      </x:c>
      <x:c r="V551" s="117" t="str">
        <x:v>Unknown</x:v>
      </x:c>
      <x:c r="W551" s="117" t="str">
        <x:v>Unknown</x:v>
      </x:c>
      <x:c r="X551" s="117" t="str">
        <x:v>Unknown</x:v>
      </x:c>
      <x:c r="Y551" s="117" t="str">
        <x:v>Unknown</x:v>
      </x:c>
      <x:c r="Z551" s="117"/>
      <x:c r="AA551" s="117" t="str">
        <x:v>Pending evidence</x:v>
      </x:c>
      <x:c r="AB551" s="117"/>
      <x:c r="AC551" s="117" t="str">
        <x:v>No qualifying accessibility conclusion established from the screened sources. This is unknown, not evidence that the attraction is inaccessible.</x:v>
      </x:c>
      <x:c r="AD551" s="117" t="str">
        <x:v>2026-09-08</x:v>
      </x:c>
      <x:c r="AE551" s="117" t="str">
        <x:v>MC0548</x:v>
      </x:c>
      <x:c r="AF551" s="117" t="str">
        <x:v>Distinct candidate</x:v>
      </x:c>
      <x:c r="AG551" s="117" t="str"/>
      <x:c r="AH551" s="117" t="str">
        <x:v>Listed by Tourism Malaysia</x:v>
      </x:c>
      <x:c r="AI551" s="117" t="str">
        <x:v>https://ebrochures.malaysia.travel/en/malaysia-travel-guide/negeri-sembilan/</x:v>
      </x:c>
      <x:c r="AJ551" s="117" t="str">
        <x:v>Named visitor attraction in cited source; state-guide listings can be historical. Locality is catalogue metadata, not a surveyed address. Current operation remains unconfirmed.</x:v>
      </x:c>
      <x:c r="AK551" s="117" t="str">
        <x:v>Not independently confirmed</x:v>
      </x:c>
      <x:c r="AL551" s="117" t="str">
        <x:v>Screened sources; accessibility unresolved</x:v>
      </x:c>
      <x:c r="AM551" s="117" t="str">
        <x:v>2026-09-08</x:v>
      </x:c>
      <x:c r="AN551" s="117"/>
      <x:c r="AO551" s="117"/>
      <x:c r="AP551" s="117" t="str">
        <x:v>No usable pair located; image research pending</x:v>
      </x:c>
      <x:c r="AQ551" s="117"/>
    </x:row>
    <x:row r="552" ht="66" customHeight="1">
      <x:c r="A552" s="117" t="str">
        <x:v>MC0549</x:v>
      </x:c>
      <x:c r="B552" s="117" t="str">
        <x:v>PD Ostrich Farm</x:v>
      </x:c>
      <x:c r="C552" s="117" t="str">
        <x:v>Negeri Sembilan</x:v>
      </x:c>
      <x:c r="D552" s="117" t="str">
        <x:v>Port Dickson</x:v>
      </x:c>
      <x:c r="E552" s="117" t="str">
        <x:v>Farm and Visitor Experience</x:v>
      </x:c>
      <x:c r="F552" s="117" t="str">
        <x:v>Unclassified</x:v>
      </x:c>
      <x:c r="G552" s="117" t="str">
        <x:v>Both</x:v>
      </x:c>
      <x:c r="H552" s="117" t="str">
        <x:v>Farm and Visitor Experience; Port Dickson</x:v>
      </x:c>
      <x:c r="I552" s="117" t="str">
        <x:v>A visitor attraction in Port Dickson, Negeri Sembilan, listed in Tourism Malaysia's state travel guide. Venue operation and the precise accessible route require confirmation.</x:v>
      </x:c>
      <x:c r="J552" s="117" t="str">
        <x:v>https://ebrochures.malaysia.travel/en/malaysia-travel-guide/negeri-sembilan/</x:v>
      </x:c>
      <x:c r="K552" s="117" t="str">
        <x:v>https://ebrochures.malaysia.travel/en/malaysia-travel-guide/negeri-sembilan/</x:v>
      </x:c>
      <x:c r="L552" s="117" t="str">
        <x:v>Tourism Malaysia listing; operation unconfirmed</x:v>
      </x:c>
      <x:c r="M552" s="117" t="str">
        <x:v>Nationwide expansion 2026-09-08</x:v>
      </x:c>
      <x:c r="N552" s="117"/>
      <x:c r="O552" s="117" t="str">
        <x:v>2026-09-08</x:v>
      </x:c>
      <x:c r="P552" s="117" t="str">
        <x:v>Complete</x:v>
      </x:c>
      <x:c r="Q552" s="117"/>
      <x:c r="R552" s="117" t="str">
        <x:f>IF(J552="","Missing Link",IF(AND(ISNUMBER(SEARCH("google.com/maps",J552)),ISERROR(SEARCH(";",J552))),"Discovery Link Only","Source Link Present"))</x:f>
        <x:v>Source Link Present</x:v>
      </x:c>
      <x:c r="S552" s="117" t="str">
        <x:v>Unknown</x:v>
      </x:c>
      <x:c r="T552" s="117" t="str">
        <x:v>Unknown</x:v>
      </x:c>
      <x:c r="U552" s="117" t="str">
        <x:v>Unknown</x:v>
      </x:c>
      <x:c r="V552" s="117" t="str">
        <x:v>Unknown</x:v>
      </x:c>
      <x:c r="W552" s="117" t="str">
        <x:v>Unknown</x:v>
      </x:c>
      <x:c r="X552" s="117" t="str">
        <x:v>Unknown</x:v>
      </x:c>
      <x:c r="Y552" s="117" t="str">
        <x:v>Unknown</x:v>
      </x:c>
      <x:c r="Z552" s="117"/>
      <x:c r="AA552" s="117" t="str">
        <x:v>Pending evidence</x:v>
      </x:c>
      <x:c r="AB552" s="117"/>
      <x:c r="AC552" s="117" t="str">
        <x:v>No qualifying accessibility conclusion established from the screened sources. This is unknown, not evidence that the attraction is inaccessible.</x:v>
      </x:c>
      <x:c r="AD552" s="117" t="str">
        <x:v>2026-09-08</x:v>
      </x:c>
      <x:c r="AE552" s="117" t="str">
        <x:v>MC0549</x:v>
      </x:c>
      <x:c r="AF552" s="117" t="str">
        <x:v>Distinct candidate</x:v>
      </x:c>
      <x:c r="AG552" s="117" t="str"/>
      <x:c r="AH552" s="117" t="str">
        <x:v>Listed by Tourism Malaysia</x:v>
      </x:c>
      <x:c r="AI552" s="117" t="str">
        <x:v>https://ebrochures.malaysia.travel/en/malaysia-travel-guide/negeri-sembilan/</x:v>
      </x:c>
      <x:c r="AJ552" s="117" t="str">
        <x:v>Named visitor attraction in cited source; state-guide listings can be historical. Locality is catalogue metadata, not a surveyed address. Current operation remains unconfirmed.</x:v>
      </x:c>
      <x:c r="AK552" s="117" t="str">
        <x:v>Not independently confirmed</x:v>
      </x:c>
      <x:c r="AL552" s="117" t="str">
        <x:v>Screened sources; accessibility unresolved</x:v>
      </x:c>
      <x:c r="AM552" s="117" t="str">
        <x:v>2026-09-08</x:v>
      </x:c>
      <x:c r="AN552" s="117"/>
      <x:c r="AO552" s="117"/>
      <x:c r="AP552" s="117" t="str">
        <x:v>No usable pair located; image research pending</x:v>
      </x:c>
      <x:c r="AQ552" s="117"/>
    </x:row>
    <x:row r="553" ht="66" customHeight="1">
      <x:c r="A553" s="117" t="str">
        <x:v>MC0550</x:v>
      </x:c>
      <x:c r="B553" s="117" t="str">
        <x:v>Extreme Park Port Dickson</x:v>
      </x:c>
      <x:c r="C553" s="117" t="str">
        <x:v>Negeri Sembilan</x:v>
      </x:c>
      <x:c r="D553" s="117" t="str">
        <x:v>Port Dickson</x:v>
      </x:c>
      <x:c r="E553" s="117" t="str">
        <x:v>Theme Park</x:v>
      </x:c>
      <x:c r="F553" s="117" t="str">
        <x:v>Unclassified</x:v>
      </x:c>
      <x:c r="G553" s="117" t="str">
        <x:v>Both</x:v>
      </x:c>
      <x:c r="H553" s="117" t="str">
        <x:v>Theme Park; Port Dickson</x:v>
      </x:c>
      <x:c r="I553" s="117" t="str">
        <x:v>A visitor attraction in Port Dickson, Negeri Sembilan, listed in Tourism Malaysia's state travel guide. Venue operation and the precise accessible route require confirmation.</x:v>
      </x:c>
      <x:c r="J553" s="117" t="str">
        <x:v>https://ebrochures.malaysia.travel/en/malaysia-travel-guide/negeri-sembilan/</x:v>
      </x:c>
      <x:c r="K553" s="117" t="str">
        <x:v>https://ebrochures.malaysia.travel/en/malaysia-travel-guide/negeri-sembilan/</x:v>
      </x:c>
      <x:c r="L553" s="117" t="str">
        <x:v>Tourism Malaysia listing; operation unconfirmed</x:v>
      </x:c>
      <x:c r="M553" s="117" t="str">
        <x:v>Nationwide expansion 2026-09-08</x:v>
      </x:c>
      <x:c r="N553" s="117"/>
      <x:c r="O553" s="117" t="str">
        <x:v>2026-09-08</x:v>
      </x:c>
      <x:c r="P553" s="117" t="str">
        <x:v>Complete</x:v>
      </x:c>
      <x:c r="Q553" s="117"/>
      <x:c r="R553" s="117" t="str">
        <x:f>IF(J553="","Missing Link",IF(AND(ISNUMBER(SEARCH("google.com/maps",J553)),ISERROR(SEARCH(";",J553))),"Discovery Link Only","Source Link Present"))</x:f>
        <x:v>Source Link Present</x:v>
      </x:c>
      <x:c r="S553" s="117" t="str">
        <x:v>Unknown</x:v>
      </x:c>
      <x:c r="T553" s="117" t="str">
        <x:v>Unknown</x:v>
      </x:c>
      <x:c r="U553" s="117" t="str">
        <x:v>Unknown</x:v>
      </x:c>
      <x:c r="V553" s="117" t="str">
        <x:v>Unknown</x:v>
      </x:c>
      <x:c r="W553" s="117" t="str">
        <x:v>Unknown</x:v>
      </x:c>
      <x:c r="X553" s="117" t="str">
        <x:v>Unknown</x:v>
      </x:c>
      <x:c r="Y553" s="117" t="str">
        <x:v>Unknown</x:v>
      </x:c>
      <x:c r="Z553" s="117"/>
      <x:c r="AA553" s="117" t="str">
        <x:v>Pending evidence</x:v>
      </x:c>
      <x:c r="AB553" s="117"/>
      <x:c r="AC553" s="117" t="str">
        <x:v>No qualifying accessibility conclusion established from the screened sources. This is unknown, not evidence that the attraction is inaccessible.</x:v>
      </x:c>
      <x:c r="AD553" s="117" t="str">
        <x:v>2026-09-08</x:v>
      </x:c>
      <x:c r="AE553" s="117" t="str">
        <x:v>MC0550</x:v>
      </x:c>
      <x:c r="AF553" s="117" t="str">
        <x:v>Distinct candidate</x:v>
      </x:c>
      <x:c r="AG553" s="117" t="str"/>
      <x:c r="AH553" s="117" t="str">
        <x:v>Listed by Tourism Malaysia</x:v>
      </x:c>
      <x:c r="AI553" s="117" t="str">
        <x:v>https://ebrochures.malaysia.travel/en/malaysia-travel-guide/negeri-sembilan/</x:v>
      </x:c>
      <x:c r="AJ553" s="117" t="str">
        <x:v>Named visitor attraction in cited source; state-guide listings can be historical. Locality is catalogue metadata, not a surveyed address. Current operation remains unconfirmed.</x:v>
      </x:c>
      <x:c r="AK553" s="117" t="str">
        <x:v>Not independently confirmed</x:v>
      </x:c>
      <x:c r="AL553" s="117" t="str">
        <x:v>Screened sources; accessibility unresolved</x:v>
      </x:c>
      <x:c r="AM553" s="117" t="str">
        <x:v>2026-09-08</x:v>
      </x:c>
      <x:c r="AN553" s="117"/>
      <x:c r="AO553" s="117"/>
      <x:c r="AP553" s="117" t="str">
        <x:v>No usable pair located; image research pending</x:v>
      </x:c>
      <x:c r="AQ553" s="117"/>
    </x:row>
    <x:row r="554" ht="66" customHeight="1">
      <x:c r="A554" s="117" t="str">
        <x:v>MC0551</x:v>
      </x:c>
      <x:c r="B554" s="117" t="str">
        <x:v>PD Waterfront</x:v>
      </x:c>
      <x:c r="C554" s="117" t="str">
        <x:v>Negeri Sembilan</x:v>
      </x:c>
      <x:c r="D554" s="117" t="str">
        <x:v>Port Dickson</x:v>
      </x:c>
      <x:c r="E554" s="117" t="str">
        <x:v>Heritage and Visitor Attraction</x:v>
      </x:c>
      <x:c r="F554" s="117" t="str">
        <x:v>Unclassified</x:v>
      </x:c>
      <x:c r="G554" s="117" t="str">
        <x:v>Both</x:v>
      </x:c>
      <x:c r="H554" s="117" t="str">
        <x:v>Heritage and Visitor Attraction; Port Dickson</x:v>
      </x:c>
      <x:c r="I554" s="117" t="str">
        <x:v>A visitor attraction in Port Dickson, Negeri Sembilan, listed in Tourism Malaysia's state travel guide. Venue operation and the precise accessible route require confirmation.</x:v>
      </x:c>
      <x:c r="J554" s="117" t="str">
        <x:v>https://ebrochures.malaysia.travel/en/malaysia-travel-guide/negeri-sembilan/</x:v>
      </x:c>
      <x:c r="K554" s="117" t="str">
        <x:v>https://ebrochures.malaysia.travel/en/malaysia-travel-guide/negeri-sembilan/</x:v>
      </x:c>
      <x:c r="L554" s="117" t="str">
        <x:v>Tourism Malaysia listing; operation unconfirmed</x:v>
      </x:c>
      <x:c r="M554" s="117" t="str">
        <x:v>Nationwide expansion 2026-09-08</x:v>
      </x:c>
      <x:c r="N554" s="117"/>
      <x:c r="O554" s="117" t="str">
        <x:v>2026-09-08</x:v>
      </x:c>
      <x:c r="P554" s="117" t="str">
        <x:v>Complete</x:v>
      </x:c>
      <x:c r="Q554" s="117"/>
      <x:c r="R554" s="117" t="str">
        <x:f>IF(J554="","Missing Link",IF(AND(ISNUMBER(SEARCH("google.com/maps",J554)),ISERROR(SEARCH(";",J554))),"Discovery Link Only","Source Link Present"))</x:f>
        <x:v>Source Link Present</x:v>
      </x:c>
      <x:c r="S554" s="117" t="str">
        <x:v>Unknown</x:v>
      </x:c>
      <x:c r="T554" s="117" t="str">
        <x:v>Unknown</x:v>
      </x:c>
      <x:c r="U554" s="117" t="str">
        <x:v>Unknown</x:v>
      </x:c>
      <x:c r="V554" s="117" t="str">
        <x:v>Unknown</x:v>
      </x:c>
      <x:c r="W554" s="117" t="str">
        <x:v>Unknown</x:v>
      </x:c>
      <x:c r="X554" s="117" t="str">
        <x:v>Unknown</x:v>
      </x:c>
      <x:c r="Y554" s="117" t="str">
        <x:v>Unknown</x:v>
      </x:c>
      <x:c r="Z554" s="117"/>
      <x:c r="AA554" s="117" t="str">
        <x:v>Pending evidence</x:v>
      </x:c>
      <x:c r="AB554" s="117"/>
      <x:c r="AC554" s="117" t="str">
        <x:v>No qualifying accessibility conclusion established from the screened sources. This is unknown, not evidence that the attraction is inaccessible.</x:v>
      </x:c>
      <x:c r="AD554" s="117" t="str">
        <x:v>2026-09-08</x:v>
      </x:c>
      <x:c r="AE554" s="117" t="str">
        <x:v>MC0551</x:v>
      </x:c>
      <x:c r="AF554" s="117" t="str">
        <x:v>Distinct candidate</x:v>
      </x:c>
      <x:c r="AG554" s="117" t="str"/>
      <x:c r="AH554" s="117" t="str">
        <x:v>Listed by Tourism Malaysia</x:v>
      </x:c>
      <x:c r="AI554" s="117" t="str">
        <x:v>https://ebrochures.malaysia.travel/en/malaysia-travel-guide/negeri-sembilan/</x:v>
      </x:c>
      <x:c r="AJ554" s="117" t="str">
        <x:v>Named visitor attraction in cited source; state-guide listings can be historical. Locality is catalogue metadata, not a surveyed address. Current operation remains unconfirmed.</x:v>
      </x:c>
      <x:c r="AK554" s="117" t="str">
        <x:v>Not independently confirmed</x:v>
      </x:c>
      <x:c r="AL554" s="117" t="str">
        <x:v>Screened sources; accessibility unresolved</x:v>
      </x:c>
      <x:c r="AM554" s="117" t="str">
        <x:v>2026-09-08</x:v>
      </x:c>
      <x:c r="AN554" s="117" t="str">
        <x:v>https://thumb.wikimedia.org/wikipedia/commons/thumb/a/aa/PD_Waterfront_City_%28220709%29_06.jpg/1280px-PD_Waterfront_City_%28220709%29_06.jpg?utm_source=commons.wikimedia.org&amp;utm_campaign=imageinfo&amp;utm_content=thumbnail</x:v>
      </x:c>
      <x:c r="AO554" s="117" t="str">
        <x:v>https://thumb.wikimedia.org/wikipedia/commons/thumb/6/66/PD_Waterfront_City_%28220709%29_03.jpg/1280px-PD_Waterfront_City_%28220709%29_03.jpg?utm_source=commons.wikimedia.org&amp;utm_campaign=imageinfo&amp;utm_content=thumbnail</x:v>
      </x:c>
      <x:c r="AP554" s="117" t="str">
        <x:v>2 metadata-matched images; visual review pending</x:v>
      </x:c>
      <x:c r="AQ554" s="117"/>
    </x:row>
    <x:row r="555" ht="66" customHeight="1">
      <x:c r="A555" s="117" t="str">
        <x:v>MC0552</x:v>
      </x:c>
      <x:c r="B555" s="117" t="str">
        <x:v>Baitul Hilal Observatory</x:v>
      </x:c>
      <x:c r="C555" s="117" t="str">
        <x:v>Negeri Sembilan</x:v>
      </x:c>
      <x:c r="D555" s="117" t="str">
        <x:v>Port Dickson</x:v>
      </x:c>
      <x:c r="E555" s="117" t="str">
        <x:v>Heritage and Visitor Attraction</x:v>
      </x:c>
      <x:c r="F555" s="117" t="str">
        <x:v>Unclassified</x:v>
      </x:c>
      <x:c r="G555" s="117" t="str">
        <x:v>Both</x:v>
      </x:c>
      <x:c r="H555" s="117" t="str">
        <x:v>Heritage and Visitor Attraction; Port Dickson</x:v>
      </x:c>
      <x:c r="I555" s="117" t="str">
        <x:v>A visitor attraction in Port Dickson, Negeri Sembilan, listed in Tourism Malaysia's state travel guide. Venue operation and the precise accessible route require confirmation.</x:v>
      </x:c>
      <x:c r="J555" s="117" t="str">
        <x:v>https://ebrochures.malaysia.travel/en/malaysia-travel-guide/negeri-sembilan/</x:v>
      </x:c>
      <x:c r="K555" s="117" t="str">
        <x:v>https://ebrochures.malaysia.travel/en/malaysia-travel-guide/negeri-sembilan/</x:v>
      </x:c>
      <x:c r="L555" s="117" t="str">
        <x:v>Tourism Malaysia listing; operation unconfirmed</x:v>
      </x:c>
      <x:c r="M555" s="117" t="str">
        <x:v>Nationwide expansion 2026-09-08</x:v>
      </x:c>
      <x:c r="N555" s="117"/>
      <x:c r="O555" s="117" t="str">
        <x:v>2026-09-08</x:v>
      </x:c>
      <x:c r="P555" s="117" t="str">
        <x:v>Complete</x:v>
      </x:c>
      <x:c r="Q555" s="117"/>
      <x:c r="R555" s="117" t="str">
        <x:f>IF(J555="","Missing Link",IF(AND(ISNUMBER(SEARCH("google.com/maps",J555)),ISERROR(SEARCH(";",J555))),"Discovery Link Only","Source Link Present"))</x:f>
        <x:v>Source Link Present</x:v>
      </x:c>
      <x:c r="S555" s="117" t="str">
        <x:v>Unknown</x:v>
      </x:c>
      <x:c r="T555" s="117" t="str">
        <x:v>Unknown</x:v>
      </x:c>
      <x:c r="U555" s="117" t="str">
        <x:v>Unknown</x:v>
      </x:c>
      <x:c r="V555" s="117" t="str">
        <x:v>Unknown</x:v>
      </x:c>
      <x:c r="W555" s="117" t="str">
        <x:v>Unknown</x:v>
      </x:c>
      <x:c r="X555" s="117" t="str">
        <x:v>Unknown</x:v>
      </x:c>
      <x:c r="Y555" s="117" t="str">
        <x:v>Unknown</x:v>
      </x:c>
      <x:c r="Z555" s="117"/>
      <x:c r="AA555" s="117" t="str">
        <x:v>Pending evidence</x:v>
      </x:c>
      <x:c r="AB555" s="117"/>
      <x:c r="AC555" s="117" t="str">
        <x:v>No qualifying accessibility conclusion established from the screened sources. This is unknown, not evidence that the attraction is inaccessible.</x:v>
      </x:c>
      <x:c r="AD555" s="117" t="str">
        <x:v>2026-09-08</x:v>
      </x:c>
      <x:c r="AE555" s="117" t="str">
        <x:v>MC0552</x:v>
      </x:c>
      <x:c r="AF555" s="117" t="str">
        <x:v>Distinct candidate</x:v>
      </x:c>
      <x:c r="AG555" s="117" t="str"/>
      <x:c r="AH555" s="117" t="str">
        <x:v>Listed by Tourism Malaysia</x:v>
      </x:c>
      <x:c r="AI555" s="117" t="str">
        <x:v>https://ebrochures.malaysia.travel/en/malaysia-travel-guide/negeri-sembilan/</x:v>
      </x:c>
      <x:c r="AJ555" s="117" t="str">
        <x:v>Named visitor attraction in cited source; state-guide listings can be historical. Locality is catalogue metadata, not a surveyed address. Current operation remains unconfirmed.</x:v>
      </x:c>
      <x:c r="AK555" s="117" t="str">
        <x:v>Not independently confirmed</x:v>
      </x:c>
      <x:c r="AL555" s="117" t="str">
        <x:v>Screened sources; accessibility unresolved</x:v>
      </x:c>
      <x:c r="AM555" s="117" t="str">
        <x:v>2026-09-08</x:v>
      </x:c>
      <x:c r="AN555" s="117"/>
      <x:c r="AO555" s="117"/>
      <x:c r="AP555" s="117" t="str">
        <x:v>No usable pair located; image research pending</x:v>
      </x:c>
      <x:c r="AQ555" s="117"/>
    </x:row>
    <x:row r="556" ht="66" customHeight="1">
      <x:c r="A556" s="117" t="str">
        <x:v>MC0553</x:v>
      </x:c>
      <x:c r="B556" s="117" t="str">
        <x:v>Pasir Panjang Recreational Forest</x:v>
      </x:c>
      <x:c r="C556" s="117" t="str">
        <x:v>Negeri Sembilan</x:v>
      </x:c>
      <x:c r="D556" s="117" t="str">
        <x:v>Port Dickson</x:v>
      </x:c>
      <x:c r="E556" s="117" t="str">
        <x:v>Nature</x:v>
      </x:c>
      <x:c r="F556" s="117" t="str">
        <x:v>Unclassified</x:v>
      </x:c>
      <x:c r="G556" s="117" t="str">
        <x:v>Outdoor</x:v>
      </x:c>
      <x:c r="H556" s="117" t="str">
        <x:v>Nature; Port Dickson</x:v>
      </x:c>
      <x:c r="I556" s="117" t="str">
        <x:v>A visitor attraction in Port Dickson, Negeri Sembilan, listed in Tourism Malaysia's state travel guide. Venue operation and the precise accessible route require confirmation.</x:v>
      </x:c>
      <x:c r="J556" s="117" t="str">
        <x:v>https://ebrochures.malaysia.travel/en/malaysia-travel-guide/negeri-sembilan/</x:v>
      </x:c>
      <x:c r="K556" s="117" t="str">
        <x:v>https://ebrochures.malaysia.travel/en/malaysia-travel-guide/negeri-sembilan/</x:v>
      </x:c>
      <x:c r="L556" s="117" t="str">
        <x:v>Tourism Malaysia listing; operation unconfirmed</x:v>
      </x:c>
      <x:c r="M556" s="117" t="str">
        <x:v>Nationwide expansion 2026-09-08</x:v>
      </x:c>
      <x:c r="N556" s="117"/>
      <x:c r="O556" s="117" t="str">
        <x:v>2026-09-08</x:v>
      </x:c>
      <x:c r="P556" s="117" t="str">
        <x:v>Complete</x:v>
      </x:c>
      <x:c r="Q556" s="117"/>
      <x:c r="R556" s="117" t="str">
        <x:f>IF(J556="","Missing Link",IF(AND(ISNUMBER(SEARCH("google.com/maps",J556)),ISERROR(SEARCH(";",J556))),"Discovery Link Only","Source Link Present"))</x:f>
        <x:v>Source Link Present</x:v>
      </x:c>
      <x:c r="S556" s="117" t="str">
        <x:v>Unknown</x:v>
      </x:c>
      <x:c r="T556" s="117" t="str">
        <x:v>Unknown</x:v>
      </x:c>
      <x:c r="U556" s="117" t="str">
        <x:v>Unknown</x:v>
      </x:c>
      <x:c r="V556" s="117" t="str">
        <x:v>Unknown</x:v>
      </x:c>
      <x:c r="W556" s="117" t="str">
        <x:v>Unknown</x:v>
      </x:c>
      <x:c r="X556" s="117" t="str">
        <x:v>Unknown</x:v>
      </x:c>
      <x:c r="Y556" s="117" t="str">
        <x:v>Unknown</x:v>
      </x:c>
      <x:c r="Z556" s="117"/>
      <x:c r="AA556" s="117" t="str">
        <x:v>Pending evidence</x:v>
      </x:c>
      <x:c r="AB556" s="117"/>
      <x:c r="AC556" s="117" t="str">
        <x:v>No qualifying accessibility conclusion established from the screened sources. This is unknown, not evidence that the attraction is inaccessible.</x:v>
      </x:c>
      <x:c r="AD556" s="117" t="str">
        <x:v>2026-09-08</x:v>
      </x:c>
      <x:c r="AE556" s="117" t="str">
        <x:v>MC0553</x:v>
      </x:c>
      <x:c r="AF556" s="117" t="str">
        <x:v>Distinct candidate</x:v>
      </x:c>
      <x:c r="AG556" s="117" t="str"/>
      <x:c r="AH556" s="117" t="str">
        <x:v>Listed by Tourism Malaysia</x:v>
      </x:c>
      <x:c r="AI556" s="117" t="str">
        <x:v>https://ebrochures.malaysia.travel/en/malaysia-travel-guide/negeri-sembilan/</x:v>
      </x:c>
      <x:c r="AJ556" s="117" t="str">
        <x:v>Named visitor attraction in cited source; state-guide listings can be historical. Locality is catalogue metadata, not a surveyed address. Current operation remains unconfirmed.</x:v>
      </x:c>
      <x:c r="AK556" s="117" t="str">
        <x:v>Not independently confirmed</x:v>
      </x:c>
      <x:c r="AL556" s="117" t="str">
        <x:v>Screened sources; accessibility unresolved</x:v>
      </x:c>
      <x:c r="AM556" s="117" t="str">
        <x:v>2026-09-08</x:v>
      </x:c>
      <x:c r="AN556" s="117"/>
      <x:c r="AO556" s="117"/>
      <x:c r="AP556" s="117" t="str">
        <x:v>No usable pair located; image research pending</x:v>
      </x:c>
      <x:c r="AQ556" s="117"/>
    </x:row>
    <x:row r="557" ht="66" customHeight="1">
      <x:c r="A557" s="117" t="str">
        <x:v>MC0554</x:v>
      </x:c>
      <x:c r="B557" s="117" t="str">
        <x:v>Ladang Alam Warisan</x:v>
      </x:c>
      <x:c r="C557" s="117" t="str">
        <x:v>Negeri Sembilan</x:v>
      </x:c>
      <x:c r="D557" s="117" t="str">
        <x:v>Seri Menanti</x:v>
      </x:c>
      <x:c r="E557" s="117" t="str">
        <x:v>Heritage and Visitor Attraction</x:v>
      </x:c>
      <x:c r="F557" s="117" t="str">
        <x:v>Unclassified</x:v>
      </x:c>
      <x:c r="G557" s="117" t="str">
        <x:v>Both</x:v>
      </x:c>
      <x:c r="H557" s="117" t="str">
        <x:v>Heritage and Visitor Attraction; Seri Menanti</x:v>
      </x:c>
      <x:c r="I557" s="117" t="str">
        <x:v>A visitor attraction in Seri Menanti, Negeri Sembilan, listed in Tourism Malaysia's state travel guide. Venue operation and the precise accessible route require confirmation.</x:v>
      </x:c>
      <x:c r="J557" s="117" t="str">
        <x:v>https://ebrochures.malaysia.travel/en/malaysia-travel-guide/negeri-sembilan/</x:v>
      </x:c>
      <x:c r="K557" s="117" t="str">
        <x:v>https://ebrochures.malaysia.travel/en/malaysia-travel-guide/negeri-sembilan/</x:v>
      </x:c>
      <x:c r="L557" s="117" t="str">
        <x:v>Tourism Malaysia listing; operation unconfirmed</x:v>
      </x:c>
      <x:c r="M557" s="117" t="str">
        <x:v>Nationwide expansion 2026-09-08</x:v>
      </x:c>
      <x:c r="N557" s="117"/>
      <x:c r="O557" s="117" t="str">
        <x:v>2026-09-08</x:v>
      </x:c>
      <x:c r="P557" s="117" t="str">
        <x:v>Complete</x:v>
      </x:c>
      <x:c r="Q557" s="117"/>
      <x:c r="R557" s="117" t="str">
        <x:f>IF(J557="","Missing Link",IF(AND(ISNUMBER(SEARCH("google.com/maps",J557)),ISERROR(SEARCH(";",J557))),"Discovery Link Only","Source Link Present"))</x:f>
        <x:v>Source Link Present</x:v>
      </x:c>
      <x:c r="S557" s="117" t="str">
        <x:v>Unknown</x:v>
      </x:c>
      <x:c r="T557" s="117" t="str">
        <x:v>Unknown</x:v>
      </x:c>
      <x:c r="U557" s="117" t="str">
        <x:v>Unknown</x:v>
      </x:c>
      <x:c r="V557" s="117" t="str">
        <x:v>Unknown</x:v>
      </x:c>
      <x:c r="W557" s="117" t="str">
        <x:v>Unknown</x:v>
      </x:c>
      <x:c r="X557" s="117" t="str">
        <x:v>Unknown</x:v>
      </x:c>
      <x:c r="Y557" s="117" t="str">
        <x:v>Unknown</x:v>
      </x:c>
      <x:c r="Z557" s="117"/>
      <x:c r="AA557" s="117" t="str">
        <x:v>Pending evidence</x:v>
      </x:c>
      <x:c r="AB557" s="117"/>
      <x:c r="AC557" s="117" t="str">
        <x:v>No qualifying accessibility conclusion established from the screened sources. This is unknown, not evidence that the attraction is inaccessible.</x:v>
      </x:c>
      <x:c r="AD557" s="117" t="str">
        <x:v>2026-09-08</x:v>
      </x:c>
      <x:c r="AE557" s="117" t="str">
        <x:v>MC0554</x:v>
      </x:c>
      <x:c r="AF557" s="117" t="str">
        <x:v>Distinct candidate</x:v>
      </x:c>
      <x:c r="AG557" s="117" t="str"/>
      <x:c r="AH557" s="117" t="str">
        <x:v>Listed by Tourism Malaysia</x:v>
      </x:c>
      <x:c r="AI557" s="117" t="str">
        <x:v>https://ebrochures.malaysia.travel/en/malaysia-travel-guide/negeri-sembilan/</x:v>
      </x:c>
      <x:c r="AJ557" s="117" t="str">
        <x:v>Named visitor attraction in cited source; state-guide listings can be historical. Locality is catalogue metadata, not a surveyed address. Current operation remains unconfirmed.</x:v>
      </x:c>
      <x:c r="AK557" s="117" t="str">
        <x:v>Not independently confirmed</x:v>
      </x:c>
      <x:c r="AL557" s="117" t="str">
        <x:v>Screened sources; accessibility unresolved</x:v>
      </x:c>
      <x:c r="AM557" s="117" t="str">
        <x:v>2026-09-08</x:v>
      </x:c>
      <x:c r="AN557" s="117"/>
      <x:c r="AO557" s="117"/>
      <x:c r="AP557" s="117" t="str">
        <x:v>No usable pair located; image research pending</x:v>
      </x:c>
      <x:c r="AQ557" s="117"/>
    </x:row>
    <x:row r="558" ht="66" customHeight="1">
      <x:c r="A558" s="117" t="str">
        <x:v>MC0555</x:v>
      </x:c>
      <x:c r="B558" s="117" t="str">
        <x:v>Starfresh Agro Park</x:v>
      </x:c>
      <x:c r="C558" s="117" t="str">
        <x:v>Negeri Sembilan</x:v>
      </x:c>
      <x:c r="D558" s="117" t="str">
        <x:v>Seremban</x:v>
      </x:c>
      <x:c r="E558" s="117" t="str">
        <x:v>Nature</x:v>
      </x:c>
      <x:c r="F558" s="117" t="str">
        <x:v>Unclassified</x:v>
      </x:c>
      <x:c r="G558" s="117" t="str">
        <x:v>Outdoor</x:v>
      </x:c>
      <x:c r="H558" s="117" t="str">
        <x:v>Nature; Seremban</x:v>
      </x:c>
      <x:c r="I558" s="117" t="str">
        <x:v>A visitor attraction in Seremban, Negeri Sembilan, listed in Tourism Malaysia's state travel guide. Venue operation and the precise accessible route require confirmation.</x:v>
      </x:c>
      <x:c r="J558" s="117" t="str">
        <x:v>https://ebrochures.malaysia.travel/en/malaysia-travel-guide/negeri-sembilan/</x:v>
      </x:c>
      <x:c r="K558" s="117" t="str">
        <x:v>https://ebrochures.malaysia.travel/en/malaysia-travel-guide/negeri-sembilan/</x:v>
      </x:c>
      <x:c r="L558" s="117" t="str">
        <x:v>Tourism Malaysia listing; operation unconfirmed</x:v>
      </x:c>
      <x:c r="M558" s="117" t="str">
        <x:v>Nationwide expansion 2026-09-08</x:v>
      </x:c>
      <x:c r="N558" s="117"/>
      <x:c r="O558" s="117" t="str">
        <x:v>2026-09-08</x:v>
      </x:c>
      <x:c r="P558" s="117" t="str">
        <x:v>Complete</x:v>
      </x:c>
      <x:c r="Q558" s="117"/>
      <x:c r="R558" s="117" t="str">
        <x:f>IF(J558="","Missing Link",IF(AND(ISNUMBER(SEARCH("google.com/maps",J558)),ISERROR(SEARCH(";",J558))),"Discovery Link Only","Source Link Present"))</x:f>
        <x:v>Source Link Present</x:v>
      </x:c>
      <x:c r="S558" s="117" t="str">
        <x:v>Unknown</x:v>
      </x:c>
      <x:c r="T558" s="117" t="str">
        <x:v>Unknown</x:v>
      </x:c>
      <x:c r="U558" s="117" t="str">
        <x:v>Unknown</x:v>
      </x:c>
      <x:c r="V558" s="117" t="str">
        <x:v>Unknown</x:v>
      </x:c>
      <x:c r="W558" s="117" t="str">
        <x:v>Unknown</x:v>
      </x:c>
      <x:c r="X558" s="117" t="str">
        <x:v>Unknown</x:v>
      </x:c>
      <x:c r="Y558" s="117" t="str">
        <x:v>Unknown</x:v>
      </x:c>
      <x:c r="Z558" s="117"/>
      <x:c r="AA558" s="117" t="str">
        <x:v>Pending evidence</x:v>
      </x:c>
      <x:c r="AB558" s="117"/>
      <x:c r="AC558" s="117" t="str">
        <x:v>No qualifying accessibility conclusion established from the screened sources. This is unknown, not evidence that the attraction is inaccessible.</x:v>
      </x:c>
      <x:c r="AD558" s="117" t="str">
        <x:v>2026-09-08</x:v>
      </x:c>
      <x:c r="AE558" s="117" t="str">
        <x:v>MC0555</x:v>
      </x:c>
      <x:c r="AF558" s="117" t="str">
        <x:v>Distinct candidate</x:v>
      </x:c>
      <x:c r="AG558" s="117" t="str"/>
      <x:c r="AH558" s="117" t="str">
        <x:v>Listed by Tourism Malaysia</x:v>
      </x:c>
      <x:c r="AI558" s="117" t="str">
        <x:v>https://ebrochures.malaysia.travel/en/malaysia-travel-guide/negeri-sembilan/</x:v>
      </x:c>
      <x:c r="AJ558" s="117" t="str">
        <x:v>Named visitor attraction in cited source; state-guide listings can be historical. Locality is catalogue metadata, not a surveyed address. Current operation remains unconfirmed.</x:v>
      </x:c>
      <x:c r="AK558" s="117" t="str">
        <x:v>Not independently confirmed</x:v>
      </x:c>
      <x:c r="AL558" s="117" t="str">
        <x:v>Screened sources; accessibility unresolved</x:v>
      </x:c>
      <x:c r="AM558" s="117" t="str">
        <x:v>2026-09-08</x:v>
      </x:c>
      <x:c r="AN558" s="117"/>
      <x:c r="AO558" s="117"/>
      <x:c r="AP558" s="117" t="str">
        <x:v>No usable pair located; image research pending</x:v>
      </x:c>
      <x:c r="AQ558" s="117"/>
    </x:row>
    <x:row r="559" ht="66" customHeight="1">
      <x:c r="A559" s="117" t="str">
        <x:v>MC0556</x:v>
      </x:c>
      <x:c r="B559" s="117" t="str">
        <x:v>Seremban Orchid Park</x:v>
      </x:c>
      <x:c r="C559" s="117" t="str">
        <x:v>Negeri Sembilan</x:v>
      </x:c>
      <x:c r="D559" s="117" t="str">
        <x:v>Seremban</x:v>
      </x:c>
      <x:c r="E559" s="117" t="str">
        <x:v>Nature</x:v>
      </x:c>
      <x:c r="F559" s="117" t="str">
        <x:v>Unclassified</x:v>
      </x:c>
      <x:c r="G559" s="117" t="str">
        <x:v>Outdoor</x:v>
      </x:c>
      <x:c r="H559" s="117" t="str">
        <x:v>Nature; Seremban</x:v>
      </x:c>
      <x:c r="I559" s="117" t="str">
        <x:v>A visitor attraction in Seremban, Negeri Sembilan, listed in Tourism Malaysia's state travel guide. Venue operation and the precise accessible route require confirmation.</x:v>
      </x:c>
      <x:c r="J559" s="117" t="str">
        <x:v>https://ebrochures.malaysia.travel/en/malaysia-travel-guide/negeri-sembilan/</x:v>
      </x:c>
      <x:c r="K559" s="117" t="str">
        <x:v>https://ebrochures.malaysia.travel/en/malaysia-travel-guide/negeri-sembilan/</x:v>
      </x:c>
      <x:c r="L559" s="117" t="str">
        <x:v>Tourism Malaysia listing; operation unconfirmed</x:v>
      </x:c>
      <x:c r="M559" s="117" t="str">
        <x:v>Nationwide expansion 2026-09-08</x:v>
      </x:c>
      <x:c r="N559" s="117"/>
      <x:c r="O559" s="117" t="str">
        <x:v>2026-09-08</x:v>
      </x:c>
      <x:c r="P559" s="117" t="str">
        <x:v>Complete</x:v>
      </x:c>
      <x:c r="Q559" s="117"/>
      <x:c r="R559" s="117" t="str">
        <x:f>IF(J559="","Missing Link",IF(AND(ISNUMBER(SEARCH("google.com/maps",J559)),ISERROR(SEARCH(";",J559))),"Discovery Link Only","Source Link Present"))</x:f>
        <x:v>Source Link Present</x:v>
      </x:c>
      <x:c r="S559" s="117" t="str">
        <x:v>Unknown</x:v>
      </x:c>
      <x:c r="T559" s="117" t="str">
        <x:v>Unknown</x:v>
      </x:c>
      <x:c r="U559" s="117" t="str">
        <x:v>Unknown</x:v>
      </x:c>
      <x:c r="V559" s="117" t="str">
        <x:v>Unknown</x:v>
      </x:c>
      <x:c r="W559" s="117" t="str">
        <x:v>Unknown</x:v>
      </x:c>
      <x:c r="X559" s="117" t="str">
        <x:v>Unknown</x:v>
      </x:c>
      <x:c r="Y559" s="117" t="str">
        <x:v>Unknown</x:v>
      </x:c>
      <x:c r="Z559" s="117"/>
      <x:c r="AA559" s="117" t="str">
        <x:v>Pending evidence</x:v>
      </x:c>
      <x:c r="AB559" s="117"/>
      <x:c r="AC559" s="117" t="str">
        <x:v>No qualifying accessibility conclusion established from the screened sources. This is unknown, not evidence that the attraction is inaccessible.</x:v>
      </x:c>
      <x:c r="AD559" s="117" t="str">
        <x:v>2026-09-08</x:v>
      </x:c>
      <x:c r="AE559" s="117" t="str">
        <x:v>MC0556</x:v>
      </x:c>
      <x:c r="AF559" s="117" t="str">
        <x:v>Distinct candidate</x:v>
      </x:c>
      <x:c r="AG559" s="117" t="str"/>
      <x:c r="AH559" s="117" t="str">
        <x:v>Listed by Tourism Malaysia</x:v>
      </x:c>
      <x:c r="AI559" s="117" t="str">
        <x:v>https://ebrochures.malaysia.travel/en/malaysia-travel-guide/negeri-sembilan/</x:v>
      </x:c>
      <x:c r="AJ559" s="117" t="str">
        <x:v>Named visitor attraction in cited source; state-guide listings can be historical. Locality is catalogue metadata, not a surveyed address. Current operation remains unconfirmed.</x:v>
      </x:c>
      <x:c r="AK559" s="117" t="str">
        <x:v>Not independently confirmed</x:v>
      </x:c>
      <x:c r="AL559" s="117" t="str">
        <x:v>Screened sources; accessibility unresolved</x:v>
      </x:c>
      <x:c r="AM559" s="117" t="str">
        <x:v>2026-09-08</x:v>
      </x:c>
      <x:c r="AN559" s="117"/>
      <x:c r="AO559" s="117"/>
      <x:c r="AP559" s="117" t="str">
        <x:v>No usable pair located; image research pending</x:v>
      </x:c>
      <x:c r="AQ559" s="117"/>
    </x:row>
    <x:row r="560" ht="66" customHeight="1">
      <x:c r="A560" s="117" t="str">
        <x:v>MC0557</x:v>
      </x:c>
      <x:c r="B560" s="117" t="str">
        <x:v>Negeri Sembilan State Mosque</x:v>
      </x:c>
      <x:c r="C560" s="117" t="str">
        <x:v>Negeri Sembilan</x:v>
      </x:c>
      <x:c r="D560" s="117" t="str">
        <x:v>Seremban</x:v>
      </x:c>
      <x:c r="E560" s="117" t="str">
        <x:v>Religious Site</x:v>
      </x:c>
      <x:c r="F560" s="117" t="str">
        <x:v>Unclassified</x:v>
      </x:c>
      <x:c r="G560" s="117" t="str">
        <x:v>Both</x:v>
      </x:c>
      <x:c r="H560" s="117" t="str">
        <x:v>Religious Site; Seremban</x:v>
      </x:c>
      <x:c r="I560" s="117" t="str">
        <x:v>A visitor attraction in Seremban, Negeri Sembilan, listed in Tourism Malaysia's state travel guide. Venue operation and the precise accessible route require confirmation.</x:v>
      </x:c>
      <x:c r="J560" s="117" t="str">
        <x:v>https://ebrochures.malaysia.travel/en/malaysia-travel-guide/negeri-sembilan/</x:v>
      </x:c>
      <x:c r="K560" s="117" t="str">
        <x:v>https://ebrochures.malaysia.travel/en/malaysia-travel-guide/negeri-sembilan/</x:v>
      </x:c>
      <x:c r="L560" s="117" t="str">
        <x:v>Tourism Malaysia listing; operation unconfirmed</x:v>
      </x:c>
      <x:c r="M560" s="117" t="str">
        <x:v>Nationwide expansion 2026-09-08</x:v>
      </x:c>
      <x:c r="N560" s="117"/>
      <x:c r="O560" s="117" t="str">
        <x:v>2026-09-08</x:v>
      </x:c>
      <x:c r="P560" s="117" t="str">
        <x:v>Complete</x:v>
      </x:c>
      <x:c r="Q560" s="117"/>
      <x:c r="R560" s="117" t="str">
        <x:f>IF(J560="","Missing Link",IF(AND(ISNUMBER(SEARCH("google.com/maps",J560)),ISERROR(SEARCH(";",J560))),"Discovery Link Only","Source Link Present"))</x:f>
        <x:v>Source Link Present</x:v>
      </x:c>
      <x:c r="S560" s="117" t="str">
        <x:v>Unknown</x:v>
      </x:c>
      <x:c r="T560" s="117" t="str">
        <x:v>Unknown</x:v>
      </x:c>
      <x:c r="U560" s="117" t="str">
        <x:v>Unknown</x:v>
      </x:c>
      <x:c r="V560" s="117" t="str">
        <x:v>Unknown</x:v>
      </x:c>
      <x:c r="W560" s="117" t="str">
        <x:v>Unknown</x:v>
      </x:c>
      <x:c r="X560" s="117" t="str">
        <x:v>Unknown</x:v>
      </x:c>
      <x:c r="Y560" s="117" t="str">
        <x:v>Unknown</x:v>
      </x:c>
      <x:c r="Z560" s="117"/>
      <x:c r="AA560" s="117" t="str">
        <x:v>Pending evidence</x:v>
      </x:c>
      <x:c r="AB560" s="117"/>
      <x:c r="AC560" s="117" t="str">
        <x:v>No qualifying accessibility conclusion established from the screened sources. This is unknown, not evidence that the attraction is inaccessible.</x:v>
      </x:c>
      <x:c r="AD560" s="117" t="str">
        <x:v>2026-09-08</x:v>
      </x:c>
      <x:c r="AE560" s="117" t="str">
        <x:v>MC0557</x:v>
      </x:c>
      <x:c r="AF560" s="117" t="str">
        <x:v>Distinct candidate</x:v>
      </x:c>
      <x:c r="AG560" s="117" t="str"/>
      <x:c r="AH560" s="117" t="str">
        <x:v>Listed by Tourism Malaysia</x:v>
      </x:c>
      <x:c r="AI560" s="117" t="str">
        <x:v>https://ebrochures.malaysia.travel/en/malaysia-travel-guide/negeri-sembilan/</x:v>
      </x:c>
      <x:c r="AJ560" s="117" t="str">
        <x:v>Named visitor attraction in cited source; state-guide listings can be historical. Locality is catalogue metadata, not a surveyed address. Current operation remains unconfirmed.</x:v>
      </x:c>
      <x:c r="AK560" s="117" t="str">
        <x:v>Not independently confirmed</x:v>
      </x:c>
      <x:c r="AL560" s="117" t="str">
        <x:v>Screened sources; accessibility unresolved</x:v>
      </x:c>
      <x:c r="AM560" s="117" t="str">
        <x:v>2026-09-08</x:v>
      </x:c>
      <x:c r="AN560" s="117" t="str">
        <x:v>https://thumb.wikimedia.org/wikipedia/commons/thumb/b/b7/Negeri_Sembilan_State_Mosque.JPG/1280px-Negeri_Sembilan_State_Mosque.JPG?utm_source=commons.wikimedia.org&amp;utm_campaign=imageinfo&amp;utm_content=thumbnail</x:v>
      </x:c>
      <x:c r="AO560" s="117" t="str">
        <x:v>https://thumb.wikimedia.org/wikipedia/commons/thumb/1/12/State_Mosque%2C_Seremban.jpg/1280px-State_Mosque%2C_Seremban.jpg?utm_source=commons.wikimedia.org&amp;utm_campaign=imageinfo&amp;utm_content=thumbnail</x:v>
      </x:c>
      <x:c r="AP560" s="117" t="str">
        <x:v>2 metadata-matched images; visual review pending</x:v>
      </x:c>
      <x:c r="AQ560" s="117"/>
    </x:row>
    <x:row r="561" ht="66" customHeight="1">
      <x:c r="A561" s="117" t="str">
        <x:v>MC0558</x:v>
      </x:c>
      <x:c r="B561" s="117" t="str">
        <x:v>Sri Bala Thandayuthapani Temple</x:v>
      </x:c>
      <x:c r="C561" s="117" t="str">
        <x:v>Negeri Sembilan</x:v>
      </x:c>
      <x:c r="D561" s="117" t="str">
        <x:v>Seremban</x:v>
      </x:c>
      <x:c r="E561" s="117" t="str">
        <x:v>Religious Site</x:v>
      </x:c>
      <x:c r="F561" s="117" t="str">
        <x:v>Unclassified</x:v>
      </x:c>
      <x:c r="G561" s="117" t="str">
        <x:v>Both</x:v>
      </x:c>
      <x:c r="H561" s="117" t="str">
        <x:v>Religious Site; Seremban</x:v>
      </x:c>
      <x:c r="I561" s="117" t="str">
        <x:v>A visitor attraction in Seremban, Negeri Sembilan, listed in Tourism Malaysia's state travel guide. Venue operation and the precise accessible route require confirmation.</x:v>
      </x:c>
      <x:c r="J561" s="117" t="str">
        <x:v>https://ebrochures.malaysia.travel/en/malaysia-travel-guide/negeri-sembilan/</x:v>
      </x:c>
      <x:c r="K561" s="117" t="str">
        <x:v>https://ebrochures.malaysia.travel/en/malaysia-travel-guide/negeri-sembilan/</x:v>
      </x:c>
      <x:c r="L561" s="117" t="str">
        <x:v>Tourism Malaysia listing; operation unconfirmed</x:v>
      </x:c>
      <x:c r="M561" s="117" t="str">
        <x:v>Nationwide expansion 2026-09-08</x:v>
      </x:c>
      <x:c r="N561" s="117"/>
      <x:c r="O561" s="117" t="str">
        <x:v>2026-09-08</x:v>
      </x:c>
      <x:c r="P561" s="117" t="str">
        <x:v>Complete</x:v>
      </x:c>
      <x:c r="Q561" s="117"/>
      <x:c r="R561" s="117" t="str">
        <x:f>IF(J561="","Missing Link",IF(AND(ISNUMBER(SEARCH("google.com/maps",J561)),ISERROR(SEARCH(";",J561))),"Discovery Link Only","Source Link Present"))</x:f>
        <x:v>Source Link Present</x:v>
      </x:c>
      <x:c r="S561" s="117" t="str">
        <x:v>Unknown</x:v>
      </x:c>
      <x:c r="T561" s="117" t="str">
        <x:v>Unknown</x:v>
      </x:c>
      <x:c r="U561" s="117" t="str">
        <x:v>Unknown</x:v>
      </x:c>
      <x:c r="V561" s="117" t="str">
        <x:v>Unknown</x:v>
      </x:c>
      <x:c r="W561" s="117" t="str">
        <x:v>Unknown</x:v>
      </x:c>
      <x:c r="X561" s="117" t="str">
        <x:v>Unknown</x:v>
      </x:c>
      <x:c r="Y561" s="117" t="str">
        <x:v>Unknown</x:v>
      </x:c>
      <x:c r="Z561" s="117"/>
      <x:c r="AA561" s="117" t="str">
        <x:v>Pending evidence</x:v>
      </x:c>
      <x:c r="AB561" s="117"/>
      <x:c r="AC561" s="117" t="str">
        <x:v>No qualifying accessibility conclusion established from the screened sources. This is unknown, not evidence that the attraction is inaccessible.</x:v>
      </x:c>
      <x:c r="AD561" s="117" t="str">
        <x:v>2026-09-08</x:v>
      </x:c>
      <x:c r="AE561" s="117" t="str">
        <x:v>MC0558</x:v>
      </x:c>
      <x:c r="AF561" s="117" t="str">
        <x:v>Distinct candidate</x:v>
      </x:c>
      <x:c r="AG561" s="117" t="str"/>
      <x:c r="AH561" s="117" t="str">
        <x:v>Listed by Tourism Malaysia</x:v>
      </x:c>
      <x:c r="AI561" s="117" t="str">
        <x:v>https://ebrochures.malaysia.travel/en/malaysia-travel-guide/negeri-sembilan/</x:v>
      </x:c>
      <x:c r="AJ561" s="117" t="str">
        <x:v>Named visitor attraction in cited source; state-guide listings can be historical. Locality is catalogue metadata, not a surveyed address. Current operation remains unconfirmed.</x:v>
      </x:c>
      <x:c r="AK561" s="117" t="str">
        <x:v>Not independently confirmed</x:v>
      </x:c>
      <x:c r="AL561" s="117" t="str">
        <x:v>Screened sources; accessibility unresolved</x:v>
      </x:c>
      <x:c r="AM561" s="117" t="str">
        <x:v>2026-09-08</x:v>
      </x:c>
      <x:c r="AN561" s="117" t="str">
        <x:v>https://thumb.wikimedia.org/wikipedia/commons/thumb/c/ca/Sri_Balathandayuthapani_Temple_seen_from_Mosque.jpg/1280px-Sri_Balathandayuthapani_Temple_seen_from_Mosque.jpg?utm_source=commons.wikimedia.org&amp;utm_campaign=imageinfo&amp;utm_content=thumbnail</x:v>
      </x:c>
      <x:c r="AO561" s="117"/>
      <x:c r="AP561" s="117" t="str">
        <x:v>1 metadata-matched images; visual review pending</x:v>
      </x:c>
      <x:c r="AQ561" s="117"/>
    </x:row>
    <x:row r="562" ht="66" customHeight="1">
      <x:c r="A562" s="117" t="str">
        <x:v>MC0559</x:v>
      </x:c>
      <x:c r="B562" s="117" t="str">
        <x:v>Rantau Eco Park</x:v>
      </x:c>
      <x:c r="C562" s="117" t="str">
        <x:v>Negeri Sembilan</x:v>
      </x:c>
      <x:c r="D562" s="117" t="str">
        <x:v>Seremban</x:v>
      </x:c>
      <x:c r="E562" s="117" t="str">
        <x:v>Nature</x:v>
      </x:c>
      <x:c r="F562" s="117" t="str">
        <x:v>Unclassified</x:v>
      </x:c>
      <x:c r="G562" s="117" t="str">
        <x:v>Outdoor</x:v>
      </x:c>
      <x:c r="H562" s="117" t="str">
        <x:v>Nature; Seremban</x:v>
      </x:c>
      <x:c r="I562" s="117" t="str">
        <x:v>A visitor attraction in Seremban, Negeri Sembilan, listed in Tourism Malaysia's state travel guide. Venue operation and the precise accessible route require confirmation.</x:v>
      </x:c>
      <x:c r="J562" s="117" t="str">
        <x:v>https://ebrochures.malaysia.travel/en/malaysia-travel-guide/negeri-sembilan/</x:v>
      </x:c>
      <x:c r="K562" s="117" t="str">
        <x:v>https://ebrochures.malaysia.travel/en/malaysia-travel-guide/negeri-sembilan/</x:v>
      </x:c>
      <x:c r="L562" s="117" t="str">
        <x:v>Tourism Malaysia listing; operation unconfirmed</x:v>
      </x:c>
      <x:c r="M562" s="117" t="str">
        <x:v>Nationwide expansion 2026-09-08</x:v>
      </x:c>
      <x:c r="N562" s="117"/>
      <x:c r="O562" s="117" t="str">
        <x:v>2026-09-08</x:v>
      </x:c>
      <x:c r="P562" s="117" t="str">
        <x:v>Complete</x:v>
      </x:c>
      <x:c r="Q562" s="117"/>
      <x:c r="R562" s="117" t="str">
        <x:f>IF(J562="","Missing Link",IF(AND(ISNUMBER(SEARCH("google.com/maps",J562)),ISERROR(SEARCH(";",J562))),"Discovery Link Only","Source Link Present"))</x:f>
        <x:v>Source Link Present</x:v>
      </x:c>
      <x:c r="S562" s="117" t="str">
        <x:v>Unknown</x:v>
      </x:c>
      <x:c r="T562" s="117" t="str">
        <x:v>Unknown</x:v>
      </x:c>
      <x:c r="U562" s="117" t="str">
        <x:v>Unknown</x:v>
      </x:c>
      <x:c r="V562" s="117" t="str">
        <x:v>Unknown</x:v>
      </x:c>
      <x:c r="W562" s="117" t="str">
        <x:v>Unknown</x:v>
      </x:c>
      <x:c r="X562" s="117" t="str">
        <x:v>Unknown</x:v>
      </x:c>
      <x:c r="Y562" s="117" t="str">
        <x:v>Unknown</x:v>
      </x:c>
      <x:c r="Z562" s="117"/>
      <x:c r="AA562" s="117" t="str">
        <x:v>Pending evidence</x:v>
      </x:c>
      <x:c r="AB562" s="117"/>
      <x:c r="AC562" s="117" t="str">
        <x:v>No qualifying accessibility conclusion established from the screened sources. This is unknown, not evidence that the attraction is inaccessible.</x:v>
      </x:c>
      <x:c r="AD562" s="117" t="str">
        <x:v>2026-09-08</x:v>
      </x:c>
      <x:c r="AE562" s="117" t="str">
        <x:v>MC0559</x:v>
      </x:c>
      <x:c r="AF562" s="117" t="str">
        <x:v>Distinct candidate</x:v>
      </x:c>
      <x:c r="AG562" s="117" t="str"/>
      <x:c r="AH562" s="117" t="str">
        <x:v>Listed by Tourism Malaysia</x:v>
      </x:c>
      <x:c r="AI562" s="117" t="str">
        <x:v>https://ebrochures.malaysia.travel/en/malaysia-travel-guide/negeri-sembilan/</x:v>
      </x:c>
      <x:c r="AJ562" s="117" t="str">
        <x:v>Named visitor attraction in cited source; state-guide listings can be historical. Locality is catalogue metadata, not a surveyed address. Current operation remains unconfirmed.</x:v>
      </x:c>
      <x:c r="AK562" s="117" t="str">
        <x:v>Not independently confirmed</x:v>
      </x:c>
      <x:c r="AL562" s="117" t="str">
        <x:v>Screened sources; accessibility unresolved</x:v>
      </x:c>
      <x:c r="AM562" s="117" t="str">
        <x:v>2026-09-08</x:v>
      </x:c>
      <x:c r="AN562" s="117"/>
      <x:c r="AO562" s="117"/>
      <x:c r="AP562" s="117" t="str">
        <x:v>No usable pair located; image research pending</x:v>
      </x:c>
      <x:c r="AQ562" s="117"/>
    </x:row>
    <x:row r="563" ht="66" customHeight="1">
      <x:c r="A563" s="117" t="str">
        <x:v>MC0560</x:v>
      </x:c>
      <x:c r="B563" s="117" t="str">
        <x:v>Lata Kijang Recreational Forest</x:v>
      </x:c>
      <x:c r="C563" s="117" t="str">
        <x:v>Negeri Sembilan</x:v>
      </x:c>
      <x:c r="D563" s="117" t="str">
        <x:v>Jelebu</x:v>
      </x:c>
      <x:c r="E563" s="117" t="str">
        <x:v>Nature</x:v>
      </x:c>
      <x:c r="F563" s="117" t="str">
        <x:v>Unclassified</x:v>
      </x:c>
      <x:c r="G563" s="117" t="str">
        <x:v>Outdoor</x:v>
      </x:c>
      <x:c r="H563" s="117" t="str">
        <x:v>Nature; Jelebu</x:v>
      </x:c>
      <x:c r="I563" s="117" t="str">
        <x:v>A visitor attraction in Jelebu, Negeri Sembilan, listed in Tourism Malaysia's state travel guide. Venue operation and the precise accessible route require confirmation.</x:v>
      </x:c>
      <x:c r="J563" s="117" t="str">
        <x:v>https://ebrochures.malaysia.travel/en/malaysia-travel-guide/negeri-sembilan/</x:v>
      </x:c>
      <x:c r="K563" s="117" t="str">
        <x:v>https://ebrochures.malaysia.travel/en/malaysia-travel-guide/negeri-sembilan/</x:v>
      </x:c>
      <x:c r="L563" s="117" t="str">
        <x:v>Tourism Malaysia listing; operation unconfirmed</x:v>
      </x:c>
      <x:c r="M563" s="117" t="str">
        <x:v>Nationwide expansion 2026-09-08</x:v>
      </x:c>
      <x:c r="N563" s="117"/>
      <x:c r="O563" s="117" t="str">
        <x:v>2026-09-08</x:v>
      </x:c>
      <x:c r="P563" s="117" t="str">
        <x:v>Complete</x:v>
      </x:c>
      <x:c r="Q563" s="117"/>
      <x:c r="R563" s="117" t="str">
        <x:f>IF(J563="","Missing Link",IF(AND(ISNUMBER(SEARCH("google.com/maps",J563)),ISERROR(SEARCH(";",J563))),"Discovery Link Only","Source Link Present"))</x:f>
        <x:v>Source Link Present</x:v>
      </x:c>
      <x:c r="S563" s="117" t="str">
        <x:v>Unknown</x:v>
      </x:c>
      <x:c r="T563" s="117" t="str">
        <x:v>Unknown</x:v>
      </x:c>
      <x:c r="U563" s="117" t="str">
        <x:v>Unknown</x:v>
      </x:c>
      <x:c r="V563" s="117" t="str">
        <x:v>Unknown</x:v>
      </x:c>
      <x:c r="W563" s="117" t="str">
        <x:v>Unknown</x:v>
      </x:c>
      <x:c r="X563" s="117" t="str">
        <x:v>Unknown</x:v>
      </x:c>
      <x:c r="Y563" s="117" t="str">
        <x:v>Unknown</x:v>
      </x:c>
      <x:c r="Z563" s="117"/>
      <x:c r="AA563" s="117" t="str">
        <x:v>Pending evidence</x:v>
      </x:c>
      <x:c r="AB563" s="117"/>
      <x:c r="AC563" s="117" t="str">
        <x:v>No qualifying accessibility conclusion established from the screened sources. This is unknown, not evidence that the attraction is inaccessible.</x:v>
      </x:c>
      <x:c r="AD563" s="117" t="str">
        <x:v>2026-09-08</x:v>
      </x:c>
      <x:c r="AE563" s="117" t="str">
        <x:v>MC0560</x:v>
      </x:c>
      <x:c r="AF563" s="117" t="str">
        <x:v>Distinct candidate</x:v>
      </x:c>
      <x:c r="AG563" s="117" t="str"/>
      <x:c r="AH563" s="117" t="str">
        <x:v>Listed by Tourism Malaysia</x:v>
      </x:c>
      <x:c r="AI563" s="117" t="str">
        <x:v>https://ebrochures.malaysia.travel/en/malaysia-travel-guide/negeri-sembilan/</x:v>
      </x:c>
      <x:c r="AJ563" s="117" t="str">
        <x:v>Named visitor attraction in cited source; state-guide listings can be historical. Locality is catalogue metadata, not a surveyed address. Current operation remains unconfirmed.</x:v>
      </x:c>
      <x:c r="AK563" s="117" t="str">
        <x:v>Not independently confirmed</x:v>
      </x:c>
      <x:c r="AL563" s="117" t="str">
        <x:v>Screened sources; accessibility unresolved</x:v>
      </x:c>
      <x:c r="AM563" s="117" t="str">
        <x:v>2026-09-08</x:v>
      </x:c>
      <x:c r="AN563" s="117"/>
      <x:c r="AO563" s="117"/>
      <x:c r="AP563" s="117" t="str">
        <x:v>No usable pair located; image research pending</x:v>
      </x:c>
      <x:c r="AQ563" s="117"/>
    </x:row>
    <x:row r="564" ht="66" customHeight="1">
      <x:c r="A564" s="117" t="str">
        <x:v>MC0561</x:v>
      </x:c>
      <x:c r="B564" s="117" t="str">
        <x:v>Jeram Tengkek Recreational Forest</x:v>
      </x:c>
      <x:c r="C564" s="117" t="str">
        <x:v>Negeri Sembilan</x:v>
      </x:c>
      <x:c r="D564" s="117" t="str">
        <x:v>Kuala Pilah</x:v>
      </x:c>
      <x:c r="E564" s="117" t="str">
        <x:v>Nature</x:v>
      </x:c>
      <x:c r="F564" s="117" t="str">
        <x:v>Unclassified</x:v>
      </x:c>
      <x:c r="G564" s="117" t="str">
        <x:v>Outdoor</x:v>
      </x:c>
      <x:c r="H564" s="117" t="str">
        <x:v>Nature; Kuala Pilah</x:v>
      </x:c>
      <x:c r="I564" s="117" t="str">
        <x:v>A visitor attraction in Kuala Pilah, Negeri Sembilan, listed in Tourism Malaysia's state travel guide. Venue operation and the precise accessible route require confirmation.</x:v>
      </x:c>
      <x:c r="J564" s="117" t="str">
        <x:v>https://ebrochures.malaysia.travel/en/malaysia-travel-guide/negeri-sembilan/</x:v>
      </x:c>
      <x:c r="K564" s="117" t="str">
        <x:v>https://ebrochures.malaysia.travel/en/malaysia-travel-guide/negeri-sembilan/</x:v>
      </x:c>
      <x:c r="L564" s="117" t="str">
        <x:v>Tourism Malaysia listing; operation unconfirmed</x:v>
      </x:c>
      <x:c r="M564" s="117" t="str">
        <x:v>Nationwide expansion 2026-09-08</x:v>
      </x:c>
      <x:c r="N564" s="117"/>
      <x:c r="O564" s="117" t="str">
        <x:v>2026-09-08</x:v>
      </x:c>
      <x:c r="P564" s="117" t="str">
        <x:v>Complete</x:v>
      </x:c>
      <x:c r="Q564" s="117"/>
      <x:c r="R564" s="117" t="str">
        <x:f>IF(J564="","Missing Link",IF(AND(ISNUMBER(SEARCH("google.com/maps",J564)),ISERROR(SEARCH(";",J564))),"Discovery Link Only","Source Link Present"))</x:f>
        <x:v>Source Link Present</x:v>
      </x:c>
      <x:c r="S564" s="117" t="str">
        <x:v>Unknown</x:v>
      </x:c>
      <x:c r="T564" s="117" t="str">
        <x:v>Unknown</x:v>
      </x:c>
      <x:c r="U564" s="117" t="str">
        <x:v>Unknown</x:v>
      </x:c>
      <x:c r="V564" s="117" t="str">
        <x:v>Unknown</x:v>
      </x:c>
      <x:c r="W564" s="117" t="str">
        <x:v>Unknown</x:v>
      </x:c>
      <x:c r="X564" s="117" t="str">
        <x:v>Unknown</x:v>
      </x:c>
      <x:c r="Y564" s="117" t="str">
        <x:v>Unknown</x:v>
      </x:c>
      <x:c r="Z564" s="117"/>
      <x:c r="AA564" s="117" t="str">
        <x:v>Pending evidence</x:v>
      </x:c>
      <x:c r="AB564" s="117"/>
      <x:c r="AC564" s="117" t="str">
        <x:v>No qualifying accessibility conclusion established from the screened sources. This is unknown, not evidence that the attraction is inaccessible.</x:v>
      </x:c>
      <x:c r="AD564" s="117" t="str">
        <x:v>2026-09-08</x:v>
      </x:c>
      <x:c r="AE564" s="117" t="str">
        <x:v>MC0561</x:v>
      </x:c>
      <x:c r="AF564" s="117" t="str">
        <x:v>Distinct candidate</x:v>
      </x:c>
      <x:c r="AG564" s="117" t="str"/>
      <x:c r="AH564" s="117" t="str">
        <x:v>Listed by Tourism Malaysia</x:v>
      </x:c>
      <x:c r="AI564" s="117" t="str">
        <x:v>https://ebrochures.malaysia.travel/en/malaysia-travel-guide/negeri-sembilan/</x:v>
      </x:c>
      <x:c r="AJ564" s="117" t="str">
        <x:v>Named visitor attraction in cited source; state-guide listings can be historical. Locality is catalogue metadata, not a surveyed address. Current operation remains unconfirmed.</x:v>
      </x:c>
      <x:c r="AK564" s="117" t="str">
        <x:v>Not independently confirmed</x:v>
      </x:c>
      <x:c r="AL564" s="117" t="str">
        <x:v>Screened sources; accessibility unresolved</x:v>
      </x:c>
      <x:c r="AM564" s="117" t="str">
        <x:v>2026-09-08</x:v>
      </x:c>
      <x:c r="AN564" s="117"/>
      <x:c r="AO564" s="117"/>
      <x:c r="AP564" s="117" t="str">
        <x:v>No usable pair located; image research pending</x:v>
      </x:c>
      <x:c r="AQ564" s="117"/>
    </x:row>
    <x:row r="565" ht="66" customHeight="1">
      <x:c r="A565" s="117" t="str">
        <x:v>MC0562</x:v>
      </x:c>
      <x:c r="B565" s="117" t="str">
        <x:v>Gua Batu Maloi</x:v>
      </x:c>
      <x:c r="C565" s="117" t="str">
        <x:v>Negeri Sembilan</x:v>
      </x:c>
      <x:c r="D565" s="117" t="str">
        <x:v>Kuala Pilah</x:v>
      </x:c>
      <x:c r="E565" s="117" t="str">
        <x:v>Nature</x:v>
      </x:c>
      <x:c r="F565" s="117" t="str">
        <x:v>Unclassified</x:v>
      </x:c>
      <x:c r="G565" s="117" t="str">
        <x:v>Outdoor</x:v>
      </x:c>
      <x:c r="H565" s="117" t="str">
        <x:v>Nature; Kuala Pilah</x:v>
      </x:c>
      <x:c r="I565" s="117" t="str">
        <x:v>A visitor attraction in Kuala Pilah, Negeri Sembilan, listed in Tourism Malaysia's state travel guide. Venue operation and the precise accessible route require confirmation.</x:v>
      </x:c>
      <x:c r="J565" s="117" t="str">
        <x:v>https://ebrochures.malaysia.travel/en/malaysia-travel-guide/negeri-sembilan/</x:v>
      </x:c>
      <x:c r="K565" s="117" t="str">
        <x:v>https://ebrochures.malaysia.travel/en/malaysia-travel-guide/negeri-sembilan/</x:v>
      </x:c>
      <x:c r="L565" s="117" t="str">
        <x:v>Tourism Malaysia listing; operation unconfirmed</x:v>
      </x:c>
      <x:c r="M565" s="117" t="str">
        <x:v>Nationwide expansion 2026-09-08</x:v>
      </x:c>
      <x:c r="N565" s="117"/>
      <x:c r="O565" s="117" t="str">
        <x:v>2026-09-08</x:v>
      </x:c>
      <x:c r="P565" s="117" t="str">
        <x:v>Complete</x:v>
      </x:c>
      <x:c r="Q565" s="117"/>
      <x:c r="R565" s="117" t="str">
        <x:f>IF(J565="","Missing Link",IF(AND(ISNUMBER(SEARCH("google.com/maps",J565)),ISERROR(SEARCH(";",J565))),"Discovery Link Only","Source Link Present"))</x:f>
        <x:v>Source Link Present</x:v>
      </x:c>
      <x:c r="S565" s="117" t="str">
        <x:v>Unknown</x:v>
      </x:c>
      <x:c r="T565" s="117" t="str">
        <x:v>Unknown</x:v>
      </x:c>
      <x:c r="U565" s="117" t="str">
        <x:v>Unknown</x:v>
      </x:c>
      <x:c r="V565" s="117" t="str">
        <x:v>Unknown</x:v>
      </x:c>
      <x:c r="W565" s="117" t="str">
        <x:v>Unknown</x:v>
      </x:c>
      <x:c r="X565" s="117" t="str">
        <x:v>Unknown</x:v>
      </x:c>
      <x:c r="Y565" s="117" t="str">
        <x:v>Unknown</x:v>
      </x:c>
      <x:c r="Z565" s="117"/>
      <x:c r="AA565" s="117" t="str">
        <x:v>Pending evidence</x:v>
      </x:c>
      <x:c r="AB565" s="117"/>
      <x:c r="AC565" s="117" t="str">
        <x:v>No qualifying accessibility conclusion established from the screened sources. This is unknown, not evidence that the attraction is inaccessible.</x:v>
      </x:c>
      <x:c r="AD565" s="117" t="str">
        <x:v>2026-09-08</x:v>
      </x:c>
      <x:c r="AE565" s="117" t="str">
        <x:v>MC0562</x:v>
      </x:c>
      <x:c r="AF565" s="117" t="str">
        <x:v>Distinct candidate</x:v>
      </x:c>
      <x:c r="AG565" s="117" t="str"/>
      <x:c r="AH565" s="117" t="str">
        <x:v>Listed by Tourism Malaysia</x:v>
      </x:c>
      <x:c r="AI565" s="117" t="str">
        <x:v>https://ebrochures.malaysia.travel/en/malaysia-travel-guide/negeri-sembilan/</x:v>
      </x:c>
      <x:c r="AJ565" s="117" t="str">
        <x:v>Named visitor attraction in cited source; state-guide listings can be historical. Locality is catalogue metadata, not a surveyed address. Current operation remains unconfirmed.</x:v>
      </x:c>
      <x:c r="AK565" s="117" t="str">
        <x:v>Not independently confirmed</x:v>
      </x:c>
      <x:c r="AL565" s="117" t="str">
        <x:v>Screened sources; accessibility unresolved</x:v>
      </x:c>
      <x:c r="AM565" s="117" t="str">
        <x:v>2026-09-08</x:v>
      </x:c>
      <x:c r="AN565" s="117"/>
      <x:c r="AO565" s="117"/>
      <x:c r="AP565" s="117" t="str">
        <x:v>No usable pair located; image research pending</x:v>
      </x:c>
      <x:c r="AQ565" s="117"/>
    </x:row>
    <x:row r="566" ht="66" customHeight="1">
      <x:c r="A566" s="117" t="str">
        <x:v>MC0563</x:v>
      </x:c>
      <x:c r="B566" s="117" t="str">
        <x:v>Rembau Crystal</x:v>
      </x:c>
      <x:c r="C566" s="117" t="str">
        <x:v>Negeri Sembilan</x:v>
      </x:c>
      <x:c r="D566" s="117" t="str">
        <x:v>Rembau</x:v>
      </x:c>
      <x:c r="E566" s="117" t="str">
        <x:v>Heritage and Visitor Attraction</x:v>
      </x:c>
      <x:c r="F566" s="117" t="str">
        <x:v>Unclassified</x:v>
      </x:c>
      <x:c r="G566" s="117" t="str">
        <x:v>Both</x:v>
      </x:c>
      <x:c r="H566" s="117" t="str">
        <x:v>Heritage and Visitor Attraction; Rembau</x:v>
      </x:c>
      <x:c r="I566" s="117" t="str">
        <x:v>A visitor attraction in Rembau, Negeri Sembilan, listed in Tourism Malaysia's state travel guide. Venue operation and the precise accessible route require confirmation.</x:v>
      </x:c>
      <x:c r="J566" s="117" t="str">
        <x:v>https://ebrochures.malaysia.travel/en/malaysia-travel-guide/negeri-sembilan/</x:v>
      </x:c>
      <x:c r="K566" s="117" t="str">
        <x:v>https://ebrochures.malaysia.travel/en/malaysia-travel-guide/negeri-sembilan/</x:v>
      </x:c>
      <x:c r="L566" s="117" t="str">
        <x:v>Tourism Malaysia listing; operation unconfirmed</x:v>
      </x:c>
      <x:c r="M566" s="117" t="str">
        <x:v>Nationwide expansion 2026-09-08</x:v>
      </x:c>
      <x:c r="N566" s="117"/>
      <x:c r="O566" s="117" t="str">
        <x:v>2026-09-08</x:v>
      </x:c>
      <x:c r="P566" s="117" t="str">
        <x:v>Complete</x:v>
      </x:c>
      <x:c r="Q566" s="117"/>
      <x:c r="R566" s="117" t="str">
        <x:f>IF(J566="","Missing Link",IF(AND(ISNUMBER(SEARCH("google.com/maps",J566)),ISERROR(SEARCH(";",J566))),"Discovery Link Only","Source Link Present"))</x:f>
        <x:v>Source Link Present</x:v>
      </x:c>
      <x:c r="S566" s="117" t="str">
        <x:v>Unknown</x:v>
      </x:c>
      <x:c r="T566" s="117" t="str">
        <x:v>Unknown</x:v>
      </x:c>
      <x:c r="U566" s="117" t="str">
        <x:v>Unknown</x:v>
      </x:c>
      <x:c r="V566" s="117" t="str">
        <x:v>Unknown</x:v>
      </x:c>
      <x:c r="W566" s="117" t="str">
        <x:v>Unknown</x:v>
      </x:c>
      <x:c r="X566" s="117" t="str">
        <x:v>Unknown</x:v>
      </x:c>
      <x:c r="Y566" s="117" t="str">
        <x:v>Unknown</x:v>
      </x:c>
      <x:c r="Z566" s="117"/>
      <x:c r="AA566" s="117" t="str">
        <x:v>Pending evidence</x:v>
      </x:c>
      <x:c r="AB566" s="117"/>
      <x:c r="AC566" s="117" t="str">
        <x:v>No qualifying accessibility conclusion established from the screened sources. This is unknown, not evidence that the attraction is inaccessible.</x:v>
      </x:c>
      <x:c r="AD566" s="117" t="str">
        <x:v>2026-09-08</x:v>
      </x:c>
      <x:c r="AE566" s="117" t="str">
        <x:v>MC0563</x:v>
      </x:c>
      <x:c r="AF566" s="117" t="str">
        <x:v>Distinct candidate</x:v>
      </x:c>
      <x:c r="AG566" s="117" t="str"/>
      <x:c r="AH566" s="117" t="str">
        <x:v>Listed by Tourism Malaysia</x:v>
      </x:c>
      <x:c r="AI566" s="117" t="str">
        <x:v>https://ebrochures.malaysia.travel/en/malaysia-travel-guide/negeri-sembilan/</x:v>
      </x:c>
      <x:c r="AJ566" s="117" t="str">
        <x:v>Named visitor attraction in cited source; state-guide listings can be historical. Locality is catalogue metadata, not a surveyed address. Current operation remains unconfirmed.</x:v>
      </x:c>
      <x:c r="AK566" s="117" t="str">
        <x:v>Not independently confirmed</x:v>
      </x:c>
      <x:c r="AL566" s="117" t="str">
        <x:v>Screened sources; accessibility unresolved</x:v>
      </x:c>
      <x:c r="AM566" s="117" t="str">
        <x:v>2026-09-08</x:v>
      </x:c>
      <x:c r="AN566" s="117"/>
      <x:c r="AO566" s="117"/>
      <x:c r="AP566" s="117" t="str">
        <x:v>No usable pair located; image research pending</x:v>
      </x:c>
      <x:c r="AQ566" s="117"/>
    </x:row>
    <x:row r="567" ht="66" customHeight="1">
      <x:c r="A567" s="117" t="str">
        <x:v>MC0564</x:v>
      </x:c>
      <x:c r="B567" s="117" t="str">
        <x:v>Sungai Timun Wildlife Park</x:v>
      </x:c>
      <x:c r="C567" s="117" t="str">
        <x:v>Negeri Sembilan</x:v>
      </x:c>
      <x:c r="D567" s="117" t="str">
        <x:v>Rembau</x:v>
      </x:c>
      <x:c r="E567" s="117" t="str">
        <x:v>Wildlife</x:v>
      </x:c>
      <x:c r="F567" s="117" t="str">
        <x:v>Unclassified</x:v>
      </x:c>
      <x:c r="G567" s="117" t="str">
        <x:v>Outdoor</x:v>
      </x:c>
      <x:c r="H567" s="117" t="str">
        <x:v>Wildlife; Rembau</x:v>
      </x:c>
      <x:c r="I567" s="117" t="str">
        <x:v>A visitor attraction in Rembau, Negeri Sembilan, listed in Tourism Malaysia's state travel guide. Venue operation and the precise accessible route require confirmation.</x:v>
      </x:c>
      <x:c r="J567" s="117" t="str">
        <x:v>https://ebrochures.malaysia.travel/en/malaysia-travel-guide/negeri-sembilan/</x:v>
      </x:c>
      <x:c r="K567" s="117" t="str">
        <x:v>https://ebrochures.malaysia.travel/en/malaysia-travel-guide/negeri-sembilan/</x:v>
      </x:c>
      <x:c r="L567" s="117" t="str">
        <x:v>Tourism Malaysia listing; operation unconfirmed</x:v>
      </x:c>
      <x:c r="M567" s="117" t="str">
        <x:v>Nationwide expansion 2026-09-08</x:v>
      </x:c>
      <x:c r="N567" s="117"/>
      <x:c r="O567" s="117" t="str">
        <x:v>2026-09-08</x:v>
      </x:c>
      <x:c r="P567" s="117" t="str">
        <x:v>Complete</x:v>
      </x:c>
      <x:c r="Q567" s="117"/>
      <x:c r="R567" s="117" t="str">
        <x:f>IF(J567="","Missing Link",IF(AND(ISNUMBER(SEARCH("google.com/maps",J567)),ISERROR(SEARCH(";",J567))),"Discovery Link Only","Source Link Present"))</x:f>
        <x:v>Source Link Present</x:v>
      </x:c>
      <x:c r="S567" s="117" t="str">
        <x:v>Unknown</x:v>
      </x:c>
      <x:c r="T567" s="117" t="str">
        <x:v>Unknown</x:v>
      </x:c>
      <x:c r="U567" s="117" t="str">
        <x:v>Unknown</x:v>
      </x:c>
      <x:c r="V567" s="117" t="str">
        <x:v>Unknown</x:v>
      </x:c>
      <x:c r="W567" s="117" t="str">
        <x:v>Unknown</x:v>
      </x:c>
      <x:c r="X567" s="117" t="str">
        <x:v>Unknown</x:v>
      </x:c>
      <x:c r="Y567" s="117" t="str">
        <x:v>Unknown</x:v>
      </x:c>
      <x:c r="Z567" s="117"/>
      <x:c r="AA567" s="117" t="str">
        <x:v>Pending evidence</x:v>
      </x:c>
      <x:c r="AB567" s="117"/>
      <x:c r="AC567" s="117" t="str">
        <x:v>No qualifying accessibility conclusion established from the screened sources. This is unknown, not evidence that the attraction is inaccessible.</x:v>
      </x:c>
      <x:c r="AD567" s="117" t="str">
        <x:v>2026-09-08</x:v>
      </x:c>
      <x:c r="AE567" s="117" t="str">
        <x:v>MC0564</x:v>
      </x:c>
      <x:c r="AF567" s="117" t="str">
        <x:v>Distinct candidate</x:v>
      </x:c>
      <x:c r="AG567" s="117" t="str"/>
      <x:c r="AH567" s="117" t="str">
        <x:v>Listed by Tourism Malaysia</x:v>
      </x:c>
      <x:c r="AI567" s="117" t="str">
        <x:v>https://ebrochures.malaysia.travel/en/malaysia-travel-guide/negeri-sembilan/</x:v>
      </x:c>
      <x:c r="AJ567" s="117" t="str">
        <x:v>Named visitor attraction in cited source; state-guide listings can be historical. Locality is catalogue metadata, not a surveyed address. Current operation remains unconfirmed.</x:v>
      </x:c>
      <x:c r="AK567" s="117" t="str">
        <x:v>Not independently confirmed</x:v>
      </x:c>
      <x:c r="AL567" s="117" t="str">
        <x:v>Screened sources; accessibility unresolved</x:v>
      </x:c>
      <x:c r="AM567" s="117" t="str">
        <x:v>2026-09-08</x:v>
      </x:c>
      <x:c r="AN567" s="117"/>
      <x:c r="AO567" s="117"/>
      <x:c r="AP567" s="117" t="str">
        <x:v>No usable pair located; image research pending</x:v>
      </x:c>
      <x:c r="AQ567" s="117"/>
    </x:row>
    <x:row r="568" ht="66" customHeight="1">
      <x:c r="A568" s="117" t="str">
        <x:v>MC0565</x:v>
      </x:c>
      <x:c r="B568" s="117" t="str">
        <x:v>Serting Ulu Recreational Forest</x:v>
      </x:c>
      <x:c r="C568" s="117" t="str">
        <x:v>Negeri Sembilan</x:v>
      </x:c>
      <x:c r="D568" s="117" t="str">
        <x:v>Jempol</x:v>
      </x:c>
      <x:c r="E568" s="117" t="str">
        <x:v>Nature</x:v>
      </x:c>
      <x:c r="F568" s="117" t="str">
        <x:v>Unclassified</x:v>
      </x:c>
      <x:c r="G568" s="117" t="str">
        <x:v>Outdoor</x:v>
      </x:c>
      <x:c r="H568" s="117" t="str">
        <x:v>Nature; Jempol</x:v>
      </x:c>
      <x:c r="I568" s="117" t="str">
        <x:v>A visitor attraction in Jempol, Negeri Sembilan, listed in Tourism Malaysia's state travel guide. Venue operation and the precise accessible route require confirmation.</x:v>
      </x:c>
      <x:c r="J568" s="117" t="str">
        <x:v>https://ebrochures.malaysia.travel/en/malaysia-travel-guide/negeri-sembilan/</x:v>
      </x:c>
      <x:c r="K568" s="117" t="str">
        <x:v>https://ebrochures.malaysia.travel/en/malaysia-travel-guide/negeri-sembilan/</x:v>
      </x:c>
      <x:c r="L568" s="117" t="str">
        <x:v>Tourism Malaysia listing; operation unconfirmed</x:v>
      </x:c>
      <x:c r="M568" s="117" t="str">
        <x:v>Nationwide expansion 2026-09-08</x:v>
      </x:c>
      <x:c r="N568" s="117"/>
      <x:c r="O568" s="117" t="str">
        <x:v>2026-09-08</x:v>
      </x:c>
      <x:c r="P568" s="117" t="str">
        <x:v>Complete</x:v>
      </x:c>
      <x:c r="Q568" s="117"/>
      <x:c r="R568" s="117" t="str">
        <x:f>IF(J568="","Missing Link",IF(AND(ISNUMBER(SEARCH("google.com/maps",J568)),ISERROR(SEARCH(";",J568))),"Discovery Link Only","Source Link Present"))</x:f>
        <x:v>Source Link Present</x:v>
      </x:c>
      <x:c r="S568" s="117" t="str">
        <x:v>Unknown</x:v>
      </x:c>
      <x:c r="T568" s="117" t="str">
        <x:v>Unknown</x:v>
      </x:c>
      <x:c r="U568" s="117" t="str">
        <x:v>Unknown</x:v>
      </x:c>
      <x:c r="V568" s="117" t="str">
        <x:v>Unknown</x:v>
      </x:c>
      <x:c r="W568" s="117" t="str">
        <x:v>Unknown</x:v>
      </x:c>
      <x:c r="X568" s="117" t="str">
        <x:v>Unknown</x:v>
      </x:c>
      <x:c r="Y568" s="117" t="str">
        <x:v>Unknown</x:v>
      </x:c>
      <x:c r="Z568" s="117"/>
      <x:c r="AA568" s="117" t="str">
        <x:v>Pending evidence</x:v>
      </x:c>
      <x:c r="AB568" s="117"/>
      <x:c r="AC568" s="117" t="str">
        <x:v>No qualifying accessibility conclusion established from the screened sources. This is unknown, not evidence that the attraction is inaccessible.</x:v>
      </x:c>
      <x:c r="AD568" s="117" t="str">
        <x:v>2026-09-08</x:v>
      </x:c>
      <x:c r="AE568" s="117" t="str">
        <x:v>MC0565</x:v>
      </x:c>
      <x:c r="AF568" s="117" t="str">
        <x:v>Distinct candidate</x:v>
      </x:c>
      <x:c r="AG568" s="117" t="str"/>
      <x:c r="AH568" s="117" t="str">
        <x:v>Listed by Tourism Malaysia</x:v>
      </x:c>
      <x:c r="AI568" s="117" t="str">
        <x:v>https://ebrochures.malaysia.travel/en/malaysia-travel-guide/negeri-sembilan/</x:v>
      </x:c>
      <x:c r="AJ568" s="117" t="str">
        <x:v>Named visitor attraction in cited source; state-guide listings can be historical. Locality is catalogue metadata, not a surveyed address. Current operation remains unconfirmed.</x:v>
      </x:c>
      <x:c r="AK568" s="117" t="str">
        <x:v>Not independently confirmed</x:v>
      </x:c>
      <x:c r="AL568" s="117" t="str">
        <x:v>Screened sources; accessibility unresolved</x:v>
      </x:c>
      <x:c r="AM568" s="117" t="str">
        <x:v>2026-09-08</x:v>
      </x:c>
      <x:c r="AN568" s="117"/>
      <x:c r="AO568" s="117"/>
      <x:c r="AP568" s="117" t="str">
        <x:v>No usable pair located; image research pending</x:v>
      </x:c>
      <x:c r="AQ568" s="117"/>
    </x:row>
    <x:row r="569" ht="66" customHeight="1">
      <x:c r="A569" s="117" t="str">
        <x:v>MC0566</x:v>
      </x:c>
      <x:c r="B569" s="117" t="str">
        <x:v>Tioman Island</x:v>
      </x:c>
      <x:c r="C569" s="117" t="str">
        <x:v>Pahang</x:v>
      </x:c>
      <x:c r="D569" s="117" t="str">
        <x:v>Rompin</x:v>
      </x:c>
      <x:c r="E569" s="117" t="str">
        <x:v>Beach and Island</x:v>
      </x:c>
      <x:c r="F569" s="117" t="str">
        <x:v>Unclassified</x:v>
      </x:c>
      <x:c r="G569" s="117" t="str">
        <x:v>Outdoor</x:v>
      </x:c>
      <x:c r="H569" s="117" t="str">
        <x:v>Beach and Island; Rompin</x:v>
      </x:c>
      <x:c r="I569" s="117" t="str">
        <x:v>A visitor attraction in Rompin, Pahang, listed in Tourism Malaysia's state travel guide. Venue operation and the precise accessible route require confirmation.</x:v>
      </x:c>
      <x:c r="J569" s="117" t="str">
        <x:v>https://ebrochures.malaysia.travel/en/malaysia-travel-guide/pahang/</x:v>
      </x:c>
      <x:c r="K569" s="117" t="str">
        <x:v>https://ebrochures.malaysia.travel/en/malaysia-travel-guide/pahang/</x:v>
      </x:c>
      <x:c r="L569" s="117" t="str">
        <x:v>Tourism Malaysia listing; operation unconfirmed</x:v>
      </x:c>
      <x:c r="M569" s="117" t="str">
        <x:v>Nationwide expansion 2026-09-08</x:v>
      </x:c>
      <x:c r="N569" s="117"/>
      <x:c r="O569" s="117" t="str">
        <x:v>2026-09-08</x:v>
      </x:c>
      <x:c r="P569" s="117" t="str">
        <x:v>Complete</x:v>
      </x:c>
      <x:c r="Q569" s="117"/>
      <x:c r="R569" s="117" t="str">
        <x:f>IF(J569="","Missing Link",IF(AND(ISNUMBER(SEARCH("google.com/maps",J569)),ISERROR(SEARCH(";",J569))),"Discovery Link Only","Source Link Present"))</x:f>
        <x:v>Source Link Present</x:v>
      </x:c>
      <x:c r="S569" s="117" t="str">
        <x:v>Unknown</x:v>
      </x:c>
      <x:c r="T569" s="117" t="str">
        <x:v>Unknown</x:v>
      </x:c>
      <x:c r="U569" s="117" t="str">
        <x:v>Unknown</x:v>
      </x:c>
      <x:c r="V569" s="117" t="str">
        <x:v>Unknown</x:v>
      </x:c>
      <x:c r="W569" s="117" t="str">
        <x:v>Unknown</x:v>
      </x:c>
      <x:c r="X569" s="117" t="str">
        <x:v>Unknown</x:v>
      </x:c>
      <x:c r="Y569" s="117" t="str">
        <x:v>Unknown</x:v>
      </x:c>
      <x:c r="Z569" s="117"/>
      <x:c r="AA569" s="117" t="str">
        <x:v>Pending evidence</x:v>
      </x:c>
      <x:c r="AB569" s="117"/>
      <x:c r="AC569" s="117" t="str">
        <x:v>No qualifying accessibility conclusion established from the screened sources. This is unknown, not evidence that the attraction is inaccessible.</x:v>
      </x:c>
      <x:c r="AD569" s="117" t="str">
        <x:v>2026-09-08</x:v>
      </x:c>
      <x:c r="AE569" s="117" t="str">
        <x:v>MC0566</x:v>
      </x:c>
      <x:c r="AF569" s="117" t="str">
        <x:v>Distinct candidate</x:v>
      </x:c>
      <x:c r="AG569" s="117" t="str"/>
      <x:c r="AH569" s="117" t="str">
        <x:v>Listed by Tourism Malaysia</x:v>
      </x:c>
      <x:c r="AI569" s="117" t="str">
        <x:v>https://ebrochures.malaysia.travel/en/malaysia-travel-guide/pahang/</x:v>
      </x:c>
      <x:c r="AJ569" s="117" t="str">
        <x:v>Named visitor attraction in cited source; state-guide listings can be historical. Locality is catalogue metadata, not a surveyed address. Current operation remains unconfirmed.</x:v>
      </x:c>
      <x:c r="AK569" s="117" t="str">
        <x:v>Not independently confirmed</x:v>
      </x:c>
      <x:c r="AL569" s="117" t="str">
        <x:v>Screened sources; accessibility unresolved</x:v>
      </x:c>
      <x:c r="AM569" s="117" t="str">
        <x:v>2026-09-08</x:v>
      </x:c>
      <x:c r="AN569" s="117" t="str">
        <x:v>https://upload.wikimedia.org/wikipedia/commons/0/0b/Tioman_island.jpg?utm_source=commons.wikimedia.org&amp;utm_campaign=imageinfo&amp;utm_content=thumbnail_unscaled</x:v>
      </x:c>
      <x:c r="AO569" s="117" t="str">
        <x:v>https://thumb.wikimedia.org/wikipedia/commons/thumb/4/42/Tioman_island_%283678625249%29.jpg/1280px-Tioman_island_%283678625249%29.jpg?utm_source=commons.wikimedia.org&amp;utm_campaign=imageinfo&amp;utm_content=thumbnail</x:v>
      </x:c>
      <x:c r="AP569" s="117" t="str">
        <x:v>2 metadata-matched images; visual review pending</x:v>
      </x:c>
      <x:c r="AQ569" s="117"/>
    </x:row>
    <x:row r="570" ht="66" customHeight="1">
      <x:c r="A570" s="117" t="str">
        <x:v>MC0567</x:v>
      </x:c>
      <x:c r="B570" s="117" t="str">
        <x:v>Hiburan Beach</x:v>
      </x:c>
      <x:c r="C570" s="117" t="str">
        <x:v>Pahang</x:v>
      </x:c>
      <x:c r="D570" s="117" t="str">
        <x:v>Rompin</x:v>
      </x:c>
      <x:c r="E570" s="117" t="str">
        <x:v>Beach and Island</x:v>
      </x:c>
      <x:c r="F570" s="117" t="str">
        <x:v>Unclassified</x:v>
      </x:c>
      <x:c r="G570" s="117" t="str">
        <x:v>Outdoor</x:v>
      </x:c>
      <x:c r="H570" s="117" t="str">
        <x:v>Beach and Island; Rompin</x:v>
      </x:c>
      <x:c r="I570" s="117" t="str">
        <x:v>A visitor attraction in Rompin, Pahang, listed in Tourism Malaysia's state travel guide. Venue operation and the precise accessible route require confirmation.</x:v>
      </x:c>
      <x:c r="J570" s="117" t="str">
        <x:v>https://ebrochures.malaysia.travel/en/malaysia-travel-guide/pahang/</x:v>
      </x:c>
      <x:c r="K570" s="117" t="str">
        <x:v>https://ebrochures.malaysia.travel/en/malaysia-travel-guide/pahang/</x:v>
      </x:c>
      <x:c r="L570" s="117" t="str">
        <x:v>Tourism Malaysia listing; operation unconfirmed</x:v>
      </x:c>
      <x:c r="M570" s="117" t="str">
        <x:v>Nationwide expansion 2026-09-08</x:v>
      </x:c>
      <x:c r="N570" s="117"/>
      <x:c r="O570" s="117" t="str">
        <x:v>2026-09-08</x:v>
      </x:c>
      <x:c r="P570" s="117" t="str">
        <x:v>Complete</x:v>
      </x:c>
      <x:c r="Q570" s="117"/>
      <x:c r="R570" s="117" t="str">
        <x:f>IF(J570="","Missing Link",IF(AND(ISNUMBER(SEARCH("google.com/maps",J570)),ISERROR(SEARCH(";",J570))),"Discovery Link Only","Source Link Present"))</x:f>
        <x:v>Source Link Present</x:v>
      </x:c>
      <x:c r="S570" s="117" t="str">
        <x:v>Unknown</x:v>
      </x:c>
      <x:c r="T570" s="117" t="str">
        <x:v>Unknown</x:v>
      </x:c>
      <x:c r="U570" s="117" t="str">
        <x:v>Unknown</x:v>
      </x:c>
      <x:c r="V570" s="117" t="str">
        <x:v>Unknown</x:v>
      </x:c>
      <x:c r="W570" s="117" t="str">
        <x:v>Unknown</x:v>
      </x:c>
      <x:c r="X570" s="117" t="str">
        <x:v>Unknown</x:v>
      </x:c>
      <x:c r="Y570" s="117" t="str">
        <x:v>Unknown</x:v>
      </x:c>
      <x:c r="Z570" s="117"/>
      <x:c r="AA570" s="117" t="str">
        <x:v>Pending evidence</x:v>
      </x:c>
      <x:c r="AB570" s="117"/>
      <x:c r="AC570" s="117" t="str">
        <x:v>No qualifying accessibility conclusion established from the screened sources. This is unknown, not evidence that the attraction is inaccessible.</x:v>
      </x:c>
      <x:c r="AD570" s="117" t="str">
        <x:v>2026-09-08</x:v>
      </x:c>
      <x:c r="AE570" s="117" t="str">
        <x:v>MC0567</x:v>
      </x:c>
      <x:c r="AF570" s="117" t="str">
        <x:v>Distinct candidate</x:v>
      </x:c>
      <x:c r="AG570" s="117" t="str"/>
      <x:c r="AH570" s="117" t="str">
        <x:v>Listed by Tourism Malaysia</x:v>
      </x:c>
      <x:c r="AI570" s="117" t="str">
        <x:v>https://ebrochures.malaysia.travel/en/malaysia-travel-guide/pahang/</x:v>
      </x:c>
      <x:c r="AJ570" s="117" t="str">
        <x:v>Named visitor attraction in cited source; state-guide listings can be historical. Locality is catalogue metadata, not a surveyed address. Current operation remains unconfirmed.</x:v>
      </x:c>
      <x:c r="AK570" s="117" t="str">
        <x:v>Not independently confirmed</x:v>
      </x:c>
      <x:c r="AL570" s="117" t="str">
        <x:v>Screened sources; accessibility unresolved</x:v>
      </x:c>
      <x:c r="AM570" s="117" t="str">
        <x:v>2026-09-08</x:v>
      </x:c>
      <x:c r="AN570" s="117"/>
      <x:c r="AO570" s="117"/>
      <x:c r="AP570" s="117" t="str">
        <x:v>No usable pair located; image research pending</x:v>
      </x:c>
      <x:c r="AQ570" s="117"/>
    </x:row>
    <x:row r="571" ht="66" customHeight="1">
      <x:c r="A571" s="117" t="str">
        <x:v>MC0568</x:v>
      </x:c>
      <x:c r="B571" s="117" t="str">
        <x:v>Sungai Lembing Museum</x:v>
      </x:c>
      <x:c r="C571" s="117" t="str">
        <x:v>Pahang</x:v>
      </x:c>
      <x:c r="D571" s="117" t="str">
        <x:v>Sungai Lembing</x:v>
      </x:c>
      <x:c r="E571" s="117" t="str">
        <x:v>Museum and Gallery</x:v>
      </x:c>
      <x:c r="F571" s="117" t="str">
        <x:v>Unclassified</x:v>
      </x:c>
      <x:c r="G571" s="117" t="str">
        <x:v>Indoor</x:v>
      </x:c>
      <x:c r="H571" s="117" t="str">
        <x:v>Museum and Gallery; Sungai Lembing</x:v>
      </x:c>
      <x:c r="I571" s="117" t="str">
        <x:v>A visitor attraction in Sungai Lembing, Pahang, listed in Tourism Malaysia's state travel guide. Venue operation and the precise accessible route require confirmation.</x:v>
      </x:c>
      <x:c r="J571" s="117" t="str">
        <x:v>https://ebrochures.malaysia.travel/en/malaysia-travel-guide/pahang/</x:v>
      </x:c>
      <x:c r="K571" s="117" t="str">
        <x:v>https://ebrochures.malaysia.travel/en/malaysia-travel-guide/pahang/</x:v>
      </x:c>
      <x:c r="L571" s="117" t="str">
        <x:v>Tourism Malaysia listing; operation unconfirmed</x:v>
      </x:c>
      <x:c r="M571" s="117" t="str">
        <x:v>Nationwide expansion 2026-09-08</x:v>
      </x:c>
      <x:c r="N571" s="117"/>
      <x:c r="O571" s="117" t="str">
        <x:v>2026-09-08</x:v>
      </x:c>
      <x:c r="P571" s="117" t="str">
        <x:v>Complete</x:v>
      </x:c>
      <x:c r="Q571" s="117"/>
      <x:c r="R571" s="117" t="str">
        <x:f>IF(J571="","Missing Link",IF(AND(ISNUMBER(SEARCH("google.com/maps",J571)),ISERROR(SEARCH(";",J571))),"Discovery Link Only","Source Link Present"))</x:f>
        <x:v>Source Link Present</x:v>
      </x:c>
      <x:c r="S571" s="117" t="str">
        <x:v>Unknown</x:v>
      </x:c>
      <x:c r="T571" s="117" t="str">
        <x:v>Unknown</x:v>
      </x:c>
      <x:c r="U571" s="117" t="str">
        <x:v>Unknown</x:v>
      </x:c>
      <x:c r="V571" s="117" t="str">
        <x:v>Unknown</x:v>
      </x:c>
      <x:c r="W571" s="117" t="str">
        <x:v>Unknown</x:v>
      </x:c>
      <x:c r="X571" s="117" t="str">
        <x:v>Unknown</x:v>
      </x:c>
      <x:c r="Y571" s="117" t="str">
        <x:v>Unknown</x:v>
      </x:c>
      <x:c r="Z571" s="117"/>
      <x:c r="AA571" s="117" t="str">
        <x:v>Pending evidence</x:v>
      </x:c>
      <x:c r="AB571" s="117"/>
      <x:c r="AC571" s="117" t="str">
        <x:v>No qualifying accessibility conclusion established from the screened sources. This is unknown, not evidence that the attraction is inaccessible.</x:v>
      </x:c>
      <x:c r="AD571" s="117" t="str">
        <x:v>2026-09-08</x:v>
      </x:c>
      <x:c r="AE571" s="117" t="str">
        <x:v>MC0568</x:v>
      </x:c>
      <x:c r="AF571" s="117" t="str">
        <x:v>Distinct candidate</x:v>
      </x:c>
      <x:c r="AG571" s="117" t="str"/>
      <x:c r="AH571" s="117" t="str">
        <x:v>Listed by Tourism Malaysia</x:v>
      </x:c>
      <x:c r="AI571" s="117" t="str">
        <x:v>https://ebrochures.malaysia.travel/en/malaysia-travel-guide/pahang/</x:v>
      </x:c>
      <x:c r="AJ571" s="117" t="str">
        <x:v>Named visitor attraction in cited source; state-guide listings can be historical. Locality is catalogue metadata, not a surveyed address. Current operation remains unconfirmed.</x:v>
      </x:c>
      <x:c r="AK571" s="117" t="str">
        <x:v>Not independently confirmed</x:v>
      </x:c>
      <x:c r="AL571" s="117" t="str">
        <x:v>Screened sources; accessibility unresolved</x:v>
      </x:c>
      <x:c r="AM571" s="117" t="str">
        <x:v>2026-09-08</x:v>
      </x:c>
      <x:c r="AN571" s="117"/>
      <x:c r="AO571" s="117"/>
      <x:c r="AP571" s="117" t="str">
        <x:v>No usable pair located; image research pending</x:v>
      </x:c>
      <x:c r="AQ571" s="117"/>
    </x:row>
    <x:row r="572" ht="66" customHeight="1">
      <x:c r="A572" s="117" t="str">
        <x:v>MC0569</x:v>
      </x:c>
      <x:c r="B572" s="117" t="str">
        <x:v>Sungai Lembing Mines</x:v>
      </x:c>
      <x:c r="C572" s="117" t="str">
        <x:v>Pahang</x:v>
      </x:c>
      <x:c r="D572" s="117" t="str">
        <x:v>Sungai Lembing</x:v>
      </x:c>
      <x:c r="E572" s="117" t="str">
        <x:v>Heritage and Visitor Attraction</x:v>
      </x:c>
      <x:c r="F572" s="117" t="str">
        <x:v>Unclassified</x:v>
      </x:c>
      <x:c r="G572" s="117" t="str">
        <x:v>Both</x:v>
      </x:c>
      <x:c r="H572" s="117" t="str">
        <x:v>Heritage and Visitor Attraction; Sungai Lembing</x:v>
      </x:c>
      <x:c r="I572" s="117" t="str">
        <x:v>A visitor attraction in Sungai Lembing, Pahang, listed in Tourism Malaysia's state travel guide. Venue operation and the precise accessible route require confirmation.</x:v>
      </x:c>
      <x:c r="J572" s="117" t="str">
        <x:v>https://ebrochures.malaysia.travel/en/malaysia-travel-guide/pahang/</x:v>
      </x:c>
      <x:c r="K572" s="117" t="str">
        <x:v>https://ebrochures.malaysia.travel/en/malaysia-travel-guide/pahang/</x:v>
      </x:c>
      <x:c r="L572" s="117" t="str">
        <x:v>Tourism Malaysia listing; operation unconfirmed</x:v>
      </x:c>
      <x:c r="M572" s="117" t="str">
        <x:v>Nationwide expansion 2026-09-08</x:v>
      </x:c>
      <x:c r="N572" s="117"/>
      <x:c r="O572" s="117" t="str">
        <x:v>2026-09-08</x:v>
      </x:c>
      <x:c r="P572" s="117" t="str">
        <x:v>Complete</x:v>
      </x:c>
      <x:c r="Q572" s="117"/>
      <x:c r="R572" s="117" t="str">
        <x:f>IF(J572="","Missing Link",IF(AND(ISNUMBER(SEARCH("google.com/maps",J572)),ISERROR(SEARCH(";",J572))),"Discovery Link Only","Source Link Present"))</x:f>
        <x:v>Source Link Present</x:v>
      </x:c>
      <x:c r="S572" s="117" t="str">
        <x:v>Unknown</x:v>
      </x:c>
      <x:c r="T572" s="117" t="str">
        <x:v>Unknown</x:v>
      </x:c>
      <x:c r="U572" s="117" t="str">
        <x:v>Unknown</x:v>
      </x:c>
      <x:c r="V572" s="117" t="str">
        <x:v>Unknown</x:v>
      </x:c>
      <x:c r="W572" s="117" t="str">
        <x:v>Unknown</x:v>
      </x:c>
      <x:c r="X572" s="117" t="str">
        <x:v>Unknown</x:v>
      </x:c>
      <x:c r="Y572" s="117" t="str">
        <x:v>Unknown</x:v>
      </x:c>
      <x:c r="Z572" s="117"/>
      <x:c r="AA572" s="117" t="str">
        <x:v>Pending evidence</x:v>
      </x:c>
      <x:c r="AB572" s="117"/>
      <x:c r="AC572" s="117" t="str">
        <x:v>No qualifying accessibility conclusion established from the screened sources. This is unknown, not evidence that the attraction is inaccessible.</x:v>
      </x:c>
      <x:c r="AD572" s="117" t="str">
        <x:v>2026-09-08</x:v>
      </x:c>
      <x:c r="AE572" s="117" t="str">
        <x:v>MC0569</x:v>
      </x:c>
      <x:c r="AF572" s="117" t="str">
        <x:v>Distinct candidate</x:v>
      </x:c>
      <x:c r="AG572" s="117" t="str"/>
      <x:c r="AH572" s="117" t="str">
        <x:v>Listed by Tourism Malaysia</x:v>
      </x:c>
      <x:c r="AI572" s="117" t="str">
        <x:v>https://ebrochures.malaysia.travel/en/malaysia-travel-guide/pahang/</x:v>
      </x:c>
      <x:c r="AJ572" s="117" t="str">
        <x:v>Named visitor attraction in cited source; state-guide listings can be historical. Locality is catalogue metadata, not a surveyed address. Current operation remains unconfirmed.</x:v>
      </x:c>
      <x:c r="AK572" s="117" t="str">
        <x:v>Not independently confirmed</x:v>
      </x:c>
      <x:c r="AL572" s="117" t="str">
        <x:v>Screened sources; accessibility unresolved</x:v>
      </x:c>
      <x:c r="AM572" s="117" t="str">
        <x:v>2026-09-08</x:v>
      </x:c>
      <x:c r="AN572" s="117"/>
      <x:c r="AO572" s="117"/>
      <x:c r="AP572" s="117" t="str">
        <x:v>No usable pair located; image research pending</x:v>
      </x:c>
      <x:c r="AQ572" s="117"/>
    </x:row>
    <x:row r="573" ht="66" customHeight="1">
      <x:c r="A573" s="117" t="str">
        <x:v>MC0570</x:v>
      </x:c>
      <x:c r="B573" s="117" t="str">
        <x:v>Panorama Hill</x:v>
      </x:c>
      <x:c r="C573" s="117" t="str">
        <x:v>Pahang</x:v>
      </x:c>
      <x:c r="D573" s="117" t="str">
        <x:v>Sungai Lembing</x:v>
      </x:c>
      <x:c r="E573" s="117" t="str">
        <x:v>Heritage and Visitor Attraction</x:v>
      </x:c>
      <x:c r="F573" s="117" t="str">
        <x:v>Unclassified</x:v>
      </x:c>
      <x:c r="G573" s="117" t="str">
        <x:v>Both</x:v>
      </x:c>
      <x:c r="H573" s="117" t="str">
        <x:v>Heritage and Visitor Attraction; Sungai Lembing</x:v>
      </x:c>
      <x:c r="I573" s="117" t="str">
        <x:v>A visitor attraction in Sungai Lembing, Pahang, listed in Tourism Malaysia's state travel guide. Venue operation and the precise accessible route require confirmation.</x:v>
      </x:c>
      <x:c r="J573" s="117" t="str">
        <x:v>https://ebrochures.malaysia.travel/en/malaysia-travel-guide/pahang/</x:v>
      </x:c>
      <x:c r="K573" s="117" t="str">
        <x:v>https://ebrochures.malaysia.travel/en/malaysia-travel-guide/pahang/</x:v>
      </x:c>
      <x:c r="L573" s="117" t="str">
        <x:v>Tourism Malaysia listing; operation unconfirmed</x:v>
      </x:c>
      <x:c r="M573" s="117" t="str">
        <x:v>Nationwide expansion 2026-09-08</x:v>
      </x:c>
      <x:c r="N573" s="117"/>
      <x:c r="O573" s="117" t="str">
        <x:v>2026-09-08</x:v>
      </x:c>
      <x:c r="P573" s="117" t="str">
        <x:v>Complete</x:v>
      </x:c>
      <x:c r="Q573" s="117"/>
      <x:c r="R573" s="117" t="str">
        <x:f>IF(J573="","Missing Link",IF(AND(ISNUMBER(SEARCH("google.com/maps",J573)),ISERROR(SEARCH(";",J573))),"Discovery Link Only","Source Link Present"))</x:f>
        <x:v>Source Link Present</x:v>
      </x:c>
      <x:c r="S573" s="117" t="str">
        <x:v>Unknown</x:v>
      </x:c>
      <x:c r="T573" s="117" t="str">
        <x:v>Unknown</x:v>
      </x:c>
      <x:c r="U573" s="117" t="str">
        <x:v>Unknown</x:v>
      </x:c>
      <x:c r="V573" s="117" t="str">
        <x:v>Unknown</x:v>
      </x:c>
      <x:c r="W573" s="117" t="str">
        <x:v>Unknown</x:v>
      </x:c>
      <x:c r="X573" s="117" t="str">
        <x:v>Unknown</x:v>
      </x:c>
      <x:c r="Y573" s="117" t="str">
        <x:v>Unknown</x:v>
      </x:c>
      <x:c r="Z573" s="117"/>
      <x:c r="AA573" s="117" t="str">
        <x:v>Pending evidence</x:v>
      </x:c>
      <x:c r="AB573" s="117"/>
      <x:c r="AC573" s="117" t="str">
        <x:v>No qualifying accessibility conclusion established from the screened sources. This is unknown, not evidence that the attraction is inaccessible.</x:v>
      </x:c>
      <x:c r="AD573" s="117" t="str">
        <x:v>2026-09-08</x:v>
      </x:c>
      <x:c r="AE573" s="117" t="str">
        <x:v>MC0570</x:v>
      </x:c>
      <x:c r="AF573" s="117" t="str">
        <x:v>Distinct candidate</x:v>
      </x:c>
      <x:c r="AG573" s="117" t="str"/>
      <x:c r="AH573" s="117" t="str">
        <x:v>Listed by Tourism Malaysia</x:v>
      </x:c>
      <x:c r="AI573" s="117" t="str">
        <x:v>https://ebrochures.malaysia.travel/en/malaysia-travel-guide/pahang/</x:v>
      </x:c>
      <x:c r="AJ573" s="117" t="str">
        <x:v>Named visitor attraction in cited source; state-guide listings can be historical. Locality is catalogue metadata, not a surveyed address. Current operation remains unconfirmed.</x:v>
      </x:c>
      <x:c r="AK573" s="117" t="str">
        <x:v>Not independently confirmed</x:v>
      </x:c>
      <x:c r="AL573" s="117" t="str">
        <x:v>Screened sources; accessibility unresolved</x:v>
      </x:c>
      <x:c r="AM573" s="117" t="str">
        <x:v>2026-09-08</x:v>
      </x:c>
      <x:c r="AN573" s="117"/>
      <x:c r="AO573" s="117"/>
      <x:c r="AP573" s="117" t="str">
        <x:v>No usable pair located; image research pending</x:v>
      </x:c>
      <x:c r="AQ573" s="117"/>
    </x:row>
    <x:row r="574" ht="66" customHeight="1">
      <x:c r="A574" s="117" t="str">
        <x:v>MC0571</x:v>
      </x:c>
      <x:c r="B574" s="117" t="str">
        <x:v>Rainbow Waterfall</x:v>
      </x:c>
      <x:c r="C574" s="117" t="str">
        <x:v>Pahang</x:v>
      </x:c>
      <x:c r="D574" s="117" t="str">
        <x:v>Sungai Lembing</x:v>
      </x:c>
      <x:c r="E574" s="117" t="str">
        <x:v>Nature</x:v>
      </x:c>
      <x:c r="F574" s="117" t="str">
        <x:v>Unclassified</x:v>
      </x:c>
      <x:c r="G574" s="117" t="str">
        <x:v>Outdoor</x:v>
      </x:c>
      <x:c r="H574" s="117" t="str">
        <x:v>Nature; Sungai Lembing</x:v>
      </x:c>
      <x:c r="I574" s="117" t="str">
        <x:v>A visitor attraction in Sungai Lembing, Pahang, listed in Tourism Malaysia's state travel guide. Venue operation and the precise accessible route require confirmation.</x:v>
      </x:c>
      <x:c r="J574" s="117" t="str">
        <x:v>https://ebrochures.malaysia.travel/en/malaysia-travel-guide/pahang/</x:v>
      </x:c>
      <x:c r="K574" s="117" t="str">
        <x:v>https://ebrochures.malaysia.travel/en/malaysia-travel-guide/pahang/</x:v>
      </x:c>
      <x:c r="L574" s="117" t="str">
        <x:v>Tourism Malaysia listing; operation unconfirmed</x:v>
      </x:c>
      <x:c r="M574" s="117" t="str">
        <x:v>Nationwide expansion 2026-09-08</x:v>
      </x:c>
      <x:c r="N574" s="117"/>
      <x:c r="O574" s="117" t="str">
        <x:v>2026-09-08</x:v>
      </x:c>
      <x:c r="P574" s="117" t="str">
        <x:v>Complete</x:v>
      </x:c>
      <x:c r="Q574" s="117"/>
      <x:c r="R574" s="117" t="str">
        <x:f>IF(J574="","Missing Link",IF(AND(ISNUMBER(SEARCH("google.com/maps",J574)),ISERROR(SEARCH(";",J574))),"Discovery Link Only","Source Link Present"))</x:f>
        <x:v>Source Link Present</x:v>
      </x:c>
      <x:c r="S574" s="117" t="str">
        <x:v>Unknown</x:v>
      </x:c>
      <x:c r="T574" s="117" t="str">
        <x:v>Unknown</x:v>
      </x:c>
      <x:c r="U574" s="117" t="str">
        <x:v>Unknown</x:v>
      </x:c>
      <x:c r="V574" s="117" t="str">
        <x:v>Unknown</x:v>
      </x:c>
      <x:c r="W574" s="117" t="str">
        <x:v>Unknown</x:v>
      </x:c>
      <x:c r="X574" s="117" t="str">
        <x:v>Unknown</x:v>
      </x:c>
      <x:c r="Y574" s="117" t="str">
        <x:v>Unknown</x:v>
      </x:c>
      <x:c r="Z574" s="117"/>
      <x:c r="AA574" s="117" t="str">
        <x:v>Pending evidence</x:v>
      </x:c>
      <x:c r="AB574" s="117"/>
      <x:c r="AC574" s="117" t="str">
        <x:v>No qualifying accessibility conclusion established from the screened sources. This is unknown, not evidence that the attraction is inaccessible.</x:v>
      </x:c>
      <x:c r="AD574" s="117" t="str">
        <x:v>2026-09-08</x:v>
      </x:c>
      <x:c r="AE574" s="117" t="str">
        <x:v>MC0571</x:v>
      </x:c>
      <x:c r="AF574" s="117" t="str">
        <x:v>Distinct candidate</x:v>
      </x:c>
      <x:c r="AG574" s="117" t="str"/>
      <x:c r="AH574" s="117" t="str">
        <x:v>Listed by Tourism Malaysia</x:v>
      </x:c>
      <x:c r="AI574" s="117" t="str">
        <x:v>https://ebrochures.malaysia.travel/en/malaysia-travel-guide/pahang/</x:v>
      </x:c>
      <x:c r="AJ574" s="117" t="str">
        <x:v>Named visitor attraction in cited source; state-guide listings can be historical. Locality is catalogue metadata, not a surveyed address. Current operation remains unconfirmed.</x:v>
      </x:c>
      <x:c r="AK574" s="117" t="str">
        <x:v>Not independently confirmed</x:v>
      </x:c>
      <x:c r="AL574" s="117" t="str">
        <x:v>Screened sources; accessibility unresolved</x:v>
      </x:c>
      <x:c r="AM574" s="117" t="str">
        <x:v>2026-09-08</x:v>
      </x:c>
      <x:c r="AN574" s="117" t="str">
        <x:v>https://thumb.wikimedia.org/wikipedia/commons/thumb/3/3b/Sungai_Lembing_Waterfall_%28220503-1028%29.jpg/1280px-Sungai_Lembing_Waterfall_%28220503-1028%29.jpg?utm_source=commons.wikimedia.org&amp;utm_campaign=imageinfo&amp;utm_content=thumbnail</x:v>
      </x:c>
      <x:c r="AO574" s="117" t="str">
        <x:v>https://thumb.wikimedia.org/wikipedia/commons/thumb/8/8c/Sungai_Lembing_Waterfall.jpg/1280px-Sungai_Lembing_Waterfall.jpg?utm_source=commons.wikimedia.org&amp;utm_campaign=imageinfo&amp;utm_content=thumbnail</x:v>
      </x:c>
      <x:c r="AP574" s="117" t="str">
        <x:v>2 metadata-matched images; visual review pending</x:v>
      </x:c>
      <x:c r="AQ574" s="117"/>
    </x:row>
    <x:row r="575" ht="66" customHeight="1">
      <x:c r="A575" s="117" t="str">
        <x:v>MC0572</x:v>
      </x:c>
      <x:c r="B575" s="117" t="str">
        <x:v>3D Gallery Sungai Lembing</x:v>
      </x:c>
      <x:c r="C575" s="117" t="str">
        <x:v>Pahang</x:v>
      </x:c>
      <x:c r="D575" s="117" t="str">
        <x:v>Sungai Lembing</x:v>
      </x:c>
      <x:c r="E575" s="117" t="str">
        <x:v>Museum and Gallery</x:v>
      </x:c>
      <x:c r="F575" s="117" t="str">
        <x:v>Unclassified</x:v>
      </x:c>
      <x:c r="G575" s="117" t="str">
        <x:v>Indoor</x:v>
      </x:c>
      <x:c r="H575" s="117" t="str">
        <x:v>Museum and Gallery; Sungai Lembing</x:v>
      </x:c>
      <x:c r="I575" s="117" t="str">
        <x:v>A visitor attraction in Sungai Lembing, Pahang, listed in Tourism Malaysia's state travel guide. Venue operation and the precise accessible route require confirmation.</x:v>
      </x:c>
      <x:c r="J575" s="117" t="str">
        <x:v>https://ebrochures.malaysia.travel/en/malaysia-travel-guide/pahang/</x:v>
      </x:c>
      <x:c r="K575" s="117" t="str">
        <x:v>https://ebrochures.malaysia.travel/en/malaysia-travel-guide/pahang/</x:v>
      </x:c>
      <x:c r="L575" s="117" t="str">
        <x:v>Tourism Malaysia listing; operation unconfirmed</x:v>
      </x:c>
      <x:c r="M575" s="117" t="str">
        <x:v>Nationwide expansion 2026-09-08</x:v>
      </x:c>
      <x:c r="N575" s="117"/>
      <x:c r="O575" s="117" t="str">
        <x:v>2026-09-08</x:v>
      </x:c>
      <x:c r="P575" s="117" t="str">
        <x:v>Complete</x:v>
      </x:c>
      <x:c r="Q575" s="117"/>
      <x:c r="R575" s="117" t="str">
        <x:f>IF(J575="","Missing Link",IF(AND(ISNUMBER(SEARCH("google.com/maps",J575)),ISERROR(SEARCH(";",J575))),"Discovery Link Only","Source Link Present"))</x:f>
        <x:v>Source Link Present</x:v>
      </x:c>
      <x:c r="S575" s="117" t="str">
        <x:v>Unknown</x:v>
      </x:c>
      <x:c r="T575" s="117" t="str">
        <x:v>Unknown</x:v>
      </x:c>
      <x:c r="U575" s="117" t="str">
        <x:v>Unknown</x:v>
      </x:c>
      <x:c r="V575" s="117" t="str">
        <x:v>Unknown</x:v>
      </x:c>
      <x:c r="W575" s="117" t="str">
        <x:v>Unknown</x:v>
      </x:c>
      <x:c r="X575" s="117" t="str">
        <x:v>Unknown</x:v>
      </x:c>
      <x:c r="Y575" s="117" t="str">
        <x:v>Unknown</x:v>
      </x:c>
      <x:c r="Z575" s="117"/>
      <x:c r="AA575" s="117" t="str">
        <x:v>Pending evidence</x:v>
      </x:c>
      <x:c r="AB575" s="117"/>
      <x:c r="AC575" s="117" t="str">
        <x:v>No qualifying accessibility conclusion established from the screened sources. This is unknown, not evidence that the attraction is inaccessible.</x:v>
      </x:c>
      <x:c r="AD575" s="117" t="str">
        <x:v>2026-09-08</x:v>
      </x:c>
      <x:c r="AE575" s="117" t="str">
        <x:v>MC0572</x:v>
      </x:c>
      <x:c r="AF575" s="117" t="str">
        <x:v>Distinct candidate</x:v>
      </x:c>
      <x:c r="AG575" s="117" t="str"/>
      <x:c r="AH575" s="117" t="str">
        <x:v>Listed by Tourism Malaysia</x:v>
      </x:c>
      <x:c r="AI575" s="117" t="str">
        <x:v>https://ebrochures.malaysia.travel/en/malaysia-travel-guide/pahang/</x:v>
      </x:c>
      <x:c r="AJ575" s="117" t="str">
        <x:v>Named visitor attraction in cited source; state-guide listings can be historical. Locality is catalogue metadata, not a surveyed address. Current operation remains unconfirmed.</x:v>
      </x:c>
      <x:c r="AK575" s="117" t="str">
        <x:v>Not independently confirmed</x:v>
      </x:c>
      <x:c r="AL575" s="117" t="str">
        <x:v>Screened sources; accessibility unresolved</x:v>
      </x:c>
      <x:c r="AM575" s="117" t="str">
        <x:v>2026-09-08</x:v>
      </x:c>
      <x:c r="AN575" s="117"/>
      <x:c r="AO575" s="117"/>
      <x:c r="AP575" s="117" t="str">
        <x:v>No usable pair located; image research pending</x:v>
      </x:c>
      <x:c r="AQ575" s="117"/>
    </x:row>
    <x:row r="576" ht="66" customHeight="1">
      <x:c r="A576" s="117" t="str">
        <x:v>MC0573</x:v>
      </x:c>
      <x:c r="B576" s="117" t="str">
        <x:v>Taman Negara Sungai Relau</x:v>
      </x:c>
      <x:c r="C576" s="117" t="str">
        <x:v>Pahang</x:v>
      </x:c>
      <x:c r="D576" s="117" t="str">
        <x:v>Kuala Lipis</x:v>
      </x:c>
      <x:c r="E576" s="117" t="str">
        <x:v>Heritage and Visitor Attraction</x:v>
      </x:c>
      <x:c r="F576" s="117" t="str">
        <x:v>Unclassified</x:v>
      </x:c>
      <x:c r="G576" s="117" t="str">
        <x:v>Both</x:v>
      </x:c>
      <x:c r="H576" s="117" t="str">
        <x:v>Heritage and Visitor Attraction; Kuala Lipis</x:v>
      </x:c>
      <x:c r="I576" s="117" t="str">
        <x:v>A visitor attraction in Kuala Lipis, Pahang, listed in Tourism Malaysia's state travel guide. Venue operation and the precise accessible route require confirmation.</x:v>
      </x:c>
      <x:c r="J576" s="117" t="str">
        <x:v>https://ebrochures.malaysia.travel/en/malaysia-travel-guide/pahang/</x:v>
      </x:c>
      <x:c r="K576" s="117" t="str">
        <x:v>https://ebrochures.malaysia.travel/en/malaysia-travel-guide/pahang/</x:v>
      </x:c>
      <x:c r="L576" s="117" t="str">
        <x:v>Tourism Malaysia listing; operation unconfirmed</x:v>
      </x:c>
      <x:c r="M576" s="117" t="str">
        <x:v>Nationwide expansion 2026-09-08</x:v>
      </x:c>
      <x:c r="N576" s="117"/>
      <x:c r="O576" s="117" t="str">
        <x:v>2026-09-08</x:v>
      </x:c>
      <x:c r="P576" s="117" t="str">
        <x:v>Complete</x:v>
      </x:c>
      <x:c r="Q576" s="117"/>
      <x:c r="R576" s="117" t="str">
        <x:f>IF(J576="","Missing Link",IF(AND(ISNUMBER(SEARCH("google.com/maps",J576)),ISERROR(SEARCH(";",J576))),"Discovery Link Only","Source Link Present"))</x:f>
        <x:v>Source Link Present</x:v>
      </x:c>
      <x:c r="S576" s="117" t="str">
        <x:v>Unknown</x:v>
      </x:c>
      <x:c r="T576" s="117" t="str">
        <x:v>Unknown</x:v>
      </x:c>
      <x:c r="U576" s="117" t="str">
        <x:v>Unknown</x:v>
      </x:c>
      <x:c r="V576" s="117" t="str">
        <x:v>Unknown</x:v>
      </x:c>
      <x:c r="W576" s="117" t="str">
        <x:v>Unknown</x:v>
      </x:c>
      <x:c r="X576" s="117" t="str">
        <x:v>Unknown</x:v>
      </x:c>
      <x:c r="Y576" s="117" t="str">
        <x:v>Unknown</x:v>
      </x:c>
      <x:c r="Z576" s="117"/>
      <x:c r="AA576" s="117" t="str">
        <x:v>Pending evidence</x:v>
      </x:c>
      <x:c r="AB576" s="117"/>
      <x:c r="AC576" s="117" t="str">
        <x:v>No qualifying accessibility conclusion established from the screened sources. This is unknown, not evidence that the attraction is inaccessible.</x:v>
      </x:c>
      <x:c r="AD576" s="117" t="str">
        <x:v>2026-09-08</x:v>
      </x:c>
      <x:c r="AE576" s="117" t="str">
        <x:v>MC0573</x:v>
      </x:c>
      <x:c r="AF576" s="117" t="str">
        <x:v>Distinct candidate</x:v>
      </x:c>
      <x:c r="AG576" s="117" t="str"/>
      <x:c r="AH576" s="117" t="str">
        <x:v>Listed by Tourism Malaysia</x:v>
      </x:c>
      <x:c r="AI576" s="117" t="str">
        <x:v>https://ebrochures.malaysia.travel/en/malaysia-travel-guide/pahang/</x:v>
      </x:c>
      <x:c r="AJ576" s="117" t="str">
        <x:v>Named visitor attraction in cited source; state-guide listings can be historical. Locality is catalogue metadata, not a surveyed address. Current operation remains unconfirmed.</x:v>
      </x:c>
      <x:c r="AK576" s="117" t="str">
        <x:v>Not independently confirmed</x:v>
      </x:c>
      <x:c r="AL576" s="117" t="str">
        <x:v>Screened sources; accessibility unresolved</x:v>
      </x:c>
      <x:c r="AM576" s="117" t="str">
        <x:v>2026-09-08</x:v>
      </x:c>
      <x:c r="AN576" s="117"/>
      <x:c r="AO576" s="117"/>
      <x:c r="AP576" s="117" t="str">
        <x:v>No usable pair located; image research pending</x:v>
      </x:c>
      <x:c r="AQ576" s="117"/>
    </x:row>
    <x:row r="577" ht="66" customHeight="1">
      <x:c r="A577" s="117" t="str">
        <x:v>MC0574</x:v>
      </x:c>
      <x:c r="B577" s="117" t="str">
        <x:v>Kenong Rimba Park</x:v>
      </x:c>
      <x:c r="C577" s="117" t="str">
        <x:v>Pahang</x:v>
      </x:c>
      <x:c r="D577" s="117" t="str">
        <x:v>Kuala Lipis</x:v>
      </x:c>
      <x:c r="E577" s="117" t="str">
        <x:v>Nature</x:v>
      </x:c>
      <x:c r="F577" s="117" t="str">
        <x:v>Unclassified</x:v>
      </x:c>
      <x:c r="G577" s="117" t="str">
        <x:v>Outdoor</x:v>
      </x:c>
      <x:c r="H577" s="117" t="str">
        <x:v>Nature; Kuala Lipis</x:v>
      </x:c>
      <x:c r="I577" s="117" t="str">
        <x:v>A visitor attraction in Kuala Lipis, Pahang, listed in Tourism Malaysia's state travel guide. Venue operation and the precise accessible route require confirmation.</x:v>
      </x:c>
      <x:c r="J577" s="117" t="str">
        <x:v>https://ebrochures.malaysia.travel/en/malaysia-travel-guide/pahang/</x:v>
      </x:c>
      <x:c r="K577" s="117" t="str">
        <x:v>https://ebrochures.malaysia.travel/en/malaysia-travel-guide/pahang/</x:v>
      </x:c>
      <x:c r="L577" s="117" t="str">
        <x:v>Tourism Malaysia listing; operation unconfirmed</x:v>
      </x:c>
      <x:c r="M577" s="117" t="str">
        <x:v>Nationwide expansion 2026-09-08</x:v>
      </x:c>
      <x:c r="N577" s="117"/>
      <x:c r="O577" s="117" t="str">
        <x:v>2026-09-08</x:v>
      </x:c>
      <x:c r="P577" s="117" t="str">
        <x:v>Complete</x:v>
      </x:c>
      <x:c r="Q577" s="117"/>
      <x:c r="R577" s="117" t="str">
        <x:f>IF(J577="","Missing Link",IF(AND(ISNUMBER(SEARCH("google.com/maps",J577)),ISERROR(SEARCH(";",J577))),"Discovery Link Only","Source Link Present"))</x:f>
        <x:v>Source Link Present</x:v>
      </x:c>
      <x:c r="S577" s="117" t="str">
        <x:v>Unknown</x:v>
      </x:c>
      <x:c r="T577" s="117" t="str">
        <x:v>Unknown</x:v>
      </x:c>
      <x:c r="U577" s="117" t="str">
        <x:v>Unknown</x:v>
      </x:c>
      <x:c r="V577" s="117" t="str">
        <x:v>Unknown</x:v>
      </x:c>
      <x:c r="W577" s="117" t="str">
        <x:v>Unknown</x:v>
      </x:c>
      <x:c r="X577" s="117" t="str">
        <x:v>Unknown</x:v>
      </x:c>
      <x:c r="Y577" s="117" t="str">
        <x:v>Unknown</x:v>
      </x:c>
      <x:c r="Z577" s="117"/>
      <x:c r="AA577" s="117" t="str">
        <x:v>Pending evidence</x:v>
      </x:c>
      <x:c r="AB577" s="117"/>
      <x:c r="AC577" s="117" t="str">
        <x:v>No qualifying accessibility conclusion established from the screened sources. This is unknown, not evidence that the attraction is inaccessible.</x:v>
      </x:c>
      <x:c r="AD577" s="117" t="str">
        <x:v>2026-09-08</x:v>
      </x:c>
      <x:c r="AE577" s="117" t="str">
        <x:v>MC0574</x:v>
      </x:c>
      <x:c r="AF577" s="117" t="str">
        <x:v>Distinct candidate</x:v>
      </x:c>
      <x:c r="AG577" s="117" t="str"/>
      <x:c r="AH577" s="117" t="str">
        <x:v>Listed by Tourism Malaysia</x:v>
      </x:c>
      <x:c r="AI577" s="117" t="str">
        <x:v>https://ebrochures.malaysia.travel/en/malaysia-travel-guide/pahang/</x:v>
      </x:c>
      <x:c r="AJ577" s="117" t="str">
        <x:v>Named visitor attraction in cited source; state-guide listings can be historical. Locality is catalogue metadata, not a surveyed address. Current operation remains unconfirmed.</x:v>
      </x:c>
      <x:c r="AK577" s="117" t="str">
        <x:v>Not independently confirmed</x:v>
      </x:c>
      <x:c r="AL577" s="117" t="str">
        <x:v>Screened sources; accessibility unresolved</x:v>
      </x:c>
      <x:c r="AM577" s="117" t="str">
        <x:v>2026-09-08</x:v>
      </x:c>
      <x:c r="AN577" s="117"/>
      <x:c r="AO577" s="117"/>
      <x:c r="AP577" s="117" t="str">
        <x:v>No usable pair located; image research pending</x:v>
      </x:c>
      <x:c r="AQ577" s="117"/>
    </x:row>
    <x:row r="578" ht="66" customHeight="1">
      <x:c r="A578" s="117" t="str">
        <x:v>MC0575</x:v>
      </x:c>
      <x:c r="B578" s="117" t="str">
        <x:v>Kuantan River Cruise</x:v>
      </x:c>
      <x:c r="C578" s="117" t="str">
        <x:v>Pahang</x:v>
      </x:c>
      <x:c r="D578" s="117" t="str">
        <x:v>Kuantan</x:v>
      </x:c>
      <x:c r="E578" s="117" t="str">
        <x:v>Scenic Transport</x:v>
      </x:c>
      <x:c r="F578" s="117" t="str">
        <x:v>Unclassified</x:v>
      </x:c>
      <x:c r="G578" s="117" t="str">
        <x:v>Both</x:v>
      </x:c>
      <x:c r="H578" s="117" t="str">
        <x:v>Scenic Transport; Kuantan</x:v>
      </x:c>
      <x:c r="I578" s="117" t="str">
        <x:v>A visitor attraction in Kuantan, Pahang, listed in Tourism Malaysia's state travel guide. Venue operation and the precise accessible route require confirmation.</x:v>
      </x:c>
      <x:c r="J578" s="117" t="str">
        <x:v>https://ebrochures.malaysia.travel/en/malaysia-travel-guide/pahang/</x:v>
      </x:c>
      <x:c r="K578" s="117" t="str">
        <x:v>https://ebrochures.malaysia.travel/en/malaysia-travel-guide/pahang/</x:v>
      </x:c>
      <x:c r="L578" s="117" t="str">
        <x:v>Tourism Malaysia listing; operation unconfirmed</x:v>
      </x:c>
      <x:c r="M578" s="117" t="str">
        <x:v>Nationwide expansion 2026-09-08</x:v>
      </x:c>
      <x:c r="N578" s="117"/>
      <x:c r="O578" s="117" t="str">
        <x:v>2026-09-08</x:v>
      </x:c>
      <x:c r="P578" s="117" t="str">
        <x:v>Complete</x:v>
      </x:c>
      <x:c r="Q578" s="117"/>
      <x:c r="R578" s="117" t="str">
        <x:f>IF(J578="","Missing Link",IF(AND(ISNUMBER(SEARCH("google.com/maps",J578)),ISERROR(SEARCH(";",J578))),"Discovery Link Only","Source Link Present"))</x:f>
        <x:v>Source Link Present</x:v>
      </x:c>
      <x:c r="S578" s="117" t="str">
        <x:v>Unknown</x:v>
      </x:c>
      <x:c r="T578" s="117" t="str">
        <x:v>Unknown</x:v>
      </x:c>
      <x:c r="U578" s="117" t="str">
        <x:v>Unknown</x:v>
      </x:c>
      <x:c r="V578" s="117" t="str">
        <x:v>Unknown</x:v>
      </x:c>
      <x:c r="W578" s="117" t="str">
        <x:v>Unknown</x:v>
      </x:c>
      <x:c r="X578" s="117" t="str">
        <x:v>Unknown</x:v>
      </x:c>
      <x:c r="Y578" s="117" t="str">
        <x:v>Unknown</x:v>
      </x:c>
      <x:c r="Z578" s="117"/>
      <x:c r="AA578" s="117" t="str">
        <x:v>Pending evidence</x:v>
      </x:c>
      <x:c r="AB578" s="117"/>
      <x:c r="AC578" s="117" t="str">
        <x:v>No qualifying accessibility conclusion established from the screened sources. This is unknown, not evidence that the attraction is inaccessible.</x:v>
      </x:c>
      <x:c r="AD578" s="117" t="str">
        <x:v>2026-09-08</x:v>
      </x:c>
      <x:c r="AE578" s="117" t="str">
        <x:v>MC0575</x:v>
      </x:c>
      <x:c r="AF578" s="117" t="str">
        <x:v>Distinct candidate</x:v>
      </x:c>
      <x:c r="AG578" s="117" t="str"/>
      <x:c r="AH578" s="117" t="str">
        <x:v>Listed by Tourism Malaysia</x:v>
      </x:c>
      <x:c r="AI578" s="117" t="str">
        <x:v>https://ebrochures.malaysia.travel/en/malaysia-travel-guide/pahang/</x:v>
      </x:c>
      <x:c r="AJ578" s="117" t="str">
        <x:v>Named visitor attraction in cited source; state-guide listings can be historical. Locality is catalogue metadata, not a surveyed address. Current operation remains unconfirmed.</x:v>
      </x:c>
      <x:c r="AK578" s="117" t="str">
        <x:v>Not independently confirmed</x:v>
      </x:c>
      <x:c r="AL578" s="117" t="str">
        <x:v>Screened sources; accessibility unresolved</x:v>
      </x:c>
      <x:c r="AM578" s="117" t="str">
        <x:v>2026-09-08</x:v>
      </x:c>
      <x:c r="AN578" s="117"/>
      <x:c r="AO578" s="117"/>
      <x:c r="AP578" s="117" t="str">
        <x:v>No usable pair located; image research pending</x:v>
      </x:c>
      <x:c r="AQ578" s="117"/>
    </x:row>
    <x:row r="579" ht="66" customHeight="1">
      <x:c r="A579" s="117" t="str">
        <x:v>MC0576</x:v>
      </x:c>
      <x:c r="B579" s="117" t="str">
        <x:v>Natural Batik Village</x:v>
      </x:c>
      <x:c r="C579" s="117" t="str">
        <x:v>Pahang</x:v>
      </x:c>
      <x:c r="D579" s="117" t="str">
        <x:v>Kuantan</x:v>
      </x:c>
      <x:c r="E579" s="117" t="str">
        <x:v>Farm and Visitor Experience</x:v>
      </x:c>
      <x:c r="F579" s="117" t="str">
        <x:v>Unclassified</x:v>
      </x:c>
      <x:c r="G579" s="117" t="str">
        <x:v>Both</x:v>
      </x:c>
      <x:c r="H579" s="117" t="str">
        <x:v>Farm and Visitor Experience; Kuantan</x:v>
      </x:c>
      <x:c r="I579" s="117" t="str">
        <x:v>A visitor attraction in Kuantan, Pahang, listed in Tourism Malaysia's state travel guide. Venue operation and the precise accessible route require confirmation.</x:v>
      </x:c>
      <x:c r="J579" s="117" t="str">
        <x:v>https://ebrochures.malaysia.travel/en/malaysia-travel-guide/pahang/</x:v>
      </x:c>
      <x:c r="K579" s="117" t="str">
        <x:v>https://ebrochures.malaysia.travel/en/malaysia-travel-guide/pahang/</x:v>
      </x:c>
      <x:c r="L579" s="117" t="str">
        <x:v>Tourism Malaysia listing; operation unconfirmed</x:v>
      </x:c>
      <x:c r="M579" s="117" t="str">
        <x:v>Nationwide expansion 2026-09-08</x:v>
      </x:c>
      <x:c r="N579" s="117"/>
      <x:c r="O579" s="117" t="str">
        <x:v>2026-09-08</x:v>
      </x:c>
      <x:c r="P579" s="117" t="str">
        <x:v>Complete</x:v>
      </x:c>
      <x:c r="Q579" s="117"/>
      <x:c r="R579" s="117" t="str">
        <x:f>IF(J579="","Missing Link",IF(AND(ISNUMBER(SEARCH("google.com/maps",J579)),ISERROR(SEARCH(";",J579))),"Discovery Link Only","Source Link Present"))</x:f>
        <x:v>Source Link Present</x:v>
      </x:c>
      <x:c r="S579" s="117" t="str">
        <x:v>Unknown</x:v>
      </x:c>
      <x:c r="T579" s="117" t="str">
        <x:v>Unknown</x:v>
      </x:c>
      <x:c r="U579" s="117" t="str">
        <x:v>Unknown</x:v>
      </x:c>
      <x:c r="V579" s="117" t="str">
        <x:v>Unknown</x:v>
      </x:c>
      <x:c r="W579" s="117" t="str">
        <x:v>Unknown</x:v>
      </x:c>
      <x:c r="X579" s="117" t="str">
        <x:v>Unknown</x:v>
      </x:c>
      <x:c r="Y579" s="117" t="str">
        <x:v>Unknown</x:v>
      </x:c>
      <x:c r="Z579" s="117"/>
      <x:c r="AA579" s="117" t="str">
        <x:v>Pending evidence</x:v>
      </x:c>
      <x:c r="AB579" s="117"/>
      <x:c r="AC579" s="117" t="str">
        <x:v>No qualifying accessibility conclusion established from the screened sources. This is unknown, not evidence that the attraction is inaccessible.</x:v>
      </x:c>
      <x:c r="AD579" s="117" t="str">
        <x:v>2026-09-08</x:v>
      </x:c>
      <x:c r="AE579" s="117" t="str">
        <x:v>MC0576</x:v>
      </x:c>
      <x:c r="AF579" s="117" t="str">
        <x:v>Distinct candidate</x:v>
      </x:c>
      <x:c r="AG579" s="117" t="str"/>
      <x:c r="AH579" s="117" t="str">
        <x:v>Listed by Tourism Malaysia</x:v>
      </x:c>
      <x:c r="AI579" s="117" t="str">
        <x:v>https://ebrochures.malaysia.travel/en/malaysia-travel-guide/pahang/</x:v>
      </x:c>
      <x:c r="AJ579" s="117" t="str">
        <x:v>Named visitor attraction in cited source; state-guide listings can be historical. Locality is catalogue metadata, not a surveyed address. Current operation remains unconfirmed.</x:v>
      </x:c>
      <x:c r="AK579" s="117" t="str">
        <x:v>Not independently confirmed</x:v>
      </x:c>
      <x:c r="AL579" s="117" t="str">
        <x:v>Screened sources; accessibility unresolved</x:v>
      </x:c>
      <x:c r="AM579" s="117" t="str">
        <x:v>2026-09-08</x:v>
      </x:c>
      <x:c r="AN579" s="117"/>
      <x:c r="AO579" s="117"/>
      <x:c r="AP579" s="117" t="str">
        <x:v>No usable pair located; image research pending</x:v>
      </x:c>
      <x:c r="AQ579" s="117"/>
    </x:row>
    <x:row r="580" ht="66" customHeight="1">
      <x:c r="A580" s="117" t="str">
        <x:v>MC0577</x:v>
      </x:c>
      <x:c r="B580" s="117" t="str">
        <x:v>Beserah Fishing Village</x:v>
      </x:c>
      <x:c r="C580" s="117" t="str">
        <x:v>Pahang</x:v>
      </x:c>
      <x:c r="D580" s="117" t="str">
        <x:v>Kuantan</x:v>
      </x:c>
      <x:c r="E580" s="117" t="str">
        <x:v>Heritage and Visitor Attraction</x:v>
      </x:c>
      <x:c r="F580" s="117" t="str">
        <x:v>Unclassified</x:v>
      </x:c>
      <x:c r="G580" s="117" t="str">
        <x:v>Both</x:v>
      </x:c>
      <x:c r="H580" s="117" t="str">
        <x:v>Heritage and Visitor Attraction; Kuantan</x:v>
      </x:c>
      <x:c r="I580" s="117" t="str">
        <x:v>A visitor attraction in Kuantan, Pahang, listed in Tourism Malaysia's state travel guide. Venue operation and the precise accessible route require confirmation.</x:v>
      </x:c>
      <x:c r="J580" s="117" t="str">
        <x:v>https://ebrochures.malaysia.travel/en/malaysia-travel-guide/pahang/</x:v>
      </x:c>
      <x:c r="K580" s="117" t="str">
        <x:v>https://ebrochures.malaysia.travel/en/malaysia-travel-guide/pahang/</x:v>
      </x:c>
      <x:c r="L580" s="117" t="str">
        <x:v>Tourism Malaysia listing; operation unconfirmed</x:v>
      </x:c>
      <x:c r="M580" s="117" t="str">
        <x:v>Nationwide expansion 2026-09-08</x:v>
      </x:c>
      <x:c r="N580" s="117"/>
      <x:c r="O580" s="117" t="str">
        <x:v>2026-09-08</x:v>
      </x:c>
      <x:c r="P580" s="117" t="str">
        <x:v>Complete</x:v>
      </x:c>
      <x:c r="Q580" s="117"/>
      <x:c r="R580" s="117" t="str">
        <x:f>IF(J580="","Missing Link",IF(AND(ISNUMBER(SEARCH("google.com/maps",J580)),ISERROR(SEARCH(";",J580))),"Discovery Link Only","Source Link Present"))</x:f>
        <x:v>Source Link Present</x:v>
      </x:c>
      <x:c r="S580" s="117" t="str">
        <x:v>Unknown</x:v>
      </x:c>
      <x:c r="T580" s="117" t="str">
        <x:v>Unknown</x:v>
      </x:c>
      <x:c r="U580" s="117" t="str">
        <x:v>Unknown</x:v>
      </x:c>
      <x:c r="V580" s="117" t="str">
        <x:v>Unknown</x:v>
      </x:c>
      <x:c r="W580" s="117" t="str">
        <x:v>Unknown</x:v>
      </x:c>
      <x:c r="X580" s="117" t="str">
        <x:v>Unknown</x:v>
      </x:c>
      <x:c r="Y580" s="117" t="str">
        <x:v>Unknown</x:v>
      </x:c>
      <x:c r="Z580" s="117"/>
      <x:c r="AA580" s="117" t="str">
        <x:v>Pending evidence</x:v>
      </x:c>
      <x:c r="AB580" s="117"/>
      <x:c r="AC580" s="117" t="str">
        <x:v>No qualifying accessibility conclusion established from the screened sources. This is unknown, not evidence that the attraction is inaccessible.</x:v>
      </x:c>
      <x:c r="AD580" s="117" t="str">
        <x:v>2026-09-08</x:v>
      </x:c>
      <x:c r="AE580" s="117" t="str">
        <x:v>MC0577</x:v>
      </x:c>
      <x:c r="AF580" s="117" t="str">
        <x:v>Distinct candidate</x:v>
      </x:c>
      <x:c r="AG580" s="117" t="str"/>
      <x:c r="AH580" s="117" t="str">
        <x:v>Listed by Tourism Malaysia</x:v>
      </x:c>
      <x:c r="AI580" s="117" t="str">
        <x:v>https://ebrochures.malaysia.travel/en/malaysia-travel-guide/pahang/</x:v>
      </x:c>
      <x:c r="AJ580" s="117" t="str">
        <x:v>Named visitor attraction in cited source; state-guide listings can be historical. Locality is catalogue metadata, not a surveyed address. Current operation remains unconfirmed.</x:v>
      </x:c>
      <x:c r="AK580" s="117" t="str">
        <x:v>Not independently confirmed</x:v>
      </x:c>
      <x:c r="AL580" s="117" t="str">
        <x:v>Screened sources; accessibility unresolved</x:v>
      </x:c>
      <x:c r="AM580" s="117" t="str">
        <x:v>2026-09-08</x:v>
      </x:c>
      <x:c r="AN580" s="117"/>
      <x:c r="AO580" s="117"/>
      <x:c r="AP580" s="117" t="str">
        <x:v>No usable pair located; image research pending</x:v>
      </x:c>
      <x:c r="AQ580" s="117"/>
    </x:row>
    <x:row r="581" ht="66" customHeight="1">
      <x:c r="A581" s="117" t="str">
        <x:v>MC0578</x:v>
      </x:c>
      <x:c r="B581" s="117" t="str">
        <x:v>Batu Hitam Beach</x:v>
      </x:c>
      <x:c r="C581" s="117" t="str">
        <x:v>Pahang</x:v>
      </x:c>
      <x:c r="D581" s="117" t="str">
        <x:v>Kuantan</x:v>
      </x:c>
      <x:c r="E581" s="117" t="str">
        <x:v>Beach and Island</x:v>
      </x:c>
      <x:c r="F581" s="117" t="str">
        <x:v>Unclassified</x:v>
      </x:c>
      <x:c r="G581" s="117" t="str">
        <x:v>Outdoor</x:v>
      </x:c>
      <x:c r="H581" s="117" t="str">
        <x:v>Beach and Island; Kuantan</x:v>
      </x:c>
      <x:c r="I581" s="117" t="str">
        <x:v>A visitor attraction in Kuantan, Pahang, listed in Tourism Malaysia's state travel guide. Venue operation and the precise accessible route require confirmation.</x:v>
      </x:c>
      <x:c r="J581" s="117" t="str">
        <x:v>https://ebrochures.malaysia.travel/en/malaysia-travel-guide/pahang/</x:v>
      </x:c>
      <x:c r="K581" s="117" t="str">
        <x:v>https://ebrochures.malaysia.travel/en/malaysia-travel-guide/pahang/</x:v>
      </x:c>
      <x:c r="L581" s="117" t="str">
        <x:v>Tourism Malaysia listing; operation unconfirmed</x:v>
      </x:c>
      <x:c r="M581" s="117" t="str">
        <x:v>Nationwide expansion 2026-09-08</x:v>
      </x:c>
      <x:c r="N581" s="117"/>
      <x:c r="O581" s="117" t="str">
        <x:v>2026-09-08</x:v>
      </x:c>
      <x:c r="P581" s="117" t="str">
        <x:v>Complete</x:v>
      </x:c>
      <x:c r="Q581" s="117"/>
      <x:c r="R581" s="117" t="str">
        <x:f>IF(J581="","Missing Link",IF(AND(ISNUMBER(SEARCH("google.com/maps",J581)),ISERROR(SEARCH(";",J581))),"Discovery Link Only","Source Link Present"))</x:f>
        <x:v>Source Link Present</x:v>
      </x:c>
      <x:c r="S581" s="117" t="str">
        <x:v>Unknown</x:v>
      </x:c>
      <x:c r="T581" s="117" t="str">
        <x:v>Unknown</x:v>
      </x:c>
      <x:c r="U581" s="117" t="str">
        <x:v>Unknown</x:v>
      </x:c>
      <x:c r="V581" s="117" t="str">
        <x:v>Unknown</x:v>
      </x:c>
      <x:c r="W581" s="117" t="str">
        <x:v>Unknown</x:v>
      </x:c>
      <x:c r="X581" s="117" t="str">
        <x:v>Unknown</x:v>
      </x:c>
      <x:c r="Y581" s="117" t="str">
        <x:v>Unknown</x:v>
      </x:c>
      <x:c r="Z581" s="117"/>
      <x:c r="AA581" s="117" t="str">
        <x:v>Pending evidence</x:v>
      </x:c>
      <x:c r="AB581" s="117"/>
      <x:c r="AC581" s="117" t="str">
        <x:v>No qualifying accessibility conclusion established from the screened sources. This is unknown, not evidence that the attraction is inaccessible.</x:v>
      </x:c>
      <x:c r="AD581" s="117" t="str">
        <x:v>2026-09-08</x:v>
      </x:c>
      <x:c r="AE581" s="117" t="str">
        <x:v>MC0578</x:v>
      </x:c>
      <x:c r="AF581" s="117" t="str">
        <x:v>Distinct candidate</x:v>
      </x:c>
      <x:c r="AG581" s="117" t="str"/>
      <x:c r="AH581" s="117" t="str">
        <x:v>Listed by Tourism Malaysia</x:v>
      </x:c>
      <x:c r="AI581" s="117" t="str">
        <x:v>https://ebrochures.malaysia.travel/en/malaysia-travel-guide/pahang/</x:v>
      </x:c>
      <x:c r="AJ581" s="117" t="str">
        <x:v>Named visitor attraction in cited source; state-guide listings can be historical. Locality is catalogue metadata, not a surveyed address. Current operation remains unconfirmed.</x:v>
      </x:c>
      <x:c r="AK581" s="117" t="str">
        <x:v>Not independently confirmed</x:v>
      </x:c>
      <x:c r="AL581" s="117" t="str">
        <x:v>Screened sources; accessibility unresolved</x:v>
      </x:c>
      <x:c r="AM581" s="117" t="str">
        <x:v>2026-09-08</x:v>
      </x:c>
      <x:c r="AN581" s="117" t="str">
        <x:v>https://thumb.wikimedia.org/wikipedia/commons/thumb/7/7f/Batu_Hitam_beach%2C_Kuantan.jpg/1280px-Batu_Hitam_beach%2C_Kuantan.jpg?utm_source=commons.wikimedia.org&amp;utm_campaign=imageinfo&amp;utm_content=thumbnail</x:v>
      </x:c>
      <x:c r="AO581" s="117"/>
      <x:c r="AP581" s="117" t="str">
        <x:v>1 metadata-matched images; visual review pending</x:v>
      </x:c>
      <x:c r="AQ581" s="117"/>
    </x:row>
    <x:row r="582" ht="66" customHeight="1">
      <x:c r="A582" s="117" t="str">
        <x:v>MC0579</x:v>
      </x:c>
      <x:c r="B582" s="117" t="str">
        <x:v>Chendor Beach</x:v>
      </x:c>
      <x:c r="C582" s="117" t="str">
        <x:v>Pahang</x:v>
      </x:c>
      <x:c r="D582" s="117" t="str">
        <x:v>Kuantan</x:v>
      </x:c>
      <x:c r="E582" s="117" t="str">
        <x:v>Beach and Island</x:v>
      </x:c>
      <x:c r="F582" s="117" t="str">
        <x:v>Unclassified</x:v>
      </x:c>
      <x:c r="G582" s="117" t="str">
        <x:v>Outdoor</x:v>
      </x:c>
      <x:c r="H582" s="117" t="str">
        <x:v>Beach and Island; Kuantan</x:v>
      </x:c>
      <x:c r="I582" s="117" t="str">
        <x:v>A visitor attraction in Kuantan, Pahang, listed in Tourism Malaysia's state travel guide. Venue operation and the precise accessible route require confirmation.</x:v>
      </x:c>
      <x:c r="J582" s="117" t="str">
        <x:v>https://ebrochures.malaysia.travel/en/malaysia-travel-guide/pahang/</x:v>
      </x:c>
      <x:c r="K582" s="117" t="str">
        <x:v>https://ebrochures.malaysia.travel/en/malaysia-travel-guide/pahang/</x:v>
      </x:c>
      <x:c r="L582" s="117" t="str">
        <x:v>Tourism Malaysia listing; operation unconfirmed</x:v>
      </x:c>
      <x:c r="M582" s="117" t="str">
        <x:v>Nationwide expansion 2026-09-08</x:v>
      </x:c>
      <x:c r="N582" s="117"/>
      <x:c r="O582" s="117" t="str">
        <x:v>2026-09-08</x:v>
      </x:c>
      <x:c r="P582" s="117" t="str">
        <x:v>Complete</x:v>
      </x:c>
      <x:c r="Q582" s="117"/>
      <x:c r="R582" s="117" t="str">
        <x:f>IF(J582="","Missing Link",IF(AND(ISNUMBER(SEARCH("google.com/maps",J582)),ISERROR(SEARCH(";",J582))),"Discovery Link Only","Source Link Present"))</x:f>
        <x:v>Source Link Present</x:v>
      </x:c>
      <x:c r="S582" s="117" t="str">
        <x:v>Unknown</x:v>
      </x:c>
      <x:c r="T582" s="117" t="str">
        <x:v>Unknown</x:v>
      </x:c>
      <x:c r="U582" s="117" t="str">
        <x:v>Unknown</x:v>
      </x:c>
      <x:c r="V582" s="117" t="str">
        <x:v>Unknown</x:v>
      </x:c>
      <x:c r="W582" s="117" t="str">
        <x:v>Unknown</x:v>
      </x:c>
      <x:c r="X582" s="117" t="str">
        <x:v>Unknown</x:v>
      </x:c>
      <x:c r="Y582" s="117" t="str">
        <x:v>Unknown</x:v>
      </x:c>
      <x:c r="Z582" s="117"/>
      <x:c r="AA582" s="117" t="str">
        <x:v>Pending evidence</x:v>
      </x:c>
      <x:c r="AB582" s="117"/>
      <x:c r="AC582" s="117" t="str">
        <x:v>No qualifying accessibility conclusion established from the screened sources. This is unknown, not evidence that the attraction is inaccessible.</x:v>
      </x:c>
      <x:c r="AD582" s="117" t="str">
        <x:v>2026-09-08</x:v>
      </x:c>
      <x:c r="AE582" s="117" t="str">
        <x:v>MC0579</x:v>
      </x:c>
      <x:c r="AF582" s="117" t="str">
        <x:v>Distinct candidate</x:v>
      </x:c>
      <x:c r="AG582" s="117" t="str"/>
      <x:c r="AH582" s="117" t="str">
        <x:v>Listed by Tourism Malaysia</x:v>
      </x:c>
      <x:c r="AI582" s="117" t="str">
        <x:v>https://ebrochures.malaysia.travel/en/malaysia-travel-guide/pahang/</x:v>
      </x:c>
      <x:c r="AJ582" s="117" t="str">
        <x:v>Named visitor attraction in cited source; state-guide listings can be historical. Locality is catalogue metadata, not a surveyed address. Current operation remains unconfirmed.</x:v>
      </x:c>
      <x:c r="AK582" s="117" t="str">
        <x:v>Not independently confirmed</x:v>
      </x:c>
      <x:c r="AL582" s="117" t="str">
        <x:v>Screened sources; accessibility unresolved</x:v>
      </x:c>
      <x:c r="AM582" s="117" t="str">
        <x:v>2026-09-08</x:v>
      </x:c>
      <x:c r="AN582" s="117"/>
      <x:c r="AO582" s="117"/>
      <x:c r="AP582" s="117" t="str">
        <x:v>No usable pair located; image research pending</x:v>
      </x:c>
      <x:c r="AQ582" s="117"/>
    </x:row>
    <x:row r="583" ht="66" customHeight="1">
      <x:c r="A583" s="117" t="str">
        <x:v>MC0580</x:v>
      </x:c>
      <x:c r="B583" s="117" t="str">
        <x:v>Jeram Besu</x:v>
      </x:c>
      <x:c r="C583" s="117" t="str">
        <x:v>Pahang</x:v>
      </x:c>
      <x:c r="D583" s="117" t="str">
        <x:v>Raub</x:v>
      </x:c>
      <x:c r="E583" s="117" t="str">
        <x:v>Nature</x:v>
      </x:c>
      <x:c r="F583" s="117" t="str">
        <x:v>Unclassified</x:v>
      </x:c>
      <x:c r="G583" s="117" t="str">
        <x:v>Outdoor</x:v>
      </x:c>
      <x:c r="H583" s="117" t="str">
        <x:v>Nature; Raub</x:v>
      </x:c>
      <x:c r="I583" s="117" t="str">
        <x:v>A visitor attraction in Raub, Pahang, listed in Tourism Malaysia's state travel guide. Venue operation and the precise accessible route require confirmation.</x:v>
      </x:c>
      <x:c r="J583" s="117" t="str">
        <x:v>https://ebrochures.malaysia.travel/en/malaysia-travel-guide/pahang/</x:v>
      </x:c>
      <x:c r="K583" s="117" t="str">
        <x:v>https://ebrochures.malaysia.travel/en/malaysia-travel-guide/pahang/</x:v>
      </x:c>
      <x:c r="L583" s="117" t="str">
        <x:v>Tourism Malaysia listing; operation unconfirmed</x:v>
      </x:c>
      <x:c r="M583" s="117" t="str">
        <x:v>Nationwide expansion 2026-09-08</x:v>
      </x:c>
      <x:c r="N583" s="117"/>
      <x:c r="O583" s="117" t="str">
        <x:v>2026-09-08</x:v>
      </x:c>
      <x:c r="P583" s="117" t="str">
        <x:v>Complete</x:v>
      </x:c>
      <x:c r="Q583" s="117"/>
      <x:c r="R583" s="117" t="str">
        <x:f>IF(J583="","Missing Link",IF(AND(ISNUMBER(SEARCH("google.com/maps",J583)),ISERROR(SEARCH(";",J583))),"Discovery Link Only","Source Link Present"))</x:f>
        <x:v>Source Link Present</x:v>
      </x:c>
      <x:c r="S583" s="117" t="str">
        <x:v>Unknown</x:v>
      </x:c>
      <x:c r="T583" s="117" t="str">
        <x:v>Unknown</x:v>
      </x:c>
      <x:c r="U583" s="117" t="str">
        <x:v>Unknown</x:v>
      </x:c>
      <x:c r="V583" s="117" t="str">
        <x:v>Unknown</x:v>
      </x:c>
      <x:c r="W583" s="117" t="str">
        <x:v>Unknown</x:v>
      </x:c>
      <x:c r="X583" s="117" t="str">
        <x:v>Unknown</x:v>
      </x:c>
      <x:c r="Y583" s="117" t="str">
        <x:v>Unknown</x:v>
      </x:c>
      <x:c r="Z583" s="117"/>
      <x:c r="AA583" s="117" t="str">
        <x:v>Pending evidence</x:v>
      </x:c>
      <x:c r="AB583" s="117"/>
      <x:c r="AC583" s="117" t="str">
        <x:v>No qualifying accessibility conclusion established from the screened sources. This is unknown, not evidence that the attraction is inaccessible.</x:v>
      </x:c>
      <x:c r="AD583" s="117" t="str">
        <x:v>2026-09-08</x:v>
      </x:c>
      <x:c r="AE583" s="117" t="str">
        <x:v>MC0580</x:v>
      </x:c>
      <x:c r="AF583" s="117" t="str">
        <x:v>Distinct candidate</x:v>
      </x:c>
      <x:c r="AG583" s="117" t="str"/>
      <x:c r="AH583" s="117" t="str">
        <x:v>Listed by Tourism Malaysia</x:v>
      </x:c>
      <x:c r="AI583" s="117" t="str">
        <x:v>https://ebrochures.malaysia.travel/en/malaysia-travel-guide/pahang/</x:v>
      </x:c>
      <x:c r="AJ583" s="117" t="str">
        <x:v>Named visitor attraction in cited source; state-guide listings can be historical. Locality is catalogue metadata, not a surveyed address. Current operation remains unconfirmed.</x:v>
      </x:c>
      <x:c r="AK583" s="117" t="str">
        <x:v>Not independently confirmed</x:v>
      </x:c>
      <x:c r="AL583" s="117" t="str">
        <x:v>Screened sources; accessibility unresolved</x:v>
      </x:c>
      <x:c r="AM583" s="117" t="str">
        <x:v>2026-09-08</x:v>
      </x:c>
      <x:c r="AN583" s="117"/>
      <x:c r="AO583" s="117"/>
      <x:c r="AP583" s="117" t="str">
        <x:v>No usable pair located; image research pending</x:v>
      </x:c>
      <x:c r="AQ583" s="117"/>
    </x:row>
    <x:row r="584" ht="66" customHeight="1">
      <x:c r="A584" s="117" t="str">
        <x:v>MC0581</x:v>
      </x:c>
      <x:c r="B584" s="117" t="str">
        <x:v>Lata Berembun Waterfall</x:v>
      </x:c>
      <x:c r="C584" s="117" t="str">
        <x:v>Pahang</x:v>
      </x:c>
      <x:c r="D584" s="117" t="str">
        <x:v>Raub</x:v>
      </x:c>
      <x:c r="E584" s="117" t="str">
        <x:v>Nature</x:v>
      </x:c>
      <x:c r="F584" s="117" t="str">
        <x:v>Unclassified</x:v>
      </x:c>
      <x:c r="G584" s="117" t="str">
        <x:v>Outdoor</x:v>
      </x:c>
      <x:c r="H584" s="117" t="str">
        <x:v>Nature; Raub</x:v>
      </x:c>
      <x:c r="I584" s="117" t="str">
        <x:v>A visitor attraction in Raub, Pahang, listed in Tourism Malaysia's state travel guide. Venue operation and the precise accessible route require confirmation.</x:v>
      </x:c>
      <x:c r="J584" s="117" t="str">
        <x:v>https://ebrochures.malaysia.travel/en/malaysia-travel-guide/pahang/</x:v>
      </x:c>
      <x:c r="K584" s="117" t="str">
        <x:v>https://ebrochures.malaysia.travel/en/malaysia-travel-guide/pahang/</x:v>
      </x:c>
      <x:c r="L584" s="117" t="str">
        <x:v>Tourism Malaysia listing; operation unconfirmed</x:v>
      </x:c>
      <x:c r="M584" s="117" t="str">
        <x:v>Nationwide expansion 2026-09-08</x:v>
      </x:c>
      <x:c r="N584" s="117"/>
      <x:c r="O584" s="117" t="str">
        <x:v>2026-09-08</x:v>
      </x:c>
      <x:c r="P584" s="117" t="str">
        <x:v>Complete</x:v>
      </x:c>
      <x:c r="Q584" s="117"/>
      <x:c r="R584" s="117" t="str">
        <x:f>IF(J584="","Missing Link",IF(AND(ISNUMBER(SEARCH("google.com/maps",J584)),ISERROR(SEARCH(";",J584))),"Discovery Link Only","Source Link Present"))</x:f>
        <x:v>Source Link Present</x:v>
      </x:c>
      <x:c r="S584" s="117" t="str">
        <x:v>Unknown</x:v>
      </x:c>
      <x:c r="T584" s="117" t="str">
        <x:v>Unknown</x:v>
      </x:c>
      <x:c r="U584" s="117" t="str">
        <x:v>Unknown</x:v>
      </x:c>
      <x:c r="V584" s="117" t="str">
        <x:v>Unknown</x:v>
      </x:c>
      <x:c r="W584" s="117" t="str">
        <x:v>Unknown</x:v>
      </x:c>
      <x:c r="X584" s="117" t="str">
        <x:v>Unknown</x:v>
      </x:c>
      <x:c r="Y584" s="117" t="str">
        <x:v>Unknown</x:v>
      </x:c>
      <x:c r="Z584" s="117"/>
      <x:c r="AA584" s="117" t="str">
        <x:v>Pending evidence</x:v>
      </x:c>
      <x:c r="AB584" s="117"/>
      <x:c r="AC584" s="117" t="str">
        <x:v>No qualifying accessibility conclusion established from the screened sources. This is unknown, not evidence that the attraction is inaccessible.</x:v>
      </x:c>
      <x:c r="AD584" s="117" t="str">
        <x:v>2026-09-08</x:v>
      </x:c>
      <x:c r="AE584" s="117" t="str">
        <x:v>MC0581</x:v>
      </x:c>
      <x:c r="AF584" s="117" t="str">
        <x:v>Distinct candidate</x:v>
      </x:c>
      <x:c r="AG584" s="117" t="str"/>
      <x:c r="AH584" s="117" t="str">
        <x:v>Listed by Tourism Malaysia</x:v>
      </x:c>
      <x:c r="AI584" s="117" t="str">
        <x:v>https://ebrochures.malaysia.travel/en/malaysia-travel-guide/pahang/</x:v>
      </x:c>
      <x:c r="AJ584" s="117" t="str">
        <x:v>Named visitor attraction in cited source; state-guide listings can be historical. Locality is catalogue metadata, not a surveyed address. Current operation remains unconfirmed.</x:v>
      </x:c>
      <x:c r="AK584" s="117" t="str">
        <x:v>Not independently confirmed</x:v>
      </x:c>
      <x:c r="AL584" s="117" t="str">
        <x:v>Screened sources; accessibility unresolved</x:v>
      </x:c>
      <x:c r="AM584" s="117" t="str">
        <x:v>2026-09-08</x:v>
      </x:c>
      <x:c r="AN584" s="117"/>
      <x:c r="AO584" s="117"/>
      <x:c r="AP584" s="117" t="str">
        <x:v>No usable pair located; image research pending</x:v>
      </x:c>
      <x:c r="AQ584" s="117"/>
    </x:row>
    <x:row r="585" ht="66" customHeight="1">
      <x:c r="A585" s="117" t="str">
        <x:v>MC0582</x:v>
      </x:c>
      <x:c r="B585" s="117" t="str">
        <x:v>Lata Jarum Waterfall</x:v>
      </x:c>
      <x:c r="C585" s="117" t="str">
        <x:v>Pahang</x:v>
      </x:c>
      <x:c r="D585" s="117" t="str">
        <x:v>Raub</x:v>
      </x:c>
      <x:c r="E585" s="117" t="str">
        <x:v>Nature</x:v>
      </x:c>
      <x:c r="F585" s="117" t="str">
        <x:v>Unclassified</x:v>
      </x:c>
      <x:c r="G585" s="117" t="str">
        <x:v>Outdoor</x:v>
      </x:c>
      <x:c r="H585" s="117" t="str">
        <x:v>Nature; Raub</x:v>
      </x:c>
      <x:c r="I585" s="117" t="str">
        <x:v>A visitor attraction in Raub, Pahang, listed in Tourism Malaysia's state travel guide. Venue operation and the precise accessible route require confirmation.</x:v>
      </x:c>
      <x:c r="J585" s="117" t="str">
        <x:v>https://ebrochures.malaysia.travel/en/malaysia-travel-guide/pahang/</x:v>
      </x:c>
      <x:c r="K585" s="117" t="str">
        <x:v>https://ebrochures.malaysia.travel/en/malaysia-travel-guide/pahang/</x:v>
      </x:c>
      <x:c r="L585" s="117" t="str">
        <x:v>Tourism Malaysia listing; operation unconfirmed</x:v>
      </x:c>
      <x:c r="M585" s="117" t="str">
        <x:v>Nationwide expansion 2026-09-08</x:v>
      </x:c>
      <x:c r="N585" s="117"/>
      <x:c r="O585" s="117" t="str">
        <x:v>2026-09-08</x:v>
      </x:c>
      <x:c r="P585" s="117" t="str">
        <x:v>Complete</x:v>
      </x:c>
      <x:c r="Q585" s="117"/>
      <x:c r="R585" s="117" t="str">
        <x:f>IF(J585="","Missing Link",IF(AND(ISNUMBER(SEARCH("google.com/maps",J585)),ISERROR(SEARCH(";",J585))),"Discovery Link Only","Source Link Present"))</x:f>
        <x:v>Source Link Present</x:v>
      </x:c>
      <x:c r="S585" s="117" t="str">
        <x:v>Unknown</x:v>
      </x:c>
      <x:c r="T585" s="117" t="str">
        <x:v>Unknown</x:v>
      </x:c>
      <x:c r="U585" s="117" t="str">
        <x:v>Unknown</x:v>
      </x:c>
      <x:c r="V585" s="117" t="str">
        <x:v>Unknown</x:v>
      </x:c>
      <x:c r="W585" s="117" t="str">
        <x:v>Unknown</x:v>
      </x:c>
      <x:c r="X585" s="117" t="str">
        <x:v>Unknown</x:v>
      </x:c>
      <x:c r="Y585" s="117" t="str">
        <x:v>Unknown</x:v>
      </x:c>
      <x:c r="Z585" s="117"/>
      <x:c r="AA585" s="117" t="str">
        <x:v>Pending evidence</x:v>
      </x:c>
      <x:c r="AB585" s="117"/>
      <x:c r="AC585" s="117" t="str">
        <x:v>No qualifying accessibility conclusion established from the screened sources. This is unknown, not evidence that the attraction is inaccessible.</x:v>
      </x:c>
      <x:c r="AD585" s="117" t="str">
        <x:v>2026-09-08</x:v>
      </x:c>
      <x:c r="AE585" s="117" t="str">
        <x:v>MC0582</x:v>
      </x:c>
      <x:c r="AF585" s="117" t="str">
        <x:v>Distinct candidate</x:v>
      </x:c>
      <x:c r="AG585" s="117" t="str"/>
      <x:c r="AH585" s="117" t="str">
        <x:v>Listed by Tourism Malaysia</x:v>
      </x:c>
      <x:c r="AI585" s="117" t="str">
        <x:v>https://ebrochures.malaysia.travel/en/malaysia-travel-guide/pahang/</x:v>
      </x:c>
      <x:c r="AJ585" s="117" t="str">
        <x:v>Named visitor attraction in cited source; state-guide listings can be historical. Locality is catalogue metadata, not a surveyed address. Current operation remains unconfirmed.</x:v>
      </x:c>
      <x:c r="AK585" s="117" t="str">
        <x:v>Not independently confirmed</x:v>
      </x:c>
      <x:c r="AL585" s="117" t="str">
        <x:v>Screened sources; accessibility unresolved</x:v>
      </x:c>
      <x:c r="AM585" s="117" t="str">
        <x:v>2026-09-08</x:v>
      </x:c>
      <x:c r="AN585" s="117"/>
      <x:c r="AO585" s="117"/>
      <x:c r="AP585" s="117" t="str">
        <x:v>No usable pair located; image research pending</x:v>
      </x:c>
      <x:c r="AQ585" s="117"/>
    </x:row>
    <x:row r="586" ht="66" customHeight="1">
      <x:c r="A586" s="117" t="str">
        <x:v>MC0583</x:v>
      </x:c>
      <x:c r="B586" s="117" t="str">
        <x:v>Lata Lembik</x:v>
      </x:c>
      <x:c r="C586" s="117" t="str">
        <x:v>Pahang</x:v>
      </x:c>
      <x:c r="D586" s="117" t="str">
        <x:v>Raub</x:v>
      </x:c>
      <x:c r="E586" s="117" t="str">
        <x:v>Nature</x:v>
      </x:c>
      <x:c r="F586" s="117" t="str">
        <x:v>Unclassified</x:v>
      </x:c>
      <x:c r="G586" s="117" t="str">
        <x:v>Outdoor</x:v>
      </x:c>
      <x:c r="H586" s="117" t="str">
        <x:v>Nature; Raub</x:v>
      </x:c>
      <x:c r="I586" s="117" t="str">
        <x:v>A visitor attraction in Raub, Pahang, listed in Tourism Malaysia's state travel guide. Venue operation and the precise accessible route require confirmation.</x:v>
      </x:c>
      <x:c r="J586" s="117" t="str">
        <x:v>https://ebrochures.malaysia.travel/en/malaysia-travel-guide/pahang/</x:v>
      </x:c>
      <x:c r="K586" s="117" t="str">
        <x:v>https://ebrochures.malaysia.travel/en/malaysia-travel-guide/pahang/</x:v>
      </x:c>
      <x:c r="L586" s="117" t="str">
        <x:v>Tourism Malaysia listing; operation unconfirmed</x:v>
      </x:c>
      <x:c r="M586" s="117" t="str">
        <x:v>Nationwide expansion 2026-09-08</x:v>
      </x:c>
      <x:c r="N586" s="117"/>
      <x:c r="O586" s="117" t="str">
        <x:v>2026-09-08</x:v>
      </x:c>
      <x:c r="P586" s="117" t="str">
        <x:v>Complete</x:v>
      </x:c>
      <x:c r="Q586" s="117"/>
      <x:c r="R586" s="117" t="str">
        <x:f>IF(J586="","Missing Link",IF(AND(ISNUMBER(SEARCH("google.com/maps",J586)),ISERROR(SEARCH(";",J586))),"Discovery Link Only","Source Link Present"))</x:f>
        <x:v>Source Link Present</x:v>
      </x:c>
      <x:c r="S586" s="117" t="str">
        <x:v>Unknown</x:v>
      </x:c>
      <x:c r="T586" s="117" t="str">
        <x:v>Unknown</x:v>
      </x:c>
      <x:c r="U586" s="117" t="str">
        <x:v>Unknown</x:v>
      </x:c>
      <x:c r="V586" s="117" t="str">
        <x:v>Unknown</x:v>
      </x:c>
      <x:c r="W586" s="117" t="str">
        <x:v>Unknown</x:v>
      </x:c>
      <x:c r="X586" s="117" t="str">
        <x:v>Unknown</x:v>
      </x:c>
      <x:c r="Y586" s="117" t="str">
        <x:v>Unknown</x:v>
      </x:c>
      <x:c r="Z586" s="117"/>
      <x:c r="AA586" s="117" t="str">
        <x:v>Pending evidence</x:v>
      </x:c>
      <x:c r="AB586" s="117"/>
      <x:c r="AC586" s="117" t="str">
        <x:v>No qualifying accessibility conclusion established from the screened sources. This is unknown, not evidence that the attraction is inaccessible.</x:v>
      </x:c>
      <x:c r="AD586" s="117" t="str">
        <x:v>2026-09-08</x:v>
      </x:c>
      <x:c r="AE586" s="117" t="str">
        <x:v>MC0583</x:v>
      </x:c>
      <x:c r="AF586" s="117" t="str">
        <x:v>Distinct candidate</x:v>
      </x:c>
      <x:c r="AG586" s="117" t="str"/>
      <x:c r="AH586" s="117" t="str">
        <x:v>Listed by Tourism Malaysia</x:v>
      </x:c>
      <x:c r="AI586" s="117" t="str">
        <x:v>https://ebrochures.malaysia.travel/en/malaysia-travel-guide/pahang/</x:v>
      </x:c>
      <x:c r="AJ586" s="117" t="str">
        <x:v>Named visitor attraction in cited source; state-guide listings can be historical. Locality is catalogue metadata, not a surveyed address. Current operation remains unconfirmed.</x:v>
      </x:c>
      <x:c r="AK586" s="117" t="str">
        <x:v>Not independently confirmed</x:v>
      </x:c>
      <x:c r="AL586" s="117" t="str">
        <x:v>Screened sources; accessibility unresolved</x:v>
      </x:c>
      <x:c r="AM586" s="117" t="str">
        <x:v>2026-09-08</x:v>
      </x:c>
      <x:c r="AN586" s="117" t="str">
        <x:v>https://thumb.wikimedia.org/wikipedia/commons/thumb/a/ab/Agatasa_calydonia_-_Cheongweei_Gan_-_314932127.jpeg/1280px-Agatasa_calydonia_-_Cheongweei_Gan_-_314932127.jpeg?utm_source=commons.wikimedia.org&amp;utm_campaign=imageinfo&amp;utm_content=thumbnail</x:v>
      </x:c>
      <x:c r="AO586" s="117"/>
      <x:c r="AP586" s="117" t="str">
        <x:v>1 metadata-matched images; visual review pending</x:v>
      </x:c>
      <x:c r="AQ586" s="117"/>
    </x:row>
    <x:row r="587" ht="66" customHeight="1">
      <x:c r="A587" s="117" t="str">
        <x:v>MC0584</x:v>
      </x:c>
      <x:c r="B587" s="117" t="str">
        <x:v>Watercraft Gallery</x:v>
      </x:c>
      <x:c r="C587" s="117" t="str">
        <x:v>Pahang</x:v>
      </x:c>
      <x:c r="D587" s="117" t="str">
        <x:v>Pekan</x:v>
      </x:c>
      <x:c r="E587" s="117" t="str">
        <x:v>Museum and Gallery</x:v>
      </x:c>
      <x:c r="F587" s="117" t="str">
        <x:v>Unclassified</x:v>
      </x:c>
      <x:c r="G587" s="117" t="str">
        <x:v>Indoor</x:v>
      </x:c>
      <x:c r="H587" s="117" t="str">
        <x:v>Museum and Gallery; Pekan</x:v>
      </x:c>
      <x:c r="I587" s="117" t="str">
        <x:v>A visitor attraction in Pekan, Pahang, listed in Tourism Malaysia's state travel guide. Venue operation and the precise accessible route require confirmation.</x:v>
      </x:c>
      <x:c r="J587" s="117" t="str">
        <x:v>https://ebrochures.malaysia.travel/en/malaysia-travel-guide/pahang/</x:v>
      </x:c>
      <x:c r="K587" s="117" t="str">
        <x:v>https://ebrochures.malaysia.travel/en/malaysia-travel-guide/pahang/</x:v>
      </x:c>
      <x:c r="L587" s="117" t="str">
        <x:v>Tourism Malaysia listing; operation unconfirmed</x:v>
      </x:c>
      <x:c r="M587" s="117" t="str">
        <x:v>Nationwide expansion 2026-09-08</x:v>
      </x:c>
      <x:c r="N587" s="117"/>
      <x:c r="O587" s="117" t="str">
        <x:v>2026-09-08</x:v>
      </x:c>
      <x:c r="P587" s="117" t="str">
        <x:v>Complete</x:v>
      </x:c>
      <x:c r="Q587" s="117"/>
      <x:c r="R587" s="117" t="str">
        <x:f>IF(J587="","Missing Link",IF(AND(ISNUMBER(SEARCH("google.com/maps",J587)),ISERROR(SEARCH(";",J587))),"Discovery Link Only","Source Link Present"))</x:f>
        <x:v>Source Link Present</x:v>
      </x:c>
      <x:c r="S587" s="117" t="str">
        <x:v>Unknown</x:v>
      </x:c>
      <x:c r="T587" s="117" t="str">
        <x:v>Unknown</x:v>
      </x:c>
      <x:c r="U587" s="117" t="str">
        <x:v>Unknown</x:v>
      </x:c>
      <x:c r="V587" s="117" t="str">
        <x:v>Unknown</x:v>
      </x:c>
      <x:c r="W587" s="117" t="str">
        <x:v>Unknown</x:v>
      </x:c>
      <x:c r="X587" s="117" t="str">
        <x:v>Unknown</x:v>
      </x:c>
      <x:c r="Y587" s="117" t="str">
        <x:v>Unknown</x:v>
      </x:c>
      <x:c r="Z587" s="117"/>
      <x:c r="AA587" s="117" t="str">
        <x:v>Pending evidence</x:v>
      </x:c>
      <x:c r="AB587" s="117"/>
      <x:c r="AC587" s="117" t="str">
        <x:v>No qualifying accessibility conclusion established from the screened sources. This is unknown, not evidence that the attraction is inaccessible.</x:v>
      </x:c>
      <x:c r="AD587" s="117" t="str">
        <x:v>2026-09-08</x:v>
      </x:c>
      <x:c r="AE587" s="117" t="str">
        <x:v>MC0584</x:v>
      </x:c>
      <x:c r="AF587" s="117" t="str">
        <x:v>Distinct candidate</x:v>
      </x:c>
      <x:c r="AG587" s="117" t="str"/>
      <x:c r="AH587" s="117" t="str">
        <x:v>Listed by Tourism Malaysia</x:v>
      </x:c>
      <x:c r="AI587" s="117" t="str">
        <x:v>https://ebrochures.malaysia.travel/en/malaysia-travel-guide/pahang/</x:v>
      </x:c>
      <x:c r="AJ587" s="117" t="str">
        <x:v>Named visitor attraction in cited source; state-guide listings can be historical. Locality is catalogue metadata, not a surveyed address. Current operation remains unconfirmed.</x:v>
      </x:c>
      <x:c r="AK587" s="117" t="str">
        <x:v>Not independently confirmed</x:v>
      </x:c>
      <x:c r="AL587" s="117" t="str">
        <x:v>Screened sources; accessibility unresolved</x:v>
      </x:c>
      <x:c r="AM587" s="117" t="str">
        <x:v>2026-09-08</x:v>
      </x:c>
      <x:c r="AN587" s="117"/>
      <x:c r="AO587" s="117"/>
      <x:c r="AP587" s="117" t="str">
        <x:v>No usable pair located; image research pending</x:v>
      </x:c>
      <x:c r="AQ587" s="117"/>
    </x:row>
    <x:row r="588" ht="66" customHeight="1">
      <x:c r="A588" s="117" t="str">
        <x:v>MC0585</x:v>
      </x:c>
      <x:c r="B588" s="117" t="str">
        <x:v>Tun Abdul Razak Gallery</x:v>
      </x:c>
      <x:c r="C588" s="117" t="str">
        <x:v>Pahang</x:v>
      </x:c>
      <x:c r="D588" s="117" t="str">
        <x:v>Pekan</x:v>
      </x:c>
      <x:c r="E588" s="117" t="str">
        <x:v>Museum and Gallery</x:v>
      </x:c>
      <x:c r="F588" s="117" t="str">
        <x:v>Unclassified</x:v>
      </x:c>
      <x:c r="G588" s="117" t="str">
        <x:v>Indoor</x:v>
      </x:c>
      <x:c r="H588" s="117" t="str">
        <x:v>Museum and Gallery; Pekan</x:v>
      </x:c>
      <x:c r="I588" s="117" t="str">
        <x:v>A visitor attraction in Pekan, Pahang, listed in Tourism Malaysia's state travel guide. Venue operation and the precise accessible route require confirmation.</x:v>
      </x:c>
      <x:c r="J588" s="117" t="str">
        <x:v>https://ebrochures.malaysia.travel/en/malaysia-travel-guide/pahang/</x:v>
      </x:c>
      <x:c r="K588" s="117" t="str">
        <x:v>https://ebrochures.malaysia.travel/en/malaysia-travel-guide/pahang/</x:v>
      </x:c>
      <x:c r="L588" s="117" t="str">
        <x:v>Tourism Malaysia listing; operation unconfirmed</x:v>
      </x:c>
      <x:c r="M588" s="117" t="str">
        <x:v>Nationwide expansion 2026-09-08</x:v>
      </x:c>
      <x:c r="N588" s="117"/>
      <x:c r="O588" s="117" t="str">
        <x:v>2026-09-08</x:v>
      </x:c>
      <x:c r="P588" s="117" t="str">
        <x:v>Complete</x:v>
      </x:c>
      <x:c r="Q588" s="117"/>
      <x:c r="R588" s="117" t="str">
        <x:f>IF(J588="","Missing Link",IF(AND(ISNUMBER(SEARCH("google.com/maps",J588)),ISERROR(SEARCH(";",J588))),"Discovery Link Only","Source Link Present"))</x:f>
        <x:v>Source Link Present</x:v>
      </x:c>
      <x:c r="S588" s="117" t="str">
        <x:v>Unknown</x:v>
      </x:c>
      <x:c r="T588" s="117" t="str">
        <x:v>Unknown</x:v>
      </x:c>
      <x:c r="U588" s="117" t="str">
        <x:v>Unknown</x:v>
      </x:c>
      <x:c r="V588" s="117" t="str">
        <x:v>Unknown</x:v>
      </x:c>
      <x:c r="W588" s="117" t="str">
        <x:v>Unknown</x:v>
      </x:c>
      <x:c r="X588" s="117" t="str">
        <x:v>Unknown</x:v>
      </x:c>
      <x:c r="Y588" s="117" t="str">
        <x:v>Unknown</x:v>
      </x:c>
      <x:c r="Z588" s="117"/>
      <x:c r="AA588" s="117" t="str">
        <x:v>Pending evidence</x:v>
      </x:c>
      <x:c r="AB588" s="117"/>
      <x:c r="AC588" s="117" t="str">
        <x:v>No qualifying accessibility conclusion established from the screened sources. This is unknown, not evidence that the attraction is inaccessible.</x:v>
      </x:c>
      <x:c r="AD588" s="117" t="str">
        <x:v>2026-09-08</x:v>
      </x:c>
      <x:c r="AE588" s="117" t="str">
        <x:v>MC0585</x:v>
      </x:c>
      <x:c r="AF588" s="117" t="str">
        <x:v>Distinct candidate</x:v>
      </x:c>
      <x:c r="AG588" s="117" t="str"/>
      <x:c r="AH588" s="117" t="str">
        <x:v>Listed by Tourism Malaysia</x:v>
      </x:c>
      <x:c r="AI588" s="117" t="str">
        <x:v>https://ebrochures.malaysia.travel/en/malaysia-travel-guide/pahang/</x:v>
      </x:c>
      <x:c r="AJ588" s="117" t="str">
        <x:v>Named visitor attraction in cited source; state-guide listings can be historical. Locality is catalogue metadata, not a surveyed address. Current operation remains unconfirmed.</x:v>
      </x:c>
      <x:c r="AK588" s="117" t="str">
        <x:v>Not independently confirmed</x:v>
      </x:c>
      <x:c r="AL588" s="117" t="str">
        <x:v>Screened sources; accessibility unresolved</x:v>
      </x:c>
      <x:c r="AM588" s="117" t="str">
        <x:v>2026-09-08</x:v>
      </x:c>
      <x:c r="AN588" s="117"/>
      <x:c r="AO588" s="117"/>
      <x:c r="AP588" s="117" t="str">
        <x:v>No usable pair located; image research pending</x:v>
      </x:c>
      <x:c r="AQ588" s="117"/>
    </x:row>
    <x:row r="589" ht="66" customHeight="1">
      <x:c r="A589" s="117" t="str">
        <x:v>MC0586</x:v>
      </x:c>
      <x:c r="B589" s="117" t="str">
        <x:v>Royal Mausoleum of Pekan</x:v>
      </x:c>
      <x:c r="C589" s="117" t="str">
        <x:v>Pahang</x:v>
      </x:c>
      <x:c r="D589" s="117" t="str">
        <x:v>Pekan</x:v>
      </x:c>
      <x:c r="E589" s="117" t="str">
        <x:v>Heritage and Visitor Attraction</x:v>
      </x:c>
      <x:c r="F589" s="117" t="str">
        <x:v>Unclassified</x:v>
      </x:c>
      <x:c r="G589" s="117" t="str">
        <x:v>Both</x:v>
      </x:c>
      <x:c r="H589" s="117" t="str">
        <x:v>Heritage and Visitor Attraction; Pekan</x:v>
      </x:c>
      <x:c r="I589" s="117" t="str">
        <x:v>A visitor attraction in Pekan, Pahang, listed in Tourism Malaysia's state travel guide. Venue operation and the precise accessible route require confirmation.</x:v>
      </x:c>
      <x:c r="J589" s="117" t="str">
        <x:v>https://ebrochures.malaysia.travel/en/malaysia-travel-guide/pahang/</x:v>
      </x:c>
      <x:c r="K589" s="117" t="str">
        <x:v>https://ebrochures.malaysia.travel/en/malaysia-travel-guide/pahang/</x:v>
      </x:c>
      <x:c r="L589" s="117" t="str">
        <x:v>Tourism Malaysia listing; operation unconfirmed</x:v>
      </x:c>
      <x:c r="M589" s="117" t="str">
        <x:v>Nationwide expansion 2026-09-08</x:v>
      </x:c>
      <x:c r="N589" s="117"/>
      <x:c r="O589" s="117" t="str">
        <x:v>2026-09-08</x:v>
      </x:c>
      <x:c r="P589" s="117" t="str">
        <x:v>Complete</x:v>
      </x:c>
      <x:c r="Q589" s="117"/>
      <x:c r="R589" s="117" t="str">
        <x:f>IF(J589="","Missing Link",IF(AND(ISNUMBER(SEARCH("google.com/maps",J589)),ISERROR(SEARCH(";",J589))),"Discovery Link Only","Source Link Present"))</x:f>
        <x:v>Source Link Present</x:v>
      </x:c>
      <x:c r="S589" s="117" t="str">
        <x:v>Unknown</x:v>
      </x:c>
      <x:c r="T589" s="117" t="str">
        <x:v>Unknown</x:v>
      </x:c>
      <x:c r="U589" s="117" t="str">
        <x:v>Unknown</x:v>
      </x:c>
      <x:c r="V589" s="117" t="str">
        <x:v>Unknown</x:v>
      </x:c>
      <x:c r="W589" s="117" t="str">
        <x:v>Unknown</x:v>
      </x:c>
      <x:c r="X589" s="117" t="str">
        <x:v>Unknown</x:v>
      </x:c>
      <x:c r="Y589" s="117" t="str">
        <x:v>Unknown</x:v>
      </x:c>
      <x:c r="Z589" s="117"/>
      <x:c r="AA589" s="117" t="str">
        <x:v>Pending evidence</x:v>
      </x:c>
      <x:c r="AB589" s="117"/>
      <x:c r="AC589" s="117" t="str">
        <x:v>No qualifying accessibility conclusion established from the screened sources. This is unknown, not evidence that the attraction is inaccessible.</x:v>
      </x:c>
      <x:c r="AD589" s="117" t="str">
        <x:v>2026-09-08</x:v>
      </x:c>
      <x:c r="AE589" s="117" t="str">
        <x:v>MC0586</x:v>
      </x:c>
      <x:c r="AF589" s="117" t="str">
        <x:v>Distinct candidate</x:v>
      </x:c>
      <x:c r="AG589" s="117" t="str"/>
      <x:c r="AH589" s="117" t="str">
        <x:v>Listed by Tourism Malaysia</x:v>
      </x:c>
      <x:c r="AI589" s="117" t="str">
        <x:v>https://ebrochures.malaysia.travel/en/malaysia-travel-guide/pahang/</x:v>
      </x:c>
      <x:c r="AJ589" s="117" t="str">
        <x:v>Named visitor attraction in cited source; state-guide listings can be historical. Locality is catalogue metadata, not a surveyed address. Current operation remains unconfirmed.</x:v>
      </x:c>
      <x:c r="AK589" s="117" t="str">
        <x:v>Not independently confirmed</x:v>
      </x:c>
      <x:c r="AL589" s="117" t="str">
        <x:v>Screened sources; accessibility unresolved</x:v>
      </x:c>
      <x:c r="AM589" s="117" t="str">
        <x:v>2026-09-08</x:v>
      </x:c>
      <x:c r="AN589" s="117"/>
      <x:c r="AO589" s="117"/>
      <x:c r="AP589" s="117" t="str">
        <x:v>No usable pair located; image research pending</x:v>
      </x:c>
      <x:c r="AQ589" s="117"/>
    </x:row>
    <x:row r="590" ht="66" customHeight="1">
      <x:c r="A590" s="117" t="str">
        <x:v>MC0587</x:v>
      </x:c>
      <x:c r="B590" s="117" t="str">
        <x:v>Sultan Abdullah Mosque Museum</x:v>
      </x:c>
      <x:c r="C590" s="117" t="str">
        <x:v>Pahang</x:v>
      </x:c>
      <x:c r="D590" s="117" t="str">
        <x:v>Pekan</x:v>
      </x:c>
      <x:c r="E590" s="117" t="str">
        <x:v>Museum and Gallery</x:v>
      </x:c>
      <x:c r="F590" s="117" t="str">
        <x:v>Unclassified</x:v>
      </x:c>
      <x:c r="G590" s="117" t="str">
        <x:v>Indoor</x:v>
      </x:c>
      <x:c r="H590" s="117" t="str">
        <x:v>Museum and Gallery; Pekan</x:v>
      </x:c>
      <x:c r="I590" s="117" t="str">
        <x:v>A visitor attraction in Pekan, Pahang, listed in Tourism Malaysia's state travel guide. Venue operation and the precise accessible route require confirmation.</x:v>
      </x:c>
      <x:c r="J590" s="117" t="str">
        <x:v>https://ebrochures.malaysia.travel/en/malaysia-travel-guide/pahang/</x:v>
      </x:c>
      <x:c r="K590" s="117" t="str">
        <x:v>https://ebrochures.malaysia.travel/en/malaysia-travel-guide/pahang/</x:v>
      </x:c>
      <x:c r="L590" s="117" t="str">
        <x:v>Tourism Malaysia listing; operation unconfirmed</x:v>
      </x:c>
      <x:c r="M590" s="117" t="str">
        <x:v>Nationwide expansion 2026-09-08</x:v>
      </x:c>
      <x:c r="N590" s="117"/>
      <x:c r="O590" s="117" t="str">
        <x:v>2026-09-08</x:v>
      </x:c>
      <x:c r="P590" s="117" t="str">
        <x:v>Complete</x:v>
      </x:c>
      <x:c r="Q590" s="117"/>
      <x:c r="R590" s="117" t="str">
        <x:f>IF(J590="","Missing Link",IF(AND(ISNUMBER(SEARCH("google.com/maps",J590)),ISERROR(SEARCH(";",J590))),"Discovery Link Only","Source Link Present"))</x:f>
        <x:v>Source Link Present</x:v>
      </x:c>
      <x:c r="S590" s="117" t="str">
        <x:v>Unknown</x:v>
      </x:c>
      <x:c r="T590" s="117" t="str">
        <x:v>Unknown</x:v>
      </x:c>
      <x:c r="U590" s="117" t="str">
        <x:v>Unknown</x:v>
      </x:c>
      <x:c r="V590" s="117" t="str">
        <x:v>Unknown</x:v>
      </x:c>
      <x:c r="W590" s="117" t="str">
        <x:v>Unknown</x:v>
      </x:c>
      <x:c r="X590" s="117" t="str">
        <x:v>Unknown</x:v>
      </x:c>
      <x:c r="Y590" s="117" t="str">
        <x:v>Unknown</x:v>
      </x:c>
      <x:c r="Z590" s="117"/>
      <x:c r="AA590" s="117" t="str">
        <x:v>Pending evidence</x:v>
      </x:c>
      <x:c r="AB590" s="117"/>
      <x:c r="AC590" s="117" t="str">
        <x:v>No qualifying accessibility conclusion established from the screened sources. This is unknown, not evidence that the attraction is inaccessible.</x:v>
      </x:c>
      <x:c r="AD590" s="117" t="str">
        <x:v>2026-09-08</x:v>
      </x:c>
      <x:c r="AE590" s="117" t="str">
        <x:v>MC0587</x:v>
      </x:c>
      <x:c r="AF590" s="117" t="str">
        <x:v>Distinct candidate</x:v>
      </x:c>
      <x:c r="AG590" s="117" t="str"/>
      <x:c r="AH590" s="117" t="str">
        <x:v>Listed by Tourism Malaysia</x:v>
      </x:c>
      <x:c r="AI590" s="117" t="str">
        <x:v>https://ebrochures.malaysia.travel/en/malaysia-travel-guide/pahang/</x:v>
      </x:c>
      <x:c r="AJ590" s="117" t="str">
        <x:v>Named visitor attraction in cited source; state-guide listings can be historical. Locality is catalogue metadata, not a surveyed address. Current operation remains unconfirmed.</x:v>
      </x:c>
      <x:c r="AK590" s="117" t="str">
        <x:v>Not independently confirmed</x:v>
      </x:c>
      <x:c r="AL590" s="117" t="str">
        <x:v>Screened sources; accessibility unresolved</x:v>
      </x:c>
      <x:c r="AM590" s="117" t="str">
        <x:v>2026-09-08</x:v>
      </x:c>
      <x:c r="AN590" s="117" t="str">
        <x:v>https://thumb.wikimedia.org/wikipedia/commons/thumb/4/43/Pekan_13.jpg/1280px-Pekan_13.jpg?utm_source=commons.wikimedia.org&amp;utm_campaign=imageinfo&amp;utm_content=thumbnail</x:v>
      </x:c>
      <x:c r="AO590" s="117" t="str">
        <x:v>https://thumb.wikimedia.org/wikipedia/commons/thumb/2/2e/Pekan_14.jpg/1280px-Pekan_14.jpg?utm_source=commons.wikimedia.org&amp;utm_campaign=imageinfo&amp;utm_content=thumbnail</x:v>
      </x:c>
      <x:c r="AP590" s="117" t="str">
        <x:v>2 metadata-matched images; visual review pending</x:v>
      </x:c>
      <x:c r="AQ590" s="117"/>
    </x:row>
    <x:row r="591" ht="66" customHeight="1">
      <x:c r="A591" s="117" t="str">
        <x:v>MC0588</x:v>
      </x:c>
      <x:c r="B591" s="117" t="str">
        <x:v>Tasik Chini</x:v>
      </x:c>
      <x:c r="C591" s="117" t="str">
        <x:v>Pahang</x:v>
      </x:c>
      <x:c r="D591" s="117" t="str">
        <x:v>Pekan</x:v>
      </x:c>
      <x:c r="E591" s="117" t="str">
        <x:v>Nature</x:v>
      </x:c>
      <x:c r="F591" s="117" t="str">
        <x:v>Unclassified</x:v>
      </x:c>
      <x:c r="G591" s="117" t="str">
        <x:v>Outdoor</x:v>
      </x:c>
      <x:c r="H591" s="117" t="str">
        <x:v>Nature; Pekan</x:v>
      </x:c>
      <x:c r="I591" s="117" t="str">
        <x:v>A visitor attraction in Pekan, Pahang, listed in Tourism Malaysia's state travel guide. Venue operation and the precise accessible route require confirmation.</x:v>
      </x:c>
      <x:c r="J591" s="117" t="str">
        <x:v>https://ebrochures.malaysia.travel/en/malaysia-travel-guide/pahang/</x:v>
      </x:c>
      <x:c r="K591" s="117" t="str">
        <x:v>https://ebrochures.malaysia.travel/en/malaysia-travel-guide/pahang/</x:v>
      </x:c>
      <x:c r="L591" s="117" t="str">
        <x:v>Tourism Malaysia listing; operation unconfirmed</x:v>
      </x:c>
      <x:c r="M591" s="117" t="str">
        <x:v>Nationwide expansion 2026-09-08</x:v>
      </x:c>
      <x:c r="N591" s="117"/>
      <x:c r="O591" s="117" t="str">
        <x:v>2026-09-08</x:v>
      </x:c>
      <x:c r="P591" s="117" t="str">
        <x:v>Complete</x:v>
      </x:c>
      <x:c r="Q591" s="117"/>
      <x:c r="R591" s="117" t="str">
        <x:f>IF(J591="","Missing Link",IF(AND(ISNUMBER(SEARCH("google.com/maps",J591)),ISERROR(SEARCH(";",J591))),"Discovery Link Only","Source Link Present"))</x:f>
        <x:v>Source Link Present</x:v>
      </x:c>
      <x:c r="S591" s="117" t="str">
        <x:v>Unknown</x:v>
      </x:c>
      <x:c r="T591" s="117" t="str">
        <x:v>Unknown</x:v>
      </x:c>
      <x:c r="U591" s="117" t="str">
        <x:v>Unknown</x:v>
      </x:c>
      <x:c r="V591" s="117" t="str">
        <x:v>Unknown</x:v>
      </x:c>
      <x:c r="W591" s="117" t="str">
        <x:v>Unknown</x:v>
      </x:c>
      <x:c r="X591" s="117" t="str">
        <x:v>Unknown</x:v>
      </x:c>
      <x:c r="Y591" s="117" t="str">
        <x:v>Unknown</x:v>
      </x:c>
      <x:c r="Z591" s="117"/>
      <x:c r="AA591" s="117" t="str">
        <x:v>Pending evidence</x:v>
      </x:c>
      <x:c r="AB591" s="117"/>
      <x:c r="AC591" s="117" t="str">
        <x:v>No qualifying accessibility conclusion established from the screened sources. This is unknown, not evidence that the attraction is inaccessible.</x:v>
      </x:c>
      <x:c r="AD591" s="117" t="str">
        <x:v>2026-09-08</x:v>
      </x:c>
      <x:c r="AE591" s="117" t="str">
        <x:v>MC0588</x:v>
      </x:c>
      <x:c r="AF591" s="117" t="str">
        <x:v>Distinct candidate</x:v>
      </x:c>
      <x:c r="AG591" s="117" t="str"/>
      <x:c r="AH591" s="117" t="str">
        <x:v>Listed by Tourism Malaysia</x:v>
      </x:c>
      <x:c r="AI591" s="117" t="str">
        <x:v>https://ebrochures.malaysia.travel/en/malaysia-travel-guide/pahang/</x:v>
      </x:c>
      <x:c r="AJ591" s="117" t="str">
        <x:v>Named visitor attraction in cited source; state-guide listings can be historical. Locality is catalogue metadata, not a surveyed address. Current operation remains unconfirmed.</x:v>
      </x:c>
      <x:c r="AK591" s="117" t="str">
        <x:v>Not independently confirmed</x:v>
      </x:c>
      <x:c r="AL591" s="117" t="str">
        <x:v>Screened sources; accessibility unresolved</x:v>
      </x:c>
      <x:c r="AM591" s="117" t="str">
        <x:v>2026-09-08</x:v>
      </x:c>
      <x:c r="AN591" s="117" t="str">
        <x:v>https://thumb.wikimedia.org/wikipedia/commons/thumb/8/88/Tasik_chini_05.JPG/1280px-Tasik_chini_05.JPG?utm_source=commons.wikimedia.org&amp;utm_campaign=imageinfo&amp;utm_content=thumbnail</x:v>
      </x:c>
      <x:c r="AO591" s="117" t="str">
        <x:v>https://thumb.wikimedia.org/wikipedia/commons/thumb/0/05/Tasik_chini_02.jpg/1280px-Tasik_chini_02.jpg?utm_source=commons.wikimedia.org&amp;utm_campaign=imageinfo&amp;utm_content=thumbnail</x:v>
      </x:c>
      <x:c r="AP591" s="117" t="str">
        <x:v>2 metadata-matched images; visual review pending</x:v>
      </x:c>
      <x:c r="AQ591" s="117"/>
    </x:row>
    <x:row r="592" ht="66" customHeight="1">
      <x:c r="A592" s="117" t="str">
        <x:v>MC0589</x:v>
      </x:c>
      <x:c r="B592" s="117" t="str">
        <x:v>Tasik Bera</x:v>
      </x:c>
      <x:c r="C592" s="117" t="str">
        <x:v>Pahang</x:v>
      </x:c>
      <x:c r="D592" s="117" t="str">
        <x:v>Bera</x:v>
      </x:c>
      <x:c r="E592" s="117" t="str">
        <x:v>Nature</x:v>
      </x:c>
      <x:c r="F592" s="117" t="str">
        <x:v>Unclassified</x:v>
      </x:c>
      <x:c r="G592" s="117" t="str">
        <x:v>Outdoor</x:v>
      </x:c>
      <x:c r="H592" s="117" t="str">
        <x:v>Nature; Bera</x:v>
      </x:c>
      <x:c r="I592" s="117" t="str">
        <x:v>A visitor attraction in Bera, Pahang, listed in Tourism Malaysia's state travel guide. Venue operation and the precise accessible route require confirmation.</x:v>
      </x:c>
      <x:c r="J592" s="117" t="str">
        <x:v>https://ebrochures.malaysia.travel/en/malaysia-travel-guide/pahang/</x:v>
      </x:c>
      <x:c r="K592" s="117" t="str">
        <x:v>https://ebrochures.malaysia.travel/en/malaysia-travel-guide/pahang/</x:v>
      </x:c>
      <x:c r="L592" s="117" t="str">
        <x:v>Tourism Malaysia listing; operation unconfirmed</x:v>
      </x:c>
      <x:c r="M592" s="117" t="str">
        <x:v>Nationwide expansion 2026-09-08</x:v>
      </x:c>
      <x:c r="N592" s="117"/>
      <x:c r="O592" s="117" t="str">
        <x:v>2026-09-08</x:v>
      </x:c>
      <x:c r="P592" s="117" t="str">
        <x:v>Complete</x:v>
      </x:c>
      <x:c r="Q592" s="117"/>
      <x:c r="R592" s="117" t="str">
        <x:f>IF(J592="","Missing Link",IF(AND(ISNUMBER(SEARCH("google.com/maps",J592)),ISERROR(SEARCH(";",J592))),"Discovery Link Only","Source Link Present"))</x:f>
        <x:v>Source Link Present</x:v>
      </x:c>
      <x:c r="S592" s="117" t="str">
        <x:v>Unknown</x:v>
      </x:c>
      <x:c r="T592" s="117" t="str">
        <x:v>Unknown</x:v>
      </x:c>
      <x:c r="U592" s="117" t="str">
        <x:v>Unknown</x:v>
      </x:c>
      <x:c r="V592" s="117" t="str">
        <x:v>Unknown</x:v>
      </x:c>
      <x:c r="W592" s="117" t="str">
        <x:v>Unknown</x:v>
      </x:c>
      <x:c r="X592" s="117" t="str">
        <x:v>Unknown</x:v>
      </x:c>
      <x:c r="Y592" s="117" t="str">
        <x:v>Unknown</x:v>
      </x:c>
      <x:c r="Z592" s="117"/>
      <x:c r="AA592" s="117" t="str">
        <x:v>Pending evidence</x:v>
      </x:c>
      <x:c r="AB592" s="117"/>
      <x:c r="AC592" s="117" t="str">
        <x:v>No qualifying accessibility conclusion established from the screened sources. This is unknown, not evidence that the attraction is inaccessible.</x:v>
      </x:c>
      <x:c r="AD592" s="117" t="str">
        <x:v>2026-09-08</x:v>
      </x:c>
      <x:c r="AE592" s="117" t="str">
        <x:v>MC0589</x:v>
      </x:c>
      <x:c r="AF592" s="117" t="str">
        <x:v>Distinct candidate</x:v>
      </x:c>
      <x:c r="AG592" s="117" t="str"/>
      <x:c r="AH592" s="117" t="str">
        <x:v>Listed by Tourism Malaysia</x:v>
      </x:c>
      <x:c r="AI592" s="117" t="str">
        <x:v>https://ebrochures.malaysia.travel/en/malaysia-travel-guide/pahang/</x:v>
      </x:c>
      <x:c r="AJ592" s="117" t="str">
        <x:v>Named visitor attraction in cited source; state-guide listings can be historical. Locality is catalogue metadata, not a surveyed address. Current operation remains unconfirmed.</x:v>
      </x:c>
      <x:c r="AK592" s="117" t="str">
        <x:v>Not independently confirmed</x:v>
      </x:c>
      <x:c r="AL592" s="117" t="str">
        <x:v>Screened sources; accessibility unresolved</x:v>
      </x:c>
      <x:c r="AM592" s="117" t="str">
        <x:v>2026-09-08</x:v>
      </x:c>
      <x:c r="AN592" s="117"/>
      <x:c r="AO592" s="117"/>
      <x:c r="AP592" s="117" t="str">
        <x:v>No usable pair located; image research pending</x:v>
      </x:c>
      <x:c r="AQ592" s="117"/>
    </x:row>
    <x:row r="593" ht="66" customHeight="1">
      <x:c r="A593" s="117" t="str">
        <x:v>MC0590</x:v>
      </x:c>
      <x:c r="B593" s="117" t="str">
        <x:v>Gunung Senyum Caves</x:v>
      </x:c>
      <x:c r="C593" s="117" t="str">
        <x:v>Pahang</x:v>
      </x:c>
      <x:c r="D593" s="117" t="str">
        <x:v>Temerloh</x:v>
      </x:c>
      <x:c r="E593" s="117" t="str">
        <x:v>Nature</x:v>
      </x:c>
      <x:c r="F593" s="117" t="str">
        <x:v>Unclassified</x:v>
      </x:c>
      <x:c r="G593" s="117" t="str">
        <x:v>Outdoor</x:v>
      </x:c>
      <x:c r="H593" s="117" t="str">
        <x:v>Nature; Temerloh</x:v>
      </x:c>
      <x:c r="I593" s="117" t="str">
        <x:v>A visitor attraction in Temerloh, Pahang, listed in Tourism Malaysia's state travel guide. Venue operation and the precise accessible route require confirmation.</x:v>
      </x:c>
      <x:c r="J593" s="117" t="str">
        <x:v>https://ebrochures.malaysia.travel/en/malaysia-travel-guide/pahang/</x:v>
      </x:c>
      <x:c r="K593" s="117" t="str">
        <x:v>https://ebrochures.malaysia.travel/en/malaysia-travel-guide/pahang/</x:v>
      </x:c>
      <x:c r="L593" s="117" t="str">
        <x:v>Tourism Malaysia listing; operation unconfirmed</x:v>
      </x:c>
      <x:c r="M593" s="117" t="str">
        <x:v>Nationwide expansion 2026-09-08</x:v>
      </x:c>
      <x:c r="N593" s="117"/>
      <x:c r="O593" s="117" t="str">
        <x:v>2026-09-08</x:v>
      </x:c>
      <x:c r="P593" s="117" t="str">
        <x:v>Complete</x:v>
      </x:c>
      <x:c r="Q593" s="117"/>
      <x:c r="R593" s="117" t="str">
        <x:f>IF(J593="","Missing Link",IF(AND(ISNUMBER(SEARCH("google.com/maps",J593)),ISERROR(SEARCH(";",J593))),"Discovery Link Only","Source Link Present"))</x:f>
        <x:v>Source Link Present</x:v>
      </x:c>
      <x:c r="S593" s="117" t="str">
        <x:v>Unknown</x:v>
      </x:c>
      <x:c r="T593" s="117" t="str">
        <x:v>Unknown</x:v>
      </x:c>
      <x:c r="U593" s="117" t="str">
        <x:v>Unknown</x:v>
      </x:c>
      <x:c r="V593" s="117" t="str">
        <x:v>Unknown</x:v>
      </x:c>
      <x:c r="W593" s="117" t="str">
        <x:v>Unknown</x:v>
      </x:c>
      <x:c r="X593" s="117" t="str">
        <x:v>Unknown</x:v>
      </x:c>
      <x:c r="Y593" s="117" t="str">
        <x:v>Unknown</x:v>
      </x:c>
      <x:c r="Z593" s="117"/>
      <x:c r="AA593" s="117" t="str">
        <x:v>Pending evidence</x:v>
      </x:c>
      <x:c r="AB593" s="117"/>
      <x:c r="AC593" s="117" t="str">
        <x:v>No qualifying accessibility conclusion established from the screened sources. This is unknown, not evidence that the attraction is inaccessible.</x:v>
      </x:c>
      <x:c r="AD593" s="117" t="str">
        <x:v>2026-09-08</x:v>
      </x:c>
      <x:c r="AE593" s="117" t="str">
        <x:v>MC0590</x:v>
      </x:c>
      <x:c r="AF593" s="117" t="str">
        <x:v>Distinct candidate</x:v>
      </x:c>
      <x:c r="AG593" s="117" t="str"/>
      <x:c r="AH593" s="117" t="str">
        <x:v>Listed by Tourism Malaysia</x:v>
      </x:c>
      <x:c r="AI593" s="117" t="str">
        <x:v>https://ebrochures.malaysia.travel/en/malaysia-travel-guide/pahang/</x:v>
      </x:c>
      <x:c r="AJ593" s="117" t="str">
        <x:v>Named visitor attraction in cited source; state-guide listings can be historical. Locality is catalogue metadata, not a surveyed address. Current operation remains unconfirmed.</x:v>
      </x:c>
      <x:c r="AK593" s="117" t="str">
        <x:v>Not independently confirmed</x:v>
      </x:c>
      <x:c r="AL593" s="117" t="str">
        <x:v>Screened sources; accessibility unresolved</x:v>
      </x:c>
      <x:c r="AM593" s="117" t="str">
        <x:v>2026-09-08</x:v>
      </x:c>
      <x:c r="AN593" s="117"/>
      <x:c r="AO593" s="117"/>
      <x:c r="AP593" s="117" t="str">
        <x:v>No usable pair located; image research pending</x:v>
      </x:c>
      <x:c r="AQ593" s="117"/>
    </x:row>
    <x:row r="594" ht="66" customHeight="1">
      <x:c r="A594" s="117" t="str">
        <x:v>MC0591</x:v>
      </x:c>
      <x:c r="B594" s="117" t="str">
        <x:v>Street of Harmony</x:v>
      </x:c>
      <x:c r="C594" s="117" t="str">
        <x:v>Penang</x:v>
      </x:c>
      <x:c r="D594" s="117" t="str">
        <x:v>George Town</x:v>
      </x:c>
      <x:c r="E594" s="117" t="str">
        <x:v>Heritage and Visitor Attraction</x:v>
      </x:c>
      <x:c r="F594" s="117" t="str">
        <x:v>Unclassified</x:v>
      </x:c>
      <x:c r="G594" s="117" t="str">
        <x:v>Both</x:v>
      </x:c>
      <x:c r="H594" s="117" t="str">
        <x:v>Heritage and Visitor Attraction; George Town</x:v>
      </x:c>
      <x:c r="I594" s="117" t="str">
        <x:v>A visitor attraction in George Town, Penang, listed in Tourism Malaysia's state travel guide. Venue operation and the precise accessible route require confirmation.</x:v>
      </x:c>
      <x:c r="J594" s="117" t="str">
        <x:v>https://ebrochures.malaysia.travel/en/malaysia-travel-guide/penang/</x:v>
      </x:c>
      <x:c r="K594" s="117" t="str">
        <x:v>https://ebrochures.malaysia.travel/en/malaysia-travel-guide/penang/</x:v>
      </x:c>
      <x:c r="L594" s="117" t="str">
        <x:v>Tourism Malaysia listing; operation unconfirmed</x:v>
      </x:c>
      <x:c r="M594" s="117" t="str">
        <x:v>Nationwide expansion 2026-09-08</x:v>
      </x:c>
      <x:c r="N594" s="117"/>
      <x:c r="O594" s="117" t="str">
        <x:v>2026-09-08</x:v>
      </x:c>
      <x:c r="P594" s="117" t="str">
        <x:v>Complete</x:v>
      </x:c>
      <x:c r="Q594" s="117"/>
      <x:c r="R594" s="117" t="str">
        <x:f>IF(J594="","Missing Link",IF(AND(ISNUMBER(SEARCH("google.com/maps",J594)),ISERROR(SEARCH(";",J594))),"Discovery Link Only","Source Link Present"))</x:f>
        <x:v>Source Link Present</x:v>
      </x:c>
      <x:c r="S594" s="117" t="str">
        <x:v>Unknown</x:v>
      </x:c>
      <x:c r="T594" s="117" t="str">
        <x:v>Unknown</x:v>
      </x:c>
      <x:c r="U594" s="117" t="str">
        <x:v>Unknown</x:v>
      </x:c>
      <x:c r="V594" s="117" t="str">
        <x:v>Unknown</x:v>
      </x:c>
      <x:c r="W594" s="117" t="str">
        <x:v>Unknown</x:v>
      </x:c>
      <x:c r="X594" s="117" t="str">
        <x:v>Unknown</x:v>
      </x:c>
      <x:c r="Y594" s="117" t="str">
        <x:v>Unknown</x:v>
      </x:c>
      <x:c r="Z594" s="117"/>
      <x:c r="AA594" s="117" t="str">
        <x:v>Pending evidence</x:v>
      </x:c>
      <x:c r="AB594" s="117"/>
      <x:c r="AC594" s="117" t="str">
        <x:v>No qualifying accessibility conclusion established from the screened sources. This is unknown, not evidence that the attraction is inaccessible.</x:v>
      </x:c>
      <x:c r="AD594" s="117" t="str">
        <x:v>2026-09-08</x:v>
      </x:c>
      <x:c r="AE594" s="117" t="str">
        <x:v>MC0591</x:v>
      </x:c>
      <x:c r="AF594" s="117" t="str">
        <x:v>Distinct candidate</x:v>
      </x:c>
      <x:c r="AG594" s="117" t="str"/>
      <x:c r="AH594" s="117" t="str">
        <x:v>Listed by Tourism Malaysia</x:v>
      </x:c>
      <x:c r="AI594" s="117" t="str">
        <x:v>https://ebrochures.malaysia.travel/en/malaysia-travel-guide/penang/</x:v>
      </x:c>
      <x:c r="AJ594" s="117" t="str">
        <x:v>Named visitor attraction in cited source; state-guide listings can be historical. Locality is catalogue metadata, not a surveyed address. Current operation remains unconfirmed.</x:v>
      </x:c>
      <x:c r="AK594" s="117" t="str">
        <x:v>Not independently confirmed</x:v>
      </x:c>
      <x:c r="AL594" s="117" t="str">
        <x:v>Screened sources; accessibility unresolved</x:v>
      </x:c>
      <x:c r="AM594" s="117" t="str">
        <x:v>2026-09-08</x:v>
      </x:c>
      <x:c r="AN594" s="117"/>
      <x:c r="AO594" s="117"/>
      <x:c r="AP594" s="117" t="str">
        <x:v>No usable pair located; image research pending</x:v>
      </x:c>
      <x:c r="AQ594" s="117"/>
    </x:row>
    <x:row r="595" ht="66" customHeight="1">
      <x:c r="A595" s="117" t="str">
        <x:v>MC0592</x:v>
      </x:c>
      <x:c r="B595" s="117" t="str">
        <x:v>The TOP Komtar</x:v>
      </x:c>
      <x:c r="C595" s="117" t="str">
        <x:v>Penang</x:v>
      </x:c>
      <x:c r="D595" s="117" t="str">
        <x:v>George Town</x:v>
      </x:c>
      <x:c r="E595" s="117" t="str">
        <x:v>Heritage and Visitor Attraction</x:v>
      </x:c>
      <x:c r="F595" s="117" t="str">
        <x:v>Unclassified</x:v>
      </x:c>
      <x:c r="G595" s="117" t="str">
        <x:v>Both</x:v>
      </x:c>
      <x:c r="H595" s="117" t="str">
        <x:v>Heritage and Visitor Attraction; George Town</x:v>
      </x:c>
      <x:c r="I595" s="117" t="str">
        <x:v>A visitor attraction in George Town, Penang, listed in Tourism Malaysia's state travel guide. Venue operation and the precise accessible route require confirmation.</x:v>
      </x:c>
      <x:c r="J595" s="117" t="str">
        <x:v>https://ebrochures.malaysia.travel/en/malaysia-travel-guide/penang/</x:v>
      </x:c>
      <x:c r="K595" s="117" t="str">
        <x:v>https://ebrochures.malaysia.travel/en/malaysia-travel-guide/penang/</x:v>
      </x:c>
      <x:c r="L595" s="117" t="str">
        <x:v>Tourism Malaysia listing; operation unconfirmed</x:v>
      </x:c>
      <x:c r="M595" s="117" t="str">
        <x:v>Nationwide expansion 2026-09-08</x:v>
      </x:c>
      <x:c r="N595" s="117"/>
      <x:c r="O595" s="117" t="str">
        <x:v>2026-09-08</x:v>
      </x:c>
      <x:c r="P595" s="117" t="str">
        <x:v>Complete</x:v>
      </x:c>
      <x:c r="Q595" s="117"/>
      <x:c r="R595" s="117" t="str">
        <x:f>IF(J595="","Missing Link",IF(AND(ISNUMBER(SEARCH("google.com/maps",J595)),ISERROR(SEARCH(";",J595))),"Discovery Link Only","Source Link Present"))</x:f>
        <x:v>Source Link Present</x:v>
      </x:c>
      <x:c r="S595" s="117" t="str">
        <x:v>Unknown</x:v>
      </x:c>
      <x:c r="T595" s="117" t="str">
        <x:v>Unknown</x:v>
      </x:c>
      <x:c r="U595" s="117" t="str">
        <x:v>Unknown</x:v>
      </x:c>
      <x:c r="V595" s="117" t="str">
        <x:v>Unknown</x:v>
      </x:c>
      <x:c r="W595" s="117" t="str">
        <x:v>Unknown</x:v>
      </x:c>
      <x:c r="X595" s="117" t="str">
        <x:v>Unknown</x:v>
      </x:c>
      <x:c r="Y595" s="117" t="str">
        <x:v>Unknown</x:v>
      </x:c>
      <x:c r="Z595" s="117"/>
      <x:c r="AA595" s="117" t="str">
        <x:v>Pending evidence</x:v>
      </x:c>
      <x:c r="AB595" s="117"/>
      <x:c r="AC595" s="117" t="str">
        <x:v>No qualifying accessibility conclusion established from the screened sources. This is unknown, not evidence that the attraction is inaccessible.</x:v>
      </x:c>
      <x:c r="AD595" s="117" t="str">
        <x:v>2026-09-08</x:v>
      </x:c>
      <x:c r="AE595" s="117" t="str">
        <x:v>MC0592</x:v>
      </x:c>
      <x:c r="AF595" s="117" t="str">
        <x:v>Distinct candidate</x:v>
      </x:c>
      <x:c r="AG595" s="117" t="str"/>
      <x:c r="AH595" s="117" t="str">
        <x:v>Listed by Tourism Malaysia</x:v>
      </x:c>
      <x:c r="AI595" s="117" t="str">
        <x:v>https://ebrochures.malaysia.travel/en/malaysia-travel-guide/penang/</x:v>
      </x:c>
      <x:c r="AJ595" s="117" t="str">
        <x:v>Named visitor attraction in cited source; state-guide listings can be historical. Locality is catalogue metadata, not a surveyed address. Current operation remains unconfirmed.</x:v>
      </x:c>
      <x:c r="AK595" s="117" t="str">
        <x:v>Not independently confirmed</x:v>
      </x:c>
      <x:c r="AL595" s="117" t="str">
        <x:v>Screened sources; accessibility unresolved</x:v>
      </x:c>
      <x:c r="AM595" s="117" t="str">
        <x:v>2026-09-08</x:v>
      </x:c>
      <x:c r="AN595" s="117" t="str">
        <x:v>https://thumb.wikimedia.org/wikipedia/commons/thumb/d/d7/Komtar_at_dusk%2C_George_Town%2C_Penang.jpg/1280px-Komtar_at_dusk%2C_George_Town%2C_Penang.jpg?utm_source=commons.wikimedia.org&amp;utm_campaign=imageinfo&amp;utm_content=thumbnail</x:v>
      </x:c>
      <x:c r="AO595" s="117" t="str">
        <x:v>https://thumb.wikimedia.org/wikipedia/commons/thumb/9/9c/Komtar%2C_2024_%28retouched%2C_3to4_portrait%29.jpg/1280px-Komtar%2C_2024_%28retouched%2C_3to4_portrait%29.jpg?utm_source=commons.wikimedia.org&amp;utm_campaign=imageinfo&amp;utm_content=thumbnail</x:v>
      </x:c>
      <x:c r="AP595" s="117" t="str">
        <x:v>2 metadata-matched images; visual review pending</x:v>
      </x:c>
      <x:c r="AQ595" s="117"/>
    </x:row>
    <x:row r="596" ht="66" customHeight="1">
      <x:c r="A596" s="117" t="str">
        <x:v>MC0593</x:v>
      </x:c>
      <x:c r="B596" s="117" t="str">
        <x:v>Dhammikarama Burmese Temple</x:v>
      </x:c>
      <x:c r="C596" s="117" t="str">
        <x:v>Penang</x:v>
      </x:c>
      <x:c r="D596" s="117" t="str">
        <x:v>George Town</x:v>
      </x:c>
      <x:c r="E596" s="117" t="str">
        <x:v>Religious Site</x:v>
      </x:c>
      <x:c r="F596" s="117" t="str">
        <x:v>Unclassified</x:v>
      </x:c>
      <x:c r="G596" s="117" t="str">
        <x:v>Both</x:v>
      </x:c>
      <x:c r="H596" s="117" t="str">
        <x:v>Religious Site; George Town</x:v>
      </x:c>
      <x:c r="I596" s="117" t="str">
        <x:v>A visitor attraction in George Town, Penang, listed in Tourism Malaysia's state travel guide. Venue operation and the precise accessible route require confirmation.</x:v>
      </x:c>
      <x:c r="J596" s="117" t="str">
        <x:v>https://ebrochures.malaysia.travel/en/malaysia-travel-guide/penang/</x:v>
      </x:c>
      <x:c r="K596" s="117" t="str">
        <x:v>https://ebrochures.malaysia.travel/en/malaysia-travel-guide/penang/</x:v>
      </x:c>
      <x:c r="L596" s="117" t="str">
        <x:v>Tourism Malaysia listing; operation unconfirmed</x:v>
      </x:c>
      <x:c r="M596" s="117" t="str">
        <x:v>Nationwide expansion 2026-09-08</x:v>
      </x:c>
      <x:c r="N596" s="117"/>
      <x:c r="O596" s="117" t="str">
        <x:v>2026-09-08</x:v>
      </x:c>
      <x:c r="P596" s="117" t="str">
        <x:v>Complete</x:v>
      </x:c>
      <x:c r="Q596" s="117"/>
      <x:c r="R596" s="117" t="str">
        <x:f>IF(J596="","Missing Link",IF(AND(ISNUMBER(SEARCH("google.com/maps",J596)),ISERROR(SEARCH(";",J596))),"Discovery Link Only","Source Link Present"))</x:f>
        <x:v>Source Link Present</x:v>
      </x:c>
      <x:c r="S596" s="117" t="str">
        <x:v>Unknown</x:v>
      </x:c>
      <x:c r="T596" s="117" t="str">
        <x:v>Unknown</x:v>
      </x:c>
      <x:c r="U596" s="117" t="str">
        <x:v>Unknown</x:v>
      </x:c>
      <x:c r="V596" s="117" t="str">
        <x:v>Unknown</x:v>
      </x:c>
      <x:c r="W596" s="117" t="str">
        <x:v>Unknown</x:v>
      </x:c>
      <x:c r="X596" s="117" t="str">
        <x:v>Unknown</x:v>
      </x:c>
      <x:c r="Y596" s="117" t="str">
        <x:v>Unknown</x:v>
      </x:c>
      <x:c r="Z596" s="117"/>
      <x:c r="AA596" s="117" t="str">
        <x:v>Pending evidence</x:v>
      </x:c>
      <x:c r="AB596" s="117"/>
      <x:c r="AC596" s="117" t="str">
        <x:v>No qualifying accessibility conclusion established from the screened sources. This is unknown, not evidence that the attraction is inaccessible.</x:v>
      </x:c>
      <x:c r="AD596" s="117" t="str">
        <x:v>2026-09-08</x:v>
      </x:c>
      <x:c r="AE596" s="117" t="str">
        <x:v>MC0593</x:v>
      </x:c>
      <x:c r="AF596" s="117" t="str">
        <x:v>Distinct candidate</x:v>
      </x:c>
      <x:c r="AG596" s="117" t="str"/>
      <x:c r="AH596" s="117" t="str">
        <x:v>Listed by Tourism Malaysia</x:v>
      </x:c>
      <x:c r="AI596" s="117" t="str">
        <x:v>https://ebrochures.malaysia.travel/en/malaysia-travel-guide/penang/</x:v>
      </x:c>
      <x:c r="AJ596" s="117" t="str">
        <x:v>Named visitor attraction in cited source; state-guide listings can be historical. Locality is catalogue metadata, not a surveyed address. Current operation remains unconfirmed.</x:v>
      </x:c>
      <x:c r="AK596" s="117" t="str">
        <x:v>Not independently confirmed</x:v>
      </x:c>
      <x:c r="AL596" s="117" t="str">
        <x:v>Screened sources; accessibility unresolved</x:v>
      </x:c>
      <x:c r="AM596" s="117" t="str">
        <x:v>2026-09-08</x:v>
      </x:c>
      <x:c r="AN596" s="117" t="str">
        <x:v>https://thumb.wikimedia.org/wikipedia/commons/thumb/e/e8/Penang_Malaysia_Dhammikarama-Burmese-Buddhist-Temple-02.jpg/1280px-Penang_Malaysia_Dhammikarama-Burmese-Buddhist-Temple-02.jpg?utm_source=commons.wikimedia.org&amp;utm_campaign=imageinfo&amp;utm_content=thumbnail</x:v>
      </x:c>
      <x:c r="AO596" s="117" t="str">
        <x:v>https://thumb.wikimedia.org/wikipedia/commons/thumb/9/91/Penang_-_large_Buddha_statue_at_Burmese_Temple_-_May_2024.jpg/1280px-Penang_-_large_Buddha_statue_at_Burmese_Temple_-_May_2024.jpg?utm_source=commons.wikimedia.org&amp;utm_campaign=imageinfo&amp;utm_content=thumbnail</x:v>
      </x:c>
      <x:c r="AP596" s="117" t="str">
        <x:v>2 metadata-matched images; visual review pending</x:v>
      </x:c>
      <x:c r="AQ596" s="117"/>
    </x:row>
    <x:row r="597" ht="66" customHeight="1">
      <x:c r="A597" s="117" t="str">
        <x:v>MC0594</x:v>
      </x:c>
      <x:c r="B597" s="117" t="str">
        <x:v>Goddess of Mercy Temple</x:v>
      </x:c>
      <x:c r="C597" s="117" t="str">
        <x:v>Penang</x:v>
      </x:c>
      <x:c r="D597" s="117" t="str">
        <x:v>George Town</x:v>
      </x:c>
      <x:c r="E597" s="117" t="str">
        <x:v>Religious Site</x:v>
      </x:c>
      <x:c r="F597" s="117" t="str">
        <x:v>Unclassified</x:v>
      </x:c>
      <x:c r="G597" s="117" t="str">
        <x:v>Both</x:v>
      </x:c>
      <x:c r="H597" s="117" t="str">
        <x:v>Religious Site; George Town</x:v>
      </x:c>
      <x:c r="I597" s="117" t="str">
        <x:v>A visitor attraction in George Town, Penang, listed in Tourism Malaysia's state travel guide. Venue operation and the precise accessible route require confirmation.</x:v>
      </x:c>
      <x:c r="J597" s="117" t="str">
        <x:v>https://ebrochures.malaysia.travel/en/malaysia-travel-guide/penang/</x:v>
      </x:c>
      <x:c r="K597" s="117" t="str">
        <x:v>https://ebrochures.malaysia.travel/en/malaysia-travel-guide/penang/</x:v>
      </x:c>
      <x:c r="L597" s="117" t="str">
        <x:v>Tourism Malaysia listing; operation unconfirmed</x:v>
      </x:c>
      <x:c r="M597" s="117" t="str">
        <x:v>Nationwide expansion 2026-09-08</x:v>
      </x:c>
      <x:c r="N597" s="117"/>
      <x:c r="O597" s="117" t="str">
        <x:v>2026-09-08</x:v>
      </x:c>
      <x:c r="P597" s="117" t="str">
        <x:v>Complete</x:v>
      </x:c>
      <x:c r="Q597" s="117"/>
      <x:c r="R597" s="117" t="str">
        <x:f>IF(J597="","Missing Link",IF(AND(ISNUMBER(SEARCH("google.com/maps",J597)),ISERROR(SEARCH(";",J597))),"Discovery Link Only","Source Link Present"))</x:f>
        <x:v>Source Link Present</x:v>
      </x:c>
      <x:c r="S597" s="117" t="str">
        <x:v>Unknown</x:v>
      </x:c>
      <x:c r="T597" s="117" t="str">
        <x:v>Unknown</x:v>
      </x:c>
      <x:c r="U597" s="117" t="str">
        <x:v>Unknown</x:v>
      </x:c>
      <x:c r="V597" s="117" t="str">
        <x:v>Unknown</x:v>
      </x:c>
      <x:c r="W597" s="117" t="str">
        <x:v>Unknown</x:v>
      </x:c>
      <x:c r="X597" s="117" t="str">
        <x:v>Unknown</x:v>
      </x:c>
      <x:c r="Y597" s="117" t="str">
        <x:v>Unknown</x:v>
      </x:c>
      <x:c r="Z597" s="117"/>
      <x:c r="AA597" s="117" t="str">
        <x:v>Pending evidence</x:v>
      </x:c>
      <x:c r="AB597" s="117"/>
      <x:c r="AC597" s="117" t="str">
        <x:v>No qualifying accessibility conclusion established from the screened sources. This is unknown, not evidence that the attraction is inaccessible.</x:v>
      </x:c>
      <x:c r="AD597" s="117" t="str">
        <x:v>2026-09-08</x:v>
      </x:c>
      <x:c r="AE597" s="117" t="str">
        <x:v>MC0594</x:v>
      </x:c>
      <x:c r="AF597" s="117" t="str">
        <x:v>Distinct candidate</x:v>
      </x:c>
      <x:c r="AG597" s="117" t="str"/>
      <x:c r="AH597" s="117" t="str">
        <x:v>Listed by Tourism Malaysia</x:v>
      </x:c>
      <x:c r="AI597" s="117" t="str">
        <x:v>https://ebrochures.malaysia.travel/en/malaysia-travel-guide/penang/</x:v>
      </x:c>
      <x:c r="AJ597" s="117" t="str">
        <x:v>Named visitor attraction in cited source; state-guide listings can be historical. Locality is catalogue metadata, not a surveyed address. Current operation remains unconfirmed.</x:v>
      </x:c>
      <x:c r="AK597" s="117" t="str">
        <x:v>Not independently confirmed</x:v>
      </x:c>
      <x:c r="AL597" s="117" t="str">
        <x:v>Screened sources; accessibility unresolved</x:v>
      </x:c>
      <x:c r="AM597" s="117" t="str">
        <x:v>2026-09-08</x:v>
      </x:c>
      <x:c r="AN597" s="117" t="str">
        <x:v>https://thumb.wikimedia.org/wikipedia/commons/thumb/d/d6/Goddess_of_Mercy_Temple%2C_Georgetown%2C_Penang%2C_Malaysia_%285257646542%29.jpg/1280px-Goddess_of_Mercy_Temple%2C_Georgetown%2C_Penang%2C_Malaysia_%285257646542%29.jpg?utm_source=commons.wikimedia.org&amp;utm_campaign=imageinfo&amp;utm_content=thumbnail</x:v>
      </x:c>
      <x:c r="AO597" s="117" t="str">
        <x:v>https://thumb.wikimedia.org/wikipedia/commons/thumb/a/ae/Goddess_Of_Mercy_Temple_2.jpg/1280px-Goddess_Of_Mercy_Temple_2.jpg?utm_source=commons.wikimedia.org&amp;utm_campaign=imageinfo&amp;utm_content=thumbnail</x:v>
      </x:c>
      <x:c r="AP597" s="117" t="str">
        <x:v>2 metadata-matched images; visual review pending</x:v>
      </x:c>
      <x:c r="AQ597" s="117"/>
    </x:row>
    <x:row r="598" ht="66" customHeight="1">
      <x:c r="A598" s="117" t="str">
        <x:v>MC0595</x:v>
      </x:c>
      <x:c r="B598" s="117" t="str">
        <x:v>Kapitan Keling Mosque</x:v>
      </x:c>
      <x:c r="C598" s="117" t="str">
        <x:v>Penang</x:v>
      </x:c>
      <x:c r="D598" s="117" t="str">
        <x:v>George Town</x:v>
      </x:c>
      <x:c r="E598" s="117" t="str">
        <x:v>Religious Site</x:v>
      </x:c>
      <x:c r="F598" s="117" t="str">
        <x:v>Unclassified</x:v>
      </x:c>
      <x:c r="G598" s="117" t="str">
        <x:v>Both</x:v>
      </x:c>
      <x:c r="H598" s="117" t="str">
        <x:v>Religious Site; George Town</x:v>
      </x:c>
      <x:c r="I598" s="117" t="str">
        <x:v>A visitor attraction in George Town, Penang, listed in Tourism Malaysia's state travel guide. Venue operation and the precise accessible route require confirmation.</x:v>
      </x:c>
      <x:c r="J598" s="117" t="str">
        <x:v>https://ebrochures.malaysia.travel/en/malaysia-travel-guide/penang/</x:v>
      </x:c>
      <x:c r="K598" s="117" t="str">
        <x:v>https://ebrochures.malaysia.travel/en/malaysia-travel-guide/penang/</x:v>
      </x:c>
      <x:c r="L598" s="117" t="str">
        <x:v>Tourism Malaysia listing; operation unconfirmed</x:v>
      </x:c>
      <x:c r="M598" s="117" t="str">
        <x:v>Nationwide expansion 2026-09-08</x:v>
      </x:c>
      <x:c r="N598" s="117"/>
      <x:c r="O598" s="117" t="str">
        <x:v>2026-09-08</x:v>
      </x:c>
      <x:c r="P598" s="117" t="str">
        <x:v>Complete</x:v>
      </x:c>
      <x:c r="Q598" s="117"/>
      <x:c r="R598" s="117" t="str">
        <x:f>IF(J598="","Missing Link",IF(AND(ISNUMBER(SEARCH("google.com/maps",J598)),ISERROR(SEARCH(";",J598))),"Discovery Link Only","Source Link Present"))</x:f>
        <x:v>Source Link Present</x:v>
      </x:c>
      <x:c r="S598" s="117" t="str">
        <x:v>Unknown</x:v>
      </x:c>
      <x:c r="T598" s="117" t="str">
        <x:v>Unknown</x:v>
      </x:c>
      <x:c r="U598" s="117" t="str">
        <x:v>Unknown</x:v>
      </x:c>
      <x:c r="V598" s="117" t="str">
        <x:v>Unknown</x:v>
      </x:c>
      <x:c r="W598" s="117" t="str">
        <x:v>Unknown</x:v>
      </x:c>
      <x:c r="X598" s="117" t="str">
        <x:v>Unknown</x:v>
      </x:c>
      <x:c r="Y598" s="117" t="str">
        <x:v>Unknown</x:v>
      </x:c>
      <x:c r="Z598" s="117"/>
      <x:c r="AA598" s="117" t="str">
        <x:v>Pending evidence</x:v>
      </x:c>
      <x:c r="AB598" s="117"/>
      <x:c r="AC598" s="117" t="str">
        <x:v>No qualifying accessibility conclusion established from the screened sources. This is unknown, not evidence that the attraction is inaccessible.</x:v>
      </x:c>
      <x:c r="AD598" s="117" t="str">
        <x:v>2026-09-08</x:v>
      </x:c>
      <x:c r="AE598" s="117" t="str">
        <x:v>MC0595</x:v>
      </x:c>
      <x:c r="AF598" s="117" t="str">
        <x:v>Distinct candidate</x:v>
      </x:c>
      <x:c r="AG598" s="117" t="str"/>
      <x:c r="AH598" s="117" t="str">
        <x:v>Listed by Tourism Malaysia</x:v>
      </x:c>
      <x:c r="AI598" s="117" t="str">
        <x:v>https://ebrochures.malaysia.travel/en/malaysia-travel-guide/penang/</x:v>
      </x:c>
      <x:c r="AJ598" s="117" t="str">
        <x:v>Named visitor attraction in cited source; state-guide listings can be historical. Locality is catalogue metadata, not a surveyed address. Current operation remains unconfirmed.</x:v>
      </x:c>
      <x:c r="AK598" s="117" t="str">
        <x:v>Not independently confirmed</x:v>
      </x:c>
      <x:c r="AL598" s="117" t="str">
        <x:v>Screened sources; accessibility unresolved</x:v>
      </x:c>
      <x:c r="AM598" s="117" t="str">
        <x:v>2026-09-08</x:v>
      </x:c>
      <x:c r="AN598" s="117" t="str">
        <x:v>https://thumb.wikimedia.org/wikipedia/commons/thumb/a/ac/Kapitan_Keling_Mosque.jpg/1280px-Kapitan_Keling_Mosque.jpg?utm_source=commons.wikimedia.org&amp;utm_campaign=imageinfo&amp;utm_content=thumbnail</x:v>
      </x:c>
      <x:c r="AO598" s="117" t="str">
        <x:v>https://thumb.wikimedia.org/wikipedia/commons/thumb/0/07/Kapitan_Keling_Mosque_during_the_1867_Penang_Riots.jpg/1280px-Kapitan_Keling_Mosque_during_the_1867_Penang_Riots.jpg?utm_source=commons.wikimedia.org&amp;utm_campaign=imageinfo&amp;utm_content=thumbnail</x:v>
      </x:c>
      <x:c r="AP598" s="117" t="str">
        <x:v>2 metadata-matched images; visual review pending</x:v>
      </x:c>
      <x:c r="AQ598" s="117"/>
    </x:row>
    <x:row r="599" ht="66" customHeight="1">
      <x:c r="A599" s="117" t="str">
        <x:v>MC0596</x:v>
      </x:c>
      <x:c r="B599" s="117" t="str">
        <x:v>Little India Penang</x:v>
      </x:c>
      <x:c r="C599" s="117" t="str">
        <x:v>Penang</x:v>
      </x:c>
      <x:c r="D599" s="117" t="str">
        <x:v>George Town</x:v>
      </x:c>
      <x:c r="E599" s="117" t="str">
        <x:v>Heritage and Visitor Attraction</x:v>
      </x:c>
      <x:c r="F599" s="117" t="str">
        <x:v>Unclassified</x:v>
      </x:c>
      <x:c r="G599" s="117" t="str">
        <x:v>Both</x:v>
      </x:c>
      <x:c r="H599" s="117" t="str">
        <x:v>Heritage and Visitor Attraction; George Town</x:v>
      </x:c>
      <x:c r="I599" s="117" t="str">
        <x:v>A visitor attraction in George Town, Penang, listed in Tourism Malaysia's state travel guide. Venue operation and the precise accessible route require confirmation.</x:v>
      </x:c>
      <x:c r="J599" s="117" t="str">
        <x:v>https://ebrochures.malaysia.travel/en/malaysia-travel-guide/penang/</x:v>
      </x:c>
      <x:c r="K599" s="117" t="str">
        <x:v>https://ebrochures.malaysia.travel/en/malaysia-travel-guide/penang/</x:v>
      </x:c>
      <x:c r="L599" s="117" t="str">
        <x:v>Tourism Malaysia listing; operation unconfirmed</x:v>
      </x:c>
      <x:c r="M599" s="117" t="str">
        <x:v>Nationwide expansion 2026-09-08</x:v>
      </x:c>
      <x:c r="N599" s="117"/>
      <x:c r="O599" s="117" t="str">
        <x:v>2026-09-08</x:v>
      </x:c>
      <x:c r="P599" s="117" t="str">
        <x:v>Complete</x:v>
      </x:c>
      <x:c r="Q599" s="117"/>
      <x:c r="R599" s="117" t="str">
        <x:f>IF(J599="","Missing Link",IF(AND(ISNUMBER(SEARCH("google.com/maps",J599)),ISERROR(SEARCH(";",J599))),"Discovery Link Only","Source Link Present"))</x:f>
        <x:v>Source Link Present</x:v>
      </x:c>
      <x:c r="S599" s="117" t="str">
        <x:v>Unknown</x:v>
      </x:c>
      <x:c r="T599" s="117" t="str">
        <x:v>Unknown</x:v>
      </x:c>
      <x:c r="U599" s="117" t="str">
        <x:v>Unknown</x:v>
      </x:c>
      <x:c r="V599" s="117" t="str">
        <x:v>Unknown</x:v>
      </x:c>
      <x:c r="W599" s="117" t="str">
        <x:v>Unknown</x:v>
      </x:c>
      <x:c r="X599" s="117" t="str">
        <x:v>Unknown</x:v>
      </x:c>
      <x:c r="Y599" s="117" t="str">
        <x:v>Unknown</x:v>
      </x:c>
      <x:c r="Z599" s="117"/>
      <x:c r="AA599" s="117" t="str">
        <x:v>Pending evidence</x:v>
      </x:c>
      <x:c r="AB599" s="117"/>
      <x:c r="AC599" s="117" t="str">
        <x:v>No qualifying accessibility conclusion established from the screened sources. This is unknown, not evidence that the attraction is inaccessible.</x:v>
      </x:c>
      <x:c r="AD599" s="117" t="str">
        <x:v>2026-09-08</x:v>
      </x:c>
      <x:c r="AE599" s="117" t="str">
        <x:v>MC0596</x:v>
      </x:c>
      <x:c r="AF599" s="117" t="str">
        <x:v>Distinct candidate</x:v>
      </x:c>
      <x:c r="AG599" s="117" t="str"/>
      <x:c r="AH599" s="117" t="str">
        <x:v>Listed by Tourism Malaysia</x:v>
      </x:c>
      <x:c r="AI599" s="117" t="str">
        <x:v>https://ebrochures.malaysia.travel/en/malaysia-travel-guide/penang/</x:v>
      </x:c>
      <x:c r="AJ599" s="117" t="str">
        <x:v>Named visitor attraction in cited source; state-guide listings can be historical. Locality is catalogue metadata, not a surveyed address. Current operation remains unconfirmed.</x:v>
      </x:c>
      <x:c r="AK599" s="117" t="str">
        <x:v>Not independently confirmed</x:v>
      </x:c>
      <x:c r="AL599" s="117" t="str">
        <x:v>Screened sources; accessibility unresolved</x:v>
      </x:c>
      <x:c r="AM599" s="117" t="str">
        <x:v>2026-09-08</x:v>
      </x:c>
      <x:c r="AN599" s="117" t="str">
        <x:v>https://thumb.wikimedia.org/wikipedia/commons/thumb/c/cb/Penang_Malaysia_Nagore-Durgha-Sheriff-01.jpg/1280px-Penang_Malaysia_Nagore-Durgha-Sheriff-01.jpg?utm_source=commons.wikimedia.org&amp;utm_campaign=imageinfo&amp;utm_content=thumbnail</x:v>
      </x:c>
      <x:c r="AO599" s="117" t="str">
        <x:v>https://thumb.wikimedia.org/wikipedia/commons/thumb/1/1b/Penanglittleindia8.jpeg/1280px-Penanglittleindia8.jpeg?utm_source=commons.wikimedia.org&amp;utm_campaign=imageinfo&amp;utm_content=thumbnail</x:v>
      </x:c>
      <x:c r="AP599" s="117" t="str">
        <x:v>2 metadata-matched images; visual review pending</x:v>
      </x:c>
      <x:c r="AQ599" s="117"/>
    </x:row>
    <x:row r="600" ht="66" customHeight="1">
      <x:c r="A600" s="117" t="str">
        <x:v>MC0597</x:v>
      </x:c>
      <x:c r="B600" s="117" t="str">
        <x:v>P Ramlee House</x:v>
      </x:c>
      <x:c r="C600" s="117" t="str">
        <x:v>Penang</x:v>
      </x:c>
      <x:c r="D600" s="117" t="str">
        <x:v>George Town</x:v>
      </x:c>
      <x:c r="E600" s="117" t="str">
        <x:v>Museum and Gallery</x:v>
      </x:c>
      <x:c r="F600" s="117" t="str">
        <x:v>Unclassified</x:v>
      </x:c>
      <x:c r="G600" s="117" t="str">
        <x:v>Indoor</x:v>
      </x:c>
      <x:c r="H600" s="117" t="str">
        <x:v>Museum and Gallery; George Town</x:v>
      </x:c>
      <x:c r="I600" s="117" t="str">
        <x:v>A visitor attraction in George Town, Penang, listed in Tourism Malaysia's state travel guide. Venue operation and the precise accessible route require confirmation.</x:v>
      </x:c>
      <x:c r="J600" s="117" t="str">
        <x:v>https://ebrochures.malaysia.travel/en/malaysia-travel-guide/penang/</x:v>
      </x:c>
      <x:c r="K600" s="117" t="str">
        <x:v>https://ebrochures.malaysia.travel/en/malaysia-travel-guide/penang/</x:v>
      </x:c>
      <x:c r="L600" s="117" t="str">
        <x:v>Tourism Malaysia listing; operation unconfirmed</x:v>
      </x:c>
      <x:c r="M600" s="117" t="str">
        <x:v>Nationwide expansion 2026-09-08</x:v>
      </x:c>
      <x:c r="N600" s="117"/>
      <x:c r="O600" s="117" t="str">
        <x:v>2026-09-08</x:v>
      </x:c>
      <x:c r="P600" s="117" t="str">
        <x:v>Complete</x:v>
      </x:c>
      <x:c r="Q600" s="117"/>
      <x:c r="R600" s="117" t="str">
        <x:f>IF(J600="","Missing Link",IF(AND(ISNUMBER(SEARCH("google.com/maps",J600)),ISERROR(SEARCH(";",J600))),"Discovery Link Only","Source Link Present"))</x:f>
        <x:v>Source Link Present</x:v>
      </x:c>
      <x:c r="S600" s="117" t="str">
        <x:v>Unknown</x:v>
      </x:c>
      <x:c r="T600" s="117" t="str">
        <x:v>Unknown</x:v>
      </x:c>
      <x:c r="U600" s="117" t="str">
        <x:v>Unknown</x:v>
      </x:c>
      <x:c r="V600" s="117" t="str">
        <x:v>Unknown</x:v>
      </x:c>
      <x:c r="W600" s="117" t="str">
        <x:v>Unknown</x:v>
      </x:c>
      <x:c r="X600" s="117" t="str">
        <x:v>Unknown</x:v>
      </x:c>
      <x:c r="Y600" s="117" t="str">
        <x:v>Unknown</x:v>
      </x:c>
      <x:c r="Z600" s="117"/>
      <x:c r="AA600" s="117" t="str">
        <x:v>Pending evidence</x:v>
      </x:c>
      <x:c r="AB600" s="117"/>
      <x:c r="AC600" s="117" t="str">
        <x:v>No qualifying accessibility conclusion established from the screened sources. This is unknown, not evidence that the attraction is inaccessible.</x:v>
      </x:c>
      <x:c r="AD600" s="117" t="str">
        <x:v>2026-09-08</x:v>
      </x:c>
      <x:c r="AE600" s="117" t="str">
        <x:v>MC0597</x:v>
      </x:c>
      <x:c r="AF600" s="117" t="str">
        <x:v>Distinct candidate</x:v>
      </x:c>
      <x:c r="AG600" s="117" t="str"/>
      <x:c r="AH600" s="117" t="str">
        <x:v>Listed by Tourism Malaysia</x:v>
      </x:c>
      <x:c r="AI600" s="117" t="str">
        <x:v>https://ebrochures.malaysia.travel/en/malaysia-travel-guide/penang/</x:v>
      </x:c>
      <x:c r="AJ600" s="117" t="str">
        <x:v>Named visitor attraction in cited source; state-guide listings can be historical. Locality is catalogue metadata, not a surveyed address. Current operation remains unconfirmed.</x:v>
      </x:c>
      <x:c r="AK600" s="117" t="str">
        <x:v>Not independently confirmed</x:v>
      </x:c>
      <x:c r="AL600" s="117" t="str">
        <x:v>Screened sources; accessibility unresolved</x:v>
      </x:c>
      <x:c r="AM600" s="117" t="str">
        <x:v>2026-09-08</x:v>
      </x:c>
      <x:c r="AN600" s="117"/>
      <x:c r="AO600" s="117"/>
      <x:c r="AP600" s="117" t="str">
        <x:v>No usable pair located; image research pending</x:v>
      </x:c>
      <x:c r="AQ600" s="117"/>
    </x:row>
    <x:row r="601" ht="66" customHeight="1">
      <x:c r="A601" s="117" t="str">
        <x:v>MC0598</x:v>
      </x:c>
      <x:c r="B601" s="117" t="str">
        <x:v>Sri Mahamariamman Temple</x:v>
      </x:c>
      <x:c r="C601" s="117" t="str">
        <x:v>Penang</x:v>
      </x:c>
      <x:c r="D601" s="117" t="str">
        <x:v>George Town</x:v>
      </x:c>
      <x:c r="E601" s="117" t="str">
        <x:v>Religious Site</x:v>
      </x:c>
      <x:c r="F601" s="117" t="str">
        <x:v>Unclassified</x:v>
      </x:c>
      <x:c r="G601" s="117" t="str">
        <x:v>Both</x:v>
      </x:c>
      <x:c r="H601" s="117" t="str">
        <x:v>Religious Site; George Town</x:v>
      </x:c>
      <x:c r="I601" s="117" t="str">
        <x:v>A visitor attraction in George Town, Penang, listed in Tourism Malaysia's state travel guide. Venue operation and the precise accessible route require confirmation.</x:v>
      </x:c>
      <x:c r="J601" s="117" t="str">
        <x:v>https://ebrochures.malaysia.travel/en/malaysia-travel-guide/penang/</x:v>
      </x:c>
      <x:c r="K601" s="117" t="str">
        <x:v>https://ebrochures.malaysia.travel/en/malaysia-travel-guide/penang/</x:v>
      </x:c>
      <x:c r="L601" s="117" t="str">
        <x:v>Tourism Malaysia listing; operation unconfirmed</x:v>
      </x:c>
      <x:c r="M601" s="117" t="str">
        <x:v>Nationwide expansion 2026-09-08</x:v>
      </x:c>
      <x:c r="N601" s="117"/>
      <x:c r="O601" s="117" t="str">
        <x:v>2026-09-08</x:v>
      </x:c>
      <x:c r="P601" s="117" t="str">
        <x:v>Complete</x:v>
      </x:c>
      <x:c r="Q601" s="117"/>
      <x:c r="R601" s="117" t="str">
        <x:f>IF(J601="","Missing Link",IF(AND(ISNUMBER(SEARCH("google.com/maps",J601)),ISERROR(SEARCH(";",J601))),"Discovery Link Only","Source Link Present"))</x:f>
        <x:v>Source Link Present</x:v>
      </x:c>
      <x:c r="S601" s="117" t="str">
        <x:v>Unknown</x:v>
      </x:c>
      <x:c r="T601" s="117" t="str">
        <x:v>Unknown</x:v>
      </x:c>
      <x:c r="U601" s="117" t="str">
        <x:v>Unknown</x:v>
      </x:c>
      <x:c r="V601" s="117" t="str">
        <x:v>Unknown</x:v>
      </x:c>
      <x:c r="W601" s="117" t="str">
        <x:v>Unknown</x:v>
      </x:c>
      <x:c r="X601" s="117" t="str">
        <x:v>Unknown</x:v>
      </x:c>
      <x:c r="Y601" s="117" t="str">
        <x:v>Unknown</x:v>
      </x:c>
      <x:c r="Z601" s="117"/>
      <x:c r="AA601" s="117" t="str">
        <x:v>Pending evidence</x:v>
      </x:c>
      <x:c r="AB601" s="117"/>
      <x:c r="AC601" s="117" t="str">
        <x:v>No qualifying accessibility conclusion established from the screened sources. This is unknown, not evidence that the attraction is inaccessible.</x:v>
      </x:c>
      <x:c r="AD601" s="117" t="str">
        <x:v>2026-09-08</x:v>
      </x:c>
      <x:c r="AE601" s="117" t="str">
        <x:v>MC0598</x:v>
      </x:c>
      <x:c r="AF601" s="117" t="str">
        <x:v>Distinct candidate</x:v>
      </x:c>
      <x:c r="AG601" s="117" t="str"/>
      <x:c r="AH601" s="117" t="str">
        <x:v>Listed by Tourism Malaysia</x:v>
      </x:c>
      <x:c r="AI601" s="117" t="str">
        <x:v>https://ebrochures.malaysia.travel/en/malaysia-travel-guide/penang/</x:v>
      </x:c>
      <x:c r="AJ601" s="117" t="str">
        <x:v>Named visitor attraction in cited source; state-guide listings can be historical. Locality is catalogue metadata, not a surveyed address. Current operation remains unconfirmed.</x:v>
      </x:c>
      <x:c r="AK601" s="117" t="str">
        <x:v>Not independently confirmed</x:v>
      </x:c>
      <x:c r="AL601" s="117" t="str">
        <x:v>Screened sources; accessibility unresolved</x:v>
      </x:c>
      <x:c r="AM601" s="117" t="str">
        <x:v>2026-09-08</x:v>
      </x:c>
      <x:c r="AN601" s="117" t="str">
        <x:v>https://thumb.wikimedia.org/wikipedia/commons/thumb/b/b4/Sri_Mahamariamman_Temple_Kuala_Lumpur.jpg/1280px-Sri_Mahamariamman_Temple_Kuala_Lumpur.jpg?utm_source=commons.wikimedia.org&amp;utm_campaign=imageinfo&amp;utm_content=thumbnail</x:v>
      </x:c>
      <x:c r="AO601" s="117" t="str">
        <x:v>https://thumb.wikimedia.org/wikipedia/commons/thumb/6/67/Sri_Mahamariamman_Temple_3.jpg/1280px-Sri_Mahamariamman_Temple_3.jpg?utm_source=commons.wikimedia.org&amp;utm_campaign=imageinfo&amp;utm_content=thumbnail</x:v>
      </x:c>
      <x:c r="AP601" s="117" t="str">
        <x:v>2 metadata-matched images; visual review pending</x:v>
      </x:c>
      <x:c r="AQ601" s="117"/>
    </x:row>
    <x:row r="602" ht="66" customHeight="1">
      <x:c r="A602" s="117" t="str">
        <x:v>MC0599</x:v>
      </x:c>
      <x:c r="B602" s="117" t="str">
        <x:v>St George Church</x:v>
      </x:c>
      <x:c r="C602" s="117" t="str">
        <x:v>Penang</x:v>
      </x:c>
      <x:c r="D602" s="117" t="str">
        <x:v>George Town</x:v>
      </x:c>
      <x:c r="E602" s="117" t="str">
        <x:v>Religious Site</x:v>
      </x:c>
      <x:c r="F602" s="117" t="str">
        <x:v>Unclassified</x:v>
      </x:c>
      <x:c r="G602" s="117" t="str">
        <x:v>Both</x:v>
      </x:c>
      <x:c r="H602" s="117" t="str">
        <x:v>Religious Site; George Town</x:v>
      </x:c>
      <x:c r="I602" s="117" t="str">
        <x:v>A visitor attraction in George Town, Penang, listed in Tourism Malaysia's state travel guide. Venue operation and the precise accessible route require confirmation.</x:v>
      </x:c>
      <x:c r="J602" s="117" t="str">
        <x:v>https://ebrochures.malaysia.travel/en/malaysia-travel-guide/penang/</x:v>
      </x:c>
      <x:c r="K602" s="117" t="str">
        <x:v>https://ebrochures.malaysia.travel/en/malaysia-travel-guide/penang/</x:v>
      </x:c>
      <x:c r="L602" s="117" t="str">
        <x:v>Tourism Malaysia listing; operation unconfirmed</x:v>
      </x:c>
      <x:c r="M602" s="117" t="str">
        <x:v>Nationwide expansion 2026-09-08</x:v>
      </x:c>
      <x:c r="N602" s="117"/>
      <x:c r="O602" s="117" t="str">
        <x:v>2026-09-08</x:v>
      </x:c>
      <x:c r="P602" s="117" t="str">
        <x:v>Complete</x:v>
      </x:c>
      <x:c r="Q602" s="117"/>
      <x:c r="R602" s="117" t="str">
        <x:f>IF(J602="","Missing Link",IF(AND(ISNUMBER(SEARCH("google.com/maps",J602)),ISERROR(SEARCH(";",J602))),"Discovery Link Only","Source Link Present"))</x:f>
        <x:v>Source Link Present</x:v>
      </x:c>
      <x:c r="S602" s="117" t="str">
        <x:v>Unknown</x:v>
      </x:c>
      <x:c r="T602" s="117" t="str">
        <x:v>Unknown</x:v>
      </x:c>
      <x:c r="U602" s="117" t="str">
        <x:v>Unknown</x:v>
      </x:c>
      <x:c r="V602" s="117" t="str">
        <x:v>Unknown</x:v>
      </x:c>
      <x:c r="W602" s="117" t="str">
        <x:v>Unknown</x:v>
      </x:c>
      <x:c r="X602" s="117" t="str">
        <x:v>Unknown</x:v>
      </x:c>
      <x:c r="Y602" s="117" t="str">
        <x:v>Unknown</x:v>
      </x:c>
      <x:c r="Z602" s="117"/>
      <x:c r="AA602" s="117" t="str">
        <x:v>Pending evidence</x:v>
      </x:c>
      <x:c r="AB602" s="117"/>
      <x:c r="AC602" s="117" t="str">
        <x:v>No qualifying accessibility conclusion established from the screened sources. This is unknown, not evidence that the attraction is inaccessible.</x:v>
      </x:c>
      <x:c r="AD602" s="117" t="str">
        <x:v>2026-09-08</x:v>
      </x:c>
      <x:c r="AE602" s="117" t="str">
        <x:v>MC0599</x:v>
      </x:c>
      <x:c r="AF602" s="117" t="str">
        <x:v>Distinct candidate</x:v>
      </x:c>
      <x:c r="AG602" s="117" t="str"/>
      <x:c r="AH602" s="117" t="str">
        <x:v>Listed by Tourism Malaysia</x:v>
      </x:c>
      <x:c r="AI602" s="117" t="str">
        <x:v>https://ebrochures.malaysia.travel/en/malaysia-travel-guide/penang/</x:v>
      </x:c>
      <x:c r="AJ602" s="117" t="str">
        <x:v>Named visitor attraction in cited source; state-guide listings can be historical. Locality is catalogue metadata, not a surveyed address. Current operation remains unconfirmed.</x:v>
      </x:c>
      <x:c r="AK602" s="117" t="str">
        <x:v>Not independently confirmed</x:v>
      </x:c>
      <x:c r="AL602" s="117" t="str">
        <x:v>Screened sources; accessibility unresolved</x:v>
      </x:c>
      <x:c r="AM602" s="117" t="str">
        <x:v>2026-09-08</x:v>
      </x:c>
      <x:c r="AN602" s="117" t="str">
        <x:v>https://thumb.wikimedia.org/wikipedia/commons/thumb/6/69/Kirche_St._Georg%2C_Insel_Reichenau.jpg/1280px-Kirche_St._Georg%2C_Insel_Reichenau.jpg?utm_source=commons.wikimedia.org&amp;utm_campaign=imageinfo&amp;utm_content=thumbnail</x:v>
      </x:c>
      <x:c r="AO602" s="117" t="str">
        <x:v>https://upload.wikimedia.org/wikipedia/commons/5/5f/St._George%27s_Church%2C_Clun_-_geograph.org.uk_-_1247416.jpg?utm_source=commons.wikimedia.org&amp;utm_campaign=imageinfo&amp;utm_content=thumbnail_unscaled</x:v>
      </x:c>
      <x:c r="AP602" s="117" t="str">
        <x:v>2 metadata-matched images; visual review pending</x:v>
      </x:c>
      <x:c r="AQ602" s="117"/>
    </x:row>
    <x:row r="603" ht="66" customHeight="1">
      <x:c r="A603" s="117" t="str">
        <x:v>MC0600</x:v>
      </x:c>
      <x:c r="B603" s="117" t="str">
        <x:v>Penang 3D Trick Art Museum</x:v>
      </x:c>
      <x:c r="C603" s="117" t="str">
        <x:v>Penang</x:v>
      </x:c>
      <x:c r="D603" s="117" t="str">
        <x:v>George Town</x:v>
      </x:c>
      <x:c r="E603" s="117" t="str">
        <x:v>Museum and Gallery</x:v>
      </x:c>
      <x:c r="F603" s="117" t="str">
        <x:v>Unclassified</x:v>
      </x:c>
      <x:c r="G603" s="117" t="str">
        <x:v>Indoor</x:v>
      </x:c>
      <x:c r="H603" s="117" t="str">
        <x:v>Museum and Gallery; George Town</x:v>
      </x:c>
      <x:c r="I603" s="117" t="str">
        <x:v>A visitor attraction in George Town, Penang, listed in Tourism Malaysia's state travel guide. Venue operation and the precise accessible route require confirmation.</x:v>
      </x:c>
      <x:c r="J603" s="117" t="str">
        <x:v>https://ebrochures.malaysia.travel/en/malaysia-travel-guide/penang/</x:v>
      </x:c>
      <x:c r="K603" s="117" t="str">
        <x:v>https://ebrochures.malaysia.travel/en/malaysia-travel-guide/penang/</x:v>
      </x:c>
      <x:c r="L603" s="117" t="str">
        <x:v>Tourism Malaysia listing; operation unconfirmed</x:v>
      </x:c>
      <x:c r="M603" s="117" t="str">
        <x:v>Nationwide expansion 2026-09-08</x:v>
      </x:c>
      <x:c r="N603" s="117"/>
      <x:c r="O603" s="117" t="str">
        <x:v>2026-09-08</x:v>
      </x:c>
      <x:c r="P603" s="117" t="str">
        <x:v>Complete</x:v>
      </x:c>
      <x:c r="Q603" s="117"/>
      <x:c r="R603" s="117" t="str">
        <x:f>IF(J603="","Missing Link",IF(AND(ISNUMBER(SEARCH("google.com/maps",J603)),ISERROR(SEARCH(";",J603))),"Discovery Link Only","Source Link Present"))</x:f>
        <x:v>Source Link Present</x:v>
      </x:c>
      <x:c r="S603" s="117" t="str">
        <x:v>Unknown</x:v>
      </x:c>
      <x:c r="T603" s="117" t="str">
        <x:v>Unknown</x:v>
      </x:c>
      <x:c r="U603" s="117" t="str">
        <x:v>Unknown</x:v>
      </x:c>
      <x:c r="V603" s="117" t="str">
        <x:v>Unknown</x:v>
      </x:c>
      <x:c r="W603" s="117" t="str">
        <x:v>Unknown</x:v>
      </x:c>
      <x:c r="X603" s="117" t="str">
        <x:v>Unknown</x:v>
      </x:c>
      <x:c r="Y603" s="117" t="str">
        <x:v>Unknown</x:v>
      </x:c>
      <x:c r="Z603" s="117"/>
      <x:c r="AA603" s="117" t="str">
        <x:v>Pending evidence</x:v>
      </x:c>
      <x:c r="AB603" s="117"/>
      <x:c r="AC603" s="117" t="str">
        <x:v>No qualifying accessibility conclusion established from the screened sources. This is unknown, not evidence that the attraction is inaccessible.</x:v>
      </x:c>
      <x:c r="AD603" s="117" t="str">
        <x:v>2026-09-08</x:v>
      </x:c>
      <x:c r="AE603" s="117" t="str">
        <x:v>MC0600</x:v>
      </x:c>
      <x:c r="AF603" s="117" t="str">
        <x:v>Distinct candidate</x:v>
      </x:c>
      <x:c r="AG603" s="117" t="str"/>
      <x:c r="AH603" s="117" t="str">
        <x:v>Listed by Tourism Malaysia</x:v>
      </x:c>
      <x:c r="AI603" s="117" t="str">
        <x:v>https://ebrochures.malaysia.travel/en/malaysia-travel-guide/penang/</x:v>
      </x:c>
      <x:c r="AJ603" s="117" t="str">
        <x:v>Named visitor attraction in cited source; state-guide listings can be historical. Locality is catalogue metadata, not a surveyed address. Current operation remains unconfirmed.</x:v>
      </x:c>
      <x:c r="AK603" s="117" t="str">
        <x:v>Not independently confirmed</x:v>
      </x:c>
      <x:c r="AL603" s="117" t="str">
        <x:v>Screened sources; accessibility unresolved</x:v>
      </x:c>
      <x:c r="AM603" s="117" t="str">
        <x:v>2026-09-08</x:v>
      </x:c>
      <x:c r="AN603" s="117"/>
      <x:c r="AO603" s="117"/>
      <x:c r="AP603" s="117" t="str">
        <x:v>No usable pair located; image research pending</x:v>
      </x:c>
      <x:c r="AQ603" s="117"/>
    </x:row>
    <x:row r="604" ht="66" customHeight="1">
      <x:c r="A604" s="117" t="str">
        <x:v>MC0601</x:v>
      </x:c>
      <x:c r="B604" s="117" t="str">
        <x:v>Ghost Museum</x:v>
      </x:c>
      <x:c r="C604" s="117" t="str">
        <x:v>Penang</x:v>
      </x:c>
      <x:c r="D604" s="117" t="str">
        <x:v>George Town</x:v>
      </x:c>
      <x:c r="E604" s="117" t="str">
        <x:v>Museum and Gallery</x:v>
      </x:c>
      <x:c r="F604" s="117" t="str">
        <x:v>Unclassified</x:v>
      </x:c>
      <x:c r="G604" s="117" t="str">
        <x:v>Indoor</x:v>
      </x:c>
      <x:c r="H604" s="117" t="str">
        <x:v>Museum and Gallery; George Town</x:v>
      </x:c>
      <x:c r="I604" s="117" t="str">
        <x:v>A visitor attraction in George Town, Penang, listed in Tourism Malaysia's state travel guide. Venue operation and the precise accessible route require confirmation.</x:v>
      </x:c>
      <x:c r="J604" s="117" t="str">
        <x:v>https://ebrochures.malaysia.travel/en/malaysia-travel-guide/penang/</x:v>
      </x:c>
      <x:c r="K604" s="117" t="str">
        <x:v>https://ebrochures.malaysia.travel/en/malaysia-travel-guide/penang/</x:v>
      </x:c>
      <x:c r="L604" s="117" t="str">
        <x:v>Tourism Malaysia listing; operation unconfirmed</x:v>
      </x:c>
      <x:c r="M604" s="117" t="str">
        <x:v>Nationwide expansion 2026-09-08</x:v>
      </x:c>
      <x:c r="N604" s="117"/>
      <x:c r="O604" s="117" t="str">
        <x:v>2026-09-08</x:v>
      </x:c>
      <x:c r="P604" s="117" t="str">
        <x:v>Complete</x:v>
      </x:c>
      <x:c r="Q604" s="117"/>
      <x:c r="R604" s="117" t="str">
        <x:f>IF(J604="","Missing Link",IF(AND(ISNUMBER(SEARCH("google.com/maps",J604)),ISERROR(SEARCH(";",J604))),"Discovery Link Only","Source Link Present"))</x:f>
        <x:v>Source Link Present</x:v>
      </x:c>
      <x:c r="S604" s="117" t="str">
        <x:v>Unknown</x:v>
      </x:c>
      <x:c r="T604" s="117" t="str">
        <x:v>Unknown</x:v>
      </x:c>
      <x:c r="U604" s="117" t="str">
        <x:v>Unknown</x:v>
      </x:c>
      <x:c r="V604" s="117" t="str">
        <x:v>Unknown</x:v>
      </x:c>
      <x:c r="W604" s="117" t="str">
        <x:v>Unknown</x:v>
      </x:c>
      <x:c r="X604" s="117" t="str">
        <x:v>Unknown</x:v>
      </x:c>
      <x:c r="Y604" s="117" t="str">
        <x:v>Unknown</x:v>
      </x:c>
      <x:c r="Z604" s="117"/>
      <x:c r="AA604" s="117" t="str">
        <x:v>Pending evidence</x:v>
      </x:c>
      <x:c r="AB604" s="117"/>
      <x:c r="AC604" s="117" t="str">
        <x:v>No qualifying accessibility conclusion established from the screened sources. This is unknown, not evidence that the attraction is inaccessible.</x:v>
      </x:c>
      <x:c r="AD604" s="117" t="str">
        <x:v>2026-09-08</x:v>
      </x:c>
      <x:c r="AE604" s="117" t="str">
        <x:v>MC0601</x:v>
      </x:c>
      <x:c r="AF604" s="117" t="str">
        <x:v>Distinct candidate</x:v>
      </x:c>
      <x:c r="AG604" s="117" t="str"/>
      <x:c r="AH604" s="117" t="str">
        <x:v>Listed by Tourism Malaysia</x:v>
      </x:c>
      <x:c r="AI604" s="117" t="str">
        <x:v>https://ebrochures.malaysia.travel/en/malaysia-travel-guide/penang/</x:v>
      </x:c>
      <x:c r="AJ604" s="117" t="str">
        <x:v>Named visitor attraction in cited source; state-guide listings can be historical. Locality is catalogue metadata, not a surveyed address. Current operation remains unconfirmed.</x:v>
      </x:c>
      <x:c r="AK604" s="117" t="str">
        <x:v>Not independently confirmed</x:v>
      </x:c>
      <x:c r="AL604" s="117" t="str">
        <x:v>Screened sources; accessibility unresolved</x:v>
      </x:c>
      <x:c r="AM604" s="117" t="str">
        <x:v>2026-09-08</x:v>
      </x:c>
      <x:c r="AN604" s="117"/>
      <x:c r="AO604" s="117"/>
      <x:c r="AP604" s="117" t="str">
        <x:v>No usable pair located; image research pending</x:v>
      </x:c>
      <x:c r="AQ604" s="117"/>
    </x:row>
    <x:row r="605" ht="66" customHeight="1">
      <x:c r="A605" s="117" t="str">
        <x:v>MC0602</x:v>
      </x:c>
      <x:c r="B605" s="117" t="str">
        <x:v>Sun Yat Sen Museum</x:v>
      </x:c>
      <x:c r="C605" s="117" t="str">
        <x:v>Penang</x:v>
      </x:c>
      <x:c r="D605" s="117" t="str">
        <x:v>George Town</x:v>
      </x:c>
      <x:c r="E605" s="117" t="str">
        <x:v>Museum and Gallery</x:v>
      </x:c>
      <x:c r="F605" s="117" t="str">
        <x:v>Unclassified</x:v>
      </x:c>
      <x:c r="G605" s="117" t="str">
        <x:v>Indoor</x:v>
      </x:c>
      <x:c r="H605" s="117" t="str">
        <x:v>Museum and Gallery; George Town</x:v>
      </x:c>
      <x:c r="I605" s="117" t="str">
        <x:v>A visitor attraction in George Town, Penang, listed in Tourism Malaysia's state travel guide. Venue operation and the precise accessible route require confirmation.</x:v>
      </x:c>
      <x:c r="J605" s="117" t="str">
        <x:v>https://ebrochures.malaysia.travel/en/malaysia-travel-guide/penang/</x:v>
      </x:c>
      <x:c r="K605" s="117" t="str">
        <x:v>https://ebrochures.malaysia.travel/en/malaysia-travel-guide/penang/</x:v>
      </x:c>
      <x:c r="L605" s="117" t="str">
        <x:v>Tourism Malaysia listing; operation unconfirmed</x:v>
      </x:c>
      <x:c r="M605" s="117" t="str">
        <x:v>Nationwide expansion 2026-09-08</x:v>
      </x:c>
      <x:c r="N605" s="117"/>
      <x:c r="O605" s="117" t="str">
        <x:v>2026-09-08</x:v>
      </x:c>
      <x:c r="P605" s="117" t="str">
        <x:v>Complete</x:v>
      </x:c>
      <x:c r="Q605" s="117"/>
      <x:c r="R605" s="117" t="str">
        <x:f>IF(J605="","Missing Link",IF(AND(ISNUMBER(SEARCH("google.com/maps",J605)),ISERROR(SEARCH(";",J605))),"Discovery Link Only","Source Link Present"))</x:f>
        <x:v>Source Link Present</x:v>
      </x:c>
      <x:c r="S605" s="117" t="str">
        <x:v>Unknown</x:v>
      </x:c>
      <x:c r="T605" s="117" t="str">
        <x:v>Unknown</x:v>
      </x:c>
      <x:c r="U605" s="117" t="str">
        <x:v>Unknown</x:v>
      </x:c>
      <x:c r="V605" s="117" t="str">
        <x:v>Unknown</x:v>
      </x:c>
      <x:c r="W605" s="117" t="str">
        <x:v>Unknown</x:v>
      </x:c>
      <x:c r="X605" s="117" t="str">
        <x:v>Unknown</x:v>
      </x:c>
      <x:c r="Y605" s="117" t="str">
        <x:v>Unknown</x:v>
      </x:c>
      <x:c r="Z605" s="117"/>
      <x:c r="AA605" s="117" t="str">
        <x:v>Pending evidence</x:v>
      </x:c>
      <x:c r="AB605" s="117"/>
      <x:c r="AC605" s="117" t="str">
        <x:v>No qualifying accessibility conclusion established from the screened sources. This is unknown, not evidence that the attraction is inaccessible.</x:v>
      </x:c>
      <x:c r="AD605" s="117" t="str">
        <x:v>2026-09-08</x:v>
      </x:c>
      <x:c r="AE605" s="117" t="str">
        <x:v>MC0602</x:v>
      </x:c>
      <x:c r="AF605" s="117" t="str">
        <x:v>Distinct candidate</x:v>
      </x:c>
      <x:c r="AG605" s="117" t="str"/>
      <x:c r="AH605" s="117" t="str">
        <x:v>Listed by Tourism Malaysia</x:v>
      </x:c>
      <x:c r="AI605" s="117" t="str">
        <x:v>https://ebrochures.malaysia.travel/en/malaysia-travel-guide/penang/</x:v>
      </x:c>
      <x:c r="AJ605" s="117" t="str">
        <x:v>Named visitor attraction in cited source; state-guide listings can be historical. Locality is catalogue metadata, not a surveyed address. Current operation remains unconfirmed.</x:v>
      </x:c>
      <x:c r="AK605" s="117" t="str">
        <x:v>Not independently confirmed</x:v>
      </x:c>
      <x:c r="AL605" s="117" t="str">
        <x:v>Screened sources; accessibility unresolved</x:v>
      </x:c>
      <x:c r="AM605" s="117" t="str">
        <x:v>2026-09-08</x:v>
      </x:c>
      <x:c r="AN605" s="117" t="str">
        <x:v>https://thumb.wikimedia.org/wikipedia/commons/thumb/d/dc/Sun_Yat-sen_Penang_Base.JPG/1280px-Sun_Yat-sen_Penang_Base.JPG?utm_source=commons.wikimedia.org&amp;utm_campaign=imageinfo&amp;utm_content=thumbnail</x:v>
      </x:c>
      <x:c r="AO605" s="117" t="str">
        <x:v>https://thumb.wikimedia.org/wikipedia/commons/thumb/d/d6/Sun_Yat-sen_Museum_Penang_%28I%29.jpg/1280px-Sun_Yat-sen_Museum_Penang_%28I%29.jpg?utm_source=commons.wikimedia.org&amp;utm_campaign=imageinfo&amp;utm_content=thumbnail</x:v>
      </x:c>
      <x:c r="AP605" s="117" t="str">
        <x:v>2 metadata-matched images; visual review pending</x:v>
      </x:c>
      <x:c r="AQ605" s="117"/>
    </x:row>
    <x:row r="606" ht="66" customHeight="1">
      <x:c r="A606" s="117" t="str">
        <x:v>MC0603</x:v>
      </x:c>
      <x:c r="B606" s="117" t="str">
        <x:v>Queen Victoria Memorial Clock Tower</x:v>
      </x:c>
      <x:c r="C606" s="117" t="str">
        <x:v>Penang</x:v>
      </x:c>
      <x:c r="D606" s="117" t="str">
        <x:v>George Town</x:v>
      </x:c>
      <x:c r="E606" s="117" t="str">
        <x:v>Heritage and Visitor Attraction</x:v>
      </x:c>
      <x:c r="F606" s="117" t="str">
        <x:v>Unclassified</x:v>
      </x:c>
      <x:c r="G606" s="117" t="str">
        <x:v>Both</x:v>
      </x:c>
      <x:c r="H606" s="117" t="str">
        <x:v>Heritage and Visitor Attraction; George Town</x:v>
      </x:c>
      <x:c r="I606" s="117" t="str">
        <x:v>A visitor attraction in George Town, Penang, listed in Tourism Malaysia's state travel guide. Venue operation and the precise accessible route require confirmation.</x:v>
      </x:c>
      <x:c r="J606" s="117" t="str">
        <x:v>https://ebrochures.malaysia.travel/en/malaysia-travel-guide/penang/</x:v>
      </x:c>
      <x:c r="K606" s="117" t="str">
        <x:v>https://ebrochures.malaysia.travel/en/malaysia-travel-guide/penang/</x:v>
      </x:c>
      <x:c r="L606" s="117" t="str">
        <x:v>Tourism Malaysia listing; operation unconfirmed</x:v>
      </x:c>
      <x:c r="M606" s="117" t="str">
        <x:v>Nationwide expansion 2026-09-08</x:v>
      </x:c>
      <x:c r="N606" s="117"/>
      <x:c r="O606" s="117" t="str">
        <x:v>2026-09-08</x:v>
      </x:c>
      <x:c r="P606" s="117" t="str">
        <x:v>Complete</x:v>
      </x:c>
      <x:c r="Q606" s="117"/>
      <x:c r="R606" s="117" t="str">
        <x:f>IF(J606="","Missing Link",IF(AND(ISNUMBER(SEARCH("google.com/maps",J606)),ISERROR(SEARCH(";",J606))),"Discovery Link Only","Source Link Present"))</x:f>
        <x:v>Source Link Present</x:v>
      </x:c>
      <x:c r="S606" s="117" t="str">
        <x:v>Unknown</x:v>
      </x:c>
      <x:c r="T606" s="117" t="str">
        <x:v>Unknown</x:v>
      </x:c>
      <x:c r="U606" s="117" t="str">
        <x:v>Unknown</x:v>
      </x:c>
      <x:c r="V606" s="117" t="str">
        <x:v>Unknown</x:v>
      </x:c>
      <x:c r="W606" s="117" t="str">
        <x:v>Unknown</x:v>
      </x:c>
      <x:c r="X606" s="117" t="str">
        <x:v>Unknown</x:v>
      </x:c>
      <x:c r="Y606" s="117" t="str">
        <x:v>Unknown</x:v>
      </x:c>
      <x:c r="Z606" s="117"/>
      <x:c r="AA606" s="117" t="str">
        <x:v>Pending evidence</x:v>
      </x:c>
      <x:c r="AB606" s="117"/>
      <x:c r="AC606" s="117" t="str">
        <x:v>No qualifying accessibility conclusion established from the screened sources. This is unknown, not evidence that the attraction is inaccessible.</x:v>
      </x:c>
      <x:c r="AD606" s="117" t="str">
        <x:v>2026-09-08</x:v>
      </x:c>
      <x:c r="AE606" s="117" t="str">
        <x:v>MC0603</x:v>
      </x:c>
      <x:c r="AF606" s="117" t="str">
        <x:v>Distinct candidate</x:v>
      </x:c>
      <x:c r="AG606" s="117" t="str"/>
      <x:c r="AH606" s="117" t="str">
        <x:v>Listed by Tourism Malaysia</x:v>
      </x:c>
      <x:c r="AI606" s="117" t="str">
        <x:v>https://ebrochures.malaysia.travel/en/malaysia-travel-guide/penang/</x:v>
      </x:c>
      <x:c r="AJ606" s="117" t="str">
        <x:v>Named visitor attraction in cited source; state-guide listings can be historical. Locality is catalogue metadata, not a surveyed address. Current operation remains unconfirmed.</x:v>
      </x:c>
      <x:c r="AK606" s="117" t="str">
        <x:v>Not independently confirmed</x:v>
      </x:c>
      <x:c r="AL606" s="117" t="str">
        <x:v>Screened sources; accessibility unresolved</x:v>
      </x:c>
      <x:c r="AM606" s="117" t="str">
        <x:v>2026-09-08</x:v>
      </x:c>
      <x:c r="AN606" s="117"/>
      <x:c r="AO606" s="117"/>
      <x:c r="AP606" s="117" t="str">
        <x:v>No usable pair located; image research pending</x:v>
      </x:c>
      <x:c r="AQ606" s="117"/>
    </x:row>
    <x:row r="607" ht="66" customHeight="1">
      <x:c r="A607" s="117" t="str">
        <x:v>MC0604</x:v>
      </x:c>
      <x:c r="B607" s="117" t="str">
        <x:v>Wat Chayamangkalaram</x:v>
      </x:c>
      <x:c r="C607" s="117" t="str">
        <x:v>Penang</x:v>
      </x:c>
      <x:c r="D607" s="117" t="str">
        <x:v>George Town</x:v>
      </x:c>
      <x:c r="E607" s="117" t="str">
        <x:v>Heritage and Visitor Attraction</x:v>
      </x:c>
      <x:c r="F607" s="117" t="str">
        <x:v>Unclassified</x:v>
      </x:c>
      <x:c r="G607" s="117" t="str">
        <x:v>Both</x:v>
      </x:c>
      <x:c r="H607" s="117" t="str">
        <x:v>Heritage and Visitor Attraction; George Town</x:v>
      </x:c>
      <x:c r="I607" s="117" t="str">
        <x:v>A visitor attraction in George Town, Penang, listed in Tourism Malaysia's state travel guide. Venue operation and the precise accessible route require confirmation.</x:v>
      </x:c>
      <x:c r="J607" s="117" t="str">
        <x:v>https://ebrochures.malaysia.travel/en/malaysia-travel-guide/penang/</x:v>
      </x:c>
      <x:c r="K607" s="117" t="str">
        <x:v>https://ebrochures.malaysia.travel/en/malaysia-travel-guide/penang/</x:v>
      </x:c>
      <x:c r="L607" s="117" t="str">
        <x:v>Tourism Malaysia listing; operation unconfirmed</x:v>
      </x:c>
      <x:c r="M607" s="117" t="str">
        <x:v>Nationwide expansion 2026-09-08</x:v>
      </x:c>
      <x:c r="N607" s="117"/>
      <x:c r="O607" s="117" t="str">
        <x:v>2026-09-08</x:v>
      </x:c>
      <x:c r="P607" s="117" t="str">
        <x:v>Complete</x:v>
      </x:c>
      <x:c r="Q607" s="117"/>
      <x:c r="R607" s="117" t="str">
        <x:f>IF(J607="","Missing Link",IF(AND(ISNUMBER(SEARCH("google.com/maps",J607)),ISERROR(SEARCH(";",J607))),"Discovery Link Only","Source Link Present"))</x:f>
        <x:v>Source Link Present</x:v>
      </x:c>
      <x:c r="S607" s="117" t="str">
        <x:v>Unknown</x:v>
      </x:c>
      <x:c r="T607" s="117" t="str">
        <x:v>Unknown</x:v>
      </x:c>
      <x:c r="U607" s="117" t="str">
        <x:v>Unknown</x:v>
      </x:c>
      <x:c r="V607" s="117" t="str">
        <x:v>Unknown</x:v>
      </x:c>
      <x:c r="W607" s="117" t="str">
        <x:v>Unknown</x:v>
      </x:c>
      <x:c r="X607" s="117" t="str">
        <x:v>Unknown</x:v>
      </x:c>
      <x:c r="Y607" s="117" t="str">
        <x:v>Unknown</x:v>
      </x:c>
      <x:c r="Z607" s="117"/>
      <x:c r="AA607" s="117" t="str">
        <x:v>Pending evidence</x:v>
      </x:c>
      <x:c r="AB607" s="117"/>
      <x:c r="AC607" s="117" t="str">
        <x:v>No qualifying accessibility conclusion established from the screened sources. This is unknown, not evidence that the attraction is inaccessible.</x:v>
      </x:c>
      <x:c r="AD607" s="117" t="str">
        <x:v>2026-09-08</x:v>
      </x:c>
      <x:c r="AE607" s="117" t="str">
        <x:v>MC0604</x:v>
      </x:c>
      <x:c r="AF607" s="117" t="str">
        <x:v>Distinct candidate</x:v>
      </x:c>
      <x:c r="AG607" s="117" t="str"/>
      <x:c r="AH607" s="117" t="str">
        <x:v>Listed by Tourism Malaysia</x:v>
      </x:c>
      <x:c r="AI607" s="117" t="str">
        <x:v>https://ebrochures.malaysia.travel/en/malaysia-travel-guide/penang/</x:v>
      </x:c>
      <x:c r="AJ607" s="117" t="str">
        <x:v>Named visitor attraction in cited source; state-guide listings can be historical. Locality is catalogue metadata, not a surveyed address. Current operation remains unconfirmed.</x:v>
      </x:c>
      <x:c r="AK607" s="117" t="str">
        <x:v>Not independently confirmed</x:v>
      </x:c>
      <x:c r="AL607" s="117" t="str">
        <x:v>Screened sources; accessibility unresolved</x:v>
      </x:c>
      <x:c r="AM607" s="117" t="str">
        <x:v>2026-09-08</x:v>
      </x:c>
      <x:c r="AN607" s="117" t="str">
        <x:v>https://thumb.wikimedia.org/wikipedia/commons/thumb/4/4d/Wat_Chaiyamangkalaram_stupa.jpg/1280px-Wat_Chaiyamangkalaram_stupa.jpg?utm_source=commons.wikimedia.org&amp;utm_campaign=imageinfo&amp;utm_content=thumbnail</x:v>
      </x:c>
      <x:c r="AO607" s="117" t="str">
        <x:v>https://thumb.wikimedia.org/wikipedia/commons/thumb/8/81/Wat_Chayamangkalaram-_overview_%2812290318285%29.jpg/1280px-Wat_Chayamangkalaram-_overview_%2812290318285%29.jpg?utm_source=commons.wikimedia.org&amp;utm_campaign=imageinfo&amp;utm_content=thumbnail</x:v>
      </x:c>
      <x:c r="AP607" s="117" t="str">
        <x:v>2 metadata-matched images; visual review pending</x:v>
      </x:c>
      <x:c r="AQ607" s="117"/>
    </x:row>
    <x:row r="608" ht="66" customHeight="1">
      <x:c r="A608" s="117" t="str">
        <x:v>MC0605</x:v>
      </x:c>
      <x:c r="B608" s="117" t="str">
        <x:v>Upside Down Museum</x:v>
      </x:c>
      <x:c r="C608" s="117" t="str">
        <x:v>Penang</x:v>
      </x:c>
      <x:c r="D608" s="117" t="str">
        <x:v>George Town</x:v>
      </x:c>
      <x:c r="E608" s="117" t="str">
        <x:v>Museum and Gallery</x:v>
      </x:c>
      <x:c r="F608" s="117" t="str">
        <x:v>Unclassified</x:v>
      </x:c>
      <x:c r="G608" s="117" t="str">
        <x:v>Indoor</x:v>
      </x:c>
      <x:c r="H608" s="117" t="str">
        <x:v>Museum and Gallery; George Town</x:v>
      </x:c>
      <x:c r="I608" s="117" t="str">
        <x:v>A visitor attraction in George Town, Penang, listed in Tourism Malaysia's state travel guide. Venue operation and the precise accessible route require confirmation.</x:v>
      </x:c>
      <x:c r="J608" s="117" t="str">
        <x:v>https://ebrochures.malaysia.travel/en/malaysia-travel-guide/penang/</x:v>
      </x:c>
      <x:c r="K608" s="117" t="str">
        <x:v>https://ebrochures.malaysia.travel/en/malaysia-travel-guide/penang/</x:v>
      </x:c>
      <x:c r="L608" s="117" t="str">
        <x:v>Tourism Malaysia listing; operation unconfirmed</x:v>
      </x:c>
      <x:c r="M608" s="117" t="str">
        <x:v>Nationwide expansion 2026-09-08</x:v>
      </x:c>
      <x:c r="N608" s="117"/>
      <x:c r="O608" s="117" t="str">
        <x:v>2026-09-08</x:v>
      </x:c>
      <x:c r="P608" s="117" t="str">
        <x:v>Complete</x:v>
      </x:c>
      <x:c r="Q608" s="117"/>
      <x:c r="R608" s="117" t="str">
        <x:f>IF(J608="","Missing Link",IF(AND(ISNUMBER(SEARCH("google.com/maps",J608)),ISERROR(SEARCH(";",J608))),"Discovery Link Only","Source Link Present"))</x:f>
        <x:v>Source Link Present</x:v>
      </x:c>
      <x:c r="S608" s="117" t="str">
        <x:v>Unknown</x:v>
      </x:c>
      <x:c r="T608" s="117" t="str">
        <x:v>Unknown</x:v>
      </x:c>
      <x:c r="U608" s="117" t="str">
        <x:v>Unknown</x:v>
      </x:c>
      <x:c r="V608" s="117" t="str">
        <x:v>Unknown</x:v>
      </x:c>
      <x:c r="W608" s="117" t="str">
        <x:v>Unknown</x:v>
      </x:c>
      <x:c r="X608" s="117" t="str">
        <x:v>Unknown</x:v>
      </x:c>
      <x:c r="Y608" s="117" t="str">
        <x:v>Unknown</x:v>
      </x:c>
      <x:c r="Z608" s="117"/>
      <x:c r="AA608" s="117" t="str">
        <x:v>Pending evidence</x:v>
      </x:c>
      <x:c r="AB608" s="117"/>
      <x:c r="AC608" s="117" t="str">
        <x:v>No qualifying accessibility conclusion established from the screened sources. This is unknown, not evidence that the attraction is inaccessible.</x:v>
      </x:c>
      <x:c r="AD608" s="117" t="str">
        <x:v>2026-09-08</x:v>
      </x:c>
      <x:c r="AE608" s="117" t="str">
        <x:v>MC0605</x:v>
      </x:c>
      <x:c r="AF608" s="117" t="str">
        <x:v>Distinct candidate</x:v>
      </x:c>
      <x:c r="AG608" s="117" t="str"/>
      <x:c r="AH608" s="117" t="str">
        <x:v>Listed by Tourism Malaysia</x:v>
      </x:c>
      <x:c r="AI608" s="117" t="str">
        <x:v>https://ebrochures.malaysia.travel/en/malaysia-travel-guide/penang/</x:v>
      </x:c>
      <x:c r="AJ608" s="117" t="str">
        <x:v>Named visitor attraction in cited source; state-guide listings can be historical. Locality is catalogue metadata, not a surveyed address. Current operation remains unconfirmed.</x:v>
      </x:c>
      <x:c r="AK608" s="117" t="str">
        <x:v>Not independently confirmed</x:v>
      </x:c>
      <x:c r="AL608" s="117" t="str">
        <x:v>Screened sources; accessibility unresolved</x:v>
      </x:c>
      <x:c r="AM608" s="117" t="str">
        <x:v>2026-09-08</x:v>
      </x:c>
      <x:c r="AN608" s="117"/>
      <x:c r="AO608" s="117"/>
      <x:c r="AP608" s="117" t="str">
        <x:v>No usable pair located; image research pending</x:v>
      </x:c>
      <x:c r="AQ608" s="117"/>
    </x:row>
    <x:row r="609" ht="66" customHeight="1">
      <x:c r="A609" s="117" t="str">
        <x:v>MC0606</x:v>
      </x:c>
      <x:c r="B609" s="117" t="str">
        <x:v>Wonderfood Museum</x:v>
      </x:c>
      <x:c r="C609" s="117" t="str">
        <x:v>Penang</x:v>
      </x:c>
      <x:c r="D609" s="117" t="str">
        <x:v>George Town</x:v>
      </x:c>
      <x:c r="E609" s="117" t="str">
        <x:v>Museum and Gallery</x:v>
      </x:c>
      <x:c r="F609" s="117" t="str">
        <x:v>Unclassified</x:v>
      </x:c>
      <x:c r="G609" s="117" t="str">
        <x:v>Indoor</x:v>
      </x:c>
      <x:c r="H609" s="117" t="str">
        <x:v>Museum and Gallery; George Town</x:v>
      </x:c>
      <x:c r="I609" s="117" t="str">
        <x:v>A visitor attraction in George Town, Penang, listed in Tourism Malaysia's state travel guide. Venue operation and the precise accessible route require confirmation.</x:v>
      </x:c>
      <x:c r="J609" s="117" t="str">
        <x:v>https://ebrochures.malaysia.travel/en/malaysia-travel-guide/penang/</x:v>
      </x:c>
      <x:c r="K609" s="117" t="str">
        <x:v>https://ebrochures.malaysia.travel/en/malaysia-travel-guide/penang/</x:v>
      </x:c>
      <x:c r="L609" s="117" t="str">
        <x:v>Tourism Malaysia listing; operation unconfirmed</x:v>
      </x:c>
      <x:c r="M609" s="117" t="str">
        <x:v>Nationwide expansion 2026-09-08</x:v>
      </x:c>
      <x:c r="N609" s="117"/>
      <x:c r="O609" s="117" t="str">
        <x:v>2026-09-08</x:v>
      </x:c>
      <x:c r="P609" s="117" t="str">
        <x:v>Complete</x:v>
      </x:c>
      <x:c r="Q609" s="117"/>
      <x:c r="R609" s="117" t="str">
        <x:f>IF(J609="","Missing Link",IF(AND(ISNUMBER(SEARCH("google.com/maps",J609)),ISERROR(SEARCH(";",J609))),"Discovery Link Only","Source Link Present"))</x:f>
        <x:v>Source Link Present</x:v>
      </x:c>
      <x:c r="S609" s="117" t="str">
        <x:v>Unknown</x:v>
      </x:c>
      <x:c r="T609" s="117" t="str">
        <x:v>Unknown</x:v>
      </x:c>
      <x:c r="U609" s="117" t="str">
        <x:v>Unknown</x:v>
      </x:c>
      <x:c r="V609" s="117" t="str">
        <x:v>Unknown</x:v>
      </x:c>
      <x:c r="W609" s="117" t="str">
        <x:v>Unknown</x:v>
      </x:c>
      <x:c r="X609" s="117" t="str">
        <x:v>Unknown</x:v>
      </x:c>
      <x:c r="Y609" s="117" t="str">
        <x:v>Unknown</x:v>
      </x:c>
      <x:c r="Z609" s="117"/>
      <x:c r="AA609" s="117" t="str">
        <x:v>Pending evidence</x:v>
      </x:c>
      <x:c r="AB609" s="117"/>
      <x:c r="AC609" s="117" t="str">
        <x:v>No qualifying accessibility conclusion established from the screened sources. This is unknown, not evidence that the attraction is inaccessible.</x:v>
      </x:c>
      <x:c r="AD609" s="117" t="str">
        <x:v>2026-09-08</x:v>
      </x:c>
      <x:c r="AE609" s="117" t="str">
        <x:v>MC0606</x:v>
      </x:c>
      <x:c r="AF609" s="117" t="str">
        <x:v>Distinct candidate</x:v>
      </x:c>
      <x:c r="AG609" s="117" t="str"/>
      <x:c r="AH609" s="117" t="str">
        <x:v>Listed by Tourism Malaysia</x:v>
      </x:c>
      <x:c r="AI609" s="117" t="str">
        <x:v>https://ebrochures.malaysia.travel/en/malaysia-travel-guide/penang/</x:v>
      </x:c>
      <x:c r="AJ609" s="117" t="str">
        <x:v>Named visitor attraction in cited source; state-guide listings can be historical. Locality is catalogue metadata, not a surveyed address. Current operation remains unconfirmed.</x:v>
      </x:c>
      <x:c r="AK609" s="117" t="str">
        <x:v>Not independently confirmed</x:v>
      </x:c>
      <x:c r="AL609" s="117" t="str">
        <x:v>Screened sources; accessibility unresolved</x:v>
      </x:c>
      <x:c r="AM609" s="117" t="str">
        <x:v>2026-09-08</x:v>
      </x:c>
      <x:c r="AN609" s="117"/>
      <x:c r="AO609" s="117"/>
      <x:c r="AP609" s="117" t="str">
        <x:v>No usable pair located; image research pending</x:v>
      </x:c>
      <x:c r="AQ609" s="117"/>
    </x:row>
    <x:row r="610" ht="66" customHeight="1">
      <x:c r="A610" s="117" t="str">
        <x:v>MC0607</x:v>
      </x:c>
      <x:c r="B610" s="117" t="str">
        <x:v>Cheah Kongsi</x:v>
      </x:c>
      <x:c r="C610" s="117" t="str">
        <x:v>Penang</x:v>
      </x:c>
      <x:c r="D610" s="117" t="str">
        <x:v>George Town</x:v>
      </x:c>
      <x:c r="E610" s="117" t="str">
        <x:v>Religious Site</x:v>
      </x:c>
      <x:c r="F610" s="117" t="str">
        <x:v>Unclassified</x:v>
      </x:c>
      <x:c r="G610" s="117" t="str">
        <x:v>Both</x:v>
      </x:c>
      <x:c r="H610" s="117" t="str">
        <x:v>Religious Site; George Town</x:v>
      </x:c>
      <x:c r="I610" s="117" t="str">
        <x:v>A visitor attraction in George Town, Penang, listed in Tourism Malaysia's state travel guide. Venue operation and the precise accessible route require confirmation.</x:v>
      </x:c>
      <x:c r="J610" s="117" t="str">
        <x:v>https://ebrochures.malaysia.travel/en/malaysia-travel-guide/penang/</x:v>
      </x:c>
      <x:c r="K610" s="117" t="str">
        <x:v>https://ebrochures.malaysia.travel/en/malaysia-travel-guide/penang/</x:v>
      </x:c>
      <x:c r="L610" s="117" t="str">
        <x:v>Tourism Malaysia listing; operation unconfirmed</x:v>
      </x:c>
      <x:c r="M610" s="117" t="str">
        <x:v>Nationwide expansion 2026-09-08</x:v>
      </x:c>
      <x:c r="N610" s="117"/>
      <x:c r="O610" s="117" t="str">
        <x:v>2026-09-08</x:v>
      </x:c>
      <x:c r="P610" s="117" t="str">
        <x:v>Complete</x:v>
      </x:c>
      <x:c r="Q610" s="117"/>
      <x:c r="R610" s="117" t="str">
        <x:f>IF(J610="","Missing Link",IF(AND(ISNUMBER(SEARCH("google.com/maps",J610)),ISERROR(SEARCH(";",J610))),"Discovery Link Only","Source Link Present"))</x:f>
        <x:v>Source Link Present</x:v>
      </x:c>
      <x:c r="S610" s="117" t="str">
        <x:v>Unknown</x:v>
      </x:c>
      <x:c r="T610" s="117" t="str">
        <x:v>Unknown</x:v>
      </x:c>
      <x:c r="U610" s="117" t="str">
        <x:v>Unknown</x:v>
      </x:c>
      <x:c r="V610" s="117" t="str">
        <x:v>Unknown</x:v>
      </x:c>
      <x:c r="W610" s="117" t="str">
        <x:v>Unknown</x:v>
      </x:c>
      <x:c r="X610" s="117" t="str">
        <x:v>Unknown</x:v>
      </x:c>
      <x:c r="Y610" s="117" t="str">
        <x:v>Unknown</x:v>
      </x:c>
      <x:c r="Z610" s="117"/>
      <x:c r="AA610" s="117" t="str">
        <x:v>Pending evidence</x:v>
      </x:c>
      <x:c r="AB610" s="117"/>
      <x:c r="AC610" s="117" t="str">
        <x:v>No qualifying accessibility conclusion established from the screened sources. This is unknown, not evidence that the attraction is inaccessible.</x:v>
      </x:c>
      <x:c r="AD610" s="117" t="str">
        <x:v>2026-09-08</x:v>
      </x:c>
      <x:c r="AE610" s="117" t="str">
        <x:v>MC0607</x:v>
      </x:c>
      <x:c r="AF610" s="117" t="str">
        <x:v>Distinct candidate</x:v>
      </x:c>
      <x:c r="AG610" s="117" t="str"/>
      <x:c r="AH610" s="117" t="str">
        <x:v>Listed by Tourism Malaysia</x:v>
      </x:c>
      <x:c r="AI610" s="117" t="str">
        <x:v>https://ebrochures.malaysia.travel/en/malaysia-travel-guide/penang/</x:v>
      </x:c>
      <x:c r="AJ610" s="117" t="str">
        <x:v>Named visitor attraction in cited source; state-guide listings can be historical. Locality is catalogue metadata, not a surveyed address. Current operation remains unconfirmed.</x:v>
      </x:c>
      <x:c r="AK610" s="117" t="str">
        <x:v>Not independently confirmed</x:v>
      </x:c>
      <x:c r="AL610" s="117" t="str">
        <x:v>Screened sources; accessibility unresolved</x:v>
      </x:c>
      <x:c r="AM610" s="117" t="str">
        <x:v>2026-09-08</x:v>
      </x:c>
      <x:c r="AN610" s="117" t="str">
        <x:v>https://thumb.wikimedia.org/wikipedia/commons/thumb/e/e0/Cheah_Kongsi_temple_at_night%2C_George_Town.jpg/1280px-Cheah_Kongsi_temple_at_night%2C_George_Town.jpg?utm_source=commons.wikimedia.org&amp;utm_campaign=imageinfo&amp;utm_content=thumbnail</x:v>
      </x:c>
      <x:c r="AO610" s="117" t="str">
        <x:v>https://thumb.wikimedia.org/wikipedia/commons/thumb/a/a7/George_Town_-_Seh_Tek_Tong_Cheah_Kongsi.JPG/1280px-George_Town_-_Seh_Tek_Tong_Cheah_Kongsi.JPG?utm_source=commons.wikimedia.org&amp;utm_campaign=imageinfo&amp;utm_content=thumbnail</x:v>
      </x:c>
      <x:c r="AP610" s="117" t="str">
        <x:v>2 metadata-matched images; visual review pending</x:v>
      </x:c>
      <x:c r="AQ610" s="117"/>
    </x:row>
    <x:row r="611" ht="66" customHeight="1">
      <x:c r="A611" s="117" t="str">
        <x:v>MC0608</x:v>
      </x:c>
      <x:c r="B611" s="117" t="str">
        <x:v>Tropical Fruit Farm</x:v>
      </x:c>
      <x:c r="C611" s="117" t="str">
        <x:v>Penang</x:v>
      </x:c>
      <x:c r="D611" s="117" t="str">
        <x:v>Teluk Bahang</x:v>
      </x:c>
      <x:c r="E611" s="117" t="str">
        <x:v>Farm and Visitor Experience</x:v>
      </x:c>
      <x:c r="F611" s="117" t="str">
        <x:v>Unclassified</x:v>
      </x:c>
      <x:c r="G611" s="117" t="str">
        <x:v>Both</x:v>
      </x:c>
      <x:c r="H611" s="117" t="str">
        <x:v>Farm and Visitor Experience; Teluk Bahang</x:v>
      </x:c>
      <x:c r="I611" s="117" t="str">
        <x:v>A visitor attraction in Teluk Bahang, Penang, listed in Tourism Malaysia's state travel guide. Venue operation and the precise accessible route require confirmation.</x:v>
      </x:c>
      <x:c r="J611" s="117" t="str">
        <x:v>https://ebrochures.malaysia.travel/en/malaysia-travel-guide/penang/</x:v>
      </x:c>
      <x:c r="K611" s="117" t="str">
        <x:v>https://ebrochures.malaysia.travel/en/malaysia-travel-guide/penang/</x:v>
      </x:c>
      <x:c r="L611" s="117" t="str">
        <x:v>Tourism Malaysia listing; operation unconfirmed</x:v>
      </x:c>
      <x:c r="M611" s="117" t="str">
        <x:v>Nationwide expansion 2026-09-08</x:v>
      </x:c>
      <x:c r="N611" s="117"/>
      <x:c r="O611" s="117" t="str">
        <x:v>2026-09-08</x:v>
      </x:c>
      <x:c r="P611" s="117" t="str">
        <x:v>Complete</x:v>
      </x:c>
      <x:c r="Q611" s="117"/>
      <x:c r="R611" s="117" t="str">
        <x:f>IF(J611="","Missing Link",IF(AND(ISNUMBER(SEARCH("google.com/maps",J611)),ISERROR(SEARCH(";",J611))),"Discovery Link Only","Source Link Present"))</x:f>
        <x:v>Source Link Present</x:v>
      </x:c>
      <x:c r="S611" s="117" t="str">
        <x:v>Unknown</x:v>
      </x:c>
      <x:c r="T611" s="117" t="str">
        <x:v>Unknown</x:v>
      </x:c>
      <x:c r="U611" s="117" t="str">
        <x:v>Unknown</x:v>
      </x:c>
      <x:c r="V611" s="117" t="str">
        <x:v>Unknown</x:v>
      </x:c>
      <x:c r="W611" s="117" t="str">
        <x:v>Unknown</x:v>
      </x:c>
      <x:c r="X611" s="117" t="str">
        <x:v>Unknown</x:v>
      </x:c>
      <x:c r="Y611" s="117" t="str">
        <x:v>Unknown</x:v>
      </x:c>
      <x:c r="Z611" s="117"/>
      <x:c r="AA611" s="117" t="str">
        <x:v>Pending evidence</x:v>
      </x:c>
      <x:c r="AB611" s="117"/>
      <x:c r="AC611" s="117" t="str">
        <x:v>No qualifying accessibility conclusion established from the screened sources. This is unknown, not evidence that the attraction is inaccessible.</x:v>
      </x:c>
      <x:c r="AD611" s="117" t="str">
        <x:v>2026-09-08</x:v>
      </x:c>
      <x:c r="AE611" s="117" t="str">
        <x:v>MC0608</x:v>
      </x:c>
      <x:c r="AF611" s="117" t="str">
        <x:v>Distinct candidate</x:v>
      </x:c>
      <x:c r="AG611" s="117" t="str"/>
      <x:c r="AH611" s="117" t="str">
        <x:v>Listed by Tourism Malaysia</x:v>
      </x:c>
      <x:c r="AI611" s="117" t="str">
        <x:v>https://ebrochures.malaysia.travel/en/malaysia-travel-guide/penang/</x:v>
      </x:c>
      <x:c r="AJ611" s="117" t="str">
        <x:v>Named visitor attraction in cited source; state-guide listings can be historical. Locality is catalogue metadata, not a surveyed address. Current operation remains unconfirmed.</x:v>
      </x:c>
      <x:c r="AK611" s="117" t="str">
        <x:v>Not independently confirmed</x:v>
      </x:c>
      <x:c r="AL611" s="117" t="str">
        <x:v>Screened sources; accessibility unresolved</x:v>
      </x:c>
      <x:c r="AM611" s="117" t="str">
        <x:v>2026-09-08</x:v>
      </x:c>
      <x:c r="AN611" s="117" t="str">
        <x:v>https://thumb.wikimedia.org/wikipedia/commons/thumb/f/f1/Melaka_Tropical_Fruit_Farm.jpg/1280px-Melaka_Tropical_Fruit_Farm.jpg?utm_source=commons.wikimedia.org&amp;utm_campaign=imageinfo&amp;utm_content=thumbnail</x:v>
      </x:c>
      <x:c r="AO611" s="117" t="str">
        <x:v>https://thumb.wikimedia.org/wikipedia/commons/thumb/d/dc/Melaka_Tropical_Fruit_Farm_-_Interior.jpg/1280px-Melaka_Tropical_Fruit_Farm_-_Interior.jpg?utm_source=commons.wikimedia.org&amp;utm_campaign=imageinfo&amp;utm_content=thumbnail</x:v>
      </x:c>
      <x:c r="AP611" s="117" t="str">
        <x:v>2 metadata-matched images; visual review pending</x:v>
      </x:c>
      <x:c r="AQ611" s="117"/>
    </x:row>
    <x:row r="612" ht="66" customHeight="1">
      <x:c r="A612" s="117" t="str">
        <x:v>MC0609</x:v>
      </x:c>
      <x:c r="B612" s="117" t="str">
        <x:v>Penang Batik Factory</x:v>
      </x:c>
      <x:c r="C612" s="117" t="str">
        <x:v>Penang</x:v>
      </x:c>
      <x:c r="D612" s="117" t="str">
        <x:v>Teluk Bahang</x:v>
      </x:c>
      <x:c r="E612" s="117" t="str">
        <x:v>Farm and Visitor Experience</x:v>
      </x:c>
      <x:c r="F612" s="117" t="str">
        <x:v>Unclassified</x:v>
      </x:c>
      <x:c r="G612" s="117" t="str">
        <x:v>Both</x:v>
      </x:c>
      <x:c r="H612" s="117" t="str">
        <x:v>Farm and Visitor Experience; Teluk Bahang</x:v>
      </x:c>
      <x:c r="I612" s="117" t="str">
        <x:v>A visitor attraction in Teluk Bahang, Penang, listed in Tourism Malaysia's state travel guide. Venue operation and the precise accessible route require confirmation.</x:v>
      </x:c>
      <x:c r="J612" s="117" t="str">
        <x:v>https://ebrochures.malaysia.travel/en/malaysia-travel-guide/penang/</x:v>
      </x:c>
      <x:c r="K612" s="117" t="str">
        <x:v>https://ebrochures.malaysia.travel/en/malaysia-travel-guide/penang/</x:v>
      </x:c>
      <x:c r="L612" s="117" t="str">
        <x:v>Tourism Malaysia listing; operation unconfirmed</x:v>
      </x:c>
      <x:c r="M612" s="117" t="str">
        <x:v>Nationwide expansion 2026-09-08</x:v>
      </x:c>
      <x:c r="N612" s="117"/>
      <x:c r="O612" s="117" t="str">
        <x:v>2026-09-08</x:v>
      </x:c>
      <x:c r="P612" s="117" t="str">
        <x:v>Complete</x:v>
      </x:c>
      <x:c r="Q612" s="117"/>
      <x:c r="R612" s="117" t="str">
        <x:f>IF(J612="","Missing Link",IF(AND(ISNUMBER(SEARCH("google.com/maps",J612)),ISERROR(SEARCH(";",J612))),"Discovery Link Only","Source Link Present"))</x:f>
        <x:v>Source Link Present</x:v>
      </x:c>
      <x:c r="S612" s="117" t="str">
        <x:v>Unknown</x:v>
      </x:c>
      <x:c r="T612" s="117" t="str">
        <x:v>Unknown</x:v>
      </x:c>
      <x:c r="U612" s="117" t="str">
        <x:v>Unknown</x:v>
      </x:c>
      <x:c r="V612" s="117" t="str">
        <x:v>Unknown</x:v>
      </x:c>
      <x:c r="W612" s="117" t="str">
        <x:v>Unknown</x:v>
      </x:c>
      <x:c r="X612" s="117" t="str">
        <x:v>Unknown</x:v>
      </x:c>
      <x:c r="Y612" s="117" t="str">
        <x:v>Unknown</x:v>
      </x:c>
      <x:c r="Z612" s="117"/>
      <x:c r="AA612" s="117" t="str">
        <x:v>Pending evidence</x:v>
      </x:c>
      <x:c r="AB612" s="117"/>
      <x:c r="AC612" s="117" t="str">
        <x:v>No qualifying accessibility conclusion established from the screened sources. This is unknown, not evidence that the attraction is inaccessible.</x:v>
      </x:c>
      <x:c r="AD612" s="117" t="str">
        <x:v>2026-09-08</x:v>
      </x:c>
      <x:c r="AE612" s="117" t="str">
        <x:v>MC0609</x:v>
      </x:c>
      <x:c r="AF612" s="117" t="str">
        <x:v>Distinct candidate</x:v>
      </x:c>
      <x:c r="AG612" s="117" t="str"/>
      <x:c r="AH612" s="117" t="str">
        <x:v>Listed by Tourism Malaysia</x:v>
      </x:c>
      <x:c r="AI612" s="117" t="str">
        <x:v>https://ebrochures.malaysia.travel/en/malaysia-travel-guide/penang/</x:v>
      </x:c>
      <x:c r="AJ612" s="117" t="str">
        <x:v>Named visitor attraction in cited source; state-guide listings can be historical. Locality is catalogue metadata, not a surveyed address. Current operation remains unconfirmed.</x:v>
      </x:c>
      <x:c r="AK612" s="117" t="str">
        <x:v>Not independently confirmed</x:v>
      </x:c>
      <x:c r="AL612" s="117" t="str">
        <x:v>Screened sources; accessibility unresolved</x:v>
      </x:c>
      <x:c r="AM612" s="117" t="str">
        <x:v>2026-09-08</x:v>
      </x:c>
      <x:c r="AN612" s="117"/>
      <x:c r="AO612" s="117"/>
      <x:c r="AP612" s="117" t="str">
        <x:v>No usable pair located; image research pending</x:v>
      </x:c>
      <x:c r="AQ612" s="117"/>
    </x:row>
    <x:row r="613" ht="66" customHeight="1">
      <x:c r="A613" s="117" t="str">
        <x:v>MC0610</x:v>
      </x:c>
      <x:c r="B613" s="117" t="str">
        <x:v>Penang Forestry Museum</x:v>
      </x:c>
      <x:c r="C613" s="117" t="str">
        <x:v>Penang</x:v>
      </x:c>
      <x:c r="D613" s="117" t="str">
        <x:v>Teluk Bahang</x:v>
      </x:c>
      <x:c r="E613" s="117" t="str">
        <x:v>Museum and Gallery</x:v>
      </x:c>
      <x:c r="F613" s="117" t="str">
        <x:v>Unclassified</x:v>
      </x:c>
      <x:c r="G613" s="117" t="str">
        <x:v>Indoor</x:v>
      </x:c>
      <x:c r="H613" s="117" t="str">
        <x:v>Museum and Gallery; Teluk Bahang</x:v>
      </x:c>
      <x:c r="I613" s="117" t="str">
        <x:v>A visitor attraction in Teluk Bahang, Penang, listed in Tourism Malaysia's state travel guide. Venue operation and the precise accessible route require confirmation.</x:v>
      </x:c>
      <x:c r="J613" s="117" t="str">
        <x:v>https://ebrochures.malaysia.travel/en/malaysia-travel-guide/penang/</x:v>
      </x:c>
      <x:c r="K613" s="117" t="str">
        <x:v>https://ebrochures.malaysia.travel/en/malaysia-travel-guide/penang/</x:v>
      </x:c>
      <x:c r="L613" s="117" t="str">
        <x:v>Tourism Malaysia listing; operation unconfirmed</x:v>
      </x:c>
      <x:c r="M613" s="117" t="str">
        <x:v>Nationwide expansion 2026-09-08</x:v>
      </x:c>
      <x:c r="N613" s="117"/>
      <x:c r="O613" s="117" t="str">
        <x:v>2026-09-08</x:v>
      </x:c>
      <x:c r="P613" s="117" t="str">
        <x:v>Complete</x:v>
      </x:c>
      <x:c r="Q613" s="117"/>
      <x:c r="R613" s="117" t="str">
        <x:f>IF(J613="","Missing Link",IF(AND(ISNUMBER(SEARCH("google.com/maps",J613)),ISERROR(SEARCH(";",J613))),"Discovery Link Only","Source Link Present"))</x:f>
        <x:v>Source Link Present</x:v>
      </x:c>
      <x:c r="S613" s="117" t="str">
        <x:v>Unknown</x:v>
      </x:c>
      <x:c r="T613" s="117" t="str">
        <x:v>Unknown</x:v>
      </x:c>
      <x:c r="U613" s="117" t="str">
        <x:v>Unknown</x:v>
      </x:c>
      <x:c r="V613" s="117" t="str">
        <x:v>Unknown</x:v>
      </x:c>
      <x:c r="W613" s="117" t="str">
        <x:v>Unknown</x:v>
      </x:c>
      <x:c r="X613" s="117" t="str">
        <x:v>Unknown</x:v>
      </x:c>
      <x:c r="Y613" s="117" t="str">
        <x:v>Unknown</x:v>
      </x:c>
      <x:c r="Z613" s="117"/>
      <x:c r="AA613" s="117" t="str">
        <x:v>Pending evidence</x:v>
      </x:c>
      <x:c r="AB613" s="117"/>
      <x:c r="AC613" s="117" t="str">
        <x:v>No qualifying accessibility conclusion established from the screened sources. This is unknown, not evidence that the attraction is inaccessible.</x:v>
      </x:c>
      <x:c r="AD613" s="117" t="str">
        <x:v>2026-09-08</x:v>
      </x:c>
      <x:c r="AE613" s="117" t="str">
        <x:v>MC0610</x:v>
      </x:c>
      <x:c r="AF613" s="117" t="str">
        <x:v>Distinct candidate</x:v>
      </x:c>
      <x:c r="AG613" s="117" t="str"/>
      <x:c r="AH613" s="117" t="str">
        <x:v>Listed by Tourism Malaysia</x:v>
      </x:c>
      <x:c r="AI613" s="117" t="str">
        <x:v>https://ebrochures.malaysia.travel/en/malaysia-travel-guide/penang/</x:v>
      </x:c>
      <x:c r="AJ613" s="117" t="str">
        <x:v>Named visitor attraction in cited source; state-guide listings can be historical. Locality is catalogue metadata, not a surveyed address. Current operation remains unconfirmed.</x:v>
      </x:c>
      <x:c r="AK613" s="117" t="str">
        <x:v>Not independently confirmed</x:v>
      </x:c>
      <x:c r="AL613" s="117" t="str">
        <x:v>Screened sources; accessibility unresolved</x:v>
      </x:c>
      <x:c r="AM613" s="117" t="str">
        <x:v>2026-09-08</x:v>
      </x:c>
      <x:c r="AN613" s="117"/>
      <x:c r="AO613" s="117"/>
      <x:c r="AP613" s="117" t="str">
        <x:v>No usable pair located; image research pending</x:v>
      </x:c>
      <x:c r="AQ613" s="117"/>
    </x:row>
    <x:row r="614" ht="66" customHeight="1">
      <x:c r="A614" s="117" t="str">
        <x:v>MC0611</x:v>
      </x:c>
      <x:c r="B614" s="117" t="str">
        <x:v>Penang Toy Museum</x:v>
      </x:c>
      <x:c r="C614" s="117" t="str">
        <x:v>Penang</x:v>
      </x:c>
      <x:c r="D614" s="117" t="str">
        <x:v>Teluk Bahang</x:v>
      </x:c>
      <x:c r="E614" s="117" t="str">
        <x:v>Museum and Gallery</x:v>
      </x:c>
      <x:c r="F614" s="117" t="str">
        <x:v>Unclassified</x:v>
      </x:c>
      <x:c r="G614" s="117" t="str">
        <x:v>Indoor</x:v>
      </x:c>
      <x:c r="H614" s="117" t="str">
        <x:v>Museum and Gallery; Teluk Bahang</x:v>
      </x:c>
      <x:c r="I614" s="117" t="str">
        <x:v>A visitor attraction in Teluk Bahang, Penang, listed in Tourism Malaysia's state travel guide. Venue operation and the precise accessible route require confirmation.</x:v>
      </x:c>
      <x:c r="J614" s="117" t="str">
        <x:v>https://ebrochures.malaysia.travel/en/malaysia-travel-guide/penang/</x:v>
      </x:c>
      <x:c r="K614" s="117" t="str">
        <x:v>https://ebrochures.malaysia.travel/en/malaysia-travel-guide/penang/</x:v>
      </x:c>
      <x:c r="L614" s="117" t="str">
        <x:v>Tourism Malaysia listing; operation unconfirmed</x:v>
      </x:c>
      <x:c r="M614" s="117" t="str">
        <x:v>Nationwide expansion 2026-09-08</x:v>
      </x:c>
      <x:c r="N614" s="117"/>
      <x:c r="O614" s="117" t="str">
        <x:v>2026-09-08</x:v>
      </x:c>
      <x:c r="P614" s="117" t="str">
        <x:v>Complete</x:v>
      </x:c>
      <x:c r="Q614" s="117"/>
      <x:c r="R614" s="117" t="str">
        <x:f>IF(J614="","Missing Link",IF(AND(ISNUMBER(SEARCH("google.com/maps",J614)),ISERROR(SEARCH(";",J614))),"Discovery Link Only","Source Link Present"))</x:f>
        <x:v>Source Link Present</x:v>
      </x:c>
      <x:c r="S614" s="117" t="str">
        <x:v>Unknown</x:v>
      </x:c>
      <x:c r="T614" s="117" t="str">
        <x:v>Unknown</x:v>
      </x:c>
      <x:c r="U614" s="117" t="str">
        <x:v>Unknown</x:v>
      </x:c>
      <x:c r="V614" s="117" t="str">
        <x:v>Unknown</x:v>
      </x:c>
      <x:c r="W614" s="117" t="str">
        <x:v>Unknown</x:v>
      </x:c>
      <x:c r="X614" s="117" t="str">
        <x:v>Unknown</x:v>
      </x:c>
      <x:c r="Y614" s="117" t="str">
        <x:v>Unknown</x:v>
      </x:c>
      <x:c r="Z614" s="117"/>
      <x:c r="AA614" s="117" t="str">
        <x:v>Pending evidence</x:v>
      </x:c>
      <x:c r="AB614" s="117"/>
      <x:c r="AC614" s="117" t="str">
        <x:v>No qualifying accessibility conclusion established from the screened sources. This is unknown, not evidence that the attraction is inaccessible.</x:v>
      </x:c>
      <x:c r="AD614" s="117" t="str">
        <x:v>2026-09-08</x:v>
      </x:c>
      <x:c r="AE614" s="117" t="str">
        <x:v>MC0611</x:v>
      </x:c>
      <x:c r="AF614" s="117" t="str">
        <x:v>Distinct candidate</x:v>
      </x:c>
      <x:c r="AG614" s="117" t="str"/>
      <x:c r="AH614" s="117" t="str">
        <x:v>Listed by Tourism Malaysia</x:v>
      </x:c>
      <x:c r="AI614" s="117" t="str">
        <x:v>https://ebrochures.malaysia.travel/en/malaysia-travel-guide/penang/</x:v>
      </x:c>
      <x:c r="AJ614" s="117" t="str">
        <x:v>Named visitor attraction in cited source; state-guide listings can be historical. Locality is catalogue metadata, not a surveyed address. Current operation remains unconfirmed.</x:v>
      </x:c>
      <x:c r="AK614" s="117" t="str">
        <x:v>Not independently confirmed</x:v>
      </x:c>
      <x:c r="AL614" s="117" t="str">
        <x:v>Screened sources; accessibility unresolved</x:v>
      </x:c>
      <x:c r="AM614" s="117" t="str">
        <x:v>2026-09-08</x:v>
      </x:c>
      <x:c r="AN614" s="117"/>
      <x:c r="AO614" s="117"/>
      <x:c r="AP614" s="117" t="str">
        <x:v>No usable pair located; image research pending</x:v>
      </x:c>
      <x:c r="AQ614" s="117"/>
    </x:row>
    <x:row r="615" ht="66" customHeight="1">
      <x:c r="A615" s="117" t="str">
        <x:v>MC0612</x:v>
      </x:c>
      <x:c r="B615" s="117" t="str">
        <x:v>TeddyVille Museum</x:v>
      </x:c>
      <x:c r="C615" s="117" t="str">
        <x:v>Penang</x:v>
      </x:c>
      <x:c r="D615" s="117" t="str">
        <x:v>Batu Ferringhi</x:v>
      </x:c>
      <x:c r="E615" s="117" t="str">
        <x:v>Museum and Gallery</x:v>
      </x:c>
      <x:c r="F615" s="117" t="str">
        <x:v>Unclassified</x:v>
      </x:c>
      <x:c r="G615" s="117" t="str">
        <x:v>Indoor</x:v>
      </x:c>
      <x:c r="H615" s="117" t="str">
        <x:v>Museum and Gallery; Batu Ferringhi</x:v>
      </x:c>
      <x:c r="I615" s="117" t="str">
        <x:v>A visitor attraction in Batu Ferringhi, Penang, listed in Tourism Malaysia's state travel guide. Venue operation and the precise accessible route require confirmation.</x:v>
      </x:c>
      <x:c r="J615" s="117" t="str">
        <x:v>https://ebrochures.malaysia.travel/en/malaysia-travel-guide/penang/</x:v>
      </x:c>
      <x:c r="K615" s="117" t="str">
        <x:v>https://ebrochures.malaysia.travel/en/malaysia-travel-guide/penang/</x:v>
      </x:c>
      <x:c r="L615" s="117" t="str">
        <x:v>Tourism Malaysia listing; operation unconfirmed</x:v>
      </x:c>
      <x:c r="M615" s="117" t="str">
        <x:v>Nationwide expansion 2026-09-08</x:v>
      </x:c>
      <x:c r="N615" s="117"/>
      <x:c r="O615" s="117" t="str">
        <x:v>2026-09-08</x:v>
      </x:c>
      <x:c r="P615" s="117" t="str">
        <x:v>Complete</x:v>
      </x:c>
      <x:c r="Q615" s="117"/>
      <x:c r="R615" s="117" t="str">
        <x:f>IF(J615="","Missing Link",IF(AND(ISNUMBER(SEARCH("google.com/maps",J615)),ISERROR(SEARCH(";",J615))),"Discovery Link Only","Source Link Present"))</x:f>
        <x:v>Source Link Present</x:v>
      </x:c>
      <x:c r="S615" s="117" t="str">
        <x:v>Unknown</x:v>
      </x:c>
      <x:c r="T615" s="117" t="str">
        <x:v>Unknown</x:v>
      </x:c>
      <x:c r="U615" s="117" t="str">
        <x:v>Unknown</x:v>
      </x:c>
      <x:c r="V615" s="117" t="str">
        <x:v>Unknown</x:v>
      </x:c>
      <x:c r="W615" s="117" t="str">
        <x:v>Unknown</x:v>
      </x:c>
      <x:c r="X615" s="117" t="str">
        <x:v>Unknown</x:v>
      </x:c>
      <x:c r="Y615" s="117" t="str">
        <x:v>Unknown</x:v>
      </x:c>
      <x:c r="Z615" s="117"/>
      <x:c r="AA615" s="117" t="str">
        <x:v>Pending evidence</x:v>
      </x:c>
      <x:c r="AB615" s="117"/>
      <x:c r="AC615" s="117" t="str">
        <x:v>No qualifying accessibility conclusion established from the screened sources. This is unknown, not evidence that the attraction is inaccessible.</x:v>
      </x:c>
      <x:c r="AD615" s="117" t="str">
        <x:v>2026-09-08</x:v>
      </x:c>
      <x:c r="AE615" s="117" t="str">
        <x:v>MC0612</x:v>
      </x:c>
      <x:c r="AF615" s="117" t="str">
        <x:v>Distinct candidate</x:v>
      </x:c>
      <x:c r="AG615" s="117" t="str"/>
      <x:c r="AH615" s="117" t="str">
        <x:v>Listed by Tourism Malaysia</x:v>
      </x:c>
      <x:c r="AI615" s="117" t="str">
        <x:v>https://ebrochures.malaysia.travel/en/malaysia-travel-guide/penang/</x:v>
      </x:c>
      <x:c r="AJ615" s="117" t="str">
        <x:v>Named visitor attraction in cited source; state-guide listings can be historical. Locality is catalogue metadata, not a surveyed address. Current operation remains unconfirmed.</x:v>
      </x:c>
      <x:c r="AK615" s="117" t="str">
        <x:v>Not independently confirmed</x:v>
      </x:c>
      <x:c r="AL615" s="117" t="str">
        <x:v>Screened sources; accessibility unresolved</x:v>
      </x:c>
      <x:c r="AM615" s="117" t="str">
        <x:v>2026-09-08</x:v>
      </x:c>
      <x:c r="AN615" s="117"/>
      <x:c r="AO615" s="117"/>
      <x:c r="AP615" s="117" t="str">
        <x:v>No usable pair located; image research pending</x:v>
      </x:c>
      <x:c r="AQ615" s="117"/>
    </x:row>
    <x:row r="616" ht="66" customHeight="1">
      <x:c r="A616" s="117" t="str">
        <x:v>MC0613</x:v>
      </x:c>
      <x:c r="B616" s="117" t="str">
        <x:v>Tuanku Fauziah Museum and Gallery</x:v>
      </x:c>
      <x:c r="C616" s="117" t="str">
        <x:v>Penang</x:v>
      </x:c>
      <x:c r="D616" s="117" t="str">
        <x:v>Gelugor</x:v>
      </x:c>
      <x:c r="E616" s="117" t="str">
        <x:v>Museum and Gallery</x:v>
      </x:c>
      <x:c r="F616" s="117" t="str">
        <x:v>Unclassified</x:v>
      </x:c>
      <x:c r="G616" s="117" t="str">
        <x:v>Indoor</x:v>
      </x:c>
      <x:c r="H616" s="117" t="str">
        <x:v>Museum and Gallery; Gelugor</x:v>
      </x:c>
      <x:c r="I616" s="117" t="str">
        <x:v>A visitor attraction in Gelugor, Penang, listed in Tourism Malaysia's state travel guide. Venue operation and the precise accessible route require confirmation.</x:v>
      </x:c>
      <x:c r="J616" s="117" t="str">
        <x:v>https://ebrochures.malaysia.travel/en/malaysia-travel-guide/penang/</x:v>
      </x:c>
      <x:c r="K616" s="117" t="str">
        <x:v>https://ebrochures.malaysia.travel/en/malaysia-travel-guide/penang/</x:v>
      </x:c>
      <x:c r="L616" s="117" t="str">
        <x:v>Tourism Malaysia listing; operation unconfirmed</x:v>
      </x:c>
      <x:c r="M616" s="117" t="str">
        <x:v>Nationwide expansion 2026-09-08</x:v>
      </x:c>
      <x:c r="N616" s="117"/>
      <x:c r="O616" s="117" t="str">
        <x:v>2026-09-08</x:v>
      </x:c>
      <x:c r="P616" s="117" t="str">
        <x:v>Complete</x:v>
      </x:c>
      <x:c r="Q616" s="117"/>
      <x:c r="R616" s="117" t="str">
        <x:f>IF(J616="","Missing Link",IF(AND(ISNUMBER(SEARCH("google.com/maps",J616)),ISERROR(SEARCH(";",J616))),"Discovery Link Only","Source Link Present"))</x:f>
        <x:v>Source Link Present</x:v>
      </x:c>
      <x:c r="S616" s="117" t="str">
        <x:v>Unknown</x:v>
      </x:c>
      <x:c r="T616" s="117" t="str">
        <x:v>Unknown</x:v>
      </x:c>
      <x:c r="U616" s="117" t="str">
        <x:v>Unknown</x:v>
      </x:c>
      <x:c r="V616" s="117" t="str">
        <x:v>Unknown</x:v>
      </x:c>
      <x:c r="W616" s="117" t="str">
        <x:v>Unknown</x:v>
      </x:c>
      <x:c r="X616" s="117" t="str">
        <x:v>Unknown</x:v>
      </x:c>
      <x:c r="Y616" s="117" t="str">
        <x:v>Unknown</x:v>
      </x:c>
      <x:c r="Z616" s="117"/>
      <x:c r="AA616" s="117" t="str">
        <x:v>Pending evidence</x:v>
      </x:c>
      <x:c r="AB616" s="117"/>
      <x:c r="AC616" s="117" t="str">
        <x:v>No qualifying accessibility conclusion established from the screened sources. This is unknown, not evidence that the attraction is inaccessible.</x:v>
      </x:c>
      <x:c r="AD616" s="117" t="str">
        <x:v>2026-09-08</x:v>
      </x:c>
      <x:c r="AE616" s="117" t="str">
        <x:v>MC0613</x:v>
      </x:c>
      <x:c r="AF616" s="117" t="str">
        <x:v>Distinct candidate</x:v>
      </x:c>
      <x:c r="AG616" s="117" t="str"/>
      <x:c r="AH616" s="117" t="str">
        <x:v>Listed by Tourism Malaysia</x:v>
      </x:c>
      <x:c r="AI616" s="117" t="str">
        <x:v>https://ebrochures.malaysia.travel/en/malaysia-travel-guide/penang/</x:v>
      </x:c>
      <x:c r="AJ616" s="117" t="str">
        <x:v>Named visitor attraction in cited source; state-guide listings can be historical. Locality is catalogue metadata, not a surveyed address. Current operation remains unconfirmed.</x:v>
      </x:c>
      <x:c r="AK616" s="117" t="str">
        <x:v>Not independently confirmed</x:v>
      </x:c>
      <x:c r="AL616" s="117" t="str">
        <x:v>Screened sources; accessibility unresolved</x:v>
      </x:c>
      <x:c r="AM616" s="117" t="str">
        <x:v>2026-09-08</x:v>
      </x:c>
      <x:c r="AN616" s="117"/>
      <x:c r="AO616" s="117"/>
      <x:c r="AP616" s="117" t="str">
        <x:v>No usable pair located; image research pending</x:v>
      </x:c>
      <x:c r="AQ616" s="117"/>
    </x:row>
    <x:row r="617" ht="66" customHeight="1">
      <x:c r="A617" s="117" t="str">
        <x:v>MC0614</x:v>
      </x:c>
      <x:c r="B617" s="117" t="str">
        <x:v>Cherok Tokun Nature Park</x:v>
      </x:c>
      <x:c r="C617" s="117" t="str">
        <x:v>Penang</x:v>
      </x:c>
      <x:c r="D617" s="117" t="str">
        <x:v>Bukit Mertajam</x:v>
      </x:c>
      <x:c r="E617" s="117" t="str">
        <x:v>Nature</x:v>
      </x:c>
      <x:c r="F617" s="117" t="str">
        <x:v>Unclassified</x:v>
      </x:c>
      <x:c r="G617" s="117" t="str">
        <x:v>Outdoor</x:v>
      </x:c>
      <x:c r="H617" s="117" t="str">
        <x:v>Nature; Bukit Mertajam</x:v>
      </x:c>
      <x:c r="I617" s="117" t="str">
        <x:v>A visitor attraction in Bukit Mertajam, Penang, listed in Tourism Malaysia's state travel guide. Venue operation and the precise accessible route require confirmation.</x:v>
      </x:c>
      <x:c r="J617" s="117" t="str">
        <x:v>https://ebrochures.malaysia.travel/en/malaysia-travel-guide/penang/</x:v>
      </x:c>
      <x:c r="K617" s="117" t="str">
        <x:v>https://ebrochures.malaysia.travel/en/malaysia-travel-guide/penang/</x:v>
      </x:c>
      <x:c r="L617" s="117" t="str">
        <x:v>Tourism Malaysia listing; operation unconfirmed</x:v>
      </x:c>
      <x:c r="M617" s="117" t="str">
        <x:v>Nationwide expansion 2026-09-08</x:v>
      </x:c>
      <x:c r="N617" s="117"/>
      <x:c r="O617" s="117" t="str">
        <x:v>2026-09-08</x:v>
      </x:c>
      <x:c r="P617" s="117" t="str">
        <x:v>Complete</x:v>
      </x:c>
      <x:c r="Q617" s="117"/>
      <x:c r="R617" s="117" t="str">
        <x:f>IF(J617="","Missing Link",IF(AND(ISNUMBER(SEARCH("google.com/maps",J617)),ISERROR(SEARCH(";",J617))),"Discovery Link Only","Source Link Present"))</x:f>
        <x:v>Source Link Present</x:v>
      </x:c>
      <x:c r="S617" s="117" t="str">
        <x:v>Unknown</x:v>
      </x:c>
      <x:c r="T617" s="117" t="str">
        <x:v>Unknown</x:v>
      </x:c>
      <x:c r="U617" s="117" t="str">
        <x:v>Unknown</x:v>
      </x:c>
      <x:c r="V617" s="117" t="str">
        <x:v>Unknown</x:v>
      </x:c>
      <x:c r="W617" s="117" t="str">
        <x:v>Unknown</x:v>
      </x:c>
      <x:c r="X617" s="117" t="str">
        <x:v>Unknown</x:v>
      </x:c>
      <x:c r="Y617" s="117" t="str">
        <x:v>Unknown</x:v>
      </x:c>
      <x:c r="Z617" s="117"/>
      <x:c r="AA617" s="117" t="str">
        <x:v>Pending evidence</x:v>
      </x:c>
      <x:c r="AB617" s="117"/>
      <x:c r="AC617" s="117" t="str">
        <x:v>No qualifying accessibility conclusion established from the screened sources. This is unknown, not evidence that the attraction is inaccessible.</x:v>
      </x:c>
      <x:c r="AD617" s="117" t="str">
        <x:v>2026-09-08</x:v>
      </x:c>
      <x:c r="AE617" s="117" t="str">
        <x:v>MC0614</x:v>
      </x:c>
      <x:c r="AF617" s="117" t="str">
        <x:v>Distinct candidate</x:v>
      </x:c>
      <x:c r="AG617" s="117" t="str"/>
      <x:c r="AH617" s="117" t="str">
        <x:v>Listed by Tourism Malaysia</x:v>
      </x:c>
      <x:c r="AI617" s="117" t="str">
        <x:v>https://ebrochures.malaysia.travel/en/malaysia-travel-guide/penang/</x:v>
      </x:c>
      <x:c r="AJ617" s="117" t="str">
        <x:v>Named visitor attraction in cited source; state-guide listings can be historical. Locality is catalogue metadata, not a surveyed address. Current operation remains unconfirmed.</x:v>
      </x:c>
      <x:c r="AK617" s="117" t="str">
        <x:v>Not independently confirmed</x:v>
      </x:c>
      <x:c r="AL617" s="117" t="str">
        <x:v>Screened sources; accessibility unresolved</x:v>
      </x:c>
      <x:c r="AM617" s="117" t="str">
        <x:v>2026-09-08</x:v>
      </x:c>
      <x:c r="AN617" s="117"/>
      <x:c r="AO617" s="117"/>
      <x:c r="AP617" s="117" t="str">
        <x:v>No usable pair located; image research pending</x:v>
      </x:c>
      <x:c r="AQ617" s="117"/>
    </x:row>
    <x:row r="618" ht="66" customHeight="1">
      <x:c r="A618" s="117" t="str">
        <x:v>MC0615</x:v>
      </x:c>
      <x:c r="B618" s="117" t="str">
        <x:v>Pulau Aman</x:v>
      </x:c>
      <x:c r="C618" s="117" t="str">
        <x:v>Penang</x:v>
      </x:c>
      <x:c r="D618" s="117" t="str">
        <x:v>Seberang Perai Selatan</x:v>
      </x:c>
      <x:c r="E618" s="117" t="str">
        <x:v>Beach and Island</x:v>
      </x:c>
      <x:c r="F618" s="117" t="str">
        <x:v>Unclassified</x:v>
      </x:c>
      <x:c r="G618" s="117" t="str">
        <x:v>Outdoor</x:v>
      </x:c>
      <x:c r="H618" s="117" t="str">
        <x:v>Beach and Island; Seberang Perai Selatan</x:v>
      </x:c>
      <x:c r="I618" s="117" t="str">
        <x:v>A visitor attraction in Seberang Perai Selatan, Penang, listed in Tourism Malaysia's state travel guide. Venue operation and the precise accessible route require confirmation.</x:v>
      </x:c>
      <x:c r="J618" s="117" t="str">
        <x:v>https://ebrochures.malaysia.travel/en/malaysia-travel-guide/penang/</x:v>
      </x:c>
      <x:c r="K618" s="117" t="str">
        <x:v>https://ebrochures.malaysia.travel/en/malaysia-travel-guide/penang/</x:v>
      </x:c>
      <x:c r="L618" s="117" t="str">
        <x:v>Tourism Malaysia listing; operation unconfirmed</x:v>
      </x:c>
      <x:c r="M618" s="117" t="str">
        <x:v>Nationwide expansion 2026-09-08</x:v>
      </x:c>
      <x:c r="N618" s="117"/>
      <x:c r="O618" s="117" t="str">
        <x:v>2026-09-08</x:v>
      </x:c>
      <x:c r="P618" s="117" t="str">
        <x:v>Complete</x:v>
      </x:c>
      <x:c r="Q618" s="117"/>
      <x:c r="R618" s="117" t="str">
        <x:f>IF(J618="","Missing Link",IF(AND(ISNUMBER(SEARCH("google.com/maps",J618)),ISERROR(SEARCH(";",J618))),"Discovery Link Only","Source Link Present"))</x:f>
        <x:v>Source Link Present</x:v>
      </x:c>
      <x:c r="S618" s="117" t="str">
        <x:v>Unknown</x:v>
      </x:c>
      <x:c r="T618" s="117" t="str">
        <x:v>Unknown</x:v>
      </x:c>
      <x:c r="U618" s="117" t="str">
        <x:v>Unknown</x:v>
      </x:c>
      <x:c r="V618" s="117" t="str">
        <x:v>Unknown</x:v>
      </x:c>
      <x:c r="W618" s="117" t="str">
        <x:v>Unknown</x:v>
      </x:c>
      <x:c r="X618" s="117" t="str">
        <x:v>Unknown</x:v>
      </x:c>
      <x:c r="Y618" s="117" t="str">
        <x:v>Unknown</x:v>
      </x:c>
      <x:c r="Z618" s="117"/>
      <x:c r="AA618" s="117" t="str">
        <x:v>Pending evidence</x:v>
      </x:c>
      <x:c r="AB618" s="117"/>
      <x:c r="AC618" s="117" t="str">
        <x:v>No qualifying accessibility conclusion established from the screened sources. This is unknown, not evidence that the attraction is inaccessible.</x:v>
      </x:c>
      <x:c r="AD618" s="117" t="str">
        <x:v>2026-09-08</x:v>
      </x:c>
      <x:c r="AE618" s="117" t="str">
        <x:v>MC0615</x:v>
      </x:c>
      <x:c r="AF618" s="117" t="str">
        <x:v>Distinct candidate</x:v>
      </x:c>
      <x:c r="AG618" s="117" t="str"/>
      <x:c r="AH618" s="117" t="str">
        <x:v>Listed by Tourism Malaysia</x:v>
      </x:c>
      <x:c r="AI618" s="117" t="str">
        <x:v>https://ebrochures.malaysia.travel/en/malaysia-travel-guide/penang/</x:v>
      </x:c>
      <x:c r="AJ618" s="117" t="str">
        <x:v>Named visitor attraction in cited source; state-guide listings can be historical. Locality is catalogue metadata, not a surveyed address. Current operation remains unconfirmed.</x:v>
      </x:c>
      <x:c r="AK618" s="117" t="str">
        <x:v>Not independently confirmed</x:v>
      </x:c>
      <x:c r="AL618" s="117" t="str">
        <x:v>Screened sources; accessibility unresolved</x:v>
      </x:c>
      <x:c r="AM618" s="117" t="str">
        <x:v>2026-09-08</x:v>
      </x:c>
      <x:c r="AN618" s="117" t="str">
        <x:v>https://thumb.wikimedia.org/wikipedia/commons/thumb/a/a0/Sekolah_Kebangsaan_Pulau_Aman%2C_Pulau_Aman_%28220904%29_1.jpg/1280px-Sekolah_Kebangsaan_Pulau_Aman%2C_Pulau_Aman_%28220904%29_1.jpg?utm_source=commons.wikimedia.org&amp;utm_campaign=imageinfo&amp;utm_content=thumbnail</x:v>
      </x:c>
      <x:c r="AO618" s="117" t="str">
        <x:v>https://thumb.wikimedia.org/wikipedia/commons/thumb/5/5b/Pulau_Aman.JPG/1280px-Pulau_Aman.JPG?utm_source=commons.wikimedia.org&amp;utm_campaign=imageinfo&amp;utm_content=thumbnail</x:v>
      </x:c>
      <x:c r="AP618" s="117" t="str">
        <x:v>2 metadata-matched images; visual review pending</x:v>
      </x:c>
      <x:c r="AQ618" s="117"/>
    </x:row>
    <x:row r="619" ht="66" customHeight="1">
      <x:c r="A619" s="117" t="str">
        <x:v>MC0616</x:v>
      </x:c>
      <x:c r="B619" s="117" t="str">
        <x:v>Titi Kerawang Waterfall</x:v>
      </x:c>
      <x:c r="C619" s="117" t="str">
        <x:v>Penang</x:v>
      </x:c>
      <x:c r="D619" s="117" t="str">
        <x:v>Balik Pulau</x:v>
      </x:c>
      <x:c r="E619" s="117" t="str">
        <x:v>Nature</x:v>
      </x:c>
      <x:c r="F619" s="117" t="str">
        <x:v>Unclassified</x:v>
      </x:c>
      <x:c r="G619" s="117" t="str">
        <x:v>Outdoor</x:v>
      </x:c>
      <x:c r="H619" s="117" t="str">
        <x:v>Nature; Balik Pulau</x:v>
      </x:c>
      <x:c r="I619" s="117" t="str">
        <x:v>A visitor attraction in Balik Pulau, Penang, listed in Tourism Malaysia's state travel guide. Venue operation and the precise accessible route require confirmation.</x:v>
      </x:c>
      <x:c r="J619" s="117" t="str">
        <x:v>https://ebrochures.malaysia.travel/en/malaysia-travel-guide/penang/</x:v>
      </x:c>
      <x:c r="K619" s="117" t="str">
        <x:v>https://ebrochures.malaysia.travel/en/malaysia-travel-guide/penang/</x:v>
      </x:c>
      <x:c r="L619" s="117" t="str">
        <x:v>Tourism Malaysia listing; operation unconfirmed</x:v>
      </x:c>
      <x:c r="M619" s="117" t="str">
        <x:v>Nationwide expansion 2026-09-08</x:v>
      </x:c>
      <x:c r="N619" s="117"/>
      <x:c r="O619" s="117" t="str">
        <x:v>2026-09-08</x:v>
      </x:c>
      <x:c r="P619" s="117" t="str">
        <x:v>Complete</x:v>
      </x:c>
      <x:c r="Q619" s="117"/>
      <x:c r="R619" s="117" t="str">
        <x:f>IF(J619="","Missing Link",IF(AND(ISNUMBER(SEARCH("google.com/maps",J619)),ISERROR(SEARCH(";",J619))),"Discovery Link Only","Source Link Present"))</x:f>
        <x:v>Source Link Present</x:v>
      </x:c>
      <x:c r="S619" s="117" t="str">
        <x:v>Unknown</x:v>
      </x:c>
      <x:c r="T619" s="117" t="str">
        <x:v>Unknown</x:v>
      </x:c>
      <x:c r="U619" s="117" t="str">
        <x:v>Unknown</x:v>
      </x:c>
      <x:c r="V619" s="117" t="str">
        <x:v>Unknown</x:v>
      </x:c>
      <x:c r="W619" s="117" t="str">
        <x:v>Unknown</x:v>
      </x:c>
      <x:c r="X619" s="117" t="str">
        <x:v>Unknown</x:v>
      </x:c>
      <x:c r="Y619" s="117" t="str">
        <x:v>Unknown</x:v>
      </x:c>
      <x:c r="Z619" s="117"/>
      <x:c r="AA619" s="117" t="str">
        <x:v>Pending evidence</x:v>
      </x:c>
      <x:c r="AB619" s="117"/>
      <x:c r="AC619" s="117" t="str">
        <x:v>No qualifying accessibility conclusion established from the screened sources. This is unknown, not evidence that the attraction is inaccessible.</x:v>
      </x:c>
      <x:c r="AD619" s="117" t="str">
        <x:v>2026-09-08</x:v>
      </x:c>
      <x:c r="AE619" s="117" t="str">
        <x:v>MC0616</x:v>
      </x:c>
      <x:c r="AF619" s="117" t="str">
        <x:v>Distinct candidate</x:v>
      </x:c>
      <x:c r="AG619" s="117" t="str"/>
      <x:c r="AH619" s="117" t="str">
        <x:v>Listed by Tourism Malaysia</x:v>
      </x:c>
      <x:c r="AI619" s="117" t="str">
        <x:v>https://ebrochures.malaysia.travel/en/malaysia-travel-guide/penang/</x:v>
      </x:c>
      <x:c r="AJ619" s="117" t="str">
        <x:v>Named visitor attraction in cited source; state-guide listings can be historical. Locality is catalogue metadata, not a surveyed address. Current operation remains unconfirmed.</x:v>
      </x:c>
      <x:c r="AK619" s="117" t="str">
        <x:v>Not independently confirmed</x:v>
      </x:c>
      <x:c r="AL619" s="117" t="str">
        <x:v>Screened sources; accessibility unresolved</x:v>
      </x:c>
      <x:c r="AM619" s="117" t="str">
        <x:v>2026-09-08</x:v>
      </x:c>
      <x:c r="AN619" s="117"/>
      <x:c r="AO619" s="117"/>
      <x:c r="AP619" s="117" t="str">
        <x:v>No usable pair located; image research pending</x:v>
      </x:c>
      <x:c r="AQ619" s="117"/>
    </x:row>
    <x:row r="620" ht="66" customHeight="1">
      <x:c r="A620" s="117" t="str">
        <x:v>MC0617</x:v>
      </x:c>
      <x:c r="B620" s="117" t="str">
        <x:v>Countryside Stables Penang</x:v>
      </x:c>
      <x:c r="C620" s="117" t="str">
        <x:v>Penang</x:v>
      </x:c>
      <x:c r="D620" s="117" t="str">
        <x:v>Balik Pulau</x:v>
      </x:c>
      <x:c r="E620" s="117" t="str">
        <x:v>Heritage and Visitor Attraction</x:v>
      </x:c>
      <x:c r="F620" s="117" t="str">
        <x:v>Unclassified</x:v>
      </x:c>
      <x:c r="G620" s="117" t="str">
        <x:v>Both</x:v>
      </x:c>
      <x:c r="H620" s="117" t="str">
        <x:v>Heritage and Visitor Attraction; Balik Pulau</x:v>
      </x:c>
      <x:c r="I620" s="117" t="str">
        <x:v>A visitor attraction in Balik Pulau, Penang, listed in Tourism Malaysia's state travel guide. Venue operation and the precise accessible route require confirmation.</x:v>
      </x:c>
      <x:c r="J620" s="117" t="str">
        <x:v>https://ebrochures.malaysia.travel/en/malaysia-travel-guide/penang/</x:v>
      </x:c>
      <x:c r="K620" s="117" t="str">
        <x:v>https://ebrochures.malaysia.travel/en/malaysia-travel-guide/penang/</x:v>
      </x:c>
      <x:c r="L620" s="117" t="str">
        <x:v>Tourism Malaysia listing; operation unconfirmed</x:v>
      </x:c>
      <x:c r="M620" s="117" t="str">
        <x:v>Nationwide expansion 2026-09-08</x:v>
      </x:c>
      <x:c r="N620" s="117"/>
      <x:c r="O620" s="117" t="str">
        <x:v>2026-09-08</x:v>
      </x:c>
      <x:c r="P620" s="117" t="str">
        <x:v>Complete</x:v>
      </x:c>
      <x:c r="Q620" s="117"/>
      <x:c r="R620" s="117" t="str">
        <x:f>IF(J620="","Missing Link",IF(AND(ISNUMBER(SEARCH("google.com/maps",J620)),ISERROR(SEARCH(";",J620))),"Discovery Link Only","Source Link Present"))</x:f>
        <x:v>Source Link Present</x:v>
      </x:c>
      <x:c r="S620" s="117" t="str">
        <x:v>Unknown</x:v>
      </x:c>
      <x:c r="T620" s="117" t="str">
        <x:v>Unknown</x:v>
      </x:c>
      <x:c r="U620" s="117" t="str">
        <x:v>Unknown</x:v>
      </x:c>
      <x:c r="V620" s="117" t="str">
        <x:v>Unknown</x:v>
      </x:c>
      <x:c r="W620" s="117" t="str">
        <x:v>Unknown</x:v>
      </x:c>
      <x:c r="X620" s="117" t="str">
        <x:v>Unknown</x:v>
      </x:c>
      <x:c r="Y620" s="117" t="str">
        <x:v>Unknown</x:v>
      </x:c>
      <x:c r="Z620" s="117"/>
      <x:c r="AA620" s="117" t="str">
        <x:v>Pending evidence</x:v>
      </x:c>
      <x:c r="AB620" s="117"/>
      <x:c r="AC620" s="117" t="str">
        <x:v>No qualifying accessibility conclusion established from the screened sources. This is unknown, not evidence that the attraction is inaccessible.</x:v>
      </x:c>
      <x:c r="AD620" s="117" t="str">
        <x:v>2026-09-08</x:v>
      </x:c>
      <x:c r="AE620" s="117" t="str">
        <x:v>MC0617</x:v>
      </x:c>
      <x:c r="AF620" s="117" t="str">
        <x:v>Distinct candidate</x:v>
      </x:c>
      <x:c r="AG620" s="117" t="str"/>
      <x:c r="AH620" s="117" t="str">
        <x:v>Listed by Tourism Malaysia</x:v>
      </x:c>
      <x:c r="AI620" s="117" t="str">
        <x:v>https://ebrochures.malaysia.travel/en/malaysia-travel-guide/penang/</x:v>
      </x:c>
      <x:c r="AJ620" s="117" t="str">
        <x:v>Named visitor attraction in cited source; state-guide listings can be historical. Locality is catalogue metadata, not a surveyed address. Current operation remains unconfirmed.</x:v>
      </x:c>
      <x:c r="AK620" s="117" t="str">
        <x:v>Not independently confirmed</x:v>
      </x:c>
      <x:c r="AL620" s="117" t="str">
        <x:v>Screened sources; accessibility unresolved</x:v>
      </x:c>
      <x:c r="AM620" s="117" t="str">
        <x:v>2026-09-08</x:v>
      </x:c>
      <x:c r="AN620" s="117"/>
      <x:c r="AO620" s="117"/>
      <x:c r="AP620" s="117" t="str">
        <x:v>No usable pair located; image research pending</x:v>
      </x:c>
      <x:c r="AQ620" s="117"/>
    </x:row>
    <x:row r="621" ht="66" customHeight="1">
      <x:c r="A621" s="117" t="str">
        <x:v>MC0618</x:v>
      </x:c>
      <x:c r="B621" s="117" t="str">
        <x:v>The Habitat Penang Hill</x:v>
      </x:c>
      <x:c r="C621" s="117" t="str">
        <x:v>Penang</x:v>
      </x:c>
      <x:c r="D621" s="117" t="str">
        <x:v>Penang Hill</x:v>
      </x:c>
      <x:c r="E621" s="117" t="str">
        <x:v>Nature</x:v>
      </x:c>
      <x:c r="F621" s="117" t="str">
        <x:v>Unclassified</x:v>
      </x:c>
      <x:c r="G621" s="117" t="str">
        <x:v>Outdoor</x:v>
      </x:c>
      <x:c r="H621" s="117" t="str">
        <x:v>Nature; Penang Hill</x:v>
      </x:c>
      <x:c r="I621" s="117" t="str">
        <x:v>A visitor attraction in Penang Hill, Penang, listed in Tourism Malaysia's state travel guide. Venue operation and the precise accessible route require confirmation.</x:v>
      </x:c>
      <x:c r="J621" s="117" t="str">
        <x:v>https://ebrochures.malaysia.travel/en/malaysia-travel-guide/penang/</x:v>
      </x:c>
      <x:c r="K621" s="117" t="str">
        <x:v>https://ebrochures.malaysia.travel/en/malaysia-travel-guide/penang/</x:v>
      </x:c>
      <x:c r="L621" s="117" t="str">
        <x:v>Tourism Malaysia listing; operation unconfirmed</x:v>
      </x:c>
      <x:c r="M621" s="117" t="str">
        <x:v>Nationwide expansion 2026-09-08</x:v>
      </x:c>
      <x:c r="N621" s="117"/>
      <x:c r="O621" s="117" t="str">
        <x:v>2026-09-08</x:v>
      </x:c>
      <x:c r="P621" s="117" t="str">
        <x:v>Complete</x:v>
      </x:c>
      <x:c r="Q621" s="117"/>
      <x:c r="R621" s="117" t="str">
        <x:f>IF(J621="","Missing Link",IF(AND(ISNUMBER(SEARCH("google.com/maps",J621)),ISERROR(SEARCH(";",J621))),"Discovery Link Only","Source Link Present"))</x:f>
        <x:v>Source Link Present</x:v>
      </x:c>
      <x:c r="S621" s="117" t="str">
        <x:v>Not measured</x:v>
      </x:c>
      <x:c r="T621" s="117" t="str">
        <x:v>Partial - reported</x:v>
      </x:c>
      <x:c r="U621" s="117" t="str">
        <x:v>Unknown</x:v>
      </x:c>
      <x:c r="V621" s="117" t="str">
        <x:v>Unknown</x:v>
      </x:c>
      <x:c r="W621" s="117" t="str">
        <x:v>Unknown</x:v>
      </x:c>
      <x:c r="X621" s="117" t="str">
        <x:v>Unknown</x:v>
      </x:c>
      <x:c r="Y621" s="117" t="str">
        <x:v>Conditional on mobility and route</x:v>
      </x:c>
      <x:c r="Z621" s="117" t="str">
        <x:v>A firsthand wheelchair-travel guide reports usable alternative routes with inclines, but steep steps exclude The Crest. The operator asks visitors needing assistance to make advance arrangements.</x:v>
      </x:c>
      <x:c r="AA621" s="117" t="str">
        <x:v>Reported support - confirm</x:v>
      </x:c>
      <x:c r="AB621" s="117" t="str">
        <x:v>https://onpenang.com/wheelchair-access-in-penang/
https://www.thehabitat.my/termsofvisit/</x:v>
      </x:c>
      <x:c r="AC621" s="117" t="str">
        <x:v>Selected nature-trail sections; elevated Crest excluded</x:v>
      </x:c>
      <x:c r="AD621" s="117" t="str">
        <x:v>2026-09-08</x:v>
      </x:c>
      <x:c r="AE621" s="117" t="str">
        <x:v>MC0618</x:v>
      </x:c>
      <x:c r="AF621" s="117" t="str">
        <x:v>Related site or component</x:v>
      </x:c>
      <x:c r="AG621" s="117" t="str">
        <x:v>MC0173</x:v>
      </x:c>
      <x:c r="AH621" s="117" t="str">
        <x:v>Venue-specific source reviewed</x:v>
      </x:c>
      <x:c r="AI621" s="117" t="str">
        <x:v>https://onpenang.com/wheelchair-access-in-penang/</x:v>
      </x:c>
      <x:c r="AJ621" s="117" t="str">
        <x:v>Named visitor attraction in cited source; state-guide listings can be historical. Locality is catalogue metadata, not a surveyed address. Current operation remains unconfirmed.</x:v>
      </x:c>
      <x:c r="AK621" s="117" t="str">
        <x:v>Not independently confirmed</x:v>
      </x:c>
      <x:c r="AL621" s="117" t="str">
        <x:v>Secondary accessibility evidence reviewed</x:v>
      </x:c>
      <x:c r="AM621" s="117" t="str">
        <x:v>2026-09-08</x:v>
      </x:c>
      <x:c r="AN621" s="117"/>
      <x:c r="AO621" s="117"/>
      <x:c r="AP621" s="117" t="str">
        <x:v>No usable pair located; image research pending</x:v>
      </x:c>
      <x:c r="AQ621" s="117"/>
    </x:row>
    <x:row r="622" ht="66" customHeight="1">
      <x:c r="A622" s="117" t="str">
        <x:v>MC0619</x:v>
      </x:c>
      <x:c r="B622" s="117" t="str">
        <x:v>Zoo Taiping and Night Safari</x:v>
      </x:c>
      <x:c r="C622" s="117" t="str">
        <x:v>Perak</x:v>
      </x:c>
      <x:c r="D622" s="117" t="str">
        <x:v>Taiping</x:v>
      </x:c>
      <x:c r="E622" s="117" t="str">
        <x:v>Wildlife</x:v>
      </x:c>
      <x:c r="F622" s="117" t="str">
        <x:v>Unclassified</x:v>
      </x:c>
      <x:c r="G622" s="117" t="str">
        <x:v>Outdoor</x:v>
      </x:c>
      <x:c r="H622" s="117" t="str">
        <x:v>Wildlife; Taiping</x:v>
      </x:c>
      <x:c r="I622" s="117" t="str">
        <x:v>A visitor attraction in Taiping, Perak, listed in Tourism Malaysia's state travel guide. Venue operation and the precise accessible route require confirmation.</x:v>
      </x:c>
      <x:c r="J622" s="117" t="str">
        <x:v>https://ebrochures.malaysia.travel/en/malaysia-travel-guide/perak/</x:v>
      </x:c>
      <x:c r="K622" s="117" t="str">
        <x:v>https://ebrochures.malaysia.travel/en/malaysia-travel-guide/perak/</x:v>
      </x:c>
      <x:c r="L622" s="117" t="str">
        <x:v>Tourism Malaysia listing; operation unconfirmed</x:v>
      </x:c>
      <x:c r="M622" s="117" t="str">
        <x:v>Nationwide expansion 2026-09-08</x:v>
      </x:c>
      <x:c r="N622" s="117"/>
      <x:c r="O622" s="117" t="str">
        <x:v>2026-09-08</x:v>
      </x:c>
      <x:c r="P622" s="117" t="str">
        <x:v>Complete</x:v>
      </x:c>
      <x:c r="Q622" s="117"/>
      <x:c r="R622" s="117" t="str">
        <x:f>IF(J622="","Missing Link",IF(AND(ISNUMBER(SEARCH("google.com/maps",J622)),ISERROR(SEARCH(";",J622))),"Discovery Link Only","Source Link Present"))</x:f>
        <x:v>Source Link Present</x:v>
      </x:c>
      <x:c r="S622" s="117" t="str">
        <x:v>Not measured</x:v>
      </x:c>
      <x:c r="T622" s="117" t="str">
        <x:v>Yes - exhibitions documented</x:v>
      </x:c>
      <x:c r="U622" s="117" t="str">
        <x:v>Unknown</x:v>
      </x:c>
      <x:c r="V622" s="117" t="str">
        <x:v>Unknown</x:v>
      </x:c>
      <x:c r="W622" s="117" t="str">
        <x:v>Available; distance unknown</x:v>
      </x:c>
      <x:c r="X622" s="117" t="str">
        <x:v>Unknown</x:v>
      </x:c>
      <x:c r="Y622" s="117" t="str">
        <x:v>Conditional on mobility and route</x:v>
      </x:c>
      <x:c r="Z622" s="117" t="str">
        <x:v>Wheelchairs are available at the zoo office lobby. The tram can reduce walking, but roll-on wheelchair boarding is not documented.</x:v>
      </x:c>
      <x:c r="AA622" s="117" t="str">
        <x:v>Documented support - conditional</x:v>
      </x:c>
      <x:c r="AB622" s="117" t="str">
        <x:v>https://zootaiping.gov.my/en/plan-your-visit/visitor-information</x:v>
      </x:c>
      <x:c r="AC622" s="117" t="str">
        <x:v>Zoo exhibitions; tram transfer unconfirmed</x:v>
      </x:c>
      <x:c r="AD622" s="117" t="str">
        <x:v>2026-09-08</x:v>
      </x:c>
      <x:c r="AE622" s="117" t="str">
        <x:v>MC0619</x:v>
      </x:c>
      <x:c r="AF622" s="117" t="str">
        <x:v>Distinct candidate</x:v>
      </x:c>
      <x:c r="AG622" s="117" t="str"/>
      <x:c r="AH622" s="117" t="str">
        <x:v>Venue-specific source reviewed</x:v>
      </x:c>
      <x:c r="AI622" s="117" t="str">
        <x:v>https://zootaiping.gov.my/en/plan-your-visit/visitor-information</x:v>
      </x:c>
      <x:c r="AJ622" s="117" t="str">
        <x:v>Named visitor attraction in cited source; state-guide listings can be historical. Locality is catalogue metadata, not a surveyed address. Current operation remains unconfirmed.</x:v>
      </x:c>
      <x:c r="AK622" s="117" t="str">
        <x:v>Not independently confirmed</x:v>
      </x:c>
      <x:c r="AL622" s="117" t="str">
        <x:v>Primary accessibility evidence reviewed</x:v>
      </x:c>
      <x:c r="AM622" s="117" t="str">
        <x:v>2026-09-08</x:v>
      </x:c>
      <x:c r="AN622" s="117"/>
      <x:c r="AO622" s="117"/>
      <x:c r="AP622" s="117" t="str">
        <x:v>No usable pair located; image research pending</x:v>
      </x:c>
      <x:c r="AQ622" s="117"/>
    </x:row>
    <x:row r="623" ht="66" customHeight="1">
      <x:c r="A623" s="117" t="str">
        <x:v>MC0620</x:v>
      </x:c>
      <x:c r="B623" s="117" t="str">
        <x:v>Matang Museum</x:v>
      </x:c>
      <x:c r="C623" s="117" t="str">
        <x:v>Perak</x:v>
      </x:c>
      <x:c r="D623" s="117" t="str">
        <x:v>Taiping</x:v>
      </x:c>
      <x:c r="E623" s="117" t="str">
        <x:v>Museum and Gallery</x:v>
      </x:c>
      <x:c r="F623" s="117" t="str">
        <x:v>Unclassified</x:v>
      </x:c>
      <x:c r="G623" s="117" t="str">
        <x:v>Indoor</x:v>
      </x:c>
      <x:c r="H623" s="117" t="str">
        <x:v>Museum and Gallery; Taiping</x:v>
      </x:c>
      <x:c r="I623" s="117" t="str">
        <x:v>A visitor attraction in Taiping, Perak, listed in Tourism Malaysia's state travel guide. Venue operation and the precise accessible route require confirmation.</x:v>
      </x:c>
      <x:c r="J623" s="117" t="str">
        <x:v>https://ebrochures.malaysia.travel/en/malaysia-travel-guide/perak/</x:v>
      </x:c>
      <x:c r="K623" s="117" t="str">
        <x:v>https://ebrochures.malaysia.travel/en/malaysia-travel-guide/perak/</x:v>
      </x:c>
      <x:c r="L623" s="117" t="str">
        <x:v>Tourism Malaysia listing; operation unconfirmed</x:v>
      </x:c>
      <x:c r="M623" s="117" t="str">
        <x:v>Nationwide expansion 2026-09-08</x:v>
      </x:c>
      <x:c r="N623" s="117"/>
      <x:c r="O623" s="117" t="str">
        <x:v>2026-09-08</x:v>
      </x:c>
      <x:c r="P623" s="117" t="str">
        <x:v>Complete</x:v>
      </x:c>
      <x:c r="Q623" s="117"/>
      <x:c r="R623" s="117" t="str">
        <x:f>IF(J623="","Missing Link",IF(AND(ISNUMBER(SEARCH("google.com/maps",J623)),ISERROR(SEARCH(";",J623))),"Discovery Link Only","Source Link Present"))</x:f>
        <x:v>Source Link Present</x:v>
      </x:c>
      <x:c r="S623" s="117" t="str">
        <x:v>Unknown</x:v>
      </x:c>
      <x:c r="T623" s="117" t="str">
        <x:v>Unknown</x:v>
      </x:c>
      <x:c r="U623" s="117" t="str">
        <x:v>Unknown</x:v>
      </x:c>
      <x:c r="V623" s="117" t="str">
        <x:v>Unknown</x:v>
      </x:c>
      <x:c r="W623" s="117" t="str">
        <x:v>Unknown</x:v>
      </x:c>
      <x:c r="X623" s="117" t="str">
        <x:v>Unknown</x:v>
      </x:c>
      <x:c r="Y623" s="117" t="str">
        <x:v>Unknown</x:v>
      </x:c>
      <x:c r="Z623" s="117"/>
      <x:c r="AA623" s="117" t="str">
        <x:v>Pending evidence</x:v>
      </x:c>
      <x:c r="AB623" s="117"/>
      <x:c r="AC623" s="117" t="str">
        <x:v>No qualifying accessibility conclusion established from the screened sources. This is unknown, not evidence that the attraction is inaccessible.</x:v>
      </x:c>
      <x:c r="AD623" s="117" t="str">
        <x:v>2026-09-08</x:v>
      </x:c>
      <x:c r="AE623" s="117" t="str">
        <x:v>MC0620</x:v>
      </x:c>
      <x:c r="AF623" s="117" t="str">
        <x:v>Distinct candidate</x:v>
      </x:c>
      <x:c r="AG623" s="117" t="str"/>
      <x:c r="AH623" s="117" t="str">
        <x:v>Listed by Tourism Malaysia</x:v>
      </x:c>
      <x:c r="AI623" s="117" t="str">
        <x:v>https://ebrochures.malaysia.travel/en/malaysia-travel-guide/perak/</x:v>
      </x:c>
      <x:c r="AJ623" s="117" t="str">
        <x:v>Named visitor attraction in cited source; state-guide listings can be historical. Locality is catalogue metadata, not a surveyed address. Current operation remains unconfirmed.</x:v>
      </x:c>
      <x:c r="AK623" s="117" t="str">
        <x:v>Not independently confirmed</x:v>
      </x:c>
      <x:c r="AL623" s="117" t="str">
        <x:v>Screened sources; accessibility unresolved</x:v>
      </x:c>
      <x:c r="AM623" s="117" t="str">
        <x:v>2026-09-08</x:v>
      </x:c>
      <x:c r="AN623" s="117"/>
      <x:c r="AO623" s="117"/>
      <x:c r="AP623" s="117" t="str">
        <x:v>No usable pair located; image research pending</x:v>
      </x:c>
      <x:c r="AQ623" s="117"/>
    </x:row>
    <x:row r="624" ht="66" customHeight="1">
      <x:c r="A624" s="117" t="str">
        <x:v>MC0621</x:v>
      </x:c>
      <x:c r="B624" s="117" t="str">
        <x:v>Birch Memorial Clock Tower</x:v>
      </x:c>
      <x:c r="C624" s="117" t="str">
        <x:v>Perak</x:v>
      </x:c>
      <x:c r="D624" s="117" t="str">
        <x:v>Ipoh</x:v>
      </x:c>
      <x:c r="E624" s="117" t="str">
        <x:v>Heritage and Visitor Attraction</x:v>
      </x:c>
      <x:c r="F624" s="117" t="str">
        <x:v>Unclassified</x:v>
      </x:c>
      <x:c r="G624" s="117" t="str">
        <x:v>Both</x:v>
      </x:c>
      <x:c r="H624" s="117" t="str">
        <x:v>Heritage and Visitor Attraction; Ipoh</x:v>
      </x:c>
      <x:c r="I624" s="117" t="str">
        <x:v>A visitor attraction in Ipoh, Perak, listed in Tourism Malaysia's state travel guide. Venue operation and the precise accessible route require confirmation.</x:v>
      </x:c>
      <x:c r="J624" s="117" t="str">
        <x:v>https://ebrochures.malaysia.travel/en/malaysia-travel-guide/perak/</x:v>
      </x:c>
      <x:c r="K624" s="117" t="str">
        <x:v>https://ebrochures.malaysia.travel/en/malaysia-travel-guide/perak/</x:v>
      </x:c>
      <x:c r="L624" s="117" t="str">
        <x:v>Tourism Malaysia listing; operation unconfirmed</x:v>
      </x:c>
      <x:c r="M624" s="117" t="str">
        <x:v>Nationwide expansion 2026-09-08</x:v>
      </x:c>
      <x:c r="N624" s="117"/>
      <x:c r="O624" s="117" t="str">
        <x:v>2026-09-08</x:v>
      </x:c>
      <x:c r="P624" s="117" t="str">
        <x:v>Complete</x:v>
      </x:c>
      <x:c r="Q624" s="117"/>
      <x:c r="R624" s="117" t="str">
        <x:f>IF(J624="","Missing Link",IF(AND(ISNUMBER(SEARCH("google.com/maps",J624)),ISERROR(SEARCH(";",J624))),"Discovery Link Only","Source Link Present"))</x:f>
        <x:v>Source Link Present</x:v>
      </x:c>
      <x:c r="S624" s="117" t="str">
        <x:v>Unknown</x:v>
      </x:c>
      <x:c r="T624" s="117" t="str">
        <x:v>Unknown</x:v>
      </x:c>
      <x:c r="U624" s="117" t="str">
        <x:v>Unknown</x:v>
      </x:c>
      <x:c r="V624" s="117" t="str">
        <x:v>Unknown</x:v>
      </x:c>
      <x:c r="W624" s="117" t="str">
        <x:v>Unknown</x:v>
      </x:c>
      <x:c r="X624" s="117" t="str">
        <x:v>Unknown</x:v>
      </x:c>
      <x:c r="Y624" s="117" t="str">
        <x:v>Unknown</x:v>
      </x:c>
      <x:c r="Z624" s="117"/>
      <x:c r="AA624" s="117" t="str">
        <x:v>Pending evidence</x:v>
      </x:c>
      <x:c r="AB624" s="117"/>
      <x:c r="AC624" s="117" t="str">
        <x:v>No qualifying accessibility conclusion established from the screened sources. This is unknown, not evidence that the attraction is inaccessible.</x:v>
      </x:c>
      <x:c r="AD624" s="117" t="str">
        <x:v>2026-09-08</x:v>
      </x:c>
      <x:c r="AE624" s="117" t="str">
        <x:v>MC0621</x:v>
      </x:c>
      <x:c r="AF624" s="117" t="str">
        <x:v>Distinct candidate</x:v>
      </x:c>
      <x:c r="AG624" s="117" t="str"/>
      <x:c r="AH624" s="117" t="str">
        <x:v>Listed by Tourism Malaysia</x:v>
      </x:c>
      <x:c r="AI624" s="117" t="str">
        <x:v>https://ebrochures.malaysia.travel/en/malaysia-travel-guide/perak/</x:v>
      </x:c>
      <x:c r="AJ624" s="117" t="str">
        <x:v>Named visitor attraction in cited source; state-guide listings can be historical. Locality is catalogue metadata, not a surveyed address. Current operation remains unconfirmed.</x:v>
      </x:c>
      <x:c r="AK624" s="117" t="str">
        <x:v>Not independently confirmed</x:v>
      </x:c>
      <x:c r="AL624" s="117" t="str">
        <x:v>Screened sources; accessibility unresolved</x:v>
      </x:c>
      <x:c r="AM624" s="117" t="str">
        <x:v>2026-09-08</x:v>
      </x:c>
      <x:c r="AN624" s="117" t="str">
        <x:v>https://upload.wikimedia.org/wikipedia/commons/1/14/Birch_Memorial_Clocktower.JPG?utm_source=commons.wikimedia.org&amp;utm_campaign=imageinfo&amp;utm_content=thumbnail_unscaled</x:v>
      </x:c>
      <x:c r="AO624" s="117" t="str">
        <x:v>https://thumb.wikimedia.org/wikipedia/commons/thumb/a/ad/Birch_Memorial_Clock_Tower_2.png/1280px-Birch_Memorial_Clock_Tower_2.png?utm_source=commons.wikimedia.org&amp;utm_campaign=imageinfo&amp;utm_content=thumbnail</x:v>
      </x:c>
      <x:c r="AP624" s="117" t="str">
        <x:v>2 metadata-matched images; visual review pending</x:v>
      </x:c>
      <x:c r="AQ624" s="117"/>
    </x:row>
    <x:row r="625" ht="66" customHeight="1">
      <x:c r="A625" s="117" t="str">
        <x:v>MC0622</x:v>
      </x:c>
      <x:c r="B625" s="117" t="str">
        <x:v>Darul Ridzuan Museum</x:v>
      </x:c>
      <x:c r="C625" s="117" t="str">
        <x:v>Perak</x:v>
      </x:c>
      <x:c r="D625" s="117" t="str">
        <x:v>Ipoh</x:v>
      </x:c>
      <x:c r="E625" s="117" t="str">
        <x:v>Museum and Gallery</x:v>
      </x:c>
      <x:c r="F625" s="117" t="str">
        <x:v>Unclassified</x:v>
      </x:c>
      <x:c r="G625" s="117" t="str">
        <x:v>Indoor</x:v>
      </x:c>
      <x:c r="H625" s="117" t="str">
        <x:v>Museum and Gallery; Ipoh</x:v>
      </x:c>
      <x:c r="I625" s="117" t="str">
        <x:v>A visitor attraction in Ipoh, Perak, listed in Tourism Malaysia's state travel guide. Venue operation and the precise accessible route require confirmation.</x:v>
      </x:c>
      <x:c r="J625" s="117" t="str">
        <x:v>https://ebrochures.malaysia.travel/en/malaysia-travel-guide/perak/</x:v>
      </x:c>
      <x:c r="K625" s="117" t="str">
        <x:v>https://ebrochures.malaysia.travel/en/malaysia-travel-guide/perak/</x:v>
      </x:c>
      <x:c r="L625" s="117" t="str">
        <x:v>Tourism Malaysia listing; operation unconfirmed</x:v>
      </x:c>
      <x:c r="M625" s="117" t="str">
        <x:v>Nationwide expansion 2026-09-08</x:v>
      </x:c>
      <x:c r="N625" s="117"/>
      <x:c r="O625" s="117" t="str">
        <x:v>2026-09-08</x:v>
      </x:c>
      <x:c r="P625" s="117" t="str">
        <x:v>Complete</x:v>
      </x:c>
      <x:c r="Q625" s="117"/>
      <x:c r="R625" s="117" t="str">
        <x:f>IF(J625="","Missing Link",IF(AND(ISNUMBER(SEARCH("google.com/maps",J625)),ISERROR(SEARCH(";",J625))),"Discovery Link Only","Source Link Present"))</x:f>
        <x:v>Source Link Present</x:v>
      </x:c>
      <x:c r="S625" s="117" t="str">
        <x:v>Unknown</x:v>
      </x:c>
      <x:c r="T625" s="117" t="str">
        <x:v>Unknown</x:v>
      </x:c>
      <x:c r="U625" s="117" t="str">
        <x:v>Unknown</x:v>
      </x:c>
      <x:c r="V625" s="117" t="str">
        <x:v>Unknown</x:v>
      </x:c>
      <x:c r="W625" s="117" t="str">
        <x:v>Unknown</x:v>
      </x:c>
      <x:c r="X625" s="117" t="str">
        <x:v>Unknown</x:v>
      </x:c>
      <x:c r="Y625" s="117" t="str">
        <x:v>Unknown</x:v>
      </x:c>
      <x:c r="Z625" s="117"/>
      <x:c r="AA625" s="117" t="str">
        <x:v>Pending evidence</x:v>
      </x:c>
      <x:c r="AB625" s="117"/>
      <x:c r="AC625" s="117" t="str">
        <x:v>No qualifying accessibility conclusion established from the screened sources. This is unknown, not evidence that the attraction is inaccessible.</x:v>
      </x:c>
      <x:c r="AD625" s="117" t="str">
        <x:v>2026-09-08</x:v>
      </x:c>
      <x:c r="AE625" s="117" t="str">
        <x:v>MC0622</x:v>
      </x:c>
      <x:c r="AF625" s="117" t="str">
        <x:v>Distinct candidate</x:v>
      </x:c>
      <x:c r="AG625" s="117" t="str"/>
      <x:c r="AH625" s="117" t="str">
        <x:v>Listed by Tourism Malaysia</x:v>
      </x:c>
      <x:c r="AI625" s="117" t="str">
        <x:v>https://ebrochures.malaysia.travel/en/malaysia-travel-guide/perak/</x:v>
      </x:c>
      <x:c r="AJ625" s="117" t="str">
        <x:v>Named visitor attraction in cited source; state-guide listings can be historical. Locality is catalogue metadata, not a surveyed address. Current operation remains unconfirmed.</x:v>
      </x:c>
      <x:c r="AK625" s="117" t="str">
        <x:v>Not independently confirmed</x:v>
      </x:c>
      <x:c r="AL625" s="117" t="str">
        <x:v>Screened sources; accessibility unresolved</x:v>
      </x:c>
      <x:c r="AM625" s="117" t="str">
        <x:v>2026-09-08</x:v>
      </x:c>
      <x:c r="AN625" s="117" t="str">
        <x:v>https://thumb.wikimedia.org/wikipedia/commons/thumb/b/b5/Muzium_Darul_Ridzuan.jpg/1280px-Muzium_Darul_Ridzuan.jpg?utm_source=commons.wikimedia.org&amp;utm_campaign=imageinfo&amp;utm_content=thumbnail</x:v>
      </x:c>
      <x:c r="AO625" s="117" t="str">
        <x:v>https://thumb.wikimedia.org/wikipedia/commons/thumb/e/e8/Darul_Ridzuan_Museum_2.jpg/1280px-Darul_Ridzuan_Museum_2.jpg?utm_source=commons.wikimedia.org&amp;utm_campaign=imageinfo&amp;utm_content=thumbnail</x:v>
      </x:c>
      <x:c r="AP625" s="117" t="str">
        <x:v>2 metadata-matched images; visual review pending</x:v>
      </x:c>
      <x:c r="AQ625" s="117"/>
    </x:row>
    <x:row r="626" ht="66" customHeight="1">
      <x:c r="A626" s="117" t="str">
        <x:v>MC0623</x:v>
      </x:c>
      <x:c r="B626" s="117" t="str">
        <x:v>Geological Museum</x:v>
      </x:c>
      <x:c r="C626" s="117" t="str">
        <x:v>Perak</x:v>
      </x:c>
      <x:c r="D626" s="117" t="str">
        <x:v>Ipoh</x:v>
      </x:c>
      <x:c r="E626" s="117" t="str">
        <x:v>Museum and Gallery</x:v>
      </x:c>
      <x:c r="F626" s="117" t="str">
        <x:v>Unclassified</x:v>
      </x:c>
      <x:c r="G626" s="117" t="str">
        <x:v>Indoor</x:v>
      </x:c>
      <x:c r="H626" s="117" t="str">
        <x:v>Museum and Gallery; Ipoh</x:v>
      </x:c>
      <x:c r="I626" s="117" t="str">
        <x:v>A visitor attraction in Ipoh, Perak, listed in Tourism Malaysia's state travel guide. Venue operation and the precise accessible route require confirmation.</x:v>
      </x:c>
      <x:c r="J626" s="117" t="str">
        <x:v>https://ebrochures.malaysia.travel/en/malaysia-travel-guide/perak/</x:v>
      </x:c>
      <x:c r="K626" s="117" t="str">
        <x:v>https://ebrochures.malaysia.travel/en/malaysia-travel-guide/perak/</x:v>
      </x:c>
      <x:c r="L626" s="117" t="str">
        <x:v>Tourism Malaysia listing; operation unconfirmed</x:v>
      </x:c>
      <x:c r="M626" s="117" t="str">
        <x:v>Nationwide expansion 2026-09-08</x:v>
      </x:c>
      <x:c r="N626" s="117"/>
      <x:c r="O626" s="117" t="str">
        <x:v>2026-09-08</x:v>
      </x:c>
      <x:c r="P626" s="117" t="str">
        <x:v>Complete</x:v>
      </x:c>
      <x:c r="Q626" s="117"/>
      <x:c r="R626" s="117" t="str">
        <x:f>IF(J626="","Missing Link",IF(AND(ISNUMBER(SEARCH("google.com/maps",J626)),ISERROR(SEARCH(";",J626))),"Discovery Link Only","Source Link Present"))</x:f>
        <x:v>Source Link Present</x:v>
      </x:c>
      <x:c r="S626" s="117" t="str">
        <x:v>Unknown</x:v>
      </x:c>
      <x:c r="T626" s="117" t="str">
        <x:v>Unknown</x:v>
      </x:c>
      <x:c r="U626" s="117" t="str">
        <x:v>Unknown</x:v>
      </x:c>
      <x:c r="V626" s="117" t="str">
        <x:v>Unknown</x:v>
      </x:c>
      <x:c r="W626" s="117" t="str">
        <x:v>Unknown</x:v>
      </x:c>
      <x:c r="X626" s="117" t="str">
        <x:v>Unknown</x:v>
      </x:c>
      <x:c r="Y626" s="117" t="str">
        <x:v>Unknown</x:v>
      </x:c>
      <x:c r="Z626" s="117"/>
      <x:c r="AA626" s="117" t="str">
        <x:v>Pending evidence</x:v>
      </x:c>
      <x:c r="AB626" s="117"/>
      <x:c r="AC626" s="117" t="str">
        <x:v>No qualifying accessibility conclusion established from the screened sources. This is unknown, not evidence that the attraction is inaccessible.</x:v>
      </x:c>
      <x:c r="AD626" s="117" t="str">
        <x:v>2026-09-08</x:v>
      </x:c>
      <x:c r="AE626" s="117" t="str">
        <x:v>MC0623</x:v>
      </x:c>
      <x:c r="AF626" s="117" t="str">
        <x:v>Distinct candidate</x:v>
      </x:c>
      <x:c r="AG626" s="117" t="str"/>
      <x:c r="AH626" s="117" t="str">
        <x:v>Listed by Tourism Malaysia</x:v>
      </x:c>
      <x:c r="AI626" s="117" t="str">
        <x:v>https://ebrochures.malaysia.travel/en/malaysia-travel-guide/perak/</x:v>
      </x:c>
      <x:c r="AJ626" s="117" t="str">
        <x:v>Named visitor attraction in cited source; state-guide listings can be historical. Locality is catalogue metadata, not a surveyed address. Current operation remains unconfirmed.</x:v>
      </x:c>
      <x:c r="AK626" s="117" t="str">
        <x:v>Not independently confirmed</x:v>
      </x:c>
      <x:c r="AL626" s="117" t="str">
        <x:v>Screened sources; accessibility unresolved</x:v>
      </x:c>
      <x:c r="AM626" s="117" t="str">
        <x:v>2026-09-08</x:v>
      </x:c>
      <x:c r="AN626" s="117" t="str">
        <x:v>https://upload.wikimedia.org/wikipedia/commons/1/16/Natural_History_Museum%2C_Exhibition_Road%2C_London_SW7_-_geograph.org.uk_-_1128801.jpg?utm_source=commons.wikimedia.org&amp;utm_campaign=imageinfo&amp;utm_content=thumbnail_unscaled</x:v>
      </x:c>
      <x:c r="AO626" s="117" t="str">
        <x:v>https://thumb.wikimedia.org/wikipedia/commons/thumb/6/67/Museo_de_Geolog%C3%ADa%2C_Londres%2C_Inglaterra%2C_2022-11-25%2C_DD_36.jpg/1280px-Museo_de_Geolog%C3%ADa%2C_Londres%2C_Inglaterra%2C_2022-11-25%2C_DD_36.jpg?utm_source=commons.wikimedia.org&amp;utm_campaign=imageinfo&amp;utm_content=thumbnail</x:v>
      </x:c>
      <x:c r="AP626" s="117" t="str">
        <x:v>2 metadata-matched images; visual review pending</x:v>
      </x:c>
      <x:c r="AQ626" s="117"/>
    </x:row>
    <x:row r="627" ht="66" customHeight="1">
      <x:c r="A627" s="117" t="str">
        <x:v>MC0624</x:v>
      </x:c>
      <x:c r="B627" s="117" t="str">
        <x:v>Ipoh Railway Station</x:v>
      </x:c>
      <x:c r="C627" s="117" t="str">
        <x:v>Perak</x:v>
      </x:c>
      <x:c r="D627" s="117" t="str">
        <x:v>Ipoh</x:v>
      </x:c>
      <x:c r="E627" s="117" t="str">
        <x:v>Heritage and Visitor Attraction</x:v>
      </x:c>
      <x:c r="F627" s="117" t="str">
        <x:v>Unclassified</x:v>
      </x:c>
      <x:c r="G627" s="117" t="str">
        <x:v>Both</x:v>
      </x:c>
      <x:c r="H627" s="117" t="str">
        <x:v>Heritage and Visitor Attraction; Ipoh</x:v>
      </x:c>
      <x:c r="I627" s="117" t="str">
        <x:v>A visitor attraction in Ipoh, Perak, listed in Tourism Malaysia's state travel guide. Venue operation and the precise accessible route require confirmation.</x:v>
      </x:c>
      <x:c r="J627" s="117" t="str">
        <x:v>https://ebrochures.malaysia.travel/en/malaysia-travel-guide/perak/</x:v>
      </x:c>
      <x:c r="K627" s="117" t="str">
        <x:v>https://ebrochures.malaysia.travel/en/malaysia-travel-guide/perak/</x:v>
      </x:c>
      <x:c r="L627" s="117" t="str">
        <x:v>Tourism Malaysia listing; operation unconfirmed</x:v>
      </x:c>
      <x:c r="M627" s="117" t="str">
        <x:v>Nationwide expansion 2026-09-08</x:v>
      </x:c>
      <x:c r="N627" s="117"/>
      <x:c r="O627" s="117" t="str">
        <x:v>2026-09-08</x:v>
      </x:c>
      <x:c r="P627" s="117" t="str">
        <x:v>Complete</x:v>
      </x:c>
      <x:c r="Q627" s="117"/>
      <x:c r="R627" s="117" t="str">
        <x:f>IF(J627="","Missing Link",IF(AND(ISNUMBER(SEARCH("google.com/maps",J627)),ISERROR(SEARCH(";",J627))),"Discovery Link Only","Source Link Present"))</x:f>
        <x:v>Source Link Present</x:v>
      </x:c>
      <x:c r="S627" s="117" t="str">
        <x:v>Unknown</x:v>
      </x:c>
      <x:c r="T627" s="117" t="str">
        <x:v>Unknown</x:v>
      </x:c>
      <x:c r="U627" s="117" t="str">
        <x:v>Unknown</x:v>
      </x:c>
      <x:c r="V627" s="117" t="str">
        <x:v>Unknown</x:v>
      </x:c>
      <x:c r="W627" s="117" t="str">
        <x:v>Unknown</x:v>
      </x:c>
      <x:c r="X627" s="117" t="str">
        <x:v>Unknown</x:v>
      </x:c>
      <x:c r="Y627" s="117" t="str">
        <x:v>Unknown</x:v>
      </x:c>
      <x:c r="Z627" s="117"/>
      <x:c r="AA627" s="117" t="str">
        <x:v>Pending evidence</x:v>
      </x:c>
      <x:c r="AB627" s="117"/>
      <x:c r="AC627" s="117" t="str">
        <x:v>No qualifying accessibility conclusion established from the screened sources. This is unknown, not evidence that the attraction is inaccessible.</x:v>
      </x:c>
      <x:c r="AD627" s="117" t="str">
        <x:v>2026-09-08</x:v>
      </x:c>
      <x:c r="AE627" s="117" t="str">
        <x:v>MC0624</x:v>
      </x:c>
      <x:c r="AF627" s="117" t="str">
        <x:v>Distinct candidate</x:v>
      </x:c>
      <x:c r="AG627" s="117" t="str"/>
      <x:c r="AH627" s="117" t="str">
        <x:v>Listed by Tourism Malaysia</x:v>
      </x:c>
      <x:c r="AI627" s="117" t="str">
        <x:v>https://ebrochures.malaysia.travel/en/malaysia-travel-guide/perak/</x:v>
      </x:c>
      <x:c r="AJ627" s="117" t="str">
        <x:v>Named visitor attraction in cited source; state-guide listings can be historical. Locality is catalogue metadata, not a surveyed address. Current operation remains unconfirmed.</x:v>
      </x:c>
      <x:c r="AK627" s="117" t="str">
        <x:v>Not independently confirmed</x:v>
      </x:c>
      <x:c r="AL627" s="117" t="str">
        <x:v>Screened sources; accessibility unresolved</x:v>
      </x:c>
      <x:c r="AM627" s="117" t="str">
        <x:v>2026-09-08</x:v>
      </x:c>
      <x:c r="AN627" s="117" t="str">
        <x:v>https://thumb.wikimedia.org/wikipedia/commons/thumb/7/76/Ipoh_railway_station_2024%2C_Perak_Malaysia_02.jpg/1280px-Ipoh_railway_station_2024%2C_Perak_Malaysia_02.jpg?utm_source=commons.wikimedia.org&amp;utm_campaign=imageinfo&amp;utm_content=thumbnail</x:v>
      </x:c>
      <x:c r="AO627" s="117" t="str">
        <x:v>https://thumb.wikimedia.org/wikipedia/commons/thumb/2/2f/Stesen_Keretapi_Ipoh_12_Julai_2023_6.jpg/1280px-Stesen_Keretapi_Ipoh_12_Julai_2023_6.jpg?utm_source=commons.wikimedia.org&amp;utm_campaign=imageinfo&amp;utm_content=thumbnail</x:v>
      </x:c>
      <x:c r="AP627" s="117" t="str">
        <x:v>2 metadata-matched images; visual review pending</x:v>
      </x:c>
      <x:c r="AQ627" s="117"/>
    </x:row>
    <x:row r="628" ht="66" customHeight="1">
      <x:c r="A628" s="117" t="str">
        <x:v>MC0625</x:v>
      </x:c>
      <x:c r="B628" s="117" t="str">
        <x:v>Kledang Saiong Forest Eco Park</x:v>
      </x:c>
      <x:c r="C628" s="117" t="str">
        <x:v>Perak</x:v>
      </x:c>
      <x:c r="D628" s="117" t="str">
        <x:v>Ipoh</x:v>
      </x:c>
      <x:c r="E628" s="117" t="str">
        <x:v>Nature</x:v>
      </x:c>
      <x:c r="F628" s="117" t="str">
        <x:v>Unclassified</x:v>
      </x:c>
      <x:c r="G628" s="117" t="str">
        <x:v>Outdoor</x:v>
      </x:c>
      <x:c r="H628" s="117" t="str">
        <x:v>Nature; Ipoh</x:v>
      </x:c>
      <x:c r="I628" s="117" t="str">
        <x:v>A visitor attraction in Ipoh, Perak, listed in Tourism Malaysia's state travel guide. Venue operation and the precise accessible route require confirmation.</x:v>
      </x:c>
      <x:c r="J628" s="117" t="str">
        <x:v>https://ebrochures.malaysia.travel/en/malaysia-travel-guide/perak/</x:v>
      </x:c>
      <x:c r="K628" s="117" t="str">
        <x:v>https://ebrochures.malaysia.travel/en/malaysia-travel-guide/perak/</x:v>
      </x:c>
      <x:c r="L628" s="117" t="str">
        <x:v>Tourism Malaysia listing; operation unconfirmed</x:v>
      </x:c>
      <x:c r="M628" s="117" t="str">
        <x:v>Nationwide expansion 2026-09-08</x:v>
      </x:c>
      <x:c r="N628" s="117"/>
      <x:c r="O628" s="117" t="str">
        <x:v>2026-09-08</x:v>
      </x:c>
      <x:c r="P628" s="117" t="str">
        <x:v>Complete</x:v>
      </x:c>
      <x:c r="Q628" s="117"/>
      <x:c r="R628" s="117" t="str">
        <x:f>IF(J628="","Missing Link",IF(AND(ISNUMBER(SEARCH("google.com/maps",J628)),ISERROR(SEARCH(";",J628))),"Discovery Link Only","Source Link Present"))</x:f>
        <x:v>Source Link Present</x:v>
      </x:c>
      <x:c r="S628" s="117" t="str">
        <x:v>Unknown</x:v>
      </x:c>
      <x:c r="T628" s="117" t="str">
        <x:v>Unknown</x:v>
      </x:c>
      <x:c r="U628" s="117" t="str">
        <x:v>Unknown</x:v>
      </x:c>
      <x:c r="V628" s="117" t="str">
        <x:v>Unknown</x:v>
      </x:c>
      <x:c r="W628" s="117" t="str">
        <x:v>Unknown</x:v>
      </x:c>
      <x:c r="X628" s="117" t="str">
        <x:v>Unknown</x:v>
      </x:c>
      <x:c r="Y628" s="117" t="str">
        <x:v>Unknown</x:v>
      </x:c>
      <x:c r="Z628" s="117"/>
      <x:c r="AA628" s="117" t="str">
        <x:v>Pending evidence</x:v>
      </x:c>
      <x:c r="AB628" s="117"/>
      <x:c r="AC628" s="117" t="str">
        <x:v>No qualifying accessibility conclusion established from the screened sources. This is unknown, not evidence that the attraction is inaccessible.</x:v>
      </x:c>
      <x:c r="AD628" s="117" t="str">
        <x:v>2026-09-08</x:v>
      </x:c>
      <x:c r="AE628" s="117" t="str">
        <x:v>MC0625</x:v>
      </x:c>
      <x:c r="AF628" s="117" t="str">
        <x:v>Distinct candidate</x:v>
      </x:c>
      <x:c r="AG628" s="117" t="str"/>
      <x:c r="AH628" s="117" t="str">
        <x:v>Listed by Tourism Malaysia</x:v>
      </x:c>
      <x:c r="AI628" s="117" t="str">
        <x:v>https://ebrochures.malaysia.travel/en/malaysia-travel-guide/perak/</x:v>
      </x:c>
      <x:c r="AJ628" s="117" t="str">
        <x:v>Named visitor attraction in cited source; state-guide listings can be historical. Locality is catalogue metadata, not a surveyed address. Current operation remains unconfirmed.</x:v>
      </x:c>
      <x:c r="AK628" s="117" t="str">
        <x:v>Not independently confirmed</x:v>
      </x:c>
      <x:c r="AL628" s="117" t="str">
        <x:v>Screened sources; accessibility unresolved</x:v>
      </x:c>
      <x:c r="AM628" s="117" t="str">
        <x:v>2026-09-08</x:v>
      </x:c>
      <x:c r="AN628" s="117"/>
      <x:c r="AO628" s="117"/>
      <x:c r="AP628" s="117" t="str">
        <x:v>No usable pair located; image research pending</x:v>
      </x:c>
      <x:c r="AQ628" s="117"/>
    </x:row>
    <x:row r="629" ht="66" customHeight="1">
      <x:c r="A629" s="117" t="str">
        <x:v>MC0626</x:v>
      </x:c>
      <x:c r="B629" s="117" t="str">
        <x:v>Kinta Riverwalk</x:v>
      </x:c>
      <x:c r="C629" s="117" t="str">
        <x:v>Perak</x:v>
      </x:c>
      <x:c r="D629" s="117" t="str">
        <x:v>Ipoh</x:v>
      </x:c>
      <x:c r="E629" s="117" t="str">
        <x:v>Heritage and Visitor Attraction</x:v>
      </x:c>
      <x:c r="F629" s="117" t="str">
        <x:v>Unclassified</x:v>
      </x:c>
      <x:c r="G629" s="117" t="str">
        <x:v>Both</x:v>
      </x:c>
      <x:c r="H629" s="117" t="str">
        <x:v>Heritage and Visitor Attraction; Ipoh</x:v>
      </x:c>
      <x:c r="I629" s="117" t="str">
        <x:v>A visitor attraction in Ipoh, Perak, listed in Tourism Malaysia's state travel guide. Venue operation and the precise accessible route require confirmation.</x:v>
      </x:c>
      <x:c r="J629" s="117" t="str">
        <x:v>https://ebrochures.malaysia.travel/en/malaysia-travel-guide/perak/</x:v>
      </x:c>
      <x:c r="K629" s="117" t="str">
        <x:v>https://ebrochures.malaysia.travel/en/malaysia-travel-guide/perak/</x:v>
      </x:c>
      <x:c r="L629" s="117" t="str">
        <x:v>Tourism Malaysia listing; operation unconfirmed</x:v>
      </x:c>
      <x:c r="M629" s="117" t="str">
        <x:v>Nationwide expansion 2026-09-08</x:v>
      </x:c>
      <x:c r="N629" s="117"/>
      <x:c r="O629" s="117" t="str">
        <x:v>2026-09-08</x:v>
      </x:c>
      <x:c r="P629" s="117" t="str">
        <x:v>Complete</x:v>
      </x:c>
      <x:c r="Q629" s="117"/>
      <x:c r="R629" s="117" t="str">
        <x:f>IF(J629="","Missing Link",IF(AND(ISNUMBER(SEARCH("google.com/maps",J629)),ISERROR(SEARCH(";",J629))),"Discovery Link Only","Source Link Present"))</x:f>
        <x:v>Source Link Present</x:v>
      </x:c>
      <x:c r="S629" s="117" t="str">
        <x:v>Unknown</x:v>
      </x:c>
      <x:c r="T629" s="117" t="str">
        <x:v>Unknown</x:v>
      </x:c>
      <x:c r="U629" s="117" t="str">
        <x:v>Unknown</x:v>
      </x:c>
      <x:c r="V629" s="117" t="str">
        <x:v>Unknown</x:v>
      </x:c>
      <x:c r="W629" s="117" t="str">
        <x:v>Unknown</x:v>
      </x:c>
      <x:c r="X629" s="117" t="str">
        <x:v>Unknown</x:v>
      </x:c>
      <x:c r="Y629" s="117" t="str">
        <x:v>Unknown</x:v>
      </x:c>
      <x:c r="Z629" s="117"/>
      <x:c r="AA629" s="117" t="str">
        <x:v>Pending evidence</x:v>
      </x:c>
      <x:c r="AB629" s="117"/>
      <x:c r="AC629" s="117" t="str">
        <x:v>No qualifying accessibility conclusion established from the screened sources. This is unknown, not evidence that the attraction is inaccessible.</x:v>
      </x:c>
      <x:c r="AD629" s="117" t="str">
        <x:v>2026-09-08</x:v>
      </x:c>
      <x:c r="AE629" s="117" t="str">
        <x:v>MC0626</x:v>
      </x:c>
      <x:c r="AF629" s="117" t="str">
        <x:v>Distinct candidate</x:v>
      </x:c>
      <x:c r="AG629" s="117" t="str"/>
      <x:c r="AH629" s="117" t="str">
        <x:v>Listed by Tourism Malaysia</x:v>
      </x:c>
      <x:c r="AI629" s="117" t="str">
        <x:v>https://ebrochures.malaysia.travel/en/malaysia-travel-guide/perak/</x:v>
      </x:c>
      <x:c r="AJ629" s="117" t="str">
        <x:v>Named visitor attraction in cited source; state-guide listings can be historical. Locality is catalogue metadata, not a surveyed address. Current operation remains unconfirmed.</x:v>
      </x:c>
      <x:c r="AK629" s="117" t="str">
        <x:v>Not independently confirmed</x:v>
      </x:c>
      <x:c r="AL629" s="117" t="str">
        <x:v>Screened sources; accessibility unresolved</x:v>
      </x:c>
      <x:c r="AM629" s="117" t="str">
        <x:v>2026-09-08</x:v>
      </x:c>
      <x:c r="AN629" s="117" t="str">
        <x:v>https://thumb.wikimedia.org/wikipedia/commons/thumb/8/8a/Kinta_River_2.jpg/1280px-Kinta_River_2.jpg?utm_source=commons.wikimedia.org&amp;utm_campaign=imageinfo&amp;utm_content=thumbnail</x:v>
      </x:c>
      <x:c r="AO629" s="117" t="str">
        <x:v>https://thumb.wikimedia.org/wikipedia/commons/thumb/c/c2/Kinta_River_1.jpg/1280px-Kinta_River_1.jpg?utm_source=commons.wikimedia.org&amp;utm_campaign=imageinfo&amp;utm_content=thumbnail</x:v>
      </x:c>
      <x:c r="AP629" s="117" t="str">
        <x:v>2 metadata-matched images; visual review pending</x:v>
      </x:c>
      <x:c r="AQ629" s="117"/>
    </x:row>
    <x:row r="630" ht="66" customHeight="1">
      <x:c r="A630" s="117" t="str">
        <x:v>MC0627</x:v>
      </x:c>
      <x:c r="B630" s="117" t="str">
        <x:v>Sultan Azlan Shah Gallery</x:v>
      </x:c>
      <x:c r="C630" s="117" t="str">
        <x:v>Perak</x:v>
      </x:c>
      <x:c r="D630" s="117" t="str">
        <x:v>Kuala Kangsar</x:v>
      </x:c>
      <x:c r="E630" s="117" t="str">
        <x:v>Museum and Gallery</x:v>
      </x:c>
      <x:c r="F630" s="117" t="str">
        <x:v>Unclassified</x:v>
      </x:c>
      <x:c r="G630" s="117" t="str">
        <x:v>Indoor</x:v>
      </x:c>
      <x:c r="H630" s="117" t="str">
        <x:v>Museum and Gallery; Kuala Kangsar</x:v>
      </x:c>
      <x:c r="I630" s="117" t="str">
        <x:v>A visitor attraction in Kuala Kangsar, Perak, listed in Tourism Malaysia's state travel guide. Venue operation and the precise accessible route require confirmation.</x:v>
      </x:c>
      <x:c r="J630" s="117" t="str">
        <x:v>https://ebrochures.malaysia.travel/en/malaysia-travel-guide/perak/</x:v>
      </x:c>
      <x:c r="K630" s="117" t="str">
        <x:v>https://ebrochures.malaysia.travel/en/malaysia-travel-guide/perak/</x:v>
      </x:c>
      <x:c r="L630" s="117" t="str">
        <x:v>Tourism Malaysia listing; operation unconfirmed</x:v>
      </x:c>
      <x:c r="M630" s="117" t="str">
        <x:v>Nationwide expansion 2026-09-08</x:v>
      </x:c>
      <x:c r="N630" s="117"/>
      <x:c r="O630" s="117" t="str">
        <x:v>2026-09-08</x:v>
      </x:c>
      <x:c r="P630" s="117" t="str">
        <x:v>Complete</x:v>
      </x:c>
      <x:c r="Q630" s="117"/>
      <x:c r="R630" s="117" t="str">
        <x:f>IF(J630="","Missing Link",IF(AND(ISNUMBER(SEARCH("google.com/maps",J630)),ISERROR(SEARCH(";",J630))),"Discovery Link Only","Source Link Present"))</x:f>
        <x:v>Source Link Present</x:v>
      </x:c>
      <x:c r="S630" s="117" t="str">
        <x:v>Unknown</x:v>
      </x:c>
      <x:c r="T630" s="117" t="str">
        <x:v>Unknown</x:v>
      </x:c>
      <x:c r="U630" s="117" t="str">
        <x:v>Unknown</x:v>
      </x:c>
      <x:c r="V630" s="117" t="str">
        <x:v>Unknown</x:v>
      </x:c>
      <x:c r="W630" s="117" t="str">
        <x:v>Unknown</x:v>
      </x:c>
      <x:c r="X630" s="117" t="str">
        <x:v>Unknown</x:v>
      </x:c>
      <x:c r="Y630" s="117" t="str">
        <x:v>Unknown</x:v>
      </x:c>
      <x:c r="Z630" s="117"/>
      <x:c r="AA630" s="117" t="str">
        <x:v>Pending evidence</x:v>
      </x:c>
      <x:c r="AB630" s="117"/>
      <x:c r="AC630" s="117" t="str">
        <x:v>No qualifying accessibility conclusion established from the screened sources. This is unknown, not evidence that the attraction is inaccessible.</x:v>
      </x:c>
      <x:c r="AD630" s="117" t="str">
        <x:v>2026-09-08</x:v>
      </x:c>
      <x:c r="AE630" s="117" t="str">
        <x:v>MC0627</x:v>
      </x:c>
      <x:c r="AF630" s="117" t="str">
        <x:v>Distinct candidate</x:v>
      </x:c>
      <x:c r="AG630" s="117" t="str"/>
      <x:c r="AH630" s="117" t="str">
        <x:v>Listed by Tourism Malaysia</x:v>
      </x:c>
      <x:c r="AI630" s="117" t="str">
        <x:v>https://ebrochures.malaysia.travel/en/malaysia-travel-guide/perak/</x:v>
      </x:c>
      <x:c r="AJ630" s="117" t="str">
        <x:v>Named visitor attraction in cited source; state-guide listings can be historical. Locality is catalogue metadata, not a surveyed address. Current operation remains unconfirmed.</x:v>
      </x:c>
      <x:c r="AK630" s="117" t="str">
        <x:v>Not independently confirmed</x:v>
      </x:c>
      <x:c r="AL630" s="117" t="str">
        <x:v>Screened sources; accessibility unresolved</x:v>
      </x:c>
      <x:c r="AM630" s="117" t="str">
        <x:v>2026-09-08</x:v>
      </x:c>
      <x:c r="AN630" s="117" t="str">
        <x:v>https://thumb.wikimedia.org/wikipedia/commons/thumb/b/b0/Istana_Ulu_Kuala_Kangsar.jpg/1280px-Istana_Ulu_Kuala_Kangsar.jpg?utm_source=commons.wikimedia.org&amp;utm_campaign=imageinfo&amp;utm_content=thumbnail</x:v>
      </x:c>
      <x:c r="AO630" s="117" t="str">
        <x:v>https://thumb.wikimedia.org/wikipedia/commons/thumb/4/44/Istana_Ulu%2CKuala_Kangsar.jpg/1280px-Istana_Ulu%2CKuala_Kangsar.jpg?utm_source=commons.wikimedia.org&amp;utm_campaign=imageinfo&amp;utm_content=thumbnail</x:v>
      </x:c>
      <x:c r="AP630" s="117" t="str">
        <x:v>2 metadata-matched images; visual review pending</x:v>
      </x:c>
      <x:c r="AQ630" s="117"/>
    </x:row>
    <x:row r="631" ht="66" customHeight="1">
      <x:c r="A631" s="117" t="str">
        <x:v>MC0628</x:v>
      </x:c>
      <x:c r="B631" s="117" t="str">
        <x:v>Kampung Sayong</x:v>
      </x:c>
      <x:c r="C631" s="117" t="str">
        <x:v>Perak</x:v>
      </x:c>
      <x:c r="D631" s="117" t="str">
        <x:v>Kuala Kangsar</x:v>
      </x:c>
      <x:c r="E631" s="117" t="str">
        <x:v>Heritage and Visitor Attraction</x:v>
      </x:c>
      <x:c r="F631" s="117" t="str">
        <x:v>Unclassified</x:v>
      </x:c>
      <x:c r="G631" s="117" t="str">
        <x:v>Both</x:v>
      </x:c>
      <x:c r="H631" s="117" t="str">
        <x:v>Heritage and Visitor Attraction; Kuala Kangsar</x:v>
      </x:c>
      <x:c r="I631" s="117" t="str">
        <x:v>A visitor attraction in Kuala Kangsar, Perak, listed in Tourism Malaysia's state travel guide. Venue operation and the precise accessible route require confirmation.</x:v>
      </x:c>
      <x:c r="J631" s="117" t="str">
        <x:v>https://ebrochures.malaysia.travel/en/malaysia-travel-guide/perak/</x:v>
      </x:c>
      <x:c r="K631" s="117" t="str">
        <x:v>https://ebrochures.malaysia.travel/en/malaysia-travel-guide/perak/</x:v>
      </x:c>
      <x:c r="L631" s="117" t="str">
        <x:v>Tourism Malaysia listing; operation unconfirmed</x:v>
      </x:c>
      <x:c r="M631" s="117" t="str">
        <x:v>Nationwide expansion 2026-09-08</x:v>
      </x:c>
      <x:c r="N631" s="117"/>
      <x:c r="O631" s="117" t="str">
        <x:v>2026-09-08</x:v>
      </x:c>
      <x:c r="P631" s="117" t="str">
        <x:v>Complete</x:v>
      </x:c>
      <x:c r="Q631" s="117"/>
      <x:c r="R631" s="117" t="str">
        <x:f>IF(J631="","Missing Link",IF(AND(ISNUMBER(SEARCH("google.com/maps",J631)),ISERROR(SEARCH(";",J631))),"Discovery Link Only","Source Link Present"))</x:f>
        <x:v>Source Link Present</x:v>
      </x:c>
      <x:c r="S631" s="117" t="str">
        <x:v>Unknown</x:v>
      </x:c>
      <x:c r="T631" s="117" t="str">
        <x:v>Unknown</x:v>
      </x:c>
      <x:c r="U631" s="117" t="str">
        <x:v>Unknown</x:v>
      </x:c>
      <x:c r="V631" s="117" t="str">
        <x:v>Unknown</x:v>
      </x:c>
      <x:c r="W631" s="117" t="str">
        <x:v>Unknown</x:v>
      </x:c>
      <x:c r="X631" s="117" t="str">
        <x:v>Unknown</x:v>
      </x:c>
      <x:c r="Y631" s="117" t="str">
        <x:v>Unknown</x:v>
      </x:c>
      <x:c r="Z631" s="117"/>
      <x:c r="AA631" s="117" t="str">
        <x:v>Pending evidence</x:v>
      </x:c>
      <x:c r="AB631" s="117"/>
      <x:c r="AC631" s="117" t="str">
        <x:v>No qualifying accessibility conclusion established from the screened sources. This is unknown, not evidence that the attraction is inaccessible.</x:v>
      </x:c>
      <x:c r="AD631" s="117" t="str">
        <x:v>2026-09-08</x:v>
      </x:c>
      <x:c r="AE631" s="117" t="str">
        <x:v>MC0628</x:v>
      </x:c>
      <x:c r="AF631" s="117" t="str">
        <x:v>Distinct candidate</x:v>
      </x:c>
      <x:c r="AG631" s="117" t="str"/>
      <x:c r="AH631" s="117" t="str">
        <x:v>Listed by Tourism Malaysia</x:v>
      </x:c>
      <x:c r="AI631" s="117" t="str">
        <x:v>https://ebrochures.malaysia.travel/en/malaysia-travel-guide/perak/</x:v>
      </x:c>
      <x:c r="AJ631" s="117" t="str">
        <x:v>Named visitor attraction in cited source; state-guide listings can be historical. Locality is catalogue metadata, not a surveyed address. Current operation remains unconfirmed.</x:v>
      </x:c>
      <x:c r="AK631" s="117" t="str">
        <x:v>Not independently confirmed</x:v>
      </x:c>
      <x:c r="AL631" s="117" t="str">
        <x:v>Screened sources; accessibility unresolved</x:v>
      </x:c>
      <x:c r="AM631" s="117" t="str">
        <x:v>2026-09-08</x:v>
      </x:c>
      <x:c r="AN631" s="117" t="str">
        <x:v>https://thumb.wikimedia.org/wikipedia/commons/thumb/6/60/Kampung_Sayong_-_panoramio_%282%29.jpg/1280px-Kampung_Sayong_-_panoramio_%282%29.jpg?utm_source=commons.wikimedia.org&amp;utm_campaign=imageinfo&amp;utm_content=thumbnail</x:v>
      </x:c>
      <x:c r="AO631" s="117" t="str">
        <x:v>https://thumb.wikimedia.org/wikipedia/commons/thumb/5/5b/Kampung_Sayong_-_panoramio.jpg/1280px-Kampung_Sayong_-_panoramio.jpg?utm_source=commons.wikimedia.org&amp;utm_campaign=imageinfo&amp;utm_content=thumbnail</x:v>
      </x:c>
      <x:c r="AP631" s="117" t="str">
        <x:v>2 metadata-matched images; visual review pending</x:v>
      </x:c>
      <x:c r="AQ631" s="117"/>
    </x:row>
    <x:row r="632" ht="66" customHeight="1">
      <x:c r="A632" s="117" t="str">
        <x:v>MC0629</x:v>
      </x:c>
      <x:c r="B632" s="117" t="str">
        <x:v>Ulu Kenas Waterfall</x:v>
      </x:c>
      <x:c r="C632" s="117" t="str">
        <x:v>Perak</x:v>
      </x:c>
      <x:c r="D632" s="117" t="str">
        <x:v>Kuala Kangsar</x:v>
      </x:c>
      <x:c r="E632" s="117" t="str">
        <x:v>Nature</x:v>
      </x:c>
      <x:c r="F632" s="117" t="str">
        <x:v>Unclassified</x:v>
      </x:c>
      <x:c r="G632" s="117" t="str">
        <x:v>Outdoor</x:v>
      </x:c>
      <x:c r="H632" s="117" t="str">
        <x:v>Nature; Kuala Kangsar</x:v>
      </x:c>
      <x:c r="I632" s="117" t="str">
        <x:v>A visitor attraction in Kuala Kangsar, Perak, listed in Tourism Malaysia's state travel guide. Venue operation and the precise accessible route require confirmation.</x:v>
      </x:c>
      <x:c r="J632" s="117" t="str">
        <x:v>https://ebrochures.malaysia.travel/en/malaysia-travel-guide/perak/</x:v>
      </x:c>
      <x:c r="K632" s="117" t="str">
        <x:v>https://ebrochures.malaysia.travel/en/malaysia-travel-guide/perak/</x:v>
      </x:c>
      <x:c r="L632" s="117" t="str">
        <x:v>Tourism Malaysia listing; operation unconfirmed</x:v>
      </x:c>
      <x:c r="M632" s="117" t="str">
        <x:v>Nationwide expansion 2026-09-08</x:v>
      </x:c>
      <x:c r="N632" s="117"/>
      <x:c r="O632" s="117" t="str">
        <x:v>2026-09-08</x:v>
      </x:c>
      <x:c r="P632" s="117" t="str">
        <x:v>Complete</x:v>
      </x:c>
      <x:c r="Q632" s="117"/>
      <x:c r="R632" s="117" t="str">
        <x:f>IF(J632="","Missing Link",IF(AND(ISNUMBER(SEARCH("google.com/maps",J632)),ISERROR(SEARCH(";",J632))),"Discovery Link Only","Source Link Present"))</x:f>
        <x:v>Source Link Present</x:v>
      </x:c>
      <x:c r="S632" s="117" t="str">
        <x:v>Unknown</x:v>
      </x:c>
      <x:c r="T632" s="117" t="str">
        <x:v>Unknown</x:v>
      </x:c>
      <x:c r="U632" s="117" t="str">
        <x:v>Unknown</x:v>
      </x:c>
      <x:c r="V632" s="117" t="str">
        <x:v>Unknown</x:v>
      </x:c>
      <x:c r="W632" s="117" t="str">
        <x:v>Unknown</x:v>
      </x:c>
      <x:c r="X632" s="117" t="str">
        <x:v>Unknown</x:v>
      </x:c>
      <x:c r="Y632" s="117" t="str">
        <x:v>Unknown</x:v>
      </x:c>
      <x:c r="Z632" s="117"/>
      <x:c r="AA632" s="117" t="str">
        <x:v>Pending evidence</x:v>
      </x:c>
      <x:c r="AB632" s="117"/>
      <x:c r="AC632" s="117" t="str">
        <x:v>No qualifying accessibility conclusion established from the screened sources. This is unknown, not evidence that the attraction is inaccessible.</x:v>
      </x:c>
      <x:c r="AD632" s="117" t="str">
        <x:v>2026-09-08</x:v>
      </x:c>
      <x:c r="AE632" s="117" t="str">
        <x:v>MC0629</x:v>
      </x:c>
      <x:c r="AF632" s="117" t="str">
        <x:v>Distinct candidate</x:v>
      </x:c>
      <x:c r="AG632" s="117" t="str"/>
      <x:c r="AH632" s="117" t="str">
        <x:v>Listed by Tourism Malaysia</x:v>
      </x:c>
      <x:c r="AI632" s="117" t="str">
        <x:v>https://ebrochures.malaysia.travel/en/malaysia-travel-guide/perak/</x:v>
      </x:c>
      <x:c r="AJ632" s="117" t="str">
        <x:v>Named visitor attraction in cited source; state-guide listings can be historical. Locality is catalogue metadata, not a surveyed address. Current operation remains unconfirmed.</x:v>
      </x:c>
      <x:c r="AK632" s="117" t="str">
        <x:v>Not independently confirmed</x:v>
      </x:c>
      <x:c r="AL632" s="117" t="str">
        <x:v>Screened sources; accessibility unresolved</x:v>
      </x:c>
      <x:c r="AM632" s="117" t="str">
        <x:v>2026-09-08</x:v>
      </x:c>
      <x:c r="AN632" s="117"/>
      <x:c r="AO632" s="117"/>
      <x:c r="AP632" s="117" t="str">
        <x:v>No usable pair located; image research pending</x:v>
      </x:c>
      <x:c r="AQ632" s="117"/>
    </x:row>
    <x:row r="633" ht="66" customHeight="1">
      <x:c r="A633" s="117" t="str">
        <x:v>MC0630</x:v>
      </x:c>
      <x:c r="B633" s="117" t="str">
        <x:v>Pasir Salak Historical Complex</x:v>
      </x:c>
      <x:c r="C633" s="117" t="str">
        <x:v>Perak</x:v>
      </x:c>
      <x:c r="D633" s="117" t="str">
        <x:v>Perak Tengah</x:v>
      </x:c>
      <x:c r="E633" s="117" t="str">
        <x:v>Heritage and Visitor Attraction</x:v>
      </x:c>
      <x:c r="F633" s="117" t="str">
        <x:v>Unclassified</x:v>
      </x:c>
      <x:c r="G633" s="117" t="str">
        <x:v>Both</x:v>
      </x:c>
      <x:c r="H633" s="117" t="str">
        <x:v>Heritage and Visitor Attraction; Perak Tengah</x:v>
      </x:c>
      <x:c r="I633" s="117" t="str">
        <x:v>A visitor attraction in Perak Tengah, Perak, listed in Tourism Malaysia's state travel guide. Venue operation and the precise accessible route require confirmation.</x:v>
      </x:c>
      <x:c r="J633" s="117" t="str">
        <x:v>https://ebrochures.malaysia.travel/en/malaysia-travel-guide/perak/</x:v>
      </x:c>
      <x:c r="K633" s="117" t="str">
        <x:v>https://ebrochures.malaysia.travel/en/malaysia-travel-guide/perak/</x:v>
      </x:c>
      <x:c r="L633" s="117" t="str">
        <x:v>Tourism Malaysia listing; operation unconfirmed</x:v>
      </x:c>
      <x:c r="M633" s="117" t="str">
        <x:v>Nationwide expansion 2026-09-08</x:v>
      </x:c>
      <x:c r="N633" s="117"/>
      <x:c r="O633" s="117" t="str">
        <x:v>2026-09-08</x:v>
      </x:c>
      <x:c r="P633" s="117" t="str">
        <x:v>Complete</x:v>
      </x:c>
      <x:c r="Q633" s="117"/>
      <x:c r="R633" s="117" t="str">
        <x:f>IF(J633="","Missing Link",IF(AND(ISNUMBER(SEARCH("google.com/maps",J633)),ISERROR(SEARCH(";",J633))),"Discovery Link Only","Source Link Present"))</x:f>
        <x:v>Source Link Present</x:v>
      </x:c>
      <x:c r="S633" s="117" t="str">
        <x:v>Unknown</x:v>
      </x:c>
      <x:c r="T633" s="117" t="str">
        <x:v>Unknown</x:v>
      </x:c>
      <x:c r="U633" s="117" t="str">
        <x:v>Unknown</x:v>
      </x:c>
      <x:c r="V633" s="117" t="str">
        <x:v>Unknown</x:v>
      </x:c>
      <x:c r="W633" s="117" t="str">
        <x:v>Unknown</x:v>
      </x:c>
      <x:c r="X633" s="117" t="str">
        <x:v>Unknown</x:v>
      </x:c>
      <x:c r="Y633" s="117" t="str">
        <x:v>Unknown</x:v>
      </x:c>
      <x:c r="Z633" s="117"/>
      <x:c r="AA633" s="117" t="str">
        <x:v>Pending evidence</x:v>
      </x:c>
      <x:c r="AB633" s="117"/>
      <x:c r="AC633" s="117" t="str">
        <x:v>No qualifying accessibility conclusion established from the screened sources. This is unknown, not evidence that the attraction is inaccessible.</x:v>
      </x:c>
      <x:c r="AD633" s="117" t="str">
        <x:v>2026-09-08</x:v>
      </x:c>
      <x:c r="AE633" s="117" t="str">
        <x:v>MC0630</x:v>
      </x:c>
      <x:c r="AF633" s="117" t="str">
        <x:v>Distinct candidate</x:v>
      </x:c>
      <x:c r="AG633" s="117" t="str"/>
      <x:c r="AH633" s="117" t="str">
        <x:v>Listed by Tourism Malaysia</x:v>
      </x:c>
      <x:c r="AI633" s="117" t="str">
        <x:v>https://ebrochures.malaysia.travel/en/malaysia-travel-guide/perak/</x:v>
      </x:c>
      <x:c r="AJ633" s="117" t="str">
        <x:v>Named visitor attraction in cited source; state-guide listings can be historical. Locality is catalogue metadata, not a surveyed address. Current operation remains unconfirmed.</x:v>
      </x:c>
      <x:c r="AK633" s="117" t="str">
        <x:v>Not independently confirmed</x:v>
      </x:c>
      <x:c r="AL633" s="117" t="str">
        <x:v>Screened sources; accessibility unresolved</x:v>
      </x:c>
      <x:c r="AM633" s="117" t="str">
        <x:v>2026-09-08</x:v>
      </x:c>
      <x:c r="AN633" s="117" t="str">
        <x:v>https://thumb.wikimedia.org/wikipedia/commons/thumb/2/21/Kompleks_Sejarah_Pasir_Salak%2C_Perak%2C_Malaysia_-_panoramio.jpg/1280px-Kompleks_Sejarah_Pasir_Salak%2C_Perak%2C_Malaysia_-_panoramio.jpg?utm_source=commons.wikimedia.org&amp;utm_campaign=imageinfo&amp;utm_content=thumbnail</x:v>
      </x:c>
      <x:c r="AO633" s="117" t="str">
        <x:v>https://thumb.wikimedia.org/wikipedia/commons/thumb/0/0f/Malay_Traditional_House%2C_Perak%2C_Malaysia_-_panoramio.jpg/1280px-Malay_Traditional_House%2C_Perak%2C_Malaysia_-_panoramio.jpg?utm_source=commons.wikimedia.org&amp;utm_campaign=imageinfo&amp;utm_content=thumbnail</x:v>
      </x:c>
      <x:c r="AP633" s="117" t="str">
        <x:v>2 metadata-matched images; visual review pending</x:v>
      </x:c>
      <x:c r="AQ633" s="117"/>
    </x:row>
    <x:row r="634" ht="66" customHeight="1">
      <x:c r="A634" s="117" t="str">
        <x:v>MC0631</x:v>
      </x:c>
      <x:c r="B634" s="117" t="str">
        <x:v>Bota Kanan River Terrapin Conservation Centre</x:v>
      </x:c>
      <x:c r="C634" s="117" t="str">
        <x:v>Perak</x:v>
      </x:c>
      <x:c r="D634" s="117" t="str">
        <x:v>Perak Tengah</x:v>
      </x:c>
      <x:c r="E634" s="117" t="str">
        <x:v>Heritage and Visitor Attraction</x:v>
      </x:c>
      <x:c r="F634" s="117" t="str">
        <x:v>Unclassified</x:v>
      </x:c>
      <x:c r="G634" s="117" t="str">
        <x:v>Both</x:v>
      </x:c>
      <x:c r="H634" s="117" t="str">
        <x:v>Heritage and Visitor Attraction; Perak Tengah</x:v>
      </x:c>
      <x:c r="I634" s="117" t="str">
        <x:v>A visitor attraction in Perak Tengah, Perak, listed in Tourism Malaysia's state travel guide. Venue operation and the precise accessible route require confirmation.</x:v>
      </x:c>
      <x:c r="J634" s="117" t="str">
        <x:v>https://ebrochures.malaysia.travel/en/malaysia-travel-guide/perak/</x:v>
      </x:c>
      <x:c r="K634" s="117" t="str">
        <x:v>https://ebrochures.malaysia.travel/en/malaysia-travel-guide/perak/</x:v>
      </x:c>
      <x:c r="L634" s="117" t="str">
        <x:v>Tourism Malaysia listing; operation unconfirmed</x:v>
      </x:c>
      <x:c r="M634" s="117" t="str">
        <x:v>Nationwide expansion 2026-09-08</x:v>
      </x:c>
      <x:c r="N634" s="117"/>
      <x:c r="O634" s="117" t="str">
        <x:v>2026-09-08</x:v>
      </x:c>
      <x:c r="P634" s="117" t="str">
        <x:v>Complete</x:v>
      </x:c>
      <x:c r="Q634" s="117"/>
      <x:c r="R634" s="117" t="str">
        <x:f>IF(J634="","Missing Link",IF(AND(ISNUMBER(SEARCH("google.com/maps",J634)),ISERROR(SEARCH(";",J634))),"Discovery Link Only","Source Link Present"))</x:f>
        <x:v>Source Link Present</x:v>
      </x:c>
      <x:c r="S634" s="117" t="str">
        <x:v>Unknown</x:v>
      </x:c>
      <x:c r="T634" s="117" t="str">
        <x:v>Unknown</x:v>
      </x:c>
      <x:c r="U634" s="117" t="str">
        <x:v>Unknown</x:v>
      </x:c>
      <x:c r="V634" s="117" t="str">
        <x:v>Unknown</x:v>
      </x:c>
      <x:c r="W634" s="117" t="str">
        <x:v>Unknown</x:v>
      </x:c>
      <x:c r="X634" s="117" t="str">
        <x:v>Unknown</x:v>
      </x:c>
      <x:c r="Y634" s="117" t="str">
        <x:v>Unknown</x:v>
      </x:c>
      <x:c r="Z634" s="117"/>
      <x:c r="AA634" s="117" t="str">
        <x:v>Pending evidence</x:v>
      </x:c>
      <x:c r="AB634" s="117"/>
      <x:c r="AC634" s="117" t="str">
        <x:v>No qualifying accessibility conclusion established from the screened sources. This is unknown, not evidence that the attraction is inaccessible.</x:v>
      </x:c>
      <x:c r="AD634" s="117" t="str">
        <x:v>2026-09-08</x:v>
      </x:c>
      <x:c r="AE634" s="117" t="str">
        <x:v>MC0631</x:v>
      </x:c>
      <x:c r="AF634" s="117" t="str">
        <x:v>Distinct candidate</x:v>
      </x:c>
      <x:c r="AG634" s="117" t="str"/>
      <x:c r="AH634" s="117" t="str">
        <x:v>Listed by Tourism Malaysia</x:v>
      </x:c>
      <x:c r="AI634" s="117" t="str">
        <x:v>https://ebrochures.malaysia.travel/en/malaysia-travel-guide/perak/</x:v>
      </x:c>
      <x:c r="AJ634" s="117" t="str">
        <x:v>Named visitor attraction in cited source; state-guide listings can be historical. Locality is catalogue metadata, not a surveyed address. Current operation remains unconfirmed.</x:v>
      </x:c>
      <x:c r="AK634" s="117" t="str">
        <x:v>Not independently confirmed</x:v>
      </x:c>
      <x:c r="AL634" s="117" t="str">
        <x:v>Screened sources; accessibility unresolved</x:v>
      </x:c>
      <x:c r="AM634" s="117" t="str">
        <x:v>2026-09-08</x:v>
      </x:c>
      <x:c r="AN634" s="117"/>
      <x:c r="AO634" s="117"/>
      <x:c r="AP634" s="117" t="str">
        <x:v>No usable pair located; image research pending</x:v>
      </x:c>
      <x:c r="AQ634" s="117"/>
    </x:row>
    <x:row r="635" ht="66" customHeight="1">
      <x:c r="A635" s="117" t="str">
        <x:v>MC0632</x:v>
      </x:c>
      <x:c r="B635" s="117" t="str">
        <x:v>Pangkor Gallery</x:v>
      </x:c>
      <x:c r="C635" s="117" t="str">
        <x:v>Perak</x:v>
      </x:c>
      <x:c r="D635" s="117" t="str">
        <x:v>Manjung</x:v>
      </x:c>
      <x:c r="E635" s="117" t="str">
        <x:v>Museum and Gallery</x:v>
      </x:c>
      <x:c r="F635" s="117" t="str">
        <x:v>Unclassified</x:v>
      </x:c>
      <x:c r="G635" s="117" t="str">
        <x:v>Indoor</x:v>
      </x:c>
      <x:c r="H635" s="117" t="str">
        <x:v>Museum and Gallery; Manjung</x:v>
      </x:c>
      <x:c r="I635" s="117" t="str">
        <x:v>A visitor attraction in Manjung, Perak, listed in Tourism Malaysia's state travel guide. Venue operation and the precise accessible route require confirmation.</x:v>
      </x:c>
      <x:c r="J635" s="117" t="str">
        <x:v>https://ebrochures.malaysia.travel/en/malaysia-travel-guide/perak/</x:v>
      </x:c>
      <x:c r="K635" s="117" t="str">
        <x:v>https://ebrochures.malaysia.travel/en/malaysia-travel-guide/perak/</x:v>
      </x:c>
      <x:c r="L635" s="117" t="str">
        <x:v>Tourism Malaysia listing; operation unconfirmed</x:v>
      </x:c>
      <x:c r="M635" s="117" t="str">
        <x:v>Nationwide expansion 2026-09-08</x:v>
      </x:c>
      <x:c r="N635" s="117"/>
      <x:c r="O635" s="117" t="str">
        <x:v>2026-09-08</x:v>
      </x:c>
      <x:c r="P635" s="117" t="str">
        <x:v>Complete</x:v>
      </x:c>
      <x:c r="Q635" s="117"/>
      <x:c r="R635" s="117" t="str">
        <x:f>IF(J635="","Missing Link",IF(AND(ISNUMBER(SEARCH("google.com/maps",J635)),ISERROR(SEARCH(";",J635))),"Discovery Link Only","Source Link Present"))</x:f>
        <x:v>Source Link Present</x:v>
      </x:c>
      <x:c r="S635" s="117" t="str">
        <x:v>Unknown</x:v>
      </x:c>
      <x:c r="T635" s="117" t="str">
        <x:v>Unknown</x:v>
      </x:c>
      <x:c r="U635" s="117" t="str">
        <x:v>Unknown</x:v>
      </x:c>
      <x:c r="V635" s="117" t="str">
        <x:v>Unknown</x:v>
      </x:c>
      <x:c r="W635" s="117" t="str">
        <x:v>Unknown</x:v>
      </x:c>
      <x:c r="X635" s="117" t="str">
        <x:v>Unknown</x:v>
      </x:c>
      <x:c r="Y635" s="117" t="str">
        <x:v>Unknown</x:v>
      </x:c>
      <x:c r="Z635" s="117"/>
      <x:c r="AA635" s="117" t="str">
        <x:v>Pending evidence</x:v>
      </x:c>
      <x:c r="AB635" s="117"/>
      <x:c r="AC635" s="117" t="str">
        <x:v>No qualifying accessibility conclusion established from the screened sources. This is unknown, not evidence that the attraction is inaccessible.</x:v>
      </x:c>
      <x:c r="AD635" s="117" t="str">
        <x:v>2026-09-08</x:v>
      </x:c>
      <x:c r="AE635" s="117" t="str">
        <x:v>MC0632</x:v>
      </x:c>
      <x:c r="AF635" s="117" t="str">
        <x:v>Distinct candidate</x:v>
      </x:c>
      <x:c r="AG635" s="117" t="str"/>
      <x:c r="AH635" s="117" t="str">
        <x:v>Listed by Tourism Malaysia</x:v>
      </x:c>
      <x:c r="AI635" s="117" t="str">
        <x:v>https://ebrochures.malaysia.travel/en/malaysia-travel-guide/perak/</x:v>
      </x:c>
      <x:c r="AJ635" s="117" t="str">
        <x:v>Named visitor attraction in cited source; state-guide listings can be historical. Locality is catalogue metadata, not a surveyed address. Current operation remains unconfirmed.</x:v>
      </x:c>
      <x:c r="AK635" s="117" t="str">
        <x:v>Not independently confirmed</x:v>
      </x:c>
      <x:c r="AL635" s="117" t="str">
        <x:v>Screened sources; accessibility unresolved</x:v>
      </x:c>
      <x:c r="AM635" s="117" t="str">
        <x:v>2026-09-08</x:v>
      </x:c>
      <x:c r="AN635" s="117"/>
      <x:c r="AO635" s="117"/>
      <x:c r="AP635" s="117" t="str">
        <x:v>No usable pair located; image research pending</x:v>
      </x:c>
      <x:c r="AQ635" s="117"/>
    </x:row>
    <x:row r="636" ht="66" customHeight="1">
      <x:c r="A636" s="117" t="str">
        <x:v>MC0633</x:v>
      </x:c>
      <x:c r="B636" s="117" t="str">
        <x:v>Teluk Nipah</x:v>
      </x:c>
      <x:c r="C636" s="117" t="str">
        <x:v>Perak</x:v>
      </x:c>
      <x:c r="D636" s="117" t="str">
        <x:v>Manjung</x:v>
      </x:c>
      <x:c r="E636" s="117" t="str">
        <x:v>Beach and Island</x:v>
      </x:c>
      <x:c r="F636" s="117" t="str">
        <x:v>Unclassified</x:v>
      </x:c>
      <x:c r="G636" s="117" t="str">
        <x:v>Outdoor</x:v>
      </x:c>
      <x:c r="H636" s="117" t="str">
        <x:v>Beach and Island; Manjung</x:v>
      </x:c>
      <x:c r="I636" s="117" t="str">
        <x:v>A visitor attraction in Manjung, Perak, listed in Tourism Malaysia's state travel guide. Venue operation and the precise accessible route require confirmation.</x:v>
      </x:c>
      <x:c r="J636" s="117" t="str">
        <x:v>https://ebrochures.malaysia.travel/en/malaysia-travel-guide/perak/</x:v>
      </x:c>
      <x:c r="K636" s="117" t="str">
        <x:v>https://ebrochures.malaysia.travel/en/malaysia-travel-guide/perak/</x:v>
      </x:c>
      <x:c r="L636" s="117" t="str">
        <x:v>Tourism Malaysia listing; operation unconfirmed</x:v>
      </x:c>
      <x:c r="M636" s="117" t="str">
        <x:v>Nationwide expansion 2026-09-08</x:v>
      </x:c>
      <x:c r="N636" s="117"/>
      <x:c r="O636" s="117" t="str">
        <x:v>2026-09-08</x:v>
      </x:c>
      <x:c r="P636" s="117" t="str">
        <x:v>Complete</x:v>
      </x:c>
      <x:c r="Q636" s="117"/>
      <x:c r="R636" s="117" t="str">
        <x:f>IF(J636="","Missing Link",IF(AND(ISNUMBER(SEARCH("google.com/maps",J636)),ISERROR(SEARCH(";",J636))),"Discovery Link Only","Source Link Present"))</x:f>
        <x:v>Source Link Present</x:v>
      </x:c>
      <x:c r="S636" s="117" t="str">
        <x:v>Unknown</x:v>
      </x:c>
      <x:c r="T636" s="117" t="str">
        <x:v>Unknown</x:v>
      </x:c>
      <x:c r="U636" s="117" t="str">
        <x:v>Unknown</x:v>
      </x:c>
      <x:c r="V636" s="117" t="str">
        <x:v>Unknown</x:v>
      </x:c>
      <x:c r="W636" s="117" t="str">
        <x:v>Unknown</x:v>
      </x:c>
      <x:c r="X636" s="117" t="str">
        <x:v>Unknown</x:v>
      </x:c>
      <x:c r="Y636" s="117" t="str">
        <x:v>Unknown</x:v>
      </x:c>
      <x:c r="Z636" s="117"/>
      <x:c r="AA636" s="117" t="str">
        <x:v>Pending evidence</x:v>
      </x:c>
      <x:c r="AB636" s="117"/>
      <x:c r="AC636" s="117" t="str">
        <x:v>No qualifying accessibility conclusion established from the screened sources. This is unknown, not evidence that the attraction is inaccessible.</x:v>
      </x:c>
      <x:c r="AD636" s="117" t="str">
        <x:v>2026-09-08</x:v>
      </x:c>
      <x:c r="AE636" s="117" t="str">
        <x:v>MC0633</x:v>
      </x:c>
      <x:c r="AF636" s="117" t="str">
        <x:v>Distinct candidate</x:v>
      </x:c>
      <x:c r="AG636" s="117" t="str"/>
      <x:c r="AH636" s="117" t="str">
        <x:v>Listed by Tourism Malaysia</x:v>
      </x:c>
      <x:c r="AI636" s="117" t="str">
        <x:v>https://ebrochures.malaysia.travel/en/malaysia-travel-guide/perak/</x:v>
      </x:c>
      <x:c r="AJ636" s="117" t="str">
        <x:v>Named visitor attraction in cited source; state-guide listings can be historical. Locality is catalogue metadata, not a surveyed address. Current operation remains unconfirmed.</x:v>
      </x:c>
      <x:c r="AK636" s="117" t="str">
        <x:v>Not independently confirmed</x:v>
      </x:c>
      <x:c r="AL636" s="117" t="str">
        <x:v>Screened sources; accessibility unresolved</x:v>
      </x:c>
      <x:c r="AM636" s="117" t="str">
        <x:v>2026-09-08</x:v>
      </x:c>
      <x:c r="AN636" s="117" t="str">
        <x:v>https://thumb.wikimedia.org/wikipedia/commons/thumb/3/33/Teluk_Nipah.jpg/1280px-Teluk_Nipah.jpg?utm_source=commons.wikimedia.org&amp;utm_campaign=imageinfo&amp;utm_content=thumbnail</x:v>
      </x:c>
      <x:c r="AO636" s="117" t="str">
        <x:v>https://thumb.wikimedia.org/wikipedia/commons/thumb/0/0e/Teluk_Nipah_2004_-_panoramio.jpg/1280px-Teluk_Nipah_2004_-_panoramio.jpg?utm_source=commons.wikimedia.org&amp;utm_campaign=imageinfo&amp;utm_content=thumbnail</x:v>
      </x:c>
      <x:c r="AP636" s="117" t="str">
        <x:v>2 metadata-matched images; visual review pending</x:v>
      </x:c>
      <x:c r="AQ636" s="117"/>
    </x:row>
    <x:row r="637" ht="66" customHeight="1">
      <x:c r="A637" s="117" t="str">
        <x:v>MC0634</x:v>
      </x:c>
      <x:c r="B637" s="117" t="str">
        <x:v>Segari Turtle Conservation Centre</x:v>
      </x:c>
      <x:c r="C637" s="117" t="str">
        <x:v>Perak</x:v>
      </x:c>
      <x:c r="D637" s="117" t="str">
        <x:v>Manjung</x:v>
      </x:c>
      <x:c r="E637" s="117" t="str">
        <x:v>Wildlife</x:v>
      </x:c>
      <x:c r="F637" s="117" t="str">
        <x:v>Unclassified</x:v>
      </x:c>
      <x:c r="G637" s="117" t="str">
        <x:v>Outdoor</x:v>
      </x:c>
      <x:c r="H637" s="117" t="str">
        <x:v>Wildlife; Manjung</x:v>
      </x:c>
      <x:c r="I637" s="117" t="str">
        <x:v>A visitor attraction in Manjung, Perak, listed in Tourism Malaysia's state travel guide. Venue operation and the precise accessible route require confirmation.</x:v>
      </x:c>
      <x:c r="J637" s="117" t="str">
        <x:v>https://ebrochures.malaysia.travel/en/malaysia-travel-guide/perak/</x:v>
      </x:c>
      <x:c r="K637" s="117" t="str">
        <x:v>https://ebrochures.malaysia.travel/en/malaysia-travel-guide/perak/</x:v>
      </x:c>
      <x:c r="L637" s="117" t="str">
        <x:v>Tourism Malaysia listing; operation unconfirmed</x:v>
      </x:c>
      <x:c r="M637" s="117" t="str">
        <x:v>Nationwide expansion 2026-09-08</x:v>
      </x:c>
      <x:c r="N637" s="117"/>
      <x:c r="O637" s="117" t="str">
        <x:v>2026-09-08</x:v>
      </x:c>
      <x:c r="P637" s="117" t="str">
        <x:v>Complete</x:v>
      </x:c>
      <x:c r="Q637" s="117"/>
      <x:c r="R637" s="117" t="str">
        <x:f>IF(J637="","Missing Link",IF(AND(ISNUMBER(SEARCH("google.com/maps",J637)),ISERROR(SEARCH(";",J637))),"Discovery Link Only","Source Link Present"))</x:f>
        <x:v>Source Link Present</x:v>
      </x:c>
      <x:c r="S637" s="117" t="str">
        <x:v>Unknown</x:v>
      </x:c>
      <x:c r="T637" s="117" t="str">
        <x:v>Unknown</x:v>
      </x:c>
      <x:c r="U637" s="117" t="str">
        <x:v>Unknown</x:v>
      </x:c>
      <x:c r="V637" s="117" t="str">
        <x:v>Unknown</x:v>
      </x:c>
      <x:c r="W637" s="117" t="str">
        <x:v>Unknown</x:v>
      </x:c>
      <x:c r="X637" s="117" t="str">
        <x:v>Unknown</x:v>
      </x:c>
      <x:c r="Y637" s="117" t="str">
        <x:v>Unknown</x:v>
      </x:c>
      <x:c r="Z637" s="117"/>
      <x:c r="AA637" s="117" t="str">
        <x:v>Pending evidence</x:v>
      </x:c>
      <x:c r="AB637" s="117"/>
      <x:c r="AC637" s="117" t="str">
        <x:v>No qualifying accessibility conclusion established from the screened sources. This is unknown, not evidence that the attraction is inaccessible.</x:v>
      </x:c>
      <x:c r="AD637" s="117" t="str">
        <x:v>2026-09-08</x:v>
      </x:c>
      <x:c r="AE637" s="117" t="str">
        <x:v>MC0634</x:v>
      </x:c>
      <x:c r="AF637" s="117" t="str">
        <x:v>Distinct candidate</x:v>
      </x:c>
      <x:c r="AG637" s="117" t="str"/>
      <x:c r="AH637" s="117" t="str">
        <x:v>Listed by Tourism Malaysia</x:v>
      </x:c>
      <x:c r="AI637" s="117" t="str">
        <x:v>https://ebrochures.malaysia.travel/en/malaysia-travel-guide/perak/</x:v>
      </x:c>
      <x:c r="AJ637" s="117" t="str">
        <x:v>Named visitor attraction in cited source; state-guide listings can be historical. Locality is catalogue metadata, not a surveyed address. Current operation remains unconfirmed.</x:v>
      </x:c>
      <x:c r="AK637" s="117" t="str">
        <x:v>Not independently confirmed</x:v>
      </x:c>
      <x:c r="AL637" s="117" t="str">
        <x:v>Screened sources; accessibility unresolved</x:v>
      </x:c>
      <x:c r="AM637" s="117" t="str">
        <x:v>2026-09-08</x:v>
      </x:c>
      <x:c r="AN637" s="117"/>
      <x:c r="AO637" s="117"/>
      <x:c r="AP637" s="117" t="str">
        <x:v>No usable pair located; image research pending</x:v>
      </x:c>
      <x:c r="AQ637" s="117"/>
    </x:row>
    <x:row r="638" ht="66" customHeight="1">
      <x:c r="A638" s="117" t="str">
        <x:v>MC0635</x:v>
      </x:c>
      <x:c r="B638" s="117" t="str">
        <x:v>Teluk Batik</x:v>
      </x:c>
      <x:c r="C638" s="117" t="str">
        <x:v>Perak</x:v>
      </x:c>
      <x:c r="D638" s="117" t="str">
        <x:v>Manjung</x:v>
      </x:c>
      <x:c r="E638" s="117" t="str">
        <x:v>Beach and Island</x:v>
      </x:c>
      <x:c r="F638" s="117" t="str">
        <x:v>Unclassified</x:v>
      </x:c>
      <x:c r="G638" s="117" t="str">
        <x:v>Outdoor</x:v>
      </x:c>
      <x:c r="H638" s="117" t="str">
        <x:v>Beach and Island; Manjung</x:v>
      </x:c>
      <x:c r="I638" s="117" t="str">
        <x:v>A visitor attraction in Manjung, Perak, listed in Tourism Malaysia's state travel guide. Venue operation and the precise accessible route require confirmation.</x:v>
      </x:c>
      <x:c r="J638" s="117" t="str">
        <x:v>https://ebrochures.malaysia.travel/en/malaysia-travel-guide/perak/</x:v>
      </x:c>
      <x:c r="K638" s="117" t="str">
        <x:v>https://ebrochures.malaysia.travel/en/malaysia-travel-guide/perak/</x:v>
      </x:c>
      <x:c r="L638" s="117" t="str">
        <x:v>Tourism Malaysia listing; operation unconfirmed</x:v>
      </x:c>
      <x:c r="M638" s="117" t="str">
        <x:v>Nationwide expansion 2026-09-08</x:v>
      </x:c>
      <x:c r="N638" s="117"/>
      <x:c r="O638" s="117" t="str">
        <x:v>2026-09-08</x:v>
      </x:c>
      <x:c r="P638" s="117" t="str">
        <x:v>Complete</x:v>
      </x:c>
      <x:c r="Q638" s="117"/>
      <x:c r="R638" s="117" t="str">
        <x:f>IF(J638="","Missing Link",IF(AND(ISNUMBER(SEARCH("google.com/maps",J638)),ISERROR(SEARCH(";",J638))),"Discovery Link Only","Source Link Present"))</x:f>
        <x:v>Source Link Present</x:v>
      </x:c>
      <x:c r="S638" s="117" t="str">
        <x:v>Unknown</x:v>
      </x:c>
      <x:c r="T638" s="117" t="str">
        <x:v>Unknown</x:v>
      </x:c>
      <x:c r="U638" s="117" t="str">
        <x:v>Unknown</x:v>
      </x:c>
      <x:c r="V638" s="117" t="str">
        <x:v>Unknown</x:v>
      </x:c>
      <x:c r="W638" s="117" t="str">
        <x:v>Unknown</x:v>
      </x:c>
      <x:c r="X638" s="117" t="str">
        <x:v>Unknown</x:v>
      </x:c>
      <x:c r="Y638" s="117" t="str">
        <x:v>Unknown</x:v>
      </x:c>
      <x:c r="Z638" s="117"/>
      <x:c r="AA638" s="117" t="str">
        <x:v>Pending evidence</x:v>
      </x:c>
      <x:c r="AB638" s="117"/>
      <x:c r="AC638" s="117" t="str">
        <x:v>No qualifying accessibility conclusion established from the screened sources. This is unknown, not evidence that the attraction is inaccessible.</x:v>
      </x:c>
      <x:c r="AD638" s="117" t="str">
        <x:v>2026-09-08</x:v>
      </x:c>
      <x:c r="AE638" s="117" t="str">
        <x:v>MC0635</x:v>
      </x:c>
      <x:c r="AF638" s="117" t="str">
        <x:v>Distinct candidate</x:v>
      </x:c>
      <x:c r="AG638" s="117" t="str"/>
      <x:c r="AH638" s="117" t="str">
        <x:v>Listed by Tourism Malaysia</x:v>
      </x:c>
      <x:c r="AI638" s="117" t="str">
        <x:v>https://ebrochures.malaysia.travel/en/malaysia-travel-guide/perak/</x:v>
      </x:c>
      <x:c r="AJ638" s="117" t="str">
        <x:v>Named visitor attraction in cited source; state-guide listings can be historical. Locality is catalogue metadata, not a surveyed address. Current operation remains unconfirmed.</x:v>
      </x:c>
      <x:c r="AK638" s="117" t="str">
        <x:v>Not independently confirmed</x:v>
      </x:c>
      <x:c r="AL638" s="117" t="str">
        <x:v>Screened sources; accessibility unresolved</x:v>
      </x:c>
      <x:c r="AM638" s="117" t="str">
        <x:v>2026-09-08</x:v>
      </x:c>
      <x:c r="AN638" s="117" t="str">
        <x:v>https://thumb.wikimedia.org/wikipedia/commons/thumb/c/c6/Pantai_Teluk_Batik_-_Perak%2C_Malaysia.jpg/1280px-Pantai_Teluk_Batik_-_Perak%2C_Malaysia.jpg?utm_source=commons.wikimedia.org&amp;utm_campaign=imageinfo&amp;utm_content=thumbnail</x:v>
      </x:c>
      <x:c r="AO638" s="117" t="str">
        <x:v>https://upload.wikimedia.org/wikipedia/commons/d/d9/Teluk_batik_%285713542689%29.jpg?utm_source=commons.wikimedia.org&amp;utm_campaign=imageinfo&amp;utm_content=thumbnail_unscaled</x:v>
      </x:c>
      <x:c r="AP638" s="117" t="str">
        <x:v>2 metadata-matched images; visual review pending</x:v>
      </x:c>
      <x:c r="AQ638" s="117"/>
    </x:row>
    <x:row r="639" ht="66" customHeight="1">
      <x:c r="A639" s="117" t="str">
        <x:v>MC0636</x:v>
      </x:c>
      <x:c r="B639" s="117" t="str">
        <x:v>Teluk Senangin</x:v>
      </x:c>
      <x:c r="C639" s="117" t="str">
        <x:v>Perak</x:v>
      </x:c>
      <x:c r="D639" s="117" t="str">
        <x:v>Manjung</x:v>
      </x:c>
      <x:c r="E639" s="117" t="str">
        <x:v>Beach and Island</x:v>
      </x:c>
      <x:c r="F639" s="117" t="str">
        <x:v>Unclassified</x:v>
      </x:c>
      <x:c r="G639" s="117" t="str">
        <x:v>Outdoor</x:v>
      </x:c>
      <x:c r="H639" s="117" t="str">
        <x:v>Beach and Island; Manjung</x:v>
      </x:c>
      <x:c r="I639" s="117" t="str">
        <x:v>A visitor attraction in Manjung, Perak, listed in Tourism Malaysia's state travel guide. Venue operation and the precise accessible route require confirmation.</x:v>
      </x:c>
      <x:c r="J639" s="117" t="str">
        <x:v>https://ebrochures.malaysia.travel/en/malaysia-travel-guide/perak/</x:v>
      </x:c>
      <x:c r="K639" s="117" t="str">
        <x:v>https://ebrochures.malaysia.travel/en/malaysia-travel-guide/perak/</x:v>
      </x:c>
      <x:c r="L639" s="117" t="str">
        <x:v>Tourism Malaysia listing; operation unconfirmed</x:v>
      </x:c>
      <x:c r="M639" s="117" t="str">
        <x:v>Nationwide expansion 2026-09-08</x:v>
      </x:c>
      <x:c r="N639" s="117"/>
      <x:c r="O639" s="117" t="str">
        <x:v>2026-09-08</x:v>
      </x:c>
      <x:c r="P639" s="117" t="str">
        <x:v>Complete</x:v>
      </x:c>
      <x:c r="Q639" s="117"/>
      <x:c r="R639" s="117" t="str">
        <x:f>IF(J639="","Missing Link",IF(AND(ISNUMBER(SEARCH("google.com/maps",J639)),ISERROR(SEARCH(";",J639))),"Discovery Link Only","Source Link Present"))</x:f>
        <x:v>Source Link Present</x:v>
      </x:c>
      <x:c r="S639" s="117" t="str">
        <x:v>Unknown</x:v>
      </x:c>
      <x:c r="T639" s="117" t="str">
        <x:v>Unknown</x:v>
      </x:c>
      <x:c r="U639" s="117" t="str">
        <x:v>Unknown</x:v>
      </x:c>
      <x:c r="V639" s="117" t="str">
        <x:v>Unknown</x:v>
      </x:c>
      <x:c r="W639" s="117" t="str">
        <x:v>Unknown</x:v>
      </x:c>
      <x:c r="X639" s="117" t="str">
        <x:v>Unknown</x:v>
      </x:c>
      <x:c r="Y639" s="117" t="str">
        <x:v>Unknown</x:v>
      </x:c>
      <x:c r="Z639" s="117"/>
      <x:c r="AA639" s="117" t="str">
        <x:v>Pending evidence</x:v>
      </x:c>
      <x:c r="AB639" s="117"/>
      <x:c r="AC639" s="117" t="str">
        <x:v>No qualifying accessibility conclusion established from the screened sources. This is unknown, not evidence that the attraction is inaccessible.</x:v>
      </x:c>
      <x:c r="AD639" s="117" t="str">
        <x:v>2026-09-08</x:v>
      </x:c>
      <x:c r="AE639" s="117" t="str">
        <x:v>MC0636</x:v>
      </x:c>
      <x:c r="AF639" s="117" t="str">
        <x:v>Distinct candidate</x:v>
      </x:c>
      <x:c r="AG639" s="117" t="str"/>
      <x:c r="AH639" s="117" t="str">
        <x:v>Listed by Tourism Malaysia</x:v>
      </x:c>
      <x:c r="AI639" s="117" t="str">
        <x:v>https://ebrochures.malaysia.travel/en/malaysia-travel-guide/perak/</x:v>
      </x:c>
      <x:c r="AJ639" s="117" t="str">
        <x:v>Named visitor attraction in cited source; state-guide listings can be historical. Locality is catalogue metadata, not a surveyed address. Current operation remains unconfirmed.</x:v>
      </x:c>
      <x:c r="AK639" s="117" t="str">
        <x:v>Not independently confirmed</x:v>
      </x:c>
      <x:c r="AL639" s="117" t="str">
        <x:v>Screened sources; accessibility unresolved</x:v>
      </x:c>
      <x:c r="AM639" s="117" t="str">
        <x:v>2026-09-08</x:v>
      </x:c>
      <x:c r="AN639" s="117" t="str">
        <x:v>https://thumb.wikimedia.org/wikipedia/commons/thumb/5/5b/Pantai_Teluk_Senangin%2C_Kampung_Teluk_Senangin_20231222_112343.jpg/1280px-Pantai_Teluk_Senangin%2C_Kampung_Teluk_Senangin_20231222_112343.jpg?utm_source=commons.wikimedia.org&amp;utm_campaign=imageinfo&amp;utm_content=thumbnail</x:v>
      </x:c>
      <x:c r="AO639" s="117" t="str">
        <x:v>https://thumb.wikimedia.org/wikipedia/commons/thumb/d/d0/Surau_Teluk_Senangin%2C_Kampung_Teluk_Senangin_20241224_195237.jpg/1280px-Surau_Teluk_Senangin%2C_Kampung_Teluk_Senangin_20241224_195237.jpg?utm_source=commons.wikimedia.org&amp;utm_campaign=imageinfo&amp;utm_content=thumbnail</x:v>
      </x:c>
      <x:c r="AP639" s="117" t="str">
        <x:v>2 metadata-matched images; visual review pending</x:v>
      </x:c>
      <x:c r="AQ639" s="117"/>
    </x:row>
    <x:row r="640" ht="66" customHeight="1">
      <x:c r="A640" s="117" t="str">
        <x:v>MC0637</x:v>
      </x:c>
      <x:c r="B640" s="117" t="str">
        <x:v>Lumut Mangrove Park</x:v>
      </x:c>
      <x:c r="C640" s="117" t="str">
        <x:v>Perak</x:v>
      </x:c>
      <x:c r="D640" s="117" t="str">
        <x:v>Manjung</x:v>
      </x:c>
      <x:c r="E640" s="117" t="str">
        <x:v>Nature</x:v>
      </x:c>
      <x:c r="F640" s="117" t="str">
        <x:v>Unclassified</x:v>
      </x:c>
      <x:c r="G640" s="117" t="str">
        <x:v>Outdoor</x:v>
      </x:c>
      <x:c r="H640" s="117" t="str">
        <x:v>Nature; Manjung</x:v>
      </x:c>
      <x:c r="I640" s="117" t="str">
        <x:v>A visitor attraction in Manjung, Perak, listed in Tourism Malaysia's state travel guide. Venue operation and the precise accessible route require confirmation.</x:v>
      </x:c>
      <x:c r="J640" s="117" t="str">
        <x:v>https://ebrochures.malaysia.travel/en/malaysia-travel-guide/perak/</x:v>
      </x:c>
      <x:c r="K640" s="117" t="str">
        <x:v>https://ebrochures.malaysia.travel/en/malaysia-travel-guide/perak/</x:v>
      </x:c>
      <x:c r="L640" s="117" t="str">
        <x:v>Tourism Malaysia listing; operation unconfirmed</x:v>
      </x:c>
      <x:c r="M640" s="117" t="str">
        <x:v>Nationwide expansion 2026-09-08</x:v>
      </x:c>
      <x:c r="N640" s="117"/>
      <x:c r="O640" s="117" t="str">
        <x:v>2026-09-08</x:v>
      </x:c>
      <x:c r="P640" s="117" t="str">
        <x:v>Complete</x:v>
      </x:c>
      <x:c r="Q640" s="117"/>
      <x:c r="R640" s="117" t="str">
        <x:f>IF(J640="","Missing Link",IF(AND(ISNUMBER(SEARCH("google.com/maps",J640)),ISERROR(SEARCH(";",J640))),"Discovery Link Only","Source Link Present"))</x:f>
        <x:v>Source Link Present</x:v>
      </x:c>
      <x:c r="S640" s="117" t="str">
        <x:v>Unknown</x:v>
      </x:c>
      <x:c r="T640" s="117" t="str">
        <x:v>Unknown</x:v>
      </x:c>
      <x:c r="U640" s="117" t="str">
        <x:v>Unknown</x:v>
      </x:c>
      <x:c r="V640" s="117" t="str">
        <x:v>Unknown</x:v>
      </x:c>
      <x:c r="W640" s="117" t="str">
        <x:v>Unknown</x:v>
      </x:c>
      <x:c r="X640" s="117" t="str">
        <x:v>Unknown</x:v>
      </x:c>
      <x:c r="Y640" s="117" t="str">
        <x:v>Unknown</x:v>
      </x:c>
      <x:c r="Z640" s="117"/>
      <x:c r="AA640" s="117" t="str">
        <x:v>Pending evidence</x:v>
      </x:c>
      <x:c r="AB640" s="117"/>
      <x:c r="AC640" s="117" t="str">
        <x:v>No qualifying accessibility conclusion established from the screened sources. This is unknown, not evidence that the attraction is inaccessible.</x:v>
      </x:c>
      <x:c r="AD640" s="117" t="str">
        <x:v>2026-09-08</x:v>
      </x:c>
      <x:c r="AE640" s="117" t="str">
        <x:v>MC0637</x:v>
      </x:c>
      <x:c r="AF640" s="117" t="str">
        <x:v>Distinct candidate</x:v>
      </x:c>
      <x:c r="AG640" s="117" t="str"/>
      <x:c r="AH640" s="117" t="str">
        <x:v>Listed by Tourism Malaysia</x:v>
      </x:c>
      <x:c r="AI640" s="117" t="str">
        <x:v>https://ebrochures.malaysia.travel/en/malaysia-travel-guide/perak/</x:v>
      </x:c>
      <x:c r="AJ640" s="117" t="str">
        <x:v>Named visitor attraction in cited source; state-guide listings can be historical. Locality is catalogue metadata, not a surveyed address. Current operation remains unconfirmed.</x:v>
      </x:c>
      <x:c r="AK640" s="117" t="str">
        <x:v>Not independently confirmed</x:v>
      </x:c>
      <x:c r="AL640" s="117" t="str">
        <x:v>Screened sources; accessibility unresolved</x:v>
      </x:c>
      <x:c r="AM640" s="117" t="str">
        <x:v>2026-09-08</x:v>
      </x:c>
      <x:c r="AN640" s="117"/>
      <x:c r="AO640" s="117"/>
      <x:c r="AP640" s="117" t="str">
        <x:v>No usable pair located; image research pending</x:v>
      </x:c>
      <x:c r="AQ640" s="117"/>
    </x:row>
    <x:row r="641" ht="66" customHeight="1">
      <x:c r="A641" s="117" t="str">
        <x:v>MC0638</x:v>
      </x:c>
      <x:c r="B641" s="117" t="str">
        <x:v>Lata Kekabu Waterfall</x:v>
      </x:c>
      <x:c r="C641" s="117" t="str">
        <x:v>Perak</x:v>
      </x:c>
      <x:c r="D641" s="117" t="str">
        <x:v>Lenggong</x:v>
      </x:c>
      <x:c r="E641" s="117" t="str">
        <x:v>Nature</x:v>
      </x:c>
      <x:c r="F641" s="117" t="str">
        <x:v>Unclassified</x:v>
      </x:c>
      <x:c r="G641" s="117" t="str">
        <x:v>Outdoor</x:v>
      </x:c>
      <x:c r="H641" s="117" t="str">
        <x:v>Nature; Lenggong</x:v>
      </x:c>
      <x:c r="I641" s="117" t="str">
        <x:v>A visitor attraction in Lenggong, Perak, listed in Tourism Malaysia's state travel guide. Venue operation and the precise accessible route require confirmation.</x:v>
      </x:c>
      <x:c r="J641" s="117" t="str">
        <x:v>https://ebrochures.malaysia.travel/en/malaysia-travel-guide/perak/</x:v>
      </x:c>
      <x:c r="K641" s="117" t="str">
        <x:v>https://ebrochures.malaysia.travel/en/malaysia-travel-guide/perak/</x:v>
      </x:c>
      <x:c r="L641" s="117" t="str">
        <x:v>Tourism Malaysia listing; operation unconfirmed</x:v>
      </x:c>
      <x:c r="M641" s="117" t="str">
        <x:v>Nationwide expansion 2026-09-08</x:v>
      </x:c>
      <x:c r="N641" s="117"/>
      <x:c r="O641" s="117" t="str">
        <x:v>2026-09-08</x:v>
      </x:c>
      <x:c r="P641" s="117" t="str">
        <x:v>Complete</x:v>
      </x:c>
      <x:c r="Q641" s="117"/>
      <x:c r="R641" s="117" t="str">
        <x:f>IF(J641="","Missing Link",IF(AND(ISNUMBER(SEARCH("google.com/maps",J641)),ISERROR(SEARCH(";",J641))),"Discovery Link Only","Source Link Present"))</x:f>
        <x:v>Source Link Present</x:v>
      </x:c>
      <x:c r="S641" s="117" t="str">
        <x:v>Unknown</x:v>
      </x:c>
      <x:c r="T641" s="117" t="str">
        <x:v>Unknown</x:v>
      </x:c>
      <x:c r="U641" s="117" t="str">
        <x:v>Unknown</x:v>
      </x:c>
      <x:c r="V641" s="117" t="str">
        <x:v>Unknown</x:v>
      </x:c>
      <x:c r="W641" s="117" t="str">
        <x:v>Unknown</x:v>
      </x:c>
      <x:c r="X641" s="117" t="str">
        <x:v>Unknown</x:v>
      </x:c>
      <x:c r="Y641" s="117" t="str">
        <x:v>Unknown</x:v>
      </x:c>
      <x:c r="Z641" s="117"/>
      <x:c r="AA641" s="117" t="str">
        <x:v>Pending evidence</x:v>
      </x:c>
      <x:c r="AB641" s="117"/>
      <x:c r="AC641" s="117" t="str">
        <x:v>No qualifying accessibility conclusion established from the screened sources. This is unknown, not evidence that the attraction is inaccessible.</x:v>
      </x:c>
      <x:c r="AD641" s="117" t="str">
        <x:v>2026-09-08</x:v>
      </x:c>
      <x:c r="AE641" s="117" t="str">
        <x:v>MC0638</x:v>
      </x:c>
      <x:c r="AF641" s="117" t="str">
        <x:v>Distinct candidate</x:v>
      </x:c>
      <x:c r="AG641" s="117" t="str"/>
      <x:c r="AH641" s="117" t="str">
        <x:v>Listed by Tourism Malaysia</x:v>
      </x:c>
      <x:c r="AI641" s="117" t="str">
        <x:v>https://ebrochures.malaysia.travel/en/malaysia-travel-guide/perak/</x:v>
      </x:c>
      <x:c r="AJ641" s="117" t="str">
        <x:v>Named visitor attraction in cited source; state-guide listings can be historical. Locality is catalogue metadata, not a surveyed address. Current operation remains unconfirmed.</x:v>
      </x:c>
      <x:c r="AK641" s="117" t="str">
        <x:v>Not independently confirmed</x:v>
      </x:c>
      <x:c r="AL641" s="117" t="str">
        <x:v>Screened sources; accessibility unresolved</x:v>
      </x:c>
      <x:c r="AM641" s="117" t="str">
        <x:v>2026-09-08</x:v>
      </x:c>
      <x:c r="AN641" s="117"/>
      <x:c r="AO641" s="117"/>
      <x:c r="AP641" s="117" t="str">
        <x:v>No usable pair located; image research pending</x:v>
      </x:c>
      <x:c r="AQ641" s="117"/>
    </x:row>
    <x:row r="642" ht="66" customHeight="1">
      <x:c r="A642" s="117" t="str">
        <x:v>MC0639</x:v>
      </x:c>
      <x:c r="B642" s="117" t="str">
        <x:v>Kuala Woh Recreational Forest</x:v>
      </x:c>
      <x:c r="C642" s="117" t="str">
        <x:v>Perak</x:v>
      </x:c>
      <x:c r="D642" s="117" t="str">
        <x:v>Batang Padang</x:v>
      </x:c>
      <x:c r="E642" s="117" t="str">
        <x:v>Nature</x:v>
      </x:c>
      <x:c r="F642" s="117" t="str">
        <x:v>Unclassified</x:v>
      </x:c>
      <x:c r="G642" s="117" t="str">
        <x:v>Outdoor</x:v>
      </x:c>
      <x:c r="H642" s="117" t="str">
        <x:v>Nature; Batang Padang</x:v>
      </x:c>
      <x:c r="I642" s="117" t="str">
        <x:v>A visitor attraction in Batang Padang, Perak, listed in Tourism Malaysia's state travel guide. Venue operation and the precise accessible route require confirmation.</x:v>
      </x:c>
      <x:c r="J642" s="117" t="str">
        <x:v>https://ebrochures.malaysia.travel/en/malaysia-travel-guide/perak/</x:v>
      </x:c>
      <x:c r="K642" s="117" t="str">
        <x:v>https://ebrochures.malaysia.travel/en/malaysia-travel-guide/perak/</x:v>
      </x:c>
      <x:c r="L642" s="117" t="str">
        <x:v>Tourism Malaysia listing; operation unconfirmed</x:v>
      </x:c>
      <x:c r="M642" s="117" t="str">
        <x:v>Nationwide expansion 2026-09-08</x:v>
      </x:c>
      <x:c r="N642" s="117"/>
      <x:c r="O642" s="117" t="str">
        <x:v>2026-09-08</x:v>
      </x:c>
      <x:c r="P642" s="117" t="str">
        <x:v>Complete</x:v>
      </x:c>
      <x:c r="Q642" s="117"/>
      <x:c r="R642" s="117" t="str">
        <x:f>IF(J642="","Missing Link",IF(AND(ISNUMBER(SEARCH("google.com/maps",J642)),ISERROR(SEARCH(";",J642))),"Discovery Link Only","Source Link Present"))</x:f>
        <x:v>Source Link Present</x:v>
      </x:c>
      <x:c r="S642" s="117" t="str">
        <x:v>Unknown</x:v>
      </x:c>
      <x:c r="T642" s="117" t="str">
        <x:v>Unknown</x:v>
      </x:c>
      <x:c r="U642" s="117" t="str">
        <x:v>Unknown</x:v>
      </x:c>
      <x:c r="V642" s="117" t="str">
        <x:v>Unknown</x:v>
      </x:c>
      <x:c r="W642" s="117" t="str">
        <x:v>Unknown</x:v>
      </x:c>
      <x:c r="X642" s="117" t="str">
        <x:v>Unknown</x:v>
      </x:c>
      <x:c r="Y642" s="117" t="str">
        <x:v>Unknown</x:v>
      </x:c>
      <x:c r="Z642" s="117"/>
      <x:c r="AA642" s="117" t="str">
        <x:v>Pending evidence</x:v>
      </x:c>
      <x:c r="AB642" s="117"/>
      <x:c r="AC642" s="117" t="str">
        <x:v>No qualifying accessibility conclusion established from the screened sources. This is unknown, not evidence that the attraction is inaccessible.</x:v>
      </x:c>
      <x:c r="AD642" s="117" t="str">
        <x:v>2026-09-08</x:v>
      </x:c>
      <x:c r="AE642" s="117" t="str">
        <x:v>MC0639</x:v>
      </x:c>
      <x:c r="AF642" s="117" t="str">
        <x:v>Distinct candidate</x:v>
      </x:c>
      <x:c r="AG642" s="117" t="str"/>
      <x:c r="AH642" s="117" t="str">
        <x:v>Listed by Tourism Malaysia</x:v>
      </x:c>
      <x:c r="AI642" s="117" t="str">
        <x:v>https://ebrochures.malaysia.travel/en/malaysia-travel-guide/perak/</x:v>
      </x:c>
      <x:c r="AJ642" s="117" t="str">
        <x:v>Named visitor attraction in cited source; state-guide listings can be historical. Locality is catalogue metadata, not a surveyed address. Current operation remains unconfirmed.</x:v>
      </x:c>
      <x:c r="AK642" s="117" t="str">
        <x:v>Not independently confirmed</x:v>
      </x:c>
      <x:c r="AL642" s="117" t="str">
        <x:v>Screened sources; accessibility unresolved</x:v>
      </x:c>
      <x:c r="AM642" s="117" t="str">
        <x:v>2026-09-08</x:v>
      </x:c>
      <x:c r="AN642" s="117"/>
      <x:c r="AO642" s="117"/>
      <x:c r="AP642" s="117" t="str">
        <x:v>No usable pair located; image research pending</x:v>
      </x:c>
      <x:c r="AQ642" s="117"/>
    </x:row>
    <x:row r="643" ht="66" customHeight="1">
      <x:c r="A643" s="117" t="str">
        <x:v>MC0640</x:v>
      </x:c>
      <x:c r="B643" s="117" t="str">
        <x:v>Lata Iskandar Waterfall</x:v>
      </x:c>
      <x:c r="C643" s="117" t="str">
        <x:v>Perak</x:v>
      </x:c>
      <x:c r="D643" s="117" t="str">
        <x:v>Batang Padang</x:v>
      </x:c>
      <x:c r="E643" s="117" t="str">
        <x:v>Nature</x:v>
      </x:c>
      <x:c r="F643" s="117" t="str">
        <x:v>Unclassified</x:v>
      </x:c>
      <x:c r="G643" s="117" t="str">
        <x:v>Outdoor</x:v>
      </x:c>
      <x:c r="H643" s="117" t="str">
        <x:v>Nature; Batang Padang</x:v>
      </x:c>
      <x:c r="I643" s="117" t="str">
        <x:v>A visitor attraction in Batang Padang, Perak, listed in Tourism Malaysia's state travel guide. Venue operation and the precise accessible route require confirmation.</x:v>
      </x:c>
      <x:c r="J643" s="117" t="str">
        <x:v>https://ebrochures.malaysia.travel/en/malaysia-travel-guide/perak/</x:v>
      </x:c>
      <x:c r="K643" s="117" t="str">
        <x:v>https://ebrochures.malaysia.travel/en/malaysia-travel-guide/perak/</x:v>
      </x:c>
      <x:c r="L643" s="117" t="str">
        <x:v>Tourism Malaysia listing; operation unconfirmed</x:v>
      </x:c>
      <x:c r="M643" s="117" t="str">
        <x:v>Nationwide expansion 2026-09-08</x:v>
      </x:c>
      <x:c r="N643" s="117"/>
      <x:c r="O643" s="117" t="str">
        <x:v>2026-09-08</x:v>
      </x:c>
      <x:c r="P643" s="117" t="str">
        <x:v>Complete</x:v>
      </x:c>
      <x:c r="Q643" s="117"/>
      <x:c r="R643" s="117" t="str">
        <x:f>IF(J643="","Missing Link",IF(AND(ISNUMBER(SEARCH("google.com/maps",J643)),ISERROR(SEARCH(";",J643))),"Discovery Link Only","Source Link Present"))</x:f>
        <x:v>Source Link Present</x:v>
      </x:c>
      <x:c r="S643" s="117" t="str">
        <x:v>Unknown</x:v>
      </x:c>
      <x:c r="T643" s="117" t="str">
        <x:v>Unknown</x:v>
      </x:c>
      <x:c r="U643" s="117" t="str">
        <x:v>Unknown</x:v>
      </x:c>
      <x:c r="V643" s="117" t="str">
        <x:v>Unknown</x:v>
      </x:c>
      <x:c r="W643" s="117" t="str">
        <x:v>Unknown</x:v>
      </x:c>
      <x:c r="X643" s="117" t="str">
        <x:v>Unknown</x:v>
      </x:c>
      <x:c r="Y643" s="117" t="str">
        <x:v>Unknown</x:v>
      </x:c>
      <x:c r="Z643" s="117"/>
      <x:c r="AA643" s="117" t="str">
        <x:v>Pending evidence</x:v>
      </x:c>
      <x:c r="AB643" s="117"/>
      <x:c r="AC643" s="117" t="str">
        <x:v>No qualifying accessibility conclusion established from the screened sources. This is unknown, not evidence that the attraction is inaccessible.</x:v>
      </x:c>
      <x:c r="AD643" s="117" t="str">
        <x:v>2026-09-08</x:v>
      </x:c>
      <x:c r="AE643" s="117" t="str">
        <x:v>MC0640</x:v>
      </x:c>
      <x:c r="AF643" s="117" t="str">
        <x:v>Distinct candidate</x:v>
      </x:c>
      <x:c r="AG643" s="117" t="str"/>
      <x:c r="AH643" s="117" t="str">
        <x:v>Listed by Tourism Malaysia</x:v>
      </x:c>
      <x:c r="AI643" s="117" t="str">
        <x:v>https://ebrochures.malaysia.travel/en/malaysia-travel-guide/perak/</x:v>
      </x:c>
      <x:c r="AJ643" s="117" t="str">
        <x:v>Named visitor attraction in cited source; state-guide listings can be historical. Locality is catalogue metadata, not a surveyed address. Current operation remains unconfirmed.</x:v>
      </x:c>
      <x:c r="AK643" s="117" t="str">
        <x:v>Not independently confirmed</x:v>
      </x:c>
      <x:c r="AL643" s="117" t="str">
        <x:v>Screened sources; accessibility unresolved</x:v>
      </x:c>
      <x:c r="AM643" s="117" t="str">
        <x:v>2026-09-08</x:v>
      </x:c>
      <x:c r="AN643" s="117" t="str">
        <x:v>https://upload.wikimedia.org/wikipedia/commons/9/9a/Air_terjun_Lata_Iskandar.jpg?utm_source=commons.wikimedia.org&amp;utm_campaign=imageinfo&amp;utm_content=thumbnail_unscaled</x:v>
      </x:c>
      <x:c r="AO643" s="117" t="str">
        <x:v>https://thumb.wikimedia.org/wikipedia/commons/thumb/7/7d/Near_waterfall_Lata_Iskandar_%2828054824645%29.jpg/1280px-Near_waterfall_Lata_Iskandar_%2828054824645%29.jpg?utm_source=commons.wikimedia.org&amp;utm_campaign=imageinfo&amp;utm_content=thumbnail</x:v>
      </x:c>
      <x:c r="AP643" s="117" t="str">
        <x:v>2 metadata-matched images; visual review pending</x:v>
      </x:c>
      <x:c r="AQ643" s="117"/>
    </x:row>
    <x:row r="644" ht="66" customHeight="1">
      <x:c r="A644" s="117" t="str">
        <x:v>MC0641</x:v>
      </x:c>
      <x:c r="B644" s="117" t="str">
        <x:v>Lata Kinjang Waterfall</x:v>
      </x:c>
      <x:c r="C644" s="117" t="str">
        <x:v>Perak</x:v>
      </x:c>
      <x:c r="D644" s="117" t="str">
        <x:v>Batang Padang</x:v>
      </x:c>
      <x:c r="E644" s="117" t="str">
        <x:v>Nature</x:v>
      </x:c>
      <x:c r="F644" s="117" t="str">
        <x:v>Unclassified</x:v>
      </x:c>
      <x:c r="G644" s="117" t="str">
        <x:v>Outdoor</x:v>
      </x:c>
      <x:c r="H644" s="117" t="str">
        <x:v>Nature; Batang Padang</x:v>
      </x:c>
      <x:c r="I644" s="117" t="str">
        <x:v>A visitor attraction in Batang Padang, Perak, listed in Tourism Malaysia's state travel guide. Venue operation and the precise accessible route require confirmation.</x:v>
      </x:c>
      <x:c r="J644" s="117" t="str">
        <x:v>https://ebrochures.malaysia.travel/en/malaysia-travel-guide/perak/</x:v>
      </x:c>
      <x:c r="K644" s="117" t="str">
        <x:v>https://ebrochures.malaysia.travel/en/malaysia-travel-guide/perak/</x:v>
      </x:c>
      <x:c r="L644" s="117" t="str">
        <x:v>Tourism Malaysia listing; operation unconfirmed</x:v>
      </x:c>
      <x:c r="M644" s="117" t="str">
        <x:v>Nationwide expansion 2026-09-08</x:v>
      </x:c>
      <x:c r="N644" s="117"/>
      <x:c r="O644" s="117" t="str">
        <x:v>2026-09-08</x:v>
      </x:c>
      <x:c r="P644" s="117" t="str">
        <x:v>Complete</x:v>
      </x:c>
      <x:c r="Q644" s="117"/>
      <x:c r="R644" s="117" t="str">
        <x:f>IF(J644="","Missing Link",IF(AND(ISNUMBER(SEARCH("google.com/maps",J644)),ISERROR(SEARCH(";",J644))),"Discovery Link Only","Source Link Present"))</x:f>
        <x:v>Source Link Present</x:v>
      </x:c>
      <x:c r="S644" s="117" t="str">
        <x:v>Unknown</x:v>
      </x:c>
      <x:c r="T644" s="117" t="str">
        <x:v>Unknown</x:v>
      </x:c>
      <x:c r="U644" s="117" t="str">
        <x:v>Unknown</x:v>
      </x:c>
      <x:c r="V644" s="117" t="str">
        <x:v>Unknown</x:v>
      </x:c>
      <x:c r="W644" s="117" t="str">
        <x:v>Unknown</x:v>
      </x:c>
      <x:c r="X644" s="117" t="str">
        <x:v>Unknown</x:v>
      </x:c>
      <x:c r="Y644" s="117" t="str">
        <x:v>Unknown</x:v>
      </x:c>
      <x:c r="Z644" s="117"/>
      <x:c r="AA644" s="117" t="str">
        <x:v>Pending evidence</x:v>
      </x:c>
      <x:c r="AB644" s="117"/>
      <x:c r="AC644" s="117" t="str">
        <x:v>No qualifying accessibility conclusion established from the screened sources. This is unknown, not evidence that the attraction is inaccessible.</x:v>
      </x:c>
      <x:c r="AD644" s="117" t="str">
        <x:v>2026-09-08</x:v>
      </x:c>
      <x:c r="AE644" s="117" t="str">
        <x:v>MC0641</x:v>
      </x:c>
      <x:c r="AF644" s="117" t="str">
        <x:v>Distinct candidate</x:v>
      </x:c>
      <x:c r="AG644" s="117" t="str"/>
      <x:c r="AH644" s="117" t="str">
        <x:v>Listed by Tourism Malaysia</x:v>
      </x:c>
      <x:c r="AI644" s="117" t="str">
        <x:v>https://ebrochures.malaysia.travel/en/malaysia-travel-guide/perak/</x:v>
      </x:c>
      <x:c r="AJ644" s="117" t="str">
        <x:v>Named visitor attraction in cited source; state-guide listings can be historical. Locality is catalogue metadata, not a surveyed address. Current operation remains unconfirmed.</x:v>
      </x:c>
      <x:c r="AK644" s="117" t="str">
        <x:v>Not independently confirmed</x:v>
      </x:c>
      <x:c r="AL644" s="117" t="str">
        <x:v>Screened sources; accessibility unresolved</x:v>
      </x:c>
      <x:c r="AM644" s="117" t="str">
        <x:v>2026-09-08</x:v>
      </x:c>
      <x:c r="AN644" s="117" t="str">
        <x:v>https://upload.wikimedia.org/wikipedia/commons/5/51/Kampar_lata_kinjang_waterfall.jpg?utm_source=commons.wikimedia.org&amp;utm_campaign=imageinfo&amp;utm_content=thumbnail_unscaled</x:v>
      </x:c>
      <x:c r="AO644" s="117" t="str">
        <x:v>https://upload.wikimedia.org/wikipedia/commons/a/a5/Lata_kinjang_waterfall_2025.jpg?utm_source=commons.wikimedia.org&amp;utm_campaign=imageinfo&amp;utm_content=thumbnail_unscaled</x:v>
      </x:c>
      <x:c r="AP644" s="117" t="str">
        <x:v>2 metadata-matched images; visual review pending</x:v>
      </x:c>
      <x:c r="AQ644" s="117"/>
    </x:row>
    <x:row r="645" ht="66" customHeight="1">
      <x:c r="A645" s="117" t="str">
        <x:v>MC0642</x:v>
      </x:c>
      <x:c r="B645" s="117" t="str">
        <x:v>National Education Museum UPSI</x:v>
      </x:c>
      <x:c r="C645" s="117" t="str">
        <x:v>Perak</x:v>
      </x:c>
      <x:c r="D645" s="117" t="str">
        <x:v>Tanjung Malim</x:v>
      </x:c>
      <x:c r="E645" s="117" t="str">
        <x:v>Museum and Gallery</x:v>
      </x:c>
      <x:c r="F645" s="117" t="str">
        <x:v>Unclassified</x:v>
      </x:c>
      <x:c r="G645" s="117" t="str">
        <x:v>Indoor</x:v>
      </x:c>
      <x:c r="H645" s="117" t="str">
        <x:v>Museum and Gallery; Tanjung Malim</x:v>
      </x:c>
      <x:c r="I645" s="117" t="str">
        <x:v>A visitor attraction in Tanjung Malim, Perak, listed in Tourism Malaysia's state travel guide. Venue operation and the precise accessible route require confirmation.</x:v>
      </x:c>
      <x:c r="J645" s="117" t="str">
        <x:v>https://ebrochures.malaysia.travel/en/malaysia-travel-guide/perak/</x:v>
      </x:c>
      <x:c r="K645" s="117" t="str">
        <x:v>https://ebrochures.malaysia.travel/en/malaysia-travel-guide/perak/</x:v>
      </x:c>
      <x:c r="L645" s="117" t="str">
        <x:v>Tourism Malaysia listing; operation unconfirmed</x:v>
      </x:c>
      <x:c r="M645" s="117" t="str">
        <x:v>Nationwide expansion 2026-09-08</x:v>
      </x:c>
      <x:c r="N645" s="117"/>
      <x:c r="O645" s="117" t="str">
        <x:v>2026-09-08</x:v>
      </x:c>
      <x:c r="P645" s="117" t="str">
        <x:v>Complete</x:v>
      </x:c>
      <x:c r="Q645" s="117"/>
      <x:c r="R645" s="117" t="str">
        <x:f>IF(J645="","Missing Link",IF(AND(ISNUMBER(SEARCH("google.com/maps",J645)),ISERROR(SEARCH(";",J645))),"Discovery Link Only","Source Link Present"))</x:f>
        <x:v>Source Link Present</x:v>
      </x:c>
      <x:c r="S645" s="117" t="str">
        <x:v>Unknown</x:v>
      </x:c>
      <x:c r="T645" s="117" t="str">
        <x:v>Unknown</x:v>
      </x:c>
      <x:c r="U645" s="117" t="str">
        <x:v>Unknown</x:v>
      </x:c>
      <x:c r="V645" s="117" t="str">
        <x:v>Unknown</x:v>
      </x:c>
      <x:c r="W645" s="117" t="str">
        <x:v>Unknown</x:v>
      </x:c>
      <x:c r="X645" s="117" t="str">
        <x:v>Unknown</x:v>
      </x:c>
      <x:c r="Y645" s="117" t="str">
        <x:v>Unknown</x:v>
      </x:c>
      <x:c r="Z645" s="117"/>
      <x:c r="AA645" s="117" t="str">
        <x:v>Pending evidence</x:v>
      </x:c>
      <x:c r="AB645" s="117"/>
      <x:c r="AC645" s="117" t="str">
        <x:v>No qualifying accessibility conclusion established from the screened sources. This is unknown, not evidence that the attraction is inaccessible.</x:v>
      </x:c>
      <x:c r="AD645" s="117" t="str">
        <x:v>2026-09-08</x:v>
      </x:c>
      <x:c r="AE645" s="117" t="str">
        <x:v>MC0642</x:v>
      </x:c>
      <x:c r="AF645" s="117" t="str">
        <x:v>Distinct candidate</x:v>
      </x:c>
      <x:c r="AG645" s="117" t="str"/>
      <x:c r="AH645" s="117" t="str">
        <x:v>Listed by Tourism Malaysia</x:v>
      </x:c>
      <x:c r="AI645" s="117" t="str">
        <x:v>https://ebrochures.malaysia.travel/en/malaysia-travel-guide/perak/</x:v>
      </x:c>
      <x:c r="AJ645" s="117" t="str">
        <x:v>Named visitor attraction in cited source; state-guide listings can be historical. Locality is catalogue metadata, not a surveyed address. Current operation remains unconfirmed.</x:v>
      </x:c>
      <x:c r="AK645" s="117" t="str">
        <x:v>Not independently confirmed</x:v>
      </x:c>
      <x:c r="AL645" s="117" t="str">
        <x:v>Screened sources; accessibility unresolved</x:v>
      </x:c>
      <x:c r="AM645" s="117" t="str">
        <x:v>2026-09-08</x:v>
      </x:c>
      <x:c r="AN645" s="117"/>
      <x:c r="AO645" s="117"/>
      <x:c r="AP645" s="117" t="str">
        <x:v>No usable pair located; image research pending</x:v>
      </x:c>
      <x:c r="AQ645" s="117"/>
    </x:row>
    <x:row r="646" ht="66" customHeight="1">
      <x:c r="A646" s="117" t="str">
        <x:v>MC0643</x:v>
      </x:c>
      <x:c r="B646" s="117" t="str">
        <x:v>Sungai Kampar White Water Rafting</x:v>
      </x:c>
      <x:c r="C646" s="117" t="str">
        <x:v>Perak</x:v>
      </x:c>
      <x:c r="D646" s="117" t="str">
        <x:v>Gopeng</x:v>
      </x:c>
      <x:c r="E646" s="117" t="str">
        <x:v>Scenic Transport</x:v>
      </x:c>
      <x:c r="F646" s="117" t="str">
        <x:v>Unclassified</x:v>
      </x:c>
      <x:c r="G646" s="117" t="str">
        <x:v>Both</x:v>
      </x:c>
      <x:c r="H646" s="117" t="str">
        <x:v>Scenic Transport; Gopeng</x:v>
      </x:c>
      <x:c r="I646" s="117" t="str">
        <x:v>A visitor attraction in Gopeng, Perak, listed in Tourism Malaysia's state travel guide. Venue operation and the precise accessible route require confirmation.</x:v>
      </x:c>
      <x:c r="J646" s="117" t="str">
        <x:v>https://ebrochures.malaysia.travel/en/malaysia-travel-guide/perak/</x:v>
      </x:c>
      <x:c r="K646" s="117" t="str">
        <x:v>https://ebrochures.malaysia.travel/en/malaysia-travel-guide/perak/</x:v>
      </x:c>
      <x:c r="L646" s="117" t="str">
        <x:v>Tourism Malaysia listing; operation unconfirmed</x:v>
      </x:c>
      <x:c r="M646" s="117" t="str">
        <x:v>Nationwide expansion 2026-09-08</x:v>
      </x:c>
      <x:c r="N646" s="117"/>
      <x:c r="O646" s="117" t="str">
        <x:v>2026-09-08</x:v>
      </x:c>
      <x:c r="P646" s="117" t="str">
        <x:v>Complete</x:v>
      </x:c>
      <x:c r="Q646" s="117"/>
      <x:c r="R646" s="117" t="str">
        <x:f>IF(J646="","Missing Link",IF(AND(ISNUMBER(SEARCH("google.com/maps",J646)),ISERROR(SEARCH(";",J646))),"Discovery Link Only","Source Link Present"))</x:f>
        <x:v>Source Link Present</x:v>
      </x:c>
      <x:c r="S646" s="117" t="str">
        <x:v>Unknown</x:v>
      </x:c>
      <x:c r="T646" s="117" t="str">
        <x:v>Unknown</x:v>
      </x:c>
      <x:c r="U646" s="117" t="str">
        <x:v>Unknown</x:v>
      </x:c>
      <x:c r="V646" s="117" t="str">
        <x:v>Unknown</x:v>
      </x:c>
      <x:c r="W646" s="117" t="str">
        <x:v>Unknown</x:v>
      </x:c>
      <x:c r="X646" s="117" t="str">
        <x:v>Unknown</x:v>
      </x:c>
      <x:c r="Y646" s="117" t="str">
        <x:v>Unknown</x:v>
      </x:c>
      <x:c r="Z646" s="117"/>
      <x:c r="AA646" s="117" t="str">
        <x:v>Pending evidence</x:v>
      </x:c>
      <x:c r="AB646" s="117"/>
      <x:c r="AC646" s="117" t="str">
        <x:v>No qualifying accessibility conclusion established from the screened sources. This is unknown, not evidence that the attraction is inaccessible.</x:v>
      </x:c>
      <x:c r="AD646" s="117" t="str">
        <x:v>2026-09-08</x:v>
      </x:c>
      <x:c r="AE646" s="117" t="str">
        <x:v>MC0643</x:v>
      </x:c>
      <x:c r="AF646" s="117" t="str">
        <x:v>Distinct candidate</x:v>
      </x:c>
      <x:c r="AG646" s="117" t="str"/>
      <x:c r="AH646" s="117" t="str">
        <x:v>Listed by Tourism Malaysia</x:v>
      </x:c>
      <x:c r="AI646" s="117" t="str">
        <x:v>https://ebrochures.malaysia.travel/en/malaysia-travel-guide/perak/</x:v>
      </x:c>
      <x:c r="AJ646" s="117" t="str">
        <x:v>Named visitor attraction in cited source; state-guide listings can be historical. Locality is catalogue metadata, not a surveyed address. Current operation remains unconfirmed.</x:v>
      </x:c>
      <x:c r="AK646" s="117" t="str">
        <x:v>Not independently confirmed</x:v>
      </x:c>
      <x:c r="AL646" s="117" t="str">
        <x:v>Screened sources; accessibility unresolved</x:v>
      </x:c>
      <x:c r="AM646" s="117" t="str">
        <x:v>2026-09-08</x:v>
      </x:c>
      <x:c r="AN646" s="117"/>
      <x:c r="AO646" s="117"/>
      <x:c r="AP646" s="117" t="str">
        <x:v>No usable pair located; image research pending</x:v>
      </x:c>
      <x:c r="AQ646" s="117"/>
    </x:row>
    <x:row r="647" ht="66" customHeight="1">
      <x:c r="A647" s="117" t="str">
        <x:v>MC0644</x:v>
      </x:c>
      <x:c r="B647" s="117" t="str">
        <x:v>Gaharu Tea Valley</x:v>
      </x:c>
      <x:c r="C647" s="117" t="str">
        <x:v>Perak</x:v>
      </x:c>
      <x:c r="D647" s="117" t="str">
        <x:v>Gopeng</x:v>
      </x:c>
      <x:c r="E647" s="117" t="str">
        <x:v>Farm and Visitor Experience</x:v>
      </x:c>
      <x:c r="F647" s="117" t="str">
        <x:v>Unclassified</x:v>
      </x:c>
      <x:c r="G647" s="117" t="str">
        <x:v>Both</x:v>
      </x:c>
      <x:c r="H647" s="117" t="str">
        <x:v>Farm and Visitor Experience; Gopeng</x:v>
      </x:c>
      <x:c r="I647" s="117" t="str">
        <x:v>A visitor attraction in Gopeng, Perak, listed in Tourism Malaysia's state travel guide. Venue operation and the precise accessible route require confirmation.</x:v>
      </x:c>
      <x:c r="J647" s="117" t="str">
        <x:v>https://ebrochures.malaysia.travel/en/malaysia-travel-guide/perak/</x:v>
      </x:c>
      <x:c r="K647" s="117" t="str">
        <x:v>https://ebrochures.malaysia.travel/en/malaysia-travel-guide/perak/</x:v>
      </x:c>
      <x:c r="L647" s="117" t="str">
        <x:v>Tourism Malaysia listing; operation unconfirmed</x:v>
      </x:c>
      <x:c r="M647" s="117" t="str">
        <x:v>Nationwide expansion 2026-09-08</x:v>
      </x:c>
      <x:c r="N647" s="117"/>
      <x:c r="O647" s="117" t="str">
        <x:v>2026-09-08</x:v>
      </x:c>
      <x:c r="P647" s="117" t="str">
        <x:v>Complete</x:v>
      </x:c>
      <x:c r="Q647" s="117"/>
      <x:c r="R647" s="117" t="str">
        <x:f>IF(J647="","Missing Link",IF(AND(ISNUMBER(SEARCH("google.com/maps",J647)),ISERROR(SEARCH(";",J647))),"Discovery Link Only","Source Link Present"))</x:f>
        <x:v>Source Link Present</x:v>
      </x:c>
      <x:c r="S647" s="117" t="str">
        <x:v>Unknown</x:v>
      </x:c>
      <x:c r="T647" s="117" t="str">
        <x:v>Unknown</x:v>
      </x:c>
      <x:c r="U647" s="117" t="str">
        <x:v>Unknown</x:v>
      </x:c>
      <x:c r="V647" s="117" t="str">
        <x:v>Unknown</x:v>
      </x:c>
      <x:c r="W647" s="117" t="str">
        <x:v>Unknown</x:v>
      </x:c>
      <x:c r="X647" s="117" t="str">
        <x:v>Unknown</x:v>
      </x:c>
      <x:c r="Y647" s="117" t="str">
        <x:v>Unknown</x:v>
      </x:c>
      <x:c r="Z647" s="117"/>
      <x:c r="AA647" s="117" t="str">
        <x:v>Pending evidence</x:v>
      </x:c>
      <x:c r="AB647" s="117"/>
      <x:c r="AC647" s="117" t="str">
        <x:v>No qualifying accessibility conclusion established from the screened sources. This is unknown, not evidence that the attraction is inaccessible.</x:v>
      </x:c>
      <x:c r="AD647" s="117" t="str">
        <x:v>2026-09-08</x:v>
      </x:c>
      <x:c r="AE647" s="117" t="str">
        <x:v>MC0644</x:v>
      </x:c>
      <x:c r="AF647" s="117" t="str">
        <x:v>Distinct candidate</x:v>
      </x:c>
      <x:c r="AG647" s="117" t="str"/>
      <x:c r="AH647" s="117" t="str">
        <x:v>Listed by Tourism Malaysia</x:v>
      </x:c>
      <x:c r="AI647" s="117" t="str">
        <x:v>https://ebrochures.malaysia.travel/en/malaysia-travel-guide/perak/</x:v>
      </x:c>
      <x:c r="AJ647" s="117" t="str">
        <x:v>Named visitor attraction in cited source; state-guide listings can be historical. Locality is catalogue metadata, not a surveyed address. Current operation remains unconfirmed.</x:v>
      </x:c>
      <x:c r="AK647" s="117" t="str">
        <x:v>Not independently confirmed</x:v>
      </x:c>
      <x:c r="AL647" s="117" t="str">
        <x:v>Screened sources; accessibility unresolved</x:v>
      </x:c>
      <x:c r="AM647" s="117" t="str">
        <x:v>2026-09-08</x:v>
      </x:c>
      <x:c r="AN647" s="117" t="str">
        <x:v>https://thumb.wikimedia.org/wikipedia/commons/thumb/e/e5/Gaharu_Tea_Valley_Gopeng.jpg/1280px-Gaharu_Tea_Valley_Gopeng.jpg?utm_source=commons.wikimedia.org&amp;utm_campaign=imageinfo&amp;utm_content=thumbnail</x:v>
      </x:c>
      <x:c r="AO647" s="117"/>
      <x:c r="AP647" s="117" t="str">
        <x:v>1 metadata-matched images; visual review pending</x:v>
      </x:c>
      <x:c r="AQ647" s="117"/>
    </x:row>
    <x:row r="648" ht="66" customHeight="1">
      <x:c r="A648" s="117" t="str">
        <x:v>MC0645</x:v>
      </x:c>
      <x:c r="B648" s="117" t="str">
        <x:v>Gopeng Museum</x:v>
      </x:c>
      <x:c r="C648" s="117" t="str">
        <x:v>Perak</x:v>
      </x:c>
      <x:c r="D648" s="117" t="str">
        <x:v>Gopeng</x:v>
      </x:c>
      <x:c r="E648" s="117" t="str">
        <x:v>Museum and Gallery</x:v>
      </x:c>
      <x:c r="F648" s="117" t="str">
        <x:v>Unclassified</x:v>
      </x:c>
      <x:c r="G648" s="117" t="str">
        <x:v>Indoor</x:v>
      </x:c>
      <x:c r="H648" s="117" t="str">
        <x:v>Museum and Gallery; Gopeng</x:v>
      </x:c>
      <x:c r="I648" s="117" t="str">
        <x:v>A visitor attraction in Gopeng, Perak, listed in Tourism Malaysia's state travel guide. Venue operation and the precise accessible route require confirmation.</x:v>
      </x:c>
      <x:c r="J648" s="117" t="str">
        <x:v>https://ebrochures.malaysia.travel/en/malaysia-travel-guide/perak/</x:v>
      </x:c>
      <x:c r="K648" s="117" t="str">
        <x:v>https://ebrochures.malaysia.travel/en/malaysia-travel-guide/perak/</x:v>
      </x:c>
      <x:c r="L648" s="117" t="str">
        <x:v>Tourism Malaysia listing; operation unconfirmed</x:v>
      </x:c>
      <x:c r="M648" s="117" t="str">
        <x:v>Nationwide expansion 2026-09-08</x:v>
      </x:c>
      <x:c r="N648" s="117"/>
      <x:c r="O648" s="117" t="str">
        <x:v>2026-09-08</x:v>
      </x:c>
      <x:c r="P648" s="117" t="str">
        <x:v>Complete</x:v>
      </x:c>
      <x:c r="Q648" s="117"/>
      <x:c r="R648" s="117" t="str">
        <x:f>IF(J648="","Missing Link",IF(AND(ISNUMBER(SEARCH("google.com/maps",J648)),ISERROR(SEARCH(";",J648))),"Discovery Link Only","Source Link Present"))</x:f>
        <x:v>Source Link Present</x:v>
      </x:c>
      <x:c r="S648" s="117" t="str">
        <x:v>Unknown</x:v>
      </x:c>
      <x:c r="T648" s="117" t="str">
        <x:v>Unknown</x:v>
      </x:c>
      <x:c r="U648" s="117" t="str">
        <x:v>Unknown</x:v>
      </x:c>
      <x:c r="V648" s="117" t="str">
        <x:v>Unknown</x:v>
      </x:c>
      <x:c r="W648" s="117" t="str">
        <x:v>Unknown</x:v>
      </x:c>
      <x:c r="X648" s="117" t="str">
        <x:v>Unknown</x:v>
      </x:c>
      <x:c r="Y648" s="117" t="str">
        <x:v>Unknown</x:v>
      </x:c>
      <x:c r="Z648" s="117"/>
      <x:c r="AA648" s="117" t="str">
        <x:v>Pending evidence</x:v>
      </x:c>
      <x:c r="AB648" s="117"/>
      <x:c r="AC648" s="117" t="str">
        <x:v>No qualifying accessibility conclusion established from the screened sources. This is unknown, not evidence that the attraction is inaccessible.</x:v>
      </x:c>
      <x:c r="AD648" s="117" t="str">
        <x:v>2026-09-08</x:v>
      </x:c>
      <x:c r="AE648" s="117" t="str">
        <x:v>MC0645</x:v>
      </x:c>
      <x:c r="AF648" s="117" t="str">
        <x:v>Distinct candidate</x:v>
      </x:c>
      <x:c r="AG648" s="117" t="str"/>
      <x:c r="AH648" s="117" t="str">
        <x:v>Listed by Tourism Malaysia</x:v>
      </x:c>
      <x:c r="AI648" s="117" t="str">
        <x:v>https://ebrochures.malaysia.travel/en/malaysia-travel-guide/perak/</x:v>
      </x:c>
      <x:c r="AJ648" s="117" t="str">
        <x:v>Named visitor attraction in cited source; state-guide listings can be historical. Locality is catalogue metadata, not a surveyed address. Current operation remains unconfirmed.</x:v>
      </x:c>
      <x:c r="AK648" s="117" t="str">
        <x:v>Not independently confirmed</x:v>
      </x:c>
      <x:c r="AL648" s="117" t="str">
        <x:v>Screened sources; accessibility unresolved</x:v>
      </x:c>
      <x:c r="AM648" s="117" t="str">
        <x:v>2026-09-08</x:v>
      </x:c>
      <x:c r="AN648" s="117"/>
      <x:c r="AO648" s="117"/>
      <x:c r="AP648" s="117" t="str">
        <x:v>No usable pair located; image research pending</x:v>
      </x:c>
      <x:c r="AQ648" s="117"/>
    </x:row>
    <x:row r="649" ht="66" customHeight="1">
      <x:c r="A649" s="117" t="str">
        <x:v>MC0646</x:v>
      </x:c>
      <x:c r="B649" s="117" t="str">
        <x:v>Gopeng Heritage House</x:v>
      </x:c>
      <x:c r="C649" s="117" t="str">
        <x:v>Perak</x:v>
      </x:c>
      <x:c r="D649" s="117" t="str">
        <x:v>Gopeng</x:v>
      </x:c>
      <x:c r="E649" s="117" t="str">
        <x:v>Museum and Gallery</x:v>
      </x:c>
      <x:c r="F649" s="117" t="str">
        <x:v>Unclassified</x:v>
      </x:c>
      <x:c r="G649" s="117" t="str">
        <x:v>Indoor</x:v>
      </x:c>
      <x:c r="H649" s="117" t="str">
        <x:v>Museum and Gallery; Gopeng</x:v>
      </x:c>
      <x:c r="I649" s="117" t="str">
        <x:v>A visitor attraction in Gopeng, Perak, listed in Tourism Malaysia's state travel guide. Venue operation and the precise accessible route require confirmation.</x:v>
      </x:c>
      <x:c r="J649" s="117" t="str">
        <x:v>https://ebrochures.malaysia.travel/en/malaysia-travel-guide/perak/</x:v>
      </x:c>
      <x:c r="K649" s="117" t="str">
        <x:v>https://ebrochures.malaysia.travel/en/malaysia-travel-guide/perak/</x:v>
      </x:c>
      <x:c r="L649" s="117" t="str">
        <x:v>Tourism Malaysia listing; operation unconfirmed</x:v>
      </x:c>
      <x:c r="M649" s="117" t="str">
        <x:v>Nationwide expansion 2026-09-08</x:v>
      </x:c>
      <x:c r="N649" s="117"/>
      <x:c r="O649" s="117" t="str">
        <x:v>2026-09-08</x:v>
      </x:c>
      <x:c r="P649" s="117" t="str">
        <x:v>Complete</x:v>
      </x:c>
      <x:c r="Q649" s="117"/>
      <x:c r="R649" s="117" t="str">
        <x:f>IF(J649="","Missing Link",IF(AND(ISNUMBER(SEARCH("google.com/maps",J649)),ISERROR(SEARCH(";",J649))),"Discovery Link Only","Source Link Present"))</x:f>
        <x:v>Source Link Present</x:v>
      </x:c>
      <x:c r="S649" s="117" t="str">
        <x:v>Unknown</x:v>
      </x:c>
      <x:c r="T649" s="117" t="str">
        <x:v>Unknown</x:v>
      </x:c>
      <x:c r="U649" s="117" t="str">
        <x:v>Unknown</x:v>
      </x:c>
      <x:c r="V649" s="117" t="str">
        <x:v>Unknown</x:v>
      </x:c>
      <x:c r="W649" s="117" t="str">
        <x:v>Unknown</x:v>
      </x:c>
      <x:c r="X649" s="117" t="str">
        <x:v>Unknown</x:v>
      </x:c>
      <x:c r="Y649" s="117" t="str">
        <x:v>Unknown</x:v>
      </x:c>
      <x:c r="Z649" s="117"/>
      <x:c r="AA649" s="117" t="str">
        <x:v>Pending evidence</x:v>
      </x:c>
      <x:c r="AB649" s="117"/>
      <x:c r="AC649" s="117" t="str">
        <x:v>No qualifying accessibility conclusion established from the screened sources. This is unknown, not evidence that the attraction is inaccessible.</x:v>
      </x:c>
      <x:c r="AD649" s="117" t="str">
        <x:v>2026-09-08</x:v>
      </x:c>
      <x:c r="AE649" s="117" t="str">
        <x:v>MC0646</x:v>
      </x:c>
      <x:c r="AF649" s="117" t="str">
        <x:v>Distinct candidate</x:v>
      </x:c>
      <x:c r="AG649" s="117" t="str"/>
      <x:c r="AH649" s="117" t="str">
        <x:v>Listed by Tourism Malaysia</x:v>
      </x:c>
      <x:c r="AI649" s="117" t="str">
        <x:v>https://ebrochures.malaysia.travel/en/malaysia-travel-guide/perak/</x:v>
      </x:c>
      <x:c r="AJ649" s="117" t="str">
        <x:v>Named visitor attraction in cited source; state-guide listings can be historical. Locality is catalogue metadata, not a surveyed address. Current operation remains unconfirmed.</x:v>
      </x:c>
      <x:c r="AK649" s="117" t="str">
        <x:v>Not independently confirmed</x:v>
      </x:c>
      <x:c r="AL649" s="117" t="str">
        <x:v>Screened sources; accessibility unresolved</x:v>
      </x:c>
      <x:c r="AM649" s="117" t="str">
        <x:v>2026-09-08</x:v>
      </x:c>
      <x:c r="AN649" s="117"/>
      <x:c r="AO649" s="117"/>
      <x:c r="AP649" s="117" t="str">
        <x:v>No usable pair located; image research pending</x:v>
      </x:c>
      <x:c r="AQ649" s="117"/>
    </x:row>
    <x:row r="650" ht="66" customHeight="1">
      <x:c r="A650" s="117" t="str">
        <x:v>MC0647</x:v>
      </x:c>
      <x:c r="B650" s="117" t="str">
        <x:v>Kuala Gula Bird Sanctuary</x:v>
      </x:c>
      <x:c r="C650" s="117" t="str">
        <x:v>Perak</x:v>
      </x:c>
      <x:c r="D650" s="117" t="str">
        <x:v>Kerian</x:v>
      </x:c>
      <x:c r="E650" s="117" t="str">
        <x:v>Wildlife</x:v>
      </x:c>
      <x:c r="F650" s="117" t="str">
        <x:v>Unclassified</x:v>
      </x:c>
      <x:c r="G650" s="117" t="str">
        <x:v>Outdoor</x:v>
      </x:c>
      <x:c r="H650" s="117" t="str">
        <x:v>Wildlife; Kerian</x:v>
      </x:c>
      <x:c r="I650" s="117" t="str">
        <x:v>A visitor attraction in Kerian, Perak, listed in Tourism Malaysia's state travel guide. Venue operation and the precise accessible route require confirmation.</x:v>
      </x:c>
      <x:c r="J650" s="117" t="str">
        <x:v>https://ebrochures.malaysia.travel/en/malaysia-travel-guide/perak/</x:v>
      </x:c>
      <x:c r="K650" s="117" t="str">
        <x:v>https://ebrochures.malaysia.travel/en/malaysia-travel-guide/perak/</x:v>
      </x:c>
      <x:c r="L650" s="117" t="str">
        <x:v>Tourism Malaysia listing; operation unconfirmed</x:v>
      </x:c>
      <x:c r="M650" s="117" t="str">
        <x:v>Nationwide expansion 2026-09-08</x:v>
      </x:c>
      <x:c r="N650" s="117"/>
      <x:c r="O650" s="117" t="str">
        <x:v>2026-09-08</x:v>
      </x:c>
      <x:c r="P650" s="117" t="str">
        <x:v>Complete</x:v>
      </x:c>
      <x:c r="Q650" s="117"/>
      <x:c r="R650" s="117" t="str">
        <x:f>IF(J650="","Missing Link",IF(AND(ISNUMBER(SEARCH("google.com/maps",J650)),ISERROR(SEARCH(";",J650))),"Discovery Link Only","Source Link Present"))</x:f>
        <x:v>Source Link Present</x:v>
      </x:c>
      <x:c r="S650" s="117" t="str">
        <x:v>Unknown</x:v>
      </x:c>
      <x:c r="T650" s="117" t="str">
        <x:v>Unknown</x:v>
      </x:c>
      <x:c r="U650" s="117" t="str">
        <x:v>Unknown</x:v>
      </x:c>
      <x:c r="V650" s="117" t="str">
        <x:v>Unknown</x:v>
      </x:c>
      <x:c r="W650" s="117" t="str">
        <x:v>Unknown</x:v>
      </x:c>
      <x:c r="X650" s="117" t="str">
        <x:v>Unknown</x:v>
      </x:c>
      <x:c r="Y650" s="117" t="str">
        <x:v>Unknown</x:v>
      </x:c>
      <x:c r="Z650" s="117"/>
      <x:c r="AA650" s="117" t="str">
        <x:v>Pending evidence</x:v>
      </x:c>
      <x:c r="AB650" s="117"/>
      <x:c r="AC650" s="117" t="str">
        <x:v>No qualifying accessibility conclusion established from the screened sources. This is unknown, not evidence that the attraction is inaccessible.</x:v>
      </x:c>
      <x:c r="AD650" s="117" t="str">
        <x:v>2026-09-08</x:v>
      </x:c>
      <x:c r="AE650" s="117" t="str">
        <x:v>MC0647</x:v>
      </x:c>
      <x:c r="AF650" s="117" t="str">
        <x:v>Distinct candidate</x:v>
      </x:c>
      <x:c r="AG650" s="117" t="str"/>
      <x:c r="AH650" s="117" t="str">
        <x:v>Listed by Tourism Malaysia</x:v>
      </x:c>
      <x:c r="AI650" s="117" t="str">
        <x:v>https://ebrochures.malaysia.travel/en/malaysia-travel-guide/perak/</x:v>
      </x:c>
      <x:c r="AJ650" s="117" t="str">
        <x:v>Named visitor attraction in cited source; state-guide listings can be historical. Locality is catalogue metadata, not a surveyed address. Current operation remains unconfirmed.</x:v>
      </x:c>
      <x:c r="AK650" s="117" t="str">
        <x:v>Not independently confirmed</x:v>
      </x:c>
      <x:c r="AL650" s="117" t="str">
        <x:v>Screened sources; accessibility unresolved</x:v>
      </x:c>
      <x:c r="AM650" s="117" t="str">
        <x:v>2026-09-08</x:v>
      </x:c>
      <x:c r="AN650" s="117"/>
      <x:c r="AO650" s="117"/>
      <x:c r="AP650" s="117" t="str">
        <x:v>No usable pair located; image research pending</x:v>
      </x:c>
      <x:c r="AQ650" s="117"/>
    </x:row>
    <x:row r="651" ht="66" customHeight="1">
      <x:c r="A651" s="117" t="str">
        <x:v>MC0648</x:v>
      </x:c>
      <x:c r="B651" s="117" t="str">
        <x:v>Ban Pecah Beach</x:v>
      </x:c>
      <x:c r="C651" s="117" t="str">
        <x:v>Perak</x:v>
      </x:c>
      <x:c r="D651" s="117" t="str">
        <x:v>Kerian</x:v>
      </x:c>
      <x:c r="E651" s="117" t="str">
        <x:v>Beach and Island</x:v>
      </x:c>
      <x:c r="F651" s="117" t="str">
        <x:v>Unclassified</x:v>
      </x:c>
      <x:c r="G651" s="117" t="str">
        <x:v>Outdoor</x:v>
      </x:c>
      <x:c r="H651" s="117" t="str">
        <x:v>Beach and Island; Kerian</x:v>
      </x:c>
      <x:c r="I651" s="117" t="str">
        <x:v>A visitor attraction in Kerian, Perak, listed in Tourism Malaysia's state travel guide. Venue operation and the precise accessible route require confirmation.</x:v>
      </x:c>
      <x:c r="J651" s="117" t="str">
        <x:v>https://ebrochures.malaysia.travel/en/malaysia-travel-guide/perak/</x:v>
      </x:c>
      <x:c r="K651" s="117" t="str">
        <x:v>https://ebrochures.malaysia.travel/en/malaysia-travel-guide/perak/</x:v>
      </x:c>
      <x:c r="L651" s="117" t="str">
        <x:v>Tourism Malaysia listing; operation unconfirmed</x:v>
      </x:c>
      <x:c r="M651" s="117" t="str">
        <x:v>Nationwide expansion 2026-09-08</x:v>
      </x:c>
      <x:c r="N651" s="117"/>
      <x:c r="O651" s="117" t="str">
        <x:v>2026-09-08</x:v>
      </x:c>
      <x:c r="P651" s="117" t="str">
        <x:v>Complete</x:v>
      </x:c>
      <x:c r="Q651" s="117"/>
      <x:c r="R651" s="117" t="str">
        <x:f>IF(J651="","Missing Link",IF(AND(ISNUMBER(SEARCH("google.com/maps",J651)),ISERROR(SEARCH(";",J651))),"Discovery Link Only","Source Link Present"))</x:f>
        <x:v>Source Link Present</x:v>
      </x:c>
      <x:c r="S651" s="117" t="str">
        <x:v>Unknown</x:v>
      </x:c>
      <x:c r="T651" s="117" t="str">
        <x:v>Unknown</x:v>
      </x:c>
      <x:c r="U651" s="117" t="str">
        <x:v>Unknown</x:v>
      </x:c>
      <x:c r="V651" s="117" t="str">
        <x:v>Unknown</x:v>
      </x:c>
      <x:c r="W651" s="117" t="str">
        <x:v>Unknown</x:v>
      </x:c>
      <x:c r="X651" s="117" t="str">
        <x:v>Unknown</x:v>
      </x:c>
      <x:c r="Y651" s="117" t="str">
        <x:v>Unknown</x:v>
      </x:c>
      <x:c r="Z651" s="117"/>
      <x:c r="AA651" s="117" t="str">
        <x:v>Pending evidence</x:v>
      </x:c>
      <x:c r="AB651" s="117"/>
      <x:c r="AC651" s="117" t="str">
        <x:v>No qualifying accessibility conclusion established from the screened sources. This is unknown, not evidence that the attraction is inaccessible.</x:v>
      </x:c>
      <x:c r="AD651" s="117" t="str">
        <x:v>2026-09-08</x:v>
      </x:c>
      <x:c r="AE651" s="117" t="str">
        <x:v>MC0648</x:v>
      </x:c>
      <x:c r="AF651" s="117" t="str">
        <x:v>Distinct candidate</x:v>
      </x:c>
      <x:c r="AG651" s="117" t="str"/>
      <x:c r="AH651" s="117" t="str">
        <x:v>Listed by Tourism Malaysia</x:v>
      </x:c>
      <x:c r="AI651" s="117" t="str">
        <x:v>https://ebrochures.malaysia.travel/en/malaysia-travel-guide/perak/</x:v>
      </x:c>
      <x:c r="AJ651" s="117" t="str">
        <x:v>Named visitor attraction in cited source; state-guide listings can be historical. Locality is catalogue metadata, not a surveyed address. Current operation remains unconfirmed.</x:v>
      </x:c>
      <x:c r="AK651" s="117" t="str">
        <x:v>Not independently confirmed</x:v>
      </x:c>
      <x:c r="AL651" s="117" t="str">
        <x:v>Screened sources; accessibility unresolved</x:v>
      </x:c>
      <x:c r="AM651" s="117" t="str">
        <x:v>2026-09-08</x:v>
      </x:c>
      <x:c r="AN651" s="117"/>
      <x:c r="AO651" s="117"/>
      <x:c r="AP651" s="117" t="str">
        <x:v>No usable pair located; image research pending</x:v>
      </x:c>
      <x:c r="AQ651" s="117"/>
    </x:row>
    <x:row r="652" ht="66" customHeight="1">
      <x:c r="A652" s="117" t="str">
        <x:v>MC0649</x:v>
      </x:c>
      <x:c r="B652" s="117" t="str">
        <x:v>Banding Island</x:v>
      </x:c>
      <x:c r="C652" s="117" t="str">
        <x:v>Perak</x:v>
      </x:c>
      <x:c r="D652" s="117" t="str">
        <x:v>Gerik</x:v>
      </x:c>
      <x:c r="E652" s="117" t="str">
        <x:v>Beach and Island</x:v>
      </x:c>
      <x:c r="F652" s="117" t="str">
        <x:v>Unclassified</x:v>
      </x:c>
      <x:c r="G652" s="117" t="str">
        <x:v>Outdoor</x:v>
      </x:c>
      <x:c r="H652" s="117" t="str">
        <x:v>Beach and Island; Gerik</x:v>
      </x:c>
      <x:c r="I652" s="117" t="str">
        <x:v>A visitor attraction in Gerik, Perak, listed in Tourism Malaysia's state travel guide. Venue operation and the precise accessible route require confirmation.</x:v>
      </x:c>
      <x:c r="J652" s="117" t="str">
        <x:v>https://ebrochures.malaysia.travel/en/malaysia-travel-guide/perak/</x:v>
      </x:c>
      <x:c r="K652" s="117" t="str">
        <x:v>https://ebrochures.malaysia.travel/en/malaysia-travel-guide/perak/</x:v>
      </x:c>
      <x:c r="L652" s="117" t="str">
        <x:v>Tourism Malaysia listing; operation unconfirmed</x:v>
      </x:c>
      <x:c r="M652" s="117" t="str">
        <x:v>Nationwide expansion 2026-09-08</x:v>
      </x:c>
      <x:c r="N652" s="117"/>
      <x:c r="O652" s="117" t="str">
        <x:v>2026-09-08</x:v>
      </x:c>
      <x:c r="P652" s="117" t="str">
        <x:v>Complete</x:v>
      </x:c>
      <x:c r="Q652" s="117"/>
      <x:c r="R652" s="117" t="str">
        <x:f>IF(J652="","Missing Link",IF(AND(ISNUMBER(SEARCH("google.com/maps",J652)),ISERROR(SEARCH(";",J652))),"Discovery Link Only","Source Link Present"))</x:f>
        <x:v>Source Link Present</x:v>
      </x:c>
      <x:c r="S652" s="117" t="str">
        <x:v>Unknown</x:v>
      </x:c>
      <x:c r="T652" s="117" t="str">
        <x:v>Unknown</x:v>
      </x:c>
      <x:c r="U652" s="117" t="str">
        <x:v>Unknown</x:v>
      </x:c>
      <x:c r="V652" s="117" t="str">
        <x:v>Unknown</x:v>
      </x:c>
      <x:c r="W652" s="117" t="str">
        <x:v>Unknown</x:v>
      </x:c>
      <x:c r="X652" s="117" t="str">
        <x:v>Unknown</x:v>
      </x:c>
      <x:c r="Y652" s="117" t="str">
        <x:v>Unknown</x:v>
      </x:c>
      <x:c r="Z652" s="117"/>
      <x:c r="AA652" s="117" t="str">
        <x:v>Pending evidence</x:v>
      </x:c>
      <x:c r="AB652" s="117"/>
      <x:c r="AC652" s="117" t="str">
        <x:v>No qualifying accessibility conclusion established from the screened sources. This is unknown, not evidence that the attraction is inaccessible.</x:v>
      </x:c>
      <x:c r="AD652" s="117" t="str">
        <x:v>2026-09-08</x:v>
      </x:c>
      <x:c r="AE652" s="117" t="str">
        <x:v>MC0649</x:v>
      </x:c>
      <x:c r="AF652" s="117" t="str">
        <x:v>Distinct candidate</x:v>
      </x:c>
      <x:c r="AG652" s="117" t="str"/>
      <x:c r="AH652" s="117" t="str">
        <x:v>Listed by Tourism Malaysia</x:v>
      </x:c>
      <x:c r="AI652" s="117" t="str">
        <x:v>https://ebrochures.malaysia.travel/en/malaysia-travel-guide/perak/</x:v>
      </x:c>
      <x:c r="AJ652" s="117" t="str">
        <x:v>Named visitor attraction in cited source; state-guide listings can be historical. Locality is catalogue metadata, not a surveyed address. Current operation remains unconfirmed.</x:v>
      </x:c>
      <x:c r="AK652" s="117" t="str">
        <x:v>Not independently confirmed</x:v>
      </x:c>
      <x:c r="AL652" s="117" t="str">
        <x:v>Screened sources; accessibility unresolved</x:v>
      </x:c>
      <x:c r="AM652" s="117" t="str">
        <x:v>2026-09-08</x:v>
      </x:c>
      <x:c r="AN652" s="117" t="str">
        <x:v>https://thumb.wikimedia.org/wikipedia/commons/thumb/d/d9/Belum_Rainforest_Resort_Outdoor_Walkway%2C_Perak%2C_Malaysia.jpg/1280px-Belum_Rainforest_Resort_Outdoor_Walkway%2C_Perak%2C_Malaysia.jpg?utm_source=commons.wikimedia.org&amp;utm_campaign=imageinfo&amp;utm_content=thumbnail</x:v>
      </x:c>
      <x:c r="AO652" s="117" t="str">
        <x:v>https://thumb.wikimedia.org/wikipedia/commons/thumb/6/66/Temenggor_Lake_West_Bridge_3.jpg/1280px-Temenggor_Lake_West_Bridge_3.jpg?utm_source=commons.wikimedia.org&amp;utm_campaign=imageinfo&amp;utm_content=thumbnail</x:v>
      </x:c>
      <x:c r="AP652" s="117" t="str">
        <x:v>2 metadata-matched images; visual review pending</x:v>
      </x:c>
      <x:c r="AQ652" s="117"/>
    </x:row>
    <x:row r="653" ht="66" customHeight="1">
      <x:c r="A653" s="117" t="str">
        <x:v>MC0650</x:v>
      </x:c>
      <x:c r="B653" s="117" t="str">
        <x:v>Rimba Herba Perlis</x:v>
      </x:c>
      <x:c r="C653" s="117" t="str">
        <x:v>Perlis</x:v>
      </x:c>
      <x:c r="D653" s="117" t="str">
        <x:v>Sungai Batu Pahat</x:v>
      </x:c>
      <x:c r="E653" s="117" t="str">
        <x:v>Heritage and Visitor Attraction</x:v>
      </x:c>
      <x:c r="F653" s="117" t="str">
        <x:v>Unclassified</x:v>
      </x:c>
      <x:c r="G653" s="117" t="str">
        <x:v>Both</x:v>
      </x:c>
      <x:c r="H653" s="117" t="str">
        <x:v>Heritage and Visitor Attraction; Sungai Batu Pahat</x:v>
      </x:c>
      <x:c r="I653" s="117" t="str">
        <x:v>A visitor attraction in Sungai Batu Pahat, Perlis, listed in Tourism Malaysia's state travel guide. Venue operation and the precise accessible route require confirmation.</x:v>
      </x:c>
      <x:c r="J653" s="117" t="str">
        <x:v>https://ebrochures.malaysia.travel/en/malaysia-travel-guide/perlis/</x:v>
      </x:c>
      <x:c r="K653" s="117" t="str">
        <x:v>https://ebrochures.malaysia.travel/en/malaysia-travel-guide/perlis/</x:v>
      </x:c>
      <x:c r="L653" s="117" t="str">
        <x:v>Tourism Malaysia listing; operation unconfirmed</x:v>
      </x:c>
      <x:c r="M653" s="117" t="str">
        <x:v>Nationwide expansion 2026-09-08</x:v>
      </x:c>
      <x:c r="N653" s="117"/>
      <x:c r="O653" s="117" t="str">
        <x:v>2026-09-08</x:v>
      </x:c>
      <x:c r="P653" s="117" t="str">
        <x:v>Complete</x:v>
      </x:c>
      <x:c r="Q653" s="117"/>
      <x:c r="R653" s="117" t="str">
        <x:f>IF(J653="","Missing Link",IF(AND(ISNUMBER(SEARCH("google.com/maps",J653)),ISERROR(SEARCH(";",J653))),"Discovery Link Only","Source Link Present"))</x:f>
        <x:v>Source Link Present</x:v>
      </x:c>
      <x:c r="S653" s="117" t="str">
        <x:v>Unknown</x:v>
      </x:c>
      <x:c r="T653" s="117" t="str">
        <x:v>Unknown</x:v>
      </x:c>
      <x:c r="U653" s="117" t="str">
        <x:v>Unknown</x:v>
      </x:c>
      <x:c r="V653" s="117" t="str">
        <x:v>Unknown</x:v>
      </x:c>
      <x:c r="W653" s="117" t="str">
        <x:v>Unknown</x:v>
      </x:c>
      <x:c r="X653" s="117" t="str">
        <x:v>Unknown</x:v>
      </x:c>
      <x:c r="Y653" s="117" t="str">
        <x:v>Unknown</x:v>
      </x:c>
      <x:c r="Z653" s="117"/>
      <x:c r="AA653" s="117" t="str">
        <x:v>Pending evidence</x:v>
      </x:c>
      <x:c r="AB653" s="117"/>
      <x:c r="AC653" s="117" t="str">
        <x:v>No qualifying accessibility conclusion established from the screened sources. This is unknown, not evidence that the attraction is inaccessible.</x:v>
      </x:c>
      <x:c r="AD653" s="117" t="str">
        <x:v>2026-09-08</x:v>
      </x:c>
      <x:c r="AE653" s="117" t="str">
        <x:v>MC0650</x:v>
      </x:c>
      <x:c r="AF653" s="117" t="str">
        <x:v>Distinct candidate</x:v>
      </x:c>
      <x:c r="AG653" s="117" t="str"/>
      <x:c r="AH653" s="117" t="str">
        <x:v>Listed by Tourism Malaysia</x:v>
      </x:c>
      <x:c r="AI653" s="117" t="str">
        <x:v>https://ebrochures.malaysia.travel/en/malaysia-travel-guide/perlis/</x:v>
      </x:c>
      <x:c r="AJ653" s="117" t="str">
        <x:v>Named visitor attraction in cited source; state-guide listings can be historical. Locality is catalogue metadata, not a surveyed address. Current operation remains unconfirmed.</x:v>
      </x:c>
      <x:c r="AK653" s="117" t="str">
        <x:v>Not independently confirmed</x:v>
      </x:c>
      <x:c r="AL653" s="117" t="str">
        <x:v>Screened sources; accessibility unresolved</x:v>
      </x:c>
      <x:c r="AM653" s="117" t="str">
        <x:v>2026-09-08</x:v>
      </x:c>
      <x:c r="AN653" s="117"/>
      <x:c r="AO653" s="117"/>
      <x:c r="AP653" s="117" t="str">
        <x:v>No usable pair located; image research pending</x:v>
      </x:c>
      <x:c r="AQ653" s="117"/>
    </x:row>
    <x:row r="654" ht="66" customHeight="1">
      <x:c r="A654" s="117" t="str">
        <x:v>MC0651</x:v>
      </x:c>
      <x:c r="B654" s="117" t="str">
        <x:v>Superfruits Valley</x:v>
      </x:c>
      <x:c r="C654" s="117" t="str">
        <x:v>Perlis</x:v>
      </x:c>
      <x:c r="D654" s="117" t="str">
        <x:v>Chuping</x:v>
      </x:c>
      <x:c r="E654" s="117" t="str">
        <x:v>Farm and Visitor Experience</x:v>
      </x:c>
      <x:c r="F654" s="117" t="str">
        <x:v>Unclassified</x:v>
      </x:c>
      <x:c r="G654" s="117" t="str">
        <x:v>Both</x:v>
      </x:c>
      <x:c r="H654" s="117" t="str">
        <x:v>Farm and Visitor Experience; Chuping</x:v>
      </x:c>
      <x:c r="I654" s="117" t="str">
        <x:v>A visitor attraction in Chuping, Perlis, listed in Tourism Malaysia's state travel guide. Venue operation and the precise accessible route require confirmation.</x:v>
      </x:c>
      <x:c r="J654" s="117" t="str">
        <x:v>https://ebrochures.malaysia.travel/en/malaysia-travel-guide/perlis/</x:v>
      </x:c>
      <x:c r="K654" s="117" t="str">
        <x:v>https://ebrochures.malaysia.travel/en/malaysia-travel-guide/perlis/</x:v>
      </x:c>
      <x:c r="L654" s="117" t="str">
        <x:v>Tourism Malaysia listing; operation unconfirmed</x:v>
      </x:c>
      <x:c r="M654" s="117" t="str">
        <x:v>Nationwide expansion 2026-09-08</x:v>
      </x:c>
      <x:c r="N654" s="117"/>
      <x:c r="O654" s="117" t="str">
        <x:v>2026-09-08</x:v>
      </x:c>
      <x:c r="P654" s="117" t="str">
        <x:v>Complete</x:v>
      </x:c>
      <x:c r="Q654" s="117"/>
      <x:c r="R654" s="117" t="str">
        <x:f>IF(J654="","Missing Link",IF(AND(ISNUMBER(SEARCH("google.com/maps",J654)),ISERROR(SEARCH(";",J654))),"Discovery Link Only","Source Link Present"))</x:f>
        <x:v>Source Link Present</x:v>
      </x:c>
      <x:c r="S654" s="117" t="str">
        <x:v>Unknown</x:v>
      </x:c>
      <x:c r="T654" s="117" t="str">
        <x:v>Unknown</x:v>
      </x:c>
      <x:c r="U654" s="117" t="str">
        <x:v>Unknown</x:v>
      </x:c>
      <x:c r="V654" s="117" t="str">
        <x:v>Unknown</x:v>
      </x:c>
      <x:c r="W654" s="117" t="str">
        <x:v>Unknown</x:v>
      </x:c>
      <x:c r="X654" s="117" t="str">
        <x:v>Unknown</x:v>
      </x:c>
      <x:c r="Y654" s="117" t="str">
        <x:v>Unknown</x:v>
      </x:c>
      <x:c r="Z654" s="117"/>
      <x:c r="AA654" s="117" t="str">
        <x:v>Pending evidence</x:v>
      </x:c>
      <x:c r="AB654" s="117"/>
      <x:c r="AC654" s="117" t="str">
        <x:v>No qualifying accessibility conclusion established from the screened sources. This is unknown, not evidence that the attraction is inaccessible.</x:v>
      </x:c>
      <x:c r="AD654" s="117" t="str">
        <x:v>2026-09-08</x:v>
      </x:c>
      <x:c r="AE654" s="117" t="str">
        <x:v>MC0651</x:v>
      </x:c>
      <x:c r="AF654" s="117" t="str">
        <x:v>Distinct candidate</x:v>
      </x:c>
      <x:c r="AG654" s="117" t="str"/>
      <x:c r="AH654" s="117" t="str">
        <x:v>Listed by Tourism Malaysia</x:v>
      </x:c>
      <x:c r="AI654" s="117" t="str">
        <x:v>https://ebrochures.malaysia.travel/en/malaysia-travel-guide/perlis/</x:v>
      </x:c>
      <x:c r="AJ654" s="117" t="str">
        <x:v>Named visitor attraction in cited source; state-guide listings can be historical. Locality is catalogue metadata, not a surveyed address. Current operation remains unconfirmed.</x:v>
      </x:c>
      <x:c r="AK654" s="117" t="str">
        <x:v>Not independently confirmed</x:v>
      </x:c>
      <x:c r="AL654" s="117" t="str">
        <x:v>Screened sources; accessibility unresolved</x:v>
      </x:c>
      <x:c r="AM654" s="117" t="str">
        <x:v>2026-09-08</x:v>
      </x:c>
      <x:c r="AN654" s="117"/>
      <x:c r="AO654" s="117"/>
      <x:c r="AP654" s="117" t="str">
        <x:v>No usable pair located; image research pending</x:v>
      </x:c>
      <x:c r="AQ654" s="117"/>
    </x:row>
    <x:row r="655" ht="66" customHeight="1">
      <x:c r="A655" s="117" t="str">
        <x:v>MC0652</x:v>
      </x:c>
      <x:c r="B655" s="117" t="str">
        <x:v>Taman Sakura Tebing Tinggi</x:v>
      </x:c>
      <x:c r="C655" s="117" t="str">
        <x:v>Perlis</x:v>
      </x:c>
      <x:c r="D655" s="117" t="str">
        <x:v>Bintong</x:v>
      </x:c>
      <x:c r="E655" s="117" t="str">
        <x:v>Heritage and Visitor Attraction</x:v>
      </x:c>
      <x:c r="F655" s="117" t="str">
        <x:v>Unclassified</x:v>
      </x:c>
      <x:c r="G655" s="117" t="str">
        <x:v>Both</x:v>
      </x:c>
      <x:c r="H655" s="117" t="str">
        <x:v>Heritage and Visitor Attraction; Bintong</x:v>
      </x:c>
      <x:c r="I655" s="117" t="str">
        <x:v>A visitor attraction in Bintong, Perlis, listed in Tourism Malaysia's state travel guide. Venue operation and the precise accessible route require confirmation.</x:v>
      </x:c>
      <x:c r="J655" s="117" t="str">
        <x:v>https://ebrochures.malaysia.travel/en/malaysia-travel-guide/perlis/</x:v>
      </x:c>
      <x:c r="K655" s="117" t="str">
        <x:v>https://ebrochures.malaysia.travel/en/malaysia-travel-guide/perlis/</x:v>
      </x:c>
      <x:c r="L655" s="117" t="str">
        <x:v>Tourism Malaysia listing; operation unconfirmed</x:v>
      </x:c>
      <x:c r="M655" s="117" t="str">
        <x:v>Nationwide expansion 2026-09-08</x:v>
      </x:c>
      <x:c r="N655" s="117"/>
      <x:c r="O655" s="117" t="str">
        <x:v>2026-09-08</x:v>
      </x:c>
      <x:c r="P655" s="117" t="str">
        <x:v>Complete</x:v>
      </x:c>
      <x:c r="Q655" s="117"/>
      <x:c r="R655" s="117" t="str">
        <x:f>IF(J655="","Missing Link",IF(AND(ISNUMBER(SEARCH("google.com/maps",J655)),ISERROR(SEARCH(";",J655))),"Discovery Link Only","Source Link Present"))</x:f>
        <x:v>Source Link Present</x:v>
      </x:c>
      <x:c r="S655" s="117" t="str">
        <x:v>Unknown</x:v>
      </x:c>
      <x:c r="T655" s="117" t="str">
        <x:v>Unknown</x:v>
      </x:c>
      <x:c r="U655" s="117" t="str">
        <x:v>Unknown</x:v>
      </x:c>
      <x:c r="V655" s="117" t="str">
        <x:v>Unknown</x:v>
      </x:c>
      <x:c r="W655" s="117" t="str">
        <x:v>Unknown</x:v>
      </x:c>
      <x:c r="X655" s="117" t="str">
        <x:v>Unknown</x:v>
      </x:c>
      <x:c r="Y655" s="117" t="str">
        <x:v>Unknown</x:v>
      </x:c>
      <x:c r="Z655" s="117"/>
      <x:c r="AA655" s="117" t="str">
        <x:v>Pending evidence</x:v>
      </x:c>
      <x:c r="AB655" s="117"/>
      <x:c r="AC655" s="117" t="str">
        <x:v>No qualifying accessibility conclusion established from the screened sources. This is unknown, not evidence that the attraction is inaccessible.</x:v>
      </x:c>
      <x:c r="AD655" s="117" t="str">
        <x:v>2026-09-08</x:v>
      </x:c>
      <x:c r="AE655" s="117" t="str">
        <x:v>MC0652</x:v>
      </x:c>
      <x:c r="AF655" s="117" t="str">
        <x:v>Distinct candidate</x:v>
      </x:c>
      <x:c r="AG655" s="117" t="str"/>
      <x:c r="AH655" s="117" t="str">
        <x:v>Listed by Tourism Malaysia</x:v>
      </x:c>
      <x:c r="AI655" s="117" t="str">
        <x:v>https://ebrochures.malaysia.travel/en/malaysia-travel-guide/perlis/</x:v>
      </x:c>
      <x:c r="AJ655" s="117" t="str">
        <x:v>Named visitor attraction in cited source; state-guide listings can be historical. Locality is catalogue metadata, not a surveyed address. Current operation remains unconfirmed.</x:v>
      </x:c>
      <x:c r="AK655" s="117" t="str">
        <x:v>Not independently confirmed</x:v>
      </x:c>
      <x:c r="AL655" s="117" t="str">
        <x:v>Screened sources; accessibility unresolved</x:v>
      </x:c>
      <x:c r="AM655" s="117" t="str">
        <x:v>2026-09-08</x:v>
      </x:c>
      <x:c r="AN655" s="117"/>
      <x:c r="AO655" s="117"/>
      <x:c r="AP655" s="117" t="str">
        <x:v>No usable pair located; image research pending</x:v>
      </x:c>
      <x:c r="AQ655" s="117"/>
    </x:row>
    <x:row r="656" ht="66" customHeight="1">
      <x:c r="A656" s="117" t="str">
        <x:v>MC0653</x:v>
      </x:c>
      <x:c r="B656" s="117" t="str">
        <x:v>Bukit Temiang</x:v>
      </x:c>
      <x:c r="C656" s="117" t="str">
        <x:v>Perlis</x:v>
      </x:c>
      <x:c r="D656" s="117" t="str">
        <x:v>Beseri</x:v>
      </x:c>
      <x:c r="E656" s="117" t="str">
        <x:v>Nature</x:v>
      </x:c>
      <x:c r="F656" s="117" t="str">
        <x:v>Unclassified</x:v>
      </x:c>
      <x:c r="G656" s="117" t="str">
        <x:v>Outdoor</x:v>
      </x:c>
      <x:c r="H656" s="117" t="str">
        <x:v>Nature; Beseri</x:v>
      </x:c>
      <x:c r="I656" s="117" t="str">
        <x:v>A visitor attraction in Beseri, Perlis, listed in Tourism Malaysia's state travel guide. Venue operation and the precise accessible route require confirmation.</x:v>
      </x:c>
      <x:c r="J656" s="117" t="str">
        <x:v>https://ebrochures.malaysia.travel/en/malaysia-travel-guide/perlis/</x:v>
      </x:c>
      <x:c r="K656" s="117" t="str">
        <x:v>https://ebrochures.malaysia.travel/en/malaysia-travel-guide/perlis/</x:v>
      </x:c>
      <x:c r="L656" s="117" t="str">
        <x:v>Tourism Malaysia listing; operation unconfirmed</x:v>
      </x:c>
      <x:c r="M656" s="117" t="str">
        <x:v>Nationwide expansion 2026-09-08</x:v>
      </x:c>
      <x:c r="N656" s="117"/>
      <x:c r="O656" s="117" t="str">
        <x:v>2026-09-08</x:v>
      </x:c>
      <x:c r="P656" s="117" t="str">
        <x:v>Complete</x:v>
      </x:c>
      <x:c r="Q656" s="117"/>
      <x:c r="R656" s="117" t="str">
        <x:f>IF(J656="","Missing Link",IF(AND(ISNUMBER(SEARCH("google.com/maps",J656)),ISERROR(SEARCH(";",J656))),"Discovery Link Only","Source Link Present"))</x:f>
        <x:v>Source Link Present</x:v>
      </x:c>
      <x:c r="S656" s="117" t="str">
        <x:v>Unknown</x:v>
      </x:c>
      <x:c r="T656" s="117" t="str">
        <x:v>Unknown</x:v>
      </x:c>
      <x:c r="U656" s="117" t="str">
        <x:v>Unknown</x:v>
      </x:c>
      <x:c r="V656" s="117" t="str">
        <x:v>Unknown</x:v>
      </x:c>
      <x:c r="W656" s="117" t="str">
        <x:v>Unknown</x:v>
      </x:c>
      <x:c r="X656" s="117" t="str">
        <x:v>Unknown</x:v>
      </x:c>
      <x:c r="Y656" s="117" t="str">
        <x:v>Unknown</x:v>
      </x:c>
      <x:c r="Z656" s="117"/>
      <x:c r="AA656" s="117" t="str">
        <x:v>Pending evidence</x:v>
      </x:c>
      <x:c r="AB656" s="117"/>
      <x:c r="AC656" s="117" t="str">
        <x:v>No qualifying accessibility conclusion established from the screened sources. This is unknown, not evidence that the attraction is inaccessible.</x:v>
      </x:c>
      <x:c r="AD656" s="117" t="str">
        <x:v>2026-09-08</x:v>
      </x:c>
      <x:c r="AE656" s="117" t="str">
        <x:v>MC0653</x:v>
      </x:c>
      <x:c r="AF656" s="117" t="str">
        <x:v>Distinct candidate</x:v>
      </x:c>
      <x:c r="AG656" s="117" t="str"/>
      <x:c r="AH656" s="117" t="str">
        <x:v>Listed by Tourism Malaysia</x:v>
      </x:c>
      <x:c r="AI656" s="117" t="str">
        <x:v>https://ebrochures.malaysia.travel/en/malaysia-travel-guide/perlis/</x:v>
      </x:c>
      <x:c r="AJ656" s="117" t="str">
        <x:v>Named visitor attraction in cited source; state-guide listings can be historical. Locality is catalogue metadata, not a surveyed address. Current operation remains unconfirmed.</x:v>
      </x:c>
      <x:c r="AK656" s="117" t="str">
        <x:v>Not independently confirmed</x:v>
      </x:c>
      <x:c r="AL656" s="117" t="str">
        <x:v>Screened sources; accessibility unresolved</x:v>
      </x:c>
      <x:c r="AM656" s="117" t="str">
        <x:v>2026-09-08</x:v>
      </x:c>
      <x:c r="AN656" s="117" t="str">
        <x:v>https://thumb.wikimedia.org/wikipedia/commons/thumb/4/43/Deepavali_in_Negeri_Sembilan_Malaysia.jpg/1280px-Deepavali_in_Negeri_Sembilan_Malaysia.jpg?utm_source=commons.wikimedia.org&amp;utm_campaign=imageinfo&amp;utm_content=thumbnail</x:v>
      </x:c>
      <x:c r="AO656" s="117"/>
      <x:c r="AP656" s="117" t="str">
        <x:v>1 metadata-matched images; visual review pending</x:v>
      </x:c>
      <x:c r="AQ656" s="117"/>
    </x:row>
    <x:row r="657" ht="66" customHeight="1">
      <x:c r="A657" s="117" t="str">
        <x:v>MC0654</x:v>
      </x:c>
      <x:c r="B657" s="117" t="str">
        <x:v>Crocker Range Park</x:v>
      </x:c>
      <x:c r="C657" s="117" t="str">
        <x:v>Sabah</x:v>
      </x:c>
      <x:c r="D657" s="117" t="str">
        <x:v>Keningau</x:v>
      </x:c>
      <x:c r="E657" s="117" t="str">
        <x:v>Nature</x:v>
      </x:c>
      <x:c r="F657" s="117" t="str">
        <x:v>Unclassified</x:v>
      </x:c>
      <x:c r="G657" s="117" t="str">
        <x:v>Outdoor</x:v>
      </x:c>
      <x:c r="H657" s="117" t="str">
        <x:v>Nature; Keningau</x:v>
      </x:c>
      <x:c r="I657" s="117" t="str">
        <x:v>A visitor attraction in Keningau, Sabah, listed in Tourism Malaysia's state travel guide. Venue operation and the precise accessible route require confirmation.</x:v>
      </x:c>
      <x:c r="J657" s="117" t="str">
        <x:v>https://ebrochures.malaysia.travel/en/malaysia-travel-guide/sabah/</x:v>
      </x:c>
      <x:c r="K657" s="117" t="str">
        <x:v>https://ebrochures.malaysia.travel/en/malaysia-travel-guide/sabah/</x:v>
      </x:c>
      <x:c r="L657" s="117" t="str">
        <x:v>Tourism Malaysia listing; operation unconfirmed</x:v>
      </x:c>
      <x:c r="M657" s="117" t="str">
        <x:v>Nationwide expansion 2026-09-08</x:v>
      </x:c>
      <x:c r="N657" s="117"/>
      <x:c r="O657" s="117" t="str">
        <x:v>2026-09-08</x:v>
      </x:c>
      <x:c r="P657" s="117" t="str">
        <x:v>Complete</x:v>
      </x:c>
      <x:c r="Q657" s="117"/>
      <x:c r="R657" s="117" t="str">
        <x:f>IF(J657="","Missing Link",IF(AND(ISNUMBER(SEARCH("google.com/maps",J657)),ISERROR(SEARCH(";",J657))),"Discovery Link Only","Source Link Present"))</x:f>
        <x:v>Source Link Present</x:v>
      </x:c>
      <x:c r="S657" s="117" t="str">
        <x:v>Unknown</x:v>
      </x:c>
      <x:c r="T657" s="117" t="str">
        <x:v>Unknown</x:v>
      </x:c>
      <x:c r="U657" s="117" t="str">
        <x:v>Unknown</x:v>
      </x:c>
      <x:c r="V657" s="117" t="str">
        <x:v>Unknown</x:v>
      </x:c>
      <x:c r="W657" s="117" t="str">
        <x:v>Unknown</x:v>
      </x:c>
      <x:c r="X657" s="117" t="str">
        <x:v>Unknown</x:v>
      </x:c>
      <x:c r="Y657" s="117" t="str">
        <x:v>Unknown</x:v>
      </x:c>
      <x:c r="Z657" s="117"/>
      <x:c r="AA657" s="117" t="str">
        <x:v>Pending evidence</x:v>
      </x:c>
      <x:c r="AB657" s="117"/>
      <x:c r="AC657" s="117" t="str">
        <x:v>No qualifying accessibility conclusion established from the screened sources. This is unknown, not evidence that the attraction is inaccessible.</x:v>
      </x:c>
      <x:c r="AD657" s="117" t="str">
        <x:v>2026-09-08</x:v>
      </x:c>
      <x:c r="AE657" s="117" t="str">
        <x:v>MC0654</x:v>
      </x:c>
      <x:c r="AF657" s="117" t="str">
        <x:v>Distinct candidate</x:v>
      </x:c>
      <x:c r="AG657" s="117" t="str"/>
      <x:c r="AH657" s="117" t="str">
        <x:v>Listed by Tourism Malaysia</x:v>
      </x:c>
      <x:c r="AI657" s="117" t="str">
        <x:v>https://ebrochures.malaysia.travel/en/malaysia-travel-guide/sabah/</x:v>
      </x:c>
      <x:c r="AJ657" s="117" t="str">
        <x:v>Named visitor attraction in cited source; state-guide listings can be historical. Locality is catalogue metadata, not a surveyed address. Current operation remains unconfirmed.</x:v>
      </x:c>
      <x:c r="AK657" s="117" t="str">
        <x:v>Not independently confirmed</x:v>
      </x:c>
      <x:c r="AL657" s="117" t="str">
        <x:v>Screened sources; accessibility unresolved</x:v>
      </x:c>
      <x:c r="AM657" s="117" t="str">
        <x:v>2026-09-08</x:v>
      </x:c>
      <x:c r="AN657" s="117" t="str">
        <x:v>https://upload.wikimedia.org/wikipedia/commons/7/72/Location_of_Kinabalu_Ecolinc_Project.jpg?utm_source=commons.wikimedia.org&amp;utm_campaign=imageinfo&amp;utm_content=thumbnail_unscaled</x:v>
      </x:c>
      <x:c r="AO657" s="117" t="str">
        <x:v>https://thumb.wikimedia.org/wikipedia/commons/thumb/e/e9/Black-and-yellow_Broadbill_0A2A8552.jpg/1280px-Black-and-yellow_Broadbill_0A2A8552.jpg?utm_source=commons.wikimedia.org&amp;utm_campaign=imageinfo&amp;utm_content=thumbnail</x:v>
      </x:c>
      <x:c r="AP657" s="117" t="str">
        <x:v>2 metadata-matched images; visual review pending</x:v>
      </x:c>
      <x:c r="AQ657" s="117"/>
    </x:row>
    <x:row r="658" ht="66" customHeight="1">
      <x:c r="A658" s="117" t="str">
        <x:v>MC0655</x:v>
      </x:c>
      <x:c r="B658" s="117" t="str">
        <x:v>Sipadan Island</x:v>
      </x:c>
      <x:c r="C658" s="117" t="str">
        <x:v>Sabah</x:v>
      </x:c>
      <x:c r="D658" s="117" t="str">
        <x:v>Semporna</x:v>
      </x:c>
      <x:c r="E658" s="117" t="str">
        <x:v>Beach and Island</x:v>
      </x:c>
      <x:c r="F658" s="117" t="str">
        <x:v>Unclassified</x:v>
      </x:c>
      <x:c r="G658" s="117" t="str">
        <x:v>Outdoor</x:v>
      </x:c>
      <x:c r="H658" s="117" t="str">
        <x:v>Beach and Island; Semporna</x:v>
      </x:c>
      <x:c r="I658" s="117" t="str">
        <x:v>A visitor attraction in Semporna, Sabah, listed in Tourism Malaysia's state travel guide. Venue operation and the precise accessible route require confirmation.</x:v>
      </x:c>
      <x:c r="J658" s="117" t="str">
        <x:v>https://ebrochures.malaysia.travel/en/malaysia-travel-guide/sabah/</x:v>
      </x:c>
      <x:c r="K658" s="117" t="str">
        <x:v>https://ebrochures.malaysia.travel/en/malaysia-travel-guide/sabah/</x:v>
      </x:c>
      <x:c r="L658" s="117" t="str">
        <x:v>Tourism Malaysia listing; operation unconfirmed</x:v>
      </x:c>
      <x:c r="M658" s="117" t="str">
        <x:v>Nationwide expansion 2026-09-08</x:v>
      </x:c>
      <x:c r="N658" s="117"/>
      <x:c r="O658" s="117" t="str">
        <x:v>2026-09-08</x:v>
      </x:c>
      <x:c r="P658" s="117" t="str">
        <x:v>Complete</x:v>
      </x:c>
      <x:c r="Q658" s="117"/>
      <x:c r="R658" s="117" t="str">
        <x:f>IF(J658="","Missing Link",IF(AND(ISNUMBER(SEARCH("google.com/maps",J658)),ISERROR(SEARCH(";",J658))),"Discovery Link Only","Source Link Present"))</x:f>
        <x:v>Source Link Present</x:v>
      </x:c>
      <x:c r="S658" s="117" t="str">
        <x:v>Unknown</x:v>
      </x:c>
      <x:c r="T658" s="117" t="str">
        <x:v>Unknown</x:v>
      </x:c>
      <x:c r="U658" s="117" t="str">
        <x:v>Unknown</x:v>
      </x:c>
      <x:c r="V658" s="117" t="str">
        <x:v>Unknown</x:v>
      </x:c>
      <x:c r="W658" s="117" t="str">
        <x:v>Unknown</x:v>
      </x:c>
      <x:c r="X658" s="117" t="str">
        <x:v>Unknown</x:v>
      </x:c>
      <x:c r="Y658" s="117" t="str">
        <x:v>Unknown</x:v>
      </x:c>
      <x:c r="Z658" s="117"/>
      <x:c r="AA658" s="117" t="str">
        <x:v>Pending evidence</x:v>
      </x:c>
      <x:c r="AB658" s="117"/>
      <x:c r="AC658" s="117" t="str">
        <x:v>No qualifying accessibility conclusion established from the screened sources. This is unknown, not evidence that the attraction is inaccessible.</x:v>
      </x:c>
      <x:c r="AD658" s="117" t="str">
        <x:v>2026-09-08</x:v>
      </x:c>
      <x:c r="AE658" s="117" t="str">
        <x:v>MC0655</x:v>
      </x:c>
      <x:c r="AF658" s="117" t="str">
        <x:v>Distinct candidate</x:v>
      </x:c>
      <x:c r="AG658" s="117" t="str"/>
      <x:c r="AH658" s="117" t="str">
        <x:v>Listed by Tourism Malaysia</x:v>
      </x:c>
      <x:c r="AI658" s="117" t="str">
        <x:v>https://ebrochures.malaysia.travel/en/malaysia-travel-guide/sabah/</x:v>
      </x:c>
      <x:c r="AJ658" s="117" t="str">
        <x:v>Named visitor attraction in cited source; state-guide listings can be historical. Locality is catalogue metadata, not a surveyed address. Current operation remains unconfirmed.</x:v>
      </x:c>
      <x:c r="AK658" s="117" t="str">
        <x:v>Not independently confirmed</x:v>
      </x:c>
      <x:c r="AL658" s="117" t="str">
        <x:v>Screened sources; accessibility unresolved</x:v>
      </x:c>
      <x:c r="AM658" s="117" t="str">
        <x:v>2026-09-08</x:v>
      </x:c>
      <x:c r="AN658" s="117" t="str">
        <x:v>https://upload.wikimedia.org/wikipedia/commons/0/03/Sipadan2.JPG?utm_source=commons.wikimedia.org&amp;utm_campaign=imageinfo&amp;utm_content=thumbnail_unscaled</x:v>
      </x:c>
      <x:c r="AO658" s="117" t="str">
        <x:v>https://thumb.wikimedia.org/wikipedia/commons/thumb/0/02/Plectorhinchus_chaetodonoides.JPG/1280px-Plectorhinchus_chaetodonoides.JPG?utm_source=commons.wikimedia.org&amp;utm_campaign=imageinfo&amp;utm_content=thumbnail</x:v>
      </x:c>
      <x:c r="AP658" s="117" t="str">
        <x:v>2 metadata-matched images; visual review pending</x:v>
      </x:c>
      <x:c r="AQ658" s="117"/>
    </x:row>
    <x:row r="659" ht="66" customHeight="1">
      <x:c r="A659" s="117" t="str">
        <x:v>MC0656</x:v>
      </x:c>
      <x:c r="B659" s="117" t="str">
        <x:v>Mabul Island</x:v>
      </x:c>
      <x:c r="C659" s="117" t="str">
        <x:v>Sabah</x:v>
      </x:c>
      <x:c r="D659" s="117" t="str">
        <x:v>Semporna</x:v>
      </x:c>
      <x:c r="E659" s="117" t="str">
        <x:v>Beach and Island</x:v>
      </x:c>
      <x:c r="F659" s="117" t="str">
        <x:v>Unclassified</x:v>
      </x:c>
      <x:c r="G659" s="117" t="str">
        <x:v>Outdoor</x:v>
      </x:c>
      <x:c r="H659" s="117" t="str">
        <x:v>Beach and Island; Semporna</x:v>
      </x:c>
      <x:c r="I659" s="117" t="str">
        <x:v>A visitor attraction in Semporna, Sabah, listed in Tourism Malaysia's state travel guide. Venue operation and the precise accessible route require confirmation.</x:v>
      </x:c>
      <x:c r="J659" s="117" t="str">
        <x:v>https://ebrochures.malaysia.travel/en/malaysia-travel-guide/sabah/</x:v>
      </x:c>
      <x:c r="K659" s="117" t="str">
        <x:v>https://ebrochures.malaysia.travel/en/malaysia-travel-guide/sabah/</x:v>
      </x:c>
      <x:c r="L659" s="117" t="str">
        <x:v>Tourism Malaysia listing; operation unconfirmed</x:v>
      </x:c>
      <x:c r="M659" s="117" t="str">
        <x:v>Nationwide expansion 2026-09-08</x:v>
      </x:c>
      <x:c r="N659" s="117"/>
      <x:c r="O659" s="117" t="str">
        <x:v>2026-09-08</x:v>
      </x:c>
      <x:c r="P659" s="117" t="str">
        <x:v>Complete</x:v>
      </x:c>
      <x:c r="Q659" s="117"/>
      <x:c r="R659" s="117" t="str">
        <x:f>IF(J659="","Missing Link",IF(AND(ISNUMBER(SEARCH("google.com/maps",J659)),ISERROR(SEARCH(";",J659))),"Discovery Link Only","Source Link Present"))</x:f>
        <x:v>Source Link Present</x:v>
      </x:c>
      <x:c r="S659" s="117" t="str">
        <x:v>Unknown</x:v>
      </x:c>
      <x:c r="T659" s="117" t="str">
        <x:v>Unknown</x:v>
      </x:c>
      <x:c r="U659" s="117" t="str">
        <x:v>Unknown</x:v>
      </x:c>
      <x:c r="V659" s="117" t="str">
        <x:v>Unknown</x:v>
      </x:c>
      <x:c r="W659" s="117" t="str">
        <x:v>Unknown</x:v>
      </x:c>
      <x:c r="X659" s="117" t="str">
        <x:v>Unknown</x:v>
      </x:c>
      <x:c r="Y659" s="117" t="str">
        <x:v>Unknown</x:v>
      </x:c>
      <x:c r="Z659" s="117"/>
      <x:c r="AA659" s="117" t="str">
        <x:v>Pending evidence</x:v>
      </x:c>
      <x:c r="AB659" s="117"/>
      <x:c r="AC659" s="117" t="str">
        <x:v>No qualifying accessibility conclusion established from the screened sources. This is unknown, not evidence that the attraction is inaccessible.</x:v>
      </x:c>
      <x:c r="AD659" s="117" t="str">
        <x:v>2026-09-08</x:v>
      </x:c>
      <x:c r="AE659" s="117" t="str">
        <x:v>MC0656</x:v>
      </x:c>
      <x:c r="AF659" s="117" t="str">
        <x:v>Distinct candidate</x:v>
      </x:c>
      <x:c r="AG659" s="117" t="str"/>
      <x:c r="AH659" s="117" t="str">
        <x:v>Listed by Tourism Malaysia</x:v>
      </x:c>
      <x:c r="AI659" s="117" t="str">
        <x:v>https://ebrochures.malaysia.travel/en/malaysia-travel-guide/sabah/</x:v>
      </x:c>
      <x:c r="AJ659" s="117" t="str">
        <x:v>Named visitor attraction in cited source; state-guide listings can be historical. Locality is catalogue metadata, not a surveyed address. Current operation remains unconfirmed.</x:v>
      </x:c>
      <x:c r="AK659" s="117" t="str">
        <x:v>Not independently confirmed</x:v>
      </x:c>
      <x:c r="AL659" s="117" t="str">
        <x:v>Screened sources; accessibility unresolved</x:v>
      </x:c>
      <x:c r="AM659" s="117" t="str">
        <x:v>2026-09-08</x:v>
      </x:c>
      <x:c r="AN659" s="117" t="str">
        <x:v>https://thumb.wikimedia.org/wikipedia/commons/thumb/f/fd/Mabul_Island_-_Borneo.jpg/1280px-Mabul_Island_-_Borneo.jpg?utm_source=commons.wikimedia.org&amp;utm_campaign=imageinfo&amp;utm_content=thumbnail</x:v>
      </x:c>
      <x:c r="AO659" s="117" t="str">
        <x:v>https://thumb.wikimedia.org/wikipedia/commons/thumb/d/d7/Mabul_Island.jpg/1280px-Mabul_Island.jpg?utm_source=commons.wikimedia.org&amp;utm_campaign=imageinfo&amp;utm_content=thumbnail</x:v>
      </x:c>
      <x:c r="AP659" s="117" t="str">
        <x:v>2 metadata-matched images; visual review pending</x:v>
      </x:c>
      <x:c r="AQ659" s="117"/>
    </x:row>
    <x:row r="660" ht="66" customHeight="1">
      <x:c r="A660" s="117" t="str">
        <x:v>MC0657</x:v>
      </x:c>
      <x:c r="B660" s="117" t="str">
        <x:v>Kapalai</x:v>
      </x:c>
      <x:c r="C660" s="117" t="str">
        <x:v>Sabah</x:v>
      </x:c>
      <x:c r="D660" s="117" t="str">
        <x:v>Semporna</x:v>
      </x:c>
      <x:c r="E660" s="117" t="str">
        <x:v>Beach and Island</x:v>
      </x:c>
      <x:c r="F660" s="117" t="str">
        <x:v>Unclassified</x:v>
      </x:c>
      <x:c r="G660" s="117" t="str">
        <x:v>Outdoor</x:v>
      </x:c>
      <x:c r="H660" s="117" t="str">
        <x:v>Beach and Island; Semporna</x:v>
      </x:c>
      <x:c r="I660" s="117" t="str">
        <x:v>A visitor attraction in Semporna, Sabah, listed in Tourism Malaysia's state travel guide. Venue operation and the precise accessible route require confirmation.</x:v>
      </x:c>
      <x:c r="J660" s="117" t="str">
        <x:v>https://ebrochures.malaysia.travel/en/malaysia-travel-guide/sabah/</x:v>
      </x:c>
      <x:c r="K660" s="117" t="str">
        <x:v>https://ebrochures.malaysia.travel/en/malaysia-travel-guide/sabah/</x:v>
      </x:c>
      <x:c r="L660" s="117" t="str">
        <x:v>Tourism Malaysia listing; operation unconfirmed</x:v>
      </x:c>
      <x:c r="M660" s="117" t="str">
        <x:v>Nationwide expansion 2026-09-08</x:v>
      </x:c>
      <x:c r="N660" s="117"/>
      <x:c r="O660" s="117" t="str">
        <x:v>2026-09-08</x:v>
      </x:c>
      <x:c r="P660" s="117" t="str">
        <x:v>Complete</x:v>
      </x:c>
      <x:c r="Q660" s="117"/>
      <x:c r="R660" s="117" t="str">
        <x:f>IF(J660="","Missing Link",IF(AND(ISNUMBER(SEARCH("google.com/maps",J660)),ISERROR(SEARCH(";",J660))),"Discovery Link Only","Source Link Present"))</x:f>
        <x:v>Source Link Present</x:v>
      </x:c>
      <x:c r="S660" s="117" t="str">
        <x:v>Unknown</x:v>
      </x:c>
      <x:c r="T660" s="117" t="str">
        <x:v>Unknown</x:v>
      </x:c>
      <x:c r="U660" s="117" t="str">
        <x:v>Unknown</x:v>
      </x:c>
      <x:c r="V660" s="117" t="str">
        <x:v>Unknown</x:v>
      </x:c>
      <x:c r="W660" s="117" t="str">
        <x:v>Unknown</x:v>
      </x:c>
      <x:c r="X660" s="117" t="str">
        <x:v>Unknown</x:v>
      </x:c>
      <x:c r="Y660" s="117" t="str">
        <x:v>Unknown</x:v>
      </x:c>
      <x:c r="Z660" s="117"/>
      <x:c r="AA660" s="117" t="str">
        <x:v>Pending evidence</x:v>
      </x:c>
      <x:c r="AB660" s="117"/>
      <x:c r="AC660" s="117" t="str">
        <x:v>No qualifying accessibility conclusion established from the screened sources. This is unknown, not evidence that the attraction is inaccessible.</x:v>
      </x:c>
      <x:c r="AD660" s="117" t="str">
        <x:v>2026-09-08</x:v>
      </x:c>
      <x:c r="AE660" s="117" t="str">
        <x:v>MC0657</x:v>
      </x:c>
      <x:c r="AF660" s="117" t="str">
        <x:v>Distinct candidate</x:v>
      </x:c>
      <x:c r="AG660" s="117" t="str"/>
      <x:c r="AH660" s="117" t="str">
        <x:v>Listed by Tourism Malaysia</x:v>
      </x:c>
      <x:c r="AI660" s="117" t="str">
        <x:v>https://ebrochures.malaysia.travel/en/malaysia-travel-guide/sabah/</x:v>
      </x:c>
      <x:c r="AJ660" s="117" t="str">
        <x:v>Named visitor attraction in cited source; state-guide listings can be historical. Locality is catalogue metadata, not a surveyed address. Current operation remains unconfirmed.</x:v>
      </x:c>
      <x:c r="AK660" s="117" t="str">
        <x:v>Not independently confirmed</x:v>
      </x:c>
      <x:c r="AL660" s="117" t="str">
        <x:v>Screened sources; accessibility unresolved</x:v>
      </x:c>
      <x:c r="AM660" s="117" t="str">
        <x:v>2026-09-08</x:v>
      </x:c>
      <x:c r="AN660" s="117" t="str">
        <x:v>https://thumb.wikimedia.org/wikipedia/commons/thumb/f/f8/Kapalai_2.jpg/1280px-Kapalai_2.jpg?utm_source=commons.wikimedia.org&amp;utm_campaign=imageinfo&amp;utm_content=thumbnail</x:v>
      </x:c>
      <x:c r="AO660" s="117" t="str">
        <x:v>https://thumb.wikimedia.org/wikipedia/commons/thumb/2/21/Sabah-Islands-DarvelBay_PulauKapalai-Pushpin.png/1280px-Sabah-Islands-DarvelBay_PulauKapalai-Pushpin.png?utm_source=commons.wikimedia.org&amp;utm_campaign=imageinfo&amp;utm_content=thumbnail</x:v>
      </x:c>
      <x:c r="AP660" s="117" t="str">
        <x:v>2 metadata-matched images; visual review pending</x:v>
      </x:c>
      <x:c r="AQ660" s="117"/>
    </x:row>
    <x:row r="661" ht="66" customHeight="1">
      <x:c r="A661" s="117" t="str">
        <x:v>MC0658</x:v>
      </x:c>
      <x:c r="B661" s="117" t="str">
        <x:v>Mataking Island</x:v>
      </x:c>
      <x:c r="C661" s="117" t="str">
        <x:v>Sabah</x:v>
      </x:c>
      <x:c r="D661" s="117" t="str">
        <x:v>Semporna</x:v>
      </x:c>
      <x:c r="E661" s="117" t="str">
        <x:v>Beach and Island</x:v>
      </x:c>
      <x:c r="F661" s="117" t="str">
        <x:v>Unclassified</x:v>
      </x:c>
      <x:c r="G661" s="117" t="str">
        <x:v>Outdoor</x:v>
      </x:c>
      <x:c r="H661" s="117" t="str">
        <x:v>Beach and Island; Semporna</x:v>
      </x:c>
      <x:c r="I661" s="117" t="str">
        <x:v>A visitor attraction in Semporna, Sabah, listed in Tourism Malaysia's state travel guide. Venue operation and the precise accessible route require confirmation.</x:v>
      </x:c>
      <x:c r="J661" s="117" t="str">
        <x:v>https://ebrochures.malaysia.travel/en/malaysia-travel-guide/sabah/</x:v>
      </x:c>
      <x:c r="K661" s="117" t="str">
        <x:v>https://ebrochures.malaysia.travel/en/malaysia-travel-guide/sabah/</x:v>
      </x:c>
      <x:c r="L661" s="117" t="str">
        <x:v>Tourism Malaysia listing; operation unconfirmed</x:v>
      </x:c>
      <x:c r="M661" s="117" t="str">
        <x:v>Nationwide expansion 2026-09-08</x:v>
      </x:c>
      <x:c r="N661" s="117"/>
      <x:c r="O661" s="117" t="str">
        <x:v>2026-09-08</x:v>
      </x:c>
      <x:c r="P661" s="117" t="str">
        <x:v>Complete</x:v>
      </x:c>
      <x:c r="Q661" s="117"/>
      <x:c r="R661" s="117" t="str">
        <x:f>IF(J661="","Missing Link",IF(AND(ISNUMBER(SEARCH("google.com/maps",J661)),ISERROR(SEARCH(";",J661))),"Discovery Link Only","Source Link Present"))</x:f>
        <x:v>Source Link Present</x:v>
      </x:c>
      <x:c r="S661" s="117" t="str">
        <x:v>Unknown</x:v>
      </x:c>
      <x:c r="T661" s="117" t="str">
        <x:v>Unknown</x:v>
      </x:c>
      <x:c r="U661" s="117" t="str">
        <x:v>Unknown</x:v>
      </x:c>
      <x:c r="V661" s="117" t="str">
        <x:v>Unknown</x:v>
      </x:c>
      <x:c r="W661" s="117" t="str">
        <x:v>Unknown</x:v>
      </x:c>
      <x:c r="X661" s="117" t="str">
        <x:v>Unknown</x:v>
      </x:c>
      <x:c r="Y661" s="117" t="str">
        <x:v>Unknown</x:v>
      </x:c>
      <x:c r="Z661" s="117"/>
      <x:c r="AA661" s="117" t="str">
        <x:v>Pending evidence</x:v>
      </x:c>
      <x:c r="AB661" s="117"/>
      <x:c r="AC661" s="117" t="str">
        <x:v>No qualifying accessibility conclusion established from the screened sources. This is unknown, not evidence that the attraction is inaccessible.</x:v>
      </x:c>
      <x:c r="AD661" s="117" t="str">
        <x:v>2026-09-08</x:v>
      </x:c>
      <x:c r="AE661" s="117" t="str">
        <x:v>MC0658</x:v>
      </x:c>
      <x:c r="AF661" s="117" t="str">
        <x:v>Distinct candidate</x:v>
      </x:c>
      <x:c r="AG661" s="117" t="str"/>
      <x:c r="AH661" s="117" t="str">
        <x:v>Listed by Tourism Malaysia</x:v>
      </x:c>
      <x:c r="AI661" s="117" t="str">
        <x:v>https://ebrochures.malaysia.travel/en/malaysia-travel-guide/sabah/</x:v>
      </x:c>
      <x:c r="AJ661" s="117" t="str">
        <x:v>Named visitor attraction in cited source; state-guide listings can be historical. Locality is catalogue metadata, not a surveyed address. Current operation remains unconfirmed.</x:v>
      </x:c>
      <x:c r="AK661" s="117" t="str">
        <x:v>Not independently confirmed</x:v>
      </x:c>
      <x:c r="AL661" s="117" t="str">
        <x:v>Screened sources; accessibility unresolved</x:v>
      </x:c>
      <x:c r="AM661" s="117" t="str">
        <x:v>2026-09-08</x:v>
      </x:c>
      <x:c r="AN661" s="117" t="str">
        <x:v>https://thumb.wikimedia.org/wikipedia/commons/thumb/5/54/Mataking_Island.jpg/1280px-Mataking_Island.jpg?utm_source=commons.wikimedia.org&amp;utm_campaign=imageinfo&amp;utm_content=thumbnail</x:v>
      </x:c>
      <x:c r="AO661" s="117" t="str">
        <x:v>https://thumb.wikimedia.org/wikipedia/commons/thumb/3/30/Mataking_Island_Sabah.jpg/1280px-Mataking_Island_Sabah.jpg?utm_source=commons.wikimedia.org&amp;utm_campaign=imageinfo&amp;utm_content=thumbnail</x:v>
      </x:c>
      <x:c r="AP661" s="117" t="str">
        <x:v>2 metadata-matched images; visual review pending</x:v>
      </x:c>
      <x:c r="AQ661" s="117"/>
    </x:row>
    <x:row r="662" ht="66" customHeight="1">
      <x:c r="A662" s="117" t="str">
        <x:v>MC0659</x:v>
      </x:c>
      <x:c r="B662" s="117" t="str">
        <x:v>Teck Guan Cocoa Village</x:v>
      </x:c>
      <x:c r="C662" s="117" t="str">
        <x:v>Sabah</x:v>
      </x:c>
      <x:c r="D662" s="117" t="str">
        <x:v>Tawau</x:v>
      </x:c>
      <x:c r="E662" s="117" t="str">
        <x:v>Heritage and Visitor Attraction</x:v>
      </x:c>
      <x:c r="F662" s="117" t="str">
        <x:v>Unclassified</x:v>
      </x:c>
      <x:c r="G662" s="117" t="str">
        <x:v>Both</x:v>
      </x:c>
      <x:c r="H662" s="117" t="str">
        <x:v>Heritage and Visitor Attraction; Tawau</x:v>
      </x:c>
      <x:c r="I662" s="117" t="str">
        <x:v>A visitor attraction in Tawau, Sabah, listed in Tourism Malaysia's state travel guide. Venue operation and the precise accessible route require confirmation.</x:v>
      </x:c>
      <x:c r="J662" s="117" t="str">
        <x:v>https://ebrochures.malaysia.travel/en/malaysia-travel-guide/sabah/</x:v>
      </x:c>
      <x:c r="K662" s="117" t="str">
        <x:v>https://ebrochures.malaysia.travel/en/malaysia-travel-guide/sabah/</x:v>
      </x:c>
      <x:c r="L662" s="117" t="str">
        <x:v>Tourism Malaysia listing; operation unconfirmed</x:v>
      </x:c>
      <x:c r="M662" s="117" t="str">
        <x:v>Nationwide expansion 2026-09-08</x:v>
      </x:c>
      <x:c r="N662" s="117"/>
      <x:c r="O662" s="117" t="str">
        <x:v>2026-09-08</x:v>
      </x:c>
      <x:c r="P662" s="117" t="str">
        <x:v>Complete</x:v>
      </x:c>
      <x:c r="Q662" s="117"/>
      <x:c r="R662" s="117" t="str">
        <x:f>IF(J662="","Missing Link",IF(AND(ISNUMBER(SEARCH("google.com/maps",J662)),ISERROR(SEARCH(";",J662))),"Discovery Link Only","Source Link Present"))</x:f>
        <x:v>Source Link Present</x:v>
      </x:c>
      <x:c r="S662" s="117" t="str">
        <x:v>Unknown</x:v>
      </x:c>
      <x:c r="T662" s="117" t="str">
        <x:v>Unknown</x:v>
      </x:c>
      <x:c r="U662" s="117" t="str">
        <x:v>Unknown</x:v>
      </x:c>
      <x:c r="V662" s="117" t="str">
        <x:v>Unknown</x:v>
      </x:c>
      <x:c r="W662" s="117" t="str">
        <x:v>Unknown</x:v>
      </x:c>
      <x:c r="X662" s="117" t="str">
        <x:v>Unknown</x:v>
      </x:c>
      <x:c r="Y662" s="117" t="str">
        <x:v>Unknown</x:v>
      </x:c>
      <x:c r="Z662" s="117"/>
      <x:c r="AA662" s="117" t="str">
        <x:v>Pending evidence</x:v>
      </x:c>
      <x:c r="AB662" s="117"/>
      <x:c r="AC662" s="117" t="str">
        <x:v>No qualifying accessibility conclusion established from the screened sources. This is unknown, not evidence that the attraction is inaccessible.</x:v>
      </x:c>
      <x:c r="AD662" s="117" t="str">
        <x:v>2026-09-08</x:v>
      </x:c>
      <x:c r="AE662" s="117" t="str">
        <x:v>MC0659</x:v>
      </x:c>
      <x:c r="AF662" s="117" t="str">
        <x:v>Distinct candidate</x:v>
      </x:c>
      <x:c r="AG662" s="117" t="str"/>
      <x:c r="AH662" s="117" t="str">
        <x:v>Listed by Tourism Malaysia</x:v>
      </x:c>
      <x:c r="AI662" s="117" t="str">
        <x:v>https://ebrochures.malaysia.travel/en/malaysia-travel-guide/sabah/</x:v>
      </x:c>
      <x:c r="AJ662" s="117" t="str">
        <x:v>Named visitor attraction in cited source; state-guide listings can be historical. Locality is catalogue metadata, not a surveyed address. Current operation remains unconfirmed.</x:v>
      </x:c>
      <x:c r="AK662" s="117" t="str">
        <x:v>Not independently confirmed</x:v>
      </x:c>
      <x:c r="AL662" s="117" t="str">
        <x:v>Screened sources; accessibility unresolved</x:v>
      </x:c>
      <x:c r="AM662" s="117" t="str">
        <x:v>2026-09-08</x:v>
      </x:c>
      <x:c r="AN662" s="117"/>
      <x:c r="AO662" s="117"/>
      <x:c r="AP662" s="117" t="str">
        <x:v>No usable pair located; image research pending</x:v>
      </x:c>
      <x:c r="AQ662" s="117"/>
    </x:row>
    <x:row r="663" ht="66" customHeight="1">
      <x:c r="A663" s="117" t="str">
        <x:v>MC0660</x:v>
      </x:c>
      <x:c r="B663" s="117" t="str">
        <x:v>Teck Guan Cocoa Museum</x:v>
      </x:c>
      <x:c r="C663" s="117" t="str">
        <x:v>Sabah</x:v>
      </x:c>
      <x:c r="D663" s="117" t="str">
        <x:v>Tawau</x:v>
      </x:c>
      <x:c r="E663" s="117" t="str">
        <x:v>Museum and Gallery</x:v>
      </x:c>
      <x:c r="F663" s="117" t="str">
        <x:v>Unclassified</x:v>
      </x:c>
      <x:c r="G663" s="117" t="str">
        <x:v>Indoor</x:v>
      </x:c>
      <x:c r="H663" s="117" t="str">
        <x:v>Museum and Gallery; Tawau</x:v>
      </x:c>
      <x:c r="I663" s="117" t="str">
        <x:v>A visitor attraction in Tawau, Sabah, listed in Tourism Malaysia's state travel guide. Venue operation and the precise accessible route require confirmation.</x:v>
      </x:c>
      <x:c r="J663" s="117" t="str">
        <x:v>https://ebrochures.malaysia.travel/en/malaysia-travel-guide/sabah/</x:v>
      </x:c>
      <x:c r="K663" s="117" t="str">
        <x:v>https://ebrochures.malaysia.travel/en/malaysia-travel-guide/sabah/</x:v>
      </x:c>
      <x:c r="L663" s="117" t="str">
        <x:v>Tourism Malaysia listing; operation unconfirmed</x:v>
      </x:c>
      <x:c r="M663" s="117" t="str">
        <x:v>Nationwide expansion 2026-09-08</x:v>
      </x:c>
      <x:c r="N663" s="117"/>
      <x:c r="O663" s="117" t="str">
        <x:v>2026-09-08</x:v>
      </x:c>
      <x:c r="P663" s="117" t="str">
        <x:v>Complete</x:v>
      </x:c>
      <x:c r="Q663" s="117"/>
      <x:c r="R663" s="117" t="str">
        <x:f>IF(J663="","Missing Link",IF(AND(ISNUMBER(SEARCH("google.com/maps",J663)),ISERROR(SEARCH(";",J663))),"Discovery Link Only","Source Link Present"))</x:f>
        <x:v>Source Link Present</x:v>
      </x:c>
      <x:c r="S663" s="117" t="str">
        <x:v>Unknown</x:v>
      </x:c>
      <x:c r="T663" s="117" t="str">
        <x:v>Unknown</x:v>
      </x:c>
      <x:c r="U663" s="117" t="str">
        <x:v>Unknown</x:v>
      </x:c>
      <x:c r="V663" s="117" t="str">
        <x:v>Unknown</x:v>
      </x:c>
      <x:c r="W663" s="117" t="str">
        <x:v>Unknown</x:v>
      </x:c>
      <x:c r="X663" s="117" t="str">
        <x:v>Unknown</x:v>
      </x:c>
      <x:c r="Y663" s="117" t="str">
        <x:v>Unknown</x:v>
      </x:c>
      <x:c r="Z663" s="117"/>
      <x:c r="AA663" s="117" t="str">
        <x:v>Pending evidence</x:v>
      </x:c>
      <x:c r="AB663" s="117"/>
      <x:c r="AC663" s="117" t="str">
        <x:v>No qualifying accessibility conclusion established from the screened sources. This is unknown, not evidence that the attraction is inaccessible.</x:v>
      </x:c>
      <x:c r="AD663" s="117" t="str">
        <x:v>2026-09-08</x:v>
      </x:c>
      <x:c r="AE663" s="117" t="str">
        <x:v>MC0660</x:v>
      </x:c>
      <x:c r="AF663" s="117" t="str">
        <x:v>Distinct candidate</x:v>
      </x:c>
      <x:c r="AG663" s="117" t="str"/>
      <x:c r="AH663" s="117" t="str">
        <x:v>Listed by Tourism Malaysia</x:v>
      </x:c>
      <x:c r="AI663" s="117" t="str">
        <x:v>https://ebrochures.malaysia.travel/en/malaysia-travel-guide/sabah/</x:v>
      </x:c>
      <x:c r="AJ663" s="117" t="str">
        <x:v>Named visitor attraction in cited source; state-guide listings can be historical. Locality is catalogue metadata, not a surveyed address. Current operation remains unconfirmed.</x:v>
      </x:c>
      <x:c r="AK663" s="117" t="str">
        <x:v>Not independently confirmed</x:v>
      </x:c>
      <x:c r="AL663" s="117" t="str">
        <x:v>Screened sources; accessibility unresolved</x:v>
      </x:c>
      <x:c r="AM663" s="117" t="str">
        <x:v>2026-09-08</x:v>
      </x:c>
      <x:c r="AN663" s="117"/>
      <x:c r="AO663" s="117"/>
      <x:c r="AP663" s="117" t="str">
        <x:v>No usable pair located; image research pending</x:v>
      </x:c>
      <x:c r="AQ663" s="117"/>
    </x:row>
    <x:row r="664" ht="66" customHeight="1">
      <x:c r="A664" s="117" t="str">
        <x:v>MC0661</x:v>
      </x:c>
      <x:c r="B664" s="117" t="str">
        <x:v>Turtle Islands Park</x:v>
      </x:c>
      <x:c r="C664" s="117" t="str">
        <x:v>Sabah</x:v>
      </x:c>
      <x:c r="D664" s="117" t="str">
        <x:v>Sandakan</x:v>
      </x:c>
      <x:c r="E664" s="117" t="str">
        <x:v>Wildlife</x:v>
      </x:c>
      <x:c r="F664" s="117" t="str">
        <x:v>Unclassified</x:v>
      </x:c>
      <x:c r="G664" s="117" t="str">
        <x:v>Outdoor</x:v>
      </x:c>
      <x:c r="H664" s="117" t="str">
        <x:v>Wildlife; Sandakan</x:v>
      </x:c>
      <x:c r="I664" s="117" t="str">
        <x:v>A visitor attraction in Sandakan, Sabah, listed in Tourism Malaysia's state travel guide. Venue operation and the precise accessible route require confirmation.</x:v>
      </x:c>
      <x:c r="J664" s="117" t="str">
        <x:v>https://ebrochures.malaysia.travel/en/malaysia-travel-guide/sabah/</x:v>
      </x:c>
      <x:c r="K664" s="117" t="str">
        <x:v>https://ebrochures.malaysia.travel/en/malaysia-travel-guide/sabah/</x:v>
      </x:c>
      <x:c r="L664" s="117" t="str">
        <x:v>Tourism Malaysia listing; operation unconfirmed</x:v>
      </x:c>
      <x:c r="M664" s="117" t="str">
        <x:v>Nationwide expansion 2026-09-08</x:v>
      </x:c>
      <x:c r="N664" s="117"/>
      <x:c r="O664" s="117" t="str">
        <x:v>2026-09-08</x:v>
      </x:c>
      <x:c r="P664" s="117" t="str">
        <x:v>Complete</x:v>
      </x:c>
      <x:c r="Q664" s="117"/>
      <x:c r="R664" s="117" t="str">
        <x:f>IF(J664="","Missing Link",IF(AND(ISNUMBER(SEARCH("google.com/maps",J664)),ISERROR(SEARCH(";",J664))),"Discovery Link Only","Source Link Present"))</x:f>
        <x:v>Source Link Present</x:v>
      </x:c>
      <x:c r="S664" s="117" t="str">
        <x:v>Unknown</x:v>
      </x:c>
      <x:c r="T664" s="117" t="str">
        <x:v>Unknown</x:v>
      </x:c>
      <x:c r="U664" s="117" t="str">
        <x:v>Unknown</x:v>
      </x:c>
      <x:c r="V664" s="117" t="str">
        <x:v>Unknown</x:v>
      </x:c>
      <x:c r="W664" s="117" t="str">
        <x:v>Unknown</x:v>
      </x:c>
      <x:c r="X664" s="117" t="str">
        <x:v>Unknown</x:v>
      </x:c>
      <x:c r="Y664" s="117" t="str">
        <x:v>Unknown</x:v>
      </x:c>
      <x:c r="Z664" s="117"/>
      <x:c r="AA664" s="117" t="str">
        <x:v>Pending evidence</x:v>
      </x:c>
      <x:c r="AB664" s="117"/>
      <x:c r="AC664" s="117" t="str">
        <x:v>No qualifying accessibility conclusion established from the screened sources. This is unknown, not evidence that the attraction is inaccessible.</x:v>
      </x:c>
      <x:c r="AD664" s="117" t="str">
        <x:v>2026-09-08</x:v>
      </x:c>
      <x:c r="AE664" s="117" t="str">
        <x:v>MC0661</x:v>
      </x:c>
      <x:c r="AF664" s="117" t="str">
        <x:v>Distinct candidate</x:v>
      </x:c>
      <x:c r="AG664" s="117" t="str"/>
      <x:c r="AH664" s="117" t="str">
        <x:v>Listed by Tourism Malaysia</x:v>
      </x:c>
      <x:c r="AI664" s="117" t="str">
        <x:v>https://ebrochures.malaysia.travel/en/malaysia-travel-guide/sabah/</x:v>
      </x:c>
      <x:c r="AJ664" s="117" t="str">
        <x:v>Named visitor attraction in cited source; state-guide listings can be historical. Locality is catalogue metadata, not a surveyed address. Current operation remains unconfirmed.</x:v>
      </x:c>
      <x:c r="AK664" s="117" t="str">
        <x:v>Not independently confirmed</x:v>
      </x:c>
      <x:c r="AL664" s="117" t="str">
        <x:v>Screened sources; accessibility unresolved</x:v>
      </x:c>
      <x:c r="AM664" s="117" t="str">
        <x:v>2026-09-08</x:v>
      </x:c>
      <x:c r="AN664" s="117" t="str">
        <x:v>https://upload.wikimedia.org/wikipedia/commons/f/fa/Turtle_Islands_National_Park.jpg?utm_source=commons.wikimedia.org&amp;utm_campaign=imageinfo&amp;utm_content=thumbnail_unscaled</x:v>
      </x:c>
      <x:c r="AO664" s="117" t="str">
        <x:v>https://thumb.wikimedia.org/wikipedia/commons/thumb/c/c7/Selingan_Island_Borneo.jpg/1280px-Selingan_Island_Borneo.jpg?utm_source=commons.wikimedia.org&amp;utm_campaign=imageinfo&amp;utm_content=thumbnail</x:v>
      </x:c>
      <x:c r="AP664" s="117" t="str">
        <x:v>2 metadata-matched images; visual review pending</x:v>
      </x:c>
      <x:c r="AQ664" s="117"/>
    </x:row>
    <x:row r="665" ht="66" customHeight="1">
      <x:c r="A665" s="117" t="str">
        <x:v>MC0662</x:v>
      </x:c>
      <x:c r="B665" s="117" t="str">
        <x:v>Agnes Keith House</x:v>
      </x:c>
      <x:c r="C665" s="117" t="str">
        <x:v>Sabah</x:v>
      </x:c>
      <x:c r="D665" s="117" t="str">
        <x:v>Sandakan</x:v>
      </x:c>
      <x:c r="E665" s="117" t="str">
        <x:v>Heritage and Visitor Attraction</x:v>
      </x:c>
      <x:c r="F665" s="117" t="str">
        <x:v>Unclassified</x:v>
      </x:c>
      <x:c r="G665" s="117" t="str">
        <x:v>Both</x:v>
      </x:c>
      <x:c r="H665" s="117" t="str">
        <x:v>Heritage and Visitor Attraction; Sandakan</x:v>
      </x:c>
      <x:c r="I665" s="117" t="str">
        <x:v>A visitor attraction in Sandakan, Sabah, listed in Tourism Malaysia's state travel guide. Venue operation and the precise accessible route require confirmation.</x:v>
      </x:c>
      <x:c r="J665" s="117" t="str">
        <x:v>https://ebrochures.malaysia.travel/en/malaysia-travel-guide/sabah/</x:v>
      </x:c>
      <x:c r="K665" s="117" t="str">
        <x:v>https://ebrochures.malaysia.travel/en/malaysia-travel-guide/sabah/</x:v>
      </x:c>
      <x:c r="L665" s="117" t="str">
        <x:v>Tourism Malaysia listing; operation unconfirmed</x:v>
      </x:c>
      <x:c r="M665" s="117" t="str">
        <x:v>Nationwide expansion 2026-09-08</x:v>
      </x:c>
      <x:c r="N665" s="117"/>
      <x:c r="O665" s="117" t="str">
        <x:v>2026-09-08</x:v>
      </x:c>
      <x:c r="P665" s="117" t="str">
        <x:v>Complete</x:v>
      </x:c>
      <x:c r="Q665" s="117"/>
      <x:c r="R665" s="117" t="str">
        <x:f>IF(J665="","Missing Link",IF(AND(ISNUMBER(SEARCH("google.com/maps",J665)),ISERROR(SEARCH(";",J665))),"Discovery Link Only","Source Link Present"))</x:f>
        <x:v>Source Link Present</x:v>
      </x:c>
      <x:c r="S665" s="117" t="str">
        <x:v>Unknown</x:v>
      </x:c>
      <x:c r="T665" s="117" t="str">
        <x:v>Unknown</x:v>
      </x:c>
      <x:c r="U665" s="117" t="str">
        <x:v>Unknown</x:v>
      </x:c>
      <x:c r="V665" s="117" t="str">
        <x:v>Unknown</x:v>
      </x:c>
      <x:c r="W665" s="117" t="str">
        <x:v>Unknown</x:v>
      </x:c>
      <x:c r="X665" s="117" t="str">
        <x:v>Unknown</x:v>
      </x:c>
      <x:c r="Y665" s="117" t="str">
        <x:v>Unknown</x:v>
      </x:c>
      <x:c r="Z665" s="117"/>
      <x:c r="AA665" s="117" t="str">
        <x:v>Pending evidence</x:v>
      </x:c>
      <x:c r="AB665" s="117"/>
      <x:c r="AC665" s="117" t="str">
        <x:v>No qualifying accessibility conclusion established from the screened sources. This is unknown, not evidence that the attraction is inaccessible.</x:v>
      </x:c>
      <x:c r="AD665" s="117" t="str">
        <x:v>2026-09-08</x:v>
      </x:c>
      <x:c r="AE665" s="117" t="str">
        <x:v>MC0662</x:v>
      </x:c>
      <x:c r="AF665" s="117" t="str">
        <x:v>Distinct candidate</x:v>
      </x:c>
      <x:c r="AG665" s="117" t="str"/>
      <x:c r="AH665" s="117" t="str">
        <x:v>Listed by Tourism Malaysia</x:v>
      </x:c>
      <x:c r="AI665" s="117" t="str">
        <x:v>https://ebrochures.malaysia.travel/en/malaysia-travel-guide/sabah/</x:v>
      </x:c>
      <x:c r="AJ665" s="117" t="str">
        <x:v>Named visitor attraction in cited source; state-guide listings can be historical. Locality is catalogue metadata, not a surveyed address. Current operation remains unconfirmed.</x:v>
      </x:c>
      <x:c r="AK665" s="117" t="str">
        <x:v>Not independently confirmed</x:v>
      </x:c>
      <x:c r="AL665" s="117" t="str">
        <x:v>Screened sources; accessibility unresolved</x:v>
      </x:c>
      <x:c r="AM665" s="117" t="str">
        <x:v>2026-09-08</x:v>
      </x:c>
      <x:c r="AN665" s="117" t="str">
        <x:v>https://thumb.wikimedia.org/wikipedia/commons/thumb/a/ad/Sandakan_Sabah_AgnesKeithHouse-16.jpg/1280px-Sandakan_Sabah_AgnesKeithHouse-16.jpg?utm_source=commons.wikimedia.org&amp;utm_campaign=imageinfo&amp;utm_content=thumbnail</x:v>
      </x:c>
      <x:c r="AO665" s="117" t="str">
        <x:v>https://thumb.wikimedia.org/wikipedia/commons/thumb/4/44/Sandakan_Sabah_AgnesKeithHouse-12.jpg/1280px-Sandakan_Sabah_AgnesKeithHouse-12.jpg?utm_source=commons.wikimedia.org&amp;utm_campaign=imageinfo&amp;utm_content=thumbnail</x:v>
      </x:c>
      <x:c r="AP665" s="117" t="str">
        <x:v>2 metadata-matched images; visual review pending</x:v>
      </x:c>
      <x:c r="AQ665" s="117"/>
    </x:row>
    <x:row r="666" ht="66" customHeight="1">
      <x:c r="A666" s="117" t="str">
        <x:v>MC0663</x:v>
      </x:c>
      <x:c r="B666" s="117" t="str">
        <x:v>Labuk Bay Proboscis Monkey Sanctuary</x:v>
      </x:c>
      <x:c r="C666" s="117" t="str">
        <x:v>Sabah</x:v>
      </x:c>
      <x:c r="D666" s="117" t="str">
        <x:v>Sandakan</x:v>
      </x:c>
      <x:c r="E666" s="117" t="str">
        <x:v>Wildlife</x:v>
      </x:c>
      <x:c r="F666" s="117" t="str">
        <x:v>Unclassified</x:v>
      </x:c>
      <x:c r="G666" s="117" t="str">
        <x:v>Outdoor</x:v>
      </x:c>
      <x:c r="H666" s="117" t="str">
        <x:v>Wildlife; Sandakan</x:v>
      </x:c>
      <x:c r="I666" s="117" t="str">
        <x:v>A visitor attraction in Sandakan, Sabah, listed in Tourism Malaysia's state travel guide. Venue operation and the precise accessible route require confirmation.</x:v>
      </x:c>
      <x:c r="J666" s="117" t="str">
        <x:v>https://ebrochures.malaysia.travel/en/malaysia-travel-guide/sabah/</x:v>
      </x:c>
      <x:c r="K666" s="117" t="str">
        <x:v>https://ebrochures.malaysia.travel/en/malaysia-travel-guide/sabah/</x:v>
      </x:c>
      <x:c r="L666" s="117" t="str">
        <x:v>Tourism Malaysia listing; operation unconfirmed</x:v>
      </x:c>
      <x:c r="M666" s="117" t="str">
        <x:v>Nationwide expansion 2026-09-08</x:v>
      </x:c>
      <x:c r="N666" s="117"/>
      <x:c r="O666" s="117" t="str">
        <x:v>2026-09-08</x:v>
      </x:c>
      <x:c r="P666" s="117" t="str">
        <x:v>Complete</x:v>
      </x:c>
      <x:c r="Q666" s="117"/>
      <x:c r="R666" s="117" t="str">
        <x:f>IF(J666="","Missing Link",IF(AND(ISNUMBER(SEARCH("google.com/maps",J666)),ISERROR(SEARCH(";",J666))),"Discovery Link Only","Source Link Present"))</x:f>
        <x:v>Source Link Present</x:v>
      </x:c>
      <x:c r="S666" s="117" t="str">
        <x:v>Unknown</x:v>
      </x:c>
      <x:c r="T666" s="117" t="str">
        <x:v>Unknown</x:v>
      </x:c>
      <x:c r="U666" s="117" t="str">
        <x:v>Unknown</x:v>
      </x:c>
      <x:c r="V666" s="117" t="str">
        <x:v>Unknown</x:v>
      </x:c>
      <x:c r="W666" s="117" t="str">
        <x:v>Unknown</x:v>
      </x:c>
      <x:c r="X666" s="117" t="str">
        <x:v>Unknown</x:v>
      </x:c>
      <x:c r="Y666" s="117" t="str">
        <x:v>Unknown</x:v>
      </x:c>
      <x:c r="Z666" s="117"/>
      <x:c r="AA666" s="117" t="str">
        <x:v>Pending evidence</x:v>
      </x:c>
      <x:c r="AB666" s="117"/>
      <x:c r="AC666" s="117" t="str">
        <x:v>No qualifying accessibility conclusion established from the screened sources. This is unknown, not evidence that the attraction is inaccessible.</x:v>
      </x:c>
      <x:c r="AD666" s="117" t="str">
        <x:v>2026-09-08</x:v>
      </x:c>
      <x:c r="AE666" s="117" t="str">
        <x:v>MC0663</x:v>
      </x:c>
      <x:c r="AF666" s="117" t="str">
        <x:v>Distinct candidate</x:v>
      </x:c>
      <x:c r="AG666" s="117" t="str"/>
      <x:c r="AH666" s="117" t="str">
        <x:v>Listed by Tourism Malaysia</x:v>
      </x:c>
      <x:c r="AI666" s="117" t="str">
        <x:v>https://ebrochures.malaysia.travel/en/malaysia-travel-guide/sabah/</x:v>
      </x:c>
      <x:c r="AJ666" s="117" t="str">
        <x:v>Named visitor attraction in cited source; state-guide listings can be historical. Locality is catalogue metadata, not a surveyed address. Current operation remains unconfirmed.</x:v>
      </x:c>
      <x:c r="AK666" s="117" t="str">
        <x:v>Not independently confirmed</x:v>
      </x:c>
      <x:c r="AL666" s="117" t="str">
        <x:v>Screened sources; accessibility unresolved</x:v>
      </x:c>
      <x:c r="AM666" s="117" t="str">
        <x:v>2026-09-08</x:v>
      </x:c>
      <x:c r="AN666" s="117"/>
      <x:c r="AO666" s="117"/>
      <x:c r="AP666" s="117" t="str">
        <x:v>No usable pair located; image research pending</x:v>
      </x:c>
      <x:c r="AQ666" s="117"/>
    </x:row>
    <x:row r="667" ht="66" customHeight="1">
      <x:c r="A667" s="117" t="str">
        <x:v>MC0664</x:v>
      </x:c>
      <x:c r="B667" s="117" t="str">
        <x:v>Gomantong Caves</x:v>
      </x:c>
      <x:c r="C667" s="117" t="str">
        <x:v>Sabah</x:v>
      </x:c>
      <x:c r="D667" s="117" t="str">
        <x:v>Sandakan</x:v>
      </x:c>
      <x:c r="E667" s="117" t="str">
        <x:v>Nature</x:v>
      </x:c>
      <x:c r="F667" s="117" t="str">
        <x:v>Unclassified</x:v>
      </x:c>
      <x:c r="G667" s="117" t="str">
        <x:v>Outdoor</x:v>
      </x:c>
      <x:c r="H667" s="117" t="str">
        <x:v>Nature; Sandakan</x:v>
      </x:c>
      <x:c r="I667" s="117" t="str">
        <x:v>A visitor attraction in Sandakan, Sabah, listed in Tourism Malaysia's state travel guide. Venue operation and the precise accessible route require confirmation.</x:v>
      </x:c>
      <x:c r="J667" s="117" t="str">
        <x:v>https://ebrochures.malaysia.travel/en/malaysia-travel-guide/sabah/</x:v>
      </x:c>
      <x:c r="K667" s="117" t="str">
        <x:v>https://ebrochures.malaysia.travel/en/malaysia-travel-guide/sabah/</x:v>
      </x:c>
      <x:c r="L667" s="117" t="str">
        <x:v>Tourism Malaysia listing; operation unconfirmed</x:v>
      </x:c>
      <x:c r="M667" s="117" t="str">
        <x:v>Nationwide expansion 2026-09-08</x:v>
      </x:c>
      <x:c r="N667" s="117"/>
      <x:c r="O667" s="117" t="str">
        <x:v>2026-09-08</x:v>
      </x:c>
      <x:c r="P667" s="117" t="str">
        <x:v>Complete</x:v>
      </x:c>
      <x:c r="Q667" s="117"/>
      <x:c r="R667" s="117" t="str">
        <x:f>IF(J667="","Missing Link",IF(AND(ISNUMBER(SEARCH("google.com/maps",J667)),ISERROR(SEARCH(";",J667))),"Discovery Link Only","Source Link Present"))</x:f>
        <x:v>Source Link Present</x:v>
      </x:c>
      <x:c r="S667" s="117" t="str">
        <x:v>Unknown</x:v>
      </x:c>
      <x:c r="T667" s="117" t="str">
        <x:v>Unknown</x:v>
      </x:c>
      <x:c r="U667" s="117" t="str">
        <x:v>Unknown</x:v>
      </x:c>
      <x:c r="V667" s="117" t="str">
        <x:v>Unknown</x:v>
      </x:c>
      <x:c r="W667" s="117" t="str">
        <x:v>Unknown</x:v>
      </x:c>
      <x:c r="X667" s="117" t="str">
        <x:v>Unknown</x:v>
      </x:c>
      <x:c r="Y667" s="117" t="str">
        <x:v>Unknown</x:v>
      </x:c>
      <x:c r="Z667" s="117"/>
      <x:c r="AA667" s="117" t="str">
        <x:v>Pending evidence</x:v>
      </x:c>
      <x:c r="AB667" s="117"/>
      <x:c r="AC667" s="117" t="str">
        <x:v>No qualifying accessibility conclusion established from the screened sources. This is unknown, not evidence that the attraction is inaccessible.</x:v>
      </x:c>
      <x:c r="AD667" s="117" t="str">
        <x:v>2026-09-08</x:v>
      </x:c>
      <x:c r="AE667" s="117" t="str">
        <x:v>MC0664</x:v>
      </x:c>
      <x:c r="AF667" s="117" t="str">
        <x:v>Distinct candidate</x:v>
      </x:c>
      <x:c r="AG667" s="117" t="str"/>
      <x:c r="AH667" s="117" t="str">
        <x:v>Listed by Tourism Malaysia</x:v>
      </x:c>
      <x:c r="AI667" s="117" t="str">
        <x:v>https://ebrochures.malaysia.travel/en/malaysia-travel-guide/sabah/</x:v>
      </x:c>
      <x:c r="AJ667" s="117" t="str">
        <x:v>Named visitor attraction in cited source; state-guide listings can be historical. Locality is catalogue metadata, not a surveyed address. Current operation remains unconfirmed.</x:v>
      </x:c>
      <x:c r="AK667" s="117" t="str">
        <x:v>Not independently confirmed</x:v>
      </x:c>
      <x:c r="AL667" s="117" t="str">
        <x:v>Screened sources; accessibility unresolved</x:v>
      </x:c>
      <x:c r="AM667" s="117" t="str">
        <x:v>2026-09-08</x:v>
      </x:c>
      <x:c r="AN667" s="117" t="str">
        <x:v>https://upload.wikimedia.org/wikipedia/commons/c/cf/GomantongCaves.Lauras512.jpg?utm_source=commons.wikimedia.org&amp;utm_campaign=imageinfo&amp;utm_content=thumbnail_unscaled</x:v>
      </x:c>
      <x:c r="AO667" s="117" t="str">
        <x:v>https://thumb.wikimedia.org/wikipedia/commons/thumb/e/ee/Gomantong_Caves_20190705_160937.jpg/1280px-Gomantong_Caves_20190705_160937.jpg?utm_source=commons.wikimedia.org&amp;utm_campaign=imageinfo&amp;utm_content=thumbnail</x:v>
      </x:c>
      <x:c r="AP667" s="117" t="str">
        <x:v>2 metadata-matched images; visual review pending</x:v>
      </x:c>
      <x:c r="AQ667" s="117"/>
    </x:row>
    <x:row r="668" ht="66" customHeight="1">
      <x:c r="A668" s="117" t="str">
        <x:v>MC0665</x:v>
      </x:c>
      <x:c r="B668" s="117" t="str">
        <x:v>Agop Batu Tulug</x:v>
      </x:c>
      <x:c r="C668" s="117" t="str">
        <x:v>Sabah</x:v>
      </x:c>
      <x:c r="D668" s="117" t="str">
        <x:v>Sandakan</x:v>
      </x:c>
      <x:c r="E668" s="117" t="str">
        <x:v>Heritage and Visitor Attraction</x:v>
      </x:c>
      <x:c r="F668" s="117" t="str">
        <x:v>Unclassified</x:v>
      </x:c>
      <x:c r="G668" s="117" t="str">
        <x:v>Both</x:v>
      </x:c>
      <x:c r="H668" s="117" t="str">
        <x:v>Heritage and Visitor Attraction; Sandakan</x:v>
      </x:c>
      <x:c r="I668" s="117" t="str">
        <x:v>A visitor attraction in Sandakan, Sabah, listed in Tourism Malaysia's state travel guide. Venue operation and the precise accessible route require confirmation.</x:v>
      </x:c>
      <x:c r="J668" s="117" t="str">
        <x:v>https://ebrochures.malaysia.travel/en/malaysia-travel-guide/sabah/</x:v>
      </x:c>
      <x:c r="K668" s="117" t="str">
        <x:v>https://ebrochures.malaysia.travel/en/malaysia-travel-guide/sabah/</x:v>
      </x:c>
      <x:c r="L668" s="117" t="str">
        <x:v>Tourism Malaysia listing; operation unconfirmed</x:v>
      </x:c>
      <x:c r="M668" s="117" t="str">
        <x:v>Nationwide expansion 2026-09-08</x:v>
      </x:c>
      <x:c r="N668" s="117"/>
      <x:c r="O668" s="117" t="str">
        <x:v>2026-09-08</x:v>
      </x:c>
      <x:c r="P668" s="117" t="str">
        <x:v>Complete</x:v>
      </x:c>
      <x:c r="Q668" s="117"/>
      <x:c r="R668" s="117" t="str">
        <x:f>IF(J668="","Missing Link",IF(AND(ISNUMBER(SEARCH("google.com/maps",J668)),ISERROR(SEARCH(";",J668))),"Discovery Link Only","Source Link Present"))</x:f>
        <x:v>Source Link Present</x:v>
      </x:c>
      <x:c r="S668" s="117" t="str">
        <x:v>Unknown</x:v>
      </x:c>
      <x:c r="T668" s="117" t="str">
        <x:v>Unknown</x:v>
      </x:c>
      <x:c r="U668" s="117" t="str">
        <x:v>Unknown</x:v>
      </x:c>
      <x:c r="V668" s="117" t="str">
        <x:v>Unknown</x:v>
      </x:c>
      <x:c r="W668" s="117" t="str">
        <x:v>Unknown</x:v>
      </x:c>
      <x:c r="X668" s="117" t="str">
        <x:v>Unknown</x:v>
      </x:c>
      <x:c r="Y668" s="117" t="str">
        <x:v>Unknown</x:v>
      </x:c>
      <x:c r="Z668" s="117"/>
      <x:c r="AA668" s="117" t="str">
        <x:v>Pending evidence</x:v>
      </x:c>
      <x:c r="AB668" s="117"/>
      <x:c r="AC668" s="117" t="str">
        <x:v>No qualifying accessibility conclusion established from the screened sources. This is unknown, not evidence that the attraction is inaccessible.</x:v>
      </x:c>
      <x:c r="AD668" s="117" t="str">
        <x:v>2026-09-08</x:v>
      </x:c>
      <x:c r="AE668" s="117" t="str">
        <x:v>MC0665</x:v>
      </x:c>
      <x:c r="AF668" s="117" t="str">
        <x:v>Distinct candidate</x:v>
      </x:c>
      <x:c r="AG668" s="117" t="str"/>
      <x:c r="AH668" s="117" t="str">
        <x:v>Listed by Tourism Malaysia</x:v>
      </x:c>
      <x:c r="AI668" s="117" t="str">
        <x:v>https://ebrochures.malaysia.travel/en/malaysia-travel-guide/sabah/</x:v>
      </x:c>
      <x:c r="AJ668" s="117" t="str">
        <x:v>Named visitor attraction in cited source; state-guide listings can be historical. Locality is catalogue metadata, not a surveyed address. Current operation remains unconfirmed.</x:v>
      </x:c>
      <x:c r="AK668" s="117" t="str">
        <x:v>Not independently confirmed</x:v>
      </x:c>
      <x:c r="AL668" s="117" t="str">
        <x:v>Screened sources; accessibility unresolved</x:v>
      </x:c>
      <x:c r="AM668" s="117" t="str">
        <x:v>2026-09-08</x:v>
      </x:c>
      <x:c r="AN668" s="117" t="str">
        <x:v>https://thumb.wikimedia.org/wikipedia/commons/thumb/1/1a/BatuPutih_Sabah_AgopBatuTulug-15.jpg/1280px-BatuPutih_Sabah_AgopBatuTulug-15.jpg?utm_source=commons.wikimedia.org&amp;utm_campaign=imageinfo&amp;utm_content=thumbnail</x:v>
      </x:c>
      <x:c r="AO668" s="117" t="str">
        <x:v>https://thumb.wikimedia.org/wikipedia/commons/thumb/9/9c/BatuPutih_Sabah_AgopBatuTulug-14.jpg/1280px-BatuPutih_Sabah_AgopBatuTulug-14.jpg?utm_source=commons.wikimedia.org&amp;utm_campaign=imageinfo&amp;utm_content=thumbnail</x:v>
      </x:c>
      <x:c r="AP668" s="117" t="str">
        <x:v>2 metadata-matched images; visual review pending</x:v>
      </x:c>
      <x:c r="AQ668" s="117"/>
    </x:row>
    <x:row r="669" ht="66" customHeight="1">
      <x:c r="A669" s="117" t="str">
        <x:v>MC0666</x:v>
      </x:c>
      <x:c r="B669" s="117" t="str">
        <x:v>Lankayan Island</x:v>
      </x:c>
      <x:c r="C669" s="117" t="str">
        <x:v>Sabah</x:v>
      </x:c>
      <x:c r="D669" s="117" t="str">
        <x:v>Sandakan</x:v>
      </x:c>
      <x:c r="E669" s="117" t="str">
        <x:v>Beach and Island</x:v>
      </x:c>
      <x:c r="F669" s="117" t="str">
        <x:v>Unclassified</x:v>
      </x:c>
      <x:c r="G669" s="117" t="str">
        <x:v>Outdoor</x:v>
      </x:c>
      <x:c r="H669" s="117" t="str">
        <x:v>Beach and Island; Sandakan</x:v>
      </x:c>
      <x:c r="I669" s="117" t="str">
        <x:v>A visitor attraction in Sandakan, Sabah, listed in Tourism Malaysia's state travel guide. Venue operation and the precise accessible route require confirmation.</x:v>
      </x:c>
      <x:c r="J669" s="117" t="str">
        <x:v>https://ebrochures.malaysia.travel/en/malaysia-travel-guide/sabah/</x:v>
      </x:c>
      <x:c r="K669" s="117" t="str">
        <x:v>https://ebrochures.malaysia.travel/en/malaysia-travel-guide/sabah/</x:v>
      </x:c>
      <x:c r="L669" s="117" t="str">
        <x:v>Tourism Malaysia listing; operation unconfirmed</x:v>
      </x:c>
      <x:c r="M669" s="117" t="str">
        <x:v>Nationwide expansion 2026-09-08</x:v>
      </x:c>
      <x:c r="N669" s="117"/>
      <x:c r="O669" s="117" t="str">
        <x:v>2026-09-08</x:v>
      </x:c>
      <x:c r="P669" s="117" t="str">
        <x:v>Complete</x:v>
      </x:c>
      <x:c r="Q669" s="117"/>
      <x:c r="R669" s="117" t="str">
        <x:f>IF(J669="","Missing Link",IF(AND(ISNUMBER(SEARCH("google.com/maps",J669)),ISERROR(SEARCH(";",J669))),"Discovery Link Only","Source Link Present"))</x:f>
        <x:v>Source Link Present</x:v>
      </x:c>
      <x:c r="S669" s="117" t="str">
        <x:v>Unknown</x:v>
      </x:c>
      <x:c r="T669" s="117" t="str">
        <x:v>Unknown</x:v>
      </x:c>
      <x:c r="U669" s="117" t="str">
        <x:v>Unknown</x:v>
      </x:c>
      <x:c r="V669" s="117" t="str">
        <x:v>Unknown</x:v>
      </x:c>
      <x:c r="W669" s="117" t="str">
        <x:v>Unknown</x:v>
      </x:c>
      <x:c r="X669" s="117" t="str">
        <x:v>Unknown</x:v>
      </x:c>
      <x:c r="Y669" s="117" t="str">
        <x:v>Unknown</x:v>
      </x:c>
      <x:c r="Z669" s="117"/>
      <x:c r="AA669" s="117" t="str">
        <x:v>Pending evidence</x:v>
      </x:c>
      <x:c r="AB669" s="117"/>
      <x:c r="AC669" s="117" t="str">
        <x:v>No qualifying accessibility conclusion established from the screened sources. This is unknown, not evidence that the attraction is inaccessible.</x:v>
      </x:c>
      <x:c r="AD669" s="117" t="str">
        <x:v>2026-09-08</x:v>
      </x:c>
      <x:c r="AE669" s="117" t="str">
        <x:v>MC0666</x:v>
      </x:c>
      <x:c r="AF669" s="117" t="str">
        <x:v>Distinct candidate</x:v>
      </x:c>
      <x:c r="AG669" s="117" t="str"/>
      <x:c r="AH669" s="117" t="str">
        <x:v>Listed by Tourism Malaysia</x:v>
      </x:c>
      <x:c r="AI669" s="117" t="str">
        <x:v>https://ebrochures.malaysia.travel/en/malaysia-travel-guide/sabah/</x:v>
      </x:c>
      <x:c r="AJ669" s="117" t="str">
        <x:v>Named visitor attraction in cited source; state-guide listings can be historical. Locality is catalogue metadata, not a surveyed address. Current operation remains unconfirmed.</x:v>
      </x:c>
      <x:c r="AK669" s="117" t="str">
        <x:v>Not independently confirmed</x:v>
      </x:c>
      <x:c r="AL669" s="117" t="str">
        <x:v>Screened sources; accessibility unresolved</x:v>
      </x:c>
      <x:c r="AM669" s="117" t="str">
        <x:v>2026-09-08</x:v>
      </x:c>
      <x:c r="AN669" s="117" t="str">
        <x:v>https://upload.wikimedia.org/wikipedia/commons/7/7c/Pulau_Lankayan.jpg?utm_source=commons.wikimedia.org&amp;utm_campaign=imageinfo&amp;utm_content=thumbnail_unscaled</x:v>
      </x:c>
      <x:c r="AO669" s="117" t="str">
        <x:v>https://thumb.wikimedia.org/wikipedia/commons/thumb/d/d6/LankayanIsland.JPG/1280px-LankayanIsland.JPG?utm_source=commons.wikimedia.org&amp;utm_campaign=imageinfo&amp;utm_content=thumbnail</x:v>
      </x:c>
      <x:c r="AP669" s="117" t="str">
        <x:v>2 metadata-matched images; visual review pending</x:v>
      </x:c>
      <x:c r="AQ669" s="117"/>
    </x:row>
    <x:row r="670" ht="66" customHeight="1">
      <x:c r="A670" s="117" t="str">
        <x:v>MC0667</x:v>
      </x:c>
      <x:c r="B670" s="117" t="str">
        <x:v>Libaran Island</x:v>
      </x:c>
      <x:c r="C670" s="117" t="str">
        <x:v>Sabah</x:v>
      </x:c>
      <x:c r="D670" s="117" t="str">
        <x:v>Sandakan</x:v>
      </x:c>
      <x:c r="E670" s="117" t="str">
        <x:v>Beach and Island</x:v>
      </x:c>
      <x:c r="F670" s="117" t="str">
        <x:v>Unclassified</x:v>
      </x:c>
      <x:c r="G670" s="117" t="str">
        <x:v>Outdoor</x:v>
      </x:c>
      <x:c r="H670" s="117" t="str">
        <x:v>Beach and Island; Sandakan</x:v>
      </x:c>
      <x:c r="I670" s="117" t="str">
        <x:v>A visitor attraction in Sandakan, Sabah, listed in Tourism Malaysia's state travel guide. Venue operation and the precise accessible route require confirmation.</x:v>
      </x:c>
      <x:c r="J670" s="117" t="str">
        <x:v>https://ebrochures.malaysia.travel/en/malaysia-travel-guide/sabah/</x:v>
      </x:c>
      <x:c r="K670" s="117" t="str">
        <x:v>https://ebrochures.malaysia.travel/en/malaysia-travel-guide/sabah/</x:v>
      </x:c>
      <x:c r="L670" s="117" t="str">
        <x:v>Tourism Malaysia listing; operation unconfirmed</x:v>
      </x:c>
      <x:c r="M670" s="117" t="str">
        <x:v>Nationwide expansion 2026-09-08</x:v>
      </x:c>
      <x:c r="N670" s="117"/>
      <x:c r="O670" s="117" t="str">
        <x:v>2026-09-08</x:v>
      </x:c>
      <x:c r="P670" s="117" t="str">
        <x:v>Complete</x:v>
      </x:c>
      <x:c r="Q670" s="117"/>
      <x:c r="R670" s="117" t="str">
        <x:f>IF(J670="","Missing Link",IF(AND(ISNUMBER(SEARCH("google.com/maps",J670)),ISERROR(SEARCH(";",J670))),"Discovery Link Only","Source Link Present"))</x:f>
        <x:v>Source Link Present</x:v>
      </x:c>
      <x:c r="S670" s="117" t="str">
        <x:v>Unknown</x:v>
      </x:c>
      <x:c r="T670" s="117" t="str">
        <x:v>Unknown</x:v>
      </x:c>
      <x:c r="U670" s="117" t="str">
        <x:v>Unknown</x:v>
      </x:c>
      <x:c r="V670" s="117" t="str">
        <x:v>Unknown</x:v>
      </x:c>
      <x:c r="W670" s="117" t="str">
        <x:v>Unknown</x:v>
      </x:c>
      <x:c r="X670" s="117" t="str">
        <x:v>Unknown</x:v>
      </x:c>
      <x:c r="Y670" s="117" t="str">
        <x:v>Unknown</x:v>
      </x:c>
      <x:c r="Z670" s="117"/>
      <x:c r="AA670" s="117" t="str">
        <x:v>Pending evidence</x:v>
      </x:c>
      <x:c r="AB670" s="117"/>
      <x:c r="AC670" s="117" t="str">
        <x:v>No qualifying accessibility conclusion established from the screened sources. This is unknown, not evidence that the attraction is inaccessible.</x:v>
      </x:c>
      <x:c r="AD670" s="117" t="str">
        <x:v>2026-09-08</x:v>
      </x:c>
      <x:c r="AE670" s="117" t="str">
        <x:v>MC0667</x:v>
      </x:c>
      <x:c r="AF670" s="117" t="str">
        <x:v>Distinct candidate</x:v>
      </x:c>
      <x:c r="AG670" s="117" t="str"/>
      <x:c r="AH670" s="117" t="str">
        <x:v>Listed by Tourism Malaysia</x:v>
      </x:c>
      <x:c r="AI670" s="117" t="str">
        <x:v>https://ebrochures.malaysia.travel/en/malaysia-travel-guide/sabah/</x:v>
      </x:c>
      <x:c r="AJ670" s="117" t="str">
        <x:v>Named visitor attraction in cited source; state-guide listings can be historical. Locality is catalogue metadata, not a surveyed address. Current operation remains unconfirmed.</x:v>
      </x:c>
      <x:c r="AK670" s="117" t="str">
        <x:v>Not independently confirmed</x:v>
      </x:c>
      <x:c r="AL670" s="117" t="str">
        <x:v>Screened sources; accessibility unresolved</x:v>
      </x:c>
      <x:c r="AM670" s="117" t="str">
        <x:v>2026-09-08</x:v>
      </x:c>
      <x:c r="AN670" s="117"/>
      <x:c r="AO670" s="117"/>
      <x:c r="AP670" s="117" t="str">
        <x:v>No usable pair located; image research pending</x:v>
      </x:c>
      <x:c r="AQ670" s="117"/>
    </x:row>
    <x:row r="671" ht="66" customHeight="1">
      <x:c r="A671" s="117" t="str">
        <x:v>MC0668</x:v>
      </x:c>
      <x:c r="B671" s="117" t="str">
        <x:v>Sandakan Heritage Trail</x:v>
      </x:c>
      <x:c r="C671" s="117" t="str">
        <x:v>Sabah</x:v>
      </x:c>
      <x:c r="D671" s="117" t="str">
        <x:v>Sandakan</x:v>
      </x:c>
      <x:c r="E671" s="117" t="str">
        <x:v>Heritage and Visitor Attraction</x:v>
      </x:c>
      <x:c r="F671" s="117" t="str">
        <x:v>Unclassified</x:v>
      </x:c>
      <x:c r="G671" s="117" t="str">
        <x:v>Both</x:v>
      </x:c>
      <x:c r="H671" s="117" t="str">
        <x:v>Heritage and Visitor Attraction; Sandakan</x:v>
      </x:c>
      <x:c r="I671" s="117" t="str">
        <x:v>A visitor attraction in Sandakan, Sabah, listed in Tourism Malaysia's state travel guide. Venue operation and the precise accessible route require confirmation.</x:v>
      </x:c>
      <x:c r="J671" s="117" t="str">
        <x:v>https://ebrochures.malaysia.travel/en/malaysia-travel-guide/sabah/</x:v>
      </x:c>
      <x:c r="K671" s="117" t="str">
        <x:v>https://ebrochures.malaysia.travel/en/malaysia-travel-guide/sabah/</x:v>
      </x:c>
      <x:c r="L671" s="117" t="str">
        <x:v>Tourism Malaysia listing; operation unconfirmed</x:v>
      </x:c>
      <x:c r="M671" s="117" t="str">
        <x:v>Nationwide expansion 2026-09-08</x:v>
      </x:c>
      <x:c r="N671" s="117"/>
      <x:c r="O671" s="117" t="str">
        <x:v>2026-09-08</x:v>
      </x:c>
      <x:c r="P671" s="117" t="str">
        <x:v>Complete</x:v>
      </x:c>
      <x:c r="Q671" s="117"/>
      <x:c r="R671" s="117" t="str">
        <x:f>IF(J671="","Missing Link",IF(AND(ISNUMBER(SEARCH("google.com/maps",J671)),ISERROR(SEARCH(";",J671))),"Discovery Link Only","Source Link Present"))</x:f>
        <x:v>Source Link Present</x:v>
      </x:c>
      <x:c r="S671" s="117" t="str">
        <x:v>Unknown</x:v>
      </x:c>
      <x:c r="T671" s="117" t="str">
        <x:v>Unknown</x:v>
      </x:c>
      <x:c r="U671" s="117" t="str">
        <x:v>Unknown</x:v>
      </x:c>
      <x:c r="V671" s="117" t="str">
        <x:v>Unknown</x:v>
      </x:c>
      <x:c r="W671" s="117" t="str">
        <x:v>Unknown</x:v>
      </x:c>
      <x:c r="X671" s="117" t="str">
        <x:v>Unknown</x:v>
      </x:c>
      <x:c r="Y671" s="117" t="str">
        <x:v>Unknown</x:v>
      </x:c>
      <x:c r="Z671" s="117"/>
      <x:c r="AA671" s="117" t="str">
        <x:v>Pending evidence</x:v>
      </x:c>
      <x:c r="AB671" s="117"/>
      <x:c r="AC671" s="117" t="str">
        <x:v>No qualifying accessibility conclusion established from the screened sources. This is unknown, not evidence that the attraction is inaccessible.</x:v>
      </x:c>
      <x:c r="AD671" s="117" t="str">
        <x:v>2026-09-08</x:v>
      </x:c>
      <x:c r="AE671" s="117" t="str">
        <x:v>MC0668</x:v>
      </x:c>
      <x:c r="AF671" s="117" t="str">
        <x:v>Distinct candidate</x:v>
      </x:c>
      <x:c r="AG671" s="117" t="str"/>
      <x:c r="AH671" s="117" t="str">
        <x:v>Listed by Tourism Malaysia</x:v>
      </x:c>
      <x:c r="AI671" s="117" t="str">
        <x:v>https://ebrochures.malaysia.travel/en/malaysia-travel-guide/sabah/</x:v>
      </x:c>
      <x:c r="AJ671" s="117" t="str">
        <x:v>Named visitor attraction in cited source; state-guide listings can be historical. Locality is catalogue metadata, not a surveyed address. Current operation remains unconfirmed.</x:v>
      </x:c>
      <x:c r="AK671" s="117" t="str">
        <x:v>Not independently confirmed</x:v>
      </x:c>
      <x:c r="AL671" s="117" t="str">
        <x:v>Screened sources; accessibility unresolved</x:v>
      </x:c>
      <x:c r="AM671" s="117" t="str">
        <x:v>2026-09-08</x:v>
      </x:c>
      <x:c r="AN671" s="117"/>
      <x:c r="AO671" s="117"/>
      <x:c r="AP671" s="117" t="str">
        <x:v>No usable pair located; image research pending</x:v>
      </x:c>
      <x:c r="AQ671" s="117"/>
    </x:row>
    <x:row r="672" ht="66" customHeight="1">
      <x:c r="A672" s="117" t="str">
        <x:v>MC0669</x:v>
      </x:c>
      <x:c r="B672" s="117" t="str">
        <x:v>Museum of Islamic Civilisation Sabah</x:v>
      </x:c>
      <x:c r="C672" s="117" t="str">
        <x:v>Sabah</x:v>
      </x:c>
      <x:c r="D672" s="117" t="str">
        <x:v>Kota Kinabalu</x:v>
      </x:c>
      <x:c r="E672" s="117" t="str">
        <x:v>Museum and Gallery</x:v>
      </x:c>
      <x:c r="F672" s="117" t="str">
        <x:v>Unclassified</x:v>
      </x:c>
      <x:c r="G672" s="117" t="str">
        <x:v>Indoor</x:v>
      </x:c>
      <x:c r="H672" s="117" t="str">
        <x:v>Museum and Gallery; Kota Kinabalu</x:v>
      </x:c>
      <x:c r="I672" s="117" t="str">
        <x:v>A visitor attraction in Kota Kinabalu, Sabah, listed in Tourism Malaysia's state travel guide. Venue operation and the precise accessible route require confirmation.</x:v>
      </x:c>
      <x:c r="J672" s="117" t="str">
        <x:v>https://ebrochures.malaysia.travel/en/malaysia-travel-guide/sabah/</x:v>
      </x:c>
      <x:c r="K672" s="117" t="str">
        <x:v>https://ebrochures.malaysia.travel/en/malaysia-travel-guide/sabah/</x:v>
      </x:c>
      <x:c r="L672" s="117" t="str">
        <x:v>Tourism Malaysia listing; operation unconfirmed</x:v>
      </x:c>
      <x:c r="M672" s="117" t="str">
        <x:v>Nationwide expansion 2026-09-08</x:v>
      </x:c>
      <x:c r="N672" s="117"/>
      <x:c r="O672" s="117" t="str">
        <x:v>2026-09-08</x:v>
      </x:c>
      <x:c r="P672" s="117" t="str">
        <x:v>Complete</x:v>
      </x:c>
      <x:c r="Q672" s="117"/>
      <x:c r="R672" s="117" t="str">
        <x:f>IF(J672="","Missing Link",IF(AND(ISNUMBER(SEARCH("google.com/maps",J672)),ISERROR(SEARCH(";",J672))),"Discovery Link Only","Source Link Present"))</x:f>
        <x:v>Source Link Present</x:v>
      </x:c>
      <x:c r="S672" s="117" t="str">
        <x:v>Unknown</x:v>
      </x:c>
      <x:c r="T672" s="117" t="str">
        <x:v>Unknown</x:v>
      </x:c>
      <x:c r="U672" s="117" t="str">
        <x:v>Unknown</x:v>
      </x:c>
      <x:c r="V672" s="117" t="str">
        <x:v>Unknown</x:v>
      </x:c>
      <x:c r="W672" s="117" t="str">
        <x:v>Unknown</x:v>
      </x:c>
      <x:c r="X672" s="117" t="str">
        <x:v>Unknown</x:v>
      </x:c>
      <x:c r="Y672" s="117" t="str">
        <x:v>Unknown</x:v>
      </x:c>
      <x:c r="Z672" s="117"/>
      <x:c r="AA672" s="117" t="str">
        <x:v>Pending evidence</x:v>
      </x:c>
      <x:c r="AB672" s="117"/>
      <x:c r="AC672" s="117" t="str">
        <x:v>No qualifying accessibility conclusion established from the screened sources. This is unknown, not evidence that the attraction is inaccessible.</x:v>
      </x:c>
      <x:c r="AD672" s="117" t="str">
        <x:v>2026-09-08</x:v>
      </x:c>
      <x:c r="AE672" s="117" t="str">
        <x:v>MC0669</x:v>
      </x:c>
      <x:c r="AF672" s="117" t="str">
        <x:v>Distinct candidate</x:v>
      </x:c>
      <x:c r="AG672" s="117" t="str"/>
      <x:c r="AH672" s="117" t="str">
        <x:v>Listed by Tourism Malaysia</x:v>
      </x:c>
      <x:c r="AI672" s="117" t="str">
        <x:v>https://ebrochures.malaysia.travel/en/malaysia-travel-guide/sabah/</x:v>
      </x:c>
      <x:c r="AJ672" s="117" t="str">
        <x:v>Named visitor attraction in cited source; state-guide listings can be historical. Locality is catalogue metadata, not a surveyed address. Current operation remains unconfirmed.</x:v>
      </x:c>
      <x:c r="AK672" s="117" t="str">
        <x:v>Not independently confirmed</x:v>
      </x:c>
      <x:c r="AL672" s="117" t="str">
        <x:v>Screened sources; accessibility unresolved</x:v>
      </x:c>
      <x:c r="AM672" s="117" t="str">
        <x:v>2026-09-08</x:v>
      </x:c>
      <x:c r="AN672" s="117"/>
      <x:c r="AO672" s="117"/>
      <x:c r="AP672" s="117" t="str">
        <x:v>No usable pair located; image research pending</x:v>
      </x:c>
      <x:c r="AQ672" s="117"/>
    </x:row>
    <x:row r="673" ht="66" customHeight="1">
      <x:c r="A673" s="117" t="str">
        <x:v>MC0670</x:v>
      </x:c>
      <x:c r="B673" s="117" t="str">
        <x:v>Sabah State Mosque</x:v>
      </x:c>
      <x:c r="C673" s="117" t="str">
        <x:v>Sabah</x:v>
      </x:c>
      <x:c r="D673" s="117" t="str">
        <x:v>Kota Kinabalu</x:v>
      </x:c>
      <x:c r="E673" s="117" t="str">
        <x:v>Religious Site</x:v>
      </x:c>
      <x:c r="F673" s="117" t="str">
        <x:v>Unclassified</x:v>
      </x:c>
      <x:c r="G673" s="117" t="str">
        <x:v>Both</x:v>
      </x:c>
      <x:c r="H673" s="117" t="str">
        <x:v>Religious Site; Kota Kinabalu</x:v>
      </x:c>
      <x:c r="I673" s="117" t="str">
        <x:v>A visitor attraction in Kota Kinabalu, Sabah, listed in Tourism Malaysia's state travel guide. Venue operation and the precise accessible route require confirmation.</x:v>
      </x:c>
      <x:c r="J673" s="117" t="str">
        <x:v>https://ebrochures.malaysia.travel/en/malaysia-travel-guide/sabah/</x:v>
      </x:c>
      <x:c r="K673" s="117" t="str">
        <x:v>https://ebrochures.malaysia.travel/en/malaysia-travel-guide/sabah/</x:v>
      </x:c>
      <x:c r="L673" s="117" t="str">
        <x:v>Tourism Malaysia listing; operation unconfirmed</x:v>
      </x:c>
      <x:c r="M673" s="117" t="str">
        <x:v>Nationwide expansion 2026-09-08</x:v>
      </x:c>
      <x:c r="N673" s="117"/>
      <x:c r="O673" s="117" t="str">
        <x:v>2026-09-08</x:v>
      </x:c>
      <x:c r="P673" s="117" t="str">
        <x:v>Complete</x:v>
      </x:c>
      <x:c r="Q673" s="117"/>
      <x:c r="R673" s="117" t="str">
        <x:f>IF(J673="","Missing Link",IF(AND(ISNUMBER(SEARCH("google.com/maps",J673)),ISERROR(SEARCH(";",J673))),"Discovery Link Only","Source Link Present"))</x:f>
        <x:v>Source Link Present</x:v>
      </x:c>
      <x:c r="S673" s="117" t="str">
        <x:v>Unknown</x:v>
      </x:c>
      <x:c r="T673" s="117" t="str">
        <x:v>Unknown</x:v>
      </x:c>
      <x:c r="U673" s="117" t="str">
        <x:v>Unknown</x:v>
      </x:c>
      <x:c r="V673" s="117" t="str">
        <x:v>Unknown</x:v>
      </x:c>
      <x:c r="W673" s="117" t="str">
        <x:v>Unknown</x:v>
      </x:c>
      <x:c r="X673" s="117" t="str">
        <x:v>Unknown</x:v>
      </x:c>
      <x:c r="Y673" s="117" t="str">
        <x:v>Unknown</x:v>
      </x:c>
      <x:c r="Z673" s="117"/>
      <x:c r="AA673" s="117" t="str">
        <x:v>Pending evidence</x:v>
      </x:c>
      <x:c r="AB673" s="117"/>
      <x:c r="AC673" s="117" t="str">
        <x:v>No qualifying accessibility conclusion established from the screened sources. This is unknown, not evidence that the attraction is inaccessible.</x:v>
      </x:c>
      <x:c r="AD673" s="117" t="str">
        <x:v>2026-09-08</x:v>
      </x:c>
      <x:c r="AE673" s="117" t="str">
        <x:v>MC0670</x:v>
      </x:c>
      <x:c r="AF673" s="117" t="str">
        <x:v>Distinct candidate</x:v>
      </x:c>
      <x:c r="AG673" s="117" t="str"/>
      <x:c r="AH673" s="117" t="str">
        <x:v>Listed by Tourism Malaysia</x:v>
      </x:c>
      <x:c r="AI673" s="117" t="str">
        <x:v>https://ebrochures.malaysia.travel/en/malaysia-travel-guide/sabah/</x:v>
      </x:c>
      <x:c r="AJ673" s="117" t="str">
        <x:v>Named visitor attraction in cited source; state-guide listings can be historical. Locality is catalogue metadata, not a surveyed address. Current operation remains unconfirmed.</x:v>
      </x:c>
      <x:c r="AK673" s="117" t="str">
        <x:v>Not independently confirmed</x:v>
      </x:c>
      <x:c r="AL673" s="117" t="str">
        <x:v>Screened sources; accessibility unresolved</x:v>
      </x:c>
      <x:c r="AM673" s="117" t="str">
        <x:v>2026-09-08</x:v>
      </x:c>
      <x:c r="AN673" s="117" t="str">
        <x:v>https://thumb.wikimedia.org/wikipedia/commons/thumb/9/98/KotaKinabalu_Sabah_SabahStateMosque-01.jpg/1280px-KotaKinabalu_Sabah_SabahStateMosque-01.jpg?utm_source=commons.wikimedia.org&amp;utm_campaign=imageinfo&amp;utm_content=thumbnail</x:v>
      </x:c>
      <x:c r="AO673" s="117" t="str">
        <x:v>https://thumb.wikimedia.org/wikipedia/commons/thumb/9/96/KotaKinabalu_Sabah_SabahStateMausoleum-02.jpg/1280px-KotaKinabalu_Sabah_SabahStateMausoleum-02.jpg?utm_source=commons.wikimedia.org&amp;utm_campaign=imageinfo&amp;utm_content=thumbnail</x:v>
      </x:c>
      <x:c r="AP673" s="117" t="str">
        <x:v>2 metadata-matched images; visual review pending</x:v>
      </x:c>
      <x:c r="AQ673" s="117"/>
    </x:row>
    <x:row r="674" ht="66" customHeight="1">
      <x:c r="A674" s="117" t="str">
        <x:v>MC0671</x:v>
      </x:c>
      <x:c r="B674" s="117" t="str">
        <x:v>Tun Mustapha Gallery</x:v>
      </x:c>
      <x:c r="C674" s="117" t="str">
        <x:v>Sabah</x:v>
      </x:c>
      <x:c r="D674" s="117" t="str">
        <x:v>Kota Kinabalu</x:v>
      </x:c>
      <x:c r="E674" s="117" t="str">
        <x:v>Museum and Gallery</x:v>
      </x:c>
      <x:c r="F674" s="117" t="str">
        <x:v>Unclassified</x:v>
      </x:c>
      <x:c r="G674" s="117" t="str">
        <x:v>Indoor</x:v>
      </x:c>
      <x:c r="H674" s="117" t="str">
        <x:v>Museum and Gallery; Kota Kinabalu</x:v>
      </x:c>
      <x:c r="I674" s="117" t="str">
        <x:v>A visitor attraction in Kota Kinabalu, Sabah, listed in Tourism Malaysia's state travel guide. Venue operation and the precise accessible route require confirmation.</x:v>
      </x:c>
      <x:c r="J674" s="117" t="str">
        <x:v>https://ebrochures.malaysia.travel/en/malaysia-travel-guide/sabah/</x:v>
      </x:c>
      <x:c r="K674" s="117" t="str">
        <x:v>https://ebrochures.malaysia.travel/en/malaysia-travel-guide/sabah/</x:v>
      </x:c>
      <x:c r="L674" s="117" t="str">
        <x:v>Tourism Malaysia listing; operation unconfirmed</x:v>
      </x:c>
      <x:c r="M674" s="117" t="str">
        <x:v>Nationwide expansion 2026-09-08</x:v>
      </x:c>
      <x:c r="N674" s="117"/>
      <x:c r="O674" s="117" t="str">
        <x:v>2026-09-08</x:v>
      </x:c>
      <x:c r="P674" s="117" t="str">
        <x:v>Complete</x:v>
      </x:c>
      <x:c r="Q674" s="117"/>
      <x:c r="R674" s="117" t="str">
        <x:f>IF(J674="","Missing Link",IF(AND(ISNUMBER(SEARCH("google.com/maps",J674)),ISERROR(SEARCH(";",J674))),"Discovery Link Only","Source Link Present"))</x:f>
        <x:v>Source Link Present</x:v>
      </x:c>
      <x:c r="S674" s="117" t="str">
        <x:v>Unknown</x:v>
      </x:c>
      <x:c r="T674" s="117" t="str">
        <x:v>Unknown</x:v>
      </x:c>
      <x:c r="U674" s="117" t="str">
        <x:v>Unknown</x:v>
      </x:c>
      <x:c r="V674" s="117" t="str">
        <x:v>Unknown</x:v>
      </x:c>
      <x:c r="W674" s="117" t="str">
        <x:v>Unknown</x:v>
      </x:c>
      <x:c r="X674" s="117" t="str">
        <x:v>Unknown</x:v>
      </x:c>
      <x:c r="Y674" s="117" t="str">
        <x:v>Unknown</x:v>
      </x:c>
      <x:c r="Z674" s="117"/>
      <x:c r="AA674" s="117" t="str">
        <x:v>Pending evidence</x:v>
      </x:c>
      <x:c r="AB674" s="117"/>
      <x:c r="AC674" s="117" t="str">
        <x:v>No qualifying accessibility conclusion established from the screened sources. This is unknown, not evidence that the attraction is inaccessible.</x:v>
      </x:c>
      <x:c r="AD674" s="117" t="str">
        <x:v>2026-09-08</x:v>
      </x:c>
      <x:c r="AE674" s="117" t="str">
        <x:v>MC0671</x:v>
      </x:c>
      <x:c r="AF674" s="117" t="str">
        <x:v>Distinct candidate</x:v>
      </x:c>
      <x:c r="AG674" s="117" t="str"/>
      <x:c r="AH674" s="117" t="str">
        <x:v>Listed by Tourism Malaysia</x:v>
      </x:c>
      <x:c r="AI674" s="117" t="str">
        <x:v>https://ebrochures.malaysia.travel/en/malaysia-travel-guide/sabah/</x:v>
      </x:c>
      <x:c r="AJ674" s="117" t="str">
        <x:v>Named visitor attraction in cited source; state-guide listings can be historical. Locality is catalogue metadata, not a surveyed address. Current operation remains unconfirmed.</x:v>
      </x:c>
      <x:c r="AK674" s="117" t="str">
        <x:v>Not independently confirmed</x:v>
      </x:c>
      <x:c r="AL674" s="117" t="str">
        <x:v>Screened sources; accessibility unresolved</x:v>
      </x:c>
      <x:c r="AM674" s="117" t="str">
        <x:v>2026-09-08</x:v>
      </x:c>
      <x:c r="AN674" s="117" t="str">
        <x:v>https://thumb.wikimedia.org/wikipedia/commons/thumb/4/48/KotaKinabalu_Malaysia_Tun-Mustapha-Tower-01.jpg/1280px-KotaKinabalu_Malaysia_Tun-Mustapha-Tower-01.jpg?utm_source=commons.wikimedia.org&amp;utm_campaign=imageinfo&amp;utm_content=thumbnail</x:v>
      </x:c>
      <x:c r="AO674" s="117"/>
      <x:c r="AP674" s="117" t="str">
        <x:v>1 metadata-matched images; visual review pending</x:v>
      </x:c>
      <x:c r="AQ674" s="117"/>
    </x:row>
    <x:row r="675" ht="66" customHeight="1">
      <x:c r="A675" s="117" t="str">
        <x:v>MC0672</x:v>
      </x:c>
      <x:c r="B675" s="117" t="str">
        <x:v>Menara Tun Mustapha</x:v>
      </x:c>
      <x:c r="C675" s="117" t="str">
        <x:v>Sabah</x:v>
      </x:c>
      <x:c r="D675" s="117" t="str">
        <x:v>Kota Kinabalu</x:v>
      </x:c>
      <x:c r="E675" s="117" t="str">
        <x:v>Heritage and Visitor Attraction</x:v>
      </x:c>
      <x:c r="F675" s="117" t="str">
        <x:v>Unclassified</x:v>
      </x:c>
      <x:c r="G675" s="117" t="str">
        <x:v>Both</x:v>
      </x:c>
      <x:c r="H675" s="117" t="str">
        <x:v>Heritage and Visitor Attraction; Kota Kinabalu</x:v>
      </x:c>
      <x:c r="I675" s="117" t="str">
        <x:v>A visitor attraction in Kota Kinabalu, Sabah, listed in Tourism Malaysia's state travel guide. Venue operation and the precise accessible route require confirmation.</x:v>
      </x:c>
      <x:c r="J675" s="117" t="str">
        <x:v>https://ebrochures.malaysia.travel/en/malaysia-travel-guide/sabah/</x:v>
      </x:c>
      <x:c r="K675" s="117" t="str">
        <x:v>https://ebrochures.malaysia.travel/en/malaysia-travel-guide/sabah/</x:v>
      </x:c>
      <x:c r="L675" s="117" t="str">
        <x:v>Tourism Malaysia listing; operation unconfirmed</x:v>
      </x:c>
      <x:c r="M675" s="117" t="str">
        <x:v>Nationwide expansion 2026-09-08</x:v>
      </x:c>
      <x:c r="N675" s="117"/>
      <x:c r="O675" s="117" t="str">
        <x:v>2026-09-08</x:v>
      </x:c>
      <x:c r="P675" s="117" t="str">
        <x:v>Complete</x:v>
      </x:c>
      <x:c r="Q675" s="117"/>
      <x:c r="R675" s="117" t="str">
        <x:f>IF(J675="","Missing Link",IF(AND(ISNUMBER(SEARCH("google.com/maps",J675)),ISERROR(SEARCH(";",J675))),"Discovery Link Only","Source Link Present"))</x:f>
        <x:v>Source Link Present</x:v>
      </x:c>
      <x:c r="S675" s="117" t="str">
        <x:v>Unknown</x:v>
      </x:c>
      <x:c r="T675" s="117" t="str">
        <x:v>Unknown</x:v>
      </x:c>
      <x:c r="U675" s="117" t="str">
        <x:v>Unknown</x:v>
      </x:c>
      <x:c r="V675" s="117" t="str">
        <x:v>Unknown</x:v>
      </x:c>
      <x:c r="W675" s="117" t="str">
        <x:v>Unknown</x:v>
      </x:c>
      <x:c r="X675" s="117" t="str">
        <x:v>Unknown</x:v>
      </x:c>
      <x:c r="Y675" s="117" t="str">
        <x:v>Unknown</x:v>
      </x:c>
      <x:c r="Z675" s="117"/>
      <x:c r="AA675" s="117" t="str">
        <x:v>Pending evidence</x:v>
      </x:c>
      <x:c r="AB675" s="117"/>
      <x:c r="AC675" s="117" t="str">
        <x:v>No qualifying accessibility conclusion established from the screened sources. This is unknown, not evidence that the attraction is inaccessible.</x:v>
      </x:c>
      <x:c r="AD675" s="117" t="str">
        <x:v>2026-09-08</x:v>
      </x:c>
      <x:c r="AE675" s="117" t="str">
        <x:v>MC0672</x:v>
      </x:c>
      <x:c r="AF675" s="117" t="str">
        <x:v>Distinct candidate</x:v>
      </x:c>
      <x:c r="AG675" s="117" t="str"/>
      <x:c r="AH675" s="117" t="str">
        <x:v>Listed by Tourism Malaysia</x:v>
      </x:c>
      <x:c r="AI675" s="117" t="str">
        <x:v>https://ebrochures.malaysia.travel/en/malaysia-travel-guide/sabah/</x:v>
      </x:c>
      <x:c r="AJ675" s="117" t="str">
        <x:v>Named visitor attraction in cited source; state-guide listings can be historical. Locality is catalogue metadata, not a surveyed address. Current operation remains unconfirmed.</x:v>
      </x:c>
      <x:c r="AK675" s="117" t="str">
        <x:v>Not independently confirmed</x:v>
      </x:c>
      <x:c r="AL675" s="117" t="str">
        <x:v>Screened sources; accessibility unresolved</x:v>
      </x:c>
      <x:c r="AM675" s="117" t="str">
        <x:v>2026-09-08</x:v>
      </x:c>
      <x:c r="AN675" s="117" t="str">
        <x:v>https://thumb.wikimedia.org/wikipedia/commons/thumb/4/48/KotaKinabalu_Malaysia_Tun-Mustapha-Tower-01.jpg/1280px-KotaKinabalu_Malaysia_Tun-Mustapha-Tower-01.jpg?utm_source=commons.wikimedia.org&amp;utm_campaign=imageinfo&amp;utm_content=thumbnail</x:v>
      </x:c>
      <x:c r="AO675" s="117"/>
      <x:c r="AP675" s="117" t="str">
        <x:v>1 metadata-matched images; visual review pending</x:v>
      </x:c>
      <x:c r="AQ675" s="117"/>
    </x:row>
    <x:row r="676" ht="66" customHeight="1">
      <x:c r="A676" s="117" t="str">
        <x:v>MC0673</x:v>
      </x:c>
      <x:c r="B676" s="117" t="str">
        <x:v>Atkinson Clock Tower</x:v>
      </x:c>
      <x:c r="C676" s="117" t="str">
        <x:v>Sabah</x:v>
      </x:c>
      <x:c r="D676" s="117" t="str">
        <x:v>Kota Kinabalu</x:v>
      </x:c>
      <x:c r="E676" s="117" t="str">
        <x:v>Heritage and Visitor Attraction</x:v>
      </x:c>
      <x:c r="F676" s="117" t="str">
        <x:v>Unclassified</x:v>
      </x:c>
      <x:c r="G676" s="117" t="str">
        <x:v>Both</x:v>
      </x:c>
      <x:c r="H676" s="117" t="str">
        <x:v>Heritage and Visitor Attraction; Kota Kinabalu</x:v>
      </x:c>
      <x:c r="I676" s="117" t="str">
        <x:v>A visitor attraction in Kota Kinabalu, Sabah, listed in Tourism Malaysia's state travel guide. Venue operation and the precise accessible route require confirmation.</x:v>
      </x:c>
      <x:c r="J676" s="117" t="str">
        <x:v>https://ebrochures.malaysia.travel/en/malaysia-travel-guide/sabah/</x:v>
      </x:c>
      <x:c r="K676" s="117" t="str">
        <x:v>https://ebrochures.malaysia.travel/en/malaysia-travel-guide/sabah/</x:v>
      </x:c>
      <x:c r="L676" s="117" t="str">
        <x:v>Tourism Malaysia listing; operation unconfirmed</x:v>
      </x:c>
      <x:c r="M676" s="117" t="str">
        <x:v>Nationwide expansion 2026-09-08</x:v>
      </x:c>
      <x:c r="N676" s="117"/>
      <x:c r="O676" s="117" t="str">
        <x:v>2026-09-08</x:v>
      </x:c>
      <x:c r="P676" s="117" t="str">
        <x:v>Complete</x:v>
      </x:c>
      <x:c r="Q676" s="117"/>
      <x:c r="R676" s="117" t="str">
        <x:f>IF(J676="","Missing Link",IF(AND(ISNUMBER(SEARCH("google.com/maps",J676)),ISERROR(SEARCH(";",J676))),"Discovery Link Only","Source Link Present"))</x:f>
        <x:v>Source Link Present</x:v>
      </x:c>
      <x:c r="S676" s="117" t="str">
        <x:v>Unknown</x:v>
      </x:c>
      <x:c r="T676" s="117" t="str">
        <x:v>Unknown</x:v>
      </x:c>
      <x:c r="U676" s="117" t="str">
        <x:v>Unknown</x:v>
      </x:c>
      <x:c r="V676" s="117" t="str">
        <x:v>Unknown</x:v>
      </x:c>
      <x:c r="W676" s="117" t="str">
        <x:v>Unknown</x:v>
      </x:c>
      <x:c r="X676" s="117" t="str">
        <x:v>Unknown</x:v>
      </x:c>
      <x:c r="Y676" s="117" t="str">
        <x:v>Unknown</x:v>
      </x:c>
      <x:c r="Z676" s="117"/>
      <x:c r="AA676" s="117" t="str">
        <x:v>Pending evidence</x:v>
      </x:c>
      <x:c r="AB676" s="117"/>
      <x:c r="AC676" s="117" t="str">
        <x:v>No qualifying accessibility conclusion established from the screened sources. This is unknown, not evidence that the attraction is inaccessible.</x:v>
      </x:c>
      <x:c r="AD676" s="117" t="str">
        <x:v>2026-09-08</x:v>
      </x:c>
      <x:c r="AE676" s="117" t="str">
        <x:v>MC0673</x:v>
      </x:c>
      <x:c r="AF676" s="117" t="str">
        <x:v>Distinct candidate</x:v>
      </x:c>
      <x:c r="AG676" s="117" t="str"/>
      <x:c r="AH676" s="117" t="str">
        <x:v>Listed by Tourism Malaysia</x:v>
      </x:c>
      <x:c r="AI676" s="117" t="str">
        <x:v>https://ebrochures.malaysia.travel/en/malaysia-travel-guide/sabah/</x:v>
      </x:c>
      <x:c r="AJ676" s="117" t="str">
        <x:v>Named visitor attraction in cited source; state-guide listings can be historical. Locality is catalogue metadata, not a surveyed address. Current operation remains unconfirmed.</x:v>
      </x:c>
      <x:c r="AK676" s="117" t="str">
        <x:v>Not independently confirmed</x:v>
      </x:c>
      <x:c r="AL676" s="117" t="str">
        <x:v>Screened sources; accessibility unresolved</x:v>
      </x:c>
      <x:c r="AM676" s="117" t="str">
        <x:v>2026-09-08</x:v>
      </x:c>
      <x:c r="AN676" s="117" t="str">
        <x:v>https://thumb.wikimedia.org/wikipedia/commons/thumb/4/41/AtkinsonClockTower-KotaKinabalu.jpg/1280px-AtkinsonClockTower-KotaKinabalu.jpg?utm_source=commons.wikimedia.org&amp;utm_campaign=imageinfo&amp;utm_content=thumbnail</x:v>
      </x:c>
      <x:c r="AO676" s="117" t="str">
        <x:v>https://upload.wikimedia.org/wikipedia/commons/3/35/Kota_Kinabalu_Atkinson_Clocktower_0002.jpg?utm_source=commons.wikimedia.org&amp;utm_campaign=imageinfo&amp;utm_content=thumbnail_unscaled</x:v>
      </x:c>
      <x:c r="AP676" s="117" t="str">
        <x:v>2 metadata-matched images; visual review pending</x:v>
      </x:c>
      <x:c r="AQ676" s="117"/>
    </x:row>
    <x:row r="677" ht="66" customHeight="1">
      <x:c r="A677" s="117" t="str">
        <x:v>MC0674</x:v>
      </x:c>
      <x:c r="B677" s="117" t="str">
        <x:v>Kota Kinabalu Wetland Centre</x:v>
      </x:c>
      <x:c r="C677" s="117" t="str">
        <x:v>Sabah</x:v>
      </x:c>
      <x:c r="D677" s="117" t="str">
        <x:v>Kota Kinabalu</x:v>
      </x:c>
      <x:c r="E677" s="117" t="str">
        <x:v>Wildlife</x:v>
      </x:c>
      <x:c r="F677" s="117" t="str">
        <x:v>Unclassified</x:v>
      </x:c>
      <x:c r="G677" s="117" t="str">
        <x:v>Outdoor</x:v>
      </x:c>
      <x:c r="H677" s="117" t="str">
        <x:v>Wildlife; Kota Kinabalu</x:v>
      </x:c>
      <x:c r="I677" s="117" t="str">
        <x:v>A visitor attraction in Kota Kinabalu, Sabah, listed in Tourism Malaysia's state travel guide. Venue operation and the precise accessible route require confirmation.</x:v>
      </x:c>
      <x:c r="J677" s="117" t="str">
        <x:v>https://ebrochures.malaysia.travel/en/malaysia-travel-guide/sabah/</x:v>
      </x:c>
      <x:c r="K677" s="117" t="str">
        <x:v>https://ebrochures.malaysia.travel/en/malaysia-travel-guide/sabah/</x:v>
      </x:c>
      <x:c r="L677" s="117" t="str">
        <x:v>Tourism Malaysia listing; operation unconfirmed</x:v>
      </x:c>
      <x:c r="M677" s="117" t="str">
        <x:v>Nationwide expansion 2026-09-08</x:v>
      </x:c>
      <x:c r="N677" s="117"/>
      <x:c r="O677" s="117" t="str">
        <x:v>2026-09-08</x:v>
      </x:c>
      <x:c r="P677" s="117" t="str">
        <x:v>Complete</x:v>
      </x:c>
      <x:c r="Q677" s="117"/>
      <x:c r="R677" s="117" t="str">
        <x:f>IF(J677="","Missing Link",IF(AND(ISNUMBER(SEARCH("google.com/maps",J677)),ISERROR(SEARCH(";",J677))),"Discovery Link Only","Source Link Present"))</x:f>
        <x:v>Source Link Present</x:v>
      </x:c>
      <x:c r="S677" s="117" t="str">
        <x:v>Unknown</x:v>
      </x:c>
      <x:c r="T677" s="117" t="str">
        <x:v>Unknown</x:v>
      </x:c>
      <x:c r="U677" s="117" t="str">
        <x:v>Unknown</x:v>
      </x:c>
      <x:c r="V677" s="117" t="str">
        <x:v>Unknown</x:v>
      </x:c>
      <x:c r="W677" s="117" t="str">
        <x:v>Unknown</x:v>
      </x:c>
      <x:c r="X677" s="117" t="str">
        <x:v>Unknown</x:v>
      </x:c>
      <x:c r="Y677" s="117" t="str">
        <x:v>Unknown</x:v>
      </x:c>
      <x:c r="Z677" s="117"/>
      <x:c r="AA677" s="117" t="str">
        <x:v>Pending evidence</x:v>
      </x:c>
      <x:c r="AB677" s="117"/>
      <x:c r="AC677" s="117" t="str">
        <x:v>No qualifying accessibility conclusion established from the screened sources. This is unknown, not evidence that the attraction is inaccessible.</x:v>
      </x:c>
      <x:c r="AD677" s="117" t="str">
        <x:v>2026-09-08</x:v>
      </x:c>
      <x:c r="AE677" s="117" t="str">
        <x:v>MC0674</x:v>
      </x:c>
      <x:c r="AF677" s="117" t="str">
        <x:v>Distinct candidate</x:v>
      </x:c>
      <x:c r="AG677" s="117" t="str"/>
      <x:c r="AH677" s="117" t="str">
        <x:v>Listed by Tourism Malaysia</x:v>
      </x:c>
      <x:c r="AI677" s="117" t="str">
        <x:v>https://ebrochures.malaysia.travel/en/malaysia-travel-guide/sabah/</x:v>
      </x:c>
      <x:c r="AJ677" s="117" t="str">
        <x:v>Named visitor attraction in cited source; state-guide listings can be historical. Locality is catalogue metadata, not a surveyed address. Current operation remains unconfirmed.</x:v>
      </x:c>
      <x:c r="AK677" s="117" t="str">
        <x:v>Not independently confirmed</x:v>
      </x:c>
      <x:c r="AL677" s="117" t="str">
        <x:v>Screened sources; accessibility unresolved</x:v>
      </x:c>
      <x:c r="AM677" s="117" t="str">
        <x:v>2026-09-08</x:v>
      </x:c>
      <x:c r="AN677" s="117" t="str">
        <x:v>https://upload.wikimedia.org/wikipedia/commons/5/5a/Kota_Kinabalu_Wetlands_4636.jpg?utm_source=commons.wikimedia.org&amp;utm_campaign=imageinfo&amp;utm_content=thumbnail_unscaled</x:v>
      </x:c>
      <x:c r="AO677" s="117" t="str">
        <x:v>https://thumb.wikimedia.org/wikipedia/commons/thumb/a/a8/%E3%82%B3%E3%82%BF%E3%82%AD%E3%83%8A%E3%83%90%E3%83%AB%E3%82%A6%E3%82%A7%E3%83%83%E3%83%88%E3%83%A9%E3%83%B3%E3%83%89%E3%81%AE%E3%83%A9%E3%83%A0%E3%82%B5%E3%83%BC%E3%83%AB%E3%82%B5%E3%82%A4%E3%83%88%E7%99%BB%E9%8C%B2%E6%B9%BF%E5%9C%B0%E3%81%AE%E7%9C%8B%E6%9D%BF.jpg/1280px-%E3%82%B3%E3%82%BF%E3%82%AD%E3%83%8A%E3%83%90%E3%83%AB%E3%82%A6%E3%82%A7%E3%83%83%E3%83%88%E3%83%A9%E3%83%B3%E3%83%89%E3%81%AE%E3%83%A9%E3%83%A0%E3%82%B5%E3%83%BC%E3%83%AB%E3%82%B5%E3%82%A4%E3%83%88%E7%99%BB%E9%8C%B2%E6%B9%BF%E5%9C%B0%E3%81%AE%E7%9C%8B%E6%9D%BF.jpg?utm_source=commons.wikimedia.org&amp;utm_campaign=imageinfo&amp;utm_content=thumbnail</x:v>
      </x:c>
      <x:c r="AP677" s="117" t="str">
        <x:v>2 metadata-matched images; visual review pending</x:v>
      </x:c>
      <x:c r="AQ677" s="117"/>
    </x:row>
    <x:row r="678" ht="66" customHeight="1">
      <x:c r="A678" s="117" t="str">
        <x:v>MC0675</x:v>
      </x:c>
      <x:c r="B678" s="117" t="str">
        <x:v>Petagas War Memorial</x:v>
      </x:c>
      <x:c r="C678" s="117" t="str">
        <x:v>Sabah</x:v>
      </x:c>
      <x:c r="D678" s="117" t="str">
        <x:v>Kota Kinabalu</x:v>
      </x:c>
      <x:c r="E678" s="117" t="str">
        <x:v>Heritage and Visitor Attraction</x:v>
      </x:c>
      <x:c r="F678" s="117" t="str">
        <x:v>Unclassified</x:v>
      </x:c>
      <x:c r="G678" s="117" t="str">
        <x:v>Both</x:v>
      </x:c>
      <x:c r="H678" s="117" t="str">
        <x:v>Heritage and Visitor Attraction; Kota Kinabalu</x:v>
      </x:c>
      <x:c r="I678" s="117" t="str">
        <x:v>A visitor attraction in Kota Kinabalu, Sabah, listed in Tourism Malaysia's state travel guide. Venue operation and the precise accessible route require confirmation.</x:v>
      </x:c>
      <x:c r="J678" s="117" t="str">
        <x:v>https://ebrochures.malaysia.travel/en/malaysia-travel-guide/sabah/</x:v>
      </x:c>
      <x:c r="K678" s="117" t="str">
        <x:v>https://ebrochures.malaysia.travel/en/malaysia-travel-guide/sabah/</x:v>
      </x:c>
      <x:c r="L678" s="117" t="str">
        <x:v>Tourism Malaysia listing; operation unconfirmed</x:v>
      </x:c>
      <x:c r="M678" s="117" t="str">
        <x:v>Nationwide expansion 2026-09-08</x:v>
      </x:c>
      <x:c r="N678" s="117"/>
      <x:c r="O678" s="117" t="str">
        <x:v>2026-09-08</x:v>
      </x:c>
      <x:c r="P678" s="117" t="str">
        <x:v>Complete</x:v>
      </x:c>
      <x:c r="Q678" s="117"/>
      <x:c r="R678" s="117" t="str">
        <x:f>IF(J678="","Missing Link",IF(AND(ISNUMBER(SEARCH("google.com/maps",J678)),ISERROR(SEARCH(";",J678))),"Discovery Link Only","Source Link Present"))</x:f>
        <x:v>Source Link Present</x:v>
      </x:c>
      <x:c r="S678" s="117" t="str">
        <x:v>Unknown</x:v>
      </x:c>
      <x:c r="T678" s="117" t="str">
        <x:v>Unknown</x:v>
      </x:c>
      <x:c r="U678" s="117" t="str">
        <x:v>Unknown</x:v>
      </x:c>
      <x:c r="V678" s="117" t="str">
        <x:v>Unknown</x:v>
      </x:c>
      <x:c r="W678" s="117" t="str">
        <x:v>Unknown</x:v>
      </x:c>
      <x:c r="X678" s="117" t="str">
        <x:v>Unknown</x:v>
      </x:c>
      <x:c r="Y678" s="117" t="str">
        <x:v>Unknown</x:v>
      </x:c>
      <x:c r="Z678" s="117"/>
      <x:c r="AA678" s="117" t="str">
        <x:v>Pending evidence</x:v>
      </x:c>
      <x:c r="AB678" s="117"/>
      <x:c r="AC678" s="117" t="str">
        <x:v>No qualifying accessibility conclusion established from the screened sources. This is unknown, not evidence that the attraction is inaccessible.</x:v>
      </x:c>
      <x:c r="AD678" s="117" t="str">
        <x:v>2026-09-08</x:v>
      </x:c>
      <x:c r="AE678" s="117" t="str">
        <x:v>MC0675</x:v>
      </x:c>
      <x:c r="AF678" s="117" t="str">
        <x:v>Distinct candidate</x:v>
      </x:c>
      <x:c r="AG678" s="117" t="str"/>
      <x:c r="AH678" s="117" t="str">
        <x:v>Listed by Tourism Malaysia</x:v>
      </x:c>
      <x:c r="AI678" s="117" t="str">
        <x:v>https://ebrochures.malaysia.travel/en/malaysia-travel-guide/sabah/</x:v>
      </x:c>
      <x:c r="AJ678" s="117" t="str">
        <x:v>Named visitor attraction in cited source; state-guide listings can be historical. Locality is catalogue metadata, not a surveyed address. Current operation remains unconfirmed.</x:v>
      </x:c>
      <x:c r="AK678" s="117" t="str">
        <x:v>Not independently confirmed</x:v>
      </x:c>
      <x:c r="AL678" s="117" t="str">
        <x:v>Screened sources; accessibility unresolved</x:v>
      </x:c>
      <x:c r="AM678" s="117" t="str">
        <x:v>2026-09-08</x:v>
      </x:c>
      <x:c r="AN678" s="117" t="str">
        <x:v>https://thumb.wikimedia.org/wikipedia/commons/thumb/7/7d/Petagas_Sabah_PetagasWarMemorial-07.jpg/1280px-Petagas_Sabah_PetagasWarMemorial-07.jpg?utm_source=commons.wikimedia.org&amp;utm_campaign=imageinfo&amp;utm_content=thumbnail</x:v>
      </x:c>
      <x:c r="AO678" s="117" t="str">
        <x:v>https://thumb.wikimedia.org/wikipedia/commons/thumb/2/29/Petagas_Sabah_PetagasWarMemorial-15.jpg/1280px-Petagas_Sabah_PetagasWarMemorial-15.jpg?utm_source=commons.wikimedia.org&amp;utm_campaign=imageinfo&amp;utm_content=thumbnail</x:v>
      </x:c>
      <x:c r="AP678" s="117" t="str">
        <x:v>2 metadata-matched images; visual review pending</x:v>
      </x:c>
      <x:c r="AQ678" s="117"/>
    </x:row>
    <x:row r="679" ht="66" customHeight="1">
      <x:c r="A679" s="117" t="str">
        <x:v>MC0676</x:v>
      </x:c>
      <x:c r="B679" s="117" t="str">
        <x:v>Double Six Monument</x:v>
      </x:c>
      <x:c r="C679" s="117" t="str">
        <x:v>Sabah</x:v>
      </x:c>
      <x:c r="D679" s="117" t="str">
        <x:v>Kota Kinabalu</x:v>
      </x:c>
      <x:c r="E679" s="117" t="str">
        <x:v>Heritage and Visitor Attraction</x:v>
      </x:c>
      <x:c r="F679" s="117" t="str">
        <x:v>Unclassified</x:v>
      </x:c>
      <x:c r="G679" s="117" t="str">
        <x:v>Both</x:v>
      </x:c>
      <x:c r="H679" s="117" t="str">
        <x:v>Heritage and Visitor Attraction; Kota Kinabalu</x:v>
      </x:c>
      <x:c r="I679" s="117" t="str">
        <x:v>A visitor attraction in Kota Kinabalu, Sabah, listed in Tourism Malaysia's state travel guide. Venue operation and the precise accessible route require confirmation.</x:v>
      </x:c>
      <x:c r="J679" s="117" t="str">
        <x:v>https://ebrochures.malaysia.travel/en/malaysia-travel-guide/sabah/</x:v>
      </x:c>
      <x:c r="K679" s="117" t="str">
        <x:v>https://ebrochures.malaysia.travel/en/malaysia-travel-guide/sabah/</x:v>
      </x:c>
      <x:c r="L679" s="117" t="str">
        <x:v>Tourism Malaysia listing; operation unconfirmed</x:v>
      </x:c>
      <x:c r="M679" s="117" t="str">
        <x:v>Nationwide expansion 2026-09-08</x:v>
      </x:c>
      <x:c r="N679" s="117"/>
      <x:c r="O679" s="117" t="str">
        <x:v>2026-09-08</x:v>
      </x:c>
      <x:c r="P679" s="117" t="str">
        <x:v>Complete</x:v>
      </x:c>
      <x:c r="Q679" s="117"/>
      <x:c r="R679" s="117" t="str">
        <x:f>IF(J679="","Missing Link",IF(AND(ISNUMBER(SEARCH("google.com/maps",J679)),ISERROR(SEARCH(";",J679))),"Discovery Link Only","Source Link Present"))</x:f>
        <x:v>Source Link Present</x:v>
      </x:c>
      <x:c r="S679" s="117" t="str">
        <x:v>Unknown</x:v>
      </x:c>
      <x:c r="T679" s="117" t="str">
        <x:v>Unknown</x:v>
      </x:c>
      <x:c r="U679" s="117" t="str">
        <x:v>Unknown</x:v>
      </x:c>
      <x:c r="V679" s="117" t="str">
        <x:v>Unknown</x:v>
      </x:c>
      <x:c r="W679" s="117" t="str">
        <x:v>Unknown</x:v>
      </x:c>
      <x:c r="X679" s="117" t="str">
        <x:v>Unknown</x:v>
      </x:c>
      <x:c r="Y679" s="117" t="str">
        <x:v>Unknown</x:v>
      </x:c>
      <x:c r="Z679" s="117"/>
      <x:c r="AA679" s="117" t="str">
        <x:v>Pending evidence</x:v>
      </x:c>
      <x:c r="AB679" s="117"/>
      <x:c r="AC679" s="117" t="str">
        <x:v>No qualifying accessibility conclusion established from the screened sources. This is unknown, not evidence that the attraction is inaccessible.</x:v>
      </x:c>
      <x:c r="AD679" s="117" t="str">
        <x:v>2026-09-08</x:v>
      </x:c>
      <x:c r="AE679" s="117" t="str">
        <x:v>MC0676</x:v>
      </x:c>
      <x:c r="AF679" s="117" t="str">
        <x:v>Distinct candidate</x:v>
      </x:c>
      <x:c r="AG679" s="117" t="str"/>
      <x:c r="AH679" s="117" t="str">
        <x:v>Listed by Tourism Malaysia</x:v>
      </x:c>
      <x:c r="AI679" s="117" t="str">
        <x:v>https://ebrochures.malaysia.travel/en/malaysia-travel-guide/sabah/</x:v>
      </x:c>
      <x:c r="AJ679" s="117" t="str">
        <x:v>Named visitor attraction in cited source; state-guide listings can be historical. Locality is catalogue metadata, not a surveyed address. Current operation remains unconfirmed.</x:v>
      </x:c>
      <x:c r="AK679" s="117" t="str">
        <x:v>Not independently confirmed</x:v>
      </x:c>
      <x:c r="AL679" s="117" t="str">
        <x:v>Screened sources; accessibility unresolved</x:v>
      </x:c>
      <x:c r="AM679" s="117" t="str">
        <x:v>2026-09-08</x:v>
      </x:c>
      <x:c r="AN679" s="117" t="str">
        <x:v>https://thumb.wikimedia.org/wikipedia/commons/thumb/f/f5/KotaKinabalu_Sabah_TuguPeringatan_DoubleSix-1.jpg/1280px-KotaKinabalu_Sabah_TuguPeringatan_DoubleSix-1.jpg?utm_source=commons.wikimedia.org&amp;utm_campaign=imageinfo&amp;utm_content=thumbnail</x:v>
      </x:c>
      <x:c r="AO679" s="117" t="str">
        <x:v>https://thumb.wikimedia.org/wikipedia/commons/thumb/b/b9/KotaKinabalu_Sabah_TuguPeringatan_DoubleSix-2.jpg/1280px-KotaKinabalu_Sabah_TuguPeringatan_DoubleSix-2.jpg?utm_source=commons.wikimedia.org&amp;utm_campaign=imageinfo&amp;utm_content=thumbnail</x:v>
      </x:c>
      <x:c r="AP679" s="117" t="str">
        <x:v>2 metadata-matched images; visual review pending</x:v>
      </x:c>
      <x:c r="AQ679" s="117"/>
    </x:row>
    <x:row r="680" ht="66" customHeight="1">
      <x:c r="A680" s="117" t="str">
        <x:v>MC0677</x:v>
      </x:c>
      <x:c r="B680" s="117" t="str">
        <x:v>St Michael Church Penampang</x:v>
      </x:c>
      <x:c r="C680" s="117" t="str">
        <x:v>Sabah</x:v>
      </x:c>
      <x:c r="D680" s="117" t="str">
        <x:v>Penampang</x:v>
      </x:c>
      <x:c r="E680" s="117" t="str">
        <x:v>Religious Site</x:v>
      </x:c>
      <x:c r="F680" s="117" t="str">
        <x:v>Unclassified</x:v>
      </x:c>
      <x:c r="G680" s="117" t="str">
        <x:v>Both</x:v>
      </x:c>
      <x:c r="H680" s="117" t="str">
        <x:v>Religious Site; Penampang</x:v>
      </x:c>
      <x:c r="I680" s="117" t="str">
        <x:v>A visitor attraction in Penampang, Sabah, listed in Tourism Malaysia's state travel guide. Venue operation and the precise accessible route require confirmation.</x:v>
      </x:c>
      <x:c r="J680" s="117" t="str">
        <x:v>https://ebrochures.malaysia.travel/en/malaysia-travel-guide/sabah/</x:v>
      </x:c>
      <x:c r="K680" s="117" t="str">
        <x:v>https://ebrochures.malaysia.travel/en/malaysia-travel-guide/sabah/</x:v>
      </x:c>
      <x:c r="L680" s="117" t="str">
        <x:v>Tourism Malaysia listing; operation unconfirmed</x:v>
      </x:c>
      <x:c r="M680" s="117" t="str">
        <x:v>Nationwide expansion 2026-09-08</x:v>
      </x:c>
      <x:c r="N680" s="117"/>
      <x:c r="O680" s="117" t="str">
        <x:v>2026-09-08</x:v>
      </x:c>
      <x:c r="P680" s="117" t="str">
        <x:v>Complete</x:v>
      </x:c>
      <x:c r="Q680" s="117"/>
      <x:c r="R680" s="117" t="str">
        <x:f>IF(J680="","Missing Link",IF(AND(ISNUMBER(SEARCH("google.com/maps",J680)),ISERROR(SEARCH(";",J680))),"Discovery Link Only","Source Link Present"))</x:f>
        <x:v>Source Link Present</x:v>
      </x:c>
      <x:c r="S680" s="117" t="str">
        <x:v>Unknown</x:v>
      </x:c>
      <x:c r="T680" s="117" t="str">
        <x:v>Unknown</x:v>
      </x:c>
      <x:c r="U680" s="117" t="str">
        <x:v>Unknown</x:v>
      </x:c>
      <x:c r="V680" s="117" t="str">
        <x:v>Unknown</x:v>
      </x:c>
      <x:c r="W680" s="117" t="str">
        <x:v>Unknown</x:v>
      </x:c>
      <x:c r="X680" s="117" t="str">
        <x:v>Unknown</x:v>
      </x:c>
      <x:c r="Y680" s="117" t="str">
        <x:v>Unknown</x:v>
      </x:c>
      <x:c r="Z680" s="117"/>
      <x:c r="AA680" s="117" t="str">
        <x:v>Pending evidence</x:v>
      </x:c>
      <x:c r="AB680" s="117"/>
      <x:c r="AC680" s="117" t="str">
        <x:v>No qualifying accessibility conclusion established from the screened sources. This is unknown, not evidence that the attraction is inaccessible.</x:v>
      </x:c>
      <x:c r="AD680" s="117" t="str">
        <x:v>2026-09-08</x:v>
      </x:c>
      <x:c r="AE680" s="117" t="str">
        <x:v>MC0677</x:v>
      </x:c>
      <x:c r="AF680" s="117" t="str">
        <x:v>Distinct candidate</x:v>
      </x:c>
      <x:c r="AG680" s="117" t="str"/>
      <x:c r="AH680" s="117" t="str">
        <x:v>Listed by Tourism Malaysia</x:v>
      </x:c>
      <x:c r="AI680" s="117" t="str">
        <x:v>https://ebrochures.malaysia.travel/en/malaysia-travel-guide/sabah/</x:v>
      </x:c>
      <x:c r="AJ680" s="117" t="str">
        <x:v>Named visitor attraction in cited source; state-guide listings can be historical. Locality is catalogue metadata, not a surveyed address. Current operation remains unconfirmed.</x:v>
      </x:c>
      <x:c r="AK680" s="117" t="str">
        <x:v>Not independently confirmed</x:v>
      </x:c>
      <x:c r="AL680" s="117" t="str">
        <x:v>Screened sources; accessibility unresolved</x:v>
      </x:c>
      <x:c r="AM680" s="117" t="str">
        <x:v>2026-09-08</x:v>
      </x:c>
      <x:c r="AN680" s="117"/>
      <x:c r="AO680" s="117"/>
      <x:c r="AP680" s="117" t="str">
        <x:v>No usable pair located; image research pending</x:v>
      </x:c>
      <x:c r="AQ680" s="117"/>
    </x:row>
    <x:row r="681" ht="66" customHeight="1">
      <x:c r="A681" s="117" t="str">
        <x:v>MC0678</x:v>
      </x:c>
      <x:c r="B681" s="117" t="str">
        <x:v>Orchid de Villa</x:v>
      </x:c>
      <x:c r="C681" s="117" t="str">
        <x:v>Sabah</x:v>
      </x:c>
      <x:c r="D681" s="117" t="str">
        <x:v>Inanam</x:v>
      </x:c>
      <x:c r="E681" s="117" t="str">
        <x:v>Heritage and Visitor Attraction</x:v>
      </x:c>
      <x:c r="F681" s="117" t="str">
        <x:v>Unclassified</x:v>
      </x:c>
      <x:c r="G681" s="117" t="str">
        <x:v>Both</x:v>
      </x:c>
      <x:c r="H681" s="117" t="str">
        <x:v>Heritage and Visitor Attraction; Inanam</x:v>
      </x:c>
      <x:c r="I681" s="117" t="str">
        <x:v>A visitor attraction in Inanam, Sabah, listed in Tourism Malaysia's state travel guide. Venue operation and the precise accessible route require confirmation.</x:v>
      </x:c>
      <x:c r="J681" s="117" t="str">
        <x:v>https://ebrochures.malaysia.travel/en/malaysia-travel-guide/sabah/</x:v>
      </x:c>
      <x:c r="K681" s="117" t="str">
        <x:v>https://ebrochures.malaysia.travel/en/malaysia-travel-guide/sabah/</x:v>
      </x:c>
      <x:c r="L681" s="117" t="str">
        <x:v>Tourism Malaysia listing; operation unconfirmed</x:v>
      </x:c>
      <x:c r="M681" s="117" t="str">
        <x:v>Nationwide expansion 2026-09-08</x:v>
      </x:c>
      <x:c r="N681" s="117"/>
      <x:c r="O681" s="117" t="str">
        <x:v>2026-09-08</x:v>
      </x:c>
      <x:c r="P681" s="117" t="str">
        <x:v>Complete</x:v>
      </x:c>
      <x:c r="Q681" s="117"/>
      <x:c r="R681" s="117" t="str">
        <x:f>IF(J681="","Missing Link",IF(AND(ISNUMBER(SEARCH("google.com/maps",J681)),ISERROR(SEARCH(";",J681))),"Discovery Link Only","Source Link Present"))</x:f>
        <x:v>Source Link Present</x:v>
      </x:c>
      <x:c r="S681" s="117" t="str">
        <x:v>Unknown</x:v>
      </x:c>
      <x:c r="T681" s="117" t="str">
        <x:v>Unknown</x:v>
      </x:c>
      <x:c r="U681" s="117" t="str">
        <x:v>Unknown</x:v>
      </x:c>
      <x:c r="V681" s="117" t="str">
        <x:v>Unknown</x:v>
      </x:c>
      <x:c r="W681" s="117" t="str">
        <x:v>Unknown</x:v>
      </x:c>
      <x:c r="X681" s="117" t="str">
        <x:v>Unknown</x:v>
      </x:c>
      <x:c r="Y681" s="117" t="str">
        <x:v>Unknown</x:v>
      </x:c>
      <x:c r="Z681" s="117"/>
      <x:c r="AA681" s="117" t="str">
        <x:v>Pending evidence</x:v>
      </x:c>
      <x:c r="AB681" s="117"/>
      <x:c r="AC681" s="117" t="str">
        <x:v>No qualifying accessibility conclusion established from the screened sources. This is unknown, not evidence that the attraction is inaccessible.</x:v>
      </x:c>
      <x:c r="AD681" s="117" t="str">
        <x:v>2026-09-08</x:v>
      </x:c>
      <x:c r="AE681" s="117" t="str">
        <x:v>MC0678</x:v>
      </x:c>
      <x:c r="AF681" s="117" t="str">
        <x:v>Distinct candidate</x:v>
      </x:c>
      <x:c r="AG681" s="117" t="str"/>
      <x:c r="AH681" s="117" t="str">
        <x:v>Listed by Tourism Malaysia</x:v>
      </x:c>
      <x:c r="AI681" s="117" t="str">
        <x:v>https://ebrochures.malaysia.travel/en/malaysia-travel-guide/sabah/</x:v>
      </x:c>
      <x:c r="AJ681" s="117" t="str">
        <x:v>Named visitor attraction in cited source; state-guide listings can be historical. Locality is catalogue metadata, not a surveyed address. Current operation remains unconfirmed.</x:v>
      </x:c>
      <x:c r="AK681" s="117" t="str">
        <x:v>Not independently confirmed</x:v>
      </x:c>
      <x:c r="AL681" s="117" t="str">
        <x:v>Screened sources; accessibility unresolved</x:v>
      </x:c>
      <x:c r="AM681" s="117" t="str">
        <x:v>2026-09-08</x:v>
      </x:c>
      <x:c r="AN681" s="117"/>
      <x:c r="AO681" s="117"/>
      <x:c r="AP681" s="117" t="str">
        <x:v>No usable pair located; image research pending</x:v>
      </x:c>
      <x:c r="AQ681" s="117"/>
    </x:row>
    <x:row r="682" ht="66" customHeight="1">
      <x:c r="A682" s="117" t="str">
        <x:v>MC0679</x:v>
      </x:c>
      <x:c r="B682" s="117" t="str">
        <x:v>Kionsom Waterfall</x:v>
      </x:c>
      <x:c r="C682" s="117" t="str">
        <x:v>Sabah</x:v>
      </x:c>
      <x:c r="D682" s="117" t="str">
        <x:v>Inanam</x:v>
      </x:c>
      <x:c r="E682" s="117" t="str">
        <x:v>Nature</x:v>
      </x:c>
      <x:c r="F682" s="117" t="str">
        <x:v>Unclassified</x:v>
      </x:c>
      <x:c r="G682" s="117" t="str">
        <x:v>Outdoor</x:v>
      </x:c>
      <x:c r="H682" s="117" t="str">
        <x:v>Nature; Inanam</x:v>
      </x:c>
      <x:c r="I682" s="117" t="str">
        <x:v>A visitor attraction in Inanam, Sabah, listed in Tourism Malaysia's state travel guide. Venue operation and the precise accessible route require confirmation.</x:v>
      </x:c>
      <x:c r="J682" s="117" t="str">
        <x:v>https://ebrochures.malaysia.travel/en/malaysia-travel-guide/sabah/</x:v>
      </x:c>
      <x:c r="K682" s="117" t="str">
        <x:v>https://ebrochures.malaysia.travel/en/malaysia-travel-guide/sabah/</x:v>
      </x:c>
      <x:c r="L682" s="117" t="str">
        <x:v>Tourism Malaysia listing; operation unconfirmed</x:v>
      </x:c>
      <x:c r="M682" s="117" t="str">
        <x:v>Nationwide expansion 2026-09-08</x:v>
      </x:c>
      <x:c r="N682" s="117"/>
      <x:c r="O682" s="117" t="str">
        <x:v>2026-09-08</x:v>
      </x:c>
      <x:c r="P682" s="117" t="str">
        <x:v>Complete</x:v>
      </x:c>
      <x:c r="Q682" s="117"/>
      <x:c r="R682" s="117" t="str">
        <x:f>IF(J682="","Missing Link",IF(AND(ISNUMBER(SEARCH("google.com/maps",J682)),ISERROR(SEARCH(";",J682))),"Discovery Link Only","Source Link Present"))</x:f>
        <x:v>Source Link Present</x:v>
      </x:c>
      <x:c r="S682" s="117" t="str">
        <x:v>Unknown</x:v>
      </x:c>
      <x:c r="T682" s="117" t="str">
        <x:v>Unknown</x:v>
      </x:c>
      <x:c r="U682" s="117" t="str">
        <x:v>Unknown</x:v>
      </x:c>
      <x:c r="V682" s="117" t="str">
        <x:v>Unknown</x:v>
      </x:c>
      <x:c r="W682" s="117" t="str">
        <x:v>Unknown</x:v>
      </x:c>
      <x:c r="X682" s="117" t="str">
        <x:v>Unknown</x:v>
      </x:c>
      <x:c r="Y682" s="117" t="str">
        <x:v>Unknown</x:v>
      </x:c>
      <x:c r="Z682" s="117"/>
      <x:c r="AA682" s="117" t="str">
        <x:v>Pending evidence</x:v>
      </x:c>
      <x:c r="AB682" s="117"/>
      <x:c r="AC682" s="117" t="str">
        <x:v>No qualifying accessibility conclusion established from the screened sources. This is unknown, not evidence that the attraction is inaccessible.</x:v>
      </x:c>
      <x:c r="AD682" s="117" t="str">
        <x:v>2026-09-08</x:v>
      </x:c>
      <x:c r="AE682" s="117" t="str">
        <x:v>MC0679</x:v>
      </x:c>
      <x:c r="AF682" s="117" t="str">
        <x:v>Distinct candidate</x:v>
      </x:c>
      <x:c r="AG682" s="117" t="str"/>
      <x:c r="AH682" s="117" t="str">
        <x:v>Listed by Tourism Malaysia</x:v>
      </x:c>
      <x:c r="AI682" s="117" t="str">
        <x:v>https://ebrochures.malaysia.travel/en/malaysia-travel-guide/sabah/</x:v>
      </x:c>
      <x:c r="AJ682" s="117" t="str">
        <x:v>Named visitor attraction in cited source; state-guide listings can be historical. Locality is catalogue metadata, not a surveyed address. Current operation remains unconfirmed.</x:v>
      </x:c>
      <x:c r="AK682" s="117" t="str">
        <x:v>Not independently confirmed</x:v>
      </x:c>
      <x:c r="AL682" s="117" t="str">
        <x:v>Screened sources; accessibility unresolved</x:v>
      </x:c>
      <x:c r="AM682" s="117" t="str">
        <x:v>2026-09-08</x:v>
      </x:c>
      <x:c r="AN682" s="117"/>
      <x:c r="AO682" s="117"/>
      <x:c r="AP682" s="117" t="str">
        <x:v>No usable pair located; image research pending</x:v>
      </x:c>
      <x:c r="AQ682" s="117"/>
    </x:row>
    <x:row r="683" ht="66" customHeight="1">
      <x:c r="A683" s="117" t="str">
        <x:v>MC0680</x:v>
      </x:c>
      <x:c r="B683" s="117" t="str">
        <x:v>Zip Borneo</x:v>
      </x:c>
      <x:c r="C683" s="117" t="str">
        <x:v>Sabah</x:v>
      </x:c>
      <x:c r="D683" s="117" t="str">
        <x:v>Kiulu</x:v>
      </x:c>
      <x:c r="E683" s="117" t="str">
        <x:v>Heritage and Visitor Attraction</x:v>
      </x:c>
      <x:c r="F683" s="117" t="str">
        <x:v>Unclassified</x:v>
      </x:c>
      <x:c r="G683" s="117" t="str">
        <x:v>Both</x:v>
      </x:c>
      <x:c r="H683" s="117" t="str">
        <x:v>Heritage and Visitor Attraction; Kiulu</x:v>
      </x:c>
      <x:c r="I683" s="117" t="str">
        <x:v>A visitor attraction in Kiulu, Sabah, listed in Tourism Malaysia's state travel guide. Venue operation and the precise accessible route require confirmation.</x:v>
      </x:c>
      <x:c r="J683" s="117" t="str">
        <x:v>https://ebrochures.malaysia.travel/en/malaysia-travel-guide/sabah/</x:v>
      </x:c>
      <x:c r="K683" s="117" t="str">
        <x:v>https://ebrochures.malaysia.travel/en/malaysia-travel-guide/sabah/</x:v>
      </x:c>
      <x:c r="L683" s="117" t="str">
        <x:v>Tourism Malaysia listing; operation unconfirmed</x:v>
      </x:c>
      <x:c r="M683" s="117" t="str">
        <x:v>Nationwide expansion 2026-09-08</x:v>
      </x:c>
      <x:c r="N683" s="117"/>
      <x:c r="O683" s="117" t="str">
        <x:v>2026-09-08</x:v>
      </x:c>
      <x:c r="P683" s="117" t="str">
        <x:v>Complete</x:v>
      </x:c>
      <x:c r="Q683" s="117"/>
      <x:c r="R683" s="117" t="str">
        <x:f>IF(J683="","Missing Link",IF(AND(ISNUMBER(SEARCH("google.com/maps",J683)),ISERROR(SEARCH(";",J683))),"Discovery Link Only","Source Link Present"))</x:f>
        <x:v>Source Link Present</x:v>
      </x:c>
      <x:c r="S683" s="117" t="str">
        <x:v>Unknown</x:v>
      </x:c>
      <x:c r="T683" s="117" t="str">
        <x:v>Unknown</x:v>
      </x:c>
      <x:c r="U683" s="117" t="str">
        <x:v>Unknown</x:v>
      </x:c>
      <x:c r="V683" s="117" t="str">
        <x:v>Unknown</x:v>
      </x:c>
      <x:c r="W683" s="117" t="str">
        <x:v>Unknown</x:v>
      </x:c>
      <x:c r="X683" s="117" t="str">
        <x:v>Unknown</x:v>
      </x:c>
      <x:c r="Y683" s="117" t="str">
        <x:v>Unknown</x:v>
      </x:c>
      <x:c r="Z683" s="117"/>
      <x:c r="AA683" s="117" t="str">
        <x:v>Pending evidence</x:v>
      </x:c>
      <x:c r="AB683" s="117"/>
      <x:c r="AC683" s="117" t="str">
        <x:v>No qualifying accessibility conclusion established from the screened sources. This is unknown, not evidence that the attraction is inaccessible.</x:v>
      </x:c>
      <x:c r="AD683" s="117" t="str">
        <x:v>2026-09-08</x:v>
      </x:c>
      <x:c r="AE683" s="117" t="str">
        <x:v>MC0680</x:v>
      </x:c>
      <x:c r="AF683" s="117" t="str">
        <x:v>Distinct candidate</x:v>
      </x:c>
      <x:c r="AG683" s="117" t="str"/>
      <x:c r="AH683" s="117" t="str">
        <x:v>Listed by Tourism Malaysia</x:v>
      </x:c>
      <x:c r="AI683" s="117" t="str">
        <x:v>https://ebrochures.malaysia.travel/en/malaysia-travel-guide/sabah/</x:v>
      </x:c>
      <x:c r="AJ683" s="117" t="str">
        <x:v>Named visitor attraction in cited source; state-guide listings can be historical. Locality is catalogue metadata, not a surveyed address. Current operation remains unconfirmed.</x:v>
      </x:c>
      <x:c r="AK683" s="117" t="str">
        <x:v>Not independently confirmed</x:v>
      </x:c>
      <x:c r="AL683" s="117" t="str">
        <x:v>Screened sources; accessibility unresolved</x:v>
      </x:c>
      <x:c r="AM683" s="117" t="str">
        <x:v>2026-09-08</x:v>
      </x:c>
      <x:c r="AN683" s="117"/>
      <x:c r="AO683" s="117"/>
      <x:c r="AP683" s="117" t="str">
        <x:v>No usable pair located; image research pending</x:v>
      </x:c>
      <x:c r="AQ683" s="117"/>
    </x:row>
    <x:row r="684" ht="66" customHeight="1">
      <x:c r="A684" s="117" t="str">
        <x:v>MC0681</x:v>
      </x:c>
      <x:c r="B684" s="117" t="str">
        <x:v>Kampung Luanti Fish Massage</x:v>
      </x:c>
      <x:c r="C684" s="117" t="str">
        <x:v>Sabah</x:v>
      </x:c>
      <x:c r="D684" s="117" t="str">
        <x:v>Ranau</x:v>
      </x:c>
      <x:c r="E684" s="117" t="str">
        <x:v>Heritage and Visitor Attraction</x:v>
      </x:c>
      <x:c r="F684" s="117" t="str">
        <x:v>Unclassified</x:v>
      </x:c>
      <x:c r="G684" s="117" t="str">
        <x:v>Both</x:v>
      </x:c>
      <x:c r="H684" s="117" t="str">
        <x:v>Heritage and Visitor Attraction; Ranau</x:v>
      </x:c>
      <x:c r="I684" s="117" t="str">
        <x:v>A visitor attraction in Ranau, Sabah, listed in Tourism Malaysia's state travel guide. Venue operation and the precise accessible route require confirmation.</x:v>
      </x:c>
      <x:c r="J684" s="117" t="str">
        <x:v>https://ebrochures.malaysia.travel/en/malaysia-travel-guide/sabah/</x:v>
      </x:c>
      <x:c r="K684" s="117" t="str">
        <x:v>https://ebrochures.malaysia.travel/en/malaysia-travel-guide/sabah/</x:v>
      </x:c>
      <x:c r="L684" s="117" t="str">
        <x:v>Tourism Malaysia listing; operation unconfirmed</x:v>
      </x:c>
      <x:c r="M684" s="117" t="str">
        <x:v>Nationwide expansion 2026-09-08</x:v>
      </x:c>
      <x:c r="N684" s="117"/>
      <x:c r="O684" s="117" t="str">
        <x:v>2026-09-08</x:v>
      </x:c>
      <x:c r="P684" s="117" t="str">
        <x:v>Complete</x:v>
      </x:c>
      <x:c r="Q684" s="117"/>
      <x:c r="R684" s="117" t="str">
        <x:f>IF(J684="","Missing Link",IF(AND(ISNUMBER(SEARCH("google.com/maps",J684)),ISERROR(SEARCH(";",J684))),"Discovery Link Only","Source Link Present"))</x:f>
        <x:v>Source Link Present</x:v>
      </x:c>
      <x:c r="S684" s="117" t="str">
        <x:v>Unknown</x:v>
      </x:c>
      <x:c r="T684" s="117" t="str">
        <x:v>Unknown</x:v>
      </x:c>
      <x:c r="U684" s="117" t="str">
        <x:v>Unknown</x:v>
      </x:c>
      <x:c r="V684" s="117" t="str">
        <x:v>Unknown</x:v>
      </x:c>
      <x:c r="W684" s="117" t="str">
        <x:v>Unknown</x:v>
      </x:c>
      <x:c r="X684" s="117" t="str">
        <x:v>Unknown</x:v>
      </x:c>
      <x:c r="Y684" s="117" t="str">
        <x:v>Unknown</x:v>
      </x:c>
      <x:c r="Z684" s="117"/>
      <x:c r="AA684" s="117" t="str">
        <x:v>Pending evidence</x:v>
      </x:c>
      <x:c r="AB684" s="117"/>
      <x:c r="AC684" s="117" t="str">
        <x:v>No qualifying accessibility conclusion established from the screened sources. This is unknown, not evidence that the attraction is inaccessible.</x:v>
      </x:c>
      <x:c r="AD684" s="117" t="str">
        <x:v>2026-09-08</x:v>
      </x:c>
      <x:c r="AE684" s="117" t="str">
        <x:v>MC0681</x:v>
      </x:c>
      <x:c r="AF684" s="117" t="str">
        <x:v>Distinct candidate</x:v>
      </x:c>
      <x:c r="AG684" s="117" t="str"/>
      <x:c r="AH684" s="117" t="str">
        <x:v>Listed by Tourism Malaysia</x:v>
      </x:c>
      <x:c r="AI684" s="117" t="str">
        <x:v>https://ebrochures.malaysia.travel/en/malaysia-travel-guide/sabah/</x:v>
      </x:c>
      <x:c r="AJ684" s="117" t="str">
        <x:v>Named visitor attraction in cited source; state-guide listings can be historical. Locality is catalogue metadata, not a surveyed address. Current operation remains unconfirmed.</x:v>
      </x:c>
      <x:c r="AK684" s="117" t="str">
        <x:v>Not independently confirmed</x:v>
      </x:c>
      <x:c r="AL684" s="117" t="str">
        <x:v>Screened sources; accessibility unresolved</x:v>
      </x:c>
      <x:c r="AM684" s="117" t="str">
        <x:v>2026-09-08</x:v>
      </x:c>
      <x:c r="AN684" s="117"/>
      <x:c r="AO684" s="117"/>
      <x:c r="AP684" s="117" t="str">
        <x:v>No usable pair located; image research pending</x:v>
      </x:c>
      <x:c r="AQ684" s="117"/>
    </x:row>
    <x:row r="685" ht="66" customHeight="1">
      <x:c r="A685" s="117" t="str">
        <x:v>MC0682</x:v>
      </x:c>
      <x:c r="B685" s="117" t="str">
        <x:v>Pulau Tiga</x:v>
      </x:c>
      <x:c r="C685" s="117" t="str">
        <x:v>Sabah</x:v>
      </x:c>
      <x:c r="D685" s="117" t="str">
        <x:v>Kuala Penyu</x:v>
      </x:c>
      <x:c r="E685" s="117" t="str">
        <x:v>Beach and Island</x:v>
      </x:c>
      <x:c r="F685" s="117" t="str">
        <x:v>Unclassified</x:v>
      </x:c>
      <x:c r="G685" s="117" t="str">
        <x:v>Outdoor</x:v>
      </x:c>
      <x:c r="H685" s="117" t="str">
        <x:v>Beach and Island; Kuala Penyu</x:v>
      </x:c>
      <x:c r="I685" s="117" t="str">
        <x:v>A visitor attraction in Kuala Penyu, Sabah, listed in Tourism Malaysia's state travel guide. Venue operation and the precise accessible route require confirmation.</x:v>
      </x:c>
      <x:c r="J685" s="117" t="str">
        <x:v>https://ebrochures.malaysia.travel/en/malaysia-travel-guide/sabah/</x:v>
      </x:c>
      <x:c r="K685" s="117" t="str">
        <x:v>https://ebrochures.malaysia.travel/en/malaysia-travel-guide/sabah/</x:v>
      </x:c>
      <x:c r="L685" s="117" t="str">
        <x:v>Tourism Malaysia listing; operation unconfirmed</x:v>
      </x:c>
      <x:c r="M685" s="117" t="str">
        <x:v>Nationwide expansion 2026-09-08</x:v>
      </x:c>
      <x:c r="N685" s="117"/>
      <x:c r="O685" s="117" t="str">
        <x:v>2026-09-08</x:v>
      </x:c>
      <x:c r="P685" s="117" t="str">
        <x:v>Complete</x:v>
      </x:c>
      <x:c r="Q685" s="117"/>
      <x:c r="R685" s="117" t="str">
        <x:f>IF(J685="","Missing Link",IF(AND(ISNUMBER(SEARCH("google.com/maps",J685)),ISERROR(SEARCH(";",J685))),"Discovery Link Only","Source Link Present"))</x:f>
        <x:v>Source Link Present</x:v>
      </x:c>
      <x:c r="S685" s="117" t="str">
        <x:v>Unknown</x:v>
      </x:c>
      <x:c r="T685" s="117" t="str">
        <x:v>Unknown</x:v>
      </x:c>
      <x:c r="U685" s="117" t="str">
        <x:v>Unknown</x:v>
      </x:c>
      <x:c r="V685" s="117" t="str">
        <x:v>Unknown</x:v>
      </x:c>
      <x:c r="W685" s="117" t="str">
        <x:v>Unknown</x:v>
      </x:c>
      <x:c r="X685" s="117" t="str">
        <x:v>Unknown</x:v>
      </x:c>
      <x:c r="Y685" s="117" t="str">
        <x:v>Unknown</x:v>
      </x:c>
      <x:c r="Z685" s="117"/>
      <x:c r="AA685" s="117" t="str">
        <x:v>Pending evidence</x:v>
      </x:c>
      <x:c r="AB685" s="117"/>
      <x:c r="AC685" s="117" t="str">
        <x:v>No qualifying accessibility conclusion established from the screened sources. This is unknown, not evidence that the attraction is inaccessible.</x:v>
      </x:c>
      <x:c r="AD685" s="117" t="str">
        <x:v>2026-09-08</x:v>
      </x:c>
      <x:c r="AE685" s="117" t="str">
        <x:v>MC0682</x:v>
      </x:c>
      <x:c r="AF685" s="117" t="str">
        <x:v>Distinct candidate</x:v>
      </x:c>
      <x:c r="AG685" s="117" t="str"/>
      <x:c r="AH685" s="117" t="str">
        <x:v>Listed by Tourism Malaysia</x:v>
      </x:c>
      <x:c r="AI685" s="117" t="str">
        <x:v>https://ebrochures.malaysia.travel/en/malaysia-travel-guide/sabah/</x:v>
      </x:c>
      <x:c r="AJ685" s="117" t="str">
        <x:v>Named visitor attraction in cited source; state-guide listings can be historical. Locality is catalogue metadata, not a surveyed address. Current operation remains unconfirmed.</x:v>
      </x:c>
      <x:c r="AK685" s="117" t="str">
        <x:v>Not independently confirmed</x:v>
      </x:c>
      <x:c r="AL685" s="117" t="str">
        <x:v>Screened sources; accessibility unresolved</x:v>
      </x:c>
      <x:c r="AM685" s="117" t="str">
        <x:v>2026-09-08</x:v>
      </x:c>
      <x:c r="AN685" s="117" t="str">
        <x:v>https://thumb.wikimedia.org/wikipedia/commons/thumb/8/82/Tiga_Beach_Tree.jpg/1280px-Tiga_Beach_Tree.jpg?utm_source=commons.wikimedia.org&amp;utm_campaign=imageinfo&amp;utm_content=thumbnail</x:v>
      </x:c>
      <x:c r="AO685" s="117" t="str">
        <x:v>https://thumb.wikimedia.org/wikipedia/commons/thumb/a/a1/Desa_Setumuk_Pulau_Tiga%2C_Natuna.jpg/1280px-Desa_Setumuk_Pulau_Tiga%2C_Natuna.jpg?utm_source=commons.wikimedia.org&amp;utm_campaign=imageinfo&amp;utm_content=thumbnail</x:v>
      </x:c>
      <x:c r="AP685" s="117" t="str">
        <x:v>2 metadata-matched images; visual review pending</x:v>
      </x:c>
      <x:c r="AQ685" s="117"/>
    </x:row>
    <x:row r="686" ht="66" customHeight="1">
      <x:c r="A686" s="117" t="str">
        <x:v>MC0683</x:v>
      </x:c>
      <x:c r="B686" s="117" t="str">
        <x:v>Darul Hana Musical Fountain</x:v>
      </x:c>
      <x:c r="C686" s="117" t="str">
        <x:v>Sarawak</x:v>
      </x:c>
      <x:c r="D686" s="117" t="str">
        <x:v>Kuching</x:v>
      </x:c>
      <x:c r="E686" s="117" t="str">
        <x:v>Heritage and Visitor Attraction</x:v>
      </x:c>
      <x:c r="F686" s="117" t="str">
        <x:v>Unclassified</x:v>
      </x:c>
      <x:c r="G686" s="117" t="str">
        <x:v>Both</x:v>
      </x:c>
      <x:c r="H686" s="117" t="str">
        <x:v>Heritage and Visitor Attraction; Kuching</x:v>
      </x:c>
      <x:c r="I686" s="117" t="str">
        <x:v>A visitor attraction in Kuching, Sarawak, listed in Tourism Malaysia's state travel guide. Venue operation and the precise accessible route require confirmation.</x:v>
      </x:c>
      <x:c r="J686" s="117" t="str">
        <x:v>https://ebrochures.malaysia.travel/en/malaysia-travel-guide/sarawak/</x:v>
      </x:c>
      <x:c r="K686" s="117" t="str">
        <x:v>https://ebrochures.malaysia.travel/en/malaysia-travel-guide/sarawak/</x:v>
      </x:c>
      <x:c r="L686" s="117" t="str">
        <x:v>Tourism Malaysia listing; operation unconfirmed</x:v>
      </x:c>
      <x:c r="M686" s="117" t="str">
        <x:v>Nationwide expansion 2026-09-08</x:v>
      </x:c>
      <x:c r="N686" s="117"/>
      <x:c r="O686" s="117" t="str">
        <x:v>2026-09-08</x:v>
      </x:c>
      <x:c r="P686" s="117" t="str">
        <x:v>Complete</x:v>
      </x:c>
      <x:c r="Q686" s="117"/>
      <x:c r="R686" s="117" t="str">
        <x:f>IF(J686="","Missing Link",IF(AND(ISNUMBER(SEARCH("google.com/maps",J686)),ISERROR(SEARCH(";",J686))),"Discovery Link Only","Source Link Present"))</x:f>
        <x:v>Source Link Present</x:v>
      </x:c>
      <x:c r="S686" s="117" t="str">
        <x:v>Unknown</x:v>
      </x:c>
      <x:c r="T686" s="117" t="str">
        <x:v>Unknown</x:v>
      </x:c>
      <x:c r="U686" s="117" t="str">
        <x:v>Unknown</x:v>
      </x:c>
      <x:c r="V686" s="117" t="str">
        <x:v>Unknown</x:v>
      </x:c>
      <x:c r="W686" s="117" t="str">
        <x:v>Unknown</x:v>
      </x:c>
      <x:c r="X686" s="117" t="str">
        <x:v>Unknown</x:v>
      </x:c>
      <x:c r="Y686" s="117" t="str">
        <x:v>Unknown</x:v>
      </x:c>
      <x:c r="Z686" s="117"/>
      <x:c r="AA686" s="117" t="str">
        <x:v>Pending evidence</x:v>
      </x:c>
      <x:c r="AB686" s="117"/>
      <x:c r="AC686" s="117" t="str">
        <x:v>No qualifying accessibility conclusion established from the screened sources. This is unknown, not evidence that the attraction is inaccessible.</x:v>
      </x:c>
      <x:c r="AD686" s="117" t="str">
        <x:v>2026-09-08</x:v>
      </x:c>
      <x:c r="AE686" s="117" t="str">
        <x:v>MC0683</x:v>
      </x:c>
      <x:c r="AF686" s="117" t="str">
        <x:v>Distinct candidate</x:v>
      </x:c>
      <x:c r="AG686" s="117" t="str"/>
      <x:c r="AH686" s="117" t="str">
        <x:v>Listed by Tourism Malaysia</x:v>
      </x:c>
      <x:c r="AI686" s="117" t="str">
        <x:v>https://ebrochures.malaysia.travel/en/malaysia-travel-guide/sarawak/</x:v>
      </x:c>
      <x:c r="AJ686" s="117" t="str">
        <x:v>Named visitor attraction in cited source; state-guide listings can be historical. Locality is catalogue metadata, not a surveyed address. Current operation remains unconfirmed.</x:v>
      </x:c>
      <x:c r="AK686" s="117" t="str">
        <x:v>Not independently confirmed</x:v>
      </x:c>
      <x:c r="AL686" s="117" t="str">
        <x:v>Screened sources; accessibility unresolved</x:v>
      </x:c>
      <x:c r="AM686" s="117" t="str">
        <x:v>2026-09-08</x:v>
      </x:c>
      <x:c r="AN686" s="117" t="str">
        <x:v>https://thumb.wikimedia.org/wikipedia/commons/thumb/e/e5/Darul_Hana_musical_fountain_in_front_of_the_state_assembly_building_projecting_a_picture_of_James_Brooke.jpg/1280px-Darul_Hana_musical_fountain_in_front_of_the_state_assembly_building_projecting_a_picture_of_James_Brooke.jpg?utm_source=commons.wikimedia.org&amp;utm_campaign=imageinfo&amp;utm_content=thumbnail</x:v>
      </x:c>
      <x:c r="AO686" s="117" t="str">
        <x:v>https://thumb.wikimedia.org/wikipedia/commons/thumb/6/6c/Darul_Hana_musical_fountain_in_front_of_the_state_assembly_building2.jpg/1280px-Darul_Hana_musical_fountain_in_front_of_the_state_assembly_building2.jpg?utm_source=commons.wikimedia.org&amp;utm_campaign=imageinfo&amp;utm_content=thumbnail</x:v>
      </x:c>
      <x:c r="AP686" s="117" t="str">
        <x:v>2 metadata-matched images; visual review pending</x:v>
      </x:c>
      <x:c r="AQ686" s="117"/>
    </x:row>
    <x:row r="687" ht="66" customHeight="1">
      <x:c r="A687" s="117" t="str">
        <x:v>MC0684</x:v>
      </x:c>
      <x:c r="B687" s="117" t="str">
        <x:v>Kuching Floating Mosque</x:v>
      </x:c>
      <x:c r="C687" s="117" t="str">
        <x:v>Sarawak</x:v>
      </x:c>
      <x:c r="D687" s="117" t="str">
        <x:v>Kuching</x:v>
      </x:c>
      <x:c r="E687" s="117" t="str">
        <x:v>Religious Site</x:v>
      </x:c>
      <x:c r="F687" s="117" t="str">
        <x:v>Unclassified</x:v>
      </x:c>
      <x:c r="G687" s="117" t="str">
        <x:v>Both</x:v>
      </x:c>
      <x:c r="H687" s="117" t="str">
        <x:v>Religious Site; Kuching</x:v>
      </x:c>
      <x:c r="I687" s="117" t="str">
        <x:v>A visitor attraction in Kuching, Sarawak, listed in Tourism Malaysia's state travel guide. Venue operation and the precise accessible route require confirmation.</x:v>
      </x:c>
      <x:c r="J687" s="117" t="str">
        <x:v>https://ebrochures.malaysia.travel/en/malaysia-travel-guide/sarawak/</x:v>
      </x:c>
      <x:c r="K687" s="117" t="str">
        <x:v>https://ebrochures.malaysia.travel/en/malaysia-travel-guide/sarawak/</x:v>
      </x:c>
      <x:c r="L687" s="117" t="str">
        <x:v>Tourism Malaysia listing; operation unconfirmed</x:v>
      </x:c>
      <x:c r="M687" s="117" t="str">
        <x:v>Nationwide expansion 2026-09-08</x:v>
      </x:c>
      <x:c r="N687" s="117"/>
      <x:c r="O687" s="117" t="str">
        <x:v>2026-09-08</x:v>
      </x:c>
      <x:c r="P687" s="117" t="str">
        <x:v>Complete</x:v>
      </x:c>
      <x:c r="Q687" s="117"/>
      <x:c r="R687" s="117" t="str">
        <x:f>IF(J687="","Missing Link",IF(AND(ISNUMBER(SEARCH("google.com/maps",J687)),ISERROR(SEARCH(";",J687))),"Discovery Link Only","Source Link Present"))</x:f>
        <x:v>Source Link Present</x:v>
      </x:c>
      <x:c r="S687" s="117" t="str">
        <x:v>Unknown</x:v>
      </x:c>
      <x:c r="T687" s="117" t="str">
        <x:v>Unknown</x:v>
      </x:c>
      <x:c r="U687" s="117" t="str">
        <x:v>Unknown</x:v>
      </x:c>
      <x:c r="V687" s="117" t="str">
        <x:v>Unknown</x:v>
      </x:c>
      <x:c r="W687" s="117" t="str">
        <x:v>Unknown</x:v>
      </x:c>
      <x:c r="X687" s="117" t="str">
        <x:v>Unknown</x:v>
      </x:c>
      <x:c r="Y687" s="117" t="str">
        <x:v>Unknown</x:v>
      </x:c>
      <x:c r="Z687" s="117"/>
      <x:c r="AA687" s="117" t="str">
        <x:v>Pending evidence</x:v>
      </x:c>
      <x:c r="AB687" s="117"/>
      <x:c r="AC687" s="117" t="str">
        <x:v>No qualifying accessibility conclusion established from the screened sources. This is unknown, not evidence that the attraction is inaccessible.</x:v>
      </x:c>
      <x:c r="AD687" s="117" t="str">
        <x:v>2026-09-08</x:v>
      </x:c>
      <x:c r="AE687" s="117" t="str">
        <x:v>MC0684</x:v>
      </x:c>
      <x:c r="AF687" s="117" t="str">
        <x:v>Distinct candidate</x:v>
      </x:c>
      <x:c r="AG687" s="117" t="str"/>
      <x:c r="AH687" s="117" t="str">
        <x:v>Listed by Tourism Malaysia</x:v>
      </x:c>
      <x:c r="AI687" s="117" t="str">
        <x:v>https://ebrochures.malaysia.travel/en/malaysia-travel-guide/sarawak/</x:v>
      </x:c>
      <x:c r="AJ687" s="117" t="str">
        <x:v>Named visitor attraction in cited source; state-guide listings can be historical. Locality is catalogue metadata, not a surveyed address. Current operation remains unconfirmed.</x:v>
      </x:c>
      <x:c r="AK687" s="117" t="str">
        <x:v>Not independently confirmed</x:v>
      </x:c>
      <x:c r="AL687" s="117" t="str">
        <x:v>Screened sources; accessibility unresolved</x:v>
      </x:c>
      <x:c r="AM687" s="117" t="str">
        <x:v>2026-09-08</x:v>
      </x:c>
      <x:c r="AN687" s="117"/>
      <x:c r="AO687" s="117"/>
      <x:c r="AP687" s="117" t="str">
        <x:v>No usable pair located; image research pending</x:v>
      </x:c>
      <x:c r="AQ687" s="117"/>
    </x:row>
    <x:row r="688" ht="66" customHeight="1">
      <x:c r="A688" s="117" t="str">
        <x:v>MC0685</x:v>
      </x:c>
      <x:c r="B688" s="117" t="str">
        <x:v>Sarawak River Cruise</x:v>
      </x:c>
      <x:c r="C688" s="117" t="str">
        <x:v>Sarawak</x:v>
      </x:c>
      <x:c r="D688" s="117" t="str">
        <x:v>Kuching</x:v>
      </x:c>
      <x:c r="E688" s="117" t="str">
        <x:v>Scenic Transport</x:v>
      </x:c>
      <x:c r="F688" s="117" t="str">
        <x:v>Unclassified</x:v>
      </x:c>
      <x:c r="G688" s="117" t="str">
        <x:v>Both</x:v>
      </x:c>
      <x:c r="H688" s="117" t="str">
        <x:v>Scenic Transport; Kuching</x:v>
      </x:c>
      <x:c r="I688" s="117" t="str">
        <x:v>A visitor attraction in Kuching, Sarawak, listed in Tourism Malaysia's state travel guide. Venue operation and the precise accessible route require confirmation.</x:v>
      </x:c>
      <x:c r="J688" s="117" t="str">
        <x:v>https://ebrochures.malaysia.travel/en/malaysia-travel-guide/sarawak/</x:v>
      </x:c>
      <x:c r="K688" s="117" t="str">
        <x:v>https://ebrochures.malaysia.travel/en/malaysia-travel-guide/sarawak/</x:v>
      </x:c>
      <x:c r="L688" s="117" t="str">
        <x:v>Tourism Malaysia listing; operation unconfirmed</x:v>
      </x:c>
      <x:c r="M688" s="117" t="str">
        <x:v>Nationwide expansion 2026-09-08</x:v>
      </x:c>
      <x:c r="N688" s="117"/>
      <x:c r="O688" s="117" t="str">
        <x:v>2026-09-08</x:v>
      </x:c>
      <x:c r="P688" s="117" t="str">
        <x:v>Complete</x:v>
      </x:c>
      <x:c r="Q688" s="117"/>
      <x:c r="R688" s="117" t="str">
        <x:f>IF(J688="","Missing Link",IF(AND(ISNUMBER(SEARCH("google.com/maps",J688)),ISERROR(SEARCH(";",J688))),"Discovery Link Only","Source Link Present"))</x:f>
        <x:v>Source Link Present</x:v>
      </x:c>
      <x:c r="S688" s="117" t="str">
        <x:v>Unknown</x:v>
      </x:c>
      <x:c r="T688" s="117" t="str">
        <x:v>Unknown</x:v>
      </x:c>
      <x:c r="U688" s="117" t="str">
        <x:v>Unknown</x:v>
      </x:c>
      <x:c r="V688" s="117" t="str">
        <x:v>Unknown</x:v>
      </x:c>
      <x:c r="W688" s="117" t="str">
        <x:v>Unknown</x:v>
      </x:c>
      <x:c r="X688" s="117" t="str">
        <x:v>Unknown</x:v>
      </x:c>
      <x:c r="Y688" s="117" t="str">
        <x:v>Unknown</x:v>
      </x:c>
      <x:c r="Z688" s="117"/>
      <x:c r="AA688" s="117" t="str">
        <x:v>Pending evidence</x:v>
      </x:c>
      <x:c r="AB688" s="117"/>
      <x:c r="AC688" s="117" t="str">
        <x:v>No qualifying accessibility conclusion established from the screened sources. This is unknown, not evidence that the attraction is inaccessible.</x:v>
      </x:c>
      <x:c r="AD688" s="117" t="str">
        <x:v>2026-09-08</x:v>
      </x:c>
      <x:c r="AE688" s="117" t="str">
        <x:v>MC0685</x:v>
      </x:c>
      <x:c r="AF688" s="117" t="str">
        <x:v>Distinct candidate</x:v>
      </x:c>
      <x:c r="AG688" s="117" t="str"/>
      <x:c r="AH688" s="117" t="str">
        <x:v>Listed by Tourism Malaysia</x:v>
      </x:c>
      <x:c r="AI688" s="117" t="str">
        <x:v>https://ebrochures.malaysia.travel/en/malaysia-travel-guide/sarawak/</x:v>
      </x:c>
      <x:c r="AJ688" s="117" t="str">
        <x:v>Named visitor attraction in cited source; state-guide listings can be historical. Locality is catalogue metadata, not a surveyed address. Current operation remains unconfirmed.</x:v>
      </x:c>
      <x:c r="AK688" s="117" t="str">
        <x:v>Not independently confirmed</x:v>
      </x:c>
      <x:c r="AL688" s="117" t="str">
        <x:v>Screened sources; accessibility unresolved</x:v>
      </x:c>
      <x:c r="AM688" s="117" t="str">
        <x:v>2026-09-08</x:v>
      </x:c>
      <x:c r="AN688" s="117" t="str">
        <x:v>https://thumb.wikimedia.org/wikipedia/commons/thumb/1/12/Abdul_Taib_Mahmud%27s_private_residence.jpg/1280px-Abdul_Taib_Mahmud%27s_private_residence.jpg?utm_source=commons.wikimedia.org&amp;utm_campaign=imageinfo&amp;utm_content=thumbnail</x:v>
      </x:c>
      <x:c r="AO688" s="117"/>
      <x:c r="AP688" s="117" t="str">
        <x:v>1 metadata-matched images; visual review pending</x:v>
      </x:c>
      <x:c r="AQ688" s="117"/>
    </x:row>
    <x:row r="689" ht="66" customHeight="1">
      <x:c r="A689" s="117" t="str">
        <x:v>MC0686</x:v>
      </x:c>
      <x:c r="B689" s="117" t="str">
        <x:v>Tua Pek Kong Temple Kuching</x:v>
      </x:c>
      <x:c r="C689" s="117" t="str">
        <x:v>Sarawak</x:v>
      </x:c>
      <x:c r="D689" s="117" t="str">
        <x:v>Kuching</x:v>
      </x:c>
      <x:c r="E689" s="117" t="str">
        <x:v>Religious Site</x:v>
      </x:c>
      <x:c r="F689" s="117" t="str">
        <x:v>Unclassified</x:v>
      </x:c>
      <x:c r="G689" s="117" t="str">
        <x:v>Both</x:v>
      </x:c>
      <x:c r="H689" s="117" t="str">
        <x:v>Religious Site; Kuching</x:v>
      </x:c>
      <x:c r="I689" s="117" t="str">
        <x:v>A visitor attraction in Kuching, Sarawak, listed in Tourism Malaysia's state travel guide. Venue operation and the precise accessible route require confirmation.</x:v>
      </x:c>
      <x:c r="J689" s="117" t="str">
        <x:v>https://ebrochures.malaysia.travel/en/malaysia-travel-guide/sarawak/</x:v>
      </x:c>
      <x:c r="K689" s="117" t="str">
        <x:v>https://ebrochures.malaysia.travel/en/malaysia-travel-guide/sarawak/</x:v>
      </x:c>
      <x:c r="L689" s="117" t="str">
        <x:v>Tourism Malaysia listing; operation unconfirmed</x:v>
      </x:c>
      <x:c r="M689" s="117" t="str">
        <x:v>Nationwide expansion 2026-09-08</x:v>
      </x:c>
      <x:c r="N689" s="117"/>
      <x:c r="O689" s="117" t="str">
        <x:v>2026-09-08</x:v>
      </x:c>
      <x:c r="P689" s="117" t="str">
        <x:v>Complete</x:v>
      </x:c>
      <x:c r="Q689" s="117"/>
      <x:c r="R689" s="117" t="str">
        <x:f>IF(J689="","Missing Link",IF(AND(ISNUMBER(SEARCH("google.com/maps",J689)),ISERROR(SEARCH(";",J689))),"Discovery Link Only","Source Link Present"))</x:f>
        <x:v>Source Link Present</x:v>
      </x:c>
      <x:c r="S689" s="117" t="str">
        <x:v>Unknown</x:v>
      </x:c>
      <x:c r="T689" s="117" t="str">
        <x:v>Unknown</x:v>
      </x:c>
      <x:c r="U689" s="117" t="str">
        <x:v>Unknown</x:v>
      </x:c>
      <x:c r="V689" s="117" t="str">
        <x:v>Unknown</x:v>
      </x:c>
      <x:c r="W689" s="117" t="str">
        <x:v>Unknown</x:v>
      </x:c>
      <x:c r="X689" s="117" t="str">
        <x:v>Unknown</x:v>
      </x:c>
      <x:c r="Y689" s="117" t="str">
        <x:v>Unknown</x:v>
      </x:c>
      <x:c r="Z689" s="117"/>
      <x:c r="AA689" s="117" t="str">
        <x:v>Pending evidence</x:v>
      </x:c>
      <x:c r="AB689" s="117"/>
      <x:c r="AC689" s="117" t="str">
        <x:v>No qualifying accessibility conclusion established from the screened sources. This is unknown, not evidence that the attraction is inaccessible.</x:v>
      </x:c>
      <x:c r="AD689" s="117" t="str">
        <x:v>2026-09-08</x:v>
      </x:c>
      <x:c r="AE689" s="117" t="str">
        <x:v>MC0686</x:v>
      </x:c>
      <x:c r="AF689" s="117" t="str">
        <x:v>Distinct candidate</x:v>
      </x:c>
      <x:c r="AG689" s="117" t="str"/>
      <x:c r="AH689" s="117" t="str">
        <x:v>Listed by Tourism Malaysia</x:v>
      </x:c>
      <x:c r="AI689" s="117" t="str">
        <x:v>https://ebrochures.malaysia.travel/en/malaysia-travel-guide/sarawak/</x:v>
      </x:c>
      <x:c r="AJ689" s="117" t="str">
        <x:v>Named visitor attraction in cited source; state-guide listings can be historical. Locality is catalogue metadata, not a surveyed address. Current operation remains unconfirmed.</x:v>
      </x:c>
      <x:c r="AK689" s="117" t="str">
        <x:v>Not independently confirmed</x:v>
      </x:c>
      <x:c r="AL689" s="117" t="str">
        <x:v>Screened sources; accessibility unresolved</x:v>
      </x:c>
      <x:c r="AM689" s="117" t="str">
        <x:v>2026-09-08</x:v>
      </x:c>
      <x:c r="AN689" s="117" t="str">
        <x:v>https://upload.wikimedia.org/wikipedia/commons/7/7b/Tua_Pek_Kong%2C_Kuching.jpg?utm_source=commons.wikimedia.org&amp;utm_campaign=imageinfo&amp;utm_content=thumbnail_unscaled</x:v>
      </x:c>
      <x:c r="AO689" s="117"/>
      <x:c r="AP689" s="117" t="str">
        <x:v>1 metadata-matched images; visual review pending</x:v>
      </x:c>
      <x:c r="AQ689" s="117"/>
    </x:row>
    <x:row r="690" ht="66" customHeight="1">
      <x:c r="A690" s="117" t="str">
        <x:v>MC0687</x:v>
      </x:c>
      <x:c r="B690" s="117" t="str">
        <x:v>Chinese History Museum</x:v>
      </x:c>
      <x:c r="C690" s="117" t="str">
        <x:v>Sarawak</x:v>
      </x:c>
      <x:c r="D690" s="117" t="str">
        <x:v>Kuching</x:v>
      </x:c>
      <x:c r="E690" s="117" t="str">
        <x:v>Museum and Gallery</x:v>
      </x:c>
      <x:c r="F690" s="117" t="str">
        <x:v>Unclassified</x:v>
      </x:c>
      <x:c r="G690" s="117" t="str">
        <x:v>Indoor</x:v>
      </x:c>
      <x:c r="H690" s="117" t="str">
        <x:v>Museum and Gallery; Kuching</x:v>
      </x:c>
      <x:c r="I690" s="117" t="str">
        <x:v>A visitor attraction in Kuching, Sarawak, listed in Tourism Malaysia's state travel guide. Venue operation and the precise accessible route require confirmation.</x:v>
      </x:c>
      <x:c r="J690" s="117" t="str">
        <x:v>https://ebrochures.malaysia.travel/en/malaysia-travel-guide/sarawak/</x:v>
      </x:c>
      <x:c r="K690" s="117" t="str">
        <x:v>https://ebrochures.malaysia.travel/en/malaysia-travel-guide/sarawak/</x:v>
      </x:c>
      <x:c r="L690" s="117" t="str">
        <x:v>Tourism Malaysia listing; operation unconfirmed</x:v>
      </x:c>
      <x:c r="M690" s="117" t="str">
        <x:v>Nationwide expansion 2026-09-08</x:v>
      </x:c>
      <x:c r="N690" s="117"/>
      <x:c r="O690" s="117" t="str">
        <x:v>2026-09-08</x:v>
      </x:c>
      <x:c r="P690" s="117" t="str">
        <x:v>Complete</x:v>
      </x:c>
      <x:c r="Q690" s="117"/>
      <x:c r="R690" s="117" t="str">
        <x:f>IF(J690="","Missing Link",IF(AND(ISNUMBER(SEARCH("google.com/maps",J690)),ISERROR(SEARCH(";",J690))),"Discovery Link Only","Source Link Present"))</x:f>
        <x:v>Source Link Present</x:v>
      </x:c>
      <x:c r="S690" s="117" t="str">
        <x:v>Unknown</x:v>
      </x:c>
      <x:c r="T690" s="117" t="str">
        <x:v>Unknown</x:v>
      </x:c>
      <x:c r="U690" s="117" t="str">
        <x:v>Unknown</x:v>
      </x:c>
      <x:c r="V690" s="117" t="str">
        <x:v>Unknown</x:v>
      </x:c>
      <x:c r="W690" s="117" t="str">
        <x:v>Unknown</x:v>
      </x:c>
      <x:c r="X690" s="117" t="str">
        <x:v>Unknown</x:v>
      </x:c>
      <x:c r="Y690" s="117" t="str">
        <x:v>Unknown</x:v>
      </x:c>
      <x:c r="Z690" s="117"/>
      <x:c r="AA690" s="117" t="str">
        <x:v>Pending evidence</x:v>
      </x:c>
      <x:c r="AB690" s="117"/>
      <x:c r="AC690" s="117" t="str">
        <x:v>No qualifying accessibility conclusion established from the screened sources. This is unknown, not evidence that the attraction is inaccessible.</x:v>
      </x:c>
      <x:c r="AD690" s="117" t="str">
        <x:v>2026-09-08</x:v>
      </x:c>
      <x:c r="AE690" s="117" t="str">
        <x:v>MC0687</x:v>
      </x:c>
      <x:c r="AF690" s="117" t="str">
        <x:v>Distinct candidate</x:v>
      </x:c>
      <x:c r="AG690" s="117" t="str"/>
      <x:c r="AH690" s="117" t="str">
        <x:v>Listed by Tourism Malaysia</x:v>
      </x:c>
      <x:c r="AI690" s="117" t="str">
        <x:v>https://ebrochures.malaysia.travel/en/malaysia-travel-guide/sarawak/</x:v>
      </x:c>
      <x:c r="AJ690" s="117" t="str">
        <x:v>Named visitor attraction in cited source; state-guide listings can be historical. Locality is catalogue metadata, not a surveyed address. Current operation remains unconfirmed.</x:v>
      </x:c>
      <x:c r="AK690" s="117" t="str">
        <x:v>Not independently confirmed</x:v>
      </x:c>
      <x:c r="AL690" s="117" t="str">
        <x:v>Screened sources; accessibility unresolved</x:v>
      </x:c>
      <x:c r="AM690" s="117" t="str">
        <x:v>2026-09-08</x:v>
      </x:c>
      <x:c r="AN690" s="117" t="str">
        <x:v>https://thumb.wikimedia.org/wikipedia/commons/thumb/5/56/Chinese_History_Museum_-_Chinese_Chamber_of_Commerce_%28Old%29_02.jpg/1280px-Chinese_History_Museum_-_Chinese_Chamber_of_Commerce_%28Old%29_02.jpg?utm_source=commons.wikimedia.org&amp;utm_campaign=imageinfo&amp;utm_content=thumbnail</x:v>
      </x:c>
      <x:c r="AO690" s="117" t="str">
        <x:v>https://thumb.wikimedia.org/wikipedia/commons/thumb/4/4b/Overseas_Chinese_History_Museum_of_China_%2820201012123114%29.jpg/1280px-Overseas_Chinese_History_Museum_of_China_%2820201012123114%29.jpg?utm_source=commons.wikimedia.org&amp;utm_campaign=imageinfo&amp;utm_content=thumbnail</x:v>
      </x:c>
      <x:c r="AP690" s="117" t="str">
        <x:v>2 metadata-matched images; visual review pending</x:v>
      </x:c>
      <x:c r="AQ690" s="117"/>
    </x:row>
    <x:row r="691" ht="66" customHeight="1">
      <x:c r="A691" s="117" t="str">
        <x:v>MC0688</x:v>
      </x:c>
      <x:c r="B691" s="117" t="str">
        <x:v>Textile Museum Sarawak</x:v>
      </x:c>
      <x:c r="C691" s="117" t="str">
        <x:v>Sarawak</x:v>
      </x:c>
      <x:c r="D691" s="117" t="str">
        <x:v>Kuching</x:v>
      </x:c>
      <x:c r="E691" s="117" t="str">
        <x:v>Museum and Gallery</x:v>
      </x:c>
      <x:c r="F691" s="117" t="str">
        <x:v>Unclassified</x:v>
      </x:c>
      <x:c r="G691" s="117" t="str">
        <x:v>Indoor</x:v>
      </x:c>
      <x:c r="H691" s="117" t="str">
        <x:v>Museum and Gallery; Kuching</x:v>
      </x:c>
      <x:c r="I691" s="117" t="str">
        <x:v>A visitor attraction in Kuching, Sarawak, listed in Tourism Malaysia's state travel guide. Venue operation and the precise accessible route require confirmation.</x:v>
      </x:c>
      <x:c r="J691" s="117" t="str">
        <x:v>https://ebrochures.malaysia.travel/en/malaysia-travel-guide/sarawak/</x:v>
      </x:c>
      <x:c r="K691" s="117" t="str">
        <x:v>https://ebrochures.malaysia.travel/en/malaysia-travel-guide/sarawak/</x:v>
      </x:c>
      <x:c r="L691" s="117" t="str">
        <x:v>Tourism Malaysia listing; operation unconfirmed</x:v>
      </x:c>
      <x:c r="M691" s="117" t="str">
        <x:v>Nationwide expansion 2026-09-08</x:v>
      </x:c>
      <x:c r="N691" s="117"/>
      <x:c r="O691" s="117" t="str">
        <x:v>2026-09-08</x:v>
      </x:c>
      <x:c r="P691" s="117" t="str">
        <x:v>Complete</x:v>
      </x:c>
      <x:c r="Q691" s="117"/>
      <x:c r="R691" s="117" t="str">
        <x:f>IF(J691="","Missing Link",IF(AND(ISNUMBER(SEARCH("google.com/maps",J691)),ISERROR(SEARCH(";",J691))),"Discovery Link Only","Source Link Present"))</x:f>
        <x:v>Source Link Present</x:v>
      </x:c>
      <x:c r="S691" s="117" t="str">
        <x:v>Unknown</x:v>
      </x:c>
      <x:c r="T691" s="117" t="str">
        <x:v>Unknown</x:v>
      </x:c>
      <x:c r="U691" s="117" t="str">
        <x:v>Unknown</x:v>
      </x:c>
      <x:c r="V691" s="117" t="str">
        <x:v>Unknown</x:v>
      </x:c>
      <x:c r="W691" s="117" t="str">
        <x:v>Unknown</x:v>
      </x:c>
      <x:c r="X691" s="117" t="str">
        <x:v>Unknown</x:v>
      </x:c>
      <x:c r="Y691" s="117" t="str">
        <x:v>Unknown</x:v>
      </x:c>
      <x:c r="Z691" s="117"/>
      <x:c r="AA691" s="117" t="str">
        <x:v>Pending evidence</x:v>
      </x:c>
      <x:c r="AB691" s="117"/>
      <x:c r="AC691" s="117" t="str">
        <x:v>No qualifying accessibility conclusion established from the screened sources. This is unknown, not evidence that the attraction is inaccessible.</x:v>
      </x:c>
      <x:c r="AD691" s="117" t="str">
        <x:v>2026-09-08</x:v>
      </x:c>
      <x:c r="AE691" s="117" t="str">
        <x:v>MC0688</x:v>
      </x:c>
      <x:c r="AF691" s="117" t="str">
        <x:v>Distinct candidate</x:v>
      </x:c>
      <x:c r="AG691" s="117" t="str"/>
      <x:c r="AH691" s="117" t="str">
        <x:v>Listed by Tourism Malaysia</x:v>
      </x:c>
      <x:c r="AI691" s="117" t="str">
        <x:v>https://ebrochures.malaysia.travel/en/malaysia-travel-guide/sarawak/</x:v>
      </x:c>
      <x:c r="AJ691" s="117" t="str">
        <x:v>Named visitor attraction in cited source; state-guide listings can be historical. Locality is catalogue metadata, not a surveyed address. Current operation remains unconfirmed.</x:v>
      </x:c>
      <x:c r="AK691" s="117" t="str">
        <x:v>Not independently confirmed</x:v>
      </x:c>
      <x:c r="AL691" s="117" t="str">
        <x:v>Screened sources; accessibility unresolved</x:v>
      </x:c>
      <x:c r="AM691" s="117" t="str">
        <x:v>2026-09-08</x:v>
      </x:c>
      <x:c r="AN691" s="117" t="str">
        <x:v>https://thumb.wikimedia.org/wikipedia/commons/thumb/d/df/Traditional_Malaysian_handicrafts_%2829630844205%29.jpg/1280px-Traditional_Malaysian_handicrafts_%2829630844205%29.jpg?utm_source=commons.wikimedia.org&amp;utm_campaign=imageinfo&amp;utm_content=thumbnail</x:v>
      </x:c>
      <x:c r="AO691" s="117" t="str">
        <x:v>https://thumb.wikimedia.org/wikipedia/commons/thumb/8/83/Sarawak_aboriginal_seashell_cloak_%2829145690743%29.jpg/1280px-Sarawak_aboriginal_seashell_cloak_%2829145690743%29.jpg?utm_source=commons.wikimedia.org&amp;utm_campaign=imageinfo&amp;utm_content=thumbnail</x:v>
      </x:c>
      <x:c r="AP691" s="117" t="str">
        <x:v>2 metadata-matched images; visual review pending</x:v>
      </x:c>
      <x:c r="AQ691" s="117"/>
    </x:row>
    <x:row r="692" ht="66" customHeight="1">
      <x:c r="A692" s="117" t="str">
        <x:v>MC0689</x:v>
      </x:c>
      <x:c r="B692" s="117" t="str">
        <x:v>Tun Jugah Pua Kumbu Museum</x:v>
      </x:c>
      <x:c r="C692" s="117" t="str">
        <x:v>Sarawak</x:v>
      </x:c>
      <x:c r="D692" s="117" t="str">
        <x:v>Kuching</x:v>
      </x:c>
      <x:c r="E692" s="117" t="str">
        <x:v>Museum and Gallery</x:v>
      </x:c>
      <x:c r="F692" s="117" t="str">
        <x:v>Unclassified</x:v>
      </x:c>
      <x:c r="G692" s="117" t="str">
        <x:v>Indoor</x:v>
      </x:c>
      <x:c r="H692" s="117" t="str">
        <x:v>Museum and Gallery; Kuching</x:v>
      </x:c>
      <x:c r="I692" s="117" t="str">
        <x:v>A visitor attraction in Kuching, Sarawak, listed in Tourism Malaysia's state travel guide. Venue operation and the precise accessible route require confirmation.</x:v>
      </x:c>
      <x:c r="J692" s="117" t="str">
        <x:v>https://ebrochures.malaysia.travel/en/malaysia-travel-guide/sarawak/</x:v>
      </x:c>
      <x:c r="K692" s="117" t="str">
        <x:v>https://ebrochures.malaysia.travel/en/malaysia-travel-guide/sarawak/</x:v>
      </x:c>
      <x:c r="L692" s="117" t="str">
        <x:v>Tourism Malaysia listing; operation unconfirmed</x:v>
      </x:c>
      <x:c r="M692" s="117" t="str">
        <x:v>Nationwide expansion 2026-09-08</x:v>
      </x:c>
      <x:c r="N692" s="117"/>
      <x:c r="O692" s="117" t="str">
        <x:v>2026-09-08</x:v>
      </x:c>
      <x:c r="P692" s="117" t="str">
        <x:v>Complete</x:v>
      </x:c>
      <x:c r="Q692" s="117"/>
      <x:c r="R692" s="117" t="str">
        <x:f>IF(J692="","Missing Link",IF(AND(ISNUMBER(SEARCH("google.com/maps",J692)),ISERROR(SEARCH(";",J692))),"Discovery Link Only","Source Link Present"))</x:f>
        <x:v>Source Link Present</x:v>
      </x:c>
      <x:c r="S692" s="117" t="str">
        <x:v>Unknown</x:v>
      </x:c>
      <x:c r="T692" s="117" t="str">
        <x:v>Unknown</x:v>
      </x:c>
      <x:c r="U692" s="117" t="str">
        <x:v>Unknown</x:v>
      </x:c>
      <x:c r="V692" s="117" t="str">
        <x:v>Unknown</x:v>
      </x:c>
      <x:c r="W692" s="117" t="str">
        <x:v>Unknown</x:v>
      </x:c>
      <x:c r="X692" s="117" t="str">
        <x:v>Unknown</x:v>
      </x:c>
      <x:c r="Y692" s="117" t="str">
        <x:v>Unknown</x:v>
      </x:c>
      <x:c r="Z692" s="117"/>
      <x:c r="AA692" s="117" t="str">
        <x:v>Pending evidence</x:v>
      </x:c>
      <x:c r="AB692" s="117"/>
      <x:c r="AC692" s="117" t="str">
        <x:v>No qualifying accessibility conclusion established from the screened sources. This is unknown, not evidence that the attraction is inaccessible.</x:v>
      </x:c>
      <x:c r="AD692" s="117" t="str">
        <x:v>2026-09-08</x:v>
      </x:c>
      <x:c r="AE692" s="117" t="str">
        <x:v>MC0689</x:v>
      </x:c>
      <x:c r="AF692" s="117" t="str">
        <x:v>Distinct candidate</x:v>
      </x:c>
      <x:c r="AG692" s="117" t="str"/>
      <x:c r="AH692" s="117" t="str">
        <x:v>Listed by Tourism Malaysia</x:v>
      </x:c>
      <x:c r="AI692" s="117" t="str">
        <x:v>https://ebrochures.malaysia.travel/en/malaysia-travel-guide/sarawak/</x:v>
      </x:c>
      <x:c r="AJ692" s="117" t="str">
        <x:v>Named visitor attraction in cited source; state-guide listings can be historical. Locality is catalogue metadata, not a surveyed address. Current operation remains unconfirmed.</x:v>
      </x:c>
      <x:c r="AK692" s="117" t="str">
        <x:v>Not independently confirmed</x:v>
      </x:c>
      <x:c r="AL692" s="117" t="str">
        <x:v>Screened sources; accessibility unresolved</x:v>
      </x:c>
      <x:c r="AM692" s="117" t="str">
        <x:v>2026-09-08</x:v>
      </x:c>
      <x:c r="AN692" s="117"/>
      <x:c r="AO692" s="117"/>
      <x:c r="AP692" s="117" t="str">
        <x:v>No usable pair located; image research pending</x:v>
      </x:c>
      <x:c r="AQ692" s="117"/>
    </x:row>
    <x:row r="693" ht="66" customHeight="1">
      <x:c r="A693" s="117" t="str">
        <x:v>MC0690</x:v>
      </x:c>
      <x:c r="B693" s="117" t="str">
        <x:v>Tanoti House</x:v>
      </x:c>
      <x:c r="C693" s="117" t="str">
        <x:v>Sarawak</x:v>
      </x:c>
      <x:c r="D693" s="117" t="str">
        <x:v>Kuching</x:v>
      </x:c>
      <x:c r="E693" s="117" t="str">
        <x:v>Heritage and Visitor Attraction</x:v>
      </x:c>
      <x:c r="F693" s="117" t="str">
        <x:v>Unclassified</x:v>
      </x:c>
      <x:c r="G693" s="117" t="str">
        <x:v>Both</x:v>
      </x:c>
      <x:c r="H693" s="117" t="str">
        <x:v>Heritage and Visitor Attraction; Kuching</x:v>
      </x:c>
      <x:c r="I693" s="117" t="str">
        <x:v>A visitor attraction in Kuching, Sarawak, listed in Tourism Malaysia's state travel guide. Venue operation and the precise accessible route require confirmation.</x:v>
      </x:c>
      <x:c r="J693" s="117" t="str">
        <x:v>https://ebrochures.malaysia.travel/en/malaysia-travel-guide/sarawak/</x:v>
      </x:c>
      <x:c r="K693" s="117" t="str">
        <x:v>https://ebrochures.malaysia.travel/en/malaysia-travel-guide/sarawak/</x:v>
      </x:c>
      <x:c r="L693" s="117" t="str">
        <x:v>Tourism Malaysia listing; operation unconfirmed</x:v>
      </x:c>
      <x:c r="M693" s="117" t="str">
        <x:v>Nationwide expansion 2026-09-08</x:v>
      </x:c>
      <x:c r="N693" s="117"/>
      <x:c r="O693" s="117" t="str">
        <x:v>2026-09-08</x:v>
      </x:c>
      <x:c r="P693" s="117" t="str">
        <x:v>Complete</x:v>
      </x:c>
      <x:c r="Q693" s="117"/>
      <x:c r="R693" s="117" t="str">
        <x:f>IF(J693="","Missing Link",IF(AND(ISNUMBER(SEARCH("google.com/maps",J693)),ISERROR(SEARCH(";",J693))),"Discovery Link Only","Source Link Present"))</x:f>
        <x:v>Source Link Present</x:v>
      </x:c>
      <x:c r="S693" s="117" t="str">
        <x:v>Unknown</x:v>
      </x:c>
      <x:c r="T693" s="117" t="str">
        <x:v>Unknown</x:v>
      </x:c>
      <x:c r="U693" s="117" t="str">
        <x:v>Unknown</x:v>
      </x:c>
      <x:c r="V693" s="117" t="str">
        <x:v>Unknown</x:v>
      </x:c>
      <x:c r="W693" s="117" t="str">
        <x:v>Unknown</x:v>
      </x:c>
      <x:c r="X693" s="117" t="str">
        <x:v>Unknown</x:v>
      </x:c>
      <x:c r="Y693" s="117" t="str">
        <x:v>Unknown</x:v>
      </x:c>
      <x:c r="Z693" s="117"/>
      <x:c r="AA693" s="117" t="str">
        <x:v>Pending evidence</x:v>
      </x:c>
      <x:c r="AB693" s="117"/>
      <x:c r="AC693" s="117" t="str">
        <x:v>No qualifying accessibility conclusion established from the screened sources. This is unknown, not evidence that the attraction is inaccessible.</x:v>
      </x:c>
      <x:c r="AD693" s="117" t="str">
        <x:v>2026-09-08</x:v>
      </x:c>
      <x:c r="AE693" s="117" t="str">
        <x:v>MC0690</x:v>
      </x:c>
      <x:c r="AF693" s="117" t="str">
        <x:v>Distinct candidate</x:v>
      </x:c>
      <x:c r="AG693" s="117" t="str"/>
      <x:c r="AH693" s="117" t="str">
        <x:v>Listed by Tourism Malaysia</x:v>
      </x:c>
      <x:c r="AI693" s="117" t="str">
        <x:v>https://ebrochures.malaysia.travel/en/malaysia-travel-guide/sarawak/</x:v>
      </x:c>
      <x:c r="AJ693" s="117" t="str">
        <x:v>Named visitor attraction in cited source; state-guide listings can be historical. Locality is catalogue metadata, not a surveyed address. Current operation remains unconfirmed.</x:v>
      </x:c>
      <x:c r="AK693" s="117" t="str">
        <x:v>Not independently confirmed</x:v>
      </x:c>
      <x:c r="AL693" s="117" t="str">
        <x:v>Screened sources; accessibility unresolved</x:v>
      </x:c>
      <x:c r="AM693" s="117" t="str">
        <x:v>2026-09-08</x:v>
      </x:c>
      <x:c r="AN693" s="117"/>
      <x:c r="AO693" s="117"/>
      <x:c r="AP693" s="117" t="str">
        <x:v>No usable pair located; image research pending</x:v>
      </x:c>
      <x:c r="AQ693" s="117"/>
    </x:row>
    <x:row r="694" ht="66" customHeight="1">
      <x:c r="A694" s="117" t="str">
        <x:v>MC0691</x:v>
      </x:c>
      <x:c r="B694" s="117" t="str">
        <x:v>Kuching Wetlands National Park</x:v>
      </x:c>
      <x:c r="C694" s="117" t="str">
        <x:v>Sarawak</x:v>
      </x:c>
      <x:c r="D694" s="117" t="str">
        <x:v>Kuching</x:v>
      </x:c>
      <x:c r="E694" s="117" t="str">
        <x:v>Nature</x:v>
      </x:c>
      <x:c r="F694" s="117" t="str">
        <x:v>Unclassified</x:v>
      </x:c>
      <x:c r="G694" s="117" t="str">
        <x:v>Outdoor</x:v>
      </x:c>
      <x:c r="H694" s="117" t="str">
        <x:v>Nature; Kuching</x:v>
      </x:c>
      <x:c r="I694" s="117" t="str">
        <x:v>A visitor attraction in Kuching, Sarawak, listed in Tourism Malaysia's state travel guide. Venue operation and the precise accessible route require confirmation.</x:v>
      </x:c>
      <x:c r="J694" s="117" t="str">
        <x:v>https://ebrochures.malaysia.travel/en/malaysia-travel-guide/sarawak/</x:v>
      </x:c>
      <x:c r="K694" s="117" t="str">
        <x:v>https://ebrochures.malaysia.travel/en/malaysia-travel-guide/sarawak/</x:v>
      </x:c>
      <x:c r="L694" s="117" t="str">
        <x:v>Tourism Malaysia listing; operation unconfirmed</x:v>
      </x:c>
      <x:c r="M694" s="117" t="str">
        <x:v>Nationwide expansion 2026-09-08</x:v>
      </x:c>
      <x:c r="N694" s="117"/>
      <x:c r="O694" s="117" t="str">
        <x:v>2026-09-08</x:v>
      </x:c>
      <x:c r="P694" s="117" t="str">
        <x:v>Complete</x:v>
      </x:c>
      <x:c r="Q694" s="117"/>
      <x:c r="R694" s="117" t="str">
        <x:f>IF(J694="","Missing Link",IF(AND(ISNUMBER(SEARCH("google.com/maps",J694)),ISERROR(SEARCH(";",J694))),"Discovery Link Only","Source Link Present"))</x:f>
        <x:v>Source Link Present</x:v>
      </x:c>
      <x:c r="S694" s="117" t="str">
        <x:v>Unknown</x:v>
      </x:c>
      <x:c r="T694" s="117" t="str">
        <x:v>Unknown</x:v>
      </x:c>
      <x:c r="U694" s="117" t="str">
        <x:v>Unknown</x:v>
      </x:c>
      <x:c r="V694" s="117" t="str">
        <x:v>Unknown</x:v>
      </x:c>
      <x:c r="W694" s="117" t="str">
        <x:v>Unknown</x:v>
      </x:c>
      <x:c r="X694" s="117" t="str">
        <x:v>Unknown</x:v>
      </x:c>
      <x:c r="Y694" s="117" t="str">
        <x:v>Unknown</x:v>
      </x:c>
      <x:c r="Z694" s="117"/>
      <x:c r="AA694" s="117" t="str">
        <x:v>Pending evidence</x:v>
      </x:c>
      <x:c r="AB694" s="117"/>
      <x:c r="AC694" s="117" t="str">
        <x:v>No qualifying accessibility conclusion established from the screened sources. This is unknown, not evidence that the attraction is inaccessible.</x:v>
      </x:c>
      <x:c r="AD694" s="117" t="str">
        <x:v>2026-09-08</x:v>
      </x:c>
      <x:c r="AE694" s="117" t="str">
        <x:v>MC0691</x:v>
      </x:c>
      <x:c r="AF694" s="117" t="str">
        <x:v>Distinct candidate</x:v>
      </x:c>
      <x:c r="AG694" s="117" t="str"/>
      <x:c r="AH694" s="117" t="str">
        <x:v>Listed by Tourism Malaysia</x:v>
      </x:c>
      <x:c r="AI694" s="117" t="str">
        <x:v>https://ebrochures.malaysia.travel/en/malaysia-travel-guide/sarawak/</x:v>
      </x:c>
      <x:c r="AJ694" s="117" t="str">
        <x:v>Named visitor attraction in cited source; state-guide listings can be historical. Locality is catalogue metadata, not a surveyed address. Current operation remains unconfirmed.</x:v>
      </x:c>
      <x:c r="AK694" s="117" t="str">
        <x:v>Not independently confirmed</x:v>
      </x:c>
      <x:c r="AL694" s="117" t="str">
        <x:v>Screened sources; accessibility unresolved</x:v>
      </x:c>
      <x:c r="AM694" s="117" t="str">
        <x:v>2026-09-08</x:v>
      </x:c>
      <x:c r="AN694" s="117" t="str">
        <x:v>https://thumb.wikimedia.org/wikipedia/commons/thumb/e/ec/Kucking_wetlands_beach.JPG/1280px-Kucking_wetlands_beach.JPG?utm_source=commons.wikimedia.org&amp;utm_campaign=imageinfo&amp;utm_content=thumbnail</x:v>
      </x:c>
      <x:c r="AO694" s="117" t="str">
        <x:v>https://thumb.wikimedia.org/wikipedia/commons/thumb/4/46/Salak_River%2C_part_of_Kuching_Wetlands_National_Park%2C_and_Mount_Santubong.jpg/1280px-Salak_River%2C_part_of_Kuching_Wetlands_National_Park%2C_and_Mount_Santubong.jpg?utm_source=commons.wikimedia.org&amp;utm_campaign=imageinfo&amp;utm_content=thumbnail</x:v>
      </x:c>
      <x:c r="AP694" s="117" t="str">
        <x:v>2 metadata-matched images; visual review pending</x:v>
      </x:c>
      <x:c r="AQ694" s="117"/>
    </x:row>
    <x:row r="695" ht="66" customHeight="1">
      <x:c r="A695" s="117" t="str">
        <x:v>MC0692</x:v>
      </x:c>
      <x:c r="B695" s="117" t="str">
        <x:v>Kampung Panchor Dayak Hot Spring</x:v>
      </x:c>
      <x:c r="C695" s="117" t="str">
        <x:v>Sarawak</x:v>
      </x:c>
      <x:c r="D695" s="117" t="str">
        <x:v>Kuching</x:v>
      </x:c>
      <x:c r="E695" s="117" t="str">
        <x:v>Nature</x:v>
      </x:c>
      <x:c r="F695" s="117" t="str">
        <x:v>Unclassified</x:v>
      </x:c>
      <x:c r="G695" s="117" t="str">
        <x:v>Outdoor</x:v>
      </x:c>
      <x:c r="H695" s="117" t="str">
        <x:v>Nature; Kuching</x:v>
      </x:c>
      <x:c r="I695" s="117" t="str">
        <x:v>A visitor attraction in Kuching, Sarawak, listed in Tourism Malaysia's state travel guide. Venue operation and the precise accessible route require confirmation.</x:v>
      </x:c>
      <x:c r="J695" s="117" t="str">
        <x:v>https://ebrochures.malaysia.travel/en/malaysia-travel-guide/sarawak/</x:v>
      </x:c>
      <x:c r="K695" s="117" t="str">
        <x:v>https://ebrochures.malaysia.travel/en/malaysia-travel-guide/sarawak/</x:v>
      </x:c>
      <x:c r="L695" s="117" t="str">
        <x:v>Tourism Malaysia listing; operation unconfirmed</x:v>
      </x:c>
      <x:c r="M695" s="117" t="str">
        <x:v>Nationwide expansion 2026-09-08</x:v>
      </x:c>
      <x:c r="N695" s="117"/>
      <x:c r="O695" s="117" t="str">
        <x:v>2026-09-08</x:v>
      </x:c>
      <x:c r="P695" s="117" t="str">
        <x:v>Complete</x:v>
      </x:c>
      <x:c r="Q695" s="117"/>
      <x:c r="R695" s="117" t="str">
        <x:f>IF(J695="","Missing Link",IF(AND(ISNUMBER(SEARCH("google.com/maps",J695)),ISERROR(SEARCH(";",J695))),"Discovery Link Only","Source Link Present"))</x:f>
        <x:v>Source Link Present</x:v>
      </x:c>
      <x:c r="S695" s="117" t="str">
        <x:v>Unknown</x:v>
      </x:c>
      <x:c r="T695" s="117" t="str">
        <x:v>Unknown</x:v>
      </x:c>
      <x:c r="U695" s="117" t="str">
        <x:v>Unknown</x:v>
      </x:c>
      <x:c r="V695" s="117" t="str">
        <x:v>Unknown</x:v>
      </x:c>
      <x:c r="W695" s="117" t="str">
        <x:v>Unknown</x:v>
      </x:c>
      <x:c r="X695" s="117" t="str">
        <x:v>Unknown</x:v>
      </x:c>
      <x:c r="Y695" s="117" t="str">
        <x:v>Unknown</x:v>
      </x:c>
      <x:c r="Z695" s="117"/>
      <x:c r="AA695" s="117" t="str">
        <x:v>Pending evidence</x:v>
      </x:c>
      <x:c r="AB695" s="117"/>
      <x:c r="AC695" s="117" t="str">
        <x:v>No qualifying accessibility conclusion established from the screened sources. This is unknown, not evidence that the attraction is inaccessible.</x:v>
      </x:c>
      <x:c r="AD695" s="117" t="str">
        <x:v>2026-09-08</x:v>
      </x:c>
      <x:c r="AE695" s="117" t="str">
        <x:v>MC0692</x:v>
      </x:c>
      <x:c r="AF695" s="117" t="str">
        <x:v>Distinct candidate</x:v>
      </x:c>
      <x:c r="AG695" s="117" t="str"/>
      <x:c r="AH695" s="117" t="str">
        <x:v>Listed by Tourism Malaysia</x:v>
      </x:c>
      <x:c r="AI695" s="117" t="str">
        <x:v>https://ebrochures.malaysia.travel/en/malaysia-travel-guide/sarawak/</x:v>
      </x:c>
      <x:c r="AJ695" s="117" t="str">
        <x:v>Named visitor attraction in cited source; state-guide listings can be historical. Locality is catalogue metadata, not a surveyed address. Current operation remains unconfirmed.</x:v>
      </x:c>
      <x:c r="AK695" s="117" t="str">
        <x:v>Not independently confirmed</x:v>
      </x:c>
      <x:c r="AL695" s="117" t="str">
        <x:v>Screened sources; accessibility unresolved</x:v>
      </x:c>
      <x:c r="AM695" s="117" t="str">
        <x:v>2026-09-08</x:v>
      </x:c>
      <x:c r="AN695" s="117"/>
      <x:c r="AO695" s="117"/>
      <x:c r="AP695" s="117" t="str">
        <x:v>No usable pair located; image research pending</x:v>
      </x:c>
      <x:c r="AQ695" s="117"/>
    </x:row>
    <x:row r="696" ht="66" customHeight="1">
      <x:c r="A696" s="117" t="str">
        <x:v>MC0693</x:v>
      </x:c>
      <x:c r="B696" s="117" t="str">
        <x:v>Santubong National Park</x:v>
      </x:c>
      <x:c r="C696" s="117" t="str">
        <x:v>Sarawak</x:v>
      </x:c>
      <x:c r="D696" s="117" t="str">
        <x:v>Kuching</x:v>
      </x:c>
      <x:c r="E696" s="117" t="str">
        <x:v>Nature</x:v>
      </x:c>
      <x:c r="F696" s="117" t="str">
        <x:v>Unclassified</x:v>
      </x:c>
      <x:c r="G696" s="117" t="str">
        <x:v>Outdoor</x:v>
      </x:c>
      <x:c r="H696" s="117" t="str">
        <x:v>Nature; Kuching</x:v>
      </x:c>
      <x:c r="I696" s="117" t="str">
        <x:v>A visitor attraction in Kuching, Sarawak, listed in Tourism Malaysia's state travel guide. Venue operation and the precise accessible route require confirmation.</x:v>
      </x:c>
      <x:c r="J696" s="117" t="str">
        <x:v>https://ebrochures.malaysia.travel/en/malaysia-travel-guide/sarawak/</x:v>
      </x:c>
      <x:c r="K696" s="117" t="str">
        <x:v>https://ebrochures.malaysia.travel/en/malaysia-travel-guide/sarawak/</x:v>
      </x:c>
      <x:c r="L696" s="117" t="str">
        <x:v>Tourism Malaysia listing; operation unconfirmed</x:v>
      </x:c>
      <x:c r="M696" s="117" t="str">
        <x:v>Nationwide expansion 2026-09-08</x:v>
      </x:c>
      <x:c r="N696" s="117"/>
      <x:c r="O696" s="117" t="str">
        <x:v>2026-09-08</x:v>
      </x:c>
      <x:c r="P696" s="117" t="str">
        <x:v>Complete</x:v>
      </x:c>
      <x:c r="Q696" s="117"/>
      <x:c r="R696" s="117" t="str">
        <x:f>IF(J696="","Missing Link",IF(AND(ISNUMBER(SEARCH("google.com/maps",J696)),ISERROR(SEARCH(";",J696))),"Discovery Link Only","Source Link Present"))</x:f>
        <x:v>Source Link Present</x:v>
      </x:c>
      <x:c r="S696" s="117" t="str">
        <x:v>Unknown</x:v>
      </x:c>
      <x:c r="T696" s="117" t="str">
        <x:v>Unknown</x:v>
      </x:c>
      <x:c r="U696" s="117" t="str">
        <x:v>Unknown</x:v>
      </x:c>
      <x:c r="V696" s="117" t="str">
        <x:v>Unknown</x:v>
      </x:c>
      <x:c r="W696" s="117" t="str">
        <x:v>Unknown</x:v>
      </x:c>
      <x:c r="X696" s="117" t="str">
        <x:v>Unknown</x:v>
      </x:c>
      <x:c r="Y696" s="117" t="str">
        <x:v>Unknown</x:v>
      </x:c>
      <x:c r="Z696" s="117"/>
      <x:c r="AA696" s="117" t="str">
        <x:v>Pending evidence</x:v>
      </x:c>
      <x:c r="AB696" s="117"/>
      <x:c r="AC696" s="117" t="str">
        <x:v>No qualifying accessibility conclusion established from the screened sources. This is unknown, not evidence that the attraction is inaccessible.</x:v>
      </x:c>
      <x:c r="AD696" s="117" t="str">
        <x:v>2026-09-08</x:v>
      </x:c>
      <x:c r="AE696" s="117" t="str">
        <x:v>MC0693</x:v>
      </x:c>
      <x:c r="AF696" s="117" t="str">
        <x:v>Distinct candidate</x:v>
      </x:c>
      <x:c r="AG696" s="117" t="str"/>
      <x:c r="AH696" s="117" t="str">
        <x:v>Listed by Tourism Malaysia</x:v>
      </x:c>
      <x:c r="AI696" s="117" t="str">
        <x:v>https://ebrochures.malaysia.travel/en/malaysia-travel-guide/sarawak/</x:v>
      </x:c>
      <x:c r="AJ696" s="117" t="str">
        <x:v>Named visitor attraction in cited source; state-guide listings can be historical. Locality is catalogue metadata, not a surveyed address. Current operation remains unconfirmed.</x:v>
      </x:c>
      <x:c r="AK696" s="117" t="str">
        <x:v>Not independently confirmed</x:v>
      </x:c>
      <x:c r="AL696" s="117" t="str">
        <x:v>Screened sources; accessibility unresolved</x:v>
      </x:c>
      <x:c r="AM696" s="117" t="str">
        <x:v>2026-09-08</x:v>
      </x:c>
      <x:c r="AN696" s="117" t="str">
        <x:v>https://thumb.wikimedia.org/wikipedia/commons/thumb/8/86/Keruing_%28Dipterocarpus_crinitus%29_%2823962859405%29.jpg/1280px-Keruing_%28Dipterocarpus_crinitus%29_%2823962859405%29.jpg?utm_source=commons.wikimedia.org&amp;utm_campaign=imageinfo&amp;utm_content=thumbnail</x:v>
      </x:c>
      <x:c r="AO696" s="117" t="str">
        <x:v>https://thumb.wikimedia.org/wikipedia/commons/thumb/d/d4/Horsehair_Fungi_%28Marasmius_sp.%29_%2823962789145%29.jpg/1280px-Horsehair_Fungi_%28Marasmius_sp.%29_%2823962789145%29.jpg?utm_source=commons.wikimedia.org&amp;utm_campaign=imageinfo&amp;utm_content=thumbnail</x:v>
      </x:c>
      <x:c r="AP696" s="117" t="str">
        <x:v>2 metadata-matched images; visual review pending</x:v>
      </x:c>
      <x:c r="AQ696" s="117"/>
    </x:row>
    <x:row r="697" ht="66" customHeight="1">
      <x:c r="A697" s="117" t="str">
        <x:v>MC0694</x:v>
      </x:c>
      <x:c r="B697" s="117" t="str">
        <x:v>Matang Wildlife Centre</x:v>
      </x:c>
      <x:c r="C697" s="117" t="str">
        <x:v>Sarawak</x:v>
      </x:c>
      <x:c r="D697" s="117" t="str">
        <x:v>Kuching</x:v>
      </x:c>
      <x:c r="E697" s="117" t="str">
        <x:v>Wildlife</x:v>
      </x:c>
      <x:c r="F697" s="117" t="str">
        <x:v>Unclassified</x:v>
      </x:c>
      <x:c r="G697" s="117" t="str">
        <x:v>Outdoor</x:v>
      </x:c>
      <x:c r="H697" s="117" t="str">
        <x:v>Wildlife; Kuching</x:v>
      </x:c>
      <x:c r="I697" s="117" t="str">
        <x:v>A visitor attraction in Kuching, Sarawak, listed in Tourism Malaysia's state travel guide. Venue operation and the precise accessible route require confirmation.</x:v>
      </x:c>
      <x:c r="J697" s="117" t="str">
        <x:v>https://ebrochures.malaysia.travel/en/malaysia-travel-guide/sarawak/</x:v>
      </x:c>
      <x:c r="K697" s="117" t="str">
        <x:v>https://ebrochures.malaysia.travel/en/malaysia-travel-guide/sarawak/</x:v>
      </x:c>
      <x:c r="L697" s="117" t="str">
        <x:v>Tourism Malaysia listing; operation unconfirmed</x:v>
      </x:c>
      <x:c r="M697" s="117" t="str">
        <x:v>Nationwide expansion 2026-09-08</x:v>
      </x:c>
      <x:c r="N697" s="117"/>
      <x:c r="O697" s="117" t="str">
        <x:v>2026-09-08</x:v>
      </x:c>
      <x:c r="P697" s="117" t="str">
        <x:v>Complete</x:v>
      </x:c>
      <x:c r="Q697" s="117"/>
      <x:c r="R697" s="117" t="str">
        <x:f>IF(J697="","Missing Link",IF(AND(ISNUMBER(SEARCH("google.com/maps",J697)),ISERROR(SEARCH(";",J697))),"Discovery Link Only","Source Link Present"))</x:f>
        <x:v>Source Link Present</x:v>
      </x:c>
      <x:c r="S697" s="117" t="str">
        <x:v>Unknown</x:v>
      </x:c>
      <x:c r="T697" s="117" t="str">
        <x:v>Unknown</x:v>
      </x:c>
      <x:c r="U697" s="117" t="str">
        <x:v>Unknown</x:v>
      </x:c>
      <x:c r="V697" s="117" t="str">
        <x:v>Unknown</x:v>
      </x:c>
      <x:c r="W697" s="117" t="str">
        <x:v>Unknown</x:v>
      </x:c>
      <x:c r="X697" s="117" t="str">
        <x:v>Unknown</x:v>
      </x:c>
      <x:c r="Y697" s="117" t="str">
        <x:v>Unknown</x:v>
      </x:c>
      <x:c r="Z697" s="117"/>
      <x:c r="AA697" s="117" t="str">
        <x:v>Pending evidence</x:v>
      </x:c>
      <x:c r="AB697" s="117"/>
      <x:c r="AC697" s="117" t="str">
        <x:v>No qualifying accessibility conclusion established from the screened sources. This is unknown, not evidence that the attraction is inaccessible.</x:v>
      </x:c>
      <x:c r="AD697" s="117" t="str">
        <x:v>2026-09-08</x:v>
      </x:c>
      <x:c r="AE697" s="117" t="str">
        <x:v>MC0694</x:v>
      </x:c>
      <x:c r="AF697" s="117" t="str">
        <x:v>Distinct candidate</x:v>
      </x:c>
      <x:c r="AG697" s="117" t="str"/>
      <x:c r="AH697" s="117" t="str">
        <x:v>Listed by Tourism Malaysia</x:v>
      </x:c>
      <x:c r="AI697" s="117" t="str">
        <x:v>https://ebrochures.malaysia.travel/en/malaysia-travel-guide/sarawak/</x:v>
      </x:c>
      <x:c r="AJ697" s="117" t="str">
        <x:v>Named visitor attraction in cited source; state-guide listings can be historical. Locality is catalogue metadata, not a surveyed address. Current operation remains unconfirmed.</x:v>
      </x:c>
      <x:c r="AK697" s="117" t="str">
        <x:v>Not independently confirmed</x:v>
      </x:c>
      <x:c r="AL697" s="117" t="str">
        <x:v>Screened sources; accessibility unresolved</x:v>
      </x:c>
      <x:c r="AM697" s="117" t="str">
        <x:v>2026-09-08</x:v>
      </x:c>
      <x:c r="AN697" s="117"/>
      <x:c r="AO697" s="117"/>
      <x:c r="AP697" s="117" t="str">
        <x:v>No usable pair located; image research pending</x:v>
      </x:c>
      <x:c r="AQ697" s="117"/>
    </x:row>
    <x:row r="698" ht="66" customHeight="1">
      <x:c r="A698" s="117" t="str">
        <x:v>MC0695</x:v>
      </x:c>
      <x:c r="B698" s="117" t="str">
        <x:v>Lambir Hills National Park</x:v>
      </x:c>
      <x:c r="C698" s="117" t="str">
        <x:v>Sarawak</x:v>
      </x:c>
      <x:c r="D698" s="117" t="str">
        <x:v>Miri</x:v>
      </x:c>
      <x:c r="E698" s="117" t="str">
        <x:v>Nature</x:v>
      </x:c>
      <x:c r="F698" s="117" t="str">
        <x:v>Unclassified</x:v>
      </x:c>
      <x:c r="G698" s="117" t="str">
        <x:v>Outdoor</x:v>
      </x:c>
      <x:c r="H698" s="117" t="str">
        <x:v>Nature; Miri</x:v>
      </x:c>
      <x:c r="I698" s="117" t="str">
        <x:v>A visitor attraction in Miri, Sarawak, listed in Tourism Malaysia's state travel guide. Venue operation and the precise accessible route require confirmation.</x:v>
      </x:c>
      <x:c r="J698" s="117" t="str">
        <x:v>https://ebrochures.malaysia.travel/en/malaysia-travel-guide/sarawak/</x:v>
      </x:c>
      <x:c r="K698" s="117" t="str">
        <x:v>https://ebrochures.malaysia.travel/en/malaysia-travel-guide/sarawak/</x:v>
      </x:c>
      <x:c r="L698" s="117" t="str">
        <x:v>Tourism Malaysia listing; operation unconfirmed</x:v>
      </x:c>
      <x:c r="M698" s="117" t="str">
        <x:v>Nationwide expansion 2026-09-08</x:v>
      </x:c>
      <x:c r="N698" s="117"/>
      <x:c r="O698" s="117" t="str">
        <x:v>2026-09-08</x:v>
      </x:c>
      <x:c r="P698" s="117" t="str">
        <x:v>Complete</x:v>
      </x:c>
      <x:c r="Q698" s="117"/>
      <x:c r="R698" s="117" t="str">
        <x:f>IF(J698="","Missing Link",IF(AND(ISNUMBER(SEARCH("google.com/maps",J698)),ISERROR(SEARCH(";",J698))),"Discovery Link Only","Source Link Present"))</x:f>
        <x:v>Source Link Present</x:v>
      </x:c>
      <x:c r="S698" s="117" t="str">
        <x:v>Unknown</x:v>
      </x:c>
      <x:c r="T698" s="117" t="str">
        <x:v>Unknown</x:v>
      </x:c>
      <x:c r="U698" s="117" t="str">
        <x:v>Unknown</x:v>
      </x:c>
      <x:c r="V698" s="117" t="str">
        <x:v>Unknown</x:v>
      </x:c>
      <x:c r="W698" s="117" t="str">
        <x:v>Unknown</x:v>
      </x:c>
      <x:c r="X698" s="117" t="str">
        <x:v>Unknown</x:v>
      </x:c>
      <x:c r="Y698" s="117" t="str">
        <x:v>Unknown</x:v>
      </x:c>
      <x:c r="Z698" s="117"/>
      <x:c r="AA698" s="117" t="str">
        <x:v>Pending evidence</x:v>
      </x:c>
      <x:c r="AB698" s="117"/>
      <x:c r="AC698" s="117" t="str">
        <x:v>No qualifying accessibility conclusion established from the screened sources. This is unknown, not evidence that the attraction is inaccessible.</x:v>
      </x:c>
      <x:c r="AD698" s="117" t="str">
        <x:v>2026-09-08</x:v>
      </x:c>
      <x:c r="AE698" s="117" t="str">
        <x:v>MC0695</x:v>
      </x:c>
      <x:c r="AF698" s="117" t="str">
        <x:v>Distinct candidate</x:v>
      </x:c>
      <x:c r="AG698" s="117" t="str"/>
      <x:c r="AH698" s="117" t="str">
        <x:v>Listed by Tourism Malaysia</x:v>
      </x:c>
      <x:c r="AI698" s="117" t="str">
        <x:v>https://ebrochures.malaysia.travel/en/malaysia-travel-guide/sarawak/</x:v>
      </x:c>
      <x:c r="AJ698" s="117" t="str">
        <x:v>Named visitor attraction in cited source; state-guide listings can be historical. Locality is catalogue metadata, not a surveyed address. Current operation remains unconfirmed.</x:v>
      </x:c>
      <x:c r="AK698" s="117" t="str">
        <x:v>Not independently confirmed</x:v>
      </x:c>
      <x:c r="AL698" s="117" t="str">
        <x:v>Screened sources; accessibility unresolved</x:v>
      </x:c>
      <x:c r="AM698" s="117" t="str">
        <x:v>2026-09-08</x:v>
      </x:c>
      <x:c r="AN698" s="117" t="str">
        <x:v>https://upload.wikimedia.org/wikipedia/commons/b/b8/Rainforest_understory_in_Lambir_Hills_National_Park.jpg?utm_source=commons.wikimedia.org&amp;utm_campaign=imageinfo&amp;utm_content=thumbnail_unscaled</x:v>
      </x:c>
      <x:c r="AO698" s="117" t="str">
        <x:v>https://thumb.wikimedia.org/wikipedia/commons/thumb/3/39/Lambir-Hills-Waterfall.jpg/1280px-Lambir-Hills-Waterfall.jpg?utm_source=commons.wikimedia.org&amp;utm_campaign=imageinfo&amp;utm_content=thumbnail</x:v>
      </x:c>
      <x:c r="AP698" s="117" t="str">
        <x:v>2 metadata-matched images; visual review pending</x:v>
      </x:c>
      <x:c r="AQ698" s="117"/>
    </x:row>
    <x:row r="699" ht="66" customHeight="1">
      <x:c r="A699" s="117" t="str">
        <x:v>MC0696</x:v>
      </x:c>
      <x:c r="B699" s="117" t="str">
        <x:v>Miri Public Park</x:v>
      </x:c>
      <x:c r="C699" s="117" t="str">
        <x:v>Sarawak</x:v>
      </x:c>
      <x:c r="D699" s="117" t="str">
        <x:v>Miri</x:v>
      </x:c>
      <x:c r="E699" s="117" t="str">
        <x:v>Nature</x:v>
      </x:c>
      <x:c r="F699" s="117" t="str">
        <x:v>Unclassified</x:v>
      </x:c>
      <x:c r="G699" s="117" t="str">
        <x:v>Outdoor</x:v>
      </x:c>
      <x:c r="H699" s="117" t="str">
        <x:v>Nature; Miri</x:v>
      </x:c>
      <x:c r="I699" s="117" t="str">
        <x:v>A visitor attraction in Miri, Sarawak, listed in Tourism Malaysia's state travel guide. Venue operation and the precise accessible route require confirmation.</x:v>
      </x:c>
      <x:c r="J699" s="117" t="str">
        <x:v>https://ebrochures.malaysia.travel/en/malaysia-travel-guide/sarawak/</x:v>
      </x:c>
      <x:c r="K699" s="117" t="str">
        <x:v>https://ebrochures.malaysia.travel/en/malaysia-travel-guide/sarawak/</x:v>
      </x:c>
      <x:c r="L699" s="117" t="str">
        <x:v>Tourism Malaysia listing; operation unconfirmed</x:v>
      </x:c>
      <x:c r="M699" s="117" t="str">
        <x:v>Nationwide expansion 2026-09-08</x:v>
      </x:c>
      <x:c r="N699" s="117"/>
      <x:c r="O699" s="117" t="str">
        <x:v>2026-09-08</x:v>
      </x:c>
      <x:c r="P699" s="117" t="str">
        <x:v>Complete</x:v>
      </x:c>
      <x:c r="Q699" s="117"/>
      <x:c r="R699" s="117" t="str">
        <x:f>IF(J699="","Missing Link",IF(AND(ISNUMBER(SEARCH("google.com/maps",J699)),ISERROR(SEARCH(";",J699))),"Discovery Link Only","Source Link Present"))</x:f>
        <x:v>Source Link Present</x:v>
      </x:c>
      <x:c r="S699" s="117" t="str">
        <x:v>Unknown</x:v>
      </x:c>
      <x:c r="T699" s="117" t="str">
        <x:v>Unknown</x:v>
      </x:c>
      <x:c r="U699" s="117" t="str">
        <x:v>Unknown</x:v>
      </x:c>
      <x:c r="V699" s="117" t="str">
        <x:v>Unknown</x:v>
      </x:c>
      <x:c r="W699" s="117" t="str">
        <x:v>Unknown</x:v>
      </x:c>
      <x:c r="X699" s="117" t="str">
        <x:v>Unknown</x:v>
      </x:c>
      <x:c r="Y699" s="117" t="str">
        <x:v>Unknown</x:v>
      </x:c>
      <x:c r="Z699" s="117"/>
      <x:c r="AA699" s="117" t="str">
        <x:v>Pending evidence</x:v>
      </x:c>
      <x:c r="AB699" s="117"/>
      <x:c r="AC699" s="117" t="str">
        <x:v>No qualifying accessibility conclusion established from the screened sources. This is unknown, not evidence that the attraction is inaccessible.</x:v>
      </x:c>
      <x:c r="AD699" s="117" t="str">
        <x:v>2026-09-08</x:v>
      </x:c>
      <x:c r="AE699" s="117" t="str">
        <x:v>MC0696</x:v>
      </x:c>
      <x:c r="AF699" s="117" t="str">
        <x:v>Distinct candidate</x:v>
      </x:c>
      <x:c r="AG699" s="117" t="str"/>
      <x:c r="AH699" s="117" t="str">
        <x:v>Listed by Tourism Malaysia</x:v>
      </x:c>
      <x:c r="AI699" s="117" t="str">
        <x:v>https://ebrochures.malaysia.travel/en/malaysia-travel-guide/sarawak/</x:v>
      </x:c>
      <x:c r="AJ699" s="117" t="str">
        <x:v>Named visitor attraction in cited source; state-guide listings can be historical. Locality is catalogue metadata, not a surveyed address. Current operation remains unconfirmed.</x:v>
      </x:c>
      <x:c r="AK699" s="117" t="str">
        <x:v>Not independently confirmed</x:v>
      </x:c>
      <x:c r="AL699" s="117" t="str">
        <x:v>Screened sources; accessibility unresolved</x:v>
      </x:c>
      <x:c r="AM699" s="117" t="str">
        <x:v>2026-09-08</x:v>
      </x:c>
      <x:c r="AN699" s="117" t="str">
        <x:v>https://thumb.wikimedia.org/wikipedia/commons/thumb/3/38/Taman_Awam_Miri.JPG/1280px-Taman_Awam_Miri.JPG?utm_source=commons.wikimedia.org&amp;utm_campaign=imageinfo&amp;utm_content=thumbnail</x:v>
      </x:c>
      <x:c r="AO699" s="117"/>
      <x:c r="AP699" s="117" t="str">
        <x:v>1 metadata-matched images; visual review pending</x:v>
      </x:c>
      <x:c r="AQ699" s="117"/>
    </x:row>
    <x:row r="700" ht="66" customHeight="1">
      <x:c r="A700" s="117" t="str">
        <x:v>MC0697</x:v>
      </x:c>
      <x:c r="B700" s="117" t="str">
        <x:v>Miri City Fan</x:v>
      </x:c>
      <x:c r="C700" s="117" t="str">
        <x:v>Sarawak</x:v>
      </x:c>
      <x:c r="D700" s="117" t="str">
        <x:v>Miri</x:v>
      </x:c>
      <x:c r="E700" s="117" t="str">
        <x:v>Heritage and Visitor Attraction</x:v>
      </x:c>
      <x:c r="F700" s="117" t="str">
        <x:v>Unclassified</x:v>
      </x:c>
      <x:c r="G700" s="117" t="str">
        <x:v>Both</x:v>
      </x:c>
      <x:c r="H700" s="117" t="str">
        <x:v>Heritage and Visitor Attraction; Miri</x:v>
      </x:c>
      <x:c r="I700" s="117" t="str">
        <x:v>A visitor attraction in Miri, Sarawak, listed in Tourism Malaysia's state travel guide. Venue operation and the precise accessible route require confirmation.</x:v>
      </x:c>
      <x:c r="J700" s="117" t="str">
        <x:v>https://ebrochures.malaysia.travel/en/malaysia-travel-guide/sarawak/</x:v>
      </x:c>
      <x:c r="K700" s="117" t="str">
        <x:v>https://ebrochures.malaysia.travel/en/malaysia-travel-guide/sarawak/</x:v>
      </x:c>
      <x:c r="L700" s="117" t="str">
        <x:v>Tourism Malaysia listing; operation unconfirmed</x:v>
      </x:c>
      <x:c r="M700" s="117" t="str">
        <x:v>Nationwide expansion 2026-09-08</x:v>
      </x:c>
      <x:c r="N700" s="117"/>
      <x:c r="O700" s="117" t="str">
        <x:v>2026-09-08</x:v>
      </x:c>
      <x:c r="P700" s="117" t="str">
        <x:v>Complete</x:v>
      </x:c>
      <x:c r="Q700" s="117"/>
      <x:c r="R700" s="117" t="str">
        <x:f>IF(J700="","Missing Link",IF(AND(ISNUMBER(SEARCH("google.com/maps",J700)),ISERROR(SEARCH(";",J700))),"Discovery Link Only","Source Link Present"))</x:f>
        <x:v>Source Link Present</x:v>
      </x:c>
      <x:c r="S700" s="117" t="str">
        <x:v>Unknown</x:v>
      </x:c>
      <x:c r="T700" s="117" t="str">
        <x:v>Unknown</x:v>
      </x:c>
      <x:c r="U700" s="117" t="str">
        <x:v>Unknown</x:v>
      </x:c>
      <x:c r="V700" s="117" t="str">
        <x:v>Unknown</x:v>
      </x:c>
      <x:c r="W700" s="117" t="str">
        <x:v>Unknown</x:v>
      </x:c>
      <x:c r="X700" s="117" t="str">
        <x:v>Unknown</x:v>
      </x:c>
      <x:c r="Y700" s="117" t="str">
        <x:v>Unknown</x:v>
      </x:c>
      <x:c r="Z700" s="117"/>
      <x:c r="AA700" s="117" t="str">
        <x:v>Pending evidence</x:v>
      </x:c>
      <x:c r="AB700" s="117"/>
      <x:c r="AC700" s="117" t="str">
        <x:v>No qualifying accessibility conclusion established from the screened sources. This is unknown, not evidence that the attraction is inaccessible.</x:v>
      </x:c>
      <x:c r="AD700" s="117" t="str">
        <x:v>2026-09-08</x:v>
      </x:c>
      <x:c r="AE700" s="117" t="str">
        <x:v>MC0697</x:v>
      </x:c>
      <x:c r="AF700" s="117" t="str">
        <x:v>Distinct candidate</x:v>
      </x:c>
      <x:c r="AG700" s="117" t="str"/>
      <x:c r="AH700" s="117" t="str">
        <x:v>Listed by Tourism Malaysia</x:v>
      </x:c>
      <x:c r="AI700" s="117" t="str">
        <x:v>https://ebrochures.malaysia.travel/en/malaysia-travel-guide/sarawak/</x:v>
      </x:c>
      <x:c r="AJ700" s="117" t="str">
        <x:v>Named visitor attraction in cited source; state-guide listings can be historical. Locality is catalogue metadata, not a surveyed address. Current operation remains unconfirmed.</x:v>
      </x:c>
      <x:c r="AK700" s="117" t="str">
        <x:v>Not independently confirmed</x:v>
      </x:c>
      <x:c r="AL700" s="117" t="str">
        <x:v>Screened sources; accessibility unresolved</x:v>
      </x:c>
      <x:c r="AM700" s="117" t="str">
        <x:v>2026-09-08</x:v>
      </x:c>
      <x:c r="AN700" s="117" t="str">
        <x:v>https://thumb.wikimedia.org/wikipedia/commons/thumb/9/93/Miri_Unity_Tower.jpg/1280px-Miri_Unity_Tower.jpg?utm_source=commons.wikimedia.org&amp;utm_campaign=imageinfo&amp;utm_content=thumbnail</x:v>
      </x:c>
      <x:c r="AO700" s="117" t="str">
        <x:v>https://thumb.wikimedia.org/wikipedia/commons/thumb/3/38/Miri_Indoor_Stadium.jpg/1280px-Miri_Indoor_Stadium.jpg?utm_source=commons.wikimedia.org&amp;utm_campaign=imageinfo&amp;utm_content=thumbnail</x:v>
      </x:c>
      <x:c r="AP700" s="117" t="str">
        <x:v>2 metadata-matched images; visual review pending</x:v>
      </x:c>
      <x:c r="AQ700" s="117"/>
    </x:row>
    <x:row r="701" ht="66" customHeight="1">
      <x:c r="A701" s="117" t="str">
        <x:v>MC0698</x:v>
      </x:c>
      <x:c r="B701" s="117" t="str">
        <x:v>Luak Bay Esplanade</x:v>
      </x:c>
      <x:c r="C701" s="117" t="str">
        <x:v>Sarawak</x:v>
      </x:c>
      <x:c r="D701" s="117" t="str">
        <x:v>Miri</x:v>
      </x:c>
      <x:c r="E701" s="117" t="str">
        <x:v>Heritage and Visitor Attraction</x:v>
      </x:c>
      <x:c r="F701" s="117" t="str">
        <x:v>Unclassified</x:v>
      </x:c>
      <x:c r="G701" s="117" t="str">
        <x:v>Both</x:v>
      </x:c>
      <x:c r="H701" s="117" t="str">
        <x:v>Heritage and Visitor Attraction; Miri</x:v>
      </x:c>
      <x:c r="I701" s="117" t="str">
        <x:v>A visitor attraction in Miri, Sarawak, listed in Tourism Malaysia's state travel guide. Venue operation and the precise accessible route require confirmation.</x:v>
      </x:c>
      <x:c r="J701" s="117" t="str">
        <x:v>https://ebrochures.malaysia.travel/en/malaysia-travel-guide/sarawak/</x:v>
      </x:c>
      <x:c r="K701" s="117" t="str">
        <x:v>https://ebrochures.malaysia.travel/en/malaysia-travel-guide/sarawak/</x:v>
      </x:c>
      <x:c r="L701" s="117" t="str">
        <x:v>Tourism Malaysia listing; operation unconfirmed</x:v>
      </x:c>
      <x:c r="M701" s="117" t="str">
        <x:v>Nationwide expansion 2026-09-08</x:v>
      </x:c>
      <x:c r="N701" s="117"/>
      <x:c r="O701" s="117" t="str">
        <x:v>2026-09-08</x:v>
      </x:c>
      <x:c r="P701" s="117" t="str">
        <x:v>Complete</x:v>
      </x:c>
      <x:c r="Q701" s="117"/>
      <x:c r="R701" s="117" t="str">
        <x:f>IF(J701="","Missing Link",IF(AND(ISNUMBER(SEARCH("google.com/maps",J701)),ISERROR(SEARCH(";",J701))),"Discovery Link Only","Source Link Present"))</x:f>
        <x:v>Source Link Present</x:v>
      </x:c>
      <x:c r="S701" s="117" t="str">
        <x:v>Unknown</x:v>
      </x:c>
      <x:c r="T701" s="117" t="str">
        <x:v>Unknown</x:v>
      </x:c>
      <x:c r="U701" s="117" t="str">
        <x:v>Unknown</x:v>
      </x:c>
      <x:c r="V701" s="117" t="str">
        <x:v>Unknown</x:v>
      </x:c>
      <x:c r="W701" s="117" t="str">
        <x:v>Unknown</x:v>
      </x:c>
      <x:c r="X701" s="117" t="str">
        <x:v>Unknown</x:v>
      </x:c>
      <x:c r="Y701" s="117" t="str">
        <x:v>Unknown</x:v>
      </x:c>
      <x:c r="Z701" s="117"/>
      <x:c r="AA701" s="117" t="str">
        <x:v>Pending evidence</x:v>
      </x:c>
      <x:c r="AB701" s="117"/>
      <x:c r="AC701" s="117" t="str">
        <x:v>No qualifying accessibility conclusion established from the screened sources. This is unknown, not evidence that the attraction is inaccessible.</x:v>
      </x:c>
      <x:c r="AD701" s="117" t="str">
        <x:v>2026-09-08</x:v>
      </x:c>
      <x:c r="AE701" s="117" t="str">
        <x:v>MC0698</x:v>
      </x:c>
      <x:c r="AF701" s="117" t="str">
        <x:v>Distinct candidate</x:v>
      </x:c>
      <x:c r="AG701" s="117" t="str"/>
      <x:c r="AH701" s="117" t="str">
        <x:v>Listed by Tourism Malaysia</x:v>
      </x:c>
      <x:c r="AI701" s="117" t="str">
        <x:v>https://ebrochures.malaysia.travel/en/malaysia-travel-guide/sarawak/</x:v>
      </x:c>
      <x:c r="AJ701" s="117" t="str">
        <x:v>Named visitor attraction in cited source; state-guide listings can be historical. Locality is catalogue metadata, not a surveyed address. Current operation remains unconfirmed.</x:v>
      </x:c>
      <x:c r="AK701" s="117" t="str">
        <x:v>Not independently confirmed</x:v>
      </x:c>
      <x:c r="AL701" s="117" t="str">
        <x:v>Screened sources; accessibility unresolved</x:v>
      </x:c>
      <x:c r="AM701" s="117" t="str">
        <x:v>2026-09-08</x:v>
      </x:c>
      <x:c r="AN701" s="117"/>
      <x:c r="AO701" s="117"/>
      <x:c r="AP701" s="117" t="str">
        <x:v>No usable pair located; image research pending</x:v>
      </x:c>
      <x:c r="AQ701" s="117"/>
    </x:row>
    <x:row r="702" ht="66" customHeight="1">
      <x:c r="A702" s="117" t="str">
        <x:v>MC0699</x:v>
      </x:c>
      <x:c r="B702" s="117" t="str">
        <x:v>Lian Hua San Temple</x:v>
      </x:c>
      <x:c r="C702" s="117" t="str">
        <x:v>Sarawak</x:v>
      </x:c>
      <x:c r="D702" s="117" t="str">
        <x:v>Miri</x:v>
      </x:c>
      <x:c r="E702" s="117" t="str">
        <x:v>Religious Site</x:v>
      </x:c>
      <x:c r="F702" s="117" t="str">
        <x:v>Unclassified</x:v>
      </x:c>
      <x:c r="G702" s="117" t="str">
        <x:v>Both</x:v>
      </x:c>
      <x:c r="H702" s="117" t="str">
        <x:v>Religious Site; Miri</x:v>
      </x:c>
      <x:c r="I702" s="117" t="str">
        <x:v>A visitor attraction in Miri, Sarawak, listed in Tourism Malaysia's state travel guide. Venue operation and the precise accessible route require confirmation.</x:v>
      </x:c>
      <x:c r="J702" s="117" t="str">
        <x:v>https://ebrochures.malaysia.travel/en/malaysia-travel-guide/sarawak/</x:v>
      </x:c>
      <x:c r="K702" s="117" t="str">
        <x:v>https://ebrochures.malaysia.travel/en/malaysia-travel-guide/sarawak/</x:v>
      </x:c>
      <x:c r="L702" s="117" t="str">
        <x:v>Tourism Malaysia listing; operation unconfirmed</x:v>
      </x:c>
      <x:c r="M702" s="117" t="str">
        <x:v>Nationwide expansion 2026-09-08</x:v>
      </x:c>
      <x:c r="N702" s="117"/>
      <x:c r="O702" s="117" t="str">
        <x:v>2026-09-08</x:v>
      </x:c>
      <x:c r="P702" s="117" t="str">
        <x:v>Complete</x:v>
      </x:c>
      <x:c r="Q702" s="117"/>
      <x:c r="R702" s="117" t="str">
        <x:f>IF(J702="","Missing Link",IF(AND(ISNUMBER(SEARCH("google.com/maps",J702)),ISERROR(SEARCH(";",J702))),"Discovery Link Only","Source Link Present"))</x:f>
        <x:v>Source Link Present</x:v>
      </x:c>
      <x:c r="S702" s="117" t="str">
        <x:v>Unknown</x:v>
      </x:c>
      <x:c r="T702" s="117" t="str">
        <x:v>Unknown</x:v>
      </x:c>
      <x:c r="U702" s="117" t="str">
        <x:v>Unknown</x:v>
      </x:c>
      <x:c r="V702" s="117" t="str">
        <x:v>Unknown</x:v>
      </x:c>
      <x:c r="W702" s="117" t="str">
        <x:v>Unknown</x:v>
      </x:c>
      <x:c r="X702" s="117" t="str">
        <x:v>Unknown</x:v>
      </x:c>
      <x:c r="Y702" s="117" t="str">
        <x:v>Unknown</x:v>
      </x:c>
      <x:c r="Z702" s="117"/>
      <x:c r="AA702" s="117" t="str">
        <x:v>Pending evidence</x:v>
      </x:c>
      <x:c r="AB702" s="117"/>
      <x:c r="AC702" s="117" t="str">
        <x:v>No qualifying accessibility conclusion established from the screened sources. This is unknown, not evidence that the attraction is inaccessible.</x:v>
      </x:c>
      <x:c r="AD702" s="117" t="str">
        <x:v>2026-09-08</x:v>
      </x:c>
      <x:c r="AE702" s="117" t="str">
        <x:v>MC0699</x:v>
      </x:c>
      <x:c r="AF702" s="117" t="str">
        <x:v>Distinct candidate</x:v>
      </x:c>
      <x:c r="AG702" s="117" t="str"/>
      <x:c r="AH702" s="117" t="str">
        <x:v>Listed by Tourism Malaysia</x:v>
      </x:c>
      <x:c r="AI702" s="117" t="str">
        <x:v>https://ebrochures.malaysia.travel/en/malaysia-travel-guide/sarawak/</x:v>
      </x:c>
      <x:c r="AJ702" s="117" t="str">
        <x:v>Named visitor attraction in cited source; state-guide listings can be historical. Locality is catalogue metadata, not a surveyed address. Current operation remains unconfirmed.</x:v>
      </x:c>
      <x:c r="AK702" s="117" t="str">
        <x:v>Not independently confirmed</x:v>
      </x:c>
      <x:c r="AL702" s="117" t="str">
        <x:v>Screened sources; accessibility unresolved</x:v>
      </x:c>
      <x:c r="AM702" s="117" t="str">
        <x:v>2026-09-08</x:v>
      </x:c>
      <x:c r="AN702" s="117"/>
      <x:c r="AO702" s="117"/>
      <x:c r="AP702" s="117" t="str">
        <x:v>No usable pair located; image research pending</x:v>
      </x:c>
      <x:c r="AQ702" s="117"/>
    </x:row>
    <x:row r="703" ht="66" customHeight="1">
      <x:c r="A703" s="117" t="str">
        <x:v>MC0700</x:v>
      </x:c>
      <x:c r="B703" s="117" t="str">
        <x:v>Loagan Bunut National Park</x:v>
      </x:c>
      <x:c r="C703" s="117" t="str">
        <x:v>Sarawak</x:v>
      </x:c>
      <x:c r="D703" s="117" t="str">
        <x:v>Miri</x:v>
      </x:c>
      <x:c r="E703" s="117" t="str">
        <x:v>Nature</x:v>
      </x:c>
      <x:c r="F703" s="117" t="str">
        <x:v>Unclassified</x:v>
      </x:c>
      <x:c r="G703" s="117" t="str">
        <x:v>Outdoor</x:v>
      </x:c>
      <x:c r="H703" s="117" t="str">
        <x:v>Nature; Miri</x:v>
      </x:c>
      <x:c r="I703" s="117" t="str">
        <x:v>A visitor attraction in Miri, Sarawak, listed in Tourism Malaysia's state travel guide. Venue operation and the precise accessible route require confirmation.</x:v>
      </x:c>
      <x:c r="J703" s="117" t="str">
        <x:v>https://ebrochures.malaysia.travel/en/malaysia-travel-guide/sarawak/</x:v>
      </x:c>
      <x:c r="K703" s="117" t="str">
        <x:v>https://ebrochures.malaysia.travel/en/malaysia-travel-guide/sarawak/</x:v>
      </x:c>
      <x:c r="L703" s="117" t="str">
        <x:v>Tourism Malaysia listing; operation unconfirmed</x:v>
      </x:c>
      <x:c r="M703" s="117" t="str">
        <x:v>Nationwide expansion 2026-09-08</x:v>
      </x:c>
      <x:c r="N703" s="117"/>
      <x:c r="O703" s="117" t="str">
        <x:v>2026-09-08</x:v>
      </x:c>
      <x:c r="P703" s="117" t="str">
        <x:v>Complete</x:v>
      </x:c>
      <x:c r="Q703" s="117"/>
      <x:c r="R703" s="117" t="str">
        <x:f>IF(J703="","Missing Link",IF(AND(ISNUMBER(SEARCH("google.com/maps",J703)),ISERROR(SEARCH(";",J703))),"Discovery Link Only","Source Link Present"))</x:f>
        <x:v>Source Link Present</x:v>
      </x:c>
      <x:c r="S703" s="117" t="str">
        <x:v>Unknown</x:v>
      </x:c>
      <x:c r="T703" s="117" t="str">
        <x:v>Unknown</x:v>
      </x:c>
      <x:c r="U703" s="117" t="str">
        <x:v>Unknown</x:v>
      </x:c>
      <x:c r="V703" s="117" t="str">
        <x:v>Unknown</x:v>
      </x:c>
      <x:c r="W703" s="117" t="str">
        <x:v>Unknown</x:v>
      </x:c>
      <x:c r="X703" s="117" t="str">
        <x:v>Unknown</x:v>
      </x:c>
      <x:c r="Y703" s="117" t="str">
        <x:v>Unknown</x:v>
      </x:c>
      <x:c r="Z703" s="117"/>
      <x:c r="AA703" s="117" t="str">
        <x:v>Pending evidence</x:v>
      </x:c>
      <x:c r="AB703" s="117"/>
      <x:c r="AC703" s="117" t="str">
        <x:v>No qualifying accessibility conclusion established from the screened sources. This is unknown, not evidence that the attraction is inaccessible.</x:v>
      </x:c>
      <x:c r="AD703" s="117" t="str">
        <x:v>2026-09-08</x:v>
      </x:c>
      <x:c r="AE703" s="117" t="str">
        <x:v>MC0700</x:v>
      </x:c>
      <x:c r="AF703" s="117" t="str">
        <x:v>Distinct candidate</x:v>
      </x:c>
      <x:c r="AG703" s="117" t="str"/>
      <x:c r="AH703" s="117" t="str">
        <x:v>Listed by Tourism Malaysia</x:v>
      </x:c>
      <x:c r="AI703" s="117" t="str">
        <x:v>https://ebrochures.malaysia.travel/en/malaysia-travel-guide/sarawak/</x:v>
      </x:c>
      <x:c r="AJ703" s="117" t="str">
        <x:v>Named visitor attraction in cited source; state-guide listings can be historical. Locality is catalogue metadata, not a surveyed address. Current operation remains unconfirmed.</x:v>
      </x:c>
      <x:c r="AK703" s="117" t="str">
        <x:v>Not independently confirmed</x:v>
      </x:c>
      <x:c r="AL703" s="117" t="str">
        <x:v>Screened sources; accessibility unresolved</x:v>
      </x:c>
      <x:c r="AM703" s="117" t="str">
        <x:v>2026-09-08</x:v>
      </x:c>
      <x:c r="AN703" s="117"/>
      <x:c r="AO703" s="117"/>
      <x:c r="AP703" s="117" t="str">
        <x:v>No usable pair located; image research pending</x:v>
      </x:c>
      <x:c r="AQ703" s="117"/>
    </x:row>
    <x:row r="704" ht="66" customHeight="1">
      <x:c r="A704" s="117" t="str">
        <x:v>MC0701</x:v>
      </x:c>
      <x:c r="B704" s="117" t="str">
        <x:v>Rejang Esplanade</x:v>
      </x:c>
      <x:c r="C704" s="117" t="str">
        <x:v>Sarawak</x:v>
      </x:c>
      <x:c r="D704" s="117" t="str">
        <x:v>Sibu</x:v>
      </x:c>
      <x:c r="E704" s="117" t="str">
        <x:v>Heritage and Visitor Attraction</x:v>
      </x:c>
      <x:c r="F704" s="117" t="str">
        <x:v>Unclassified</x:v>
      </x:c>
      <x:c r="G704" s="117" t="str">
        <x:v>Both</x:v>
      </x:c>
      <x:c r="H704" s="117" t="str">
        <x:v>Heritage and Visitor Attraction; Sibu</x:v>
      </x:c>
      <x:c r="I704" s="117" t="str">
        <x:v>A visitor attraction in Sibu, Sarawak, listed in Tourism Malaysia's state travel guide. Venue operation and the precise accessible route require confirmation.</x:v>
      </x:c>
      <x:c r="J704" s="117" t="str">
        <x:v>https://ebrochures.malaysia.travel/en/malaysia-travel-guide/sarawak/</x:v>
      </x:c>
      <x:c r="K704" s="117" t="str">
        <x:v>https://ebrochures.malaysia.travel/en/malaysia-travel-guide/sarawak/</x:v>
      </x:c>
      <x:c r="L704" s="117" t="str">
        <x:v>Tourism Malaysia listing; operation unconfirmed</x:v>
      </x:c>
      <x:c r="M704" s="117" t="str">
        <x:v>Nationwide expansion 2026-09-08</x:v>
      </x:c>
      <x:c r="N704" s="117"/>
      <x:c r="O704" s="117" t="str">
        <x:v>2026-09-08</x:v>
      </x:c>
      <x:c r="P704" s="117" t="str">
        <x:v>Complete</x:v>
      </x:c>
      <x:c r="Q704" s="117"/>
      <x:c r="R704" s="117" t="str">
        <x:f>IF(J704="","Missing Link",IF(AND(ISNUMBER(SEARCH("google.com/maps",J704)),ISERROR(SEARCH(";",J704))),"Discovery Link Only","Source Link Present"))</x:f>
        <x:v>Source Link Present</x:v>
      </x:c>
      <x:c r="S704" s="117" t="str">
        <x:v>Unknown</x:v>
      </x:c>
      <x:c r="T704" s="117" t="str">
        <x:v>Unknown</x:v>
      </x:c>
      <x:c r="U704" s="117" t="str">
        <x:v>Unknown</x:v>
      </x:c>
      <x:c r="V704" s="117" t="str">
        <x:v>Unknown</x:v>
      </x:c>
      <x:c r="W704" s="117" t="str">
        <x:v>Unknown</x:v>
      </x:c>
      <x:c r="X704" s="117" t="str">
        <x:v>Unknown</x:v>
      </x:c>
      <x:c r="Y704" s="117" t="str">
        <x:v>Unknown</x:v>
      </x:c>
      <x:c r="Z704" s="117"/>
      <x:c r="AA704" s="117" t="str">
        <x:v>Pending evidence</x:v>
      </x:c>
      <x:c r="AB704" s="117"/>
      <x:c r="AC704" s="117" t="str">
        <x:v>No qualifying accessibility conclusion established from the screened sources. This is unknown, not evidence that the attraction is inaccessible.</x:v>
      </x:c>
      <x:c r="AD704" s="117" t="str">
        <x:v>2026-09-08</x:v>
      </x:c>
      <x:c r="AE704" s="117" t="str">
        <x:v>MC0701</x:v>
      </x:c>
      <x:c r="AF704" s="117" t="str">
        <x:v>Distinct candidate</x:v>
      </x:c>
      <x:c r="AG704" s="117" t="str"/>
      <x:c r="AH704" s="117" t="str">
        <x:v>Listed by Tourism Malaysia</x:v>
      </x:c>
      <x:c r="AI704" s="117" t="str">
        <x:v>https://ebrochures.malaysia.travel/en/malaysia-travel-guide/sarawak/</x:v>
      </x:c>
      <x:c r="AJ704" s="117" t="str">
        <x:v>Named visitor attraction in cited source; state-guide listings can be historical. Locality is catalogue metadata, not a surveyed address. Current operation remains unconfirmed.</x:v>
      </x:c>
      <x:c r="AK704" s="117" t="str">
        <x:v>Not independently confirmed</x:v>
      </x:c>
      <x:c r="AL704" s="117" t="str">
        <x:v>Screened sources; accessibility unresolved</x:v>
      </x:c>
      <x:c r="AM704" s="117" t="str">
        <x:v>2026-09-08</x:v>
      </x:c>
      <x:c r="AN704" s="117"/>
      <x:c r="AO704" s="117"/>
      <x:c r="AP704" s="117" t="str">
        <x:v>No usable pair located; image research pending</x:v>
      </x:c>
      <x:c r="AQ704" s="117"/>
    </x:row>
    <x:row r="705" ht="66" customHeight="1">
      <x:c r="A705" s="117" t="str">
        <x:v>MC0702</x:v>
      </x:c>
      <x:c r="B705" s="117" t="str">
        <x:v>Tua Pek Kong Temple Sibu</x:v>
      </x:c>
      <x:c r="C705" s="117" t="str">
        <x:v>Sarawak</x:v>
      </x:c>
      <x:c r="D705" s="117" t="str">
        <x:v>Sibu</x:v>
      </x:c>
      <x:c r="E705" s="117" t="str">
        <x:v>Religious Site</x:v>
      </x:c>
      <x:c r="F705" s="117" t="str">
        <x:v>Unclassified</x:v>
      </x:c>
      <x:c r="G705" s="117" t="str">
        <x:v>Both</x:v>
      </x:c>
      <x:c r="H705" s="117" t="str">
        <x:v>Religious Site; Sibu</x:v>
      </x:c>
      <x:c r="I705" s="117" t="str">
        <x:v>A visitor attraction in Sibu, Sarawak, listed in Tourism Malaysia's state travel guide. Venue operation and the precise accessible route require confirmation.</x:v>
      </x:c>
      <x:c r="J705" s="117" t="str">
        <x:v>https://ebrochures.malaysia.travel/en/malaysia-travel-guide/sarawak/</x:v>
      </x:c>
      <x:c r="K705" s="117" t="str">
        <x:v>https://ebrochures.malaysia.travel/en/malaysia-travel-guide/sarawak/</x:v>
      </x:c>
      <x:c r="L705" s="117" t="str">
        <x:v>Tourism Malaysia listing; operation unconfirmed</x:v>
      </x:c>
      <x:c r="M705" s="117" t="str">
        <x:v>Nationwide expansion 2026-09-08</x:v>
      </x:c>
      <x:c r="N705" s="117"/>
      <x:c r="O705" s="117" t="str">
        <x:v>2026-09-08</x:v>
      </x:c>
      <x:c r="P705" s="117" t="str">
        <x:v>Complete</x:v>
      </x:c>
      <x:c r="Q705" s="117"/>
      <x:c r="R705" s="117" t="str">
        <x:f>IF(J705="","Missing Link",IF(AND(ISNUMBER(SEARCH("google.com/maps",J705)),ISERROR(SEARCH(";",J705))),"Discovery Link Only","Source Link Present"))</x:f>
        <x:v>Source Link Present</x:v>
      </x:c>
      <x:c r="S705" s="117" t="str">
        <x:v>Unknown</x:v>
      </x:c>
      <x:c r="T705" s="117" t="str">
        <x:v>Unknown</x:v>
      </x:c>
      <x:c r="U705" s="117" t="str">
        <x:v>Unknown</x:v>
      </x:c>
      <x:c r="V705" s="117" t="str">
        <x:v>Unknown</x:v>
      </x:c>
      <x:c r="W705" s="117" t="str">
        <x:v>Unknown</x:v>
      </x:c>
      <x:c r="X705" s="117" t="str">
        <x:v>Unknown</x:v>
      </x:c>
      <x:c r="Y705" s="117" t="str">
        <x:v>Unknown</x:v>
      </x:c>
      <x:c r="Z705" s="117"/>
      <x:c r="AA705" s="117" t="str">
        <x:v>Pending evidence</x:v>
      </x:c>
      <x:c r="AB705" s="117"/>
      <x:c r="AC705" s="117" t="str">
        <x:v>No qualifying accessibility conclusion established from the screened sources. This is unknown, not evidence that the attraction is inaccessible.</x:v>
      </x:c>
      <x:c r="AD705" s="117" t="str">
        <x:v>2026-09-08</x:v>
      </x:c>
      <x:c r="AE705" s="117" t="str">
        <x:v>MC0702</x:v>
      </x:c>
      <x:c r="AF705" s="117" t="str">
        <x:v>Distinct candidate</x:v>
      </x:c>
      <x:c r="AG705" s="117" t="str"/>
      <x:c r="AH705" s="117" t="str">
        <x:v>Listed by Tourism Malaysia</x:v>
      </x:c>
      <x:c r="AI705" s="117" t="str">
        <x:v>https://ebrochures.malaysia.travel/en/malaysia-travel-guide/sarawak/</x:v>
      </x:c>
      <x:c r="AJ705" s="117" t="str">
        <x:v>Named visitor attraction in cited source; state-guide listings can be historical. Locality is catalogue metadata, not a surveyed address. Current operation remains unconfirmed.</x:v>
      </x:c>
      <x:c r="AK705" s="117" t="str">
        <x:v>Not independently confirmed</x:v>
      </x:c>
      <x:c r="AL705" s="117" t="str">
        <x:v>Screened sources; accessibility unresolved</x:v>
      </x:c>
      <x:c r="AM705" s="117" t="str">
        <x:v>2026-09-08</x:v>
      </x:c>
      <x:c r="AN705" s="117" t="str">
        <x:v>https://thumb.wikimedia.org/wikipedia/commons/thumb/2/23/Pagoda_of_Tua_Pek_Kong_Temple.JPG/1280px-Pagoda_of_Tua_Pek_Kong_Temple.JPG?utm_source=commons.wikimedia.org&amp;utm_campaign=imageinfo&amp;utm_content=thumbnail</x:v>
      </x:c>
      <x:c r="AO705" s="117" t="str">
        <x:v>https://thumb.wikimedia.org/wikipedia/commons/thumb/2/22/Tua_Pek_Kong_Temple_-_February_2019.jpg/1280px-Tua_Pek_Kong_Temple_-_February_2019.jpg?utm_source=commons.wikimedia.org&amp;utm_campaign=imageinfo&amp;utm_content=thumbnail</x:v>
      </x:c>
      <x:c r="AP705" s="117" t="str">
        <x:v>2 metadata-matched images; visual review pending</x:v>
      </x:c>
      <x:c r="AQ705" s="117"/>
    </x:row>
    <x:row r="706" ht="66" customHeight="1">
      <x:c r="A706" s="117" t="str">
        <x:v>MC0703</x:v>
      </x:c>
      <x:c r="B706" s="117" t="str">
        <x:v>Bukit Aup Jubilee Park</x:v>
      </x:c>
      <x:c r="C706" s="117" t="str">
        <x:v>Sarawak</x:v>
      </x:c>
      <x:c r="D706" s="117" t="str">
        <x:v>Sibu</x:v>
      </x:c>
      <x:c r="E706" s="117" t="str">
        <x:v>Nature</x:v>
      </x:c>
      <x:c r="F706" s="117" t="str">
        <x:v>Unclassified</x:v>
      </x:c>
      <x:c r="G706" s="117" t="str">
        <x:v>Outdoor</x:v>
      </x:c>
      <x:c r="H706" s="117" t="str">
        <x:v>Nature; Sibu</x:v>
      </x:c>
      <x:c r="I706" s="117" t="str">
        <x:v>A visitor attraction in Sibu, Sarawak, listed in Tourism Malaysia's state travel guide. Venue operation and the precise accessible route require confirmation.</x:v>
      </x:c>
      <x:c r="J706" s="117" t="str">
        <x:v>https://ebrochures.malaysia.travel/en/malaysia-travel-guide/sarawak/</x:v>
      </x:c>
      <x:c r="K706" s="117" t="str">
        <x:v>https://ebrochures.malaysia.travel/en/malaysia-travel-guide/sarawak/</x:v>
      </x:c>
      <x:c r="L706" s="117" t="str">
        <x:v>Tourism Malaysia listing; operation unconfirmed</x:v>
      </x:c>
      <x:c r="M706" s="117" t="str">
        <x:v>Nationwide expansion 2026-09-08</x:v>
      </x:c>
      <x:c r="N706" s="117"/>
      <x:c r="O706" s="117" t="str">
        <x:v>2026-09-08</x:v>
      </x:c>
      <x:c r="P706" s="117" t="str">
        <x:v>Complete</x:v>
      </x:c>
      <x:c r="Q706" s="117"/>
      <x:c r="R706" s="117" t="str">
        <x:f>IF(J706="","Missing Link",IF(AND(ISNUMBER(SEARCH("google.com/maps",J706)),ISERROR(SEARCH(";",J706))),"Discovery Link Only","Source Link Present"))</x:f>
        <x:v>Source Link Present</x:v>
      </x:c>
      <x:c r="S706" s="117" t="str">
        <x:v>Unknown</x:v>
      </x:c>
      <x:c r="T706" s="117" t="str">
        <x:v>Unknown</x:v>
      </x:c>
      <x:c r="U706" s="117" t="str">
        <x:v>Unknown</x:v>
      </x:c>
      <x:c r="V706" s="117" t="str">
        <x:v>Unknown</x:v>
      </x:c>
      <x:c r="W706" s="117" t="str">
        <x:v>Unknown</x:v>
      </x:c>
      <x:c r="X706" s="117" t="str">
        <x:v>Unknown</x:v>
      </x:c>
      <x:c r="Y706" s="117" t="str">
        <x:v>Unknown</x:v>
      </x:c>
      <x:c r="Z706" s="117"/>
      <x:c r="AA706" s="117" t="str">
        <x:v>Pending evidence</x:v>
      </x:c>
      <x:c r="AB706" s="117"/>
      <x:c r="AC706" s="117" t="str">
        <x:v>No qualifying accessibility conclusion established from the screened sources. This is unknown, not evidence that the attraction is inaccessible.</x:v>
      </x:c>
      <x:c r="AD706" s="117" t="str">
        <x:v>2026-09-08</x:v>
      </x:c>
      <x:c r="AE706" s="117" t="str">
        <x:v>MC0703</x:v>
      </x:c>
      <x:c r="AF706" s="117" t="str">
        <x:v>Distinct candidate</x:v>
      </x:c>
      <x:c r="AG706" s="117" t="str"/>
      <x:c r="AH706" s="117" t="str">
        <x:v>Listed by Tourism Malaysia</x:v>
      </x:c>
      <x:c r="AI706" s="117" t="str">
        <x:v>https://ebrochures.malaysia.travel/en/malaysia-travel-guide/sarawak/</x:v>
      </x:c>
      <x:c r="AJ706" s="117" t="str">
        <x:v>Named visitor attraction in cited source; state-guide listings can be historical. Locality is catalogue metadata, not a surveyed address. Current operation remains unconfirmed.</x:v>
      </x:c>
      <x:c r="AK706" s="117" t="str">
        <x:v>Not independently confirmed</x:v>
      </x:c>
      <x:c r="AL706" s="117" t="str">
        <x:v>Screened sources; accessibility unresolved</x:v>
      </x:c>
      <x:c r="AM706" s="117" t="str">
        <x:v>2026-09-08</x:v>
      </x:c>
      <x:c r="AN706" s="117" t="str">
        <x:v>https://thumb.wikimedia.org/wikipedia/commons/thumb/2/2e/Bukit_Aup_Jubilee_park_3.jpg/1280px-Bukit_Aup_Jubilee_park_3.jpg?utm_source=commons.wikimedia.org&amp;utm_campaign=imageinfo&amp;utm_content=thumbnail</x:v>
      </x:c>
      <x:c r="AO706" s="117" t="str">
        <x:v>https://thumb.wikimedia.org/wikipedia/commons/thumb/f/f6/Bukit_Aup_Jubilee_park_middle_of_the_hill.jpg/1280px-Bukit_Aup_Jubilee_park_middle_of_the_hill.jpg?utm_source=commons.wikimedia.org&amp;utm_campaign=imageinfo&amp;utm_content=thumbnail</x:v>
      </x:c>
      <x:c r="AP706" s="117" t="str">
        <x:v>2 metadata-matched images; visual review pending</x:v>
      </x:c>
      <x:c r="AQ706" s="117"/>
    </x:row>
    <x:row r="707" ht="66" customHeight="1">
      <x:c r="A707" s="117" t="str">
        <x:v>MC0704</x:v>
      </x:c>
      <x:c r="B707" s="117" t="str">
        <x:v>Merarap Hot Springs</x:v>
      </x:c>
      <x:c r="C707" s="117" t="str">
        <x:v>Sarawak</x:v>
      </x:c>
      <x:c r="D707" s="117" t="str">
        <x:v>Limbang</x:v>
      </x:c>
      <x:c r="E707" s="117" t="str">
        <x:v>Nature</x:v>
      </x:c>
      <x:c r="F707" s="117" t="str">
        <x:v>Unclassified</x:v>
      </x:c>
      <x:c r="G707" s="117" t="str">
        <x:v>Outdoor</x:v>
      </x:c>
      <x:c r="H707" s="117" t="str">
        <x:v>Nature; Limbang</x:v>
      </x:c>
      <x:c r="I707" s="117" t="str">
        <x:v>A visitor attraction in Limbang, Sarawak, listed in Tourism Malaysia's state travel guide. Venue operation and the precise accessible route require confirmation.</x:v>
      </x:c>
      <x:c r="J707" s="117" t="str">
        <x:v>https://ebrochures.malaysia.travel/en/malaysia-travel-guide/sarawak/</x:v>
      </x:c>
      <x:c r="K707" s="117" t="str">
        <x:v>https://ebrochures.malaysia.travel/en/malaysia-travel-guide/sarawak/</x:v>
      </x:c>
      <x:c r="L707" s="117" t="str">
        <x:v>Tourism Malaysia listing; operation unconfirmed</x:v>
      </x:c>
      <x:c r="M707" s="117" t="str">
        <x:v>Nationwide expansion 2026-09-08</x:v>
      </x:c>
      <x:c r="N707" s="117"/>
      <x:c r="O707" s="117" t="str">
        <x:v>2026-09-08</x:v>
      </x:c>
      <x:c r="P707" s="117" t="str">
        <x:v>Complete</x:v>
      </x:c>
      <x:c r="Q707" s="117"/>
      <x:c r="R707" s="117" t="str">
        <x:f>IF(J707="","Missing Link",IF(AND(ISNUMBER(SEARCH("google.com/maps",J707)),ISERROR(SEARCH(";",J707))),"Discovery Link Only","Source Link Present"))</x:f>
        <x:v>Source Link Present</x:v>
      </x:c>
      <x:c r="S707" s="117" t="str">
        <x:v>Unknown</x:v>
      </x:c>
      <x:c r="T707" s="117" t="str">
        <x:v>Unknown</x:v>
      </x:c>
      <x:c r="U707" s="117" t="str">
        <x:v>Unknown</x:v>
      </x:c>
      <x:c r="V707" s="117" t="str">
        <x:v>Unknown</x:v>
      </x:c>
      <x:c r="W707" s="117" t="str">
        <x:v>Unknown</x:v>
      </x:c>
      <x:c r="X707" s="117" t="str">
        <x:v>Unknown</x:v>
      </x:c>
      <x:c r="Y707" s="117" t="str">
        <x:v>Unknown</x:v>
      </x:c>
      <x:c r="Z707" s="117"/>
      <x:c r="AA707" s="117" t="str">
        <x:v>Pending evidence</x:v>
      </x:c>
      <x:c r="AB707" s="117"/>
      <x:c r="AC707" s="117" t="str">
        <x:v>No qualifying accessibility conclusion established from the screened sources. This is unknown, not evidence that the attraction is inaccessible.</x:v>
      </x:c>
      <x:c r="AD707" s="117" t="str">
        <x:v>2026-09-08</x:v>
      </x:c>
      <x:c r="AE707" s="117" t="str">
        <x:v>MC0704</x:v>
      </x:c>
      <x:c r="AF707" s="117" t="str">
        <x:v>Distinct candidate</x:v>
      </x:c>
      <x:c r="AG707" s="117" t="str"/>
      <x:c r="AH707" s="117" t="str">
        <x:v>Listed by Tourism Malaysia</x:v>
      </x:c>
      <x:c r="AI707" s="117" t="str">
        <x:v>https://ebrochures.malaysia.travel/en/malaysia-travel-guide/sarawak/</x:v>
      </x:c>
      <x:c r="AJ707" s="117" t="str">
        <x:v>Named visitor attraction in cited source; state-guide listings can be historical. Locality is catalogue metadata, not a surveyed address. Current operation remains unconfirmed.</x:v>
      </x:c>
      <x:c r="AK707" s="117" t="str">
        <x:v>Not independently confirmed</x:v>
      </x:c>
      <x:c r="AL707" s="117" t="str">
        <x:v>Screened sources; accessibility unresolved</x:v>
      </x:c>
      <x:c r="AM707" s="117" t="str">
        <x:v>2026-09-08</x:v>
      </x:c>
      <x:c r="AN707" s="117"/>
      <x:c r="AO707" s="117"/>
      <x:c r="AP707" s="117" t="str">
        <x:v>No usable pair located; image research pending</x:v>
      </x:c>
      <x:c r="AQ707" s="117"/>
    </x:row>
    <x:row r="708" ht="66" customHeight="1">
      <x:c r="A708" s="117" t="str">
        <x:v>MC0705</x:v>
      </x:c>
      <x:c r="B708" s="117" t="str">
        <x:v>Forest Research Institute Malaysia</x:v>
      </x:c>
      <x:c r="C708" s="117" t="str">
        <x:v>Selangor</x:v>
      </x:c>
      <x:c r="D708" s="117" t="str">
        <x:v>Kepong</x:v>
      </x:c>
      <x:c r="E708" s="117" t="str">
        <x:v>Nature</x:v>
      </x:c>
      <x:c r="F708" s="117" t="str">
        <x:v>Unclassified</x:v>
      </x:c>
      <x:c r="G708" s="117" t="str">
        <x:v>Outdoor</x:v>
      </x:c>
      <x:c r="H708" s="117" t="str">
        <x:v>Nature; Kepong</x:v>
      </x:c>
      <x:c r="I708" s="117" t="str">
        <x:v>A visitor attraction in Kepong, Selangor, listed in Tourism Malaysia's state travel guide. Venue operation and the precise accessible route require confirmation.</x:v>
      </x:c>
      <x:c r="J708" s="117" t="str">
        <x:v>https://ebrochures.malaysia.travel/en/malaysia-travel-guide/selangor/</x:v>
      </x:c>
      <x:c r="K708" s="117" t="str">
        <x:v>https://ebrochures.malaysia.travel/en/malaysia-travel-guide/selangor/</x:v>
      </x:c>
      <x:c r="L708" s="117" t="str">
        <x:v>Tourism Malaysia listing; operation unconfirmed</x:v>
      </x:c>
      <x:c r="M708" s="117" t="str">
        <x:v>Nationwide expansion 2026-09-08</x:v>
      </x:c>
      <x:c r="N708" s="117"/>
      <x:c r="O708" s="117" t="str">
        <x:v>2026-09-08</x:v>
      </x:c>
      <x:c r="P708" s="117" t="str">
        <x:v>Complete</x:v>
      </x:c>
      <x:c r="Q708" s="117"/>
      <x:c r="R708" s="117" t="str">
        <x:f>IF(J708="","Missing Link",IF(AND(ISNUMBER(SEARCH("google.com/maps",J708)),ISERROR(SEARCH(";",J708))),"Discovery Link Only","Source Link Present"))</x:f>
        <x:v>Source Link Present</x:v>
      </x:c>
      <x:c r="S708" s="117" t="str">
        <x:v>Unknown</x:v>
      </x:c>
      <x:c r="T708" s="117" t="str">
        <x:v>Unknown</x:v>
      </x:c>
      <x:c r="U708" s="117" t="str">
        <x:v>Unknown</x:v>
      </x:c>
      <x:c r="V708" s="117" t="str">
        <x:v>Unknown</x:v>
      </x:c>
      <x:c r="W708" s="117" t="str">
        <x:v>Unknown</x:v>
      </x:c>
      <x:c r="X708" s="117" t="str">
        <x:v>Unknown</x:v>
      </x:c>
      <x:c r="Y708" s="117" t="str">
        <x:v>Unknown</x:v>
      </x:c>
      <x:c r="Z708" s="117"/>
      <x:c r="AA708" s="117" t="str">
        <x:v>Pending evidence</x:v>
      </x:c>
      <x:c r="AB708" s="117"/>
      <x:c r="AC708" s="117" t="str">
        <x:v>No qualifying accessibility conclusion established from the screened sources. This is unknown, not evidence that the attraction is inaccessible.</x:v>
      </x:c>
      <x:c r="AD708" s="117" t="str">
        <x:v>2026-09-08</x:v>
      </x:c>
      <x:c r="AE708" s="117" t="str">
        <x:v>MC0705</x:v>
      </x:c>
      <x:c r="AF708" s="117" t="str">
        <x:v>Distinct candidate</x:v>
      </x:c>
      <x:c r="AG708" s="117" t="str"/>
      <x:c r="AH708" s="117" t="str">
        <x:v>Listed by Tourism Malaysia</x:v>
      </x:c>
      <x:c r="AI708" s="117" t="str">
        <x:v>https://ebrochures.malaysia.travel/en/malaysia-travel-guide/selangor/</x:v>
      </x:c>
      <x:c r="AJ708" s="117" t="str">
        <x:v>Named visitor attraction in cited source; state-guide listings can be historical. Locality is catalogue metadata, not a surveyed address. Current operation remains unconfirmed.</x:v>
      </x:c>
      <x:c r="AK708" s="117" t="str">
        <x:v>Not independently confirmed</x:v>
      </x:c>
      <x:c r="AL708" s="117" t="str">
        <x:v>Screened sources; accessibility unresolved</x:v>
      </x:c>
      <x:c r="AM708" s="117" t="str">
        <x:v>2026-09-08</x:v>
      </x:c>
      <x:c r="AN708" s="117" t="str">
        <x:v>https://upload.wikimedia.org/wikipedia/commons/0/0f/Tropical_Forest_Morning_at_FRIM%2C_Malaysia.jpg?utm_source=commons.wikimedia.org&amp;utm_campaign=imageinfo&amp;utm_content=thumbnail_unscaled</x:v>
      </x:c>
      <x:c r="AO708" s="117" t="str">
        <x:v>https://upload.wikimedia.org/wikipedia/commons/5/5f/Orange_Oakleaf_Butterfly_in_FRIM.jpg?utm_source=commons.wikimedia.org&amp;utm_campaign=imageinfo&amp;utm_content=thumbnail_unscaled</x:v>
      </x:c>
      <x:c r="AP708" s="117" t="str">
        <x:v>2 metadata-matched images; visual review pending</x:v>
      </x:c>
      <x:c r="AQ708" s="117"/>
    </x:row>
    <x:row r="709" ht="66" customHeight="1">
      <x:c r="A709" s="117" t="str">
        <x:v>MC0706</x:v>
      </x:c>
      <x:c r="B709" s="117" t="str">
        <x:v>Paddy Processing Factory and Gallery</x:v>
      </x:c>
      <x:c r="C709" s="117" t="str">
        <x:v>Selangor</x:v>
      </x:c>
      <x:c r="D709" s="117" t="str">
        <x:v>Sekinchan</x:v>
      </x:c>
      <x:c r="E709" s="117" t="str">
        <x:v>Museum and Gallery</x:v>
      </x:c>
      <x:c r="F709" s="117" t="str">
        <x:v>Unclassified</x:v>
      </x:c>
      <x:c r="G709" s="117" t="str">
        <x:v>Indoor</x:v>
      </x:c>
      <x:c r="H709" s="117" t="str">
        <x:v>Museum and Gallery; Sekinchan</x:v>
      </x:c>
      <x:c r="I709" s="117" t="str">
        <x:v>A visitor attraction in Sekinchan, Selangor, listed in Tourism Malaysia's state travel guide. Venue operation and the precise accessible route require confirmation.</x:v>
      </x:c>
      <x:c r="J709" s="117" t="str">
        <x:v>https://ebrochures.malaysia.travel/en/malaysia-travel-guide/selangor/</x:v>
      </x:c>
      <x:c r="K709" s="117" t="str">
        <x:v>https://ebrochures.malaysia.travel/en/malaysia-travel-guide/selangor/</x:v>
      </x:c>
      <x:c r="L709" s="117" t="str">
        <x:v>Tourism Malaysia listing; operation unconfirmed</x:v>
      </x:c>
      <x:c r="M709" s="117" t="str">
        <x:v>Nationwide expansion 2026-09-08</x:v>
      </x:c>
      <x:c r="N709" s="117"/>
      <x:c r="O709" s="117" t="str">
        <x:v>2026-09-08</x:v>
      </x:c>
      <x:c r="P709" s="117" t="str">
        <x:v>Complete</x:v>
      </x:c>
      <x:c r="Q709" s="117"/>
      <x:c r="R709" s="117" t="str">
        <x:f>IF(J709="","Missing Link",IF(AND(ISNUMBER(SEARCH("google.com/maps",J709)),ISERROR(SEARCH(";",J709))),"Discovery Link Only","Source Link Present"))</x:f>
        <x:v>Source Link Present</x:v>
      </x:c>
      <x:c r="S709" s="117" t="str">
        <x:v>Unknown</x:v>
      </x:c>
      <x:c r="T709" s="117" t="str">
        <x:v>Unknown</x:v>
      </x:c>
      <x:c r="U709" s="117" t="str">
        <x:v>Unknown</x:v>
      </x:c>
      <x:c r="V709" s="117" t="str">
        <x:v>Unknown</x:v>
      </x:c>
      <x:c r="W709" s="117" t="str">
        <x:v>Unknown</x:v>
      </x:c>
      <x:c r="X709" s="117" t="str">
        <x:v>Unknown</x:v>
      </x:c>
      <x:c r="Y709" s="117" t="str">
        <x:v>Unknown</x:v>
      </x:c>
      <x:c r="Z709" s="117"/>
      <x:c r="AA709" s="117" t="str">
        <x:v>Pending evidence</x:v>
      </x:c>
      <x:c r="AB709" s="117"/>
      <x:c r="AC709" s="117" t="str">
        <x:v>No qualifying accessibility conclusion established from the screened sources. This is unknown, not evidence that the attraction is inaccessible.</x:v>
      </x:c>
      <x:c r="AD709" s="117" t="str">
        <x:v>2026-09-08</x:v>
      </x:c>
      <x:c r="AE709" s="117" t="str">
        <x:v>MC0706</x:v>
      </x:c>
      <x:c r="AF709" s="117" t="str">
        <x:v>Distinct candidate</x:v>
      </x:c>
      <x:c r="AG709" s="117" t="str"/>
      <x:c r="AH709" s="117" t="str">
        <x:v>Listed by Tourism Malaysia</x:v>
      </x:c>
      <x:c r="AI709" s="117" t="str">
        <x:v>https://ebrochures.malaysia.travel/en/malaysia-travel-guide/selangor/</x:v>
      </x:c>
      <x:c r="AJ709" s="117" t="str">
        <x:v>Named visitor attraction in cited source; state-guide listings can be historical. Locality is catalogue metadata, not a surveyed address. Current operation remains unconfirmed.</x:v>
      </x:c>
      <x:c r="AK709" s="117" t="str">
        <x:v>Not independently confirmed</x:v>
      </x:c>
      <x:c r="AL709" s="117" t="str">
        <x:v>Screened sources; accessibility unresolved</x:v>
      </x:c>
      <x:c r="AM709" s="117" t="str">
        <x:v>2026-09-08</x:v>
      </x:c>
      <x:c r="AN709" s="117"/>
      <x:c r="AO709" s="117"/>
      <x:c r="AP709" s="117" t="str">
        <x:v>No usable pair located; image research pending</x:v>
      </x:c>
      <x:c r="AQ709" s="117"/>
    </x:row>
    <x:row r="710" ht="66" customHeight="1">
      <x:c r="A710" s="117" t="str">
        <x:v>MC0707</x:v>
      </x:c>
      <x:c r="B710" s="117" t="str">
        <x:v>Fo Guang Shan Dong Zen Temple</x:v>
      </x:c>
      <x:c r="C710" s="117" t="str">
        <x:v>Selangor</x:v>
      </x:c>
      <x:c r="D710" s="117" t="str">
        <x:v>Jenjarom</x:v>
      </x:c>
      <x:c r="E710" s="117" t="str">
        <x:v>Religious Site</x:v>
      </x:c>
      <x:c r="F710" s="117" t="str">
        <x:v>Unclassified</x:v>
      </x:c>
      <x:c r="G710" s="117" t="str">
        <x:v>Both</x:v>
      </x:c>
      <x:c r="H710" s="117" t="str">
        <x:v>Religious Site; Jenjarom</x:v>
      </x:c>
      <x:c r="I710" s="117" t="str">
        <x:v>A visitor attraction in Jenjarom, Selangor, listed in Tourism Malaysia's state travel guide. Venue operation and the precise accessible route require confirmation.</x:v>
      </x:c>
      <x:c r="J710" s="117" t="str">
        <x:v>https://ebrochures.malaysia.travel/en/malaysia-travel-guide/selangor/</x:v>
      </x:c>
      <x:c r="K710" s="117" t="str">
        <x:v>https://ebrochures.malaysia.travel/en/malaysia-travel-guide/selangor/</x:v>
      </x:c>
      <x:c r="L710" s="117" t="str">
        <x:v>Tourism Malaysia listing; operation unconfirmed</x:v>
      </x:c>
      <x:c r="M710" s="117" t="str">
        <x:v>Nationwide expansion 2026-09-08</x:v>
      </x:c>
      <x:c r="N710" s="117"/>
      <x:c r="O710" s="117" t="str">
        <x:v>2026-09-08</x:v>
      </x:c>
      <x:c r="P710" s="117" t="str">
        <x:v>Complete</x:v>
      </x:c>
      <x:c r="Q710" s="117"/>
      <x:c r="R710" s="117" t="str">
        <x:f>IF(J710="","Missing Link",IF(AND(ISNUMBER(SEARCH("google.com/maps",J710)),ISERROR(SEARCH(";",J710))),"Discovery Link Only","Source Link Present"))</x:f>
        <x:v>Source Link Present</x:v>
      </x:c>
      <x:c r="S710" s="117" t="str">
        <x:v>Unknown</x:v>
      </x:c>
      <x:c r="T710" s="117" t="str">
        <x:v>Unknown</x:v>
      </x:c>
      <x:c r="U710" s="117" t="str">
        <x:v>Unknown</x:v>
      </x:c>
      <x:c r="V710" s="117" t="str">
        <x:v>Unknown</x:v>
      </x:c>
      <x:c r="W710" s="117" t="str">
        <x:v>Unknown</x:v>
      </x:c>
      <x:c r="X710" s="117" t="str">
        <x:v>Unknown</x:v>
      </x:c>
      <x:c r="Y710" s="117" t="str">
        <x:v>Unknown</x:v>
      </x:c>
      <x:c r="Z710" s="117"/>
      <x:c r="AA710" s="117" t="str">
        <x:v>Pending evidence</x:v>
      </x:c>
      <x:c r="AB710" s="117"/>
      <x:c r="AC710" s="117" t="str">
        <x:v>No qualifying accessibility conclusion established from the screened sources. This is unknown, not evidence that the attraction is inaccessible.</x:v>
      </x:c>
      <x:c r="AD710" s="117" t="str">
        <x:v>2026-09-08</x:v>
      </x:c>
      <x:c r="AE710" s="117" t="str">
        <x:v>MC0707</x:v>
      </x:c>
      <x:c r="AF710" s="117" t="str">
        <x:v>Distinct candidate</x:v>
      </x:c>
      <x:c r="AG710" s="117" t="str"/>
      <x:c r="AH710" s="117" t="str">
        <x:v>Listed by Tourism Malaysia</x:v>
      </x:c>
      <x:c r="AI710" s="117" t="str">
        <x:v>https://ebrochures.malaysia.travel/en/malaysia-travel-guide/selangor/</x:v>
      </x:c>
      <x:c r="AJ710" s="117" t="str">
        <x:v>Named visitor attraction in cited source; state-guide listings can be historical. Locality is catalogue metadata, not a surveyed address. Current operation remains unconfirmed.</x:v>
      </x:c>
      <x:c r="AK710" s="117" t="str">
        <x:v>Not independently confirmed</x:v>
      </x:c>
      <x:c r="AL710" s="117" t="str">
        <x:v>Screened sources; accessibility unresolved</x:v>
      </x:c>
      <x:c r="AM710" s="117" t="str">
        <x:v>2026-09-08</x:v>
      </x:c>
      <x:c r="AN710" s="117"/>
      <x:c r="AO710" s="117"/>
      <x:c r="AP710" s="117" t="str">
        <x:v>No usable pair located; image research pending</x:v>
      </x:c>
      <x:c r="AQ710" s="117"/>
    </x:row>
    <x:row r="711" ht="66" customHeight="1">
      <x:c r="A711" s="117" t="str">
        <x:v>MC0708</x:v>
      </x:c>
      <x:c r="B711" s="117" t="str">
        <x:v>UPM Edu-Park</x:v>
      </x:c>
      <x:c r="C711" s="117" t="str">
        <x:v>Selangor</x:v>
      </x:c>
      <x:c r="D711" s="117" t="str">
        <x:v>Serdang</x:v>
      </x:c>
      <x:c r="E711" s="117" t="str">
        <x:v>Nature</x:v>
      </x:c>
      <x:c r="F711" s="117" t="str">
        <x:v>Unclassified</x:v>
      </x:c>
      <x:c r="G711" s="117" t="str">
        <x:v>Outdoor</x:v>
      </x:c>
      <x:c r="H711" s="117" t="str">
        <x:v>Nature; Serdang</x:v>
      </x:c>
      <x:c r="I711" s="117" t="str">
        <x:v>A visitor attraction in Serdang, Selangor, listed in Tourism Malaysia's state travel guide. Venue operation and the precise accessible route require confirmation.</x:v>
      </x:c>
      <x:c r="J711" s="117" t="str">
        <x:v>https://ebrochures.malaysia.travel/en/malaysia-travel-guide/selangor/</x:v>
      </x:c>
      <x:c r="K711" s="117" t="str">
        <x:v>https://ebrochures.malaysia.travel/en/malaysia-travel-guide/selangor/</x:v>
      </x:c>
      <x:c r="L711" s="117" t="str">
        <x:v>Tourism Malaysia listing; operation unconfirmed</x:v>
      </x:c>
      <x:c r="M711" s="117" t="str">
        <x:v>Nationwide expansion 2026-09-08</x:v>
      </x:c>
      <x:c r="N711" s="117"/>
      <x:c r="O711" s="117" t="str">
        <x:v>2026-09-08</x:v>
      </x:c>
      <x:c r="P711" s="117" t="str">
        <x:v>Complete</x:v>
      </x:c>
      <x:c r="Q711" s="117"/>
      <x:c r="R711" s="117" t="str">
        <x:f>IF(J711="","Missing Link",IF(AND(ISNUMBER(SEARCH("google.com/maps",J711)),ISERROR(SEARCH(";",J711))),"Discovery Link Only","Source Link Present"))</x:f>
        <x:v>Source Link Present</x:v>
      </x:c>
      <x:c r="S711" s="117" t="str">
        <x:v>Unknown</x:v>
      </x:c>
      <x:c r="T711" s="117" t="str">
        <x:v>Unknown</x:v>
      </x:c>
      <x:c r="U711" s="117" t="str">
        <x:v>Unknown</x:v>
      </x:c>
      <x:c r="V711" s="117" t="str">
        <x:v>Unknown</x:v>
      </x:c>
      <x:c r="W711" s="117" t="str">
        <x:v>Unknown</x:v>
      </x:c>
      <x:c r="X711" s="117" t="str">
        <x:v>Unknown</x:v>
      </x:c>
      <x:c r="Y711" s="117" t="str">
        <x:v>Unknown</x:v>
      </x:c>
      <x:c r="Z711" s="117"/>
      <x:c r="AA711" s="117" t="str">
        <x:v>Pending evidence</x:v>
      </x:c>
      <x:c r="AB711" s="117"/>
      <x:c r="AC711" s="117" t="str">
        <x:v>No qualifying accessibility conclusion established from the screened sources. This is unknown, not evidence that the attraction is inaccessible.</x:v>
      </x:c>
      <x:c r="AD711" s="117" t="str">
        <x:v>2026-09-08</x:v>
      </x:c>
      <x:c r="AE711" s="117" t="str">
        <x:v>MC0708</x:v>
      </x:c>
      <x:c r="AF711" s="117" t="str">
        <x:v>Distinct candidate</x:v>
      </x:c>
      <x:c r="AG711" s="117" t="str"/>
      <x:c r="AH711" s="117" t="str">
        <x:v>Listed by Tourism Malaysia</x:v>
      </x:c>
      <x:c r="AI711" s="117" t="str">
        <x:v>https://ebrochures.malaysia.travel/en/malaysia-travel-guide/selangor/</x:v>
      </x:c>
      <x:c r="AJ711" s="117" t="str">
        <x:v>Named visitor attraction in cited source; state-guide listings can be historical. Locality is catalogue metadata, not a surveyed address. Current operation remains unconfirmed.</x:v>
      </x:c>
      <x:c r="AK711" s="117" t="str">
        <x:v>Not independently confirmed</x:v>
      </x:c>
      <x:c r="AL711" s="117" t="str">
        <x:v>Screened sources; accessibility unresolved</x:v>
      </x:c>
      <x:c r="AM711" s="117" t="str">
        <x:v>2026-09-08</x:v>
      </x:c>
      <x:c r="AN711" s="117"/>
      <x:c r="AO711" s="117"/>
      <x:c r="AP711" s="117" t="str">
        <x:v>No usable pair located; image research pending</x:v>
      </x:c>
      <x:c r="AQ711" s="117"/>
    </x:row>
    <x:row r="712" ht="66" customHeight="1">
      <x:c r="A712" s="117" t="str">
        <x:v>MC0709</x:v>
      </x:c>
      <x:c r="B712" s="117" t="str">
        <x:v>MAEPS</x:v>
      </x:c>
      <x:c r="C712" s="117" t="str">
        <x:v>Selangor</x:v>
      </x:c>
      <x:c r="D712" s="117" t="str">
        <x:v>Serdang</x:v>
      </x:c>
      <x:c r="E712" s="117" t="str">
        <x:v>Heritage and Visitor Attraction</x:v>
      </x:c>
      <x:c r="F712" s="117" t="str">
        <x:v>Unclassified</x:v>
      </x:c>
      <x:c r="G712" s="117" t="str">
        <x:v>Both</x:v>
      </x:c>
      <x:c r="H712" s="117" t="str">
        <x:v>Heritage and Visitor Attraction; Serdang</x:v>
      </x:c>
      <x:c r="I712" s="117" t="str">
        <x:v>A visitor attraction in Serdang, Selangor, listed in Tourism Malaysia's state travel guide. Venue operation and the precise accessible route require confirmation.</x:v>
      </x:c>
      <x:c r="J712" s="117" t="str">
        <x:v>https://ebrochures.malaysia.travel/en/malaysia-travel-guide/selangor/</x:v>
      </x:c>
      <x:c r="K712" s="117" t="str">
        <x:v>https://ebrochures.malaysia.travel/en/malaysia-travel-guide/selangor/</x:v>
      </x:c>
      <x:c r="L712" s="117" t="str">
        <x:v>Tourism Malaysia listing; operation unconfirmed</x:v>
      </x:c>
      <x:c r="M712" s="117" t="str">
        <x:v>Nationwide expansion 2026-09-08</x:v>
      </x:c>
      <x:c r="N712" s="117"/>
      <x:c r="O712" s="117" t="str">
        <x:v>2026-09-08</x:v>
      </x:c>
      <x:c r="P712" s="117" t="str">
        <x:v>Complete</x:v>
      </x:c>
      <x:c r="Q712" s="117"/>
      <x:c r="R712" s="117" t="str">
        <x:f>IF(J712="","Missing Link",IF(AND(ISNUMBER(SEARCH("google.com/maps",J712)),ISERROR(SEARCH(";",J712))),"Discovery Link Only","Source Link Present"))</x:f>
        <x:v>Source Link Present</x:v>
      </x:c>
      <x:c r="S712" s="117" t="str">
        <x:v>Unknown</x:v>
      </x:c>
      <x:c r="T712" s="117" t="str">
        <x:v>Unknown</x:v>
      </x:c>
      <x:c r="U712" s="117" t="str">
        <x:v>Unknown</x:v>
      </x:c>
      <x:c r="V712" s="117" t="str">
        <x:v>Unknown</x:v>
      </x:c>
      <x:c r="W712" s="117" t="str">
        <x:v>Unknown</x:v>
      </x:c>
      <x:c r="X712" s="117" t="str">
        <x:v>Unknown</x:v>
      </x:c>
      <x:c r="Y712" s="117" t="str">
        <x:v>Unknown</x:v>
      </x:c>
      <x:c r="Z712" s="117"/>
      <x:c r="AA712" s="117" t="str">
        <x:v>Pending evidence</x:v>
      </x:c>
      <x:c r="AB712" s="117"/>
      <x:c r="AC712" s="117" t="str">
        <x:v>No qualifying accessibility conclusion established from the screened sources. This is unknown, not evidence that the attraction is inaccessible.</x:v>
      </x:c>
      <x:c r="AD712" s="117" t="str">
        <x:v>2026-09-08</x:v>
      </x:c>
      <x:c r="AE712" s="117" t="str">
        <x:v>MC0709</x:v>
      </x:c>
      <x:c r="AF712" s="117" t="str">
        <x:v>Distinct candidate</x:v>
      </x:c>
      <x:c r="AG712" s="117" t="str"/>
      <x:c r="AH712" s="117" t="str">
        <x:v>Listed by Tourism Malaysia</x:v>
      </x:c>
      <x:c r="AI712" s="117" t="str">
        <x:v>https://ebrochures.malaysia.travel/en/malaysia-travel-guide/selangor/</x:v>
      </x:c>
      <x:c r="AJ712" s="117" t="str">
        <x:v>Named visitor attraction in cited source; state-guide listings can be historical. Locality is catalogue metadata, not a surveyed address. Current operation remains unconfirmed.</x:v>
      </x:c>
      <x:c r="AK712" s="117" t="str">
        <x:v>Not independently confirmed</x:v>
      </x:c>
      <x:c r="AL712" s="117" t="str">
        <x:v>Screened sources; accessibility unresolved</x:v>
      </x:c>
      <x:c r="AM712" s="117" t="str">
        <x:v>2026-09-08</x:v>
      </x:c>
      <x:c r="AN712" s="117" t="str">
        <x:v>https://thumb.wikimedia.org/wikipedia/commons/thumb/3/3e/Main_entrance_of_MAEPS.jpg/1280px-Main_entrance_of_MAEPS.jpg?utm_source=commons.wikimedia.org&amp;utm_campaign=imageinfo&amp;utm_content=thumbnail</x:v>
      </x:c>
      <x:c r="AO712" s="117" t="str">
        <x:v>https://thumb.wikimedia.org/wikipedia/commons/thumb/a/ab/MAEPS%2C_Dewan_A.jpg/1280px-MAEPS%2C_Dewan_A.jpg?utm_source=commons.wikimedia.org&amp;utm_campaign=imageinfo&amp;utm_content=thumbnail</x:v>
      </x:c>
      <x:c r="AP712" s="117" t="str">
        <x:v>2 metadata-matched images; visual review pending</x:v>
      </x:c>
      <x:c r="AQ712" s="117"/>
    </x:row>
    <x:row r="713" ht="66" customHeight="1">
      <x:c r="A713" s="117" t="str">
        <x:v>MC0710</x:v>
      </x:c>
      <x:c r="B713" s="117" t="str">
        <x:v>Laman Seni 7</x:v>
      </x:c>
      <x:c r="C713" s="117" t="str">
        <x:v>Selangor</x:v>
      </x:c>
      <x:c r="D713" s="117" t="str">
        <x:v>Shah Alam</x:v>
      </x:c>
      <x:c r="E713" s="117" t="str">
        <x:v>Heritage and Visitor Attraction</x:v>
      </x:c>
      <x:c r="F713" s="117" t="str">
        <x:v>Unclassified</x:v>
      </x:c>
      <x:c r="G713" s="117" t="str">
        <x:v>Both</x:v>
      </x:c>
      <x:c r="H713" s="117" t="str">
        <x:v>Heritage and Visitor Attraction; Shah Alam</x:v>
      </x:c>
      <x:c r="I713" s="117" t="str">
        <x:v>A visitor attraction in Shah Alam, Selangor, listed in Tourism Malaysia's state travel guide. Venue operation and the precise accessible route require confirmation.</x:v>
      </x:c>
      <x:c r="J713" s="117" t="str">
        <x:v>https://ebrochures.malaysia.travel/en/malaysia-travel-guide/selangor/</x:v>
      </x:c>
      <x:c r="K713" s="117" t="str">
        <x:v>https://ebrochures.malaysia.travel/en/malaysia-travel-guide/selangor/</x:v>
      </x:c>
      <x:c r="L713" s="117" t="str">
        <x:v>Tourism Malaysia listing; operation unconfirmed</x:v>
      </x:c>
      <x:c r="M713" s="117" t="str">
        <x:v>Nationwide expansion 2026-09-08</x:v>
      </x:c>
      <x:c r="N713" s="117"/>
      <x:c r="O713" s="117" t="str">
        <x:v>2026-09-08</x:v>
      </x:c>
      <x:c r="P713" s="117" t="str">
        <x:v>Complete</x:v>
      </x:c>
      <x:c r="Q713" s="117"/>
      <x:c r="R713" s="117" t="str">
        <x:f>IF(J713="","Missing Link",IF(AND(ISNUMBER(SEARCH("google.com/maps",J713)),ISERROR(SEARCH(";",J713))),"Discovery Link Only","Source Link Present"))</x:f>
        <x:v>Source Link Present</x:v>
      </x:c>
      <x:c r="S713" s="117" t="str">
        <x:v>Unknown</x:v>
      </x:c>
      <x:c r="T713" s="117" t="str">
        <x:v>Unknown</x:v>
      </x:c>
      <x:c r="U713" s="117" t="str">
        <x:v>Unknown</x:v>
      </x:c>
      <x:c r="V713" s="117" t="str">
        <x:v>Unknown</x:v>
      </x:c>
      <x:c r="W713" s="117" t="str">
        <x:v>Unknown</x:v>
      </x:c>
      <x:c r="X713" s="117" t="str">
        <x:v>Unknown</x:v>
      </x:c>
      <x:c r="Y713" s="117" t="str">
        <x:v>Unknown</x:v>
      </x:c>
      <x:c r="Z713" s="117"/>
      <x:c r="AA713" s="117" t="str">
        <x:v>Pending evidence</x:v>
      </x:c>
      <x:c r="AB713" s="117"/>
      <x:c r="AC713" s="117" t="str">
        <x:v>No qualifying accessibility conclusion established from the screened sources. This is unknown, not evidence that the attraction is inaccessible.</x:v>
      </x:c>
      <x:c r="AD713" s="117" t="str">
        <x:v>2026-09-08</x:v>
      </x:c>
      <x:c r="AE713" s="117" t="str">
        <x:v>MC0710</x:v>
      </x:c>
      <x:c r="AF713" s="117" t="str">
        <x:v>Distinct candidate</x:v>
      </x:c>
      <x:c r="AG713" s="117" t="str"/>
      <x:c r="AH713" s="117" t="str">
        <x:v>Listed by Tourism Malaysia</x:v>
      </x:c>
      <x:c r="AI713" s="117" t="str">
        <x:v>https://ebrochures.malaysia.travel/en/malaysia-travel-guide/selangor/</x:v>
      </x:c>
      <x:c r="AJ713" s="117" t="str">
        <x:v>Named visitor attraction in cited source; state-guide listings can be historical. Locality is catalogue metadata, not a surveyed address. Current operation remains unconfirmed.</x:v>
      </x:c>
      <x:c r="AK713" s="117" t="str">
        <x:v>Not independently confirmed</x:v>
      </x:c>
      <x:c r="AL713" s="117" t="str">
        <x:v>Screened sources; accessibility unresolved</x:v>
      </x:c>
      <x:c r="AM713" s="117" t="str">
        <x:v>2026-09-08</x:v>
      </x:c>
      <x:c r="AN713" s="117" t="str">
        <x:v>https://thumb.wikimedia.org/wikipedia/commons/thumb/f/f0/P._Ramlee_mural_at_Laman_Seni_7%2C_Shah_Alam%2C_2025-04-13.jpg/1280px-P._Ramlee_mural_at_Laman_Seni_7%2C_Shah_Alam%2C_2025-04-13.jpg?utm_source=commons.wikimedia.org&amp;utm_campaign=imageinfo&amp;utm_content=thumbnail</x:v>
      </x:c>
      <x:c r="AO713" s="117"/>
      <x:c r="AP713" s="117" t="str">
        <x:v>1 metadata-matched images; visual review pending</x:v>
      </x:c>
      <x:c r="AQ713" s="117"/>
    </x:row>
    <x:row r="714" ht="66" customHeight="1">
      <x:c r="A714" s="117" t="str">
        <x:v>MC0711</x:v>
      </x:c>
      <x:c r="B714" s="117" t="str">
        <x:v>Shah Alam Lake Gardens</x:v>
      </x:c>
      <x:c r="C714" s="117" t="str">
        <x:v>Selangor</x:v>
      </x:c>
      <x:c r="D714" s="117" t="str">
        <x:v>Shah Alam</x:v>
      </x:c>
      <x:c r="E714" s="117" t="str">
        <x:v>Nature</x:v>
      </x:c>
      <x:c r="F714" s="117" t="str">
        <x:v>Unclassified</x:v>
      </x:c>
      <x:c r="G714" s="117" t="str">
        <x:v>Outdoor</x:v>
      </x:c>
      <x:c r="H714" s="117" t="str">
        <x:v>Nature; Shah Alam</x:v>
      </x:c>
      <x:c r="I714" s="117" t="str">
        <x:v>A visitor attraction in Shah Alam, Selangor, listed in Tourism Malaysia's state travel guide. Venue operation and the precise accessible route require confirmation.</x:v>
      </x:c>
      <x:c r="J714" s="117" t="str">
        <x:v>https://ebrochures.malaysia.travel/en/malaysia-travel-guide/selangor/</x:v>
      </x:c>
      <x:c r="K714" s="117" t="str">
        <x:v>https://ebrochures.malaysia.travel/en/malaysia-travel-guide/selangor/</x:v>
      </x:c>
      <x:c r="L714" s="117" t="str">
        <x:v>Tourism Malaysia listing; operation unconfirmed</x:v>
      </x:c>
      <x:c r="M714" s="117" t="str">
        <x:v>Nationwide expansion 2026-09-08</x:v>
      </x:c>
      <x:c r="N714" s="117"/>
      <x:c r="O714" s="117" t="str">
        <x:v>2026-09-08</x:v>
      </x:c>
      <x:c r="P714" s="117" t="str">
        <x:v>Complete</x:v>
      </x:c>
      <x:c r="Q714" s="117"/>
      <x:c r="R714" s="117" t="str">
        <x:f>IF(J714="","Missing Link",IF(AND(ISNUMBER(SEARCH("google.com/maps",J714)),ISERROR(SEARCH(";",J714))),"Discovery Link Only","Source Link Present"))</x:f>
        <x:v>Source Link Present</x:v>
      </x:c>
      <x:c r="S714" s="117" t="str">
        <x:v>Unknown</x:v>
      </x:c>
      <x:c r="T714" s="117" t="str">
        <x:v>Unknown</x:v>
      </x:c>
      <x:c r="U714" s="117" t="str">
        <x:v>Unknown</x:v>
      </x:c>
      <x:c r="V714" s="117" t="str">
        <x:v>Unknown</x:v>
      </x:c>
      <x:c r="W714" s="117" t="str">
        <x:v>Unknown</x:v>
      </x:c>
      <x:c r="X714" s="117" t="str">
        <x:v>Unknown</x:v>
      </x:c>
      <x:c r="Y714" s="117" t="str">
        <x:v>Unknown</x:v>
      </x:c>
      <x:c r="Z714" s="117"/>
      <x:c r="AA714" s="117" t="str">
        <x:v>Pending evidence</x:v>
      </x:c>
      <x:c r="AB714" s="117"/>
      <x:c r="AC714" s="117" t="str">
        <x:v>No qualifying accessibility conclusion established from the screened sources. This is unknown, not evidence that the attraction is inaccessible.</x:v>
      </x:c>
      <x:c r="AD714" s="117" t="str">
        <x:v>2026-09-08</x:v>
      </x:c>
      <x:c r="AE714" s="117" t="str">
        <x:v>MC0711</x:v>
      </x:c>
      <x:c r="AF714" s="117" t="str">
        <x:v>Distinct candidate</x:v>
      </x:c>
      <x:c r="AG714" s="117" t="str"/>
      <x:c r="AH714" s="117" t="str">
        <x:v>Listed by Tourism Malaysia</x:v>
      </x:c>
      <x:c r="AI714" s="117" t="str">
        <x:v>https://ebrochures.malaysia.travel/en/malaysia-travel-guide/selangor/</x:v>
      </x:c>
      <x:c r="AJ714" s="117" t="str">
        <x:v>Named visitor attraction in cited source; state-guide listings can be historical. Locality is catalogue metadata, not a surveyed address. Current operation remains unconfirmed.</x:v>
      </x:c>
      <x:c r="AK714" s="117" t="str">
        <x:v>Not independently confirmed</x:v>
      </x:c>
      <x:c r="AL714" s="117" t="str">
        <x:v>Screened sources; accessibility unresolved</x:v>
      </x:c>
      <x:c r="AM714" s="117" t="str">
        <x:v>2026-09-08</x:v>
      </x:c>
      <x:c r="AN714" s="117" t="str">
        <x:v>https://upload.wikimedia.org/wikipedia/commons/3/3f/Shah_Alam_Mosque.jpg?utm_source=commons.wikimedia.org&amp;utm_campaign=imageinfo&amp;utm_content=thumbnail_unscaled</x:v>
      </x:c>
      <x:c r="AO714" s="117" t="str">
        <x:v>https://thumb.wikimedia.org/wikipedia/commons/thumb/d/d8/Jambatan_Kanopi%2C_Taman_Tasik_Shah_Alam_%28190812-1509%29.jpg/1280px-Jambatan_Kanopi%2C_Taman_Tasik_Shah_Alam_%28190812-1509%29.jpg?utm_source=commons.wikimedia.org&amp;utm_campaign=imageinfo&amp;utm_content=thumbnail</x:v>
      </x:c>
      <x:c r="AP714" s="117" t="str">
        <x:v>2 metadata-matched images; visual review pending</x:v>
      </x:c>
      <x:c r="AQ714" s="117"/>
    </x:row>
    <x:row r="715" ht="66" customHeight="1">
      <x:c r="A715" s="117" t="str">
        <x:v>MC0712</x:v>
      </x:c>
      <x:c r="B715" s="117" t="str">
        <x:v>Islamic Arts Garden Complex</x:v>
      </x:c>
      <x:c r="C715" s="117" t="str">
        <x:v>Selangor</x:v>
      </x:c>
      <x:c r="D715" s="117" t="str">
        <x:v>Shah Alam</x:v>
      </x:c>
      <x:c r="E715" s="117" t="str">
        <x:v>Nature</x:v>
      </x:c>
      <x:c r="F715" s="117" t="str">
        <x:v>Unclassified</x:v>
      </x:c>
      <x:c r="G715" s="117" t="str">
        <x:v>Outdoor</x:v>
      </x:c>
      <x:c r="H715" s="117" t="str">
        <x:v>Nature; Shah Alam</x:v>
      </x:c>
      <x:c r="I715" s="117" t="str">
        <x:v>A visitor attraction in Shah Alam, Selangor, listed in Tourism Malaysia's state travel guide. Venue operation and the precise accessible route require confirmation.</x:v>
      </x:c>
      <x:c r="J715" s="117" t="str">
        <x:v>https://ebrochures.malaysia.travel/en/malaysia-travel-guide/selangor/</x:v>
      </x:c>
      <x:c r="K715" s="117" t="str">
        <x:v>https://ebrochures.malaysia.travel/en/malaysia-travel-guide/selangor/</x:v>
      </x:c>
      <x:c r="L715" s="117" t="str">
        <x:v>Tourism Malaysia listing; operation unconfirmed</x:v>
      </x:c>
      <x:c r="M715" s="117" t="str">
        <x:v>Nationwide expansion 2026-09-08</x:v>
      </x:c>
      <x:c r="N715" s="117"/>
      <x:c r="O715" s="117" t="str">
        <x:v>2026-09-08</x:v>
      </x:c>
      <x:c r="P715" s="117" t="str">
        <x:v>Complete</x:v>
      </x:c>
      <x:c r="Q715" s="117"/>
      <x:c r="R715" s="117" t="str">
        <x:f>IF(J715="","Missing Link",IF(AND(ISNUMBER(SEARCH("google.com/maps",J715)),ISERROR(SEARCH(";",J715))),"Discovery Link Only","Source Link Present"))</x:f>
        <x:v>Source Link Present</x:v>
      </x:c>
      <x:c r="S715" s="117" t="str">
        <x:v>Unknown</x:v>
      </x:c>
      <x:c r="T715" s="117" t="str">
        <x:v>Unknown</x:v>
      </x:c>
      <x:c r="U715" s="117" t="str">
        <x:v>Unknown</x:v>
      </x:c>
      <x:c r="V715" s="117" t="str">
        <x:v>Unknown</x:v>
      </x:c>
      <x:c r="W715" s="117" t="str">
        <x:v>Unknown</x:v>
      </x:c>
      <x:c r="X715" s="117" t="str">
        <x:v>Unknown</x:v>
      </x:c>
      <x:c r="Y715" s="117" t="str">
        <x:v>Unknown</x:v>
      </x:c>
      <x:c r="Z715" s="117"/>
      <x:c r="AA715" s="117" t="str">
        <x:v>Pending evidence</x:v>
      </x:c>
      <x:c r="AB715" s="117"/>
      <x:c r="AC715" s="117" t="str">
        <x:v>No qualifying accessibility conclusion established from the screened sources. This is unknown, not evidence that the attraction is inaccessible.</x:v>
      </x:c>
      <x:c r="AD715" s="117" t="str">
        <x:v>2026-09-08</x:v>
      </x:c>
      <x:c r="AE715" s="117" t="str">
        <x:v>MC0712</x:v>
      </x:c>
      <x:c r="AF715" s="117" t="str">
        <x:v>Distinct candidate</x:v>
      </x:c>
      <x:c r="AG715" s="117" t="str"/>
      <x:c r="AH715" s="117" t="str">
        <x:v>Listed by Tourism Malaysia</x:v>
      </x:c>
      <x:c r="AI715" s="117" t="str">
        <x:v>https://ebrochures.malaysia.travel/en/malaysia-travel-guide/selangor/</x:v>
      </x:c>
      <x:c r="AJ715" s="117" t="str">
        <x:v>Named visitor attraction in cited source; state-guide listings can be historical. Locality is catalogue metadata, not a surveyed address. Current operation remains unconfirmed.</x:v>
      </x:c>
      <x:c r="AK715" s="117" t="str">
        <x:v>Not independently confirmed</x:v>
      </x:c>
      <x:c r="AL715" s="117" t="str">
        <x:v>Screened sources; accessibility unresolved</x:v>
      </x:c>
      <x:c r="AM715" s="117" t="str">
        <x:v>2026-09-08</x:v>
      </x:c>
      <x:c r="AN715" s="117"/>
      <x:c r="AO715" s="117"/>
      <x:c r="AP715" s="117" t="str">
        <x:v>No usable pair located; image research pending</x:v>
      </x:c>
      <x:c r="AQ715" s="117"/>
    </x:row>
    <x:row r="716" ht="66" customHeight="1">
      <x:c r="A716" s="117" t="str">
        <x:v>MC0713</x:v>
      </x:c>
      <x:c r="B716" s="117" t="str">
        <x:v>Wet World Shah Alam</x:v>
      </x:c>
      <x:c r="C716" s="117" t="str">
        <x:v>Selangor</x:v>
      </x:c>
      <x:c r="D716" s="117" t="str">
        <x:v>Shah Alam</x:v>
      </x:c>
      <x:c r="E716" s="117" t="str">
        <x:v>Theme Park</x:v>
      </x:c>
      <x:c r="F716" s="117" t="str">
        <x:v>Unclassified</x:v>
      </x:c>
      <x:c r="G716" s="117" t="str">
        <x:v>Both</x:v>
      </x:c>
      <x:c r="H716" s="117" t="str">
        <x:v>Theme Park; Shah Alam</x:v>
      </x:c>
      <x:c r="I716" s="117" t="str">
        <x:v>A visitor attraction in Shah Alam, Selangor, listed in Tourism Malaysia's state travel guide. Venue operation and the precise accessible route require confirmation.</x:v>
      </x:c>
      <x:c r="J716" s="117" t="str">
        <x:v>https://ebrochures.malaysia.travel/en/malaysia-travel-guide/selangor/</x:v>
      </x:c>
      <x:c r="K716" s="117" t="str">
        <x:v>https://ebrochures.malaysia.travel/en/malaysia-travel-guide/selangor/</x:v>
      </x:c>
      <x:c r="L716" s="117" t="str">
        <x:v>Tourism Malaysia listing; operation unconfirmed</x:v>
      </x:c>
      <x:c r="M716" s="117" t="str">
        <x:v>Nationwide expansion 2026-09-08</x:v>
      </x:c>
      <x:c r="N716" s="117"/>
      <x:c r="O716" s="117" t="str">
        <x:v>2026-09-08</x:v>
      </x:c>
      <x:c r="P716" s="117" t="str">
        <x:v>Complete</x:v>
      </x:c>
      <x:c r="Q716" s="117"/>
      <x:c r="R716" s="117" t="str">
        <x:f>IF(J716="","Missing Link",IF(AND(ISNUMBER(SEARCH("google.com/maps",J716)),ISERROR(SEARCH(";",J716))),"Discovery Link Only","Source Link Present"))</x:f>
        <x:v>Source Link Present</x:v>
      </x:c>
      <x:c r="S716" s="117" t="str">
        <x:v>Unknown</x:v>
      </x:c>
      <x:c r="T716" s="117" t="str">
        <x:v>Unknown</x:v>
      </x:c>
      <x:c r="U716" s="117" t="str">
        <x:v>Unknown</x:v>
      </x:c>
      <x:c r="V716" s="117" t="str">
        <x:v>Unknown</x:v>
      </x:c>
      <x:c r="W716" s="117" t="str">
        <x:v>Unknown</x:v>
      </x:c>
      <x:c r="X716" s="117" t="str">
        <x:v>Unknown</x:v>
      </x:c>
      <x:c r="Y716" s="117" t="str">
        <x:v>Unknown</x:v>
      </x:c>
      <x:c r="Z716" s="117"/>
      <x:c r="AA716" s="117" t="str">
        <x:v>Pending evidence</x:v>
      </x:c>
      <x:c r="AB716" s="117"/>
      <x:c r="AC716" s="117" t="str">
        <x:v>No qualifying accessibility conclusion established from the screened sources. This is unknown, not evidence that the attraction is inaccessible.</x:v>
      </x:c>
      <x:c r="AD716" s="117" t="str">
        <x:v>2026-09-08</x:v>
      </x:c>
      <x:c r="AE716" s="117" t="str">
        <x:v>MC0713</x:v>
      </x:c>
      <x:c r="AF716" s="117" t="str">
        <x:v>Distinct candidate</x:v>
      </x:c>
      <x:c r="AG716" s="117" t="str"/>
      <x:c r="AH716" s="117" t="str">
        <x:v>Listed by Tourism Malaysia</x:v>
      </x:c>
      <x:c r="AI716" s="117" t="str">
        <x:v>https://ebrochures.malaysia.travel/en/malaysia-travel-guide/selangor/</x:v>
      </x:c>
      <x:c r="AJ716" s="117" t="str">
        <x:v>Named visitor attraction in cited source; state-guide listings can be historical. Locality is catalogue metadata, not a surveyed address. Current operation remains unconfirmed.</x:v>
      </x:c>
      <x:c r="AK716" s="117" t="str">
        <x:v>Not independently confirmed</x:v>
      </x:c>
      <x:c r="AL716" s="117" t="str">
        <x:v>Screened sources; accessibility unresolved</x:v>
      </x:c>
      <x:c r="AM716" s="117" t="str">
        <x:v>2026-09-08</x:v>
      </x:c>
      <x:c r="AN716" s="117"/>
      <x:c r="AO716" s="117"/>
      <x:c r="AP716" s="117" t="str">
        <x:v>No usable pair located; image research pending</x:v>
      </x:c>
      <x:c r="AQ716" s="117"/>
    </x:row>
    <x:row r="717" ht="66" customHeight="1">
      <x:c r="A717" s="117" t="str">
        <x:v>MC0714</x:v>
      </x:c>
      <x:c r="B717" s="117" t="str">
        <x:v>Little India Klang</x:v>
      </x:c>
      <x:c r="C717" s="117" t="str">
        <x:v>Selangor</x:v>
      </x:c>
      <x:c r="D717" s="117" t="str">
        <x:v>Klang</x:v>
      </x:c>
      <x:c r="E717" s="117" t="str">
        <x:v>Heritage and Visitor Attraction</x:v>
      </x:c>
      <x:c r="F717" s="117" t="str">
        <x:v>Unclassified</x:v>
      </x:c>
      <x:c r="G717" s="117" t="str">
        <x:v>Both</x:v>
      </x:c>
      <x:c r="H717" s="117" t="str">
        <x:v>Heritage and Visitor Attraction; Klang</x:v>
      </x:c>
      <x:c r="I717" s="117" t="str">
        <x:v>A visitor attraction in Klang, Selangor, listed in Tourism Malaysia's state travel guide. Venue operation and the precise accessible route require confirmation.</x:v>
      </x:c>
      <x:c r="J717" s="117" t="str">
        <x:v>https://ebrochures.malaysia.travel/en/malaysia-travel-guide/selangor/</x:v>
      </x:c>
      <x:c r="K717" s="117" t="str">
        <x:v>https://ebrochures.malaysia.travel/en/malaysia-travel-guide/selangor/</x:v>
      </x:c>
      <x:c r="L717" s="117" t="str">
        <x:v>Tourism Malaysia listing; operation unconfirmed</x:v>
      </x:c>
      <x:c r="M717" s="117" t="str">
        <x:v>Nationwide expansion 2026-09-08</x:v>
      </x:c>
      <x:c r="N717" s="117"/>
      <x:c r="O717" s="117" t="str">
        <x:v>2026-09-08</x:v>
      </x:c>
      <x:c r="P717" s="117" t="str">
        <x:v>Complete</x:v>
      </x:c>
      <x:c r="Q717" s="117"/>
      <x:c r="R717" s="117" t="str">
        <x:f>IF(J717="","Missing Link",IF(AND(ISNUMBER(SEARCH("google.com/maps",J717)),ISERROR(SEARCH(";",J717))),"Discovery Link Only","Source Link Present"))</x:f>
        <x:v>Source Link Present</x:v>
      </x:c>
      <x:c r="S717" s="117" t="str">
        <x:v>Unknown</x:v>
      </x:c>
      <x:c r="T717" s="117" t="str">
        <x:v>Unknown</x:v>
      </x:c>
      <x:c r="U717" s="117" t="str">
        <x:v>Unknown</x:v>
      </x:c>
      <x:c r="V717" s="117" t="str">
        <x:v>Unknown</x:v>
      </x:c>
      <x:c r="W717" s="117" t="str">
        <x:v>Unknown</x:v>
      </x:c>
      <x:c r="X717" s="117" t="str">
        <x:v>Unknown</x:v>
      </x:c>
      <x:c r="Y717" s="117" t="str">
        <x:v>Unknown</x:v>
      </x:c>
      <x:c r="Z717" s="117"/>
      <x:c r="AA717" s="117" t="str">
        <x:v>Pending evidence</x:v>
      </x:c>
      <x:c r="AB717" s="117"/>
      <x:c r="AC717" s="117" t="str">
        <x:v>No qualifying accessibility conclusion established from the screened sources. This is unknown, not evidence that the attraction is inaccessible.</x:v>
      </x:c>
      <x:c r="AD717" s="117" t="str">
        <x:v>2026-09-08</x:v>
      </x:c>
      <x:c r="AE717" s="117" t="str">
        <x:v>MC0714</x:v>
      </x:c>
      <x:c r="AF717" s="117" t="str">
        <x:v>Distinct candidate</x:v>
      </x:c>
      <x:c r="AG717" s="117" t="str"/>
      <x:c r="AH717" s="117" t="str">
        <x:v>Listed by Tourism Malaysia</x:v>
      </x:c>
      <x:c r="AI717" s="117" t="str">
        <x:v>https://ebrochures.malaysia.travel/en/malaysia-travel-guide/selangor/</x:v>
      </x:c>
      <x:c r="AJ717" s="117" t="str">
        <x:v>Named visitor attraction in cited source; state-guide listings can be historical. Locality is catalogue metadata, not a surveyed address. Current operation remains unconfirmed.</x:v>
      </x:c>
      <x:c r="AK717" s="117" t="str">
        <x:v>Not independently confirmed</x:v>
      </x:c>
      <x:c r="AL717" s="117" t="str">
        <x:v>Screened sources; accessibility unresolved</x:v>
      </x:c>
      <x:c r="AM717" s="117" t="str">
        <x:v>2026-09-08</x:v>
      </x:c>
      <x:c r="AN717" s="117"/>
      <x:c r="AO717" s="117"/>
      <x:c r="AP717" s="117" t="str">
        <x:v>No usable pair located; image research pending</x:v>
      </x:c>
      <x:c r="AQ717" s="117"/>
    </x:row>
    <x:row r="718" ht="66" customHeight="1">
      <x:c r="A718" s="117" t="str">
        <x:v>MC0715</x:v>
      </x:c>
      <x:c r="B718" s="117" t="str">
        <x:v>Bukit Jugra</x:v>
      </x:c>
      <x:c r="C718" s="117" t="str">
        <x:v>Selangor</x:v>
      </x:c>
      <x:c r="D718" s="117" t="str">
        <x:v>Kuala Langat</x:v>
      </x:c>
      <x:c r="E718" s="117" t="str">
        <x:v>Nature</x:v>
      </x:c>
      <x:c r="F718" s="117" t="str">
        <x:v>Unclassified</x:v>
      </x:c>
      <x:c r="G718" s="117" t="str">
        <x:v>Outdoor</x:v>
      </x:c>
      <x:c r="H718" s="117" t="str">
        <x:v>Nature; Kuala Langat</x:v>
      </x:c>
      <x:c r="I718" s="117" t="str">
        <x:v>A visitor attraction in Kuala Langat, Selangor, listed in Tourism Malaysia's state travel guide. Venue operation and the precise accessible route require confirmation.</x:v>
      </x:c>
      <x:c r="J718" s="117" t="str">
        <x:v>https://ebrochures.malaysia.travel/en/malaysia-travel-guide/selangor/</x:v>
      </x:c>
      <x:c r="K718" s="117" t="str">
        <x:v>https://ebrochures.malaysia.travel/en/malaysia-travel-guide/selangor/</x:v>
      </x:c>
      <x:c r="L718" s="117" t="str">
        <x:v>Tourism Malaysia listing; operation unconfirmed</x:v>
      </x:c>
      <x:c r="M718" s="117" t="str">
        <x:v>Nationwide expansion 2026-09-08</x:v>
      </x:c>
      <x:c r="N718" s="117"/>
      <x:c r="O718" s="117" t="str">
        <x:v>2026-09-08</x:v>
      </x:c>
      <x:c r="P718" s="117" t="str">
        <x:v>Complete</x:v>
      </x:c>
      <x:c r="Q718" s="117"/>
      <x:c r="R718" s="117" t="str">
        <x:f>IF(J718="","Missing Link",IF(AND(ISNUMBER(SEARCH("google.com/maps",J718)),ISERROR(SEARCH(";",J718))),"Discovery Link Only","Source Link Present"))</x:f>
        <x:v>Source Link Present</x:v>
      </x:c>
      <x:c r="S718" s="117" t="str">
        <x:v>Unknown</x:v>
      </x:c>
      <x:c r="T718" s="117" t="str">
        <x:v>Unknown</x:v>
      </x:c>
      <x:c r="U718" s="117" t="str">
        <x:v>Unknown</x:v>
      </x:c>
      <x:c r="V718" s="117" t="str">
        <x:v>Unknown</x:v>
      </x:c>
      <x:c r="W718" s="117" t="str">
        <x:v>Unknown</x:v>
      </x:c>
      <x:c r="X718" s="117" t="str">
        <x:v>Unknown</x:v>
      </x:c>
      <x:c r="Y718" s="117" t="str">
        <x:v>Unknown</x:v>
      </x:c>
      <x:c r="Z718" s="117"/>
      <x:c r="AA718" s="117" t="str">
        <x:v>Pending evidence</x:v>
      </x:c>
      <x:c r="AB718" s="117"/>
      <x:c r="AC718" s="117" t="str">
        <x:v>No qualifying accessibility conclusion established from the screened sources. This is unknown, not evidence that the attraction is inaccessible.</x:v>
      </x:c>
      <x:c r="AD718" s="117" t="str">
        <x:v>2026-09-08</x:v>
      </x:c>
      <x:c r="AE718" s="117" t="str">
        <x:v>MC0715</x:v>
      </x:c>
      <x:c r="AF718" s="117" t="str">
        <x:v>Distinct candidate</x:v>
      </x:c>
      <x:c r="AG718" s="117" t="str"/>
      <x:c r="AH718" s="117" t="str">
        <x:v>Listed by Tourism Malaysia</x:v>
      </x:c>
      <x:c r="AI718" s="117" t="str">
        <x:v>https://ebrochures.malaysia.travel/en/malaysia-travel-guide/selangor/</x:v>
      </x:c>
      <x:c r="AJ718" s="117" t="str">
        <x:v>Named visitor attraction in cited source; state-guide listings can be historical. Locality is catalogue metadata, not a surveyed address. Current operation remains unconfirmed.</x:v>
      </x:c>
      <x:c r="AK718" s="117" t="str">
        <x:v>Not independently confirmed</x:v>
      </x:c>
      <x:c r="AL718" s="117" t="str">
        <x:v>Screened sources; accessibility unresolved</x:v>
      </x:c>
      <x:c r="AM718" s="117" t="str">
        <x:v>2026-09-08</x:v>
      </x:c>
      <x:c r="AN718" s="117" t="str">
        <x:v>https://thumb.wikimedia.org/wikipedia/commons/thumb/c/c8/Jalan_Bukit_Jugra_4.jpg/1280px-Jalan_Bukit_Jugra_4.jpg?utm_source=commons.wikimedia.org&amp;utm_campaign=imageinfo&amp;utm_content=thumbnail</x:v>
      </x:c>
      <x:c r="AO718" s="117" t="str">
        <x:v>https://thumb.wikimedia.org/wikipedia/commons/thumb/1/13/Jalan_Bukit_Jugra_1.jpg/1280px-Jalan_Bukit_Jugra_1.jpg?utm_source=commons.wikimedia.org&amp;utm_campaign=imageinfo&amp;utm_content=thumbnail</x:v>
      </x:c>
      <x:c r="AP718" s="117" t="str">
        <x:v>2 metadata-matched images; visual review pending</x:v>
      </x:c>
      <x:c r="AQ718" s="117"/>
    </x:row>
    <x:row r="719" ht="66" customHeight="1">
      <x:c r="A719" s="117" t="str">
        <x:v>MC0716</x:v>
      </x:c>
      <x:c r="B719" s="117" t="str">
        <x:v>KidZania Kuala Lumpur</x:v>
      </x:c>
      <x:c r="C719" s="117" t="str">
        <x:v>Selangor</x:v>
      </x:c>
      <x:c r="D719" s="117" t="str">
        <x:v>Petaling Jaya</x:v>
      </x:c>
      <x:c r="E719" s="117" t="str">
        <x:v>Theme Park</x:v>
      </x:c>
      <x:c r="F719" s="117" t="str">
        <x:v>Unclassified</x:v>
      </x:c>
      <x:c r="G719" s="117" t="str">
        <x:v>Both</x:v>
      </x:c>
      <x:c r="H719" s="117" t="str">
        <x:v>Theme Park; Petaling Jaya</x:v>
      </x:c>
      <x:c r="I719" s="117" t="str">
        <x:v>A visitor attraction in Petaling Jaya, Selangor, listed in Tourism Malaysia's state travel guide. Venue operation and the precise accessible route require confirmation.</x:v>
      </x:c>
      <x:c r="J719" s="117" t="str">
        <x:v>https://ebrochures.malaysia.travel/en/malaysia-travel-guide/selangor/</x:v>
      </x:c>
      <x:c r="K719" s="117" t="str">
        <x:v>https://ebrochures.malaysia.travel/en/malaysia-travel-guide/selangor/</x:v>
      </x:c>
      <x:c r="L719" s="117" t="str">
        <x:v>Tourism Malaysia listing; operation unconfirmed</x:v>
      </x:c>
      <x:c r="M719" s="117" t="str">
        <x:v>Nationwide expansion 2026-09-08</x:v>
      </x:c>
      <x:c r="N719" s="117"/>
      <x:c r="O719" s="117" t="str">
        <x:v>2026-09-08</x:v>
      </x:c>
      <x:c r="P719" s="117" t="str">
        <x:v>Complete</x:v>
      </x:c>
      <x:c r="Q719" s="117"/>
      <x:c r="R719" s="117" t="str">
        <x:f>IF(J719="","Missing Link",IF(AND(ISNUMBER(SEARCH("google.com/maps",J719)),ISERROR(SEARCH(";",J719))),"Discovery Link Only","Source Link Present"))</x:f>
        <x:v>Source Link Present</x:v>
      </x:c>
      <x:c r="S719" s="117" t="str">
        <x:v>Unknown</x:v>
      </x:c>
      <x:c r="T719" s="117" t="str">
        <x:v>Unknown</x:v>
      </x:c>
      <x:c r="U719" s="117" t="str">
        <x:v>Unknown</x:v>
      </x:c>
      <x:c r="V719" s="117" t="str">
        <x:v>Unknown</x:v>
      </x:c>
      <x:c r="W719" s="117" t="str">
        <x:v>Unknown</x:v>
      </x:c>
      <x:c r="X719" s="117" t="str">
        <x:v>Unknown</x:v>
      </x:c>
      <x:c r="Y719" s="117" t="str">
        <x:v>Unknown</x:v>
      </x:c>
      <x:c r="Z719" s="117"/>
      <x:c r="AA719" s="117" t="str">
        <x:v>Pending evidence</x:v>
      </x:c>
      <x:c r="AB719" s="117"/>
      <x:c r="AC719" s="117" t="str">
        <x:v>No qualifying accessibility conclusion established from the screened sources. This is unknown, not evidence that the attraction is inaccessible.</x:v>
      </x:c>
      <x:c r="AD719" s="117" t="str">
        <x:v>2026-09-08</x:v>
      </x:c>
      <x:c r="AE719" s="117" t="str">
        <x:v>MC0716</x:v>
      </x:c>
      <x:c r="AF719" s="117" t="str">
        <x:v>Distinct candidate</x:v>
      </x:c>
      <x:c r="AG719" s="117" t="str"/>
      <x:c r="AH719" s="117" t="str">
        <x:v>Listed by Tourism Malaysia</x:v>
      </x:c>
      <x:c r="AI719" s="117" t="str">
        <x:v>https://ebrochures.malaysia.travel/en/malaysia-travel-guide/selangor/</x:v>
      </x:c>
      <x:c r="AJ719" s="117" t="str">
        <x:v>Named visitor attraction in cited source; state-guide listings can be historical. Locality is catalogue metadata, not a surveyed address. Current operation remains unconfirmed.</x:v>
      </x:c>
      <x:c r="AK719" s="117" t="str">
        <x:v>Not independently confirmed</x:v>
      </x:c>
      <x:c r="AL719" s="117" t="str">
        <x:v>Screened sources; accessibility unresolved</x:v>
      </x:c>
      <x:c r="AM719" s="117" t="str">
        <x:v>2026-09-08</x:v>
      </x:c>
      <x:c r="AN719" s="117"/>
      <x:c r="AO719" s="117"/>
      <x:c r="AP719" s="117" t="str">
        <x:v>No usable pair located; image research pending</x:v>
      </x:c>
      <x:c r="AQ719" s="117"/>
    </x:row>
    <x:row r="720" ht="66" customHeight="1">
      <x:c r="A720" s="117" t="str">
        <x:v>MC0717</x:v>
      </x:c>
      <x:c r="B720" s="117" t="str">
        <x:v>Chocolate Museum Kota Damansara</x:v>
      </x:c>
      <x:c r="C720" s="117" t="str">
        <x:v>Selangor</x:v>
      </x:c>
      <x:c r="D720" s="117" t="str">
        <x:v>Petaling Jaya</x:v>
      </x:c>
      <x:c r="E720" s="117" t="str">
        <x:v>Museum and Gallery</x:v>
      </x:c>
      <x:c r="F720" s="117" t="str">
        <x:v>Unclassified</x:v>
      </x:c>
      <x:c r="G720" s="117" t="str">
        <x:v>Indoor</x:v>
      </x:c>
      <x:c r="H720" s="117" t="str">
        <x:v>Museum and Gallery; Petaling Jaya</x:v>
      </x:c>
      <x:c r="I720" s="117" t="str">
        <x:v>A visitor attraction in Petaling Jaya, Selangor, listed in Tourism Malaysia's state travel guide. Venue operation and the precise accessible route require confirmation.</x:v>
      </x:c>
      <x:c r="J720" s="117" t="str">
        <x:v>https://ebrochures.malaysia.travel/en/malaysia-travel-guide/selangor/</x:v>
      </x:c>
      <x:c r="K720" s="117" t="str">
        <x:v>https://ebrochures.malaysia.travel/en/malaysia-travel-guide/selangor/</x:v>
      </x:c>
      <x:c r="L720" s="117" t="str">
        <x:v>Tourism Malaysia listing; operation unconfirmed</x:v>
      </x:c>
      <x:c r="M720" s="117" t="str">
        <x:v>Nationwide expansion 2026-09-08</x:v>
      </x:c>
      <x:c r="N720" s="117"/>
      <x:c r="O720" s="117" t="str">
        <x:v>2026-09-08</x:v>
      </x:c>
      <x:c r="P720" s="117" t="str">
        <x:v>Complete</x:v>
      </x:c>
      <x:c r="Q720" s="117"/>
      <x:c r="R720" s="117" t="str">
        <x:f>IF(J720="","Missing Link",IF(AND(ISNUMBER(SEARCH("google.com/maps",J720)),ISERROR(SEARCH(";",J720))),"Discovery Link Only","Source Link Present"))</x:f>
        <x:v>Source Link Present</x:v>
      </x:c>
      <x:c r="S720" s="117" t="str">
        <x:v>Unknown</x:v>
      </x:c>
      <x:c r="T720" s="117" t="str">
        <x:v>Unknown</x:v>
      </x:c>
      <x:c r="U720" s="117" t="str">
        <x:v>Unknown</x:v>
      </x:c>
      <x:c r="V720" s="117" t="str">
        <x:v>Unknown</x:v>
      </x:c>
      <x:c r="W720" s="117" t="str">
        <x:v>Unknown</x:v>
      </x:c>
      <x:c r="X720" s="117" t="str">
        <x:v>Unknown</x:v>
      </x:c>
      <x:c r="Y720" s="117" t="str">
        <x:v>Unknown</x:v>
      </x:c>
      <x:c r="Z720" s="117"/>
      <x:c r="AA720" s="117" t="str">
        <x:v>Pending evidence</x:v>
      </x:c>
      <x:c r="AB720" s="117"/>
      <x:c r="AC720" s="117" t="str">
        <x:v>No qualifying accessibility conclusion established from the screened sources. This is unknown, not evidence that the attraction is inaccessible.</x:v>
      </x:c>
      <x:c r="AD720" s="117" t="str">
        <x:v>2026-09-08</x:v>
      </x:c>
      <x:c r="AE720" s="117" t="str">
        <x:v>MC0717</x:v>
      </x:c>
      <x:c r="AF720" s="117" t="str">
        <x:v>Distinct candidate</x:v>
      </x:c>
      <x:c r="AG720" s="117" t="str"/>
      <x:c r="AH720" s="117" t="str">
        <x:v>Listed by Tourism Malaysia</x:v>
      </x:c>
      <x:c r="AI720" s="117" t="str">
        <x:v>https://ebrochures.malaysia.travel/en/malaysia-travel-guide/selangor/</x:v>
      </x:c>
      <x:c r="AJ720" s="117" t="str">
        <x:v>Named visitor attraction in cited source; state-guide listings can be historical. Locality is catalogue metadata, not a surveyed address. Current operation remains unconfirmed.</x:v>
      </x:c>
      <x:c r="AK720" s="117" t="str">
        <x:v>Not independently confirmed</x:v>
      </x:c>
      <x:c r="AL720" s="117" t="str">
        <x:v>Screened sources; accessibility unresolved</x:v>
      </x:c>
      <x:c r="AM720" s="117" t="str">
        <x:v>2026-09-08</x:v>
      </x:c>
      <x:c r="AN720" s="117"/>
      <x:c r="AO720" s="117"/>
      <x:c r="AP720" s="117" t="str">
        <x:v>No usable pair located; image research pending</x:v>
      </x:c>
      <x:c r="AQ720" s="117"/>
    </x:row>
    <x:row r="721" ht="66" customHeight="1">
      <x:c r="A721" s="117" t="str">
        <x:v>MC0718</x:v>
      </x:c>
      <x:c r="B721" s="117" t="str">
        <x:v>District 21</x:v>
      </x:c>
      <x:c r="C721" s="117" t="str">
        <x:v>Selangor</x:v>
      </x:c>
      <x:c r="D721" s="117" t="str">
        <x:v>Sepang</x:v>
      </x:c>
      <x:c r="E721" s="117" t="str">
        <x:v>Theme Park</x:v>
      </x:c>
      <x:c r="F721" s="117" t="str">
        <x:v>Unclassified</x:v>
      </x:c>
      <x:c r="G721" s="117" t="str">
        <x:v>Both</x:v>
      </x:c>
      <x:c r="H721" s="117" t="str">
        <x:v>Theme Park; Sepang</x:v>
      </x:c>
      <x:c r="I721" s="117" t="str">
        <x:v>A visitor attraction in Sepang, Selangor, listed in Tourism Malaysia's state travel guide. Venue operation and the precise accessible route require confirmation.</x:v>
      </x:c>
      <x:c r="J721" s="117" t="str">
        <x:v>https://ebrochures.malaysia.travel/en/malaysia-travel-guide/selangor/</x:v>
      </x:c>
      <x:c r="K721" s="117" t="str">
        <x:v>https://ebrochures.malaysia.travel/en/malaysia-travel-guide/selangor/</x:v>
      </x:c>
      <x:c r="L721" s="117" t="str">
        <x:v>Tourism Malaysia listing; operation unconfirmed</x:v>
      </x:c>
      <x:c r="M721" s="117" t="str">
        <x:v>Nationwide expansion 2026-09-08</x:v>
      </x:c>
      <x:c r="N721" s="117"/>
      <x:c r="O721" s="117" t="str">
        <x:v>2026-09-08</x:v>
      </x:c>
      <x:c r="P721" s="117" t="str">
        <x:v>Complete</x:v>
      </x:c>
      <x:c r="Q721" s="117"/>
      <x:c r="R721" s="117" t="str">
        <x:f>IF(J721="","Missing Link",IF(AND(ISNUMBER(SEARCH("google.com/maps",J721)),ISERROR(SEARCH(";",J721))),"Discovery Link Only","Source Link Present"))</x:f>
        <x:v>Source Link Present</x:v>
      </x:c>
      <x:c r="S721" s="117" t="str">
        <x:v>Unknown</x:v>
      </x:c>
      <x:c r="T721" s="117" t="str">
        <x:v>Unknown</x:v>
      </x:c>
      <x:c r="U721" s="117" t="str">
        <x:v>Unknown</x:v>
      </x:c>
      <x:c r="V721" s="117" t="str">
        <x:v>Unknown</x:v>
      </x:c>
      <x:c r="W721" s="117" t="str">
        <x:v>Unknown</x:v>
      </x:c>
      <x:c r="X721" s="117" t="str">
        <x:v>Unknown</x:v>
      </x:c>
      <x:c r="Y721" s="117" t="str">
        <x:v>Unknown</x:v>
      </x:c>
      <x:c r="Z721" s="117"/>
      <x:c r="AA721" s="117" t="str">
        <x:v>Pending evidence</x:v>
      </x:c>
      <x:c r="AB721" s="117"/>
      <x:c r="AC721" s="117" t="str">
        <x:v>No qualifying accessibility conclusion established from the screened sources. This is unknown, not evidence that the attraction is inaccessible.</x:v>
      </x:c>
      <x:c r="AD721" s="117" t="str">
        <x:v>2026-09-08</x:v>
      </x:c>
      <x:c r="AE721" s="117" t="str">
        <x:v>MC0718</x:v>
      </x:c>
      <x:c r="AF721" s="117" t="str">
        <x:v>Distinct candidate</x:v>
      </x:c>
      <x:c r="AG721" s="117" t="str"/>
      <x:c r="AH721" s="117" t="str">
        <x:v>Listed by Tourism Malaysia</x:v>
      </x:c>
      <x:c r="AI721" s="117" t="str">
        <x:v>https://ebrochures.malaysia.travel/en/malaysia-travel-guide/selangor/</x:v>
      </x:c>
      <x:c r="AJ721" s="117" t="str">
        <x:v>Named visitor attraction in cited source; state-guide listings can be historical. Locality is catalogue metadata, not a surveyed address. Current operation remains unconfirmed.</x:v>
      </x:c>
      <x:c r="AK721" s="117" t="str">
        <x:v>Not independently confirmed</x:v>
      </x:c>
      <x:c r="AL721" s="117" t="str">
        <x:v>Screened sources; accessibility unresolved</x:v>
      </x:c>
      <x:c r="AM721" s="117" t="str">
        <x:v>2026-09-08</x:v>
      </x:c>
      <x:c r="AN721" s="117" t="str">
        <x:v>https://thumb.wikimedia.org/wikipedia/commons/thumb/d/de/Wilton_Historic_District_21.jpg/1280px-Wilton_Historic_District_21.jpg?utm_source=commons.wikimedia.org&amp;utm_campaign=imageinfo&amp;utm_content=thumbnail</x:v>
      </x:c>
      <x:c r="AO721" s="117" t="str">
        <x:v>https://thumb.wikimedia.org/wikipedia/commons/thumb/e/ea/Jaggannath_Deul_temple_at_Kumarhati_area_of_Keshiary_in_Paschim_Medinipur_district._21.jpg/1280px-Jaggannath_Deul_temple_at_Kumarhati_area_of_Keshiary_in_Paschim_Medinipur_district._21.jpg?utm_source=commons.wikimedia.org&amp;utm_campaign=imageinfo&amp;utm_content=thumbnail</x:v>
      </x:c>
      <x:c r="AP721" s="117" t="str">
        <x:v>2 metadata-matched images; visual review pending</x:v>
      </x:c>
      <x:c r="AQ721" s="117"/>
    </x:row>
    <x:row r="722" ht="66" customHeight="1">
      <x:c r="A722" s="117" t="str">
        <x:v>MC0719</x:v>
      </x:c>
      <x:c r="B722" s="117" t="str">
        <x:v>Bangi Wonderland</x:v>
      </x:c>
      <x:c r="C722" s="117" t="str">
        <x:v>Selangor</x:v>
      </x:c>
      <x:c r="D722" s="117" t="str">
        <x:v>Bangi</x:v>
      </x:c>
      <x:c r="E722" s="117" t="str">
        <x:v>Theme Park</x:v>
      </x:c>
      <x:c r="F722" s="117" t="str">
        <x:v>Unclassified</x:v>
      </x:c>
      <x:c r="G722" s="117" t="str">
        <x:v>Both</x:v>
      </x:c>
      <x:c r="H722" s="117" t="str">
        <x:v>Theme Park; Bangi</x:v>
      </x:c>
      <x:c r="I722" s="117" t="str">
        <x:v>A visitor attraction in Bangi, Selangor, listed in Tourism Malaysia's state travel guide. Venue operation and the precise accessible route require confirmation.</x:v>
      </x:c>
      <x:c r="J722" s="117" t="str">
        <x:v>https://ebrochures.malaysia.travel/en/malaysia-travel-guide/selangor/</x:v>
      </x:c>
      <x:c r="K722" s="117" t="str">
        <x:v>https://ebrochures.malaysia.travel/en/malaysia-travel-guide/selangor/</x:v>
      </x:c>
      <x:c r="L722" s="117" t="str">
        <x:v>Tourism Malaysia listing; operation unconfirmed</x:v>
      </x:c>
      <x:c r="M722" s="117" t="str">
        <x:v>Nationwide expansion 2026-09-08</x:v>
      </x:c>
      <x:c r="N722" s="117"/>
      <x:c r="O722" s="117" t="str">
        <x:v>2026-09-08</x:v>
      </x:c>
      <x:c r="P722" s="117" t="str">
        <x:v>Complete</x:v>
      </x:c>
      <x:c r="Q722" s="117"/>
      <x:c r="R722" s="117" t="str">
        <x:f>IF(J722="","Missing Link",IF(AND(ISNUMBER(SEARCH("google.com/maps",J722)),ISERROR(SEARCH(";",J722))),"Discovery Link Only","Source Link Present"))</x:f>
        <x:v>Source Link Present</x:v>
      </x:c>
      <x:c r="S722" s="117" t="str">
        <x:v>Unknown</x:v>
      </x:c>
      <x:c r="T722" s="117" t="str">
        <x:v>Unknown</x:v>
      </x:c>
      <x:c r="U722" s="117" t="str">
        <x:v>Unknown</x:v>
      </x:c>
      <x:c r="V722" s="117" t="str">
        <x:v>Unknown</x:v>
      </x:c>
      <x:c r="W722" s="117" t="str">
        <x:v>Unknown</x:v>
      </x:c>
      <x:c r="X722" s="117" t="str">
        <x:v>Unknown</x:v>
      </x:c>
      <x:c r="Y722" s="117" t="str">
        <x:v>Unknown</x:v>
      </x:c>
      <x:c r="Z722" s="117"/>
      <x:c r="AA722" s="117" t="str">
        <x:v>Pending evidence</x:v>
      </x:c>
      <x:c r="AB722" s="117"/>
      <x:c r="AC722" s="117" t="str">
        <x:v>No qualifying accessibility conclusion established from the screened sources. This is unknown, not evidence that the attraction is inaccessible.</x:v>
      </x:c>
      <x:c r="AD722" s="117" t="str">
        <x:v>2026-09-08</x:v>
      </x:c>
      <x:c r="AE722" s="117" t="str">
        <x:v>MC0719</x:v>
      </x:c>
      <x:c r="AF722" s="117" t="str">
        <x:v>Distinct candidate</x:v>
      </x:c>
      <x:c r="AG722" s="117" t="str"/>
      <x:c r="AH722" s="117" t="str">
        <x:v>Listed by Tourism Malaysia</x:v>
      </x:c>
      <x:c r="AI722" s="117" t="str">
        <x:v>https://ebrochures.malaysia.travel/en/malaysia-travel-guide/selangor/</x:v>
      </x:c>
      <x:c r="AJ722" s="117" t="str">
        <x:v>Named visitor attraction in cited source; state-guide listings can be historical. Locality is catalogue metadata, not a surveyed address. Current operation remains unconfirmed.</x:v>
      </x:c>
      <x:c r="AK722" s="117" t="str">
        <x:v>Not independently confirmed</x:v>
      </x:c>
      <x:c r="AL722" s="117" t="str">
        <x:v>Screened sources; accessibility unresolved</x:v>
      </x:c>
      <x:c r="AM722" s="117" t="str">
        <x:v>2026-09-08</x:v>
      </x:c>
      <x:c r="AN722" s="117"/>
      <x:c r="AO722" s="117"/>
      <x:c r="AP722" s="117" t="str">
        <x:v>No usable pair located; image research pending</x:v>
      </x:c>
      <x:c r="AQ722" s="117"/>
    </x:row>
    <x:row r="723" ht="66" customHeight="1">
      <x:c r="A723" s="117" t="str">
        <x:v>MC0720</x:v>
      </x:c>
      <x:c r="B723" s="117" t="str">
        <x:v>Skytrex Sungai Chongkak</x:v>
      </x:c>
      <x:c r="C723" s="117" t="str">
        <x:v>Selangor</x:v>
      </x:c>
      <x:c r="D723" s="117" t="str">
        <x:v>Hulu Langat</x:v>
      </x:c>
      <x:c r="E723" s="117" t="str">
        <x:v>Heritage and Visitor Attraction</x:v>
      </x:c>
      <x:c r="F723" s="117" t="str">
        <x:v>Unclassified</x:v>
      </x:c>
      <x:c r="G723" s="117" t="str">
        <x:v>Both</x:v>
      </x:c>
      <x:c r="H723" s="117" t="str">
        <x:v>Heritage and Visitor Attraction; Hulu Langat</x:v>
      </x:c>
      <x:c r="I723" s="117" t="str">
        <x:v>A visitor attraction in Hulu Langat, Selangor, listed in Tourism Malaysia's state travel guide. Venue operation and the precise accessible route require confirmation.</x:v>
      </x:c>
      <x:c r="J723" s="117" t="str">
        <x:v>https://ebrochures.malaysia.travel/en/malaysia-travel-guide/selangor/</x:v>
      </x:c>
      <x:c r="K723" s="117" t="str">
        <x:v>https://ebrochures.malaysia.travel/en/malaysia-travel-guide/selangor/</x:v>
      </x:c>
      <x:c r="L723" s="117" t="str">
        <x:v>Tourism Malaysia listing; operation unconfirmed</x:v>
      </x:c>
      <x:c r="M723" s="117" t="str">
        <x:v>Nationwide expansion 2026-09-08</x:v>
      </x:c>
      <x:c r="N723" s="117"/>
      <x:c r="O723" s="117" t="str">
        <x:v>2026-09-08</x:v>
      </x:c>
      <x:c r="P723" s="117" t="str">
        <x:v>Complete</x:v>
      </x:c>
      <x:c r="Q723" s="117"/>
      <x:c r="R723" s="117" t="str">
        <x:f>IF(J723="","Missing Link",IF(AND(ISNUMBER(SEARCH("google.com/maps",J723)),ISERROR(SEARCH(";",J723))),"Discovery Link Only","Source Link Present"))</x:f>
        <x:v>Source Link Present</x:v>
      </x:c>
      <x:c r="S723" s="117" t="str">
        <x:v>Unknown</x:v>
      </x:c>
      <x:c r="T723" s="117" t="str">
        <x:v>Unknown</x:v>
      </x:c>
      <x:c r="U723" s="117" t="str">
        <x:v>Unknown</x:v>
      </x:c>
      <x:c r="V723" s="117" t="str">
        <x:v>Unknown</x:v>
      </x:c>
      <x:c r="W723" s="117" t="str">
        <x:v>Unknown</x:v>
      </x:c>
      <x:c r="X723" s="117" t="str">
        <x:v>Unknown</x:v>
      </x:c>
      <x:c r="Y723" s="117" t="str">
        <x:v>Unknown</x:v>
      </x:c>
      <x:c r="Z723" s="117"/>
      <x:c r="AA723" s="117" t="str">
        <x:v>Pending evidence</x:v>
      </x:c>
      <x:c r="AB723" s="117"/>
      <x:c r="AC723" s="117" t="str">
        <x:v>No qualifying accessibility conclusion established from the screened sources. This is unknown, not evidence that the attraction is inaccessible.</x:v>
      </x:c>
      <x:c r="AD723" s="117" t="str">
        <x:v>2026-09-08</x:v>
      </x:c>
      <x:c r="AE723" s="117" t="str">
        <x:v>MC0720</x:v>
      </x:c>
      <x:c r="AF723" s="117" t="str">
        <x:v>Distinct candidate</x:v>
      </x:c>
      <x:c r="AG723" s="117" t="str"/>
      <x:c r="AH723" s="117" t="str">
        <x:v>Listed by Tourism Malaysia</x:v>
      </x:c>
      <x:c r="AI723" s="117" t="str">
        <x:v>https://ebrochures.malaysia.travel/en/malaysia-travel-guide/selangor/</x:v>
      </x:c>
      <x:c r="AJ723" s="117" t="str">
        <x:v>Named visitor attraction in cited source; state-guide listings can be historical. Locality is catalogue metadata, not a surveyed address. Current operation remains unconfirmed.</x:v>
      </x:c>
      <x:c r="AK723" s="117" t="str">
        <x:v>Not independently confirmed</x:v>
      </x:c>
      <x:c r="AL723" s="117" t="str">
        <x:v>Screened sources; accessibility unresolved</x:v>
      </x:c>
      <x:c r="AM723" s="117" t="str">
        <x:v>2026-09-08</x:v>
      </x:c>
      <x:c r="AN723" s="117"/>
      <x:c r="AO723" s="117"/>
      <x:c r="AP723" s="117" t="str">
        <x:v>No usable pair located; image research pending</x:v>
      </x:c>
      <x:c r="AQ723" s="117"/>
    </x:row>
    <x:row r="724" ht="66" customHeight="1">
      <x:c r="A724" s="117" t="str">
        <x:v>MC0721</x:v>
      </x:c>
      <x:c r="B724" s="117" t="str">
        <x:v>Terengganu Drawbridge</x:v>
      </x:c>
      <x:c r="C724" s="117" t="str">
        <x:v>Terengganu</x:v>
      </x:c>
      <x:c r="D724" s="117" t="str">
        <x:v>Kuala Terengganu</x:v>
      </x:c>
      <x:c r="E724" s="117" t="str">
        <x:v>Heritage and Visitor Attraction</x:v>
      </x:c>
      <x:c r="F724" s="117" t="str">
        <x:v>Unclassified</x:v>
      </x:c>
      <x:c r="G724" s="117" t="str">
        <x:v>Both</x:v>
      </x:c>
      <x:c r="H724" s="117" t="str">
        <x:v>Heritage and Visitor Attraction; Kuala Terengganu</x:v>
      </x:c>
      <x:c r="I724" s="117" t="str">
        <x:v>A visitor attraction in Kuala Terengganu, Terengganu, listed in Tourism Malaysia's state travel guide. Venue operation and the precise accessible route require confirmation.</x:v>
      </x:c>
      <x:c r="J724" s="117" t="str">
        <x:v>https://ebrochures.malaysia.travel/en/malaysia-travel-guide/terengganu/</x:v>
      </x:c>
      <x:c r="K724" s="117" t="str">
        <x:v>https://ebrochures.malaysia.travel/en/malaysia-travel-guide/terengganu/</x:v>
      </x:c>
      <x:c r="L724" s="117" t="str">
        <x:v>Tourism Malaysia listing; operation unconfirmed</x:v>
      </x:c>
      <x:c r="M724" s="117" t="str">
        <x:v>Nationwide expansion 2026-09-08</x:v>
      </x:c>
      <x:c r="N724" s="117"/>
      <x:c r="O724" s="117" t="str">
        <x:v>2026-09-08</x:v>
      </x:c>
      <x:c r="P724" s="117" t="str">
        <x:v>Complete</x:v>
      </x:c>
      <x:c r="Q724" s="117"/>
      <x:c r="R724" s="117" t="str">
        <x:f>IF(J724="","Missing Link",IF(AND(ISNUMBER(SEARCH("google.com/maps",J724)),ISERROR(SEARCH(";",J724))),"Discovery Link Only","Source Link Present"))</x:f>
        <x:v>Source Link Present</x:v>
      </x:c>
      <x:c r="S724" s="117" t="str">
        <x:v>Unknown</x:v>
      </x:c>
      <x:c r="T724" s="117" t="str">
        <x:v>Unknown</x:v>
      </x:c>
      <x:c r="U724" s="117" t="str">
        <x:v>Unknown</x:v>
      </x:c>
      <x:c r="V724" s="117" t="str">
        <x:v>Unknown</x:v>
      </x:c>
      <x:c r="W724" s="117" t="str">
        <x:v>Unknown</x:v>
      </x:c>
      <x:c r="X724" s="117" t="str">
        <x:v>Unknown</x:v>
      </x:c>
      <x:c r="Y724" s="117" t="str">
        <x:v>Unknown</x:v>
      </x:c>
      <x:c r="Z724" s="117"/>
      <x:c r="AA724" s="117" t="str">
        <x:v>Pending evidence</x:v>
      </x:c>
      <x:c r="AB724" s="117"/>
      <x:c r="AC724" s="117" t="str">
        <x:v>No qualifying accessibility conclusion established from the screened sources. This is unknown, not evidence that the attraction is inaccessible.</x:v>
      </x:c>
      <x:c r="AD724" s="117" t="str">
        <x:v>2026-09-08</x:v>
      </x:c>
      <x:c r="AE724" s="117" t="str">
        <x:v>MC0721</x:v>
      </x:c>
      <x:c r="AF724" s="117" t="str">
        <x:v>Distinct candidate</x:v>
      </x:c>
      <x:c r="AG724" s="117" t="str"/>
      <x:c r="AH724" s="117" t="str">
        <x:v>Listed by Tourism Malaysia</x:v>
      </x:c>
      <x:c r="AI724" s="117" t="str">
        <x:v>https://ebrochures.malaysia.travel/en/malaysia-travel-guide/terengganu/</x:v>
      </x:c>
      <x:c r="AJ724" s="117" t="str">
        <x:v>Named visitor attraction in cited source; state-guide listings can be historical. Locality is catalogue metadata, not a surveyed address. Current operation remains unconfirmed.</x:v>
      </x:c>
      <x:c r="AK724" s="117" t="str">
        <x:v>Not independently confirmed</x:v>
      </x:c>
      <x:c r="AL724" s="117" t="str">
        <x:v>Screened sources; accessibility unresolved</x:v>
      </x:c>
      <x:c r="AM724" s="117" t="str">
        <x:v>2026-09-08</x:v>
      </x:c>
      <x:c r="AN724" s="117" t="str">
        <x:v>https://upload.wikimedia.org/wikipedia/commons/7/72/Kuala_Terengganu_Drawbridge_from_the_Observatory.jpg?utm_source=commons.wikimedia.org&amp;utm_campaign=imageinfo&amp;utm_content=thumbnail_unscaled</x:v>
      </x:c>
      <x:c r="AO724" s="117" t="str">
        <x:v>https://upload.wikimedia.org/wikipedia/commons/7/7c/Papan_Tanda_Jambatan_Angkat_2019.jpg?utm_source=commons.wikimedia.org&amp;utm_campaign=imageinfo&amp;utm_content=thumbnail_unscaled</x:v>
      </x:c>
      <x:c r="AP724" s="117" t="str">
        <x:v>2 metadata-matched images; visual review pending</x:v>
      </x:c>
      <x:c r="AQ724" s="117"/>
    </x:row>
    <x:row r="725" ht="66" customHeight="1">
      <x:c r="A725" s="117" t="str">
        <x:v>MC0722</x:v>
      </x:c>
      <x:c r="B725" s="117" t="str">
        <x:v>Istana Maziah</x:v>
      </x:c>
      <x:c r="C725" s="117" t="str">
        <x:v>Terengganu</x:v>
      </x:c>
      <x:c r="D725" s="117" t="str">
        <x:v>Kuala Terengganu</x:v>
      </x:c>
      <x:c r="E725" s="117" t="str">
        <x:v>Heritage and Visitor Attraction</x:v>
      </x:c>
      <x:c r="F725" s="117" t="str">
        <x:v>Unclassified</x:v>
      </x:c>
      <x:c r="G725" s="117" t="str">
        <x:v>Both</x:v>
      </x:c>
      <x:c r="H725" s="117" t="str">
        <x:v>Heritage and Visitor Attraction; Kuala Terengganu</x:v>
      </x:c>
      <x:c r="I725" s="117" t="str">
        <x:v>A visitor attraction in Kuala Terengganu, Terengganu, listed in Tourism Malaysia's state travel guide. Venue operation and the precise accessible route require confirmation.</x:v>
      </x:c>
      <x:c r="J725" s="117" t="str">
        <x:v>https://ebrochures.malaysia.travel/en/malaysia-travel-guide/terengganu/</x:v>
      </x:c>
      <x:c r="K725" s="117" t="str">
        <x:v>https://ebrochures.malaysia.travel/en/malaysia-travel-guide/terengganu/</x:v>
      </x:c>
      <x:c r="L725" s="117" t="str">
        <x:v>Tourism Malaysia listing; operation unconfirmed</x:v>
      </x:c>
      <x:c r="M725" s="117" t="str">
        <x:v>Nationwide expansion 2026-09-08</x:v>
      </x:c>
      <x:c r="N725" s="117"/>
      <x:c r="O725" s="117" t="str">
        <x:v>2026-09-08</x:v>
      </x:c>
      <x:c r="P725" s="117" t="str">
        <x:v>Complete</x:v>
      </x:c>
      <x:c r="Q725" s="117"/>
      <x:c r="R725" s="117" t="str">
        <x:f>IF(J725="","Missing Link",IF(AND(ISNUMBER(SEARCH("google.com/maps",J725)),ISERROR(SEARCH(";",J725))),"Discovery Link Only","Source Link Present"))</x:f>
        <x:v>Source Link Present</x:v>
      </x:c>
      <x:c r="S725" s="117" t="str">
        <x:v>Unknown</x:v>
      </x:c>
      <x:c r="T725" s="117" t="str">
        <x:v>Unknown</x:v>
      </x:c>
      <x:c r="U725" s="117" t="str">
        <x:v>Unknown</x:v>
      </x:c>
      <x:c r="V725" s="117" t="str">
        <x:v>Unknown</x:v>
      </x:c>
      <x:c r="W725" s="117" t="str">
        <x:v>Unknown</x:v>
      </x:c>
      <x:c r="X725" s="117" t="str">
        <x:v>Unknown</x:v>
      </x:c>
      <x:c r="Y725" s="117" t="str">
        <x:v>Unknown</x:v>
      </x:c>
      <x:c r="Z725" s="117"/>
      <x:c r="AA725" s="117" t="str">
        <x:v>Pending evidence</x:v>
      </x:c>
      <x:c r="AB725" s="117"/>
      <x:c r="AC725" s="117" t="str">
        <x:v>No qualifying accessibility conclusion established from the screened sources. This is unknown, not evidence that the attraction is inaccessible.</x:v>
      </x:c>
      <x:c r="AD725" s="117" t="str">
        <x:v>2026-09-08</x:v>
      </x:c>
      <x:c r="AE725" s="117" t="str">
        <x:v>MC0722</x:v>
      </x:c>
      <x:c r="AF725" s="117" t="str">
        <x:v>Distinct candidate</x:v>
      </x:c>
      <x:c r="AG725" s="117" t="str"/>
      <x:c r="AH725" s="117" t="str">
        <x:v>Listed by Tourism Malaysia</x:v>
      </x:c>
      <x:c r="AI725" s="117" t="str">
        <x:v>https://ebrochures.malaysia.travel/en/malaysia-travel-guide/terengganu/</x:v>
      </x:c>
      <x:c r="AJ725" s="117" t="str">
        <x:v>Named visitor attraction in cited source; state-guide listings can be historical. Locality is catalogue metadata, not a surveyed address. Current operation remains unconfirmed.</x:v>
      </x:c>
      <x:c r="AK725" s="117" t="str">
        <x:v>Not independently confirmed</x:v>
      </x:c>
      <x:c r="AL725" s="117" t="str">
        <x:v>Screened sources; accessibility unresolved</x:v>
      </x:c>
      <x:c r="AM725" s="117" t="str">
        <x:v>2026-09-08</x:v>
      </x:c>
      <x:c r="AN725" s="117" t="str">
        <x:v>https://thumb.wikimedia.org/wikipedia/commons/thumb/6/65/Maziah_Palace%2C_Kuala_Terengganu.jpg/1280px-Maziah_Palace%2C_Kuala_Terengganu.jpg?utm_source=commons.wikimedia.org&amp;utm_campaign=imageinfo&amp;utm_content=thumbnail</x:v>
      </x:c>
      <x:c r="AO725" s="117" t="str">
        <x:v>https://thumb.wikimedia.org/wikipedia/commons/thumb/7/73/Kuala_Terengganu_-_Istana_Maziah_gate_on_Jalan_Masjid_Abidin_-_May_2024.jpg/1280px-Kuala_Terengganu_-_Istana_Maziah_gate_on_Jalan_Masjid_Abidin_-_May_2024.jpg?utm_source=commons.wikimedia.org&amp;utm_campaign=imageinfo&amp;utm_content=thumbnail</x:v>
      </x:c>
      <x:c r="AP725" s="117" t="str">
        <x:v>2 metadata-matched images; visual review pending</x:v>
      </x:c>
      <x:c r="AQ725" s="117"/>
    </x:row>
    <x:row r="726" ht="66" customHeight="1">
      <x:c r="A726" s="117" t="str">
        <x:v>MC0723</x:v>
      </x:c>
      <x:c r="B726" s="117" t="str">
        <x:v>Bukit Puteri</x:v>
      </x:c>
      <x:c r="C726" s="117" t="str">
        <x:v>Terengganu</x:v>
      </x:c>
      <x:c r="D726" s="117" t="str">
        <x:v>Kuala Terengganu</x:v>
      </x:c>
      <x:c r="E726" s="117" t="str">
        <x:v>Nature</x:v>
      </x:c>
      <x:c r="F726" s="117" t="str">
        <x:v>Unclassified</x:v>
      </x:c>
      <x:c r="G726" s="117" t="str">
        <x:v>Outdoor</x:v>
      </x:c>
      <x:c r="H726" s="117" t="str">
        <x:v>Nature; Kuala Terengganu</x:v>
      </x:c>
      <x:c r="I726" s="117" t="str">
        <x:v>A visitor attraction in Kuala Terengganu, Terengganu, listed in Tourism Malaysia's state travel guide. Venue operation and the precise accessible route require confirmation.</x:v>
      </x:c>
      <x:c r="J726" s="117" t="str">
        <x:v>https://ebrochures.malaysia.travel/en/malaysia-travel-guide/terengganu/</x:v>
      </x:c>
      <x:c r="K726" s="117" t="str">
        <x:v>https://ebrochures.malaysia.travel/en/malaysia-travel-guide/terengganu/</x:v>
      </x:c>
      <x:c r="L726" s="117" t="str">
        <x:v>Tourism Malaysia listing; operation unconfirmed</x:v>
      </x:c>
      <x:c r="M726" s="117" t="str">
        <x:v>Nationwide expansion 2026-09-08</x:v>
      </x:c>
      <x:c r="N726" s="117"/>
      <x:c r="O726" s="117" t="str">
        <x:v>2026-09-08</x:v>
      </x:c>
      <x:c r="P726" s="117" t="str">
        <x:v>Complete</x:v>
      </x:c>
      <x:c r="Q726" s="117"/>
      <x:c r="R726" s="117" t="str">
        <x:f>IF(J726="","Missing Link",IF(AND(ISNUMBER(SEARCH("google.com/maps",J726)),ISERROR(SEARCH(";",J726))),"Discovery Link Only","Source Link Present"))</x:f>
        <x:v>Source Link Present</x:v>
      </x:c>
      <x:c r="S726" s="117" t="str">
        <x:v>Unknown</x:v>
      </x:c>
      <x:c r="T726" s="117" t="str">
        <x:v>Unknown</x:v>
      </x:c>
      <x:c r="U726" s="117" t="str">
        <x:v>Unknown</x:v>
      </x:c>
      <x:c r="V726" s="117" t="str">
        <x:v>Unknown</x:v>
      </x:c>
      <x:c r="W726" s="117" t="str">
        <x:v>Unknown</x:v>
      </x:c>
      <x:c r="X726" s="117" t="str">
        <x:v>Unknown</x:v>
      </x:c>
      <x:c r="Y726" s="117" t="str">
        <x:v>Unknown</x:v>
      </x:c>
      <x:c r="Z726" s="117"/>
      <x:c r="AA726" s="117" t="str">
        <x:v>Pending evidence</x:v>
      </x:c>
      <x:c r="AB726" s="117"/>
      <x:c r="AC726" s="117" t="str">
        <x:v>No qualifying accessibility conclusion established from the screened sources. This is unknown, not evidence that the attraction is inaccessible.</x:v>
      </x:c>
      <x:c r="AD726" s="117" t="str">
        <x:v>2026-09-08</x:v>
      </x:c>
      <x:c r="AE726" s="117" t="str">
        <x:v>MC0723</x:v>
      </x:c>
      <x:c r="AF726" s="117" t="str">
        <x:v>Distinct candidate</x:v>
      </x:c>
      <x:c r="AG726" s="117" t="str"/>
      <x:c r="AH726" s="117" t="str">
        <x:v>Listed by Tourism Malaysia</x:v>
      </x:c>
      <x:c r="AI726" s="117" t="str">
        <x:v>https://ebrochures.malaysia.travel/en/malaysia-travel-guide/terengganu/</x:v>
      </x:c>
      <x:c r="AJ726" s="117" t="str">
        <x:v>Named visitor attraction in cited source; state-guide listings can be historical. Locality is catalogue metadata, not a surveyed address. Current operation remains unconfirmed.</x:v>
      </x:c>
      <x:c r="AK726" s="117" t="str">
        <x:v>Not independently confirmed</x:v>
      </x:c>
      <x:c r="AL726" s="117" t="str">
        <x:v>Screened sources; accessibility unresolved</x:v>
      </x:c>
      <x:c r="AM726" s="117" t="str">
        <x:v>2026-09-08</x:v>
      </x:c>
      <x:c r="AN726" s="117" t="str">
        <x:v>https://upload.wikimedia.org/wikipedia/commons/4/4a/Bukit_Puteri_2006.jpg?utm_source=commons.wikimedia.org&amp;utm_campaign=imageinfo&amp;utm_content=thumbnail_unscaled</x:v>
      </x:c>
      <x:c r="AO726" s="117" t="str">
        <x:v>https://thumb.wikimedia.org/wikipedia/commons/thumb/3/3d/Bukit_Puteri_from_the_palace_gate.jpg/1280px-Bukit_Puteri_from_the_palace_gate.jpg?utm_source=commons.wikimedia.org&amp;utm_campaign=imageinfo&amp;utm_content=thumbnail</x:v>
      </x:c>
      <x:c r="AP726" s="117" t="str">
        <x:v>2 metadata-matched images; visual review pending</x:v>
      </x:c>
      <x:c r="AQ726" s="117"/>
    </x:row>
    <x:row r="727" ht="66" customHeight="1">
      <x:c r="A727" s="117" t="str">
        <x:v>MC0724</x:v>
      </x:c>
      <x:c r="B727" s="117" t="str">
        <x:v>Kuala Terengganu River Cruise</x:v>
      </x:c>
      <x:c r="C727" s="117" t="str">
        <x:v>Terengganu</x:v>
      </x:c>
      <x:c r="D727" s="117" t="str">
        <x:v>Kuala Terengganu</x:v>
      </x:c>
      <x:c r="E727" s="117" t="str">
        <x:v>Scenic Transport</x:v>
      </x:c>
      <x:c r="F727" s="117" t="str">
        <x:v>Unclassified</x:v>
      </x:c>
      <x:c r="G727" s="117" t="str">
        <x:v>Both</x:v>
      </x:c>
      <x:c r="H727" s="117" t="str">
        <x:v>Scenic Transport; Kuala Terengganu</x:v>
      </x:c>
      <x:c r="I727" s="117" t="str">
        <x:v>A visitor attraction in Kuala Terengganu, Terengganu, listed in Tourism Malaysia's state travel guide. Venue operation and the precise accessible route require confirmation.</x:v>
      </x:c>
      <x:c r="J727" s="117" t="str">
        <x:v>https://ebrochures.malaysia.travel/en/malaysia-travel-guide/terengganu/</x:v>
      </x:c>
      <x:c r="K727" s="117" t="str">
        <x:v>https://ebrochures.malaysia.travel/en/malaysia-travel-guide/terengganu/</x:v>
      </x:c>
      <x:c r="L727" s="117" t="str">
        <x:v>Tourism Malaysia listing; operation unconfirmed</x:v>
      </x:c>
      <x:c r="M727" s="117" t="str">
        <x:v>Nationwide expansion 2026-09-08</x:v>
      </x:c>
      <x:c r="N727" s="117"/>
      <x:c r="O727" s="117" t="str">
        <x:v>2026-09-08</x:v>
      </x:c>
      <x:c r="P727" s="117" t="str">
        <x:v>Complete</x:v>
      </x:c>
      <x:c r="Q727" s="117"/>
      <x:c r="R727" s="117" t="str">
        <x:f>IF(J727="","Missing Link",IF(AND(ISNUMBER(SEARCH("google.com/maps",J727)),ISERROR(SEARCH(";",J727))),"Discovery Link Only","Source Link Present"))</x:f>
        <x:v>Source Link Present</x:v>
      </x:c>
      <x:c r="S727" s="117" t="str">
        <x:v>Unknown</x:v>
      </x:c>
      <x:c r="T727" s="117" t="str">
        <x:v>Unknown</x:v>
      </x:c>
      <x:c r="U727" s="117" t="str">
        <x:v>Unknown</x:v>
      </x:c>
      <x:c r="V727" s="117" t="str">
        <x:v>Unknown</x:v>
      </x:c>
      <x:c r="W727" s="117" t="str">
        <x:v>Unknown</x:v>
      </x:c>
      <x:c r="X727" s="117" t="str">
        <x:v>Unknown</x:v>
      </x:c>
      <x:c r="Y727" s="117" t="str">
        <x:v>Unknown</x:v>
      </x:c>
      <x:c r="Z727" s="117"/>
      <x:c r="AA727" s="117" t="str">
        <x:v>Pending evidence</x:v>
      </x:c>
      <x:c r="AB727" s="117"/>
      <x:c r="AC727" s="117" t="str">
        <x:v>No qualifying accessibility conclusion established from the screened sources. This is unknown, not evidence that the attraction is inaccessible.</x:v>
      </x:c>
      <x:c r="AD727" s="117" t="str">
        <x:v>2026-09-08</x:v>
      </x:c>
      <x:c r="AE727" s="117" t="str">
        <x:v>MC0724</x:v>
      </x:c>
      <x:c r="AF727" s="117" t="str">
        <x:v>Distinct candidate</x:v>
      </x:c>
      <x:c r="AG727" s="117" t="str"/>
      <x:c r="AH727" s="117" t="str">
        <x:v>Listed by Tourism Malaysia</x:v>
      </x:c>
      <x:c r="AI727" s="117" t="str">
        <x:v>https://ebrochures.malaysia.travel/en/malaysia-travel-guide/terengganu/</x:v>
      </x:c>
      <x:c r="AJ727" s="117" t="str">
        <x:v>Named visitor attraction in cited source; state-guide listings can be historical. Locality is catalogue metadata, not a surveyed address. Current operation remains unconfirmed.</x:v>
      </x:c>
      <x:c r="AK727" s="117" t="str">
        <x:v>Not independently confirmed</x:v>
      </x:c>
      <x:c r="AL727" s="117" t="str">
        <x:v>Screened sources; accessibility unresolved</x:v>
      </x:c>
      <x:c r="AM727" s="117" t="str">
        <x:v>2026-09-08</x:v>
      </x:c>
      <x:c r="AN727" s="117"/>
      <x:c r="AO727" s="117"/>
      <x:c r="AP727" s="117" t="str">
        <x:v>No usable pair located; image research pending</x:v>
      </x:c>
      <x:c r="AQ727" s="117"/>
    </x:row>
    <x:row r="728" ht="66" customHeight="1">
      <x:c r="A728" s="117" t="str">
        <x:v>MC0725</x:v>
      </x:c>
      <x:c r="B728" s="117" t="str">
        <x:v>Batu Burok Recreational Park</x:v>
      </x:c>
      <x:c r="C728" s="117" t="str">
        <x:v>Terengganu</x:v>
      </x:c>
      <x:c r="D728" s="117" t="str">
        <x:v>Kuala Terengganu</x:v>
      </x:c>
      <x:c r="E728" s="117" t="str">
        <x:v>Nature</x:v>
      </x:c>
      <x:c r="F728" s="117" t="str">
        <x:v>Unclassified</x:v>
      </x:c>
      <x:c r="G728" s="117" t="str">
        <x:v>Outdoor</x:v>
      </x:c>
      <x:c r="H728" s="117" t="str">
        <x:v>Nature; Kuala Terengganu</x:v>
      </x:c>
      <x:c r="I728" s="117" t="str">
        <x:v>A visitor attraction in Kuala Terengganu, Terengganu, listed in Tourism Malaysia's state travel guide. Venue operation and the precise accessible route require confirmation.</x:v>
      </x:c>
      <x:c r="J728" s="117" t="str">
        <x:v>https://ebrochures.malaysia.travel/en/malaysia-travel-guide/terengganu/</x:v>
      </x:c>
      <x:c r="K728" s="117" t="str">
        <x:v>https://ebrochures.malaysia.travel/en/malaysia-travel-guide/terengganu/</x:v>
      </x:c>
      <x:c r="L728" s="117" t="str">
        <x:v>Tourism Malaysia listing; operation unconfirmed</x:v>
      </x:c>
      <x:c r="M728" s="117" t="str">
        <x:v>Nationwide expansion 2026-09-08</x:v>
      </x:c>
      <x:c r="N728" s="117"/>
      <x:c r="O728" s="117" t="str">
        <x:v>2026-09-08</x:v>
      </x:c>
      <x:c r="P728" s="117" t="str">
        <x:v>Complete</x:v>
      </x:c>
      <x:c r="Q728" s="117"/>
      <x:c r="R728" s="117" t="str">
        <x:f>IF(J728="","Missing Link",IF(AND(ISNUMBER(SEARCH("google.com/maps",J728)),ISERROR(SEARCH(";",J728))),"Discovery Link Only","Source Link Present"))</x:f>
        <x:v>Source Link Present</x:v>
      </x:c>
      <x:c r="S728" s="117" t="str">
        <x:v>Unknown</x:v>
      </x:c>
      <x:c r="T728" s="117" t="str">
        <x:v>Unknown</x:v>
      </x:c>
      <x:c r="U728" s="117" t="str">
        <x:v>Unknown</x:v>
      </x:c>
      <x:c r="V728" s="117" t="str">
        <x:v>Unknown</x:v>
      </x:c>
      <x:c r="W728" s="117" t="str">
        <x:v>Unknown</x:v>
      </x:c>
      <x:c r="X728" s="117" t="str">
        <x:v>Unknown</x:v>
      </x:c>
      <x:c r="Y728" s="117" t="str">
        <x:v>Unknown</x:v>
      </x:c>
      <x:c r="Z728" s="117"/>
      <x:c r="AA728" s="117" t="str">
        <x:v>Pending evidence</x:v>
      </x:c>
      <x:c r="AB728" s="117"/>
      <x:c r="AC728" s="117" t="str">
        <x:v>No qualifying accessibility conclusion established from the screened sources. This is unknown, not evidence that the attraction is inaccessible.</x:v>
      </x:c>
      <x:c r="AD728" s="117" t="str">
        <x:v>2026-09-08</x:v>
      </x:c>
      <x:c r="AE728" s="117" t="str">
        <x:v>MC0725</x:v>
      </x:c>
      <x:c r="AF728" s="117" t="str">
        <x:v>Distinct candidate</x:v>
      </x:c>
      <x:c r="AG728" s="117" t="str"/>
      <x:c r="AH728" s="117" t="str">
        <x:v>Listed by Tourism Malaysia</x:v>
      </x:c>
      <x:c r="AI728" s="117" t="str">
        <x:v>https://ebrochures.malaysia.travel/en/malaysia-travel-guide/terengganu/</x:v>
      </x:c>
      <x:c r="AJ728" s="117" t="str">
        <x:v>Named visitor attraction in cited source; state-guide listings can be historical. Locality is catalogue metadata, not a surveyed address. Current operation remains unconfirmed.</x:v>
      </x:c>
      <x:c r="AK728" s="117" t="str">
        <x:v>Not independently confirmed</x:v>
      </x:c>
      <x:c r="AL728" s="117" t="str">
        <x:v>Screened sources; accessibility unresolved</x:v>
      </x:c>
      <x:c r="AM728" s="117" t="str">
        <x:v>2026-09-08</x:v>
      </x:c>
      <x:c r="AN728" s="117"/>
      <x:c r="AO728" s="117"/>
      <x:c r="AP728" s="117" t="str">
        <x:v>No usable pair located; image research pending</x:v>
      </x:c>
      <x:c r="AQ728" s="117"/>
    </x:row>
    <x:row r="729" ht="66" customHeight="1">
      <x:c r="A729" s="117" t="str">
        <x:v>MC0726</x:v>
      </x:c>
      <x:c r="B729" s="117" t="str">
        <x:v>Terengganu Waterfront</x:v>
      </x:c>
      <x:c r="C729" s="117" t="str">
        <x:v>Terengganu</x:v>
      </x:c>
      <x:c r="D729" s="117" t="str">
        <x:v>Kuala Terengganu</x:v>
      </x:c>
      <x:c r="E729" s="117" t="str">
        <x:v>Heritage and Visitor Attraction</x:v>
      </x:c>
      <x:c r="F729" s="117" t="str">
        <x:v>Unclassified</x:v>
      </x:c>
      <x:c r="G729" s="117" t="str">
        <x:v>Both</x:v>
      </x:c>
      <x:c r="H729" s="117" t="str">
        <x:v>Heritage and Visitor Attraction; Kuala Terengganu</x:v>
      </x:c>
      <x:c r="I729" s="117" t="str">
        <x:v>A visitor attraction in Kuala Terengganu, Terengganu, listed in Tourism Malaysia's state travel guide. Venue operation and the precise accessible route require confirmation.</x:v>
      </x:c>
      <x:c r="J729" s="117" t="str">
        <x:v>https://ebrochures.malaysia.travel/en/malaysia-travel-guide/terengganu/</x:v>
      </x:c>
      <x:c r="K729" s="117" t="str">
        <x:v>https://ebrochures.malaysia.travel/en/malaysia-travel-guide/terengganu/</x:v>
      </x:c>
      <x:c r="L729" s="117" t="str">
        <x:v>Tourism Malaysia listing; operation unconfirmed</x:v>
      </x:c>
      <x:c r="M729" s="117" t="str">
        <x:v>Nationwide expansion 2026-09-08</x:v>
      </x:c>
      <x:c r="N729" s="117"/>
      <x:c r="O729" s="117" t="str">
        <x:v>2026-09-08</x:v>
      </x:c>
      <x:c r="P729" s="117" t="str">
        <x:v>Complete</x:v>
      </x:c>
      <x:c r="Q729" s="117"/>
      <x:c r="R729" s="117" t="str">
        <x:f>IF(J729="","Missing Link",IF(AND(ISNUMBER(SEARCH("google.com/maps",J729)),ISERROR(SEARCH(";",J729))),"Discovery Link Only","Source Link Present"))</x:f>
        <x:v>Source Link Present</x:v>
      </x:c>
      <x:c r="S729" s="117" t="str">
        <x:v>Unknown</x:v>
      </x:c>
      <x:c r="T729" s="117" t="str">
        <x:v>Unknown</x:v>
      </x:c>
      <x:c r="U729" s="117" t="str">
        <x:v>Unknown</x:v>
      </x:c>
      <x:c r="V729" s="117" t="str">
        <x:v>Unknown</x:v>
      </x:c>
      <x:c r="W729" s="117" t="str">
        <x:v>Unknown</x:v>
      </x:c>
      <x:c r="X729" s="117" t="str">
        <x:v>Unknown</x:v>
      </x:c>
      <x:c r="Y729" s="117" t="str">
        <x:v>Unknown</x:v>
      </x:c>
      <x:c r="Z729" s="117"/>
      <x:c r="AA729" s="117" t="str">
        <x:v>Pending evidence</x:v>
      </x:c>
      <x:c r="AB729" s="117"/>
      <x:c r="AC729" s="117" t="str">
        <x:v>No qualifying accessibility conclusion established from the screened sources. This is unknown, not evidence that the attraction is inaccessible.</x:v>
      </x:c>
      <x:c r="AD729" s="117" t="str">
        <x:v>2026-09-08</x:v>
      </x:c>
      <x:c r="AE729" s="117" t="str">
        <x:v>MC0726</x:v>
      </x:c>
      <x:c r="AF729" s="117" t="str">
        <x:v>Distinct candidate</x:v>
      </x:c>
      <x:c r="AG729" s="117" t="str"/>
      <x:c r="AH729" s="117" t="str">
        <x:v>Listed by Tourism Malaysia</x:v>
      </x:c>
      <x:c r="AI729" s="117" t="str">
        <x:v>https://ebrochures.malaysia.travel/en/malaysia-travel-guide/terengganu/</x:v>
      </x:c>
      <x:c r="AJ729" s="117" t="str">
        <x:v>Named visitor attraction in cited source; state-guide listings can be historical. Locality is catalogue metadata, not a surveyed address. Current operation remains unconfirmed.</x:v>
      </x:c>
      <x:c r="AK729" s="117" t="str">
        <x:v>Not independently confirmed</x:v>
      </x:c>
      <x:c r="AL729" s="117" t="str">
        <x:v>Screened sources; accessibility unresolved</x:v>
      </x:c>
      <x:c r="AM729" s="117" t="str">
        <x:v>2026-09-08</x:v>
      </x:c>
      <x:c r="AN729" s="117"/>
      <x:c r="AO729" s="117"/>
      <x:c r="AP729" s="117" t="str">
        <x:v>No usable pair located; image research pending</x:v>
      </x:c>
      <x:c r="AQ729" s="117"/>
    </x:row>
    <x:row r="730" ht="66" customHeight="1">
      <x:c r="A730" s="117" t="str">
        <x:v>MC0727</x:v>
      </x:c>
      <x:c r="B730" s="117" t="str">
        <x:v>Abidin Mosque</x:v>
      </x:c>
      <x:c r="C730" s="117" t="str">
        <x:v>Terengganu</x:v>
      </x:c>
      <x:c r="D730" s="117" t="str">
        <x:v>Kuala Terengganu</x:v>
      </x:c>
      <x:c r="E730" s="117" t="str">
        <x:v>Religious Site</x:v>
      </x:c>
      <x:c r="F730" s="117" t="str">
        <x:v>Unclassified</x:v>
      </x:c>
      <x:c r="G730" s="117" t="str">
        <x:v>Both</x:v>
      </x:c>
      <x:c r="H730" s="117" t="str">
        <x:v>Religious Site; Kuala Terengganu</x:v>
      </x:c>
      <x:c r="I730" s="117" t="str">
        <x:v>A visitor attraction in Kuala Terengganu, Terengganu, listed in Tourism Malaysia's state travel guide. Venue operation and the precise accessible route require confirmation.</x:v>
      </x:c>
      <x:c r="J730" s="117" t="str">
        <x:v>https://ebrochures.malaysia.travel/en/malaysia-travel-guide/terengganu/</x:v>
      </x:c>
      <x:c r="K730" s="117" t="str">
        <x:v>https://ebrochures.malaysia.travel/en/malaysia-travel-guide/terengganu/</x:v>
      </x:c>
      <x:c r="L730" s="117" t="str">
        <x:v>Tourism Malaysia listing; operation unconfirmed</x:v>
      </x:c>
      <x:c r="M730" s="117" t="str">
        <x:v>Nationwide expansion 2026-09-08</x:v>
      </x:c>
      <x:c r="N730" s="117"/>
      <x:c r="O730" s="117" t="str">
        <x:v>2026-09-08</x:v>
      </x:c>
      <x:c r="P730" s="117" t="str">
        <x:v>Complete</x:v>
      </x:c>
      <x:c r="Q730" s="117"/>
      <x:c r="R730" s="117" t="str">
        <x:f>IF(J730="","Missing Link",IF(AND(ISNUMBER(SEARCH("google.com/maps",J730)),ISERROR(SEARCH(";",J730))),"Discovery Link Only","Source Link Present"))</x:f>
        <x:v>Source Link Present</x:v>
      </x:c>
      <x:c r="S730" s="117" t="str">
        <x:v>Unknown</x:v>
      </x:c>
      <x:c r="T730" s="117" t="str">
        <x:v>Unknown</x:v>
      </x:c>
      <x:c r="U730" s="117" t="str">
        <x:v>Unknown</x:v>
      </x:c>
      <x:c r="V730" s="117" t="str">
        <x:v>Unknown</x:v>
      </x:c>
      <x:c r="W730" s="117" t="str">
        <x:v>Unknown</x:v>
      </x:c>
      <x:c r="X730" s="117" t="str">
        <x:v>Unknown</x:v>
      </x:c>
      <x:c r="Y730" s="117" t="str">
        <x:v>Unknown</x:v>
      </x:c>
      <x:c r="Z730" s="117"/>
      <x:c r="AA730" s="117" t="str">
        <x:v>Pending evidence</x:v>
      </x:c>
      <x:c r="AB730" s="117"/>
      <x:c r="AC730" s="117" t="str">
        <x:v>No qualifying accessibility conclusion established from the screened sources. This is unknown, not evidence that the attraction is inaccessible.</x:v>
      </x:c>
      <x:c r="AD730" s="117" t="str">
        <x:v>2026-09-08</x:v>
      </x:c>
      <x:c r="AE730" s="117" t="str">
        <x:v>MC0727</x:v>
      </x:c>
      <x:c r="AF730" s="117" t="str">
        <x:v>Distinct candidate</x:v>
      </x:c>
      <x:c r="AG730" s="117" t="str"/>
      <x:c r="AH730" s="117" t="str">
        <x:v>Listed by Tourism Malaysia</x:v>
      </x:c>
      <x:c r="AI730" s="117" t="str">
        <x:v>https://ebrochures.malaysia.travel/en/malaysia-travel-guide/terengganu/</x:v>
      </x:c>
      <x:c r="AJ730" s="117" t="str">
        <x:v>Named visitor attraction in cited source; state-guide listings can be historical. Locality is catalogue metadata, not a surveyed address. Current operation remains unconfirmed.</x:v>
      </x:c>
      <x:c r="AK730" s="117" t="str">
        <x:v>Not independently confirmed</x:v>
      </x:c>
      <x:c r="AL730" s="117" t="str">
        <x:v>Screened sources; accessibility unresolved</x:v>
      </x:c>
      <x:c r="AM730" s="117" t="str">
        <x:v>2026-09-08</x:v>
      </x:c>
      <x:c r="AN730" s="117" t="str">
        <x:v>https://upload.wikimedia.org/wikipedia/commons/4/41/Abidin_Mosque%2C_Kuala_Terengganu.jpg?utm_source=commons.wikimedia.org&amp;utm_campaign=imageinfo&amp;utm_content=thumbnail_unscaled</x:v>
      </x:c>
      <x:c r="AO730" s="117" t="str">
        <x:v>https://thumb.wikimedia.org/wikipedia/commons/thumb/a/a8/Kuala_Terengganu%2C_Malaysia%2C_Abidin_Mosque.jpg/1280px-Kuala_Terengganu%2C_Malaysia%2C_Abidin_Mosque.jpg?utm_source=commons.wikimedia.org&amp;utm_campaign=imageinfo&amp;utm_content=thumbnail</x:v>
      </x:c>
      <x:c r="AP730" s="117" t="str">
        <x:v>2 metadata-matched images; visual review pending</x:v>
      </x:c>
      <x:c r="AQ730" s="117"/>
    </x:row>
    <x:row r="731" ht="66" customHeight="1">
      <x:c r="A731" s="117" t="str">
        <x:v>MC0728</x:v>
      </x:c>
      <x:c r="B731" s="117" t="str">
        <x:v>Gemia Island</x:v>
      </x:c>
      <x:c r="C731" s="117" t="str">
        <x:v>Terengganu</x:v>
      </x:c>
      <x:c r="D731" s="117" t="str">
        <x:v>Marang</x:v>
      </x:c>
      <x:c r="E731" s="117" t="str">
        <x:v>Beach and Island</x:v>
      </x:c>
      <x:c r="F731" s="117" t="str">
        <x:v>Unclassified</x:v>
      </x:c>
      <x:c r="G731" s="117" t="str">
        <x:v>Outdoor</x:v>
      </x:c>
      <x:c r="H731" s="117" t="str">
        <x:v>Beach and Island; Marang</x:v>
      </x:c>
      <x:c r="I731" s="117" t="str">
        <x:v>A visitor attraction in Marang, Terengganu, listed in Tourism Malaysia's state travel guide. Venue operation and the precise accessible route require confirmation.</x:v>
      </x:c>
      <x:c r="J731" s="117" t="str">
        <x:v>https://ebrochures.malaysia.travel/en/malaysia-travel-guide/terengganu/</x:v>
      </x:c>
      <x:c r="K731" s="117" t="str">
        <x:v>https://ebrochures.malaysia.travel/en/malaysia-travel-guide/terengganu/</x:v>
      </x:c>
      <x:c r="L731" s="117" t="str">
        <x:v>Tourism Malaysia listing; operation unconfirmed</x:v>
      </x:c>
      <x:c r="M731" s="117" t="str">
        <x:v>Nationwide expansion 2026-09-08</x:v>
      </x:c>
      <x:c r="N731" s="117"/>
      <x:c r="O731" s="117" t="str">
        <x:v>2026-09-08</x:v>
      </x:c>
      <x:c r="P731" s="117" t="str">
        <x:v>Complete</x:v>
      </x:c>
      <x:c r="Q731" s="117"/>
      <x:c r="R731" s="117" t="str">
        <x:f>IF(J731="","Missing Link",IF(AND(ISNUMBER(SEARCH("google.com/maps",J731)),ISERROR(SEARCH(";",J731))),"Discovery Link Only","Source Link Present"))</x:f>
        <x:v>Source Link Present</x:v>
      </x:c>
      <x:c r="S731" s="117" t="str">
        <x:v>Unknown</x:v>
      </x:c>
      <x:c r="T731" s="117" t="str">
        <x:v>Unknown</x:v>
      </x:c>
      <x:c r="U731" s="117" t="str">
        <x:v>Unknown</x:v>
      </x:c>
      <x:c r="V731" s="117" t="str">
        <x:v>Unknown</x:v>
      </x:c>
      <x:c r="W731" s="117" t="str">
        <x:v>Unknown</x:v>
      </x:c>
      <x:c r="X731" s="117" t="str">
        <x:v>Unknown</x:v>
      </x:c>
      <x:c r="Y731" s="117" t="str">
        <x:v>Unknown</x:v>
      </x:c>
      <x:c r="Z731" s="117"/>
      <x:c r="AA731" s="117" t="str">
        <x:v>Pending evidence</x:v>
      </x:c>
      <x:c r="AB731" s="117"/>
      <x:c r="AC731" s="117" t="str">
        <x:v>No qualifying accessibility conclusion established from the screened sources. This is unknown, not evidence that the attraction is inaccessible.</x:v>
      </x:c>
      <x:c r="AD731" s="117" t="str">
        <x:v>2026-09-08</x:v>
      </x:c>
      <x:c r="AE731" s="117" t="str">
        <x:v>MC0728</x:v>
      </x:c>
      <x:c r="AF731" s="117" t="str">
        <x:v>Distinct candidate</x:v>
      </x:c>
      <x:c r="AG731" s="117" t="str"/>
      <x:c r="AH731" s="117" t="str">
        <x:v>Listed by Tourism Malaysia</x:v>
      </x:c>
      <x:c r="AI731" s="117" t="str">
        <x:v>https://ebrochures.malaysia.travel/en/malaysia-travel-guide/terengganu/</x:v>
      </x:c>
      <x:c r="AJ731" s="117" t="str">
        <x:v>Named visitor attraction in cited source; state-guide listings can be historical. Locality is catalogue metadata, not a surveyed address. Current operation remains unconfirmed.</x:v>
      </x:c>
      <x:c r="AK731" s="117" t="str">
        <x:v>Not independently confirmed</x:v>
      </x:c>
      <x:c r="AL731" s="117" t="str">
        <x:v>Screened sources; accessibility unresolved</x:v>
      </x:c>
      <x:c r="AM731" s="117" t="str">
        <x:v>2026-09-08</x:v>
      </x:c>
      <x:c r="AN731" s="117"/>
      <x:c r="AO731" s="117"/>
      <x:c r="AP731" s="117" t="str">
        <x:v>No usable pair located; image research pending</x:v>
      </x:c>
      <x:c r="AQ731" s="117"/>
    </x:row>
    <x:row r="732" ht="66" customHeight="1">
      <x:c r="A732" s="117" t="str">
        <x:v>MC0729</x:v>
      </x:c>
      <x:c r="B732" s="117" t="str">
        <x:v>Marang River Cruise</x:v>
      </x:c>
      <x:c r="C732" s="117" t="str">
        <x:v>Terengganu</x:v>
      </x:c>
      <x:c r="D732" s="117" t="str">
        <x:v>Marang</x:v>
      </x:c>
      <x:c r="E732" s="117" t="str">
        <x:v>Scenic Transport</x:v>
      </x:c>
      <x:c r="F732" s="117" t="str">
        <x:v>Unclassified</x:v>
      </x:c>
      <x:c r="G732" s="117" t="str">
        <x:v>Both</x:v>
      </x:c>
      <x:c r="H732" s="117" t="str">
        <x:v>Scenic Transport; Marang</x:v>
      </x:c>
      <x:c r="I732" s="117" t="str">
        <x:v>A visitor attraction in Marang, Terengganu, listed in Tourism Malaysia's state travel guide. Venue operation and the precise accessible route require confirmation.</x:v>
      </x:c>
      <x:c r="J732" s="117" t="str">
        <x:v>https://ebrochures.malaysia.travel/en/malaysia-travel-guide/terengganu/</x:v>
      </x:c>
      <x:c r="K732" s="117" t="str">
        <x:v>https://ebrochures.malaysia.travel/en/malaysia-travel-guide/terengganu/</x:v>
      </x:c>
      <x:c r="L732" s="117" t="str">
        <x:v>Tourism Malaysia listing; operation unconfirmed</x:v>
      </x:c>
      <x:c r="M732" s="117" t="str">
        <x:v>Nationwide expansion 2026-09-08</x:v>
      </x:c>
      <x:c r="N732" s="117"/>
      <x:c r="O732" s="117" t="str">
        <x:v>2026-09-08</x:v>
      </x:c>
      <x:c r="P732" s="117" t="str">
        <x:v>Complete</x:v>
      </x:c>
      <x:c r="Q732" s="117"/>
      <x:c r="R732" s="117" t="str">
        <x:f>IF(J732="","Missing Link",IF(AND(ISNUMBER(SEARCH("google.com/maps",J732)),ISERROR(SEARCH(";",J732))),"Discovery Link Only","Source Link Present"))</x:f>
        <x:v>Source Link Present</x:v>
      </x:c>
      <x:c r="S732" s="117" t="str">
        <x:v>Unknown</x:v>
      </x:c>
      <x:c r="T732" s="117" t="str">
        <x:v>Unknown</x:v>
      </x:c>
      <x:c r="U732" s="117" t="str">
        <x:v>Unknown</x:v>
      </x:c>
      <x:c r="V732" s="117" t="str">
        <x:v>Unknown</x:v>
      </x:c>
      <x:c r="W732" s="117" t="str">
        <x:v>Unknown</x:v>
      </x:c>
      <x:c r="X732" s="117" t="str">
        <x:v>Unknown</x:v>
      </x:c>
      <x:c r="Y732" s="117" t="str">
        <x:v>Unknown</x:v>
      </x:c>
      <x:c r="Z732" s="117"/>
      <x:c r="AA732" s="117" t="str">
        <x:v>Pending evidence</x:v>
      </x:c>
      <x:c r="AB732" s="117"/>
      <x:c r="AC732" s="117" t="str">
        <x:v>No qualifying accessibility conclusion established from the screened sources. This is unknown, not evidence that the attraction is inaccessible.</x:v>
      </x:c>
      <x:c r="AD732" s="117" t="str">
        <x:v>2026-09-08</x:v>
      </x:c>
      <x:c r="AE732" s="117" t="str">
        <x:v>MC0729</x:v>
      </x:c>
      <x:c r="AF732" s="117" t="str">
        <x:v>Distinct candidate</x:v>
      </x:c>
      <x:c r="AG732" s="117" t="str"/>
      <x:c r="AH732" s="117" t="str">
        <x:v>Listed by Tourism Malaysia</x:v>
      </x:c>
      <x:c r="AI732" s="117" t="str">
        <x:v>https://ebrochures.malaysia.travel/en/malaysia-travel-guide/terengganu/</x:v>
      </x:c>
      <x:c r="AJ732" s="117" t="str">
        <x:v>Named visitor attraction in cited source; state-guide listings can be historical. Locality is catalogue metadata, not a surveyed address. Current operation remains unconfirmed.</x:v>
      </x:c>
      <x:c r="AK732" s="117" t="str">
        <x:v>Not independently confirmed</x:v>
      </x:c>
      <x:c r="AL732" s="117" t="str">
        <x:v>Screened sources; accessibility unresolved</x:v>
      </x:c>
      <x:c r="AM732" s="117" t="str">
        <x:v>2026-09-08</x:v>
      </x:c>
      <x:c r="AN732" s="117"/>
      <x:c r="AO732" s="117"/>
      <x:c r="AP732" s="117" t="str">
        <x:v>No usable pair located; image research pending</x:v>
      </x:c>
      <x:c r="AQ732" s="117"/>
    </x:row>
    <x:row r="733" ht="66" customHeight="1">
      <x:c r="A733" s="117" t="str">
        <x:v>MC0730</x:v>
      </x:c>
      <x:c r="B733" s="117" t="str">
        <x:v>Kampung Jenang Traditional Village</x:v>
      </x:c>
      <x:c r="C733" s="117" t="str">
        <x:v>Terengganu</x:v>
      </x:c>
      <x:c r="D733" s="117" t="str">
        <x:v>Marang</x:v>
      </x:c>
      <x:c r="E733" s="117" t="str">
        <x:v>Heritage and Visitor Attraction</x:v>
      </x:c>
      <x:c r="F733" s="117" t="str">
        <x:v>Unclassified</x:v>
      </x:c>
      <x:c r="G733" s="117" t="str">
        <x:v>Both</x:v>
      </x:c>
      <x:c r="H733" s="117" t="str">
        <x:v>Heritage and Visitor Attraction; Marang</x:v>
      </x:c>
      <x:c r="I733" s="117" t="str">
        <x:v>A visitor attraction in Marang, Terengganu, listed in Tourism Malaysia's state travel guide. Venue operation and the precise accessible route require confirmation.</x:v>
      </x:c>
      <x:c r="J733" s="117" t="str">
        <x:v>https://ebrochures.malaysia.travel/en/malaysia-travel-guide/terengganu/</x:v>
      </x:c>
      <x:c r="K733" s="117" t="str">
        <x:v>https://ebrochures.malaysia.travel/en/malaysia-travel-guide/terengganu/</x:v>
      </x:c>
      <x:c r="L733" s="117" t="str">
        <x:v>Tourism Malaysia listing; operation unconfirmed</x:v>
      </x:c>
      <x:c r="M733" s="117" t="str">
        <x:v>Nationwide expansion 2026-09-08</x:v>
      </x:c>
      <x:c r="N733" s="117"/>
      <x:c r="O733" s="117" t="str">
        <x:v>2026-09-08</x:v>
      </x:c>
      <x:c r="P733" s="117" t="str">
        <x:v>Complete</x:v>
      </x:c>
      <x:c r="Q733" s="117"/>
      <x:c r="R733" s="117" t="str">
        <x:f>IF(J733="","Missing Link",IF(AND(ISNUMBER(SEARCH("google.com/maps",J733)),ISERROR(SEARCH(";",J733))),"Discovery Link Only","Source Link Present"))</x:f>
        <x:v>Source Link Present</x:v>
      </x:c>
      <x:c r="S733" s="117" t="str">
        <x:v>Unknown</x:v>
      </x:c>
      <x:c r="T733" s="117" t="str">
        <x:v>Unknown</x:v>
      </x:c>
      <x:c r="U733" s="117" t="str">
        <x:v>Unknown</x:v>
      </x:c>
      <x:c r="V733" s="117" t="str">
        <x:v>Unknown</x:v>
      </x:c>
      <x:c r="W733" s="117" t="str">
        <x:v>Unknown</x:v>
      </x:c>
      <x:c r="X733" s="117" t="str">
        <x:v>Unknown</x:v>
      </x:c>
      <x:c r="Y733" s="117" t="str">
        <x:v>Unknown</x:v>
      </x:c>
      <x:c r="Z733" s="117"/>
      <x:c r="AA733" s="117" t="str">
        <x:v>Pending evidence</x:v>
      </x:c>
      <x:c r="AB733" s="117"/>
      <x:c r="AC733" s="117" t="str">
        <x:v>No qualifying accessibility conclusion established from the screened sources. This is unknown, not evidence that the attraction is inaccessible.</x:v>
      </x:c>
      <x:c r="AD733" s="117" t="str">
        <x:v>2026-09-08</x:v>
      </x:c>
      <x:c r="AE733" s="117" t="str">
        <x:v>MC0730</x:v>
      </x:c>
      <x:c r="AF733" s="117" t="str">
        <x:v>Distinct candidate</x:v>
      </x:c>
      <x:c r="AG733" s="117" t="str"/>
      <x:c r="AH733" s="117" t="str">
        <x:v>Listed by Tourism Malaysia</x:v>
      </x:c>
      <x:c r="AI733" s="117" t="str">
        <x:v>https://ebrochures.malaysia.travel/en/malaysia-travel-guide/terengganu/</x:v>
      </x:c>
      <x:c r="AJ733" s="117" t="str">
        <x:v>Named visitor attraction in cited source; state-guide listings can be historical. Locality is catalogue metadata, not a surveyed address. Current operation remains unconfirmed.</x:v>
      </x:c>
      <x:c r="AK733" s="117" t="str">
        <x:v>Not independently confirmed</x:v>
      </x:c>
      <x:c r="AL733" s="117" t="str">
        <x:v>Screened sources; accessibility unresolved</x:v>
      </x:c>
      <x:c r="AM733" s="117" t="str">
        <x:v>2026-09-08</x:v>
      </x:c>
      <x:c r="AN733" s="117"/>
      <x:c r="AO733" s="117"/>
      <x:c r="AP733" s="117" t="str">
        <x:v>No usable pair located; image research pending</x:v>
      </x:c>
      <x:c r="AQ733" s="117"/>
    </x:row>
    <x:row r="734" ht="66" customHeight="1">
      <x:c r="A734" s="117" t="str">
        <x:v>MC0731</x:v>
      </x:c>
      <x:c r="B734" s="117" t="str">
        <x:v>Bukit Maras Paragliding and Recreational Park</x:v>
      </x:c>
      <x:c r="C734" s="117" t="str">
        <x:v>Terengganu</x:v>
      </x:c>
      <x:c r="D734" s="117" t="str">
        <x:v>Kuala Nerus</x:v>
      </x:c>
      <x:c r="E734" s="117" t="str">
        <x:v>Nature</x:v>
      </x:c>
      <x:c r="F734" s="117" t="str">
        <x:v>Unclassified</x:v>
      </x:c>
      <x:c r="G734" s="117" t="str">
        <x:v>Outdoor</x:v>
      </x:c>
      <x:c r="H734" s="117" t="str">
        <x:v>Nature; Kuala Nerus</x:v>
      </x:c>
      <x:c r="I734" s="117" t="str">
        <x:v>A visitor attraction in Kuala Nerus, Terengganu, listed in Tourism Malaysia's state travel guide. Venue operation and the precise accessible route require confirmation.</x:v>
      </x:c>
      <x:c r="J734" s="117" t="str">
        <x:v>https://ebrochures.malaysia.travel/en/malaysia-travel-guide/terengganu/</x:v>
      </x:c>
      <x:c r="K734" s="117" t="str">
        <x:v>https://ebrochures.malaysia.travel/en/malaysia-travel-guide/terengganu/</x:v>
      </x:c>
      <x:c r="L734" s="117" t="str">
        <x:v>Tourism Malaysia listing; operation unconfirmed</x:v>
      </x:c>
      <x:c r="M734" s="117" t="str">
        <x:v>Nationwide expansion 2026-09-08</x:v>
      </x:c>
      <x:c r="N734" s="117"/>
      <x:c r="O734" s="117" t="str">
        <x:v>2026-09-08</x:v>
      </x:c>
      <x:c r="P734" s="117" t="str">
        <x:v>Complete</x:v>
      </x:c>
      <x:c r="Q734" s="117"/>
      <x:c r="R734" s="117" t="str">
        <x:f>IF(J734="","Missing Link",IF(AND(ISNUMBER(SEARCH("google.com/maps",J734)),ISERROR(SEARCH(";",J734))),"Discovery Link Only","Source Link Present"))</x:f>
        <x:v>Source Link Present</x:v>
      </x:c>
      <x:c r="S734" s="117" t="str">
        <x:v>Unknown</x:v>
      </x:c>
      <x:c r="T734" s="117" t="str">
        <x:v>Unknown</x:v>
      </x:c>
      <x:c r="U734" s="117" t="str">
        <x:v>Unknown</x:v>
      </x:c>
      <x:c r="V734" s="117" t="str">
        <x:v>Unknown</x:v>
      </x:c>
      <x:c r="W734" s="117" t="str">
        <x:v>Unknown</x:v>
      </x:c>
      <x:c r="X734" s="117" t="str">
        <x:v>Unknown</x:v>
      </x:c>
      <x:c r="Y734" s="117" t="str">
        <x:v>Unknown</x:v>
      </x:c>
      <x:c r="Z734" s="117"/>
      <x:c r="AA734" s="117" t="str">
        <x:v>Pending evidence</x:v>
      </x:c>
      <x:c r="AB734" s="117"/>
      <x:c r="AC734" s="117" t="str">
        <x:v>No qualifying accessibility conclusion established from the screened sources. This is unknown, not evidence that the attraction is inaccessible.</x:v>
      </x:c>
      <x:c r="AD734" s="117" t="str">
        <x:v>2026-09-08</x:v>
      </x:c>
      <x:c r="AE734" s="117" t="str">
        <x:v>MC0731</x:v>
      </x:c>
      <x:c r="AF734" s="117" t="str">
        <x:v>Distinct candidate</x:v>
      </x:c>
      <x:c r="AG734" s="117" t="str"/>
      <x:c r="AH734" s="117" t="str">
        <x:v>Listed by Tourism Malaysia</x:v>
      </x:c>
      <x:c r="AI734" s="117" t="str">
        <x:v>https://ebrochures.malaysia.travel/en/malaysia-travel-guide/terengganu/</x:v>
      </x:c>
      <x:c r="AJ734" s="117" t="str">
        <x:v>Named visitor attraction in cited source; state-guide listings can be historical. Locality is catalogue metadata, not a surveyed address. Current operation remains unconfirmed.</x:v>
      </x:c>
      <x:c r="AK734" s="117" t="str">
        <x:v>Not independently confirmed</x:v>
      </x:c>
      <x:c r="AL734" s="117" t="str">
        <x:v>Screened sources; accessibility unresolved</x:v>
      </x:c>
      <x:c r="AM734" s="117" t="str">
        <x:v>2026-09-08</x:v>
      </x:c>
      <x:c r="AN734" s="117"/>
      <x:c r="AO734" s="117"/>
      <x:c r="AP734" s="117" t="str">
        <x:v>No usable pair located; image research pending</x:v>
      </x:c>
      <x:c r="AQ734" s="117"/>
    </x:row>
    <x:row r="735" ht="66" customHeight="1">
      <x:c r="A735" s="117" t="str">
        <x:v>MC0732</x:v>
      </x:c>
      <x:c r="B735" s="117" t="str">
        <x:v>Pantai Teluk Ketapang</x:v>
      </x:c>
      <x:c r="C735" s="117" t="str">
        <x:v>Terengganu</x:v>
      </x:c>
      <x:c r="D735" s="117" t="str">
        <x:v>Kuala Nerus</x:v>
      </x:c>
      <x:c r="E735" s="117" t="str">
        <x:v>Beach and Island</x:v>
      </x:c>
      <x:c r="F735" s="117" t="str">
        <x:v>Unclassified</x:v>
      </x:c>
      <x:c r="G735" s="117" t="str">
        <x:v>Outdoor</x:v>
      </x:c>
      <x:c r="H735" s="117" t="str">
        <x:v>Beach and Island; Kuala Nerus</x:v>
      </x:c>
      <x:c r="I735" s="117" t="str">
        <x:v>A visitor attraction in Kuala Nerus, Terengganu, listed in Tourism Malaysia's state travel guide. Venue operation and the precise accessible route require confirmation.</x:v>
      </x:c>
      <x:c r="J735" s="117" t="str">
        <x:v>https://ebrochures.malaysia.travel/en/malaysia-travel-guide/terengganu/</x:v>
      </x:c>
      <x:c r="K735" s="117" t="str">
        <x:v>https://ebrochures.malaysia.travel/en/malaysia-travel-guide/terengganu/</x:v>
      </x:c>
      <x:c r="L735" s="117" t="str">
        <x:v>Tourism Malaysia listing; operation unconfirmed</x:v>
      </x:c>
      <x:c r="M735" s="117" t="str">
        <x:v>Nationwide expansion 2026-09-08</x:v>
      </x:c>
      <x:c r="N735" s="117"/>
      <x:c r="O735" s="117" t="str">
        <x:v>2026-09-08</x:v>
      </x:c>
      <x:c r="P735" s="117" t="str">
        <x:v>Complete</x:v>
      </x:c>
      <x:c r="Q735" s="117"/>
      <x:c r="R735" s="117" t="str">
        <x:f>IF(J735="","Missing Link",IF(AND(ISNUMBER(SEARCH("google.com/maps",J735)),ISERROR(SEARCH(";",J735))),"Discovery Link Only","Source Link Present"))</x:f>
        <x:v>Source Link Present</x:v>
      </x:c>
      <x:c r="S735" s="117" t="str">
        <x:v>Unknown</x:v>
      </x:c>
      <x:c r="T735" s="117" t="str">
        <x:v>Unknown</x:v>
      </x:c>
      <x:c r="U735" s="117" t="str">
        <x:v>Unknown</x:v>
      </x:c>
      <x:c r="V735" s="117" t="str">
        <x:v>Unknown</x:v>
      </x:c>
      <x:c r="W735" s="117" t="str">
        <x:v>Unknown</x:v>
      </x:c>
      <x:c r="X735" s="117" t="str">
        <x:v>Unknown</x:v>
      </x:c>
      <x:c r="Y735" s="117" t="str">
        <x:v>Unknown</x:v>
      </x:c>
      <x:c r="Z735" s="117"/>
      <x:c r="AA735" s="117" t="str">
        <x:v>Pending evidence</x:v>
      </x:c>
      <x:c r="AB735" s="117"/>
      <x:c r="AC735" s="117" t="str">
        <x:v>No qualifying accessibility conclusion established from the screened sources. This is unknown, not evidence that the attraction is inaccessible.</x:v>
      </x:c>
      <x:c r="AD735" s="117" t="str">
        <x:v>2026-09-08</x:v>
      </x:c>
      <x:c r="AE735" s="117" t="str">
        <x:v>MC0732</x:v>
      </x:c>
      <x:c r="AF735" s="117" t="str">
        <x:v>Distinct candidate</x:v>
      </x:c>
      <x:c r="AG735" s="117" t="str"/>
      <x:c r="AH735" s="117" t="str">
        <x:v>Listed by Tourism Malaysia</x:v>
      </x:c>
      <x:c r="AI735" s="117" t="str">
        <x:v>https://ebrochures.malaysia.travel/en/malaysia-travel-guide/terengganu/</x:v>
      </x:c>
      <x:c r="AJ735" s="117" t="str">
        <x:v>Named visitor attraction in cited source; state-guide listings can be historical. Locality is catalogue metadata, not a surveyed address. Current operation remains unconfirmed.</x:v>
      </x:c>
      <x:c r="AK735" s="117" t="str">
        <x:v>Not independently confirmed</x:v>
      </x:c>
      <x:c r="AL735" s="117" t="str">
        <x:v>Screened sources; accessibility unresolved</x:v>
      </x:c>
      <x:c r="AM735" s="117" t="str">
        <x:v>2026-09-08</x:v>
      </x:c>
      <x:c r="AN735" s="117"/>
      <x:c r="AO735" s="117"/>
      <x:c r="AP735" s="117" t="str">
        <x:v>No usable pair located; image research pending</x:v>
      </x:c>
      <x:c r="AQ735" s="117"/>
    </x:row>
    <x:row r="736" ht="66" customHeight="1">
      <x:c r="A736" s="117" t="str">
        <x:v>MC0733</x:v>
      </x:c>
      <x:c r="B736" s="117" t="str">
        <x:v>Pantai Teluk Mak Nik</x:v>
      </x:c>
      <x:c r="C736" s="117" t="str">
        <x:v>Terengganu</x:v>
      </x:c>
      <x:c r="D736" s="117" t="str">
        <x:v>Kemaman</x:v>
      </x:c>
      <x:c r="E736" s="117" t="str">
        <x:v>Beach and Island</x:v>
      </x:c>
      <x:c r="F736" s="117" t="str">
        <x:v>Unclassified</x:v>
      </x:c>
      <x:c r="G736" s="117" t="str">
        <x:v>Outdoor</x:v>
      </x:c>
      <x:c r="H736" s="117" t="str">
        <x:v>Beach and Island; Kemaman</x:v>
      </x:c>
      <x:c r="I736" s="117" t="str">
        <x:v>A visitor attraction in Kemaman, Terengganu, listed in Tourism Malaysia's state travel guide. Venue operation and the precise accessible route require confirmation.</x:v>
      </x:c>
      <x:c r="J736" s="117" t="str">
        <x:v>https://ebrochures.malaysia.travel/en/malaysia-travel-guide/terengganu/</x:v>
      </x:c>
      <x:c r="K736" s="117" t="str">
        <x:v>https://ebrochures.malaysia.travel/en/malaysia-travel-guide/terengganu/</x:v>
      </x:c>
      <x:c r="L736" s="117" t="str">
        <x:v>Tourism Malaysia listing; operation unconfirmed</x:v>
      </x:c>
      <x:c r="M736" s="117" t="str">
        <x:v>Nationwide expansion 2026-09-08</x:v>
      </x:c>
      <x:c r="N736" s="117"/>
      <x:c r="O736" s="117" t="str">
        <x:v>2026-09-08</x:v>
      </x:c>
      <x:c r="P736" s="117" t="str">
        <x:v>Complete</x:v>
      </x:c>
      <x:c r="Q736" s="117"/>
      <x:c r="R736" s="117" t="str">
        <x:f>IF(J736="","Missing Link",IF(AND(ISNUMBER(SEARCH("google.com/maps",J736)),ISERROR(SEARCH(";",J736))),"Discovery Link Only","Source Link Present"))</x:f>
        <x:v>Source Link Present</x:v>
      </x:c>
      <x:c r="S736" s="117" t="str">
        <x:v>Unknown</x:v>
      </x:c>
      <x:c r="T736" s="117" t="str">
        <x:v>Unknown</x:v>
      </x:c>
      <x:c r="U736" s="117" t="str">
        <x:v>Unknown</x:v>
      </x:c>
      <x:c r="V736" s="117" t="str">
        <x:v>Unknown</x:v>
      </x:c>
      <x:c r="W736" s="117" t="str">
        <x:v>Unknown</x:v>
      </x:c>
      <x:c r="X736" s="117" t="str">
        <x:v>Unknown</x:v>
      </x:c>
      <x:c r="Y736" s="117" t="str">
        <x:v>Unknown</x:v>
      </x:c>
      <x:c r="Z736" s="117"/>
      <x:c r="AA736" s="117" t="str">
        <x:v>Pending evidence</x:v>
      </x:c>
      <x:c r="AB736" s="117"/>
      <x:c r="AC736" s="117" t="str">
        <x:v>No qualifying accessibility conclusion established from the screened sources. This is unknown, not evidence that the attraction is inaccessible.</x:v>
      </x:c>
      <x:c r="AD736" s="117" t="str">
        <x:v>2026-09-08</x:v>
      </x:c>
      <x:c r="AE736" s="117" t="str">
        <x:v>MC0733</x:v>
      </x:c>
      <x:c r="AF736" s="117" t="str">
        <x:v>Distinct candidate</x:v>
      </x:c>
      <x:c r="AG736" s="117" t="str"/>
      <x:c r="AH736" s="117" t="str">
        <x:v>Listed by Tourism Malaysia</x:v>
      </x:c>
      <x:c r="AI736" s="117" t="str">
        <x:v>https://ebrochures.malaysia.travel/en/malaysia-travel-guide/terengganu/</x:v>
      </x:c>
      <x:c r="AJ736" s="117" t="str">
        <x:v>Named visitor attraction in cited source; state-guide listings can be historical. Locality is catalogue metadata, not a surveyed address. Current operation remains unconfirmed.</x:v>
      </x:c>
      <x:c r="AK736" s="117" t="str">
        <x:v>Not independently confirmed</x:v>
      </x:c>
      <x:c r="AL736" s="117" t="str">
        <x:v>Screened sources; accessibility unresolved</x:v>
      </x:c>
      <x:c r="AM736" s="117" t="str">
        <x:v>2026-09-08</x:v>
      </x:c>
      <x:c r="AN736" s="117"/>
      <x:c r="AO736" s="117"/>
      <x:c r="AP736" s="117" t="str">
        <x:v>No usable pair located; image research pending</x:v>
      </x:c>
      <x:c r="AQ736" s="117"/>
    </x:row>
    <x:row r="737" ht="66" customHeight="1">
      <x:c r="A737" s="117" t="str">
        <x:v>MC0734</x:v>
      </x:c>
      <x:c r="B737" s="117" t="str">
        <x:v>Telaga Simpul</x:v>
      </x:c>
      <x:c r="C737" s="117" t="str">
        <x:v>Terengganu</x:v>
      </x:c>
      <x:c r="D737" s="117" t="str">
        <x:v>Kemaman</x:v>
      </x:c>
      <x:c r="E737" s="117" t="str">
        <x:v>Heritage and Visitor Attraction</x:v>
      </x:c>
      <x:c r="F737" s="117" t="str">
        <x:v>Unclassified</x:v>
      </x:c>
      <x:c r="G737" s="117" t="str">
        <x:v>Both</x:v>
      </x:c>
      <x:c r="H737" s="117" t="str">
        <x:v>Heritage and Visitor Attraction; Kemaman</x:v>
      </x:c>
      <x:c r="I737" s="117" t="str">
        <x:v>A visitor attraction in Kemaman, Terengganu, listed in Tourism Malaysia's state travel guide. Venue operation and the precise accessible route require confirmation.</x:v>
      </x:c>
      <x:c r="J737" s="117" t="str">
        <x:v>https://ebrochures.malaysia.travel/en/malaysia-travel-guide/terengganu/</x:v>
      </x:c>
      <x:c r="K737" s="117" t="str">
        <x:v>https://ebrochures.malaysia.travel/en/malaysia-travel-guide/terengganu/</x:v>
      </x:c>
      <x:c r="L737" s="117" t="str">
        <x:v>Tourism Malaysia listing; operation unconfirmed</x:v>
      </x:c>
      <x:c r="M737" s="117" t="str">
        <x:v>Nationwide expansion 2026-09-08</x:v>
      </x:c>
      <x:c r="N737" s="117"/>
      <x:c r="O737" s="117" t="str">
        <x:v>2026-09-08</x:v>
      </x:c>
      <x:c r="P737" s="117" t="str">
        <x:v>Complete</x:v>
      </x:c>
      <x:c r="Q737" s="117"/>
      <x:c r="R737" s="117" t="str">
        <x:f>IF(J737="","Missing Link",IF(AND(ISNUMBER(SEARCH("google.com/maps",J737)),ISERROR(SEARCH(";",J737))),"Discovery Link Only","Source Link Present"))</x:f>
        <x:v>Source Link Present</x:v>
      </x:c>
      <x:c r="S737" s="117" t="str">
        <x:v>Unknown</x:v>
      </x:c>
      <x:c r="T737" s="117" t="str">
        <x:v>Unknown</x:v>
      </x:c>
      <x:c r="U737" s="117" t="str">
        <x:v>Unknown</x:v>
      </x:c>
      <x:c r="V737" s="117" t="str">
        <x:v>Unknown</x:v>
      </x:c>
      <x:c r="W737" s="117" t="str">
        <x:v>Unknown</x:v>
      </x:c>
      <x:c r="X737" s="117" t="str">
        <x:v>Unknown</x:v>
      </x:c>
      <x:c r="Y737" s="117" t="str">
        <x:v>Unknown</x:v>
      </x:c>
      <x:c r="Z737" s="117"/>
      <x:c r="AA737" s="117" t="str">
        <x:v>Pending evidence</x:v>
      </x:c>
      <x:c r="AB737" s="117"/>
      <x:c r="AC737" s="117" t="str">
        <x:v>No qualifying accessibility conclusion established from the screened sources. This is unknown, not evidence that the attraction is inaccessible.</x:v>
      </x:c>
      <x:c r="AD737" s="117" t="str">
        <x:v>2026-09-08</x:v>
      </x:c>
      <x:c r="AE737" s="117" t="str">
        <x:v>MC0734</x:v>
      </x:c>
      <x:c r="AF737" s="117" t="str">
        <x:v>Distinct candidate</x:v>
      </x:c>
      <x:c r="AG737" s="117" t="str"/>
      <x:c r="AH737" s="117" t="str">
        <x:v>Listed by Tourism Malaysia</x:v>
      </x:c>
      <x:c r="AI737" s="117" t="str">
        <x:v>https://ebrochures.malaysia.travel/en/malaysia-travel-guide/terengganu/</x:v>
      </x:c>
      <x:c r="AJ737" s="117" t="str">
        <x:v>Named visitor attraction in cited source; state-guide listings can be historical. Locality is catalogue metadata, not a surveyed address. Current operation remains unconfirmed.</x:v>
      </x:c>
      <x:c r="AK737" s="117" t="str">
        <x:v>Not independently confirmed</x:v>
      </x:c>
      <x:c r="AL737" s="117" t="str">
        <x:v>Screened sources; accessibility unresolved</x:v>
      </x:c>
      <x:c r="AM737" s="117" t="str">
        <x:v>2026-09-08</x:v>
      </x:c>
      <x:c r="AN737" s="117"/>
      <x:c r="AO737" s="117"/>
      <x:c r="AP737" s="117" t="str">
        <x:v>No usable pair located; image research pending</x:v>
      </x:c>
      <x:c r="AQ737" s="117"/>
    </x:row>
    <x:row r="738" ht="66" customHeight="1">
      <x:c r="A738" s="117" t="str">
        <x:v>MC0735</x:v>
      </x:c>
      <x:c r="B738" s="117" t="str">
        <x:v>Kijal Beach</x:v>
      </x:c>
      <x:c r="C738" s="117" t="str">
        <x:v>Terengganu</x:v>
      </x:c>
      <x:c r="D738" s="117" t="str">
        <x:v>Kemaman</x:v>
      </x:c>
      <x:c r="E738" s="117" t="str">
        <x:v>Beach and Island</x:v>
      </x:c>
      <x:c r="F738" s="117" t="str">
        <x:v>Unclassified</x:v>
      </x:c>
      <x:c r="G738" s="117" t="str">
        <x:v>Outdoor</x:v>
      </x:c>
      <x:c r="H738" s="117" t="str">
        <x:v>Beach and Island; Kemaman</x:v>
      </x:c>
      <x:c r="I738" s="117" t="str">
        <x:v>A visitor attraction in Kemaman, Terengganu, listed in Tourism Malaysia's state travel guide. Venue operation and the precise accessible route require confirmation.</x:v>
      </x:c>
      <x:c r="J738" s="117" t="str">
        <x:v>https://ebrochures.malaysia.travel/en/malaysia-travel-guide/terengganu/</x:v>
      </x:c>
      <x:c r="K738" s="117" t="str">
        <x:v>https://ebrochures.malaysia.travel/en/malaysia-travel-guide/terengganu/</x:v>
      </x:c>
      <x:c r="L738" s="117" t="str">
        <x:v>Tourism Malaysia listing; operation unconfirmed</x:v>
      </x:c>
      <x:c r="M738" s="117" t="str">
        <x:v>Nationwide expansion 2026-09-08</x:v>
      </x:c>
      <x:c r="N738" s="117"/>
      <x:c r="O738" s="117" t="str">
        <x:v>2026-09-08</x:v>
      </x:c>
      <x:c r="P738" s="117" t="str">
        <x:v>Complete</x:v>
      </x:c>
      <x:c r="Q738" s="117"/>
      <x:c r="R738" s="117" t="str">
        <x:f>IF(J738="","Missing Link",IF(AND(ISNUMBER(SEARCH("google.com/maps",J738)),ISERROR(SEARCH(";",J738))),"Discovery Link Only","Source Link Present"))</x:f>
        <x:v>Source Link Present</x:v>
      </x:c>
      <x:c r="S738" s="117" t="str">
        <x:v>Unknown</x:v>
      </x:c>
      <x:c r="T738" s="117" t="str">
        <x:v>Unknown</x:v>
      </x:c>
      <x:c r="U738" s="117" t="str">
        <x:v>Unknown</x:v>
      </x:c>
      <x:c r="V738" s="117" t="str">
        <x:v>Unknown</x:v>
      </x:c>
      <x:c r="W738" s="117" t="str">
        <x:v>Unknown</x:v>
      </x:c>
      <x:c r="X738" s="117" t="str">
        <x:v>Unknown</x:v>
      </x:c>
      <x:c r="Y738" s="117" t="str">
        <x:v>Unknown</x:v>
      </x:c>
      <x:c r="Z738" s="117"/>
      <x:c r="AA738" s="117" t="str">
        <x:v>Pending evidence</x:v>
      </x:c>
      <x:c r="AB738" s="117"/>
      <x:c r="AC738" s="117" t="str">
        <x:v>No qualifying accessibility conclusion established from the screened sources. This is unknown, not evidence that the attraction is inaccessible.</x:v>
      </x:c>
      <x:c r="AD738" s="117" t="str">
        <x:v>2026-09-08</x:v>
      </x:c>
      <x:c r="AE738" s="117" t="str">
        <x:v>MC0735</x:v>
      </x:c>
      <x:c r="AF738" s="117" t="str">
        <x:v>Distinct candidate</x:v>
      </x:c>
      <x:c r="AG738" s="117" t="str"/>
      <x:c r="AH738" s="117" t="str">
        <x:v>Listed by Tourism Malaysia</x:v>
      </x:c>
      <x:c r="AI738" s="117" t="str">
        <x:v>https://ebrochures.malaysia.travel/en/malaysia-travel-guide/terengganu/</x:v>
      </x:c>
      <x:c r="AJ738" s="117" t="str">
        <x:v>Named visitor attraction in cited source; state-guide listings can be historical. Locality is catalogue metadata, not a surveyed address. Current operation remains unconfirmed.</x:v>
      </x:c>
      <x:c r="AK738" s="117" t="str">
        <x:v>Not independently confirmed</x:v>
      </x:c>
      <x:c r="AL738" s="117" t="str">
        <x:v>Screened sources; accessibility unresolved</x:v>
      </x:c>
      <x:c r="AM738" s="117" t="str">
        <x:v>2026-09-08</x:v>
      </x:c>
      <x:c r="AN738" s="117"/>
      <x:c r="AO738" s="117"/>
      <x:c r="AP738" s="117" t="str">
        <x:v>No usable pair located; image research pending</x:v>
      </x:c>
      <x:c r="AQ738" s="117"/>
    </x:row>
    <x:row r="739" ht="66" customHeight="1">
      <x:c r="A739" s="117" t="str">
        <x:v>MC0736</x:v>
      </x:c>
      <x:c r="B739" s="117" t="str">
        <x:v>Kampung Tuan Mosque</x:v>
      </x:c>
      <x:c r="C739" s="117" t="str">
        <x:v>Terengganu</x:v>
      </x:c>
      <x:c r="D739" s="117" t="str">
        <x:v>Kemaman</x:v>
      </x:c>
      <x:c r="E739" s="117" t="str">
        <x:v>Religious Site</x:v>
      </x:c>
      <x:c r="F739" s="117" t="str">
        <x:v>Unclassified</x:v>
      </x:c>
      <x:c r="G739" s="117" t="str">
        <x:v>Both</x:v>
      </x:c>
      <x:c r="H739" s="117" t="str">
        <x:v>Religious Site; Kemaman</x:v>
      </x:c>
      <x:c r="I739" s="117" t="str">
        <x:v>A visitor attraction in Kemaman, Terengganu, listed in Tourism Malaysia's state travel guide. Venue operation and the precise accessible route require confirmation.</x:v>
      </x:c>
      <x:c r="J739" s="117" t="str">
        <x:v>https://ebrochures.malaysia.travel/en/malaysia-travel-guide/terengganu/</x:v>
      </x:c>
      <x:c r="K739" s="117" t="str">
        <x:v>https://ebrochures.malaysia.travel/en/malaysia-travel-guide/terengganu/</x:v>
      </x:c>
      <x:c r="L739" s="117" t="str">
        <x:v>Tourism Malaysia listing; operation unconfirmed</x:v>
      </x:c>
      <x:c r="M739" s="117" t="str">
        <x:v>Nationwide expansion 2026-09-08</x:v>
      </x:c>
      <x:c r="N739" s="117"/>
      <x:c r="O739" s="117" t="str">
        <x:v>2026-09-08</x:v>
      </x:c>
      <x:c r="P739" s="117" t="str">
        <x:v>Complete</x:v>
      </x:c>
      <x:c r="Q739" s="117"/>
      <x:c r="R739" s="117" t="str">
        <x:f>IF(J739="","Missing Link",IF(AND(ISNUMBER(SEARCH("google.com/maps",J739)),ISERROR(SEARCH(";",J739))),"Discovery Link Only","Source Link Present"))</x:f>
        <x:v>Source Link Present</x:v>
      </x:c>
      <x:c r="S739" s="117" t="str">
        <x:v>Unknown</x:v>
      </x:c>
      <x:c r="T739" s="117" t="str">
        <x:v>Unknown</x:v>
      </x:c>
      <x:c r="U739" s="117" t="str">
        <x:v>Unknown</x:v>
      </x:c>
      <x:c r="V739" s="117" t="str">
        <x:v>Unknown</x:v>
      </x:c>
      <x:c r="W739" s="117" t="str">
        <x:v>Unknown</x:v>
      </x:c>
      <x:c r="X739" s="117" t="str">
        <x:v>Unknown</x:v>
      </x:c>
      <x:c r="Y739" s="117" t="str">
        <x:v>Unknown</x:v>
      </x:c>
      <x:c r="Z739" s="117"/>
      <x:c r="AA739" s="117" t="str">
        <x:v>Pending evidence</x:v>
      </x:c>
      <x:c r="AB739" s="117"/>
      <x:c r="AC739" s="117" t="str">
        <x:v>No qualifying accessibility conclusion established from the screened sources. This is unknown, not evidence that the attraction is inaccessible.</x:v>
      </x:c>
      <x:c r="AD739" s="117" t="str">
        <x:v>2026-09-08</x:v>
      </x:c>
      <x:c r="AE739" s="117" t="str">
        <x:v>MC0736</x:v>
      </x:c>
      <x:c r="AF739" s="117" t="str">
        <x:v>Distinct candidate</x:v>
      </x:c>
      <x:c r="AG739" s="117" t="str"/>
      <x:c r="AH739" s="117" t="str">
        <x:v>Listed by Tourism Malaysia</x:v>
      </x:c>
      <x:c r="AI739" s="117" t="str">
        <x:v>https://ebrochures.malaysia.travel/en/malaysia-travel-guide/terengganu/</x:v>
      </x:c>
      <x:c r="AJ739" s="117" t="str">
        <x:v>Named visitor attraction in cited source; state-guide listings can be historical. Locality is catalogue metadata, not a surveyed address. Current operation remains unconfirmed.</x:v>
      </x:c>
      <x:c r="AK739" s="117" t="str">
        <x:v>Not independently confirmed</x:v>
      </x:c>
      <x:c r="AL739" s="117" t="str">
        <x:v>Screened sources; accessibility unresolved</x:v>
      </x:c>
      <x:c r="AM739" s="117" t="str">
        <x:v>2026-09-08</x:v>
      </x:c>
      <x:c r="AN739" s="117"/>
      <x:c r="AO739" s="117"/>
      <x:c r="AP739" s="117" t="str">
        <x:v>No usable pair located; image research pending</x:v>
      </x:c>
      <x:c r="AQ739" s="117"/>
    </x:row>
    <x:row r="740" ht="66" customHeight="1">
      <x:c r="A740" s="117" t="str">
        <x:v>MC0737</x:v>
      </x:c>
      <x:c r="B740" s="117" t="str">
        <x:v>Kemaman Recreation Park and Mini Zoo</x:v>
      </x:c>
      <x:c r="C740" s="117" t="str">
        <x:v>Terengganu</x:v>
      </x:c>
      <x:c r="D740" s="117" t="str">
        <x:v>Kemaman</x:v>
      </x:c>
      <x:c r="E740" s="117" t="str">
        <x:v>Wildlife</x:v>
      </x:c>
      <x:c r="F740" s="117" t="str">
        <x:v>Unclassified</x:v>
      </x:c>
      <x:c r="G740" s="117" t="str">
        <x:v>Outdoor</x:v>
      </x:c>
      <x:c r="H740" s="117" t="str">
        <x:v>Wildlife; Kemaman</x:v>
      </x:c>
      <x:c r="I740" s="117" t="str">
        <x:v>A visitor attraction in Kemaman, Terengganu, listed in Tourism Malaysia's state travel guide. Venue operation and the precise accessible route require confirmation.</x:v>
      </x:c>
      <x:c r="J740" s="117" t="str">
        <x:v>https://ebrochures.malaysia.travel/en/malaysia-travel-guide/terengganu/</x:v>
      </x:c>
      <x:c r="K740" s="117" t="str">
        <x:v>https://ebrochures.malaysia.travel/en/malaysia-travel-guide/terengganu/</x:v>
      </x:c>
      <x:c r="L740" s="117" t="str">
        <x:v>Tourism Malaysia listing; operation unconfirmed</x:v>
      </x:c>
      <x:c r="M740" s="117" t="str">
        <x:v>Nationwide expansion 2026-09-08</x:v>
      </x:c>
      <x:c r="N740" s="117"/>
      <x:c r="O740" s="117" t="str">
        <x:v>2026-09-08</x:v>
      </x:c>
      <x:c r="P740" s="117" t="str">
        <x:v>Complete</x:v>
      </x:c>
      <x:c r="Q740" s="117"/>
      <x:c r="R740" s="117" t="str">
        <x:f>IF(J740="","Missing Link",IF(AND(ISNUMBER(SEARCH("google.com/maps",J740)),ISERROR(SEARCH(";",J740))),"Discovery Link Only","Source Link Present"))</x:f>
        <x:v>Source Link Present</x:v>
      </x:c>
      <x:c r="S740" s="117" t="str">
        <x:v>Unknown</x:v>
      </x:c>
      <x:c r="T740" s="117" t="str">
        <x:v>Unknown</x:v>
      </x:c>
      <x:c r="U740" s="117" t="str">
        <x:v>Unknown</x:v>
      </x:c>
      <x:c r="V740" s="117" t="str">
        <x:v>Unknown</x:v>
      </x:c>
      <x:c r="W740" s="117" t="str">
        <x:v>Unknown</x:v>
      </x:c>
      <x:c r="X740" s="117" t="str">
        <x:v>Unknown</x:v>
      </x:c>
      <x:c r="Y740" s="117" t="str">
        <x:v>Unknown</x:v>
      </x:c>
      <x:c r="Z740" s="117"/>
      <x:c r="AA740" s="117" t="str">
        <x:v>Pending evidence</x:v>
      </x:c>
      <x:c r="AB740" s="117"/>
      <x:c r="AC740" s="117" t="str">
        <x:v>No qualifying accessibility conclusion established from the screened sources. This is unknown, not evidence that the attraction is inaccessible.</x:v>
      </x:c>
      <x:c r="AD740" s="117" t="str">
        <x:v>2026-09-08</x:v>
      </x:c>
      <x:c r="AE740" s="117" t="str">
        <x:v>MC0737</x:v>
      </x:c>
      <x:c r="AF740" s="117" t="str">
        <x:v>Distinct candidate</x:v>
      </x:c>
      <x:c r="AG740" s="117" t="str"/>
      <x:c r="AH740" s="117" t="str">
        <x:v>Listed by Tourism Malaysia</x:v>
      </x:c>
      <x:c r="AI740" s="117" t="str">
        <x:v>https://ebrochures.malaysia.travel/en/malaysia-travel-guide/terengganu/</x:v>
      </x:c>
      <x:c r="AJ740" s="117" t="str">
        <x:v>Named visitor attraction in cited source; state-guide listings can be historical. Locality is catalogue metadata, not a surveyed address. Current operation remains unconfirmed.</x:v>
      </x:c>
      <x:c r="AK740" s="117" t="str">
        <x:v>Not independently confirmed</x:v>
      </x:c>
      <x:c r="AL740" s="117" t="str">
        <x:v>Screened sources; accessibility unresolved</x:v>
      </x:c>
      <x:c r="AM740" s="117" t="str">
        <x:v>2026-09-08</x:v>
      </x:c>
      <x:c r="AN740" s="117"/>
      <x:c r="AO740" s="117"/>
      <x:c r="AP740" s="117" t="str">
        <x:v>No usable pair located; image research pending</x:v>
      </x:c>
      <x:c r="AQ740" s="117"/>
    </x:row>
    <x:row r="741" ht="66" customHeight="1">
      <x:c r="A741" s="117" t="str">
        <x:v>MC0738</x:v>
      </x:c>
      <x:c r="B741" s="117" t="str">
        <x:v>Sekayu Herb Garden</x:v>
      </x:c>
      <x:c r="C741" s="117" t="str">
        <x:v>Terengganu</x:v>
      </x:c>
      <x:c r="D741" s="117" t="str">
        <x:v>Hulu Terengganu</x:v>
      </x:c>
      <x:c r="E741" s="117" t="str">
        <x:v>Nature</x:v>
      </x:c>
      <x:c r="F741" s="117" t="str">
        <x:v>Unclassified</x:v>
      </x:c>
      <x:c r="G741" s="117" t="str">
        <x:v>Outdoor</x:v>
      </x:c>
      <x:c r="H741" s="117" t="str">
        <x:v>Nature; Hulu Terengganu</x:v>
      </x:c>
      <x:c r="I741" s="117" t="str">
        <x:v>A visitor attraction in Hulu Terengganu, Terengganu, listed in Tourism Malaysia's state travel guide. Venue operation and the precise accessible route require confirmation.</x:v>
      </x:c>
      <x:c r="J741" s="117" t="str">
        <x:v>https://ebrochures.malaysia.travel/en/malaysia-travel-guide/terengganu/</x:v>
      </x:c>
      <x:c r="K741" s="117" t="str">
        <x:v>https://ebrochures.malaysia.travel/en/malaysia-travel-guide/terengganu/</x:v>
      </x:c>
      <x:c r="L741" s="117" t="str">
        <x:v>Tourism Malaysia listing; operation unconfirmed</x:v>
      </x:c>
      <x:c r="M741" s="117" t="str">
        <x:v>Nationwide expansion 2026-09-08</x:v>
      </x:c>
      <x:c r="N741" s="117"/>
      <x:c r="O741" s="117" t="str">
        <x:v>2026-09-08</x:v>
      </x:c>
      <x:c r="P741" s="117" t="str">
        <x:v>Complete</x:v>
      </x:c>
      <x:c r="Q741" s="117"/>
      <x:c r="R741" s="117" t="str">
        <x:f>IF(J741="","Missing Link",IF(AND(ISNUMBER(SEARCH("google.com/maps",J741)),ISERROR(SEARCH(";",J741))),"Discovery Link Only","Source Link Present"))</x:f>
        <x:v>Source Link Present</x:v>
      </x:c>
      <x:c r="S741" s="117" t="str">
        <x:v>Unknown</x:v>
      </x:c>
      <x:c r="T741" s="117" t="str">
        <x:v>Unknown</x:v>
      </x:c>
      <x:c r="U741" s="117" t="str">
        <x:v>Unknown</x:v>
      </x:c>
      <x:c r="V741" s="117" t="str">
        <x:v>Unknown</x:v>
      </x:c>
      <x:c r="W741" s="117" t="str">
        <x:v>Unknown</x:v>
      </x:c>
      <x:c r="X741" s="117" t="str">
        <x:v>Unknown</x:v>
      </x:c>
      <x:c r="Y741" s="117" t="str">
        <x:v>Unknown</x:v>
      </x:c>
      <x:c r="Z741" s="117"/>
      <x:c r="AA741" s="117" t="str">
        <x:v>Pending evidence</x:v>
      </x:c>
      <x:c r="AB741" s="117"/>
      <x:c r="AC741" s="117" t="str">
        <x:v>No qualifying accessibility conclusion established from the screened sources. This is unknown, not evidence that the attraction is inaccessible.</x:v>
      </x:c>
      <x:c r="AD741" s="117" t="str">
        <x:v>2026-09-08</x:v>
      </x:c>
      <x:c r="AE741" s="117" t="str">
        <x:v>MC0738</x:v>
      </x:c>
      <x:c r="AF741" s="117" t="str">
        <x:v>Distinct candidate</x:v>
      </x:c>
      <x:c r="AG741" s="117" t="str"/>
      <x:c r="AH741" s="117" t="str">
        <x:v>Listed by Tourism Malaysia</x:v>
      </x:c>
      <x:c r="AI741" s="117" t="str">
        <x:v>https://ebrochures.malaysia.travel/en/malaysia-travel-guide/terengganu/</x:v>
      </x:c>
      <x:c r="AJ741" s="117" t="str">
        <x:v>Named visitor attraction in cited source; state-guide listings can be historical. Locality is catalogue metadata, not a surveyed address. Current operation remains unconfirmed.</x:v>
      </x:c>
      <x:c r="AK741" s="117" t="str">
        <x:v>Not independently confirmed</x:v>
      </x:c>
      <x:c r="AL741" s="117" t="str">
        <x:v>Screened sources; accessibility unresolved</x:v>
      </x:c>
      <x:c r="AM741" s="117" t="str">
        <x:v>2026-09-08</x:v>
      </x:c>
      <x:c r="AN741" s="117"/>
      <x:c r="AO741" s="117"/>
      <x:c r="AP741" s="117" t="str">
        <x:v>No usable pair located; image research pending</x:v>
      </x:c>
      <x:c r="AQ741" s="117"/>
    </x:row>
    <x:row r="742" ht="66" customHeight="1">
      <x:c r="A742" s="117" t="str">
        <x:v>MC0739</x:v>
      </x:c>
      <x:c r="B742" s="117" t="str">
        <x:v>Sekayu Agriculture Park</x:v>
      </x:c>
      <x:c r="C742" s="117" t="str">
        <x:v>Terengganu</x:v>
      </x:c>
      <x:c r="D742" s="117" t="str">
        <x:v>Hulu Terengganu</x:v>
      </x:c>
      <x:c r="E742" s="117" t="str">
        <x:v>Nature</x:v>
      </x:c>
      <x:c r="F742" s="117" t="str">
        <x:v>Unclassified</x:v>
      </x:c>
      <x:c r="G742" s="117" t="str">
        <x:v>Outdoor</x:v>
      </x:c>
      <x:c r="H742" s="117" t="str">
        <x:v>Nature; Hulu Terengganu</x:v>
      </x:c>
      <x:c r="I742" s="117" t="str">
        <x:v>A visitor attraction in Hulu Terengganu, Terengganu, listed in Tourism Malaysia's state travel guide. Venue operation and the precise accessible route require confirmation.</x:v>
      </x:c>
      <x:c r="J742" s="117" t="str">
        <x:v>https://ebrochures.malaysia.travel/en/malaysia-travel-guide/terengganu/</x:v>
      </x:c>
      <x:c r="K742" s="117" t="str">
        <x:v>https://ebrochures.malaysia.travel/en/malaysia-travel-guide/terengganu/</x:v>
      </x:c>
      <x:c r="L742" s="117" t="str">
        <x:v>Tourism Malaysia listing; operation unconfirmed</x:v>
      </x:c>
      <x:c r="M742" s="117" t="str">
        <x:v>Nationwide expansion 2026-09-08</x:v>
      </x:c>
      <x:c r="N742" s="117"/>
      <x:c r="O742" s="117" t="str">
        <x:v>2026-09-08</x:v>
      </x:c>
      <x:c r="P742" s="117" t="str">
        <x:v>Complete</x:v>
      </x:c>
      <x:c r="Q742" s="117"/>
      <x:c r="R742" s="117" t="str">
        <x:f>IF(J742="","Missing Link",IF(AND(ISNUMBER(SEARCH("google.com/maps",J742)),ISERROR(SEARCH(";",J742))),"Discovery Link Only","Source Link Present"))</x:f>
        <x:v>Source Link Present</x:v>
      </x:c>
      <x:c r="S742" s="117" t="str">
        <x:v>Unknown</x:v>
      </x:c>
      <x:c r="T742" s="117" t="str">
        <x:v>Unknown</x:v>
      </x:c>
      <x:c r="U742" s="117" t="str">
        <x:v>Unknown</x:v>
      </x:c>
      <x:c r="V742" s="117" t="str">
        <x:v>Unknown</x:v>
      </x:c>
      <x:c r="W742" s="117" t="str">
        <x:v>Unknown</x:v>
      </x:c>
      <x:c r="X742" s="117" t="str">
        <x:v>Unknown</x:v>
      </x:c>
      <x:c r="Y742" s="117" t="str">
        <x:v>Unknown</x:v>
      </x:c>
      <x:c r="Z742" s="117"/>
      <x:c r="AA742" s="117" t="str">
        <x:v>Pending evidence</x:v>
      </x:c>
      <x:c r="AB742" s="117"/>
      <x:c r="AC742" s="117" t="str">
        <x:v>No qualifying accessibility conclusion established from the screened sources. This is unknown, not evidence that the attraction is inaccessible.</x:v>
      </x:c>
      <x:c r="AD742" s="117" t="str">
        <x:v>2026-09-08</x:v>
      </x:c>
      <x:c r="AE742" s="117" t="str">
        <x:v>MC0739</x:v>
      </x:c>
      <x:c r="AF742" s="117" t="str">
        <x:v>Distinct candidate</x:v>
      </x:c>
      <x:c r="AG742" s="117" t="str"/>
      <x:c r="AH742" s="117" t="str">
        <x:v>Listed by Tourism Malaysia</x:v>
      </x:c>
      <x:c r="AI742" s="117" t="str">
        <x:v>https://ebrochures.malaysia.travel/en/malaysia-travel-guide/terengganu/</x:v>
      </x:c>
      <x:c r="AJ742" s="117" t="str">
        <x:v>Named visitor attraction in cited source; state-guide listings can be historical. Locality is catalogue metadata, not a surveyed address. Current operation remains unconfirmed.</x:v>
      </x:c>
      <x:c r="AK742" s="117" t="str">
        <x:v>Not independently confirmed</x:v>
      </x:c>
      <x:c r="AL742" s="117" t="str">
        <x:v>Screened sources; accessibility unresolved</x:v>
      </x:c>
      <x:c r="AM742" s="117" t="str">
        <x:v>2026-09-08</x:v>
      </x:c>
      <x:c r="AN742" s="117"/>
      <x:c r="AO742" s="117"/>
      <x:c r="AP742" s="117" t="str">
        <x:v>No usable pair located; image research pending</x:v>
      </x:c>
      <x:c r="AQ742" s="117"/>
    </x:row>
    <x:row r="743" ht="66" customHeight="1">
      <x:c r="A743" s="117" t="str">
        <x:v>MC0740</x:v>
      </x:c>
      <x:c r="B743" s="117" t="str">
        <x:v>Lasir Waterfall</x:v>
      </x:c>
      <x:c r="C743" s="117" t="str">
        <x:v>Terengganu</x:v>
      </x:c>
      <x:c r="D743" s="117" t="str">
        <x:v>Hulu Terengganu</x:v>
      </x:c>
      <x:c r="E743" s="117" t="str">
        <x:v>Nature</x:v>
      </x:c>
      <x:c r="F743" s="117" t="str">
        <x:v>Unclassified</x:v>
      </x:c>
      <x:c r="G743" s="117" t="str">
        <x:v>Outdoor</x:v>
      </x:c>
      <x:c r="H743" s="117" t="str">
        <x:v>Nature; Hulu Terengganu</x:v>
      </x:c>
      <x:c r="I743" s="117" t="str">
        <x:v>A visitor attraction in Hulu Terengganu, Terengganu, listed in Tourism Malaysia's state travel guide. Venue operation and the precise accessible route require confirmation.</x:v>
      </x:c>
      <x:c r="J743" s="117" t="str">
        <x:v>https://ebrochures.malaysia.travel/en/malaysia-travel-guide/terengganu/</x:v>
      </x:c>
      <x:c r="K743" s="117" t="str">
        <x:v>https://ebrochures.malaysia.travel/en/malaysia-travel-guide/terengganu/</x:v>
      </x:c>
      <x:c r="L743" s="117" t="str">
        <x:v>Tourism Malaysia listing; operation unconfirmed</x:v>
      </x:c>
      <x:c r="M743" s="117" t="str">
        <x:v>Nationwide expansion 2026-09-08</x:v>
      </x:c>
      <x:c r="N743" s="117"/>
      <x:c r="O743" s="117" t="str">
        <x:v>2026-09-08</x:v>
      </x:c>
      <x:c r="P743" s="117" t="str">
        <x:v>Complete</x:v>
      </x:c>
      <x:c r="Q743" s="117"/>
      <x:c r="R743" s="117" t="str">
        <x:f>IF(J743="","Missing Link",IF(AND(ISNUMBER(SEARCH("google.com/maps",J743)),ISERROR(SEARCH(";",J743))),"Discovery Link Only","Source Link Present"))</x:f>
        <x:v>Source Link Present</x:v>
      </x:c>
      <x:c r="S743" s="117" t="str">
        <x:v>Unknown</x:v>
      </x:c>
      <x:c r="T743" s="117" t="str">
        <x:v>Unknown</x:v>
      </x:c>
      <x:c r="U743" s="117" t="str">
        <x:v>Unknown</x:v>
      </x:c>
      <x:c r="V743" s="117" t="str">
        <x:v>Unknown</x:v>
      </x:c>
      <x:c r="W743" s="117" t="str">
        <x:v>Unknown</x:v>
      </x:c>
      <x:c r="X743" s="117" t="str">
        <x:v>Unknown</x:v>
      </x:c>
      <x:c r="Y743" s="117" t="str">
        <x:v>Unknown</x:v>
      </x:c>
      <x:c r="Z743" s="117"/>
      <x:c r="AA743" s="117" t="str">
        <x:v>Pending evidence</x:v>
      </x:c>
      <x:c r="AB743" s="117"/>
      <x:c r="AC743" s="117" t="str">
        <x:v>No qualifying accessibility conclusion established from the screened sources. This is unknown, not evidence that the attraction is inaccessible.</x:v>
      </x:c>
      <x:c r="AD743" s="117" t="str">
        <x:v>2026-09-08</x:v>
      </x:c>
      <x:c r="AE743" s="117" t="str">
        <x:v>MC0740</x:v>
      </x:c>
      <x:c r="AF743" s="117" t="str">
        <x:v>Distinct candidate</x:v>
      </x:c>
      <x:c r="AG743" s="117" t="str"/>
      <x:c r="AH743" s="117" t="str">
        <x:v>Listed by Tourism Malaysia</x:v>
      </x:c>
      <x:c r="AI743" s="117" t="str">
        <x:v>https://ebrochures.malaysia.travel/en/malaysia-travel-guide/terengganu/</x:v>
      </x:c>
      <x:c r="AJ743" s="117" t="str">
        <x:v>Named visitor attraction in cited source; state-guide listings can be historical. Locality is catalogue metadata, not a surveyed address. Current operation remains unconfirmed.</x:v>
      </x:c>
      <x:c r="AK743" s="117" t="str">
        <x:v>Not independently confirmed</x:v>
      </x:c>
      <x:c r="AL743" s="117" t="str">
        <x:v>Screened sources; accessibility unresolved</x:v>
      </x:c>
      <x:c r="AM743" s="117" t="str">
        <x:v>2026-09-08</x:v>
      </x:c>
      <x:c r="AN743" s="117"/>
      <x:c r="AO743" s="117"/>
      <x:c r="AP743" s="117" t="str">
        <x:v>No usable pair located; image research pending</x:v>
      </x:c>
      <x:c r="AQ743" s="117"/>
    </x:row>
    <x:row r="744" ht="66" customHeight="1">
      <x:c r="A744" s="117" t="str">
        <x:v>MC0741</x:v>
      </x:c>
      <x:c r="B744" s="117" t="str">
        <x:v>Saok Waterfall</x:v>
      </x:c>
      <x:c r="C744" s="117" t="str">
        <x:v>Terengganu</x:v>
      </x:c>
      <x:c r="D744" s="117" t="str">
        <x:v>Hulu Terengganu</x:v>
      </x:c>
      <x:c r="E744" s="117" t="str">
        <x:v>Nature</x:v>
      </x:c>
      <x:c r="F744" s="117" t="str">
        <x:v>Unclassified</x:v>
      </x:c>
      <x:c r="G744" s="117" t="str">
        <x:v>Outdoor</x:v>
      </x:c>
      <x:c r="H744" s="117" t="str">
        <x:v>Nature; Hulu Terengganu</x:v>
      </x:c>
      <x:c r="I744" s="117" t="str">
        <x:v>A visitor attraction in Hulu Terengganu, Terengganu, listed in Tourism Malaysia's state travel guide. Venue operation and the precise accessible route require confirmation.</x:v>
      </x:c>
      <x:c r="J744" s="117" t="str">
        <x:v>https://ebrochures.malaysia.travel/en/malaysia-travel-guide/terengganu/</x:v>
      </x:c>
      <x:c r="K744" s="117" t="str">
        <x:v>https://ebrochures.malaysia.travel/en/malaysia-travel-guide/terengganu/</x:v>
      </x:c>
      <x:c r="L744" s="117" t="str">
        <x:v>Tourism Malaysia listing; operation unconfirmed</x:v>
      </x:c>
      <x:c r="M744" s="117" t="str">
        <x:v>Nationwide expansion 2026-09-08</x:v>
      </x:c>
      <x:c r="N744" s="117"/>
      <x:c r="O744" s="117" t="str">
        <x:v>2026-09-08</x:v>
      </x:c>
      <x:c r="P744" s="117" t="str">
        <x:v>Complete</x:v>
      </x:c>
      <x:c r="Q744" s="117"/>
      <x:c r="R744" s="117" t="str">
        <x:f>IF(J744="","Missing Link",IF(AND(ISNUMBER(SEARCH("google.com/maps",J744)),ISERROR(SEARCH(";",J744))),"Discovery Link Only","Source Link Present"))</x:f>
        <x:v>Source Link Present</x:v>
      </x:c>
      <x:c r="S744" s="117" t="str">
        <x:v>Unknown</x:v>
      </x:c>
      <x:c r="T744" s="117" t="str">
        <x:v>Unknown</x:v>
      </x:c>
      <x:c r="U744" s="117" t="str">
        <x:v>Unknown</x:v>
      </x:c>
      <x:c r="V744" s="117" t="str">
        <x:v>Unknown</x:v>
      </x:c>
      <x:c r="W744" s="117" t="str">
        <x:v>Unknown</x:v>
      </x:c>
      <x:c r="X744" s="117" t="str">
        <x:v>Unknown</x:v>
      </x:c>
      <x:c r="Y744" s="117" t="str">
        <x:v>Unknown</x:v>
      </x:c>
      <x:c r="Z744" s="117"/>
      <x:c r="AA744" s="117" t="str">
        <x:v>Pending evidence</x:v>
      </x:c>
      <x:c r="AB744" s="117"/>
      <x:c r="AC744" s="117" t="str">
        <x:v>No qualifying accessibility conclusion established from the screened sources. This is unknown, not evidence that the attraction is inaccessible.</x:v>
      </x:c>
      <x:c r="AD744" s="117" t="str">
        <x:v>2026-09-08</x:v>
      </x:c>
      <x:c r="AE744" s="117" t="str">
        <x:v>MC0741</x:v>
      </x:c>
      <x:c r="AF744" s="117" t="str">
        <x:v>Distinct candidate</x:v>
      </x:c>
      <x:c r="AG744" s="117" t="str"/>
      <x:c r="AH744" s="117" t="str">
        <x:v>Listed by Tourism Malaysia</x:v>
      </x:c>
      <x:c r="AI744" s="117" t="str">
        <x:v>https://ebrochures.malaysia.travel/en/malaysia-travel-guide/terengganu/</x:v>
      </x:c>
      <x:c r="AJ744" s="117" t="str">
        <x:v>Named visitor attraction in cited source; state-guide listings can be historical. Locality is catalogue metadata, not a surveyed address. Current operation remains unconfirmed.</x:v>
      </x:c>
      <x:c r="AK744" s="117" t="str">
        <x:v>Not independently confirmed</x:v>
      </x:c>
      <x:c r="AL744" s="117" t="str">
        <x:v>Screened sources; accessibility unresolved</x:v>
      </x:c>
      <x:c r="AM744" s="117" t="str">
        <x:v>2026-09-08</x:v>
      </x:c>
      <x:c r="AN744" s="117"/>
      <x:c r="AO744" s="117"/>
      <x:c r="AP744" s="117" t="str">
        <x:v>No usable pair located; image research pending</x:v>
      </x:c>
      <x:c r="AQ744" s="117"/>
    </x:row>
    <x:row r="745" ht="66" customHeight="1">
      <x:c r="A745" s="117" t="str">
        <x:v>MC0742</x:v>
      </x:c>
      <x:c r="B745" s="117" t="str">
        <x:v>Taman Negara Tanjung Mentong</x:v>
      </x:c>
      <x:c r="C745" s="117" t="str">
        <x:v>Terengganu</x:v>
      </x:c>
      <x:c r="D745" s="117" t="str">
        <x:v>Hulu Terengganu</x:v>
      </x:c>
      <x:c r="E745" s="117" t="str">
        <x:v>Heritage and Visitor Attraction</x:v>
      </x:c>
      <x:c r="F745" s="117" t="str">
        <x:v>Unclassified</x:v>
      </x:c>
      <x:c r="G745" s="117" t="str">
        <x:v>Both</x:v>
      </x:c>
      <x:c r="H745" s="117" t="str">
        <x:v>Heritage and Visitor Attraction; Hulu Terengganu</x:v>
      </x:c>
      <x:c r="I745" s="117" t="str">
        <x:v>A visitor attraction in Hulu Terengganu, Terengganu, listed in Tourism Malaysia's state travel guide. Venue operation and the precise accessible route require confirmation.</x:v>
      </x:c>
      <x:c r="J745" s="117" t="str">
        <x:v>https://ebrochures.malaysia.travel/en/malaysia-travel-guide/terengganu/</x:v>
      </x:c>
      <x:c r="K745" s="117" t="str">
        <x:v>https://ebrochures.malaysia.travel/en/malaysia-travel-guide/terengganu/</x:v>
      </x:c>
      <x:c r="L745" s="117" t="str">
        <x:v>Tourism Malaysia listing; operation unconfirmed</x:v>
      </x:c>
      <x:c r="M745" s="117" t="str">
        <x:v>Nationwide expansion 2026-09-08</x:v>
      </x:c>
      <x:c r="N745" s="117"/>
      <x:c r="O745" s="117" t="str">
        <x:v>2026-09-08</x:v>
      </x:c>
      <x:c r="P745" s="117" t="str">
        <x:v>Complete</x:v>
      </x:c>
      <x:c r="Q745" s="117"/>
      <x:c r="R745" s="117" t="str">
        <x:f>IF(J745="","Missing Link",IF(AND(ISNUMBER(SEARCH("google.com/maps",J745)),ISERROR(SEARCH(";",J745))),"Discovery Link Only","Source Link Present"))</x:f>
        <x:v>Source Link Present</x:v>
      </x:c>
      <x:c r="S745" s="117" t="str">
        <x:v>Unknown</x:v>
      </x:c>
      <x:c r="T745" s="117" t="str">
        <x:v>Unknown</x:v>
      </x:c>
      <x:c r="U745" s="117" t="str">
        <x:v>Unknown</x:v>
      </x:c>
      <x:c r="V745" s="117" t="str">
        <x:v>Unknown</x:v>
      </x:c>
      <x:c r="W745" s="117" t="str">
        <x:v>Unknown</x:v>
      </x:c>
      <x:c r="X745" s="117" t="str">
        <x:v>Unknown</x:v>
      </x:c>
      <x:c r="Y745" s="117" t="str">
        <x:v>Unknown</x:v>
      </x:c>
      <x:c r="Z745" s="117"/>
      <x:c r="AA745" s="117" t="str">
        <x:v>Pending evidence</x:v>
      </x:c>
      <x:c r="AB745" s="117"/>
      <x:c r="AC745" s="117" t="str">
        <x:v>No qualifying accessibility conclusion established from the screened sources. This is unknown, not evidence that the attraction is inaccessible.</x:v>
      </x:c>
      <x:c r="AD745" s="117" t="str">
        <x:v>2026-09-08</x:v>
      </x:c>
      <x:c r="AE745" s="117" t="str">
        <x:v>MC0742</x:v>
      </x:c>
      <x:c r="AF745" s="117" t="str">
        <x:v>Distinct candidate</x:v>
      </x:c>
      <x:c r="AG745" s="117" t="str"/>
      <x:c r="AH745" s="117" t="str">
        <x:v>Listed by Tourism Malaysia</x:v>
      </x:c>
      <x:c r="AI745" s="117" t="str">
        <x:v>https://ebrochures.malaysia.travel/en/malaysia-travel-guide/terengganu/</x:v>
      </x:c>
      <x:c r="AJ745" s="117" t="str">
        <x:v>Named visitor attraction in cited source; state-guide listings can be historical. Locality is catalogue metadata, not a surveyed address. Current operation remains unconfirmed.</x:v>
      </x:c>
      <x:c r="AK745" s="117" t="str">
        <x:v>Not independently confirmed</x:v>
      </x:c>
      <x:c r="AL745" s="117" t="str">
        <x:v>Screened sources; accessibility unresolved</x:v>
      </x:c>
      <x:c r="AM745" s="117" t="str">
        <x:v>2026-09-08</x:v>
      </x:c>
      <x:c r="AN745" s="117"/>
      <x:c r="AO745" s="117"/>
      <x:c r="AP745" s="117" t="str">
        <x:v>No usable pair located; image research pending</x:v>
      </x:c>
      <x:c r="AQ745" s="117"/>
    </x:row>
    <x:row r="746" ht="66" customHeight="1">
      <x:c r="A746" s="117" t="str">
        <x:v>MC0743</x:v>
      </x:c>
      <x:c r="B746" s="117" t="str">
        <x:v>Bukit Keluang Beach</x:v>
      </x:c>
      <x:c r="C746" s="117" t="str">
        <x:v>Terengganu</x:v>
      </x:c>
      <x:c r="D746" s="117" t="str">
        <x:v>Besut</x:v>
      </x:c>
      <x:c r="E746" s="117" t="str">
        <x:v>Beach and Island</x:v>
      </x:c>
      <x:c r="F746" s="117" t="str">
        <x:v>Unclassified</x:v>
      </x:c>
      <x:c r="G746" s="117" t="str">
        <x:v>Outdoor</x:v>
      </x:c>
      <x:c r="H746" s="117" t="str">
        <x:v>Beach and Island; Besut</x:v>
      </x:c>
      <x:c r="I746" s="117" t="str">
        <x:v>A visitor attraction in Besut, Terengganu, listed in Tourism Malaysia's state travel guide. Venue operation and the precise accessible route require confirmation.</x:v>
      </x:c>
      <x:c r="J746" s="117" t="str">
        <x:v>https://ebrochures.malaysia.travel/en/malaysia-travel-guide/terengganu/</x:v>
      </x:c>
      <x:c r="K746" s="117" t="str">
        <x:v>https://ebrochures.malaysia.travel/en/malaysia-travel-guide/terengganu/</x:v>
      </x:c>
      <x:c r="L746" s="117" t="str">
        <x:v>Tourism Malaysia listing; operation unconfirmed</x:v>
      </x:c>
      <x:c r="M746" s="117" t="str">
        <x:v>Nationwide expansion 2026-09-08</x:v>
      </x:c>
      <x:c r="N746" s="117"/>
      <x:c r="O746" s="117" t="str">
        <x:v>2026-09-08</x:v>
      </x:c>
      <x:c r="P746" s="117" t="str">
        <x:v>Complete</x:v>
      </x:c>
      <x:c r="Q746" s="117"/>
      <x:c r="R746" s="117" t="str">
        <x:f>IF(J746="","Missing Link",IF(AND(ISNUMBER(SEARCH("google.com/maps",J746)),ISERROR(SEARCH(";",J746))),"Discovery Link Only","Source Link Present"))</x:f>
        <x:v>Source Link Present</x:v>
      </x:c>
      <x:c r="S746" s="117" t="str">
        <x:v>Unknown</x:v>
      </x:c>
      <x:c r="T746" s="117" t="str">
        <x:v>Unknown</x:v>
      </x:c>
      <x:c r="U746" s="117" t="str">
        <x:v>Unknown</x:v>
      </x:c>
      <x:c r="V746" s="117" t="str">
        <x:v>Unknown</x:v>
      </x:c>
      <x:c r="W746" s="117" t="str">
        <x:v>Unknown</x:v>
      </x:c>
      <x:c r="X746" s="117" t="str">
        <x:v>Unknown</x:v>
      </x:c>
      <x:c r="Y746" s="117" t="str">
        <x:v>Unknown</x:v>
      </x:c>
      <x:c r="Z746" s="117"/>
      <x:c r="AA746" s="117" t="str">
        <x:v>Pending evidence</x:v>
      </x:c>
      <x:c r="AB746" s="117"/>
      <x:c r="AC746" s="117" t="str">
        <x:v>No qualifying accessibility conclusion established from the screened sources. This is unknown, not evidence that the attraction is inaccessible.</x:v>
      </x:c>
      <x:c r="AD746" s="117" t="str">
        <x:v>2026-09-08</x:v>
      </x:c>
      <x:c r="AE746" s="117" t="str">
        <x:v>MC0743</x:v>
      </x:c>
      <x:c r="AF746" s="117" t="str">
        <x:v>Distinct candidate</x:v>
      </x:c>
      <x:c r="AG746" s="117" t="str"/>
      <x:c r="AH746" s="117" t="str">
        <x:v>Listed by Tourism Malaysia</x:v>
      </x:c>
      <x:c r="AI746" s="117" t="str">
        <x:v>https://ebrochures.malaysia.travel/en/malaysia-travel-guide/terengganu/</x:v>
      </x:c>
      <x:c r="AJ746" s="117" t="str">
        <x:v>Named visitor attraction in cited source; state-guide listings can be historical. Locality is catalogue metadata, not a surveyed address. Current operation remains unconfirmed.</x:v>
      </x:c>
      <x:c r="AK746" s="117" t="str">
        <x:v>Not independently confirmed</x:v>
      </x:c>
      <x:c r="AL746" s="117" t="str">
        <x:v>Screened sources; accessibility unresolved</x:v>
      </x:c>
      <x:c r="AM746" s="117" t="str">
        <x:v>2026-09-08</x:v>
      </x:c>
      <x:c r="AN746" s="117"/>
      <x:c r="AO746" s="117"/>
      <x:c r="AP746" s="117" t="str">
        <x:v>No usable pair located; image research pending</x:v>
      </x:c>
      <x:c r="AQ746" s="117"/>
    </x:row>
    <x:row r="747" ht="66" customHeight="1">
      <x:c r="A747" s="117" t="str">
        <x:v>MC0744</x:v>
      </x:c>
      <x:c r="B747" s="117" t="str">
        <x:v>Air Tawar Beach</x:v>
      </x:c>
      <x:c r="C747" s="117" t="str">
        <x:v>Terengganu</x:v>
      </x:c>
      <x:c r="D747" s="117" t="str">
        <x:v>Besut</x:v>
      </x:c>
      <x:c r="E747" s="117" t="str">
        <x:v>Beach and Island</x:v>
      </x:c>
      <x:c r="F747" s="117" t="str">
        <x:v>Unclassified</x:v>
      </x:c>
      <x:c r="G747" s="117" t="str">
        <x:v>Outdoor</x:v>
      </x:c>
      <x:c r="H747" s="117" t="str">
        <x:v>Beach and Island; Besut</x:v>
      </x:c>
      <x:c r="I747" s="117" t="str">
        <x:v>A visitor attraction in Besut, Terengganu, listed in Tourism Malaysia's state travel guide. Venue operation and the precise accessible route require confirmation.</x:v>
      </x:c>
      <x:c r="J747" s="117" t="str">
        <x:v>https://ebrochures.malaysia.travel/en/malaysia-travel-guide/terengganu/</x:v>
      </x:c>
      <x:c r="K747" s="117" t="str">
        <x:v>https://ebrochures.malaysia.travel/en/malaysia-travel-guide/terengganu/</x:v>
      </x:c>
      <x:c r="L747" s="117" t="str">
        <x:v>Tourism Malaysia listing; operation unconfirmed</x:v>
      </x:c>
      <x:c r="M747" s="117" t="str">
        <x:v>Nationwide expansion 2026-09-08</x:v>
      </x:c>
      <x:c r="N747" s="117"/>
      <x:c r="O747" s="117" t="str">
        <x:v>2026-09-08</x:v>
      </x:c>
      <x:c r="P747" s="117" t="str">
        <x:v>Complete</x:v>
      </x:c>
      <x:c r="Q747" s="117"/>
      <x:c r="R747" s="117" t="str">
        <x:f>IF(J747="","Missing Link",IF(AND(ISNUMBER(SEARCH("google.com/maps",J747)),ISERROR(SEARCH(";",J747))),"Discovery Link Only","Source Link Present"))</x:f>
        <x:v>Source Link Present</x:v>
      </x:c>
      <x:c r="S747" s="117" t="str">
        <x:v>Unknown</x:v>
      </x:c>
      <x:c r="T747" s="117" t="str">
        <x:v>Unknown</x:v>
      </x:c>
      <x:c r="U747" s="117" t="str">
        <x:v>Unknown</x:v>
      </x:c>
      <x:c r="V747" s="117" t="str">
        <x:v>Unknown</x:v>
      </x:c>
      <x:c r="W747" s="117" t="str">
        <x:v>Unknown</x:v>
      </x:c>
      <x:c r="X747" s="117" t="str">
        <x:v>Unknown</x:v>
      </x:c>
      <x:c r="Y747" s="117" t="str">
        <x:v>Unknown</x:v>
      </x:c>
      <x:c r="Z747" s="117"/>
      <x:c r="AA747" s="117" t="str">
        <x:v>Pending evidence</x:v>
      </x:c>
      <x:c r="AB747" s="117"/>
      <x:c r="AC747" s="117" t="str">
        <x:v>No qualifying accessibility conclusion established from the screened sources. This is unknown, not evidence that the attraction is inaccessible.</x:v>
      </x:c>
      <x:c r="AD747" s="117" t="str">
        <x:v>2026-09-08</x:v>
      </x:c>
      <x:c r="AE747" s="117" t="str">
        <x:v>MC0744</x:v>
      </x:c>
      <x:c r="AF747" s="117" t="str">
        <x:v>Distinct candidate</x:v>
      </x:c>
      <x:c r="AG747" s="117" t="str"/>
      <x:c r="AH747" s="117" t="str">
        <x:v>Listed by Tourism Malaysia</x:v>
      </x:c>
      <x:c r="AI747" s="117" t="str">
        <x:v>https://ebrochures.malaysia.travel/en/malaysia-travel-guide/terengganu/</x:v>
      </x:c>
      <x:c r="AJ747" s="117" t="str">
        <x:v>Named visitor attraction in cited source; state-guide listings can be historical. Locality is catalogue metadata, not a surveyed address. Current operation remains unconfirmed.</x:v>
      </x:c>
      <x:c r="AK747" s="117" t="str">
        <x:v>Not independently confirmed</x:v>
      </x:c>
      <x:c r="AL747" s="117" t="str">
        <x:v>Screened sources; accessibility unresolved</x:v>
      </x:c>
      <x:c r="AM747" s="117" t="str">
        <x:v>2026-09-08</x:v>
      </x:c>
      <x:c r="AN747" s="117"/>
      <x:c r="AO747" s="117"/>
      <x:c r="AP747" s="117" t="str">
        <x:v>No usable pair located; image research pending</x:v>
      </x:c>
      <x:c r="AQ747" s="117"/>
    </x:row>
    <x:row r="748" ht="66" customHeight="1">
      <x:c r="A748" s="117" t="str">
        <x:v>MC0745</x:v>
      </x:c>
      <x:c r="B748" s="117" t="str">
        <x:v>Ulul Albab Mosque</x:v>
      </x:c>
      <x:c r="C748" s="117" t="str">
        <x:v>Terengganu</x:v>
      </x:c>
      <x:c r="D748" s="117" t="str">
        <x:v>Besut</x:v>
      </x:c>
      <x:c r="E748" s="117" t="str">
        <x:v>Religious Site</x:v>
      </x:c>
      <x:c r="F748" s="117" t="str">
        <x:v>Unclassified</x:v>
      </x:c>
      <x:c r="G748" s="117" t="str">
        <x:v>Both</x:v>
      </x:c>
      <x:c r="H748" s="117" t="str">
        <x:v>Religious Site; Besut</x:v>
      </x:c>
      <x:c r="I748" s="117" t="str">
        <x:v>A visitor attraction in Besut, Terengganu, listed in Tourism Malaysia's state travel guide. Venue operation and the precise accessible route require confirmation.</x:v>
      </x:c>
      <x:c r="J748" s="117" t="str">
        <x:v>https://ebrochures.malaysia.travel/en/malaysia-travel-guide/terengganu/</x:v>
      </x:c>
      <x:c r="K748" s="117" t="str">
        <x:v>https://ebrochures.malaysia.travel/en/malaysia-travel-guide/terengganu/</x:v>
      </x:c>
      <x:c r="L748" s="117" t="str">
        <x:v>Tourism Malaysia listing; operation unconfirmed</x:v>
      </x:c>
      <x:c r="M748" s="117" t="str">
        <x:v>Nationwide expansion 2026-09-08</x:v>
      </x:c>
      <x:c r="N748" s="117"/>
      <x:c r="O748" s="117" t="str">
        <x:v>2026-09-08</x:v>
      </x:c>
      <x:c r="P748" s="117" t="str">
        <x:v>Complete</x:v>
      </x:c>
      <x:c r="Q748" s="117"/>
      <x:c r="R748" s="117" t="str">
        <x:f>IF(J748="","Missing Link",IF(AND(ISNUMBER(SEARCH("google.com/maps",J748)),ISERROR(SEARCH(";",J748))),"Discovery Link Only","Source Link Present"))</x:f>
        <x:v>Source Link Present</x:v>
      </x:c>
      <x:c r="S748" s="117" t="str">
        <x:v>Unknown</x:v>
      </x:c>
      <x:c r="T748" s="117" t="str">
        <x:v>Unknown</x:v>
      </x:c>
      <x:c r="U748" s="117" t="str">
        <x:v>Unknown</x:v>
      </x:c>
      <x:c r="V748" s="117" t="str">
        <x:v>Unknown</x:v>
      </x:c>
      <x:c r="W748" s="117" t="str">
        <x:v>Unknown</x:v>
      </x:c>
      <x:c r="X748" s="117" t="str">
        <x:v>Unknown</x:v>
      </x:c>
      <x:c r="Y748" s="117" t="str">
        <x:v>Unknown</x:v>
      </x:c>
      <x:c r="Z748" s="117"/>
      <x:c r="AA748" s="117" t="str">
        <x:v>Pending evidence</x:v>
      </x:c>
      <x:c r="AB748" s="117"/>
      <x:c r="AC748" s="117" t="str">
        <x:v>No qualifying accessibility conclusion established from the screened sources. This is unknown, not evidence that the attraction is inaccessible.</x:v>
      </x:c>
      <x:c r="AD748" s="117" t="str">
        <x:v>2026-09-08</x:v>
      </x:c>
      <x:c r="AE748" s="117" t="str">
        <x:v>MC0745</x:v>
      </x:c>
      <x:c r="AF748" s="117" t="str">
        <x:v>Distinct candidate</x:v>
      </x:c>
      <x:c r="AG748" s="117" t="str"/>
      <x:c r="AH748" s="117" t="str">
        <x:v>Listed by Tourism Malaysia</x:v>
      </x:c>
      <x:c r="AI748" s="117" t="str">
        <x:v>https://ebrochures.malaysia.travel/en/malaysia-travel-guide/terengganu/</x:v>
      </x:c>
      <x:c r="AJ748" s="117" t="str">
        <x:v>Named visitor attraction in cited source; state-guide listings can be historical. Locality is catalogue metadata, not a surveyed address. Current operation remains unconfirmed.</x:v>
      </x:c>
      <x:c r="AK748" s="117" t="str">
        <x:v>Not independently confirmed</x:v>
      </x:c>
      <x:c r="AL748" s="117" t="str">
        <x:v>Screened sources; accessibility unresolved</x:v>
      </x:c>
      <x:c r="AM748" s="117" t="str">
        <x:v>2026-09-08</x:v>
      </x:c>
      <x:c r="AN748" s="117" t="str">
        <x:v>https://thumb.wikimedia.org/wikipedia/commons/thumb/e/ed/Masjid_Seberang_Jertih.jpg/1280px-Masjid_Seberang_Jertih.jpg?utm_source=commons.wikimedia.org&amp;utm_campaign=imageinfo&amp;utm_content=thumbnail</x:v>
      </x:c>
      <x:c r="AO748" s="117"/>
      <x:c r="AP748" s="117" t="str">
        <x:v>1 metadata-matched images; visual review pending</x:v>
      </x:c>
      <x:c r="AQ748" s="117"/>
    </x:row>
    <x:row r="749" ht="66" customHeight="1">
      <x:c r="A749" s="117" t="str">
        <x:v>MC0746</x:v>
      </x:c>
      <x:c r="B749" s="117" t="str">
        <x:v>Lata Belatan Waterfall</x:v>
      </x:c>
      <x:c r="C749" s="117" t="str">
        <x:v>Terengganu</x:v>
      </x:c>
      <x:c r="D749" s="117" t="str">
        <x:v>Besut</x:v>
      </x:c>
      <x:c r="E749" s="117" t="str">
        <x:v>Nature</x:v>
      </x:c>
      <x:c r="F749" s="117" t="str">
        <x:v>Unclassified</x:v>
      </x:c>
      <x:c r="G749" s="117" t="str">
        <x:v>Outdoor</x:v>
      </x:c>
      <x:c r="H749" s="117" t="str">
        <x:v>Nature; Besut</x:v>
      </x:c>
      <x:c r="I749" s="117" t="str">
        <x:v>A visitor attraction in Besut, Terengganu, listed in Tourism Malaysia's state travel guide. Venue operation and the precise accessible route require confirmation.</x:v>
      </x:c>
      <x:c r="J749" s="117" t="str">
        <x:v>https://ebrochures.malaysia.travel/en/malaysia-travel-guide/terengganu/</x:v>
      </x:c>
      <x:c r="K749" s="117" t="str">
        <x:v>https://ebrochures.malaysia.travel/en/malaysia-travel-guide/terengganu/</x:v>
      </x:c>
      <x:c r="L749" s="117" t="str">
        <x:v>Tourism Malaysia listing; operation unconfirmed</x:v>
      </x:c>
      <x:c r="M749" s="117" t="str">
        <x:v>Nationwide expansion 2026-09-08</x:v>
      </x:c>
      <x:c r="N749" s="117"/>
      <x:c r="O749" s="117" t="str">
        <x:v>2026-09-08</x:v>
      </x:c>
      <x:c r="P749" s="117" t="str">
        <x:v>Complete</x:v>
      </x:c>
      <x:c r="Q749" s="117"/>
      <x:c r="R749" s="117" t="str">
        <x:f>IF(J749="","Missing Link",IF(AND(ISNUMBER(SEARCH("google.com/maps",J749)),ISERROR(SEARCH(";",J749))),"Discovery Link Only","Source Link Present"))</x:f>
        <x:v>Source Link Present</x:v>
      </x:c>
      <x:c r="S749" s="117" t="str">
        <x:v>Unknown</x:v>
      </x:c>
      <x:c r="T749" s="117" t="str">
        <x:v>Unknown</x:v>
      </x:c>
      <x:c r="U749" s="117" t="str">
        <x:v>Unknown</x:v>
      </x:c>
      <x:c r="V749" s="117" t="str">
        <x:v>Unknown</x:v>
      </x:c>
      <x:c r="W749" s="117" t="str">
        <x:v>Unknown</x:v>
      </x:c>
      <x:c r="X749" s="117" t="str">
        <x:v>Unknown</x:v>
      </x:c>
      <x:c r="Y749" s="117" t="str">
        <x:v>Unknown</x:v>
      </x:c>
      <x:c r="Z749" s="117"/>
      <x:c r="AA749" s="117" t="str">
        <x:v>Pending evidence</x:v>
      </x:c>
      <x:c r="AB749" s="117"/>
      <x:c r="AC749" s="117" t="str">
        <x:v>No qualifying accessibility conclusion established from the screened sources. This is unknown, not evidence that the attraction is inaccessible.</x:v>
      </x:c>
      <x:c r="AD749" s="117" t="str">
        <x:v>2026-09-08</x:v>
      </x:c>
      <x:c r="AE749" s="117" t="str">
        <x:v>MC0746</x:v>
      </x:c>
      <x:c r="AF749" s="117" t="str">
        <x:v>Distinct candidate</x:v>
      </x:c>
      <x:c r="AG749" s="117" t="str"/>
      <x:c r="AH749" s="117" t="str">
        <x:v>Listed by Tourism Malaysia</x:v>
      </x:c>
      <x:c r="AI749" s="117" t="str">
        <x:v>https://ebrochures.malaysia.travel/en/malaysia-travel-guide/terengganu/</x:v>
      </x:c>
      <x:c r="AJ749" s="117" t="str">
        <x:v>Named visitor attraction in cited source; state-guide listings can be historical. Locality is catalogue metadata, not a surveyed address. Current operation remains unconfirmed.</x:v>
      </x:c>
      <x:c r="AK749" s="117" t="str">
        <x:v>Not independently confirmed</x:v>
      </x:c>
      <x:c r="AL749" s="117" t="str">
        <x:v>Screened sources; accessibility unresolved</x:v>
      </x:c>
      <x:c r="AM749" s="117" t="str">
        <x:v>2026-09-08</x:v>
      </x:c>
      <x:c r="AN749" s="117"/>
      <x:c r="AO749" s="117"/>
      <x:c r="AP749" s="117" t="str">
        <x:v>No usable pair located; image research pending</x:v>
      </x:c>
      <x:c r="AQ749" s="117"/>
    </x:row>
    <x:row r="750" ht="66" customHeight="1">
      <x:c r="A750" s="117" t="str">
        <x:v>MC0747</x:v>
      </x:c>
      <x:c r="B750" s="117" t="str">
        <x:v>Gunung Tebu</x:v>
      </x:c>
      <x:c r="C750" s="117" t="str">
        <x:v>Terengganu</x:v>
      </x:c>
      <x:c r="D750" s="117" t="str">
        <x:v>Besut</x:v>
      </x:c>
      <x:c r="E750" s="117" t="str">
        <x:v>Nature</x:v>
      </x:c>
      <x:c r="F750" s="117" t="str">
        <x:v>Unclassified</x:v>
      </x:c>
      <x:c r="G750" s="117" t="str">
        <x:v>Outdoor</x:v>
      </x:c>
      <x:c r="H750" s="117" t="str">
        <x:v>Nature; Besut</x:v>
      </x:c>
      <x:c r="I750" s="117" t="str">
        <x:v>A visitor attraction in Besut, Terengganu, listed in Tourism Malaysia's state travel guide. Venue operation and the precise accessible route require confirmation.</x:v>
      </x:c>
      <x:c r="J750" s="117" t="str">
        <x:v>https://ebrochures.malaysia.travel/en/malaysia-travel-guide/terengganu/</x:v>
      </x:c>
      <x:c r="K750" s="117" t="str">
        <x:v>https://ebrochures.malaysia.travel/en/malaysia-travel-guide/terengganu/</x:v>
      </x:c>
      <x:c r="L750" s="117" t="str">
        <x:v>Tourism Malaysia listing; operation unconfirmed</x:v>
      </x:c>
      <x:c r="M750" s="117" t="str">
        <x:v>Nationwide expansion 2026-09-08</x:v>
      </x:c>
      <x:c r="N750" s="117"/>
      <x:c r="O750" s="117" t="str">
        <x:v>2026-09-08</x:v>
      </x:c>
      <x:c r="P750" s="117" t="str">
        <x:v>Complete</x:v>
      </x:c>
      <x:c r="Q750" s="117"/>
      <x:c r="R750" s="117" t="str">
        <x:f>IF(J750="","Missing Link",IF(AND(ISNUMBER(SEARCH("google.com/maps",J750)),ISERROR(SEARCH(";",J750))),"Discovery Link Only","Source Link Present"))</x:f>
        <x:v>Source Link Present</x:v>
      </x:c>
      <x:c r="S750" s="117" t="str">
        <x:v>Unknown</x:v>
      </x:c>
      <x:c r="T750" s="117" t="str">
        <x:v>Unknown</x:v>
      </x:c>
      <x:c r="U750" s="117" t="str">
        <x:v>Unknown</x:v>
      </x:c>
      <x:c r="V750" s="117" t="str">
        <x:v>Unknown</x:v>
      </x:c>
      <x:c r="W750" s="117" t="str">
        <x:v>Unknown</x:v>
      </x:c>
      <x:c r="X750" s="117" t="str">
        <x:v>Unknown</x:v>
      </x:c>
      <x:c r="Y750" s="117" t="str">
        <x:v>Unknown</x:v>
      </x:c>
      <x:c r="Z750" s="117"/>
      <x:c r="AA750" s="117" t="str">
        <x:v>Pending evidence</x:v>
      </x:c>
      <x:c r="AB750" s="117"/>
      <x:c r="AC750" s="117" t="str">
        <x:v>No qualifying accessibility conclusion established from the screened sources. This is unknown, not evidence that the attraction is inaccessible.</x:v>
      </x:c>
      <x:c r="AD750" s="117" t="str">
        <x:v>2026-09-08</x:v>
      </x:c>
      <x:c r="AE750" s="117" t="str">
        <x:v>MC0747</x:v>
      </x:c>
      <x:c r="AF750" s="117" t="str">
        <x:v>Distinct candidate</x:v>
      </x:c>
      <x:c r="AG750" s="117" t="str"/>
      <x:c r="AH750" s="117" t="str">
        <x:v>Listed by Tourism Malaysia</x:v>
      </x:c>
      <x:c r="AI750" s="117" t="str">
        <x:v>https://ebrochures.malaysia.travel/en/malaysia-travel-guide/terengganu/</x:v>
      </x:c>
      <x:c r="AJ750" s="117" t="str">
        <x:v>Named visitor attraction in cited source; state-guide listings can be historical. Locality is catalogue metadata, not a surveyed address. Current operation remains unconfirmed.</x:v>
      </x:c>
      <x:c r="AK750" s="117" t="str">
        <x:v>Not independently confirmed</x:v>
      </x:c>
      <x:c r="AL750" s="117" t="str">
        <x:v>Screened sources; accessibility unresolved</x:v>
      </x:c>
      <x:c r="AM750" s="117" t="str">
        <x:v>2026-09-08</x:v>
      </x:c>
      <x:c r="AN750" s="117"/>
      <x:c r="AO750" s="117"/>
      <x:c r="AP750" s="117" t="str">
        <x:v>No usable pair located; image research pending</x:v>
      </x:c>
      <x:c r="AQ750" s="117"/>
    </x:row>
    <x:row r="751" ht="66" customHeight="1">
      <x:c r="A751" s="117" t="str">
        <x:v>MC0748</x:v>
      </x:c>
      <x:c r="B751" s="117" t="str">
        <x:v>Teluk Bidara Beach</x:v>
      </x:c>
      <x:c r="C751" s="117" t="str">
        <x:v>Terengganu</x:v>
      </x:c>
      <x:c r="D751" s="117" t="str">
        <x:v>Dungun</x:v>
      </x:c>
      <x:c r="E751" s="117" t="str">
        <x:v>Beach and Island</x:v>
      </x:c>
      <x:c r="F751" s="117" t="str">
        <x:v>Unclassified</x:v>
      </x:c>
      <x:c r="G751" s="117" t="str">
        <x:v>Outdoor</x:v>
      </x:c>
      <x:c r="H751" s="117" t="str">
        <x:v>Beach and Island; Dungun</x:v>
      </x:c>
      <x:c r="I751" s="117" t="str">
        <x:v>A visitor attraction in Dungun, Terengganu, listed in Tourism Malaysia's state travel guide. Venue operation and the precise accessible route require confirmation.</x:v>
      </x:c>
      <x:c r="J751" s="117" t="str">
        <x:v>https://ebrochures.malaysia.travel/en/malaysia-travel-guide/terengganu/</x:v>
      </x:c>
      <x:c r="K751" s="117" t="str">
        <x:v>https://ebrochures.malaysia.travel/en/malaysia-travel-guide/terengganu/</x:v>
      </x:c>
      <x:c r="L751" s="117" t="str">
        <x:v>Tourism Malaysia listing; operation unconfirmed</x:v>
      </x:c>
      <x:c r="M751" s="117" t="str">
        <x:v>Nationwide expansion 2026-09-08</x:v>
      </x:c>
      <x:c r="N751" s="117"/>
      <x:c r="O751" s="117" t="str">
        <x:v>2026-09-08</x:v>
      </x:c>
      <x:c r="P751" s="117" t="str">
        <x:v>Complete</x:v>
      </x:c>
      <x:c r="Q751" s="117"/>
      <x:c r="R751" s="117" t="str">
        <x:f>IF(J751="","Missing Link",IF(AND(ISNUMBER(SEARCH("google.com/maps",J751)),ISERROR(SEARCH(";",J751))),"Discovery Link Only","Source Link Present"))</x:f>
        <x:v>Source Link Present</x:v>
      </x:c>
      <x:c r="S751" s="117" t="str">
        <x:v>Unknown</x:v>
      </x:c>
      <x:c r="T751" s="117" t="str">
        <x:v>Unknown</x:v>
      </x:c>
      <x:c r="U751" s="117" t="str">
        <x:v>Unknown</x:v>
      </x:c>
      <x:c r="V751" s="117" t="str">
        <x:v>Unknown</x:v>
      </x:c>
      <x:c r="W751" s="117" t="str">
        <x:v>Unknown</x:v>
      </x:c>
      <x:c r="X751" s="117" t="str">
        <x:v>Unknown</x:v>
      </x:c>
      <x:c r="Y751" s="117" t="str">
        <x:v>Unknown</x:v>
      </x:c>
      <x:c r="Z751" s="117"/>
      <x:c r="AA751" s="117" t="str">
        <x:v>Pending evidence</x:v>
      </x:c>
      <x:c r="AB751" s="117"/>
      <x:c r="AC751" s="117" t="str">
        <x:v>No qualifying accessibility conclusion established from the screened sources. This is unknown, not evidence that the attraction is inaccessible.</x:v>
      </x:c>
      <x:c r="AD751" s="117" t="str">
        <x:v>2026-09-08</x:v>
      </x:c>
      <x:c r="AE751" s="117" t="str">
        <x:v>MC0748</x:v>
      </x:c>
      <x:c r="AF751" s="117" t="str">
        <x:v>Distinct candidate</x:v>
      </x:c>
      <x:c r="AG751" s="117" t="str"/>
      <x:c r="AH751" s="117" t="str">
        <x:v>Listed by Tourism Malaysia</x:v>
      </x:c>
      <x:c r="AI751" s="117" t="str">
        <x:v>https://ebrochures.malaysia.travel/en/malaysia-travel-guide/terengganu/</x:v>
      </x:c>
      <x:c r="AJ751" s="117" t="str">
        <x:v>Named visitor attraction in cited source; state-guide listings can be historical. Locality is catalogue metadata, not a surveyed address. Current operation remains unconfirmed.</x:v>
      </x:c>
      <x:c r="AK751" s="117" t="str">
        <x:v>Not independently confirmed</x:v>
      </x:c>
      <x:c r="AL751" s="117" t="str">
        <x:v>Screened sources; accessibility unresolved</x:v>
      </x:c>
      <x:c r="AM751" s="117" t="str">
        <x:v>2026-09-08</x:v>
      </x:c>
      <x:c r="AN751" s="117" t="str">
        <x:v>https://thumb.wikimedia.org/wikipedia/commons/thumb/c/c4/Teluk_bidara.jpg/1280px-Teluk_bidara.jpg?utm_source=commons.wikimedia.org&amp;utm_campaign=imageinfo&amp;utm_content=thumbnail</x:v>
      </x:c>
      <x:c r="AO751" s="117" t="str">
        <x:v>https://thumb.wikimedia.org/wikipedia/commons/thumb/d/d0/Beach_from_the_bird_eyes.jpg/1280px-Beach_from_the_bird_eyes.jpg?utm_source=commons.wikimedia.org&amp;utm_campaign=imageinfo&amp;utm_content=thumbnail</x:v>
      </x:c>
      <x:c r="AP751" s="117" t="str">
        <x:v>2 metadata-matched images; visual review pending</x:v>
      </x:c>
      <x:c r="AQ751" s="117"/>
    </x:row>
    <x:row r="752" ht="66" customHeight="1">
      <x:c r="A752" s="117" t="str">
        <x:v>MC0749</x:v>
      </x:c>
      <x:c r="B752" s="117" t="str">
        <x:v>Ma Daerah Turtle Sanctuary</x:v>
      </x:c>
      <x:c r="C752" s="117" t="str">
        <x:v>Terengganu</x:v>
      </x:c>
      <x:c r="D752" s="117" t="str">
        <x:v>Dungun</x:v>
      </x:c>
      <x:c r="E752" s="117" t="str">
        <x:v>Wildlife</x:v>
      </x:c>
      <x:c r="F752" s="117" t="str">
        <x:v>Unclassified</x:v>
      </x:c>
      <x:c r="G752" s="117" t="str">
        <x:v>Outdoor</x:v>
      </x:c>
      <x:c r="H752" s="117" t="str">
        <x:v>Wildlife; Dungun</x:v>
      </x:c>
      <x:c r="I752" s="117" t="str">
        <x:v>A visitor attraction in Dungun, Terengganu, listed in Tourism Malaysia's state travel guide. Venue operation and the precise accessible route require confirmation.</x:v>
      </x:c>
      <x:c r="J752" s="117" t="str">
        <x:v>https://ebrochures.malaysia.travel/en/malaysia-travel-guide/terengganu/</x:v>
      </x:c>
      <x:c r="K752" s="117" t="str">
        <x:v>https://ebrochures.malaysia.travel/en/malaysia-travel-guide/terengganu/</x:v>
      </x:c>
      <x:c r="L752" s="117" t="str">
        <x:v>Tourism Malaysia listing; operation unconfirmed</x:v>
      </x:c>
      <x:c r="M752" s="117" t="str">
        <x:v>Nationwide expansion 2026-09-08</x:v>
      </x:c>
      <x:c r="N752" s="117"/>
      <x:c r="O752" s="117" t="str">
        <x:v>2026-09-08</x:v>
      </x:c>
      <x:c r="P752" s="117" t="str">
        <x:v>Complete</x:v>
      </x:c>
      <x:c r="Q752" s="117"/>
      <x:c r="R752" s="117" t="str">
        <x:f>IF(J752="","Missing Link",IF(AND(ISNUMBER(SEARCH("google.com/maps",J752)),ISERROR(SEARCH(";",J752))),"Discovery Link Only","Source Link Present"))</x:f>
        <x:v>Source Link Present</x:v>
      </x:c>
      <x:c r="S752" s="117" t="str">
        <x:v>Unknown</x:v>
      </x:c>
      <x:c r="T752" s="117" t="str">
        <x:v>Unknown</x:v>
      </x:c>
      <x:c r="U752" s="117" t="str">
        <x:v>Unknown</x:v>
      </x:c>
      <x:c r="V752" s="117" t="str">
        <x:v>Unknown</x:v>
      </x:c>
      <x:c r="W752" s="117" t="str">
        <x:v>Unknown</x:v>
      </x:c>
      <x:c r="X752" s="117" t="str">
        <x:v>Unknown</x:v>
      </x:c>
      <x:c r="Y752" s="117" t="str">
        <x:v>Unknown</x:v>
      </x:c>
      <x:c r="Z752" s="117"/>
      <x:c r="AA752" s="117" t="str">
        <x:v>Pending evidence</x:v>
      </x:c>
      <x:c r="AB752" s="117"/>
      <x:c r="AC752" s="117" t="str">
        <x:v>No qualifying accessibility conclusion established from the screened sources. This is unknown, not evidence that the attraction is inaccessible.</x:v>
      </x:c>
      <x:c r="AD752" s="117" t="str">
        <x:v>2026-09-08</x:v>
      </x:c>
      <x:c r="AE752" s="117" t="str">
        <x:v>MC0749</x:v>
      </x:c>
      <x:c r="AF752" s="117" t="str">
        <x:v>Distinct candidate</x:v>
      </x:c>
      <x:c r="AG752" s="117" t="str"/>
      <x:c r="AH752" s="117" t="str">
        <x:v>Listed by Tourism Malaysia</x:v>
      </x:c>
      <x:c r="AI752" s="117" t="str">
        <x:v>https://ebrochures.malaysia.travel/en/malaysia-travel-guide/terengganu/</x:v>
      </x:c>
      <x:c r="AJ752" s="117" t="str">
        <x:v>Named visitor attraction in cited source; state-guide listings can be historical. Locality is catalogue metadata, not a surveyed address. Current operation remains unconfirmed.</x:v>
      </x:c>
      <x:c r="AK752" s="117" t="str">
        <x:v>Not independently confirmed</x:v>
      </x:c>
      <x:c r="AL752" s="117" t="str">
        <x:v>Screened sources; accessibility unresolved</x:v>
      </x:c>
      <x:c r="AM752" s="117" t="str">
        <x:v>2026-09-08</x:v>
      </x:c>
      <x:c r="AN752" s="117"/>
      <x:c r="AO752" s="117"/>
      <x:c r="AP752" s="117" t="str">
        <x:v>No usable pair located; image research pending</x:v>
      </x:c>
      <x:c r="AQ752" s="117"/>
    </x:row>
    <x:row r="753" ht="66" customHeight="1">
      <x:c r="A753" s="117" t="str">
        <x:v>MC0750</x:v>
      </x:c>
      <x:c r="B753" s="117" t="str">
        <x:v>Paka Beach</x:v>
      </x:c>
      <x:c r="C753" s="117" t="str">
        <x:v>Terengganu</x:v>
      </x:c>
      <x:c r="D753" s="117" t="str">
        <x:v>Dungun</x:v>
      </x:c>
      <x:c r="E753" s="117" t="str">
        <x:v>Beach and Island</x:v>
      </x:c>
      <x:c r="F753" s="117" t="str">
        <x:v>Unclassified</x:v>
      </x:c>
      <x:c r="G753" s="117" t="str">
        <x:v>Outdoor</x:v>
      </x:c>
      <x:c r="H753" s="117" t="str">
        <x:v>Beach and Island; Dungun</x:v>
      </x:c>
      <x:c r="I753" s="117" t="str">
        <x:v>A visitor attraction in Dungun, Terengganu, listed in Tourism Malaysia's state travel guide. Venue operation and the precise accessible route require confirmation.</x:v>
      </x:c>
      <x:c r="J753" s="117" t="str">
        <x:v>https://ebrochures.malaysia.travel/en/malaysia-travel-guide/terengganu/</x:v>
      </x:c>
      <x:c r="K753" s="117" t="str">
        <x:v>https://ebrochures.malaysia.travel/en/malaysia-travel-guide/terengganu/</x:v>
      </x:c>
      <x:c r="L753" s="117" t="str">
        <x:v>Tourism Malaysia listing; operation unconfirmed</x:v>
      </x:c>
      <x:c r="M753" s="117" t="str">
        <x:v>Nationwide expansion 2026-09-08</x:v>
      </x:c>
      <x:c r="N753" s="117"/>
      <x:c r="O753" s="117" t="str">
        <x:v>2026-09-08</x:v>
      </x:c>
      <x:c r="P753" s="117" t="str">
        <x:v>Complete</x:v>
      </x:c>
      <x:c r="Q753" s="117"/>
      <x:c r="R753" s="117" t="str">
        <x:f>IF(J753="","Missing Link",IF(AND(ISNUMBER(SEARCH("google.com/maps",J753)),ISERROR(SEARCH(";",J753))),"Discovery Link Only","Source Link Present"))</x:f>
        <x:v>Source Link Present</x:v>
      </x:c>
      <x:c r="S753" s="117" t="str">
        <x:v>Unknown</x:v>
      </x:c>
      <x:c r="T753" s="117" t="str">
        <x:v>Unknown</x:v>
      </x:c>
      <x:c r="U753" s="117" t="str">
        <x:v>Unknown</x:v>
      </x:c>
      <x:c r="V753" s="117" t="str">
        <x:v>Unknown</x:v>
      </x:c>
      <x:c r="W753" s="117" t="str">
        <x:v>Unknown</x:v>
      </x:c>
      <x:c r="X753" s="117" t="str">
        <x:v>Unknown</x:v>
      </x:c>
      <x:c r="Y753" s="117" t="str">
        <x:v>Unknown</x:v>
      </x:c>
      <x:c r="Z753" s="117"/>
      <x:c r="AA753" s="117" t="str">
        <x:v>Pending evidence</x:v>
      </x:c>
      <x:c r="AB753" s="117"/>
      <x:c r="AC753" s="117" t="str">
        <x:v>No qualifying accessibility conclusion established from the screened sources. This is unknown, not evidence that the attraction is inaccessible.</x:v>
      </x:c>
      <x:c r="AD753" s="117" t="str">
        <x:v>2026-09-08</x:v>
      </x:c>
      <x:c r="AE753" s="117" t="str">
        <x:v>MC0750</x:v>
      </x:c>
      <x:c r="AF753" s="117" t="str">
        <x:v>Distinct candidate</x:v>
      </x:c>
      <x:c r="AG753" s="117" t="str"/>
      <x:c r="AH753" s="117" t="str">
        <x:v>Listed by Tourism Malaysia</x:v>
      </x:c>
      <x:c r="AI753" s="117" t="str">
        <x:v>https://ebrochures.malaysia.travel/en/malaysia-travel-guide/terengganu/</x:v>
      </x:c>
      <x:c r="AJ753" s="117" t="str">
        <x:v>Named visitor attraction in cited source; state-guide listings can be historical. Locality is catalogue metadata, not a surveyed address. Current operation remains unconfirmed.</x:v>
      </x:c>
      <x:c r="AK753" s="117" t="str">
        <x:v>Not independently confirmed</x:v>
      </x:c>
      <x:c r="AL753" s="117" t="str">
        <x:v>Screened sources; accessibility unresolved</x:v>
      </x:c>
      <x:c r="AM753" s="117" t="str">
        <x:v>2026-09-08</x:v>
      </x:c>
      <x:c r="AN753" s="117"/>
      <x:c r="AO753" s="117"/>
      <x:c r="AP753" s="117" t="str">
        <x:v>No usable pair located; image research pending</x:v>
      </x:c>
      <x:c r="AQ753" s="117"/>
    </x:row>
    <x:row r="754" ht="66" customHeight="1">
      <x:c r="A754" s="117" t="str">
        <x:v>MC0751</x:v>
      </x:c>
      <x:c r="B754" s="117" t="str">
        <x:v>Tanjung Jara Beach</x:v>
      </x:c>
      <x:c r="C754" s="117" t="str">
        <x:v>Terengganu</x:v>
      </x:c>
      <x:c r="D754" s="117" t="str">
        <x:v>Dungun</x:v>
      </x:c>
      <x:c r="E754" s="117" t="str">
        <x:v>Beach and Island</x:v>
      </x:c>
      <x:c r="F754" s="117" t="str">
        <x:v>Unclassified</x:v>
      </x:c>
      <x:c r="G754" s="117" t="str">
        <x:v>Outdoor</x:v>
      </x:c>
      <x:c r="H754" s="117" t="str">
        <x:v>Beach and Island; Dungun</x:v>
      </x:c>
      <x:c r="I754" s="117" t="str">
        <x:v>A visitor attraction in Dungun, Terengganu, listed in Tourism Malaysia's state travel guide. Venue operation and the precise accessible route require confirmation.</x:v>
      </x:c>
      <x:c r="J754" s="117" t="str">
        <x:v>https://ebrochures.malaysia.travel/en/malaysia-travel-guide/terengganu/</x:v>
      </x:c>
      <x:c r="K754" s="117" t="str">
        <x:v>https://ebrochures.malaysia.travel/en/malaysia-travel-guide/terengganu/</x:v>
      </x:c>
      <x:c r="L754" s="117" t="str">
        <x:v>Tourism Malaysia listing; operation unconfirmed</x:v>
      </x:c>
      <x:c r="M754" s="117" t="str">
        <x:v>Nationwide expansion 2026-09-08</x:v>
      </x:c>
      <x:c r="N754" s="117"/>
      <x:c r="O754" s="117" t="str">
        <x:v>2026-09-08</x:v>
      </x:c>
      <x:c r="P754" s="117" t="str">
        <x:v>Complete</x:v>
      </x:c>
      <x:c r="Q754" s="117"/>
      <x:c r="R754" s="117" t="str">
        <x:f>IF(J754="","Missing Link",IF(AND(ISNUMBER(SEARCH("google.com/maps",J754)),ISERROR(SEARCH(";",J754))),"Discovery Link Only","Source Link Present"))</x:f>
        <x:v>Source Link Present</x:v>
      </x:c>
      <x:c r="S754" s="117" t="str">
        <x:v>Unknown</x:v>
      </x:c>
      <x:c r="T754" s="117" t="str">
        <x:v>Unknown</x:v>
      </x:c>
      <x:c r="U754" s="117" t="str">
        <x:v>Unknown</x:v>
      </x:c>
      <x:c r="V754" s="117" t="str">
        <x:v>Unknown</x:v>
      </x:c>
      <x:c r="W754" s="117" t="str">
        <x:v>Unknown</x:v>
      </x:c>
      <x:c r="X754" s="117" t="str">
        <x:v>Unknown</x:v>
      </x:c>
      <x:c r="Y754" s="117" t="str">
        <x:v>Unknown</x:v>
      </x:c>
      <x:c r="Z754" s="117"/>
      <x:c r="AA754" s="117" t="str">
        <x:v>Pending evidence</x:v>
      </x:c>
      <x:c r="AB754" s="117"/>
      <x:c r="AC754" s="117" t="str">
        <x:v>No qualifying accessibility conclusion established from the screened sources. This is unknown, not evidence that the attraction is inaccessible.</x:v>
      </x:c>
      <x:c r="AD754" s="117" t="str">
        <x:v>2026-09-08</x:v>
      </x:c>
      <x:c r="AE754" s="117" t="str">
        <x:v>MC0751</x:v>
      </x:c>
      <x:c r="AF754" s="117" t="str">
        <x:v>Distinct candidate</x:v>
      </x:c>
      <x:c r="AG754" s="117" t="str"/>
      <x:c r="AH754" s="117" t="str">
        <x:v>Listed by Tourism Malaysia</x:v>
      </x:c>
      <x:c r="AI754" s="117" t="str">
        <x:v>https://ebrochures.malaysia.travel/en/malaysia-travel-guide/terengganu/</x:v>
      </x:c>
      <x:c r="AJ754" s="117" t="str">
        <x:v>Named visitor attraction in cited source; state-guide listings can be historical. Locality is catalogue metadata, not a surveyed address. Current operation remains unconfirmed.</x:v>
      </x:c>
      <x:c r="AK754" s="117" t="str">
        <x:v>Not independently confirmed</x:v>
      </x:c>
      <x:c r="AL754" s="117" t="str">
        <x:v>Screened sources; accessibility unresolved</x:v>
      </x:c>
      <x:c r="AM754" s="117" t="str">
        <x:v>2026-09-08</x:v>
      </x:c>
      <x:c r="AN754" s="117"/>
      <x:c r="AO754" s="117"/>
      <x:c r="AP754" s="117" t="str">
        <x:v>No usable pair located; image research pending</x:v>
      </x:c>
      <x:c r="AQ754" s="117"/>
    </x:row>
    <x:row r="755" ht="66" customHeight="1">
      <x:c r="A755" s="117" t="str">
        <x:v>MC0752</x:v>
      </x:c>
      <x:c r="B755" s="117" t="str">
        <x:v>Kubu Mat Kilau</x:v>
      </x:c>
      <x:c r="C755" s="117" t="str">
        <x:v>Terengganu</x:v>
      </x:c>
      <x:c r="D755" s="117" t="str">
        <x:v>Dungun</x:v>
      </x:c>
      <x:c r="E755" s="117" t="str">
        <x:v>Heritage and Visitor Attraction</x:v>
      </x:c>
      <x:c r="F755" s="117" t="str">
        <x:v>Unclassified</x:v>
      </x:c>
      <x:c r="G755" s="117" t="str">
        <x:v>Both</x:v>
      </x:c>
      <x:c r="H755" s="117" t="str">
        <x:v>Heritage and Visitor Attraction; Dungun</x:v>
      </x:c>
      <x:c r="I755" s="117" t="str">
        <x:v>A visitor attraction in Dungun, Terengganu, listed in Tourism Malaysia's state travel guide. Venue operation and the precise accessible route require confirmation.</x:v>
      </x:c>
      <x:c r="J755" s="117" t="str">
        <x:v>https://ebrochures.malaysia.travel/en/malaysia-travel-guide/terengganu/</x:v>
      </x:c>
      <x:c r="K755" s="117" t="str">
        <x:v>https://ebrochures.malaysia.travel/en/malaysia-travel-guide/terengganu/</x:v>
      </x:c>
      <x:c r="L755" s="117" t="str">
        <x:v>Tourism Malaysia listing; operation unconfirmed</x:v>
      </x:c>
      <x:c r="M755" s="117" t="str">
        <x:v>Nationwide expansion 2026-09-08</x:v>
      </x:c>
      <x:c r="N755" s="117"/>
      <x:c r="O755" s="117" t="str">
        <x:v>2026-09-08</x:v>
      </x:c>
      <x:c r="P755" s="117" t="str">
        <x:v>Complete</x:v>
      </x:c>
      <x:c r="Q755" s="117"/>
      <x:c r="R755" s="117" t="str">
        <x:f>IF(J755="","Missing Link",IF(AND(ISNUMBER(SEARCH("google.com/maps",J755)),ISERROR(SEARCH(";",J755))),"Discovery Link Only","Source Link Present"))</x:f>
        <x:v>Source Link Present</x:v>
      </x:c>
      <x:c r="S755" s="117" t="str">
        <x:v>Unknown</x:v>
      </x:c>
      <x:c r="T755" s="117" t="str">
        <x:v>Unknown</x:v>
      </x:c>
      <x:c r="U755" s="117" t="str">
        <x:v>Unknown</x:v>
      </x:c>
      <x:c r="V755" s="117" t="str">
        <x:v>Unknown</x:v>
      </x:c>
      <x:c r="W755" s="117" t="str">
        <x:v>Unknown</x:v>
      </x:c>
      <x:c r="X755" s="117" t="str">
        <x:v>Unknown</x:v>
      </x:c>
      <x:c r="Y755" s="117" t="str">
        <x:v>Unknown</x:v>
      </x:c>
      <x:c r="Z755" s="117"/>
      <x:c r="AA755" s="117" t="str">
        <x:v>Pending evidence</x:v>
      </x:c>
      <x:c r="AB755" s="117"/>
      <x:c r="AC755" s="117" t="str">
        <x:v>No qualifying accessibility conclusion established from the screened sources. This is unknown, not evidence that the attraction is inaccessible.</x:v>
      </x:c>
      <x:c r="AD755" s="117" t="str">
        <x:v>2026-09-08</x:v>
      </x:c>
      <x:c r="AE755" s="117" t="str">
        <x:v>MC0752</x:v>
      </x:c>
      <x:c r="AF755" s="117" t="str">
        <x:v>Distinct candidate</x:v>
      </x:c>
      <x:c r="AG755" s="117" t="str"/>
      <x:c r="AH755" s="117" t="str">
        <x:v>Listed by Tourism Malaysia</x:v>
      </x:c>
      <x:c r="AI755" s="117" t="str">
        <x:v>https://ebrochures.malaysia.travel/en/malaysia-travel-guide/terengganu/</x:v>
      </x:c>
      <x:c r="AJ755" s="117" t="str">
        <x:v>Named visitor attraction in cited source; state-guide listings can be historical. Locality is catalogue metadata, not a surveyed address. Current operation remains unconfirmed.</x:v>
      </x:c>
      <x:c r="AK755" s="117" t="str">
        <x:v>Not independently confirmed</x:v>
      </x:c>
      <x:c r="AL755" s="117" t="str">
        <x:v>Screened sources; accessibility unresolved</x:v>
      </x:c>
      <x:c r="AM755" s="117" t="str">
        <x:v>2026-09-08</x:v>
      </x:c>
      <x:c r="AN755" s="117"/>
      <x:c r="AO755" s="117"/>
      <x:c r="AP755" s="117" t="str">
        <x:v>No usable pair located; image research pending</x:v>
      </x:c>
      <x:c r="AQ755" s="117"/>
    </x:row>
    <x:row r="756" ht="66" customHeight="1">
      <x:c r="A756" s="117" t="str">
        <x:v>MC0753</x:v>
      </x:c>
      <x:c r="B756" s="117" t="str">
        <x:v>Merang Beach</x:v>
      </x:c>
      <x:c r="C756" s="117" t="str">
        <x:v>Terengganu</x:v>
      </x:c>
      <x:c r="D756" s="117" t="str">
        <x:v>Setiu</x:v>
      </x:c>
      <x:c r="E756" s="117" t="str">
        <x:v>Beach and Island</x:v>
      </x:c>
      <x:c r="F756" s="117" t="str">
        <x:v>Unclassified</x:v>
      </x:c>
      <x:c r="G756" s="117" t="str">
        <x:v>Outdoor</x:v>
      </x:c>
      <x:c r="H756" s="117" t="str">
        <x:v>Beach and Island; Setiu</x:v>
      </x:c>
      <x:c r="I756" s="117" t="str">
        <x:v>A visitor attraction in Setiu, Terengganu, listed in Tourism Malaysia's state travel guide. Venue operation and the precise accessible route require confirmation.</x:v>
      </x:c>
      <x:c r="J756" s="117" t="str">
        <x:v>https://ebrochures.malaysia.travel/en/malaysia-travel-guide/terengganu/</x:v>
      </x:c>
      <x:c r="K756" s="117" t="str">
        <x:v>https://ebrochures.malaysia.travel/en/malaysia-travel-guide/terengganu/</x:v>
      </x:c>
      <x:c r="L756" s="117" t="str">
        <x:v>Tourism Malaysia listing; operation unconfirmed</x:v>
      </x:c>
      <x:c r="M756" s="117" t="str">
        <x:v>Nationwide expansion 2026-09-08</x:v>
      </x:c>
      <x:c r="N756" s="117"/>
      <x:c r="O756" s="117" t="str">
        <x:v>2026-09-08</x:v>
      </x:c>
      <x:c r="P756" s="117" t="str">
        <x:v>Complete</x:v>
      </x:c>
      <x:c r="Q756" s="117"/>
      <x:c r="R756" s="117" t="str">
        <x:f>IF(J756="","Missing Link",IF(AND(ISNUMBER(SEARCH("google.com/maps",J756)),ISERROR(SEARCH(";",J756))),"Discovery Link Only","Source Link Present"))</x:f>
        <x:v>Source Link Present</x:v>
      </x:c>
      <x:c r="S756" s="117" t="str">
        <x:v>Unknown</x:v>
      </x:c>
      <x:c r="T756" s="117" t="str">
        <x:v>Unknown</x:v>
      </x:c>
      <x:c r="U756" s="117" t="str">
        <x:v>Unknown</x:v>
      </x:c>
      <x:c r="V756" s="117" t="str">
        <x:v>Unknown</x:v>
      </x:c>
      <x:c r="W756" s="117" t="str">
        <x:v>Unknown</x:v>
      </x:c>
      <x:c r="X756" s="117" t="str">
        <x:v>Unknown</x:v>
      </x:c>
      <x:c r="Y756" s="117" t="str">
        <x:v>Unknown</x:v>
      </x:c>
      <x:c r="Z756" s="117"/>
      <x:c r="AA756" s="117" t="str">
        <x:v>Pending evidence</x:v>
      </x:c>
      <x:c r="AB756" s="117"/>
      <x:c r="AC756" s="117" t="str">
        <x:v>No qualifying accessibility conclusion established from the screened sources. This is unknown, not evidence that the attraction is inaccessible.</x:v>
      </x:c>
      <x:c r="AD756" s="117" t="str">
        <x:v>2026-09-08</x:v>
      </x:c>
      <x:c r="AE756" s="117" t="str">
        <x:v>MC0753</x:v>
      </x:c>
      <x:c r="AF756" s="117" t="str">
        <x:v>Distinct candidate</x:v>
      </x:c>
      <x:c r="AG756" s="117" t="str"/>
      <x:c r="AH756" s="117" t="str">
        <x:v>Listed by Tourism Malaysia</x:v>
      </x:c>
      <x:c r="AI756" s="117" t="str">
        <x:v>https://ebrochures.malaysia.travel/en/malaysia-travel-guide/terengganu/</x:v>
      </x:c>
      <x:c r="AJ756" s="117" t="str">
        <x:v>Named visitor attraction in cited source; state-guide listings can be historical. Locality is catalogue metadata, not a surveyed address. Current operation remains unconfirmed.</x:v>
      </x:c>
      <x:c r="AK756" s="117" t="str">
        <x:v>Not independently confirmed</x:v>
      </x:c>
      <x:c r="AL756" s="117" t="str">
        <x:v>Screened sources; accessibility unresolved</x:v>
      </x:c>
      <x:c r="AM756" s="117" t="str">
        <x:v>2026-09-08</x:v>
      </x:c>
      <x:c r="AN756" s="117"/>
      <x:c r="AO756" s="117"/>
      <x:c r="AP756" s="117" t="str">
        <x:v>No usable pair located; image research pending</x:v>
      </x:c>
      <x:c r="AQ756" s="117"/>
    </x:row>
    <x:row r="757" ht="66" customHeight="1">
      <x:c r="A757" s="117" t="str">
        <x:v>MC0754</x:v>
      </x:c>
      <x:c r="B757" s="117" t="str">
        <x:v>KL Tower</x:v>
      </x:c>
      <x:c r="C757" s="117" t="str">
        <x:v>W.P. Kuala Lumpur</x:v>
      </x:c>
      <x:c r="D757" s="117" t="str">
        <x:v>Kuala Lumpur</x:v>
      </x:c>
      <x:c r="E757" s="117" t="str">
        <x:v>Heritage and Visitor Attraction</x:v>
      </x:c>
      <x:c r="F757" s="117" t="str">
        <x:v>Unclassified</x:v>
      </x:c>
      <x:c r="G757" s="117" t="str">
        <x:v>Both</x:v>
      </x:c>
      <x:c r="H757" s="117" t="str">
        <x:v>Heritage and Visitor Attraction; Kuala Lumpur</x:v>
      </x:c>
      <x:c r="I757" s="117" t="str">
        <x:v>A visitor attraction in Kuala Lumpur, W.P. Kuala Lumpur, listed in Tourism Malaysia's state travel guide. Venue operation and the precise accessible route require confirmation.</x:v>
      </x:c>
      <x:c r="J757" s="117" t="str">
        <x:v>https://ebrochures.malaysia.travel/en/malaysia-travel-guide/kuala-lumpur/</x:v>
      </x:c>
      <x:c r="K757" s="117" t="str">
        <x:v>https://ebrochures.malaysia.travel/en/malaysia-travel-guide/kuala-lumpur/</x:v>
      </x:c>
      <x:c r="L757" s="117" t="str">
        <x:v>Tourism Malaysia listing; operation unconfirmed</x:v>
      </x:c>
      <x:c r="M757" s="117" t="str">
        <x:v>Nationwide expansion 2026-09-08</x:v>
      </x:c>
      <x:c r="N757" s="117"/>
      <x:c r="O757" s="117" t="str">
        <x:v>2026-09-08</x:v>
      </x:c>
      <x:c r="P757" s="117" t="str">
        <x:v>Complete</x:v>
      </x:c>
      <x:c r="Q757" s="117"/>
      <x:c r="R757" s="117" t="str">
        <x:f>IF(J757="","Missing Link",IF(AND(ISNUMBER(SEARCH("google.com/maps",J757)),ISERROR(SEARCH(";",J757))),"Discovery Link Only","Source Link Present"))</x:f>
        <x:v>Source Link Present</x:v>
      </x:c>
      <x:c r="S757" s="117" t="str">
        <x:v>Unknown</x:v>
      </x:c>
      <x:c r="T757" s="117" t="str">
        <x:v>Unknown</x:v>
      </x:c>
      <x:c r="U757" s="117" t="str">
        <x:v>Unknown</x:v>
      </x:c>
      <x:c r="V757" s="117" t="str">
        <x:v>Unknown</x:v>
      </x:c>
      <x:c r="W757" s="117" t="str">
        <x:v>Unknown</x:v>
      </x:c>
      <x:c r="X757" s="117" t="str">
        <x:v>Unknown</x:v>
      </x:c>
      <x:c r="Y757" s="117" t="str">
        <x:v>Unknown</x:v>
      </x:c>
      <x:c r="Z757" s="117"/>
      <x:c r="AA757" s="117" t="str">
        <x:v>Pending evidence</x:v>
      </x:c>
      <x:c r="AB757" s="117"/>
      <x:c r="AC757" s="117" t="str">
        <x:v>No qualifying accessibility conclusion established from the screened sources. This is unknown, not evidence that the attraction is inaccessible.</x:v>
      </x:c>
      <x:c r="AD757" s="117" t="str">
        <x:v>2026-09-08</x:v>
      </x:c>
      <x:c r="AE757" s="117" t="str">
        <x:v>MC0754</x:v>
      </x:c>
      <x:c r="AF757" s="117" t="str">
        <x:v>Distinct candidate</x:v>
      </x:c>
      <x:c r="AG757" s="117" t="str"/>
      <x:c r="AH757" s="117" t="str">
        <x:v>Listed by Tourism Malaysia</x:v>
      </x:c>
      <x:c r="AI757" s="117" t="str">
        <x:v>https://ebrochures.malaysia.travel/en/malaysia-travel-guide/kuala-lumpur/</x:v>
      </x:c>
      <x:c r="AJ757" s="117" t="str">
        <x:v>Named visitor attraction in cited source; state-guide listings can be historical. Locality is catalogue metadata, not a surveyed address. Current operation remains unconfirmed.</x:v>
      </x:c>
      <x:c r="AK757" s="117" t="str">
        <x:v>Not independently confirmed</x:v>
      </x:c>
      <x:c r="AL757" s="117" t="str">
        <x:v>Screened sources; accessibility unresolved</x:v>
      </x:c>
      <x:c r="AM757" s="117" t="str">
        <x:v>2026-09-08</x:v>
      </x:c>
      <x:c r="AN757" s="117" t="str">
        <x:v>https://upload.wikimedia.org/wikipedia/commons/f/fd/KL_tower1.JPG?utm_source=commons.wikimedia.org&amp;utm_campaign=imageinfo&amp;utm_content=thumbnail_unscaled</x:v>
      </x:c>
      <x:c r="AO757" s="117" t="str">
        <x:v>https://thumb.wikimedia.org/wikipedia/commons/thumb/d/d2/KLTowerDecember2020.jpg/1280px-KLTowerDecember2020.jpg?utm_source=commons.wikimedia.org&amp;utm_campaign=imageinfo&amp;utm_content=thumbnail</x:v>
      </x:c>
      <x:c r="AP757" s="117" t="str">
        <x:v>2 metadata-matched images; visual review pending</x:v>
      </x:c>
      <x:c r="AQ757" s="117"/>
    </x:row>
    <x:row r="758" ht="66" customHeight="1">
      <x:c r="A758" s="117" t="str">
        <x:v>MC0755</x:v>
      </x:c>
      <x:c r="B758" s="117" t="str">
        <x:v>National Mosque of Malaysia</x:v>
      </x:c>
      <x:c r="C758" s="117" t="str">
        <x:v>W.P. Kuala Lumpur</x:v>
      </x:c>
      <x:c r="D758" s="117" t="str">
        <x:v>Kuala Lumpur</x:v>
      </x:c>
      <x:c r="E758" s="117" t="str">
        <x:v>Religious Site</x:v>
      </x:c>
      <x:c r="F758" s="117" t="str">
        <x:v>Unclassified</x:v>
      </x:c>
      <x:c r="G758" s="117" t="str">
        <x:v>Both</x:v>
      </x:c>
      <x:c r="H758" s="117" t="str">
        <x:v>Religious Site; Kuala Lumpur</x:v>
      </x:c>
      <x:c r="I758" s="117" t="str">
        <x:v>A visitor attraction in Kuala Lumpur, W.P. Kuala Lumpur, listed in Tourism Malaysia's state travel guide. Venue operation and the precise accessible route require confirmation.</x:v>
      </x:c>
      <x:c r="J758" s="117" t="str">
        <x:v>https://ebrochures.malaysia.travel/en/malaysia-travel-guide/kuala-lumpur/</x:v>
      </x:c>
      <x:c r="K758" s="117" t="str">
        <x:v>https://ebrochures.malaysia.travel/en/malaysia-travel-guide/kuala-lumpur/</x:v>
      </x:c>
      <x:c r="L758" s="117" t="str">
        <x:v>Tourism Malaysia listing; operation unconfirmed</x:v>
      </x:c>
      <x:c r="M758" s="117" t="str">
        <x:v>Nationwide expansion 2026-09-08</x:v>
      </x:c>
      <x:c r="N758" s="117"/>
      <x:c r="O758" s="117" t="str">
        <x:v>2026-09-08</x:v>
      </x:c>
      <x:c r="P758" s="117" t="str">
        <x:v>Complete</x:v>
      </x:c>
      <x:c r="Q758" s="117"/>
      <x:c r="R758" s="117" t="str">
        <x:f>IF(J758="","Missing Link",IF(AND(ISNUMBER(SEARCH("google.com/maps",J758)),ISERROR(SEARCH(";",J758))),"Discovery Link Only","Source Link Present"))</x:f>
        <x:v>Source Link Present</x:v>
      </x:c>
      <x:c r="S758" s="117" t="str">
        <x:v>Unknown</x:v>
      </x:c>
      <x:c r="T758" s="117" t="str">
        <x:v>Unknown</x:v>
      </x:c>
      <x:c r="U758" s="117" t="str">
        <x:v>Unknown</x:v>
      </x:c>
      <x:c r="V758" s="117" t="str">
        <x:v>Unknown</x:v>
      </x:c>
      <x:c r="W758" s="117" t="str">
        <x:v>Unknown</x:v>
      </x:c>
      <x:c r="X758" s="117" t="str">
        <x:v>Unknown</x:v>
      </x:c>
      <x:c r="Y758" s="117" t="str">
        <x:v>Unknown</x:v>
      </x:c>
      <x:c r="Z758" s="117"/>
      <x:c r="AA758" s="117" t="str">
        <x:v>Pending evidence</x:v>
      </x:c>
      <x:c r="AB758" s="117"/>
      <x:c r="AC758" s="117" t="str">
        <x:v>No qualifying accessibility conclusion established from the screened sources. This is unknown, not evidence that the attraction is inaccessible.</x:v>
      </x:c>
      <x:c r="AD758" s="117" t="str">
        <x:v>2026-09-08</x:v>
      </x:c>
      <x:c r="AE758" s="117" t="str">
        <x:v>MC0755</x:v>
      </x:c>
      <x:c r="AF758" s="117" t="str">
        <x:v>Distinct candidate</x:v>
      </x:c>
      <x:c r="AG758" s="117" t="str"/>
      <x:c r="AH758" s="117" t="str">
        <x:v>Listed by Tourism Malaysia</x:v>
      </x:c>
      <x:c r="AI758" s="117" t="str">
        <x:v>https://ebrochures.malaysia.travel/en/malaysia-travel-guide/kuala-lumpur/</x:v>
      </x:c>
      <x:c r="AJ758" s="117" t="str">
        <x:v>Named visitor attraction in cited source; state-guide listings can be historical. Locality is catalogue metadata, not a surveyed address. Current operation remains unconfirmed.</x:v>
      </x:c>
      <x:c r="AK758" s="117" t="str">
        <x:v>Not independently confirmed</x:v>
      </x:c>
      <x:c r="AL758" s="117" t="str">
        <x:v>Screened sources; accessibility unresolved</x:v>
      </x:c>
      <x:c r="AM758" s="117" t="str">
        <x:v>2026-09-08</x:v>
      </x:c>
      <x:c r="AN758" s="117" t="str">
        <x:v>https://thumb.wikimedia.org/wikipedia/commons/thumb/d/d1/Kuala_Lumpur%2C_Malaysia%2C_Masjid_Negara_Malaysia.jpg/1280px-Kuala_Lumpur%2C_Malaysia%2C_Masjid_Negara_Malaysia.jpg?utm_source=commons.wikimedia.org&amp;utm_campaign=imageinfo&amp;utm_content=thumbnail</x:v>
      </x:c>
      <x:c r="AO758" s="117" t="str">
        <x:v>https://thumb.wikimedia.org/wikipedia/commons/thumb/4/4f/20190822_National_Mosque_of_Malaysia_minaret-4.jpg/1280px-20190822_National_Mosque_of_Malaysia_minaret-4.jpg?utm_source=commons.wikimedia.org&amp;utm_campaign=imageinfo&amp;utm_content=thumbnail</x:v>
      </x:c>
      <x:c r="AP758" s="117" t="str">
        <x:v>2 metadata-matched images; visual review pending</x:v>
      </x:c>
      <x:c r="AQ758" s="117"/>
    </x:row>
    <x:row r="759" ht="66" customHeight="1">
      <x:c r="A759" s="117" t="str">
        <x:v>MC0756</x:v>
      </x:c>
      <x:c r="B759" s="117" t="str">
        <x:v>Jamek Mosque</x:v>
      </x:c>
      <x:c r="C759" s="117" t="str">
        <x:v>W.P. Kuala Lumpur</x:v>
      </x:c>
      <x:c r="D759" s="117" t="str">
        <x:v>Kuala Lumpur</x:v>
      </x:c>
      <x:c r="E759" s="117" t="str">
        <x:v>Religious Site</x:v>
      </x:c>
      <x:c r="F759" s="117" t="str">
        <x:v>Unclassified</x:v>
      </x:c>
      <x:c r="G759" s="117" t="str">
        <x:v>Both</x:v>
      </x:c>
      <x:c r="H759" s="117" t="str">
        <x:v>Religious Site; Kuala Lumpur</x:v>
      </x:c>
      <x:c r="I759" s="117" t="str">
        <x:v>A visitor attraction in Kuala Lumpur, W.P. Kuala Lumpur, listed in Tourism Malaysia's state travel guide. Venue operation and the precise accessible route require confirmation.</x:v>
      </x:c>
      <x:c r="J759" s="117" t="str">
        <x:v>https://ebrochures.malaysia.travel/en/malaysia-travel-guide/kuala-lumpur/</x:v>
      </x:c>
      <x:c r="K759" s="117" t="str">
        <x:v>https://ebrochures.malaysia.travel/en/malaysia-travel-guide/kuala-lumpur/</x:v>
      </x:c>
      <x:c r="L759" s="117" t="str">
        <x:v>Tourism Malaysia listing; operation unconfirmed</x:v>
      </x:c>
      <x:c r="M759" s="117" t="str">
        <x:v>Nationwide expansion 2026-09-08</x:v>
      </x:c>
      <x:c r="N759" s="117"/>
      <x:c r="O759" s="117" t="str">
        <x:v>2026-09-08</x:v>
      </x:c>
      <x:c r="P759" s="117" t="str">
        <x:v>Complete</x:v>
      </x:c>
      <x:c r="Q759" s="117"/>
      <x:c r="R759" s="117" t="str">
        <x:f>IF(J759="","Missing Link",IF(AND(ISNUMBER(SEARCH("google.com/maps",J759)),ISERROR(SEARCH(";",J759))),"Discovery Link Only","Source Link Present"))</x:f>
        <x:v>Source Link Present</x:v>
      </x:c>
      <x:c r="S759" s="117" t="str">
        <x:v>Unknown</x:v>
      </x:c>
      <x:c r="T759" s="117" t="str">
        <x:v>Unknown</x:v>
      </x:c>
      <x:c r="U759" s="117" t="str">
        <x:v>Unknown</x:v>
      </x:c>
      <x:c r="V759" s="117" t="str">
        <x:v>Unknown</x:v>
      </x:c>
      <x:c r="W759" s="117" t="str">
        <x:v>Unknown</x:v>
      </x:c>
      <x:c r="X759" s="117" t="str">
        <x:v>Unknown</x:v>
      </x:c>
      <x:c r="Y759" s="117" t="str">
        <x:v>Unknown</x:v>
      </x:c>
      <x:c r="Z759" s="117"/>
      <x:c r="AA759" s="117" t="str">
        <x:v>Pending evidence</x:v>
      </x:c>
      <x:c r="AB759" s="117"/>
      <x:c r="AC759" s="117" t="str">
        <x:v>No qualifying accessibility conclusion established from the screened sources. This is unknown, not evidence that the attraction is inaccessible.</x:v>
      </x:c>
      <x:c r="AD759" s="117" t="str">
        <x:v>2026-09-08</x:v>
      </x:c>
      <x:c r="AE759" s="117" t="str">
        <x:v>MC0756</x:v>
      </x:c>
      <x:c r="AF759" s="117" t="str">
        <x:v>Distinct candidate</x:v>
      </x:c>
      <x:c r="AG759" s="117" t="str"/>
      <x:c r="AH759" s="117" t="str">
        <x:v>Listed by Tourism Malaysia</x:v>
      </x:c>
      <x:c r="AI759" s="117" t="str">
        <x:v>https://ebrochures.malaysia.travel/en/malaysia-travel-guide/kuala-lumpur/</x:v>
      </x:c>
      <x:c r="AJ759" s="117" t="str">
        <x:v>Named visitor attraction in cited source; state-guide listings can be historical. Locality is catalogue metadata, not a surveyed address. Current operation remains unconfirmed.</x:v>
      </x:c>
      <x:c r="AK759" s="117" t="str">
        <x:v>Not independently confirmed</x:v>
      </x:c>
      <x:c r="AL759" s="117" t="str">
        <x:v>Screened sources; accessibility unresolved</x:v>
      </x:c>
      <x:c r="AM759" s="117" t="str">
        <x:v>2026-09-08</x:v>
      </x:c>
      <x:c r="AN759" s="117" t="str">
        <x:v>https://thumb.wikimedia.org/wikipedia/commons/thumb/c/c7/2016_Kuala_Lumpur%2C_Meczet_Jamek_%2810%29.jpg/1280px-2016_Kuala_Lumpur%2C_Meczet_Jamek_%2810%29.jpg?utm_source=commons.wikimedia.org&amp;utm_campaign=imageinfo&amp;utm_content=thumbnail</x:v>
      </x:c>
      <x:c r="AO759" s="117" t="str">
        <x:v>https://upload.wikimedia.org/wikipedia/commons/7/74/Masjid_Jamek_in_1935.jpg?utm_source=commons.wikimedia.org&amp;utm_campaign=imageinfo&amp;utm_content=thumbnail_unscaled</x:v>
      </x:c>
      <x:c r="AP759" s="117" t="str">
        <x:v>2 metadata-matched images; visual review pending</x:v>
      </x:c>
      <x:c r="AQ759" s="117"/>
    </x:row>
    <x:row r="760" ht="66" customHeight="1">
      <x:c r="A760" s="117" t="str">
        <x:v>MC0757</x:v>
      </x:c>
      <x:c r="B760" s="117" t="str">
        <x:v>River of Life</x:v>
      </x:c>
      <x:c r="C760" s="117" t="str">
        <x:v>W.P. Kuala Lumpur</x:v>
      </x:c>
      <x:c r="D760" s="117" t="str">
        <x:v>Kuala Lumpur</x:v>
      </x:c>
      <x:c r="E760" s="117" t="str">
        <x:v>Heritage and Visitor Attraction</x:v>
      </x:c>
      <x:c r="F760" s="117" t="str">
        <x:v>Unclassified</x:v>
      </x:c>
      <x:c r="G760" s="117" t="str">
        <x:v>Both</x:v>
      </x:c>
      <x:c r="H760" s="117" t="str">
        <x:v>Heritage and Visitor Attraction; Kuala Lumpur</x:v>
      </x:c>
      <x:c r="I760" s="117" t="str">
        <x:v>A visitor attraction in Kuala Lumpur, W.P. Kuala Lumpur, listed in Tourism Malaysia's state travel guide. Venue operation and the precise accessible route require confirmation.</x:v>
      </x:c>
      <x:c r="J760" s="117" t="str">
        <x:v>https://ebrochures.malaysia.travel/en/malaysia-travel-guide/kuala-lumpur/</x:v>
      </x:c>
      <x:c r="K760" s="117" t="str">
        <x:v>https://ebrochures.malaysia.travel/en/malaysia-travel-guide/kuala-lumpur/</x:v>
      </x:c>
      <x:c r="L760" s="117" t="str">
        <x:v>Tourism Malaysia listing; operation unconfirmed</x:v>
      </x:c>
      <x:c r="M760" s="117" t="str">
        <x:v>Nationwide expansion 2026-09-08</x:v>
      </x:c>
      <x:c r="N760" s="117"/>
      <x:c r="O760" s="117" t="str">
        <x:v>2026-09-08</x:v>
      </x:c>
      <x:c r="P760" s="117" t="str">
        <x:v>Complete</x:v>
      </x:c>
      <x:c r="Q760" s="117"/>
      <x:c r="R760" s="117" t="str">
        <x:f>IF(J760="","Missing Link",IF(AND(ISNUMBER(SEARCH("google.com/maps",J760)),ISERROR(SEARCH(";",J760))),"Discovery Link Only","Source Link Present"))</x:f>
        <x:v>Source Link Present</x:v>
      </x:c>
      <x:c r="S760" s="117" t="str">
        <x:v>Unknown</x:v>
      </x:c>
      <x:c r="T760" s="117" t="str">
        <x:v>Unknown</x:v>
      </x:c>
      <x:c r="U760" s="117" t="str">
        <x:v>Unknown</x:v>
      </x:c>
      <x:c r="V760" s="117" t="str">
        <x:v>Unknown</x:v>
      </x:c>
      <x:c r="W760" s="117" t="str">
        <x:v>Unknown</x:v>
      </x:c>
      <x:c r="X760" s="117" t="str">
        <x:v>Unknown</x:v>
      </x:c>
      <x:c r="Y760" s="117" t="str">
        <x:v>Unknown</x:v>
      </x:c>
      <x:c r="Z760" s="117"/>
      <x:c r="AA760" s="117" t="str">
        <x:v>Pending evidence</x:v>
      </x:c>
      <x:c r="AB760" s="117"/>
      <x:c r="AC760" s="117" t="str">
        <x:v>No qualifying accessibility conclusion established from the screened sources. This is unknown, not evidence that the attraction is inaccessible.</x:v>
      </x:c>
      <x:c r="AD760" s="117" t="str">
        <x:v>2026-09-08</x:v>
      </x:c>
      <x:c r="AE760" s="117" t="str">
        <x:v>MC0757</x:v>
      </x:c>
      <x:c r="AF760" s="117" t="str">
        <x:v>Distinct candidate</x:v>
      </x:c>
      <x:c r="AG760" s="117" t="str"/>
      <x:c r="AH760" s="117" t="str">
        <x:v>Listed by Tourism Malaysia</x:v>
      </x:c>
      <x:c r="AI760" s="117" t="str">
        <x:v>https://ebrochures.malaysia.travel/en/malaysia-travel-guide/kuala-lumpur/</x:v>
      </x:c>
      <x:c r="AJ760" s="117" t="str">
        <x:v>Named visitor attraction in cited source; state-guide listings can be historical. Locality is catalogue metadata, not a surveyed address. Current operation remains unconfirmed.</x:v>
      </x:c>
      <x:c r="AK760" s="117" t="str">
        <x:v>Not independently confirmed</x:v>
      </x:c>
      <x:c r="AL760" s="117" t="str">
        <x:v>Screened sources; accessibility unresolved</x:v>
      </x:c>
      <x:c r="AM760" s="117" t="str">
        <x:v>2026-09-08</x:v>
      </x:c>
      <x:c r="AN760" s="117" t="str">
        <x:v>https://thumb.wikimedia.org/wikipedia/commons/thumb/d/dd/River_of_Life%2C_Kuala_Lumpur_in_2023_02.jpg/1280px-River_of_Life%2C_Kuala_Lumpur_in_2023_02.jpg?utm_source=commons.wikimedia.org&amp;utm_campaign=imageinfo&amp;utm_content=thumbnail</x:v>
      </x:c>
      <x:c r="AO760" s="117" t="str">
        <x:v>https://thumb.wikimedia.org/wikipedia/commons/thumb/a/a6/River_of_Life%2C_Kuala_Lumpur_in_2023_01.jpg/1280px-River_of_Life%2C_Kuala_Lumpur_in_2023_01.jpg?utm_source=commons.wikimedia.org&amp;utm_campaign=imageinfo&amp;utm_content=thumbnail</x:v>
      </x:c>
      <x:c r="AP760" s="117" t="str">
        <x:v>2 metadata-matched images; visual review pending</x:v>
      </x:c>
      <x:c r="AQ760" s="117"/>
    </x:row>
    <x:row r="761" ht="66" customHeight="1">
      <x:c r="A761" s="117" t="str">
        <x:v>MC0758</x:v>
      </x:c>
      <x:c r="B761" s="117" t="str">
        <x:v>Merdeka Square</x:v>
      </x:c>
      <x:c r="C761" s="117" t="str">
        <x:v>W.P. Kuala Lumpur</x:v>
      </x:c>
      <x:c r="D761" s="117" t="str">
        <x:v>Kuala Lumpur</x:v>
      </x:c>
      <x:c r="E761" s="117" t="str">
        <x:v>Heritage and Visitor Attraction</x:v>
      </x:c>
      <x:c r="F761" s="117" t="str">
        <x:v>Unclassified</x:v>
      </x:c>
      <x:c r="G761" s="117" t="str">
        <x:v>Both</x:v>
      </x:c>
      <x:c r="H761" s="117" t="str">
        <x:v>Heritage and Visitor Attraction; Kuala Lumpur</x:v>
      </x:c>
      <x:c r="I761" s="117" t="str">
        <x:v>A visitor attraction in Kuala Lumpur, W.P. Kuala Lumpur, listed in Tourism Malaysia's state travel guide. Venue operation and the precise accessible route require confirmation.</x:v>
      </x:c>
      <x:c r="J761" s="117" t="str">
        <x:v>https://ebrochures.malaysia.travel/en/malaysia-travel-guide/kuala-lumpur/</x:v>
      </x:c>
      <x:c r="K761" s="117" t="str">
        <x:v>https://ebrochures.malaysia.travel/en/malaysia-travel-guide/kuala-lumpur/</x:v>
      </x:c>
      <x:c r="L761" s="117" t="str">
        <x:v>Tourism Malaysia listing; operation unconfirmed</x:v>
      </x:c>
      <x:c r="M761" s="117" t="str">
        <x:v>Nationwide expansion 2026-09-08</x:v>
      </x:c>
      <x:c r="N761" s="117"/>
      <x:c r="O761" s="117" t="str">
        <x:v>2026-09-08</x:v>
      </x:c>
      <x:c r="P761" s="117" t="str">
        <x:v>Complete</x:v>
      </x:c>
      <x:c r="Q761" s="117"/>
      <x:c r="R761" s="117" t="str">
        <x:f>IF(J761="","Missing Link",IF(AND(ISNUMBER(SEARCH("google.com/maps",J761)),ISERROR(SEARCH(";",J761))),"Discovery Link Only","Source Link Present"))</x:f>
        <x:v>Source Link Present</x:v>
      </x:c>
      <x:c r="S761" s="117" t="str">
        <x:v>Unknown</x:v>
      </x:c>
      <x:c r="T761" s="117" t="str">
        <x:v>Unknown</x:v>
      </x:c>
      <x:c r="U761" s="117" t="str">
        <x:v>Unknown</x:v>
      </x:c>
      <x:c r="V761" s="117" t="str">
        <x:v>Unknown</x:v>
      </x:c>
      <x:c r="W761" s="117" t="str">
        <x:v>Unknown</x:v>
      </x:c>
      <x:c r="X761" s="117" t="str">
        <x:v>Unknown</x:v>
      </x:c>
      <x:c r="Y761" s="117" t="str">
        <x:v>Unknown</x:v>
      </x:c>
      <x:c r="Z761" s="117"/>
      <x:c r="AA761" s="117" t="str">
        <x:v>Pending evidence</x:v>
      </x:c>
      <x:c r="AB761" s="117"/>
      <x:c r="AC761" s="117" t="str">
        <x:v>No qualifying accessibility conclusion established from the screened sources. This is unknown, not evidence that the attraction is inaccessible.</x:v>
      </x:c>
      <x:c r="AD761" s="117" t="str">
        <x:v>2026-09-08</x:v>
      </x:c>
      <x:c r="AE761" s="117" t="str">
        <x:v>MC0758</x:v>
      </x:c>
      <x:c r="AF761" s="117" t="str">
        <x:v>Distinct candidate</x:v>
      </x:c>
      <x:c r="AG761" s="117" t="str"/>
      <x:c r="AH761" s="117" t="str">
        <x:v>Listed by Tourism Malaysia</x:v>
      </x:c>
      <x:c r="AI761" s="117" t="str">
        <x:v>https://ebrochures.malaysia.travel/en/malaysia-travel-guide/kuala-lumpur/</x:v>
      </x:c>
      <x:c r="AJ761" s="117" t="str">
        <x:v>Named visitor attraction in cited source; state-guide listings can be historical. Locality is catalogue metadata, not a surveyed address. Current operation remains unconfirmed.</x:v>
      </x:c>
      <x:c r="AK761" s="117" t="str">
        <x:v>Not independently confirmed</x:v>
      </x:c>
      <x:c r="AL761" s="117" t="str">
        <x:v>Screened sources; accessibility unresolved</x:v>
      </x:c>
      <x:c r="AM761" s="117" t="str">
        <x:v>2026-09-08</x:v>
      </x:c>
      <x:c r="AN761" s="117"/>
      <x:c r="AO761" s="117"/>
      <x:c r="AP761" s="117" t="str">
        <x:v>No usable pair located; image research pending</x:v>
      </x:c>
      <x:c r="AQ761" s="117"/>
    </x:row>
    <x:row r="762" ht="66" customHeight="1">
      <x:c r="A762" s="117" t="str">
        <x:v>MC0759</x:v>
      </x:c>
      <x:c r="B762" s="117" t="str">
        <x:v>St Mary Cathedral</x:v>
      </x:c>
      <x:c r="C762" s="117" t="str">
        <x:v>W.P. Kuala Lumpur</x:v>
      </x:c>
      <x:c r="D762" s="117" t="str">
        <x:v>Kuala Lumpur</x:v>
      </x:c>
      <x:c r="E762" s="117" t="str">
        <x:v>Religious Site</x:v>
      </x:c>
      <x:c r="F762" s="117" t="str">
        <x:v>Unclassified</x:v>
      </x:c>
      <x:c r="G762" s="117" t="str">
        <x:v>Both</x:v>
      </x:c>
      <x:c r="H762" s="117" t="str">
        <x:v>Religious Site; Kuala Lumpur</x:v>
      </x:c>
      <x:c r="I762" s="117" t="str">
        <x:v>A visitor attraction in Kuala Lumpur, W.P. Kuala Lumpur, listed in Tourism Malaysia's state travel guide. Venue operation and the precise accessible route require confirmation.</x:v>
      </x:c>
      <x:c r="J762" s="117" t="str">
        <x:v>https://ebrochures.malaysia.travel/en/malaysia-travel-guide/kuala-lumpur/</x:v>
      </x:c>
      <x:c r="K762" s="117" t="str">
        <x:v>https://ebrochures.malaysia.travel/en/malaysia-travel-guide/kuala-lumpur/</x:v>
      </x:c>
      <x:c r="L762" s="117" t="str">
        <x:v>Tourism Malaysia listing; operation unconfirmed</x:v>
      </x:c>
      <x:c r="M762" s="117" t="str">
        <x:v>Nationwide expansion 2026-09-08</x:v>
      </x:c>
      <x:c r="N762" s="117"/>
      <x:c r="O762" s="117" t="str">
        <x:v>2026-09-08</x:v>
      </x:c>
      <x:c r="P762" s="117" t="str">
        <x:v>Complete</x:v>
      </x:c>
      <x:c r="Q762" s="117"/>
      <x:c r="R762" s="117" t="str">
        <x:f>IF(J762="","Missing Link",IF(AND(ISNUMBER(SEARCH("google.com/maps",J762)),ISERROR(SEARCH(";",J762))),"Discovery Link Only","Source Link Present"))</x:f>
        <x:v>Source Link Present</x:v>
      </x:c>
      <x:c r="S762" s="117" t="str">
        <x:v>Unknown</x:v>
      </x:c>
      <x:c r="T762" s="117" t="str">
        <x:v>Unknown</x:v>
      </x:c>
      <x:c r="U762" s="117" t="str">
        <x:v>Unknown</x:v>
      </x:c>
      <x:c r="V762" s="117" t="str">
        <x:v>Unknown</x:v>
      </x:c>
      <x:c r="W762" s="117" t="str">
        <x:v>Unknown</x:v>
      </x:c>
      <x:c r="X762" s="117" t="str">
        <x:v>Unknown</x:v>
      </x:c>
      <x:c r="Y762" s="117" t="str">
        <x:v>Unknown</x:v>
      </x:c>
      <x:c r="Z762" s="117"/>
      <x:c r="AA762" s="117" t="str">
        <x:v>Pending evidence</x:v>
      </x:c>
      <x:c r="AB762" s="117"/>
      <x:c r="AC762" s="117" t="str">
        <x:v>No qualifying accessibility conclusion established from the screened sources. This is unknown, not evidence that the attraction is inaccessible.</x:v>
      </x:c>
      <x:c r="AD762" s="117" t="str">
        <x:v>2026-09-08</x:v>
      </x:c>
      <x:c r="AE762" s="117" t="str">
        <x:v>MC0759</x:v>
      </x:c>
      <x:c r="AF762" s="117" t="str">
        <x:v>Distinct candidate</x:v>
      </x:c>
      <x:c r="AG762" s="117" t="str"/>
      <x:c r="AH762" s="117" t="str">
        <x:v>Listed by Tourism Malaysia</x:v>
      </x:c>
      <x:c r="AI762" s="117" t="str">
        <x:v>https://ebrochures.malaysia.travel/en/malaysia-travel-guide/kuala-lumpur/</x:v>
      </x:c>
      <x:c r="AJ762" s="117" t="str">
        <x:v>Named visitor attraction in cited source; state-guide listings can be historical. Locality is catalogue metadata, not a surveyed address. Current operation remains unconfirmed.</x:v>
      </x:c>
      <x:c r="AK762" s="117" t="str">
        <x:v>Not independently confirmed</x:v>
      </x:c>
      <x:c r="AL762" s="117" t="str">
        <x:v>Screened sources; accessibility unresolved</x:v>
      </x:c>
      <x:c r="AM762" s="117" t="str">
        <x:v>2026-09-08</x:v>
      </x:c>
      <x:c r="AN762" s="117" t="str">
        <x:v>https://upload.wikimedia.org/wikipedia/commons/3/35/Saint_Mary_Cathedral.JPG?utm_source=commons.wikimedia.org&amp;utm_campaign=imageinfo&amp;utm_content=thumbnail_unscaled</x:v>
      </x:c>
      <x:c r="AO762" s="117"/>
      <x:c r="AP762" s="117" t="str">
        <x:v>1 metadata-matched images; visual review pending</x:v>
      </x:c>
      <x:c r="AQ762" s="117"/>
    </x:row>
    <x:row r="763" ht="66" customHeight="1">
      <x:c r="A763" s="117" t="str">
        <x:v>MC0760</x:v>
      </x:c>
      <x:c r="B763" s="117" t="str">
        <x:v>Petrosains The Discovery Centre</x:v>
      </x:c>
      <x:c r="C763" s="117" t="str">
        <x:v>W.P. Kuala Lumpur</x:v>
      </x:c>
      <x:c r="D763" s="117" t="str">
        <x:v>Kuala Lumpur</x:v>
      </x:c>
      <x:c r="E763" s="117" t="str">
        <x:v>Heritage and Visitor Attraction</x:v>
      </x:c>
      <x:c r="F763" s="117" t="str">
        <x:v>Unclassified</x:v>
      </x:c>
      <x:c r="G763" s="117" t="str">
        <x:v>Both</x:v>
      </x:c>
      <x:c r="H763" s="117" t="str">
        <x:v>Heritage and Visitor Attraction; Kuala Lumpur</x:v>
      </x:c>
      <x:c r="I763" s="117" t="str">
        <x:v>A visitor attraction in Kuala Lumpur, W.P. Kuala Lumpur, listed in Tourism Malaysia's state travel guide. Venue operation and the precise accessible route require confirmation.</x:v>
      </x:c>
      <x:c r="J763" s="117" t="str">
        <x:v>https://ebrochures.malaysia.travel/en/malaysia-travel-guide/kuala-lumpur/</x:v>
      </x:c>
      <x:c r="K763" s="117" t="str">
        <x:v>https://ebrochures.malaysia.travel/en/malaysia-travel-guide/kuala-lumpur/</x:v>
      </x:c>
      <x:c r="L763" s="117" t="str">
        <x:v>Tourism Malaysia listing; operation unconfirmed</x:v>
      </x:c>
      <x:c r="M763" s="117" t="str">
        <x:v>Nationwide expansion 2026-09-08</x:v>
      </x:c>
      <x:c r="N763" s="117"/>
      <x:c r="O763" s="117" t="str">
        <x:v>2026-09-08</x:v>
      </x:c>
      <x:c r="P763" s="117" t="str">
        <x:v>Complete</x:v>
      </x:c>
      <x:c r="Q763" s="117"/>
      <x:c r="R763" s="117" t="str">
        <x:f>IF(J763="","Missing Link",IF(AND(ISNUMBER(SEARCH("google.com/maps",J763)),ISERROR(SEARCH(";",J763))),"Discovery Link Only","Source Link Present"))</x:f>
        <x:v>Source Link Present</x:v>
      </x:c>
      <x:c r="S763" s="117" t="str">
        <x:v>Not measured</x:v>
      </x:c>
      <x:c r="T763" s="117" t="str">
        <x:v>Partial - lift approach documented</x:v>
      </x:c>
      <x:c r="U763" s="117" t="str">
        <x:v>Unknown</x:v>
      </x:c>
      <x:c r="V763" s="117" t="str">
        <x:v>Yes - documented</x:v>
      </x:c>
      <x:c r="W763" s="117" t="str">
        <x:v>Disabled spaces; first-come</x:v>
      </x:c>
      <x:c r="X763" s="117" t="str">
        <x:v>Unknown</x:v>
      </x:c>
      <x:c r="Y763" s="117" t="str">
        <x:v>Conditional on mobility and route</x:v>
      </x:c>
      <x:c r="Z763" s="117" t="str">
        <x:v>The operator advises wheelchair users to bring their own wheelchair; it does not provide a wheelchair service. This overrides conflicting reseller claims about wheelchair rental.</x:v>
      </x:c>
      <x:c r="AA763" s="117" t="str">
        <x:v>Documented support - conditional</x:v>
      </x:c>
      <x:c r="AB763" s="117" t="str">
        <x:v>https://petrosains.com.my/visit/facilities-accessibility/</x:v>
      </x:c>
      <x:c r="AC763" s="117" t="str">
        <x:v>Petrosains visitor centre and mall lift approach</x:v>
      </x:c>
      <x:c r="AD763" s="117" t="str">
        <x:v>2026-09-08</x:v>
      </x:c>
      <x:c r="AE763" s="117" t="str">
        <x:v>MC0760</x:v>
      </x:c>
      <x:c r="AF763" s="117" t="str">
        <x:v>Distinct candidate</x:v>
      </x:c>
      <x:c r="AG763" s="117" t="str"/>
      <x:c r="AH763" s="117" t="str">
        <x:v>Venue-specific source reviewed</x:v>
      </x:c>
      <x:c r="AI763" s="117" t="str">
        <x:v>https://petrosains.com.my/visit/facilities-accessibility/</x:v>
      </x:c>
      <x:c r="AJ763" s="117" t="str">
        <x:v>Named visitor attraction in cited source; state-guide listings can be historical. Locality is catalogue metadata, not a surveyed address. Current operation remains unconfirmed.</x:v>
      </x:c>
      <x:c r="AK763" s="117" t="str">
        <x:v>Not independently confirmed</x:v>
      </x:c>
      <x:c r="AL763" s="117" t="str">
        <x:v>Primary accessibility evidence reviewed</x:v>
      </x:c>
      <x:c r="AM763" s="117" t="str">
        <x:v>2026-09-08</x:v>
      </x:c>
      <x:c r="AN763" s="117" t="str">
        <x:v>https://upload.wikimedia.org/wikipedia/commons/f/f6/F1_car_at_Petrosains_museum_%286349809786%29.jpg?utm_source=commons.wikimedia.org&amp;utm_campaign=imageinfo&amp;utm_content=thumbnail_unscaled</x:v>
      </x:c>
      <x:c r="AO763" s="117" t="str">
        <x:v>https://upload.wikimedia.org/wikipedia/commons/3/37/PSAINS_InteractStation7.jpg?utm_source=commons.wikimedia.org&amp;utm_campaign=imageinfo&amp;utm_content=thumbnail_unscaled</x:v>
      </x:c>
      <x:c r="AP763" s="117" t="str">
        <x:v>2 metadata-matched images; visual review pending</x:v>
      </x:c>
      <x:c r="AQ763" s="117"/>
    </x:row>
    <x:row r="764" ht="66" customHeight="1">
      <x:c r="A764" s="117" t="str">
        <x:v>MC0761</x:v>
      </x:c>
      <x:c r="B764" s="117" t="str">
        <x:v>KL Forest Eco Park</x:v>
      </x:c>
      <x:c r="C764" s="117" t="str">
        <x:v>W.P. Kuala Lumpur</x:v>
      </x:c>
      <x:c r="D764" s="117" t="str">
        <x:v>Kuala Lumpur</x:v>
      </x:c>
      <x:c r="E764" s="117" t="str">
        <x:v>Nature</x:v>
      </x:c>
      <x:c r="F764" s="117" t="str">
        <x:v>Unclassified</x:v>
      </x:c>
      <x:c r="G764" s="117" t="str">
        <x:v>Outdoor</x:v>
      </x:c>
      <x:c r="H764" s="117" t="str">
        <x:v>Nature; Kuala Lumpur</x:v>
      </x:c>
      <x:c r="I764" s="117" t="str">
        <x:v>A visitor attraction in Kuala Lumpur, W.P. Kuala Lumpur, listed in Tourism Malaysia's state travel guide. Venue operation and the precise accessible route require confirmation.</x:v>
      </x:c>
      <x:c r="J764" s="117" t="str">
        <x:v>https://ebrochures.malaysia.travel/en/malaysia-travel-guide/kuala-lumpur/</x:v>
      </x:c>
      <x:c r="K764" s="117" t="str">
        <x:v>https://ebrochures.malaysia.travel/en/malaysia-travel-guide/kuala-lumpur/</x:v>
      </x:c>
      <x:c r="L764" s="117" t="str">
        <x:v>Tourism Malaysia listing; operation unconfirmed</x:v>
      </x:c>
      <x:c r="M764" s="117" t="str">
        <x:v>Nationwide expansion 2026-09-08</x:v>
      </x:c>
      <x:c r="N764" s="117"/>
      <x:c r="O764" s="117" t="str">
        <x:v>2026-09-08</x:v>
      </x:c>
      <x:c r="P764" s="117" t="str">
        <x:v>Complete</x:v>
      </x:c>
      <x:c r="Q764" s="117"/>
      <x:c r="R764" s="117" t="str">
        <x:f>IF(J764="","Missing Link",IF(AND(ISNUMBER(SEARCH("google.com/maps",J764)),ISERROR(SEARCH(";",J764))),"Discovery Link Only","Source Link Present"))</x:f>
        <x:v>Source Link Present</x:v>
      </x:c>
      <x:c r="S764" s="117" t="str">
        <x:v>Unknown</x:v>
      </x:c>
      <x:c r="T764" s="117" t="str">
        <x:v>Unknown</x:v>
      </x:c>
      <x:c r="U764" s="117" t="str">
        <x:v>Unknown</x:v>
      </x:c>
      <x:c r="V764" s="117" t="str">
        <x:v>Unknown</x:v>
      </x:c>
      <x:c r="W764" s="117" t="str">
        <x:v>Unknown</x:v>
      </x:c>
      <x:c r="X764" s="117" t="str">
        <x:v>Unknown</x:v>
      </x:c>
      <x:c r="Y764" s="117" t="str">
        <x:v>Unknown</x:v>
      </x:c>
      <x:c r="Z764" s="117"/>
      <x:c r="AA764" s="117" t="str">
        <x:v>Pending evidence</x:v>
      </x:c>
      <x:c r="AB764" s="117"/>
      <x:c r="AC764" s="117" t="str">
        <x:v>No qualifying accessibility conclusion established from the screened sources. This is unknown, not evidence that the attraction is inaccessible.</x:v>
      </x:c>
      <x:c r="AD764" s="117" t="str">
        <x:v>2026-09-08</x:v>
      </x:c>
      <x:c r="AE764" s="117" t="str">
        <x:v>MC0761</x:v>
      </x:c>
      <x:c r="AF764" s="117" t="str">
        <x:v>Distinct candidate</x:v>
      </x:c>
      <x:c r="AG764" s="117" t="str"/>
      <x:c r="AH764" s="117" t="str">
        <x:v>Listed by Tourism Malaysia</x:v>
      </x:c>
      <x:c r="AI764" s="117" t="str">
        <x:v>https://ebrochures.malaysia.travel/en/malaysia-travel-guide/kuala-lumpur/</x:v>
      </x:c>
      <x:c r="AJ764" s="117" t="str">
        <x:v>Named visitor attraction in cited source; state-guide listings can be historical. Locality is catalogue metadata, not a surveyed address. Current operation remains unconfirmed.</x:v>
      </x:c>
      <x:c r="AK764" s="117" t="str">
        <x:v>Not independently confirmed</x:v>
      </x:c>
      <x:c r="AL764" s="117" t="str">
        <x:v>Screened sources; accessibility unresolved</x:v>
      </x:c>
      <x:c r="AM764" s="117" t="str">
        <x:v>2026-09-08</x:v>
      </x:c>
      <x:c r="AN764" s="117"/>
      <x:c r="AO764" s="117"/>
      <x:c r="AP764" s="117" t="str">
        <x:v>No usable pair located; image research pending</x:v>
      </x:c>
      <x:c r="AQ764" s="117"/>
    </x:row>
    <x:row r="765" ht="66" customHeight="1">
      <x:c r="A765" s="117" t="str">
        <x:v>MC0762</x:v>
      </x:c>
      <x:c r="B765" s="117" t="str">
        <x:v>Istana Negara</x:v>
      </x:c>
      <x:c r="C765" s="117" t="str">
        <x:v>W.P. Kuala Lumpur</x:v>
      </x:c>
      <x:c r="D765" s="117" t="str">
        <x:v>Kuala Lumpur</x:v>
      </x:c>
      <x:c r="E765" s="117" t="str">
        <x:v>Heritage and Visitor Attraction</x:v>
      </x:c>
      <x:c r="F765" s="117" t="str">
        <x:v>Unclassified</x:v>
      </x:c>
      <x:c r="G765" s="117" t="str">
        <x:v>Both</x:v>
      </x:c>
      <x:c r="H765" s="117" t="str">
        <x:v>Heritage and Visitor Attraction; Kuala Lumpur</x:v>
      </x:c>
      <x:c r="I765" s="117" t="str">
        <x:v>A visitor attraction in Kuala Lumpur, W.P. Kuala Lumpur, listed in Tourism Malaysia's state travel guide. Venue operation and the precise accessible route require confirmation.</x:v>
      </x:c>
      <x:c r="J765" s="117" t="str">
        <x:v>https://ebrochures.malaysia.travel/en/malaysia-travel-guide/kuala-lumpur/</x:v>
      </x:c>
      <x:c r="K765" s="117" t="str">
        <x:v>https://ebrochures.malaysia.travel/en/malaysia-travel-guide/kuala-lumpur/</x:v>
      </x:c>
      <x:c r="L765" s="117" t="str">
        <x:v>Tourism Malaysia listing; operation unconfirmed</x:v>
      </x:c>
      <x:c r="M765" s="117" t="str">
        <x:v>Nationwide expansion 2026-09-08</x:v>
      </x:c>
      <x:c r="N765" s="117"/>
      <x:c r="O765" s="117" t="str">
        <x:v>2026-09-08</x:v>
      </x:c>
      <x:c r="P765" s="117" t="str">
        <x:v>Complete</x:v>
      </x:c>
      <x:c r="Q765" s="117"/>
      <x:c r="R765" s="117" t="str">
        <x:f>IF(J765="","Missing Link",IF(AND(ISNUMBER(SEARCH("google.com/maps",J765)),ISERROR(SEARCH(";",J765))),"Discovery Link Only","Source Link Present"))</x:f>
        <x:v>Source Link Present</x:v>
      </x:c>
      <x:c r="S765" s="117" t="str">
        <x:v>Unknown</x:v>
      </x:c>
      <x:c r="T765" s="117" t="str">
        <x:v>Unknown</x:v>
      </x:c>
      <x:c r="U765" s="117" t="str">
        <x:v>Unknown</x:v>
      </x:c>
      <x:c r="V765" s="117" t="str">
        <x:v>Unknown</x:v>
      </x:c>
      <x:c r="W765" s="117" t="str">
        <x:v>Unknown</x:v>
      </x:c>
      <x:c r="X765" s="117" t="str">
        <x:v>Unknown</x:v>
      </x:c>
      <x:c r="Y765" s="117" t="str">
        <x:v>Unknown</x:v>
      </x:c>
      <x:c r="Z765" s="117"/>
      <x:c r="AA765" s="117" t="str">
        <x:v>Pending evidence</x:v>
      </x:c>
      <x:c r="AB765" s="117"/>
      <x:c r="AC765" s="117" t="str">
        <x:v>No qualifying accessibility conclusion established from the screened sources. This is unknown, not evidence that the attraction is inaccessible.</x:v>
      </x:c>
      <x:c r="AD765" s="117" t="str">
        <x:v>2026-09-08</x:v>
      </x:c>
      <x:c r="AE765" s="117" t="str">
        <x:v>MC0762</x:v>
      </x:c>
      <x:c r="AF765" s="117" t="str">
        <x:v>Distinct candidate</x:v>
      </x:c>
      <x:c r="AG765" s="117" t="str"/>
      <x:c r="AH765" s="117" t="str">
        <x:v>Listed by Tourism Malaysia</x:v>
      </x:c>
      <x:c r="AI765" s="117" t="str">
        <x:v>https://ebrochures.malaysia.travel/en/malaysia-travel-guide/kuala-lumpur/</x:v>
      </x:c>
      <x:c r="AJ765" s="117" t="str">
        <x:v>Named visitor attraction in cited source; state-guide listings can be historical. Locality is catalogue metadata, not a surveyed address. Current operation remains unconfirmed.</x:v>
      </x:c>
      <x:c r="AK765" s="117" t="str">
        <x:v>Not independently confirmed</x:v>
      </x:c>
      <x:c r="AL765" s="117" t="str">
        <x:v>Screened sources; accessibility unresolved</x:v>
      </x:c>
      <x:c r="AM765" s="117" t="str">
        <x:v>2026-09-08</x:v>
      </x:c>
      <x:c r="AN765" s="117" t="str">
        <x:v>https://thumb.wikimedia.org/wikipedia/commons/thumb/d/de/Kuala_Lumpur_Malaysia-Istana_Negara-Jalan-Duta-01.jpg/1280px-Kuala_Lumpur_Malaysia-Istana_Negara-Jalan-Duta-01.jpg?utm_source=commons.wikimedia.org&amp;utm_campaign=imageinfo&amp;utm_content=thumbnail</x:v>
      </x:c>
      <x:c r="AO765" s="117" t="str">
        <x:v>https://thumb.wikimedia.org/wikipedia/commons/thumb/5/53/Sunset_in_Kuala_Lumpur.jpg/1280px-Sunset_in_Kuala_Lumpur.jpg?utm_source=commons.wikimedia.org&amp;utm_campaign=imageinfo&amp;utm_content=thumbnail</x:v>
      </x:c>
      <x:c r="AP765" s="117" t="str">
        <x:v>2 metadata-matched images; visual review pending</x:v>
      </x:c>
      <x:c r="AQ765" s="117"/>
    </x:row>
    <x:row r="766" ht="66" customHeight="1">
      <x:c r="A766" s="117" t="str">
        <x:v>MC0763</x:v>
      </x:c>
      <x:c r="B766" s="117" t="str">
        <x:v>Berjaya Times Square Theme Park</x:v>
      </x:c>
      <x:c r="C766" s="117" t="str">
        <x:v>W.P. Kuala Lumpur</x:v>
      </x:c>
      <x:c r="D766" s="117" t="str">
        <x:v>Kuala Lumpur</x:v>
      </x:c>
      <x:c r="E766" s="117" t="str">
        <x:v>Theme Park</x:v>
      </x:c>
      <x:c r="F766" s="117" t="str">
        <x:v>Unclassified</x:v>
      </x:c>
      <x:c r="G766" s="117" t="str">
        <x:v>Both</x:v>
      </x:c>
      <x:c r="H766" s="117" t="str">
        <x:v>Theme Park; Kuala Lumpur</x:v>
      </x:c>
      <x:c r="I766" s="117" t="str">
        <x:v>A visitor attraction in Kuala Lumpur, W.P. Kuala Lumpur, listed in Tourism Malaysia's state travel guide. Venue operation and the precise accessible route require confirmation.</x:v>
      </x:c>
      <x:c r="J766" s="117" t="str">
        <x:v>https://ebrochures.malaysia.travel/en/malaysia-travel-guide/kuala-lumpur/</x:v>
      </x:c>
      <x:c r="K766" s="117" t="str">
        <x:v>https://ebrochures.malaysia.travel/en/malaysia-travel-guide/kuala-lumpur/</x:v>
      </x:c>
      <x:c r="L766" s="117" t="str">
        <x:v>Tourism Malaysia listing; operation unconfirmed</x:v>
      </x:c>
      <x:c r="M766" s="117" t="str">
        <x:v>Nationwide expansion 2026-09-08</x:v>
      </x:c>
      <x:c r="N766" s="117"/>
      <x:c r="O766" s="117" t="str">
        <x:v>2026-09-08</x:v>
      </x:c>
      <x:c r="P766" s="117" t="str">
        <x:v>Complete</x:v>
      </x:c>
      <x:c r="Q766" s="117"/>
      <x:c r="R766" s="117" t="str">
        <x:f>IF(J766="","Missing Link",IF(AND(ISNUMBER(SEARCH("google.com/maps",J766)),ISERROR(SEARCH(";",J766))),"Discovery Link Only","Source Link Present"))</x:f>
        <x:v>Source Link Present</x:v>
      </x:c>
      <x:c r="S766" s="117" t="str">
        <x:v>Unknown</x:v>
      </x:c>
      <x:c r="T766" s="117" t="str">
        <x:v>Unknown</x:v>
      </x:c>
      <x:c r="U766" s="117" t="str">
        <x:v>Unknown</x:v>
      </x:c>
      <x:c r="V766" s="117" t="str">
        <x:v>Unknown</x:v>
      </x:c>
      <x:c r="W766" s="117" t="str">
        <x:v>Unknown</x:v>
      </x:c>
      <x:c r="X766" s="117" t="str">
        <x:v>Unknown</x:v>
      </x:c>
      <x:c r="Y766" s="117" t="str">
        <x:v>Unknown</x:v>
      </x:c>
      <x:c r="Z766" s="117"/>
      <x:c r="AA766" s="117" t="str">
        <x:v>Pending evidence</x:v>
      </x:c>
      <x:c r="AB766" s="117"/>
      <x:c r="AC766" s="117" t="str">
        <x:v>No qualifying accessibility conclusion established from the screened sources. This is unknown, not evidence that the attraction is inaccessible.</x:v>
      </x:c>
      <x:c r="AD766" s="117" t="str">
        <x:v>2026-09-08</x:v>
      </x:c>
      <x:c r="AE766" s="117" t="str">
        <x:v>MC0763</x:v>
      </x:c>
      <x:c r="AF766" s="117" t="str">
        <x:v>Distinct candidate</x:v>
      </x:c>
      <x:c r="AG766" s="117" t="str"/>
      <x:c r="AH766" s="117" t="str">
        <x:v>Listed by Tourism Malaysia</x:v>
      </x:c>
      <x:c r="AI766" s="117" t="str">
        <x:v>https://ebrochures.malaysia.travel/en/malaysia-travel-guide/kuala-lumpur/</x:v>
      </x:c>
      <x:c r="AJ766" s="117" t="str">
        <x:v>Named visitor attraction in cited source; state-guide listings can be historical. Locality is catalogue metadata, not a surveyed address. Current operation remains unconfirmed.</x:v>
      </x:c>
      <x:c r="AK766" s="117" t="str">
        <x:v>Not independently confirmed</x:v>
      </x:c>
      <x:c r="AL766" s="117" t="str">
        <x:v>Screened sources; accessibility unresolved</x:v>
      </x:c>
      <x:c r="AM766" s="117" t="str">
        <x:v>2026-09-08</x:v>
      </x:c>
      <x:c r="AN766" s="117" t="str">
        <x:v>https://thumb.wikimedia.org/wikipedia/commons/thumb/d/d5/Berjaya_Times_Square_theme_park.jpg/1280px-Berjaya_Times_Square_theme_park.jpg?utm_source=commons.wikimedia.org&amp;utm_campaign=imageinfo&amp;utm_content=thumbnail</x:v>
      </x:c>
      <x:c r="AO766" s="117" t="str">
        <x:v>https://thumb.wikimedia.org/wikipedia/commons/thumb/b/b7/Berjaya_Times_Square_Indoor_Theme_Park.JPG/1280px-Berjaya_Times_Square_Indoor_Theme_Park.JPG?utm_source=commons.wikimedia.org&amp;utm_campaign=imageinfo&amp;utm_content=thumbnail</x:v>
      </x:c>
      <x:c r="AP766" s="117" t="str">
        <x:v>2 metadata-matched images; visual review pending</x:v>
      </x:c>
      <x:c r="AQ766" s="117"/>
    </x:row>
    <x:row r="767" ht="66" customHeight="1">
      <x:c r="A767" s="117" t="str">
        <x:v>MC0764</x:v>
      </x:c>
      <x:c r="B767" s="117" t="str">
        <x:v>Kuala Lumpur Craft Complex</x:v>
      </x:c>
      <x:c r="C767" s="117" t="str">
        <x:v>W.P. Kuala Lumpur</x:v>
      </x:c>
      <x:c r="D767" s="117" t="str">
        <x:v>Kuala Lumpur</x:v>
      </x:c>
      <x:c r="E767" s="117" t="str">
        <x:v>Farm and Visitor Experience</x:v>
      </x:c>
      <x:c r="F767" s="117" t="str">
        <x:v>Unclassified</x:v>
      </x:c>
      <x:c r="G767" s="117" t="str">
        <x:v>Both</x:v>
      </x:c>
      <x:c r="H767" s="117" t="str">
        <x:v>Farm and Visitor Experience; Kuala Lumpur</x:v>
      </x:c>
      <x:c r="I767" s="117" t="str">
        <x:v>A visitor attraction in Kuala Lumpur, W.P. Kuala Lumpur, listed in Tourism Malaysia's state travel guide. Venue operation and the precise accessible route require confirmation.</x:v>
      </x:c>
      <x:c r="J767" s="117" t="str">
        <x:v>https://ebrochures.malaysia.travel/en/malaysia-travel-guide/kuala-lumpur/</x:v>
      </x:c>
      <x:c r="K767" s="117" t="str">
        <x:v>https://ebrochures.malaysia.travel/en/malaysia-travel-guide/kuala-lumpur/</x:v>
      </x:c>
      <x:c r="L767" s="117" t="str">
        <x:v>Tourism Malaysia listing; operation unconfirmed</x:v>
      </x:c>
      <x:c r="M767" s="117" t="str">
        <x:v>Nationwide expansion 2026-09-08</x:v>
      </x:c>
      <x:c r="N767" s="117"/>
      <x:c r="O767" s="117" t="str">
        <x:v>2026-09-08</x:v>
      </x:c>
      <x:c r="P767" s="117" t="str">
        <x:v>Complete</x:v>
      </x:c>
      <x:c r="Q767" s="117"/>
      <x:c r="R767" s="117" t="str">
        <x:f>IF(J767="","Missing Link",IF(AND(ISNUMBER(SEARCH("google.com/maps",J767)),ISERROR(SEARCH(";",J767))),"Discovery Link Only","Source Link Present"))</x:f>
        <x:v>Source Link Present</x:v>
      </x:c>
      <x:c r="S767" s="117" t="str">
        <x:v>Unknown</x:v>
      </x:c>
      <x:c r="T767" s="117" t="str">
        <x:v>Unknown</x:v>
      </x:c>
      <x:c r="U767" s="117" t="str">
        <x:v>Unknown</x:v>
      </x:c>
      <x:c r="V767" s="117" t="str">
        <x:v>Unknown</x:v>
      </x:c>
      <x:c r="W767" s="117" t="str">
        <x:v>Unknown</x:v>
      </x:c>
      <x:c r="X767" s="117" t="str">
        <x:v>Unknown</x:v>
      </x:c>
      <x:c r="Y767" s="117" t="str">
        <x:v>Unknown</x:v>
      </x:c>
      <x:c r="Z767" s="117"/>
      <x:c r="AA767" s="117" t="str">
        <x:v>Pending evidence</x:v>
      </x:c>
      <x:c r="AB767" s="117"/>
      <x:c r="AC767" s="117" t="str">
        <x:v>No qualifying accessibility conclusion established from the screened sources. This is unknown, not evidence that the attraction is inaccessible.</x:v>
      </x:c>
      <x:c r="AD767" s="117" t="str">
        <x:v>2026-09-08</x:v>
      </x:c>
      <x:c r="AE767" s="117" t="str">
        <x:v>MC0764</x:v>
      </x:c>
      <x:c r="AF767" s="117" t="str">
        <x:v>Distinct candidate</x:v>
      </x:c>
      <x:c r="AG767" s="117" t="str"/>
      <x:c r="AH767" s="117" t="str">
        <x:v>Listed by Tourism Malaysia</x:v>
      </x:c>
      <x:c r="AI767" s="117" t="str">
        <x:v>https://ebrochures.malaysia.travel/en/malaysia-travel-guide/kuala-lumpur/</x:v>
      </x:c>
      <x:c r="AJ767" s="117" t="str">
        <x:v>Named visitor attraction in cited source; state-guide listings can be historical. Locality is catalogue metadata, not a surveyed address. Current operation remains unconfirmed.</x:v>
      </x:c>
      <x:c r="AK767" s="117" t="str">
        <x:v>Not independently confirmed</x:v>
      </x:c>
      <x:c r="AL767" s="117" t="str">
        <x:v>Screened sources; accessibility unresolved</x:v>
      </x:c>
      <x:c r="AM767" s="117" t="str">
        <x:v>2026-09-08</x:v>
      </x:c>
      <x:c r="AN767" s="117"/>
      <x:c r="AO767" s="117"/>
      <x:c r="AP767" s="117" t="str">
        <x:v>No usable pair located; image research pending</x:v>
      </x:c>
      <x:c r="AQ767" s="117"/>
    </x:row>
    <x:row r="768" ht="66" customHeight="1">
      <x:c r="A768" s="117" t="str">
        <x:v>MC0765</x:v>
      </x:c>
      <x:c r="B768" s="117" t="str">
        <x:v>Kuala Lumpur Old Railway Station</x:v>
      </x:c>
      <x:c r="C768" s="117" t="str">
        <x:v>W.P. Kuala Lumpur</x:v>
      </x:c>
      <x:c r="D768" s="117" t="str">
        <x:v>Kuala Lumpur</x:v>
      </x:c>
      <x:c r="E768" s="117" t="str">
        <x:v>Heritage and Visitor Attraction</x:v>
      </x:c>
      <x:c r="F768" s="117" t="str">
        <x:v>Unclassified</x:v>
      </x:c>
      <x:c r="G768" s="117" t="str">
        <x:v>Both</x:v>
      </x:c>
      <x:c r="H768" s="117" t="str">
        <x:v>Heritage and Visitor Attraction; Kuala Lumpur</x:v>
      </x:c>
      <x:c r="I768" s="117" t="str">
        <x:v>A visitor attraction in Kuala Lumpur, W.P. Kuala Lumpur, listed in Tourism Malaysia's state travel guide. Venue operation and the precise accessible route require confirmation.</x:v>
      </x:c>
      <x:c r="J768" s="117" t="str">
        <x:v>https://ebrochures.malaysia.travel/en/malaysia-travel-guide/kuala-lumpur/</x:v>
      </x:c>
      <x:c r="K768" s="117" t="str">
        <x:v>https://ebrochures.malaysia.travel/en/malaysia-travel-guide/kuala-lumpur/</x:v>
      </x:c>
      <x:c r="L768" s="117" t="str">
        <x:v>Tourism Malaysia listing; operation unconfirmed</x:v>
      </x:c>
      <x:c r="M768" s="117" t="str">
        <x:v>Nationwide expansion 2026-09-08</x:v>
      </x:c>
      <x:c r="N768" s="117"/>
      <x:c r="O768" s="117" t="str">
        <x:v>2026-09-08</x:v>
      </x:c>
      <x:c r="P768" s="117" t="str">
        <x:v>Complete</x:v>
      </x:c>
      <x:c r="Q768" s="117"/>
      <x:c r="R768" s="117" t="str">
        <x:f>IF(J768="","Missing Link",IF(AND(ISNUMBER(SEARCH("google.com/maps",J768)),ISERROR(SEARCH(";",J768))),"Discovery Link Only","Source Link Present"))</x:f>
        <x:v>Source Link Present</x:v>
      </x:c>
      <x:c r="S768" s="117" t="str">
        <x:v>Unknown</x:v>
      </x:c>
      <x:c r="T768" s="117" t="str">
        <x:v>Unknown</x:v>
      </x:c>
      <x:c r="U768" s="117" t="str">
        <x:v>Unknown</x:v>
      </x:c>
      <x:c r="V768" s="117" t="str">
        <x:v>Unknown</x:v>
      </x:c>
      <x:c r="W768" s="117" t="str">
        <x:v>Unknown</x:v>
      </x:c>
      <x:c r="X768" s="117" t="str">
        <x:v>Unknown</x:v>
      </x:c>
      <x:c r="Y768" s="117" t="str">
        <x:v>Unknown</x:v>
      </x:c>
      <x:c r="Z768" s="117"/>
      <x:c r="AA768" s="117" t="str">
        <x:v>Pending evidence</x:v>
      </x:c>
      <x:c r="AB768" s="117"/>
      <x:c r="AC768" s="117" t="str">
        <x:v>No qualifying accessibility conclusion established from the screened sources. This is unknown, not evidence that the attraction is inaccessible.</x:v>
      </x:c>
      <x:c r="AD768" s="117" t="str">
        <x:v>2026-09-08</x:v>
      </x:c>
      <x:c r="AE768" s="117" t="str">
        <x:v>MC0765</x:v>
      </x:c>
      <x:c r="AF768" s="117" t="str">
        <x:v>Distinct candidate</x:v>
      </x:c>
      <x:c r="AG768" s="117" t="str"/>
      <x:c r="AH768" s="117" t="str">
        <x:v>Listed by Tourism Malaysia</x:v>
      </x:c>
      <x:c r="AI768" s="117" t="str">
        <x:v>https://ebrochures.malaysia.travel/en/malaysia-travel-guide/kuala-lumpur/</x:v>
      </x:c>
      <x:c r="AJ768" s="117" t="str">
        <x:v>Named visitor attraction in cited source; state-guide listings can be historical. Locality is catalogue metadata, not a surveyed address. Current operation remains unconfirmed.</x:v>
      </x:c>
      <x:c r="AK768" s="117" t="str">
        <x:v>Not independently confirmed</x:v>
      </x:c>
      <x:c r="AL768" s="117" t="str">
        <x:v>Screened sources; accessibility unresolved</x:v>
      </x:c>
      <x:c r="AM768" s="117" t="str">
        <x:v>2026-09-08</x:v>
      </x:c>
      <x:c r="AN768" s="117" t="str">
        <x:v>https://upload.wikimedia.org/wikipedia/commons/c/c6/Railway_station_KL_2007_010_pano.jpg?utm_source=commons.wikimedia.org&amp;utm_campaign=imageinfo&amp;utm_content=thumbnail_unscaled</x:v>
      </x:c>
      <x:c r="AO768" s="117" t="str">
        <x:v>https://thumb.wikimedia.org/wikipedia/commons/thumb/5/54/2016_Kuala_Lumpur%2C_Stacja_kolejowa_Kuala_Lumpur_%2802%29.jpg/1280px-2016_Kuala_Lumpur%2C_Stacja_kolejowa_Kuala_Lumpur_%2802%29.jpg?utm_source=commons.wikimedia.org&amp;utm_campaign=imageinfo&amp;utm_content=thumbnail</x:v>
      </x:c>
      <x:c r="AP768" s="117" t="str">
        <x:v>2 metadata-matched images; visual review pending</x:v>
      </x:c>
      <x:c r="AQ768" s="117"/>
    </x:row>
    <x:row r="769" ht="66" customHeight="1">
      <x:c r="A769" s="117" t="str">
        <x:v>MC0766</x:v>
      </x:c>
      <x:c r="B769" s="117" t="str">
        <x:v>Saloma Link</x:v>
      </x:c>
      <x:c r="C769" s="117" t="str">
        <x:v>W.P. Kuala Lumpur</x:v>
      </x:c>
      <x:c r="D769" s="117" t="str">
        <x:v>Kuala Lumpur</x:v>
      </x:c>
      <x:c r="E769" s="117" t="str">
        <x:v>Heritage and Visitor Attraction</x:v>
      </x:c>
      <x:c r="F769" s="117" t="str">
        <x:v>Unclassified</x:v>
      </x:c>
      <x:c r="G769" s="117" t="str">
        <x:v>Both</x:v>
      </x:c>
      <x:c r="H769" s="117" t="str">
        <x:v>Heritage and Visitor Attraction; Kuala Lumpur</x:v>
      </x:c>
      <x:c r="I769" s="117" t="str">
        <x:v>A visitor attraction in Kuala Lumpur, W.P. Kuala Lumpur, listed in Tourism Malaysia's state travel guide. Venue operation and the precise accessible route require confirmation.</x:v>
      </x:c>
      <x:c r="J769" s="117" t="str">
        <x:v>https://ebrochures.malaysia.travel/en/malaysia-travel-guide/kuala-lumpur/</x:v>
      </x:c>
      <x:c r="K769" s="117" t="str">
        <x:v>https://ebrochures.malaysia.travel/en/malaysia-travel-guide/kuala-lumpur/</x:v>
      </x:c>
      <x:c r="L769" s="117" t="str">
        <x:v>Tourism Malaysia listing; operation unconfirmed</x:v>
      </x:c>
      <x:c r="M769" s="117" t="str">
        <x:v>Nationwide expansion 2026-09-08</x:v>
      </x:c>
      <x:c r="N769" s="117"/>
      <x:c r="O769" s="117" t="str">
        <x:v>2026-09-08</x:v>
      </x:c>
      <x:c r="P769" s="117" t="str">
        <x:v>Complete</x:v>
      </x:c>
      <x:c r="Q769" s="117"/>
      <x:c r="R769" s="117" t="str">
        <x:f>IF(J769="","Missing Link",IF(AND(ISNUMBER(SEARCH("google.com/maps",J769)),ISERROR(SEARCH(";",J769))),"Discovery Link Only","Source Link Present"))</x:f>
        <x:v>Source Link Present</x:v>
      </x:c>
      <x:c r="S769" s="117" t="str">
        <x:v>Unknown</x:v>
      </x:c>
      <x:c r="T769" s="117" t="str">
        <x:v>Unknown</x:v>
      </x:c>
      <x:c r="U769" s="117" t="str">
        <x:v>Unknown</x:v>
      </x:c>
      <x:c r="V769" s="117" t="str">
        <x:v>Unknown</x:v>
      </x:c>
      <x:c r="W769" s="117" t="str">
        <x:v>Unknown</x:v>
      </x:c>
      <x:c r="X769" s="117" t="str">
        <x:v>Unknown</x:v>
      </x:c>
      <x:c r="Y769" s="117" t="str">
        <x:v>Unknown</x:v>
      </x:c>
      <x:c r="Z769" s="117"/>
      <x:c r="AA769" s="117" t="str">
        <x:v>Pending evidence</x:v>
      </x:c>
      <x:c r="AB769" s="117"/>
      <x:c r="AC769" s="117" t="str">
        <x:v>No qualifying accessibility conclusion established from the screened sources. This is unknown, not evidence that the attraction is inaccessible.</x:v>
      </x:c>
      <x:c r="AD769" s="117" t="str">
        <x:v>2026-09-08</x:v>
      </x:c>
      <x:c r="AE769" s="117" t="str">
        <x:v>MC0766</x:v>
      </x:c>
      <x:c r="AF769" s="117" t="str">
        <x:v>Distinct candidate</x:v>
      </x:c>
      <x:c r="AG769" s="117" t="str"/>
      <x:c r="AH769" s="117" t="str">
        <x:v>Listed by Tourism Malaysia</x:v>
      </x:c>
      <x:c r="AI769" s="117" t="str">
        <x:v>https://ebrochures.malaysia.travel/en/malaysia-travel-guide/kuala-lumpur/</x:v>
      </x:c>
      <x:c r="AJ769" s="117" t="str">
        <x:v>Named visitor attraction in cited source; state-guide listings can be historical. Locality is catalogue metadata, not a surveyed address. Current operation remains unconfirmed.</x:v>
      </x:c>
      <x:c r="AK769" s="117" t="str">
        <x:v>Not independently confirmed</x:v>
      </x:c>
      <x:c r="AL769" s="117" t="str">
        <x:v>Screened sources; accessibility unresolved</x:v>
      </x:c>
      <x:c r="AM769" s="117" t="str">
        <x:v>2026-09-08</x:v>
      </x:c>
      <x:c r="AN769" s="117" t="str">
        <x:v>https://thumb.wikimedia.org/wikipedia/commons/thumb/4/41/Saloma_Link_Bridge_04.jpg/1280px-Saloma_Link_Bridge_04.jpg?utm_source=commons.wikimedia.org&amp;utm_campaign=imageinfo&amp;utm_content=thumbnail</x:v>
      </x:c>
      <x:c r="AO769" s="117" t="str">
        <x:v>https://thumb.wikimedia.org/wikipedia/commons/thumb/e/eb/Saloma_Link_-_2020-02-21_2.jpg/1280px-Saloma_Link_-_2020-02-21_2.jpg?utm_source=commons.wikimedia.org&amp;utm_campaign=imageinfo&amp;utm_content=thumbnail</x:v>
      </x:c>
      <x:c r="AP769" s="117" t="str">
        <x:v>2 metadata-matched images; visual review pending</x:v>
      </x:c>
      <x:c r="AQ769" s="117"/>
    </x:row>
    <x:row r="770" ht="66" customHeight="1">
      <x:c r="A770" s="117" t="str">
        <x:v>MC0767</x:v>
      </x:c>
      <x:c r="B770" s="117" t="str">
        <x:v>Tunku Abdul Rahman Memorial Kuala Lumpur</x:v>
      </x:c>
      <x:c r="C770" s="117" t="str">
        <x:v>W.P. Kuala Lumpur</x:v>
      </x:c>
      <x:c r="D770" s="117" t="str">
        <x:v>Kuala Lumpur</x:v>
      </x:c>
      <x:c r="E770" s="117" t="str">
        <x:v>Heritage and Visitor Attraction</x:v>
      </x:c>
      <x:c r="F770" s="117" t="str">
        <x:v>Unclassified</x:v>
      </x:c>
      <x:c r="G770" s="117" t="str">
        <x:v>Both</x:v>
      </x:c>
      <x:c r="H770" s="117" t="str">
        <x:v>Heritage and Visitor Attraction; Kuala Lumpur</x:v>
      </x:c>
      <x:c r="I770" s="117" t="str">
        <x:v>A visitor attraction in Kuala Lumpur, W.P. Kuala Lumpur, listed in Tourism Malaysia's state travel guide. Venue operation and the precise accessible route require confirmation.</x:v>
      </x:c>
      <x:c r="J770" s="117" t="str">
        <x:v>https://ebrochures.malaysia.travel/en/malaysia-travel-guide/kuala-lumpur/</x:v>
      </x:c>
      <x:c r="K770" s="117" t="str">
        <x:v>https://ebrochures.malaysia.travel/en/malaysia-travel-guide/kuala-lumpur/</x:v>
      </x:c>
      <x:c r="L770" s="117" t="str">
        <x:v>Tourism Malaysia listing; operation unconfirmed</x:v>
      </x:c>
      <x:c r="M770" s="117" t="str">
        <x:v>Nationwide expansion 2026-09-08</x:v>
      </x:c>
      <x:c r="N770" s="117"/>
      <x:c r="O770" s="117" t="str">
        <x:v>2026-09-08</x:v>
      </x:c>
      <x:c r="P770" s="117" t="str">
        <x:v>Complete</x:v>
      </x:c>
      <x:c r="Q770" s="117"/>
      <x:c r="R770" s="117" t="str">
        <x:f>IF(J770="","Missing Link",IF(AND(ISNUMBER(SEARCH("google.com/maps",J770)),ISERROR(SEARCH(";",J770))),"Discovery Link Only","Source Link Present"))</x:f>
        <x:v>Source Link Present</x:v>
      </x:c>
      <x:c r="S770" s="117" t="str">
        <x:v>Unknown</x:v>
      </x:c>
      <x:c r="T770" s="117" t="str">
        <x:v>Unknown</x:v>
      </x:c>
      <x:c r="U770" s="117" t="str">
        <x:v>Unknown</x:v>
      </x:c>
      <x:c r="V770" s="117" t="str">
        <x:v>Unknown</x:v>
      </x:c>
      <x:c r="W770" s="117" t="str">
        <x:v>Unknown</x:v>
      </x:c>
      <x:c r="X770" s="117" t="str">
        <x:v>Unknown</x:v>
      </x:c>
      <x:c r="Y770" s="117" t="str">
        <x:v>Unknown</x:v>
      </x:c>
      <x:c r="Z770" s="117"/>
      <x:c r="AA770" s="117" t="str">
        <x:v>Pending evidence</x:v>
      </x:c>
      <x:c r="AB770" s="117"/>
      <x:c r="AC770" s="117" t="str">
        <x:v>No qualifying accessibility conclusion established from the screened sources. This is unknown, not evidence that the attraction is inaccessible.</x:v>
      </x:c>
      <x:c r="AD770" s="117" t="str">
        <x:v>2026-09-08</x:v>
      </x:c>
      <x:c r="AE770" s="117" t="str">
        <x:v>MC0767</x:v>
      </x:c>
      <x:c r="AF770" s="117" t="str">
        <x:v>Distinct candidate</x:v>
      </x:c>
      <x:c r="AG770" s="117" t="str"/>
      <x:c r="AH770" s="117" t="str">
        <x:v>Listed by Tourism Malaysia</x:v>
      </x:c>
      <x:c r="AI770" s="117" t="str">
        <x:v>https://ebrochures.malaysia.travel/en/malaysia-travel-guide/kuala-lumpur/</x:v>
      </x:c>
      <x:c r="AJ770" s="117" t="str">
        <x:v>Named visitor attraction in cited source; state-guide listings can be historical. Locality is catalogue metadata, not a surveyed address. Current operation remains unconfirmed.</x:v>
      </x:c>
      <x:c r="AK770" s="117" t="str">
        <x:v>Not independently confirmed</x:v>
      </x:c>
      <x:c r="AL770" s="117" t="str">
        <x:v>Screened sources; accessibility unresolved</x:v>
      </x:c>
      <x:c r="AM770" s="117" t="str">
        <x:v>2026-09-08</x:v>
      </x:c>
      <x:c r="AN770" s="117"/>
      <x:c r="AO770" s="117"/>
      <x:c r="AP770" s="117" t="str">
        <x:v>No usable pair located; image research pending</x:v>
      </x:c>
      <x:c r="AQ770" s="117"/>
    </x:row>
    <x:row r="771" ht="66" customHeight="1">
      <x:c r="A771" s="117" t="str">
        <x:v>MC0768</x:v>
      </x:c>
      <x:c r="B771" s="117" t="str">
        <x:v>Federal Territory Mosque</x:v>
      </x:c>
      <x:c r="C771" s="117" t="str">
        <x:v>W.P. Kuala Lumpur</x:v>
      </x:c>
      <x:c r="D771" s="117" t="str">
        <x:v>Kuala Lumpur</x:v>
      </x:c>
      <x:c r="E771" s="117" t="str">
        <x:v>Religious Site</x:v>
      </x:c>
      <x:c r="F771" s="117" t="str">
        <x:v>Unclassified</x:v>
      </x:c>
      <x:c r="G771" s="117" t="str">
        <x:v>Both</x:v>
      </x:c>
      <x:c r="H771" s="117" t="str">
        <x:v>Religious Site; Kuala Lumpur</x:v>
      </x:c>
      <x:c r="I771" s="117" t="str">
        <x:v>A visitor attraction in Kuala Lumpur, W.P. Kuala Lumpur, listed in Tourism Malaysia's state travel guide. Venue operation and the precise accessible route require confirmation.</x:v>
      </x:c>
      <x:c r="J771" s="117" t="str">
        <x:v>https://ebrochures.malaysia.travel/en/malaysia-travel-guide/kuala-lumpur/</x:v>
      </x:c>
      <x:c r="K771" s="117" t="str">
        <x:v>https://ebrochures.malaysia.travel/en/malaysia-travel-guide/kuala-lumpur/</x:v>
      </x:c>
      <x:c r="L771" s="117" t="str">
        <x:v>Tourism Malaysia listing; operation unconfirmed</x:v>
      </x:c>
      <x:c r="M771" s="117" t="str">
        <x:v>Nationwide expansion 2026-09-08</x:v>
      </x:c>
      <x:c r="N771" s="117"/>
      <x:c r="O771" s="117" t="str">
        <x:v>2026-09-08</x:v>
      </x:c>
      <x:c r="P771" s="117" t="str">
        <x:v>Complete</x:v>
      </x:c>
      <x:c r="Q771" s="117"/>
      <x:c r="R771" s="117" t="str">
        <x:f>IF(J771="","Missing Link",IF(AND(ISNUMBER(SEARCH("google.com/maps",J771)),ISERROR(SEARCH(";",J771))),"Discovery Link Only","Source Link Present"))</x:f>
        <x:v>Source Link Present</x:v>
      </x:c>
      <x:c r="S771" s="117" t="str">
        <x:v>Unknown</x:v>
      </x:c>
      <x:c r="T771" s="117" t="str">
        <x:v>Unknown</x:v>
      </x:c>
      <x:c r="U771" s="117" t="str">
        <x:v>Unknown</x:v>
      </x:c>
      <x:c r="V771" s="117" t="str">
        <x:v>Unknown</x:v>
      </x:c>
      <x:c r="W771" s="117" t="str">
        <x:v>Unknown</x:v>
      </x:c>
      <x:c r="X771" s="117" t="str">
        <x:v>Unknown</x:v>
      </x:c>
      <x:c r="Y771" s="117" t="str">
        <x:v>Unknown</x:v>
      </x:c>
      <x:c r="Z771" s="117"/>
      <x:c r="AA771" s="117" t="str">
        <x:v>Pending evidence</x:v>
      </x:c>
      <x:c r="AB771" s="117"/>
      <x:c r="AC771" s="117" t="str">
        <x:v>No qualifying accessibility conclusion established from the screened sources. This is unknown, not evidence that the attraction is inaccessible.</x:v>
      </x:c>
      <x:c r="AD771" s="117" t="str">
        <x:v>2026-09-08</x:v>
      </x:c>
      <x:c r="AE771" s="117" t="str">
        <x:v>MC0768</x:v>
      </x:c>
      <x:c r="AF771" s="117" t="str">
        <x:v>Distinct candidate</x:v>
      </x:c>
      <x:c r="AG771" s="117" t="str"/>
      <x:c r="AH771" s="117" t="str">
        <x:v>Listed by Tourism Malaysia</x:v>
      </x:c>
      <x:c r="AI771" s="117" t="str">
        <x:v>https://ebrochures.malaysia.travel/en/malaysia-travel-guide/kuala-lumpur/</x:v>
      </x:c>
      <x:c r="AJ771" s="117" t="str">
        <x:v>Named visitor attraction in cited source; state-guide listings can be historical. Locality is catalogue metadata, not a surveyed address. Current operation remains unconfirmed.</x:v>
      </x:c>
      <x:c r="AK771" s="117" t="str">
        <x:v>Not independently confirmed</x:v>
      </x:c>
      <x:c r="AL771" s="117" t="str">
        <x:v>Screened sources; accessibility unresolved</x:v>
      </x:c>
      <x:c r="AM771" s="117" t="str">
        <x:v>2026-09-08</x:v>
      </x:c>
      <x:c r="AN771" s="117" t="str">
        <x:v>https://thumb.wikimedia.org/wikipedia/commons/thumb/8/87/Kuala_Lumpur_Malaysia_Federal-Territory-Mosque-03.jpg/1280px-Kuala_Lumpur_Malaysia_Federal-Territory-Mosque-03.jpg?utm_source=commons.wikimedia.org&amp;utm_campaign=imageinfo&amp;utm_content=thumbnail</x:v>
      </x:c>
      <x:c r="AO771" s="117" t="str">
        <x:v>https://thumb.wikimedia.org/wikipedia/commons/thumb/4/41/Kuala_Lumpur_Malaysia_Federal-Territory-Mosque-05.jpg/1280px-Kuala_Lumpur_Malaysia_Federal-Territory-Mosque-05.jpg?utm_source=commons.wikimedia.org&amp;utm_campaign=imageinfo&amp;utm_content=thumbnail</x:v>
      </x:c>
      <x:c r="AP771" s="117" t="str">
        <x:v>2 metadata-matched images; visual review pending</x:v>
      </x:c>
      <x:c r="AQ771" s="117"/>
    </x:row>
    <x:row r="772" ht="66" customHeight="1">
      <x:c r="A772" s="117" t="str">
        <x:v>MC0769</x:v>
      </x:c>
      <x:c r="B772" s="117" t="str">
        <x:v>Kepong Metropolitan Park</x:v>
      </x:c>
      <x:c r="C772" s="117" t="str">
        <x:v>W.P. Kuala Lumpur</x:v>
      </x:c>
      <x:c r="D772" s="117" t="str">
        <x:v>Kuala Lumpur</x:v>
      </x:c>
      <x:c r="E772" s="117" t="str">
        <x:v>Nature</x:v>
      </x:c>
      <x:c r="F772" s="117" t="str">
        <x:v>Unclassified</x:v>
      </x:c>
      <x:c r="G772" s="117" t="str">
        <x:v>Outdoor</x:v>
      </x:c>
      <x:c r="H772" s="117" t="str">
        <x:v>Nature; Kuala Lumpur</x:v>
      </x:c>
      <x:c r="I772" s="117" t="str">
        <x:v>A visitor attraction in Kuala Lumpur, W.P. Kuala Lumpur, listed in Tourism Malaysia's state travel guide. Venue operation and the precise accessible route require confirmation.</x:v>
      </x:c>
      <x:c r="J772" s="117" t="str">
        <x:v>https://ebrochures.malaysia.travel/en/malaysia-travel-guide/kuala-lumpur/</x:v>
      </x:c>
      <x:c r="K772" s="117" t="str">
        <x:v>https://ebrochures.malaysia.travel/en/malaysia-travel-guide/kuala-lumpur/</x:v>
      </x:c>
      <x:c r="L772" s="117" t="str">
        <x:v>Tourism Malaysia listing; operation unconfirmed</x:v>
      </x:c>
      <x:c r="M772" s="117" t="str">
        <x:v>Nationwide expansion 2026-09-08</x:v>
      </x:c>
      <x:c r="N772" s="117"/>
      <x:c r="O772" s="117" t="str">
        <x:v>2026-09-08</x:v>
      </x:c>
      <x:c r="P772" s="117" t="str">
        <x:v>Complete</x:v>
      </x:c>
      <x:c r="Q772" s="117"/>
      <x:c r="R772" s="117" t="str">
        <x:f>IF(J772="","Missing Link",IF(AND(ISNUMBER(SEARCH("google.com/maps",J772)),ISERROR(SEARCH(";",J772))),"Discovery Link Only","Source Link Present"))</x:f>
        <x:v>Source Link Present</x:v>
      </x:c>
      <x:c r="S772" s="117" t="str">
        <x:v>Unknown</x:v>
      </x:c>
      <x:c r="T772" s="117" t="str">
        <x:v>Unknown</x:v>
      </x:c>
      <x:c r="U772" s="117" t="str">
        <x:v>Unknown</x:v>
      </x:c>
      <x:c r="V772" s="117" t="str">
        <x:v>Unknown</x:v>
      </x:c>
      <x:c r="W772" s="117" t="str">
        <x:v>Unknown</x:v>
      </x:c>
      <x:c r="X772" s="117" t="str">
        <x:v>Unknown</x:v>
      </x:c>
      <x:c r="Y772" s="117" t="str">
        <x:v>Unknown</x:v>
      </x:c>
      <x:c r="Z772" s="117"/>
      <x:c r="AA772" s="117" t="str">
        <x:v>Pending evidence</x:v>
      </x:c>
      <x:c r="AB772" s="117"/>
      <x:c r="AC772" s="117" t="str">
        <x:v>No qualifying accessibility conclusion established from the screened sources. This is unknown, not evidence that the attraction is inaccessible.</x:v>
      </x:c>
      <x:c r="AD772" s="117" t="str">
        <x:v>2026-09-08</x:v>
      </x:c>
      <x:c r="AE772" s="117" t="str">
        <x:v>MC0769</x:v>
      </x:c>
      <x:c r="AF772" s="117" t="str">
        <x:v>Distinct candidate</x:v>
      </x:c>
      <x:c r="AG772" s="117" t="str"/>
      <x:c r="AH772" s="117" t="str">
        <x:v>Listed by Tourism Malaysia</x:v>
      </x:c>
      <x:c r="AI772" s="117" t="str">
        <x:v>https://ebrochures.malaysia.travel/en/malaysia-travel-guide/kuala-lumpur/</x:v>
      </x:c>
      <x:c r="AJ772" s="117" t="str">
        <x:v>Named visitor attraction in cited source; state-guide listings can be historical. Locality is catalogue metadata, not a surveyed address. Current operation remains unconfirmed.</x:v>
      </x:c>
      <x:c r="AK772" s="117" t="str">
        <x:v>Not independently confirmed</x:v>
      </x:c>
      <x:c r="AL772" s="117" t="str">
        <x:v>Screened sources; accessibility unresolved</x:v>
      </x:c>
      <x:c r="AM772" s="117" t="str">
        <x:v>2026-09-08</x:v>
      </x:c>
      <x:c r="AN772" s="117"/>
      <x:c r="AO772" s="117"/>
      <x:c r="AP772" s="117" t="str">
        <x:v>No usable pair located; image research pending</x:v>
      </x:c>
      <x:c r="AQ772" s="117"/>
    </x:row>
    <x:row r="773" ht="66" customHeight="1">
      <x:c r="A773" s="117" t="str">
        <x:v>MC0770</x:v>
      </x:c>
      <x:c r="B773" s="117" t="str">
        <x:v>Istana Budaya</x:v>
      </x:c>
      <x:c r="C773" s="117" t="str">
        <x:v>W.P. Kuala Lumpur</x:v>
      </x:c>
      <x:c r="D773" s="117" t="str">
        <x:v>Kuala Lumpur</x:v>
      </x:c>
      <x:c r="E773" s="117" t="str">
        <x:v>Performance and Culture</x:v>
      </x:c>
      <x:c r="F773" s="117" t="str">
        <x:v>Unclassified</x:v>
      </x:c>
      <x:c r="G773" s="117" t="str">
        <x:v>Indoor</x:v>
      </x:c>
      <x:c r="H773" s="117" t="str">
        <x:v>Performance and Culture; Kuala Lumpur</x:v>
      </x:c>
      <x:c r="I773" s="117" t="str">
        <x:v>A visitor attraction in Kuala Lumpur, W.P. Kuala Lumpur, listed in Tourism Malaysia's state travel guide. Venue operation and the precise accessible route require confirmation.</x:v>
      </x:c>
      <x:c r="J773" s="117" t="str">
        <x:v>https://ebrochures.malaysia.travel/en/malaysia-travel-guide/kuala-lumpur/</x:v>
      </x:c>
      <x:c r="K773" s="117" t="str">
        <x:v>https://ebrochures.malaysia.travel/en/malaysia-travel-guide/kuala-lumpur/</x:v>
      </x:c>
      <x:c r="L773" s="117" t="str">
        <x:v>Tourism Malaysia listing; operation unconfirmed</x:v>
      </x:c>
      <x:c r="M773" s="117" t="str">
        <x:v>Nationwide expansion 2026-09-08</x:v>
      </x:c>
      <x:c r="N773" s="117"/>
      <x:c r="O773" s="117" t="str">
        <x:v>2026-09-08</x:v>
      </x:c>
      <x:c r="P773" s="117" t="str">
        <x:v>Complete</x:v>
      </x:c>
      <x:c r="Q773" s="117"/>
      <x:c r="R773" s="117" t="str">
        <x:f>IF(J773="","Missing Link",IF(AND(ISNUMBER(SEARCH("google.com/maps",J773)),ISERROR(SEARCH(";",J773))),"Discovery Link Only","Source Link Present"))</x:f>
        <x:v>Source Link Present</x:v>
      </x:c>
      <x:c r="S773" s="117" t="str">
        <x:v>Unknown</x:v>
      </x:c>
      <x:c r="T773" s="117" t="str">
        <x:v>Unknown</x:v>
      </x:c>
      <x:c r="U773" s="117" t="str">
        <x:v>Unknown</x:v>
      </x:c>
      <x:c r="V773" s="117" t="str">
        <x:v>Unknown</x:v>
      </x:c>
      <x:c r="W773" s="117" t="str">
        <x:v>Unknown</x:v>
      </x:c>
      <x:c r="X773" s="117" t="str">
        <x:v>Unknown</x:v>
      </x:c>
      <x:c r="Y773" s="117" t="str">
        <x:v>Unknown</x:v>
      </x:c>
      <x:c r="Z773" s="117"/>
      <x:c r="AA773" s="117" t="str">
        <x:v>Pending evidence</x:v>
      </x:c>
      <x:c r="AB773" s="117"/>
      <x:c r="AC773" s="117" t="str">
        <x:v>No qualifying accessibility conclusion established from the screened sources. This is unknown, not evidence that the attraction is inaccessible.</x:v>
      </x:c>
      <x:c r="AD773" s="117" t="str">
        <x:v>2026-09-08</x:v>
      </x:c>
      <x:c r="AE773" s="117" t="str">
        <x:v>MC0770</x:v>
      </x:c>
      <x:c r="AF773" s="117" t="str">
        <x:v>Distinct candidate</x:v>
      </x:c>
      <x:c r="AG773" s="117" t="str"/>
      <x:c r="AH773" s="117" t="str">
        <x:v>Listed by Tourism Malaysia</x:v>
      </x:c>
      <x:c r="AI773" s="117" t="str">
        <x:v>https://ebrochures.malaysia.travel/en/malaysia-travel-guide/kuala-lumpur/</x:v>
      </x:c>
      <x:c r="AJ773" s="117" t="str">
        <x:v>Named visitor attraction in cited source; state-guide listings can be historical. Locality is catalogue metadata, not a surveyed address. Current operation remains unconfirmed.</x:v>
      </x:c>
      <x:c r="AK773" s="117" t="str">
        <x:v>Not independently confirmed</x:v>
      </x:c>
      <x:c r="AL773" s="117" t="str">
        <x:v>Screened sources; accessibility unresolved</x:v>
      </x:c>
      <x:c r="AM773" s="117" t="str">
        <x:v>2026-09-08</x:v>
      </x:c>
      <x:c r="AN773" s="117" t="str">
        <x:v>https://upload.wikimedia.org/wikipedia/commons/5/57/Istanabudaya.jpg?utm_source=commons.wikimedia.org&amp;utm_campaign=imageinfo&amp;utm_content=thumbnail_unscaled</x:v>
      </x:c>
      <x:c r="AO773" s="117" t="str">
        <x:v>https://thumb.wikimedia.org/wikipedia/commons/thumb/f/f9/Kuala-Lumpur_Malaysia_Istana-Budaya-01.jpg/1280px-Kuala-Lumpur_Malaysia_Istana-Budaya-01.jpg?utm_source=commons.wikimedia.org&amp;utm_campaign=imageinfo&amp;utm_content=thumbnail</x:v>
      </x:c>
      <x:c r="AP773" s="117" t="str">
        <x:v>2 metadata-matched images; visual review pending</x:v>
      </x:c>
      <x:c r="AQ773" s="117"/>
    </x:row>
    <x:row r="774" ht="66" customHeight="1">
      <x:c r="A774" s="117" t="str">
        <x:v>MC0771</x:v>
      </x:c>
      <x:c r="B774" s="117" t="str">
        <x:v>P Ramlee Memorial</x:v>
      </x:c>
      <x:c r="C774" s="117" t="str">
        <x:v>W.P. Kuala Lumpur</x:v>
      </x:c>
      <x:c r="D774" s="117" t="str">
        <x:v>Kuala Lumpur</x:v>
      </x:c>
      <x:c r="E774" s="117" t="str">
        <x:v>Heritage and Visitor Attraction</x:v>
      </x:c>
      <x:c r="F774" s="117" t="str">
        <x:v>Unclassified</x:v>
      </x:c>
      <x:c r="G774" s="117" t="str">
        <x:v>Both</x:v>
      </x:c>
      <x:c r="H774" s="117" t="str">
        <x:v>Heritage and Visitor Attraction; Kuala Lumpur</x:v>
      </x:c>
      <x:c r="I774" s="117" t="str">
        <x:v>A visitor attraction in Kuala Lumpur, W.P. Kuala Lumpur, listed in Tourism Malaysia's state travel guide. Venue operation and the precise accessible route require confirmation.</x:v>
      </x:c>
      <x:c r="J774" s="117" t="str">
        <x:v>https://ebrochures.malaysia.travel/en/malaysia-travel-guide/kuala-lumpur/</x:v>
      </x:c>
      <x:c r="K774" s="117" t="str">
        <x:v>https://ebrochures.malaysia.travel/en/malaysia-travel-guide/kuala-lumpur/</x:v>
      </x:c>
      <x:c r="L774" s="117" t="str">
        <x:v>Tourism Malaysia listing; operation unconfirmed</x:v>
      </x:c>
      <x:c r="M774" s="117" t="str">
        <x:v>Nationwide expansion 2026-09-08</x:v>
      </x:c>
      <x:c r="N774" s="117"/>
      <x:c r="O774" s="117" t="str">
        <x:v>2026-09-08</x:v>
      </x:c>
      <x:c r="P774" s="117" t="str">
        <x:v>Complete</x:v>
      </x:c>
      <x:c r="Q774" s="117"/>
      <x:c r="R774" s="117" t="str">
        <x:f>IF(J774="","Missing Link",IF(AND(ISNUMBER(SEARCH("google.com/maps",J774)),ISERROR(SEARCH(";",J774))),"Discovery Link Only","Source Link Present"))</x:f>
        <x:v>Source Link Present</x:v>
      </x:c>
      <x:c r="S774" s="117" t="str">
        <x:v>Unknown</x:v>
      </x:c>
      <x:c r="T774" s="117" t="str">
        <x:v>Unknown</x:v>
      </x:c>
      <x:c r="U774" s="117" t="str">
        <x:v>Unknown</x:v>
      </x:c>
      <x:c r="V774" s="117" t="str">
        <x:v>Unknown</x:v>
      </x:c>
      <x:c r="W774" s="117" t="str">
        <x:v>Unknown</x:v>
      </x:c>
      <x:c r="X774" s="117" t="str">
        <x:v>Unknown</x:v>
      </x:c>
      <x:c r="Y774" s="117" t="str">
        <x:v>Unknown</x:v>
      </x:c>
      <x:c r="Z774" s="117"/>
      <x:c r="AA774" s="117" t="str">
        <x:v>Pending evidence</x:v>
      </x:c>
      <x:c r="AB774" s="117"/>
      <x:c r="AC774" s="117" t="str">
        <x:v>No qualifying accessibility conclusion established from the screened sources. This is unknown, not evidence that the attraction is inaccessible.</x:v>
      </x:c>
      <x:c r="AD774" s="117" t="str">
        <x:v>2026-09-08</x:v>
      </x:c>
      <x:c r="AE774" s="117" t="str">
        <x:v>MC0771</x:v>
      </x:c>
      <x:c r="AF774" s="117" t="str">
        <x:v>Distinct candidate</x:v>
      </x:c>
      <x:c r="AG774" s="117" t="str"/>
      <x:c r="AH774" s="117" t="str">
        <x:v>Listed by Tourism Malaysia</x:v>
      </x:c>
      <x:c r="AI774" s="117" t="str">
        <x:v>https://ebrochures.malaysia.travel/en/malaysia-travel-guide/kuala-lumpur/</x:v>
      </x:c>
      <x:c r="AJ774" s="117" t="str">
        <x:v>Named visitor attraction in cited source; state-guide listings can be historical. Locality is catalogue metadata, not a surveyed address. Current operation remains unconfirmed.</x:v>
      </x:c>
      <x:c r="AK774" s="117" t="str">
        <x:v>Not independently confirmed</x:v>
      </x:c>
      <x:c r="AL774" s="117" t="str">
        <x:v>Screened sources; accessibility unresolved</x:v>
      </x:c>
      <x:c r="AM774" s="117" t="str">
        <x:v>2026-09-08</x:v>
      </x:c>
      <x:c r="AN774" s="117"/>
      <x:c r="AO774" s="117"/>
      <x:c r="AP774" s="117" t="str">
        <x:v>No usable pair located; image research pending</x:v>
      </x:c>
      <x:c r="AQ774" s="117"/>
    </x:row>
    <x:row r="775" ht="66" customHeight="1">
      <x:c r="A775" s="117" t="str">
        <x:v>MC0772</x:v>
      </x:c>
      <x:c r="B775" s="117" t="str">
        <x:v>Royal Museum Kuala Lumpur</x:v>
      </x:c>
      <x:c r="C775" s="117" t="str">
        <x:v>W.P. Kuala Lumpur</x:v>
      </x:c>
      <x:c r="D775" s="117" t="str">
        <x:v>Kuala Lumpur</x:v>
      </x:c>
      <x:c r="E775" s="117" t="str">
        <x:v>Museum and Gallery</x:v>
      </x:c>
      <x:c r="F775" s="117" t="str">
        <x:v>Unclassified</x:v>
      </x:c>
      <x:c r="G775" s="117" t="str">
        <x:v>Indoor</x:v>
      </x:c>
      <x:c r="H775" s="117" t="str">
        <x:v>Museum and Gallery; Kuala Lumpur</x:v>
      </x:c>
      <x:c r="I775" s="117" t="str">
        <x:v>A visitor attraction in Kuala Lumpur, W.P. Kuala Lumpur, listed in Tourism Malaysia's state travel guide. Venue operation and the precise accessible route require confirmation.</x:v>
      </x:c>
      <x:c r="J775" s="117" t="str">
        <x:v>https://ebrochures.malaysia.travel/en/malaysia-travel-guide/kuala-lumpur/</x:v>
      </x:c>
      <x:c r="K775" s="117" t="str">
        <x:v>https://ebrochures.malaysia.travel/en/malaysia-travel-guide/kuala-lumpur/</x:v>
      </x:c>
      <x:c r="L775" s="117" t="str">
        <x:v>Tourism Malaysia listing; operation unconfirmed</x:v>
      </x:c>
      <x:c r="M775" s="117" t="str">
        <x:v>Nationwide expansion 2026-09-08</x:v>
      </x:c>
      <x:c r="N775" s="117"/>
      <x:c r="O775" s="117" t="str">
        <x:v>2026-09-08</x:v>
      </x:c>
      <x:c r="P775" s="117" t="str">
        <x:v>Complete</x:v>
      </x:c>
      <x:c r="Q775" s="117"/>
      <x:c r="R775" s="117" t="str">
        <x:f>IF(J775="","Missing Link",IF(AND(ISNUMBER(SEARCH("google.com/maps",J775)),ISERROR(SEARCH(";",J775))),"Discovery Link Only","Source Link Present"))</x:f>
        <x:v>Source Link Present</x:v>
      </x:c>
      <x:c r="S775" s="117" t="str">
        <x:v>Unknown</x:v>
      </x:c>
      <x:c r="T775" s="117" t="str">
        <x:v>Unknown</x:v>
      </x:c>
      <x:c r="U775" s="117" t="str">
        <x:v>Unknown</x:v>
      </x:c>
      <x:c r="V775" s="117" t="str">
        <x:v>Unknown</x:v>
      </x:c>
      <x:c r="W775" s="117" t="str">
        <x:v>Unknown</x:v>
      </x:c>
      <x:c r="X775" s="117" t="str">
        <x:v>Unknown</x:v>
      </x:c>
      <x:c r="Y775" s="117" t="str">
        <x:v>Unknown</x:v>
      </x:c>
      <x:c r="Z775" s="117"/>
      <x:c r="AA775" s="117" t="str">
        <x:v>Pending evidence</x:v>
      </x:c>
      <x:c r="AB775" s="117"/>
      <x:c r="AC775" s="117" t="str">
        <x:v>No qualifying accessibility conclusion established from the screened sources. This is unknown, not evidence that the attraction is inaccessible.</x:v>
      </x:c>
      <x:c r="AD775" s="117" t="str">
        <x:v>2026-09-08</x:v>
      </x:c>
      <x:c r="AE775" s="117" t="str">
        <x:v>MC0772</x:v>
      </x:c>
      <x:c r="AF775" s="117" t="str">
        <x:v>Distinct candidate</x:v>
      </x:c>
      <x:c r="AG775" s="117" t="str"/>
      <x:c r="AH775" s="117" t="str">
        <x:v>Listed by Tourism Malaysia</x:v>
      </x:c>
      <x:c r="AI775" s="117" t="str">
        <x:v>https://ebrochures.malaysia.travel/en/malaysia-travel-guide/kuala-lumpur/</x:v>
      </x:c>
      <x:c r="AJ775" s="117" t="str">
        <x:v>Named visitor attraction in cited source; state-guide listings can be historical. Locality is catalogue metadata, not a surveyed address. Current operation remains unconfirmed.</x:v>
      </x:c>
      <x:c r="AK775" s="117" t="str">
        <x:v>Not independently confirmed</x:v>
      </x:c>
      <x:c r="AL775" s="117" t="str">
        <x:v>Screened sources; accessibility unresolved</x:v>
      </x:c>
      <x:c r="AM775" s="117" t="str">
        <x:v>2026-09-08</x:v>
      </x:c>
      <x:c r="AN775" s="117"/>
      <x:c r="AO775" s="117"/>
      <x:c r="AP775" s="117" t="str">
        <x:v>No usable pair located; image research pending</x:v>
      </x:c>
      <x:c r="AQ775" s="117"/>
    </x:row>
    <x:row r="776" ht="66" customHeight="1">
      <x:c r="A776" s="117" t="str">
        <x:v>MC0773</x:v>
      </x:c>
      <x:c r="B776" s="117" t="str">
        <x:v>Petronas Art Gallery</x:v>
      </x:c>
      <x:c r="C776" s="117" t="str">
        <x:v>W.P. Kuala Lumpur</x:v>
      </x:c>
      <x:c r="D776" s="117" t="str">
        <x:v>Kuala Lumpur</x:v>
      </x:c>
      <x:c r="E776" s="117" t="str">
        <x:v>Museum and Gallery</x:v>
      </x:c>
      <x:c r="F776" s="117" t="str">
        <x:v>Unclassified</x:v>
      </x:c>
      <x:c r="G776" s="117" t="str">
        <x:v>Indoor</x:v>
      </x:c>
      <x:c r="H776" s="117" t="str">
        <x:v>Museum and Gallery; Kuala Lumpur</x:v>
      </x:c>
      <x:c r="I776" s="117" t="str">
        <x:v>A visitor attraction in Kuala Lumpur, W.P. Kuala Lumpur, listed in Tourism Malaysia's state travel guide. Venue operation and the precise accessible route require confirmation.</x:v>
      </x:c>
      <x:c r="J776" s="117" t="str">
        <x:v>https://ebrochures.malaysia.travel/en/malaysia-travel-guide/kuala-lumpur/</x:v>
      </x:c>
      <x:c r="K776" s="117" t="str">
        <x:v>https://ebrochures.malaysia.travel/en/malaysia-travel-guide/kuala-lumpur/</x:v>
      </x:c>
      <x:c r="L776" s="117" t="str">
        <x:v>Tourism Malaysia listing; operation unconfirmed</x:v>
      </x:c>
      <x:c r="M776" s="117" t="str">
        <x:v>Nationwide expansion 2026-09-08</x:v>
      </x:c>
      <x:c r="N776" s="117"/>
      <x:c r="O776" s="117" t="str">
        <x:v>2026-09-08</x:v>
      </x:c>
      <x:c r="P776" s="117" t="str">
        <x:v>Complete</x:v>
      </x:c>
      <x:c r="Q776" s="117"/>
      <x:c r="R776" s="117" t="str">
        <x:f>IF(J776="","Missing Link",IF(AND(ISNUMBER(SEARCH("google.com/maps",J776)),ISERROR(SEARCH(";",J776))),"Discovery Link Only","Source Link Present"))</x:f>
        <x:v>Source Link Present</x:v>
      </x:c>
      <x:c r="S776" s="117" t="str">
        <x:v>Unknown</x:v>
      </x:c>
      <x:c r="T776" s="117" t="str">
        <x:v>Unknown</x:v>
      </x:c>
      <x:c r="U776" s="117" t="str">
        <x:v>Unknown</x:v>
      </x:c>
      <x:c r="V776" s="117" t="str">
        <x:v>Unknown</x:v>
      </x:c>
      <x:c r="W776" s="117" t="str">
        <x:v>Unknown</x:v>
      </x:c>
      <x:c r="X776" s="117" t="str">
        <x:v>Unknown</x:v>
      </x:c>
      <x:c r="Y776" s="117" t="str">
        <x:v>Unknown</x:v>
      </x:c>
      <x:c r="Z776" s="117"/>
      <x:c r="AA776" s="117" t="str">
        <x:v>Pending evidence</x:v>
      </x:c>
      <x:c r="AB776" s="117"/>
      <x:c r="AC776" s="117" t="str">
        <x:v>No qualifying accessibility conclusion established from the screened sources. This is unknown, not evidence that the attraction is inaccessible.</x:v>
      </x:c>
      <x:c r="AD776" s="117" t="str">
        <x:v>2026-09-08</x:v>
      </x:c>
      <x:c r="AE776" s="117" t="str">
        <x:v>MC0773</x:v>
      </x:c>
      <x:c r="AF776" s="117" t="str">
        <x:v>Distinct candidate</x:v>
      </x:c>
      <x:c r="AG776" s="117" t="str"/>
      <x:c r="AH776" s="117" t="str">
        <x:v>Listed by Tourism Malaysia</x:v>
      </x:c>
      <x:c r="AI776" s="117" t="str">
        <x:v>https://ebrochures.malaysia.travel/en/malaysia-travel-guide/kuala-lumpur/</x:v>
      </x:c>
      <x:c r="AJ776" s="117" t="str">
        <x:v>Named visitor attraction in cited source; state-guide listings can be historical. Locality is catalogue metadata, not a surveyed address. Current operation remains unconfirmed.</x:v>
      </x:c>
      <x:c r="AK776" s="117" t="str">
        <x:v>Not independently confirmed</x:v>
      </x:c>
      <x:c r="AL776" s="117" t="str">
        <x:v>Screened sources; accessibility unresolved</x:v>
      </x:c>
      <x:c r="AM776" s="117" t="str">
        <x:v>2026-09-08</x:v>
      </x:c>
      <x:c r="AN776" s="117"/>
      <x:c r="AO776" s="117"/>
      <x:c r="AP776" s="117" t="str">
        <x:v>No usable pair located; image research pending</x:v>
      </x:c>
      <x:c r="AQ776" s="117"/>
    </x:row>
    <x:row r="777" ht="66" customHeight="1">
      <x:c r="A777" s="117" t="str">
        <x:v>MC0774</x:v>
      </x:c>
      <x:c r="B777" s="117" t="str">
        <x:v>Telekom Museum</x:v>
      </x:c>
      <x:c r="C777" s="117" t="str">
        <x:v>W.P. Kuala Lumpur</x:v>
      </x:c>
      <x:c r="D777" s="117" t="str">
        <x:v>Kuala Lumpur</x:v>
      </x:c>
      <x:c r="E777" s="117" t="str">
        <x:v>Museum and Gallery</x:v>
      </x:c>
      <x:c r="F777" s="117" t="str">
        <x:v>Unclassified</x:v>
      </x:c>
      <x:c r="G777" s="117" t="str">
        <x:v>Indoor</x:v>
      </x:c>
      <x:c r="H777" s="117" t="str">
        <x:v>Museum and Gallery; Kuala Lumpur</x:v>
      </x:c>
      <x:c r="I777" s="117" t="str">
        <x:v>A visitor attraction in Kuala Lumpur, W.P. Kuala Lumpur, listed in Tourism Malaysia's state travel guide. Venue operation and the precise accessible route require confirmation.</x:v>
      </x:c>
      <x:c r="J777" s="117" t="str">
        <x:v>https://ebrochures.malaysia.travel/en/malaysia-travel-guide/kuala-lumpur/</x:v>
      </x:c>
      <x:c r="K777" s="117" t="str">
        <x:v>https://ebrochures.malaysia.travel/en/malaysia-travel-guide/kuala-lumpur/</x:v>
      </x:c>
      <x:c r="L777" s="117" t="str">
        <x:v>Tourism Malaysia listing; operation unconfirmed</x:v>
      </x:c>
      <x:c r="M777" s="117" t="str">
        <x:v>Nationwide expansion 2026-09-08</x:v>
      </x:c>
      <x:c r="N777" s="117"/>
      <x:c r="O777" s="117" t="str">
        <x:v>2026-09-08</x:v>
      </x:c>
      <x:c r="P777" s="117" t="str">
        <x:v>Complete</x:v>
      </x:c>
      <x:c r="Q777" s="117"/>
      <x:c r="R777" s="117" t="str">
        <x:f>IF(J777="","Missing Link",IF(AND(ISNUMBER(SEARCH("google.com/maps",J777)),ISERROR(SEARCH(";",J777))),"Discovery Link Only","Source Link Present"))</x:f>
        <x:v>Source Link Present</x:v>
      </x:c>
      <x:c r="S777" s="117" t="str">
        <x:v>Unknown</x:v>
      </x:c>
      <x:c r="T777" s="117" t="str">
        <x:v>Unknown</x:v>
      </x:c>
      <x:c r="U777" s="117" t="str">
        <x:v>Unknown</x:v>
      </x:c>
      <x:c r="V777" s="117" t="str">
        <x:v>Unknown</x:v>
      </x:c>
      <x:c r="W777" s="117" t="str">
        <x:v>Unknown</x:v>
      </x:c>
      <x:c r="X777" s="117" t="str">
        <x:v>Unknown</x:v>
      </x:c>
      <x:c r="Y777" s="117" t="str">
        <x:v>Unknown</x:v>
      </x:c>
      <x:c r="Z777" s="117"/>
      <x:c r="AA777" s="117" t="str">
        <x:v>Pending evidence</x:v>
      </x:c>
      <x:c r="AB777" s="117"/>
      <x:c r="AC777" s="117" t="str">
        <x:v>No qualifying accessibility conclusion established from the screened sources. This is unknown, not evidence that the attraction is inaccessible.</x:v>
      </x:c>
      <x:c r="AD777" s="117" t="str">
        <x:v>2026-09-08</x:v>
      </x:c>
      <x:c r="AE777" s="117" t="str">
        <x:v>MC0774</x:v>
      </x:c>
      <x:c r="AF777" s="117" t="str">
        <x:v>Distinct candidate</x:v>
      </x:c>
      <x:c r="AG777" s="117" t="str"/>
      <x:c r="AH777" s="117" t="str">
        <x:v>Listed by Tourism Malaysia</x:v>
      </x:c>
      <x:c r="AI777" s="117" t="str">
        <x:v>https://ebrochures.malaysia.travel/en/malaysia-travel-guide/kuala-lumpur/</x:v>
      </x:c>
      <x:c r="AJ777" s="117" t="str">
        <x:v>Named visitor attraction in cited source; state-guide listings can be historical. Locality is catalogue metadata, not a surveyed address. Current operation remains unconfirmed.</x:v>
      </x:c>
      <x:c r="AK777" s="117" t="str">
        <x:v>Not independently confirmed</x:v>
      </x:c>
      <x:c r="AL777" s="117" t="str">
        <x:v>Screened sources; accessibility unresolved</x:v>
      </x:c>
      <x:c r="AM777" s="117" t="str">
        <x:v>2026-09-08</x:v>
      </x:c>
      <x:c r="AN777" s="117" t="str">
        <x:v>https://thumb.wikimedia.org/wikipedia/commons/thumb/b/bb/Muzium_Telekom.jpg/1280px-Muzium_Telekom.jpg?utm_source=commons.wikimedia.org&amp;utm_campaign=imageinfo&amp;utm_content=thumbnail</x:v>
      </x:c>
      <x:c r="AO777" s="117" t="str">
        <x:v>https://thumb.wikimedia.org/wikipedia/commons/thumb/5/5d/Kuala_Lumpur%2C_Malaysia_Muszium_Telekom_2025.jpg/1280px-Kuala_Lumpur%2C_Malaysia_Muszium_Telekom_2025.jpg?utm_source=commons.wikimedia.org&amp;utm_campaign=imageinfo&amp;utm_content=thumbnail</x:v>
      </x:c>
      <x:c r="AP777" s="117" t="str">
        <x:v>2 metadata-matched images; visual review pending</x:v>
      </x:c>
      <x:c r="AQ777" s="117"/>
    </x:row>
    <x:row r="778" ht="66" customHeight="1">
      <x:c r="A778" s="117" t="str">
        <x:v>MC0775</x:v>
      </x:c>
      <x:c r="B778" s="117" t="str">
        <x:v>National Planetarium</x:v>
      </x:c>
      <x:c r="C778" s="117" t="str">
        <x:v>W.P. Kuala Lumpur</x:v>
      </x:c>
      <x:c r="D778" s="117" t="str">
        <x:v>Kuala Lumpur</x:v>
      </x:c>
      <x:c r="E778" s="117" t="str">
        <x:v>Heritage and Visitor Attraction</x:v>
      </x:c>
      <x:c r="F778" s="117" t="str">
        <x:v>Unclassified</x:v>
      </x:c>
      <x:c r="G778" s="117" t="str">
        <x:v>Both</x:v>
      </x:c>
      <x:c r="H778" s="117" t="str">
        <x:v>Heritage and Visitor Attraction; Kuala Lumpur</x:v>
      </x:c>
      <x:c r="I778" s="117" t="str">
        <x:v>A visitor attraction in Kuala Lumpur, W.P. Kuala Lumpur, listed in Tourism Malaysia's state travel guide. Venue operation and the precise accessible route require confirmation.</x:v>
      </x:c>
      <x:c r="J778" s="117" t="str">
        <x:v>https://ebrochures.malaysia.travel/en/malaysia-travel-guide/kuala-lumpur/</x:v>
      </x:c>
      <x:c r="K778" s="117" t="str">
        <x:v>https://ebrochures.malaysia.travel/en/malaysia-travel-guide/kuala-lumpur/</x:v>
      </x:c>
      <x:c r="L778" s="117" t="str">
        <x:v>Tourism Malaysia listing; operation unconfirmed</x:v>
      </x:c>
      <x:c r="M778" s="117" t="str">
        <x:v>Nationwide expansion 2026-09-08</x:v>
      </x:c>
      <x:c r="N778" s="117"/>
      <x:c r="O778" s="117" t="str">
        <x:v>2026-09-08</x:v>
      </x:c>
      <x:c r="P778" s="117" t="str">
        <x:v>Complete</x:v>
      </x:c>
      <x:c r="Q778" s="117"/>
      <x:c r="R778" s="117" t="str">
        <x:f>IF(J778="","Missing Link",IF(AND(ISNUMBER(SEARCH("google.com/maps",J778)),ISERROR(SEARCH(";",J778))),"Discovery Link Only","Source Link Present"))</x:f>
        <x:v>Source Link Present</x:v>
      </x:c>
      <x:c r="S778" s="117" t="str">
        <x:v>Unknown</x:v>
      </x:c>
      <x:c r="T778" s="117" t="str">
        <x:v>Unknown</x:v>
      </x:c>
      <x:c r="U778" s="117" t="str">
        <x:v>Unknown</x:v>
      </x:c>
      <x:c r="V778" s="117" t="str">
        <x:v>Unknown</x:v>
      </x:c>
      <x:c r="W778" s="117" t="str">
        <x:v>Unknown</x:v>
      </x:c>
      <x:c r="X778" s="117" t="str">
        <x:v>Unknown</x:v>
      </x:c>
      <x:c r="Y778" s="117" t="str">
        <x:v>Unknown</x:v>
      </x:c>
      <x:c r="Z778" s="117"/>
      <x:c r="AA778" s="117" t="str">
        <x:v>Pending evidence</x:v>
      </x:c>
      <x:c r="AB778" s="117"/>
      <x:c r="AC778" s="117" t="str">
        <x:v>No qualifying accessibility conclusion established from the screened sources. This is unknown, not evidence that the attraction is inaccessible.</x:v>
      </x:c>
      <x:c r="AD778" s="117" t="str">
        <x:v>2026-09-08</x:v>
      </x:c>
      <x:c r="AE778" s="117" t="str">
        <x:v>MC0775</x:v>
      </x:c>
      <x:c r="AF778" s="117" t="str">
        <x:v>Distinct candidate</x:v>
      </x:c>
      <x:c r="AG778" s="117" t="str"/>
      <x:c r="AH778" s="117" t="str">
        <x:v>Listed by Tourism Malaysia</x:v>
      </x:c>
      <x:c r="AI778" s="117" t="str">
        <x:v>https://ebrochures.malaysia.travel/en/malaysia-travel-guide/kuala-lumpur/</x:v>
      </x:c>
      <x:c r="AJ778" s="117" t="str">
        <x:v>Named visitor attraction in cited source; state-guide listings can be historical. Locality is catalogue metadata, not a surveyed address. Current operation remains unconfirmed.</x:v>
      </x:c>
      <x:c r="AK778" s="117" t="str">
        <x:v>Not independently confirmed</x:v>
      </x:c>
      <x:c r="AL778" s="117" t="str">
        <x:v>Screened sources; accessibility unresolved</x:v>
      </x:c>
      <x:c r="AM778" s="117" t="str">
        <x:v>2026-09-08</x:v>
      </x:c>
      <x:c r="AN778" s="117" t="str">
        <x:v>https://thumb.wikimedia.org/wikipedia/commons/thumb/a/a8/Kuala-Lumpur_Malaysia_Planetarium_Negara-03.jpg/1280px-Kuala-Lumpur_Malaysia_Planetarium_Negara-03.jpg?utm_source=commons.wikimedia.org&amp;utm_campaign=imageinfo&amp;utm_content=thumbnail</x:v>
      </x:c>
      <x:c r="AO778" s="117" t="str">
        <x:v>https://thumb.wikimedia.org/wikipedia/commons/thumb/0/04/Kuala-Lumpur_Malaysia_Planetarium_Negara-02.jpg/1280px-Kuala-Lumpur_Malaysia_Planetarium_Negara-02.jpg?utm_source=commons.wikimedia.org&amp;utm_campaign=imageinfo&amp;utm_content=thumbnail</x:v>
      </x:c>
      <x:c r="AP778" s="117" t="str">
        <x:v>2 metadata-matched images; visual review pending</x:v>
      </x:c>
      <x:c r="AQ778" s="117"/>
    </x:row>
    <x:row r="779" ht="66" customHeight="1">
      <x:c r="A779" s="117" t="str">
        <x:v>MC0776</x:v>
      </x:c>
      <x:c r="B779" s="117" t="str">
        <x:v>Putra Square</x:v>
      </x:c>
      <x:c r="C779" s="117" t="str">
        <x:v>W.P. Putrajaya</x:v>
      </x:c>
      <x:c r="D779" s="117" t="str">
        <x:v>Putrajaya</x:v>
      </x:c>
      <x:c r="E779" s="117" t="str">
        <x:v>Heritage and Visitor Attraction</x:v>
      </x:c>
      <x:c r="F779" s="117" t="str">
        <x:v>Unclassified</x:v>
      </x:c>
      <x:c r="G779" s="117" t="str">
        <x:v>Both</x:v>
      </x:c>
      <x:c r="H779" s="117" t="str">
        <x:v>Heritage and Visitor Attraction; Putrajaya</x:v>
      </x:c>
      <x:c r="I779" s="117" t="str">
        <x:v>A visitor attraction in Putrajaya, W.P. Putrajaya, listed in Tourism Malaysia's state travel guide. Venue operation and the precise accessible route require confirmation.</x:v>
      </x:c>
      <x:c r="J779" s="117" t="str">
        <x:v>https://ebrochures.malaysia.travel/en/malaysia-travel-guide/putrajaya/</x:v>
      </x:c>
      <x:c r="K779" s="117" t="str">
        <x:v>https://ebrochures.malaysia.travel/en/malaysia-travel-guide/putrajaya/</x:v>
      </x:c>
      <x:c r="L779" s="117" t="str">
        <x:v>Tourism Malaysia listing; operation unconfirmed</x:v>
      </x:c>
      <x:c r="M779" s="117" t="str">
        <x:v>Nationwide expansion 2026-09-08</x:v>
      </x:c>
      <x:c r="N779" s="117"/>
      <x:c r="O779" s="117" t="str">
        <x:v>2026-09-08</x:v>
      </x:c>
      <x:c r="P779" s="117" t="str">
        <x:v>Complete</x:v>
      </x:c>
      <x:c r="Q779" s="117"/>
      <x:c r="R779" s="117" t="str">
        <x:f>IF(J779="","Missing Link",IF(AND(ISNUMBER(SEARCH("google.com/maps",J779)),ISERROR(SEARCH(";",J779))),"Discovery Link Only","Source Link Present"))</x:f>
        <x:v>Source Link Present</x:v>
      </x:c>
      <x:c r="S779" s="117" t="str">
        <x:v>Unknown</x:v>
      </x:c>
      <x:c r="T779" s="117" t="str">
        <x:v>Unknown</x:v>
      </x:c>
      <x:c r="U779" s="117" t="str">
        <x:v>Unknown</x:v>
      </x:c>
      <x:c r="V779" s="117" t="str">
        <x:v>Unknown</x:v>
      </x:c>
      <x:c r="W779" s="117" t="str">
        <x:v>Unknown</x:v>
      </x:c>
      <x:c r="X779" s="117" t="str">
        <x:v>Unknown</x:v>
      </x:c>
      <x:c r="Y779" s="117" t="str">
        <x:v>Unknown</x:v>
      </x:c>
      <x:c r="Z779" s="117"/>
      <x:c r="AA779" s="117" t="str">
        <x:v>Pending evidence</x:v>
      </x:c>
      <x:c r="AB779" s="117"/>
      <x:c r="AC779" s="117" t="str">
        <x:v>No qualifying accessibility conclusion established from the screened sources. This is unknown, not evidence that the attraction is inaccessible.</x:v>
      </x:c>
      <x:c r="AD779" s="117" t="str">
        <x:v>2026-09-08</x:v>
      </x:c>
      <x:c r="AE779" s="117" t="str">
        <x:v>MC0776</x:v>
      </x:c>
      <x:c r="AF779" s="117" t="str">
        <x:v>Distinct candidate</x:v>
      </x:c>
      <x:c r="AG779" s="117" t="str"/>
      <x:c r="AH779" s="117" t="str">
        <x:v>Listed by Tourism Malaysia</x:v>
      </x:c>
      <x:c r="AI779" s="117" t="str">
        <x:v>https://ebrochures.malaysia.travel/en/malaysia-travel-guide/putrajaya/</x:v>
      </x:c>
      <x:c r="AJ779" s="117" t="str">
        <x:v>Named visitor attraction in cited source; state-guide listings can be historical. Locality is catalogue metadata, not a surveyed address. Current operation remains unconfirmed.</x:v>
      </x:c>
      <x:c r="AK779" s="117" t="str">
        <x:v>Not independently confirmed</x:v>
      </x:c>
      <x:c r="AL779" s="117" t="str">
        <x:v>Screened sources; accessibility unresolved</x:v>
      </x:c>
      <x:c r="AM779" s="117" t="str">
        <x:v>2026-09-08</x:v>
      </x:c>
      <x:c r="AN779" s="117" t="str">
        <x:v>https://thumb.wikimedia.org/wikipedia/commons/thumb/6/61/Prime_Minister%27s_office%2C_Putrajaya.JPG/1280px-Prime_Minister%27s_office%2C_Putrajaya.JPG?utm_source=commons.wikimedia.org&amp;utm_campaign=imageinfo&amp;utm_content=thumbnail</x:v>
      </x:c>
      <x:c r="AO779" s="117" t="str">
        <x:v>https://thumb.wikimedia.org/wikipedia/commons/thumb/6/6c/Putra_Square_Flags_Putrajaya.jpg/1280px-Putra_Square_Flags_Putrajaya.jpg?utm_source=commons.wikimedia.org&amp;utm_campaign=imageinfo&amp;utm_content=thumbnail</x:v>
      </x:c>
      <x:c r="AP779" s="117" t="str">
        <x:v>2 metadata-matched images; visual review pending</x:v>
      </x:c>
      <x:c r="AQ779" s="117"/>
    </x:row>
    <x:row r="780" ht="66" customHeight="1">
      <x:c r="A780" s="117" t="str">
        <x:v>MC0777</x:v>
      </x:c>
      <x:c r="B780" s="117" t="str">
        <x:v>Persiaran Perdana</x:v>
      </x:c>
      <x:c r="C780" s="117" t="str">
        <x:v>W.P. Putrajaya</x:v>
      </x:c>
      <x:c r="D780" s="117" t="str">
        <x:v>Putrajaya</x:v>
      </x:c>
      <x:c r="E780" s="117" t="str">
        <x:v>Heritage and Visitor Attraction</x:v>
      </x:c>
      <x:c r="F780" s="117" t="str">
        <x:v>Unclassified</x:v>
      </x:c>
      <x:c r="G780" s="117" t="str">
        <x:v>Both</x:v>
      </x:c>
      <x:c r="H780" s="117" t="str">
        <x:v>Heritage and Visitor Attraction; Putrajaya</x:v>
      </x:c>
      <x:c r="I780" s="117" t="str">
        <x:v>A visitor attraction in Putrajaya, W.P. Putrajaya, listed in Tourism Malaysia's state travel guide. Venue operation and the precise accessible route require confirmation.</x:v>
      </x:c>
      <x:c r="J780" s="117" t="str">
        <x:v>https://ebrochures.malaysia.travel/en/malaysia-travel-guide/putrajaya/</x:v>
      </x:c>
      <x:c r="K780" s="117" t="str">
        <x:v>https://ebrochures.malaysia.travel/en/malaysia-travel-guide/putrajaya/</x:v>
      </x:c>
      <x:c r="L780" s="117" t="str">
        <x:v>Tourism Malaysia listing; operation unconfirmed</x:v>
      </x:c>
      <x:c r="M780" s="117" t="str">
        <x:v>Nationwide expansion 2026-09-08</x:v>
      </x:c>
      <x:c r="N780" s="117"/>
      <x:c r="O780" s="117" t="str">
        <x:v>2026-09-08</x:v>
      </x:c>
      <x:c r="P780" s="117" t="str">
        <x:v>Complete</x:v>
      </x:c>
      <x:c r="Q780" s="117"/>
      <x:c r="R780" s="117" t="str">
        <x:f>IF(J780="","Missing Link",IF(AND(ISNUMBER(SEARCH("google.com/maps",J780)),ISERROR(SEARCH(";",J780))),"Discovery Link Only","Source Link Present"))</x:f>
        <x:v>Source Link Present</x:v>
      </x:c>
      <x:c r="S780" s="117" t="str">
        <x:v>Unknown</x:v>
      </x:c>
      <x:c r="T780" s="117" t="str">
        <x:v>Unknown</x:v>
      </x:c>
      <x:c r="U780" s="117" t="str">
        <x:v>Unknown</x:v>
      </x:c>
      <x:c r="V780" s="117" t="str">
        <x:v>Unknown</x:v>
      </x:c>
      <x:c r="W780" s="117" t="str">
        <x:v>Unknown</x:v>
      </x:c>
      <x:c r="X780" s="117" t="str">
        <x:v>Unknown</x:v>
      </x:c>
      <x:c r="Y780" s="117" t="str">
        <x:v>Unknown</x:v>
      </x:c>
      <x:c r="Z780" s="117"/>
      <x:c r="AA780" s="117" t="str">
        <x:v>Pending evidence</x:v>
      </x:c>
      <x:c r="AB780" s="117"/>
      <x:c r="AC780" s="117" t="str">
        <x:v>No qualifying accessibility conclusion established from the screened sources. This is unknown, not evidence that the attraction is inaccessible.</x:v>
      </x:c>
      <x:c r="AD780" s="117" t="str">
        <x:v>2026-09-08</x:v>
      </x:c>
      <x:c r="AE780" s="117" t="str">
        <x:v>MC0777</x:v>
      </x:c>
      <x:c r="AF780" s="117" t="str">
        <x:v>Distinct candidate</x:v>
      </x:c>
      <x:c r="AG780" s="117" t="str"/>
      <x:c r="AH780" s="117" t="str">
        <x:v>Listed by Tourism Malaysia</x:v>
      </x:c>
      <x:c r="AI780" s="117" t="str">
        <x:v>https://ebrochures.malaysia.travel/en/malaysia-travel-guide/putrajaya/</x:v>
      </x:c>
      <x:c r="AJ780" s="117" t="str">
        <x:v>Named visitor attraction in cited source; state-guide listings can be historical. Locality is catalogue metadata, not a surveyed address. Current operation remains unconfirmed.</x:v>
      </x:c>
      <x:c r="AK780" s="117" t="str">
        <x:v>Not independently confirmed</x:v>
      </x:c>
      <x:c r="AL780" s="117" t="str">
        <x:v>Screened sources; accessibility unresolved</x:v>
      </x:c>
      <x:c r="AM780" s="117" t="str">
        <x:v>2026-09-08</x:v>
      </x:c>
      <x:c r="AN780" s="117"/>
      <x:c r="AO780" s="117"/>
      <x:c r="AP780" s="117" t="str">
        <x:v>No usable pair located; image research pending</x:v>
      </x:c>
      <x:c r="AQ780" s="117"/>
    </x:row>
    <x:row r="781" ht="66" customHeight="1">
      <x:c r="A781" s="117" t="str">
        <x:v>MC0778</x:v>
      </x:c>
      <x:c r="B781" s="117" t="str">
        <x:v>Palace of Justice</x:v>
      </x:c>
      <x:c r="C781" s="117" t="str">
        <x:v>W.P. Putrajaya</x:v>
      </x:c>
      <x:c r="D781" s="117" t="str">
        <x:v>Putrajaya</x:v>
      </x:c>
      <x:c r="E781" s="117" t="str">
        <x:v>Heritage and Visitor Attraction</x:v>
      </x:c>
      <x:c r="F781" s="117" t="str">
        <x:v>Unclassified</x:v>
      </x:c>
      <x:c r="G781" s="117" t="str">
        <x:v>Both</x:v>
      </x:c>
      <x:c r="H781" s="117" t="str">
        <x:v>Heritage and Visitor Attraction; Putrajaya</x:v>
      </x:c>
      <x:c r="I781" s="117" t="str">
        <x:v>A visitor attraction in Putrajaya, W.P. Putrajaya, listed in Tourism Malaysia's state travel guide. Venue operation and the precise accessible route require confirmation.</x:v>
      </x:c>
      <x:c r="J781" s="117" t="str">
        <x:v>https://ebrochures.malaysia.travel/en/malaysia-travel-guide/putrajaya/</x:v>
      </x:c>
      <x:c r="K781" s="117" t="str">
        <x:v>https://ebrochures.malaysia.travel/en/malaysia-travel-guide/putrajaya/</x:v>
      </x:c>
      <x:c r="L781" s="117" t="str">
        <x:v>Tourism Malaysia listing; operation unconfirmed</x:v>
      </x:c>
      <x:c r="M781" s="117" t="str">
        <x:v>Nationwide expansion 2026-09-08</x:v>
      </x:c>
      <x:c r="N781" s="117"/>
      <x:c r="O781" s="117" t="str">
        <x:v>2026-09-08</x:v>
      </x:c>
      <x:c r="P781" s="117" t="str">
        <x:v>Complete</x:v>
      </x:c>
      <x:c r="Q781" s="117"/>
      <x:c r="R781" s="117" t="str">
        <x:f>IF(J781="","Missing Link",IF(AND(ISNUMBER(SEARCH("google.com/maps",J781)),ISERROR(SEARCH(";",J781))),"Discovery Link Only","Source Link Present"))</x:f>
        <x:v>Source Link Present</x:v>
      </x:c>
      <x:c r="S781" s="117" t="str">
        <x:v>Unknown</x:v>
      </x:c>
      <x:c r="T781" s="117" t="str">
        <x:v>Unknown</x:v>
      </x:c>
      <x:c r="U781" s="117" t="str">
        <x:v>Unknown</x:v>
      </x:c>
      <x:c r="V781" s="117" t="str">
        <x:v>Unknown</x:v>
      </x:c>
      <x:c r="W781" s="117" t="str">
        <x:v>Unknown</x:v>
      </x:c>
      <x:c r="X781" s="117" t="str">
        <x:v>Unknown</x:v>
      </x:c>
      <x:c r="Y781" s="117" t="str">
        <x:v>Unknown</x:v>
      </x:c>
      <x:c r="Z781" s="117"/>
      <x:c r="AA781" s="117" t="str">
        <x:v>Pending evidence</x:v>
      </x:c>
      <x:c r="AB781" s="117"/>
      <x:c r="AC781" s="117" t="str">
        <x:v>No qualifying accessibility conclusion established from the screened sources. This is unknown, not evidence that the attraction is inaccessible.</x:v>
      </x:c>
      <x:c r="AD781" s="117" t="str">
        <x:v>2026-09-08</x:v>
      </x:c>
      <x:c r="AE781" s="117" t="str">
        <x:v>MC0778</x:v>
      </x:c>
      <x:c r="AF781" s="117" t="str">
        <x:v>Distinct candidate</x:v>
      </x:c>
      <x:c r="AG781" s="117" t="str"/>
      <x:c r="AH781" s="117" t="str">
        <x:v>Listed by Tourism Malaysia</x:v>
      </x:c>
      <x:c r="AI781" s="117" t="str">
        <x:v>https://ebrochures.malaysia.travel/en/malaysia-travel-guide/putrajaya/</x:v>
      </x:c>
      <x:c r="AJ781" s="117" t="str">
        <x:v>Named visitor attraction in cited source; state-guide listings can be historical. Locality is catalogue metadata, not a surveyed address. Current operation remains unconfirmed.</x:v>
      </x:c>
      <x:c r="AK781" s="117" t="str">
        <x:v>Not independently confirmed</x:v>
      </x:c>
      <x:c r="AL781" s="117" t="str">
        <x:v>Screened sources; accessibility unresolved</x:v>
      </x:c>
      <x:c r="AM781" s="117" t="str">
        <x:v>2026-09-08</x:v>
      </x:c>
      <x:c r="AN781" s="117" t="str">
        <x:v>https://thumb.wikimedia.org/wikipedia/commons/thumb/0/07/Nuremberg_-_justice_palace_2012_%28aka%29.jpg/1280px-Nuremberg_-_justice_palace_2012_%28aka%29.jpg?utm_source=commons.wikimedia.org&amp;utm_campaign=imageinfo&amp;utm_content=thumbnail</x:v>
      </x:c>
      <x:c r="AO781" s="117" t="str">
        <x:v>https://thumb.wikimedia.org/wikipedia/commons/thumb/6/6c/Nuremberg_Aerial_Justizpalast.JPG/1280px-Nuremberg_Aerial_Justizpalast.JPG?utm_source=commons.wikimedia.org&amp;utm_campaign=imageinfo&amp;utm_content=thumbnail</x:v>
      </x:c>
      <x:c r="AP781" s="117" t="str">
        <x:v>2 metadata-matched images; visual review pending</x:v>
      </x:c>
      <x:c r="AQ781" s="117"/>
    </x:row>
    <x:row r="782" ht="66" customHeight="1">
      <x:c r="A782" s="117" t="str">
        <x:v>MC0779</x:v>
      </x:c>
      <x:c r="B782" s="117" t="str">
        <x:v>Seri Perdana</x:v>
      </x:c>
      <x:c r="C782" s="117" t="str">
        <x:v>W.P. Putrajaya</x:v>
      </x:c>
      <x:c r="D782" s="117" t="str">
        <x:v>Putrajaya</x:v>
      </x:c>
      <x:c r="E782" s="117" t="str">
        <x:v>Heritage and Visitor Attraction</x:v>
      </x:c>
      <x:c r="F782" s="117" t="str">
        <x:v>Unclassified</x:v>
      </x:c>
      <x:c r="G782" s="117" t="str">
        <x:v>Both</x:v>
      </x:c>
      <x:c r="H782" s="117" t="str">
        <x:v>Heritage and Visitor Attraction; Putrajaya</x:v>
      </x:c>
      <x:c r="I782" s="117" t="str">
        <x:v>A visitor attraction in Putrajaya, W.P. Putrajaya, listed in Tourism Malaysia's state travel guide. Venue operation and the precise accessible route require confirmation.</x:v>
      </x:c>
      <x:c r="J782" s="117" t="str">
        <x:v>https://ebrochures.malaysia.travel/en/malaysia-travel-guide/putrajaya/</x:v>
      </x:c>
      <x:c r="K782" s="117" t="str">
        <x:v>https://ebrochures.malaysia.travel/en/malaysia-travel-guide/putrajaya/</x:v>
      </x:c>
      <x:c r="L782" s="117" t="str">
        <x:v>Tourism Malaysia listing; operation unconfirmed</x:v>
      </x:c>
      <x:c r="M782" s="117" t="str">
        <x:v>Nationwide expansion 2026-09-08</x:v>
      </x:c>
      <x:c r="N782" s="117"/>
      <x:c r="O782" s="117" t="str">
        <x:v>2026-09-08</x:v>
      </x:c>
      <x:c r="P782" s="117" t="str">
        <x:v>Complete</x:v>
      </x:c>
      <x:c r="Q782" s="117"/>
      <x:c r="R782" s="117" t="str">
        <x:f>IF(J782="","Missing Link",IF(AND(ISNUMBER(SEARCH("google.com/maps",J782)),ISERROR(SEARCH(";",J782))),"Discovery Link Only","Source Link Present"))</x:f>
        <x:v>Source Link Present</x:v>
      </x:c>
      <x:c r="S782" s="117" t="str">
        <x:v>Unknown</x:v>
      </x:c>
      <x:c r="T782" s="117" t="str">
        <x:v>Unknown</x:v>
      </x:c>
      <x:c r="U782" s="117" t="str">
        <x:v>Unknown</x:v>
      </x:c>
      <x:c r="V782" s="117" t="str">
        <x:v>Unknown</x:v>
      </x:c>
      <x:c r="W782" s="117" t="str">
        <x:v>Unknown</x:v>
      </x:c>
      <x:c r="X782" s="117" t="str">
        <x:v>Unknown</x:v>
      </x:c>
      <x:c r="Y782" s="117" t="str">
        <x:v>Unknown</x:v>
      </x:c>
      <x:c r="Z782" s="117"/>
      <x:c r="AA782" s="117" t="str">
        <x:v>Pending evidence</x:v>
      </x:c>
      <x:c r="AB782" s="117"/>
      <x:c r="AC782" s="117" t="str">
        <x:v>No qualifying accessibility conclusion established from the screened sources. This is unknown, not evidence that the attraction is inaccessible.</x:v>
      </x:c>
      <x:c r="AD782" s="117" t="str">
        <x:v>2026-09-08</x:v>
      </x:c>
      <x:c r="AE782" s="117" t="str">
        <x:v>MC0779</x:v>
      </x:c>
      <x:c r="AF782" s="117" t="str">
        <x:v>Distinct candidate</x:v>
      </x:c>
      <x:c r="AG782" s="117" t="str"/>
      <x:c r="AH782" s="117" t="str">
        <x:v>Listed by Tourism Malaysia</x:v>
      </x:c>
      <x:c r="AI782" s="117" t="str">
        <x:v>https://ebrochures.malaysia.travel/en/malaysia-travel-guide/putrajaya/</x:v>
      </x:c>
      <x:c r="AJ782" s="117" t="str">
        <x:v>Named visitor attraction in cited source; state-guide listings can be historical. Locality is catalogue metadata, not a surveyed address. Current operation remains unconfirmed.</x:v>
      </x:c>
      <x:c r="AK782" s="117" t="str">
        <x:v>Not independently confirmed</x:v>
      </x:c>
      <x:c r="AL782" s="117" t="str">
        <x:v>Screened sources; accessibility unresolved</x:v>
      </x:c>
      <x:c r="AM782" s="117" t="str">
        <x:v>2026-09-08</x:v>
      </x:c>
      <x:c r="AN782" s="117" t="str">
        <x:v>https://upload.wikimedia.org/wikipedia/commons/d/d1/Pintu_masuk_Kompleks_Seri_Perdana.jpg?utm_source=commons.wikimedia.org&amp;utm_campaign=imageinfo&amp;utm_content=thumbnail_unscaled</x:v>
      </x:c>
      <x:c r="AO782" s="117"/>
      <x:c r="AP782" s="117" t="str">
        <x:v>1 metadata-matched images; visual review pending</x:v>
      </x:c>
      <x:c r="AQ782" s="117"/>
    </x:row>
    <x:row r="783" ht="66" customHeight="1">
      <x:c r="A783" s="117" t="str">
        <x:v>MC0780</x:v>
      </x:c>
      <x:c r="B783" s="117" t="str">
        <x:v>Agriculture Heritage Park</x:v>
      </x:c>
      <x:c r="C783" s="117" t="str">
        <x:v>W.P. Putrajaya</x:v>
      </x:c>
      <x:c r="D783" s="117" t="str">
        <x:v>Putrajaya</x:v>
      </x:c>
      <x:c r="E783" s="117" t="str">
        <x:v>Nature</x:v>
      </x:c>
      <x:c r="F783" s="117" t="str">
        <x:v>Unclassified</x:v>
      </x:c>
      <x:c r="G783" s="117" t="str">
        <x:v>Outdoor</x:v>
      </x:c>
      <x:c r="H783" s="117" t="str">
        <x:v>Nature; Putrajaya</x:v>
      </x:c>
      <x:c r="I783" s="117" t="str">
        <x:v>A visitor attraction in Putrajaya, W.P. Putrajaya, listed in Tourism Malaysia's state travel guide. Venue operation and the precise accessible route require confirmation.</x:v>
      </x:c>
      <x:c r="J783" s="117" t="str">
        <x:v>https://ebrochures.malaysia.travel/en/malaysia-travel-guide/putrajaya/</x:v>
      </x:c>
      <x:c r="K783" s="117" t="str">
        <x:v>https://ebrochures.malaysia.travel/en/malaysia-travel-guide/putrajaya/</x:v>
      </x:c>
      <x:c r="L783" s="117" t="str">
        <x:v>Tourism Malaysia listing; operation unconfirmed</x:v>
      </x:c>
      <x:c r="M783" s="117" t="str">
        <x:v>Nationwide expansion 2026-09-08</x:v>
      </x:c>
      <x:c r="N783" s="117"/>
      <x:c r="O783" s="117" t="str">
        <x:v>2026-09-08</x:v>
      </x:c>
      <x:c r="P783" s="117" t="str">
        <x:v>Complete</x:v>
      </x:c>
      <x:c r="Q783" s="117"/>
      <x:c r="R783" s="117" t="str">
        <x:f>IF(J783="","Missing Link",IF(AND(ISNUMBER(SEARCH("google.com/maps",J783)),ISERROR(SEARCH(";",J783))),"Discovery Link Only","Source Link Present"))</x:f>
        <x:v>Source Link Present</x:v>
      </x:c>
      <x:c r="S783" s="117" t="str">
        <x:v>Unknown</x:v>
      </x:c>
      <x:c r="T783" s="117" t="str">
        <x:v>Unknown</x:v>
      </x:c>
      <x:c r="U783" s="117" t="str">
        <x:v>Unknown</x:v>
      </x:c>
      <x:c r="V783" s="117" t="str">
        <x:v>Unknown</x:v>
      </x:c>
      <x:c r="W783" s="117" t="str">
        <x:v>Unknown</x:v>
      </x:c>
      <x:c r="X783" s="117" t="str">
        <x:v>Unknown</x:v>
      </x:c>
      <x:c r="Y783" s="117" t="str">
        <x:v>Unknown</x:v>
      </x:c>
      <x:c r="Z783" s="117"/>
      <x:c r="AA783" s="117" t="str">
        <x:v>Pending evidence</x:v>
      </x:c>
      <x:c r="AB783" s="117"/>
      <x:c r="AC783" s="117" t="str">
        <x:v>No qualifying accessibility conclusion established from the screened sources. This is unknown, not evidence that the attraction is inaccessible.</x:v>
      </x:c>
      <x:c r="AD783" s="117" t="str">
        <x:v>2026-09-08</x:v>
      </x:c>
      <x:c r="AE783" s="117" t="str">
        <x:v>MC0780</x:v>
      </x:c>
      <x:c r="AF783" s="117" t="str">
        <x:v>Distinct candidate</x:v>
      </x:c>
      <x:c r="AG783" s="117" t="str"/>
      <x:c r="AH783" s="117" t="str">
        <x:v>Listed by Tourism Malaysia</x:v>
      </x:c>
      <x:c r="AI783" s="117" t="str">
        <x:v>https://ebrochures.malaysia.travel/en/malaysia-travel-guide/putrajaya/</x:v>
      </x:c>
      <x:c r="AJ783" s="117" t="str">
        <x:v>Named visitor attraction in cited source; state-guide listings can be historical. Locality is catalogue metadata, not a surveyed address. Current operation remains unconfirmed.</x:v>
      </x:c>
      <x:c r="AK783" s="117" t="str">
        <x:v>Not independently confirmed</x:v>
      </x:c>
      <x:c r="AL783" s="117" t="str">
        <x:v>Screened sources; accessibility unresolved</x:v>
      </x:c>
      <x:c r="AM783" s="117" t="str">
        <x:v>2026-09-08</x:v>
      </x:c>
      <x:c r="AN783" s="117"/>
      <x:c r="AO783" s="117"/>
      <x:c r="AP783" s="117" t="str">
        <x:v>No usable pair located; image research pending</x:v>
      </x:c>
      <x:c r="AQ783" s="117"/>
    </x:row>
    <x:row r="784" ht="66" customHeight="1">
      <x:c r="A784" s="117" t="str">
        <x:v>MC0781</x:v>
      </x:c>
      <x:c r="B784" s="117" t="str">
        <x:v>Papan Island</x:v>
      </x:c>
      <x:c r="C784" s="117" t="str">
        <x:v>W.P. Labuan</x:v>
      </x:c>
      <x:c r="D784" s="117" t="str">
        <x:v>Labuan</x:v>
      </x:c>
      <x:c r="E784" s="117" t="str">
        <x:v>Beach and Island</x:v>
      </x:c>
      <x:c r="F784" s="117" t="str">
        <x:v>Unclassified</x:v>
      </x:c>
      <x:c r="G784" s="117" t="str">
        <x:v>Outdoor</x:v>
      </x:c>
      <x:c r="H784" s="117" t="str">
        <x:v>Beach and Island; Labuan</x:v>
      </x:c>
      <x:c r="I784" s="117" t="str">
        <x:v>A visitor attraction in Labuan, W.P. Labuan, listed in Tourism Malaysia's state travel guide. Venue operation and the precise accessible route require confirmation.</x:v>
      </x:c>
      <x:c r="J784" s="117" t="str">
        <x:v>https://ebrochures.malaysia.travel/en/malaysia-travel-guide/labuan/</x:v>
      </x:c>
      <x:c r="K784" s="117" t="str">
        <x:v>https://ebrochures.malaysia.travel/en/malaysia-travel-guide/labuan/</x:v>
      </x:c>
      <x:c r="L784" s="117" t="str">
        <x:v>Tourism Malaysia listing; operation unconfirmed</x:v>
      </x:c>
      <x:c r="M784" s="117" t="str">
        <x:v>Nationwide expansion 2026-09-08</x:v>
      </x:c>
      <x:c r="N784" s="117"/>
      <x:c r="O784" s="117" t="str">
        <x:v>2026-09-08</x:v>
      </x:c>
      <x:c r="P784" s="117" t="str">
        <x:v>Complete</x:v>
      </x:c>
      <x:c r="Q784" s="117"/>
      <x:c r="R784" s="117" t="str">
        <x:f>IF(J784="","Missing Link",IF(AND(ISNUMBER(SEARCH("google.com/maps",J784)),ISERROR(SEARCH(";",J784))),"Discovery Link Only","Source Link Present"))</x:f>
        <x:v>Source Link Present</x:v>
      </x:c>
      <x:c r="S784" s="117" t="str">
        <x:v>Unknown</x:v>
      </x:c>
      <x:c r="T784" s="117" t="str">
        <x:v>Unknown</x:v>
      </x:c>
      <x:c r="U784" s="117" t="str">
        <x:v>Unknown</x:v>
      </x:c>
      <x:c r="V784" s="117" t="str">
        <x:v>Unknown</x:v>
      </x:c>
      <x:c r="W784" s="117" t="str">
        <x:v>Unknown</x:v>
      </x:c>
      <x:c r="X784" s="117" t="str">
        <x:v>Unknown</x:v>
      </x:c>
      <x:c r="Y784" s="117" t="str">
        <x:v>Unknown</x:v>
      </x:c>
      <x:c r="Z784" s="117"/>
      <x:c r="AA784" s="117" t="str">
        <x:v>Pending evidence</x:v>
      </x:c>
      <x:c r="AB784" s="117"/>
      <x:c r="AC784" s="117" t="str">
        <x:v>No qualifying accessibility conclusion established from the screened sources. This is unknown, not evidence that the attraction is inaccessible.</x:v>
      </x:c>
      <x:c r="AD784" s="117" t="str">
        <x:v>2026-09-08</x:v>
      </x:c>
      <x:c r="AE784" s="117" t="str">
        <x:v>MC0781</x:v>
      </x:c>
      <x:c r="AF784" s="117" t="str">
        <x:v>Distinct candidate</x:v>
      </x:c>
      <x:c r="AG784" s="117" t="str"/>
      <x:c r="AH784" s="117" t="str">
        <x:v>Listed by Tourism Malaysia</x:v>
      </x:c>
      <x:c r="AI784" s="117" t="str">
        <x:v>https://ebrochures.malaysia.travel/en/malaysia-travel-guide/labuan/</x:v>
      </x:c>
      <x:c r="AJ784" s="117" t="str">
        <x:v>Named visitor attraction in cited source; state-guide listings can be historical. Locality is catalogue metadata, not a surveyed address. Current operation remains unconfirmed.</x:v>
      </x:c>
      <x:c r="AK784" s="117" t="str">
        <x:v>Not independently confirmed</x:v>
      </x:c>
      <x:c r="AL784" s="117" t="str">
        <x:v>Screened sources; accessibility unresolved</x:v>
      </x:c>
      <x:c r="AM784" s="117" t="str">
        <x:v>2026-09-08</x:v>
      </x:c>
      <x:c r="AN784" s="117"/>
      <x:c r="AO784" s="117"/>
      <x:c r="AP784" s="117" t="str">
        <x:v>No usable pair located; image research pending</x:v>
      </x:c>
      <x:c r="AQ784" s="117"/>
    </x:row>
    <x:row r="785" ht="66" customHeight="1">
      <x:c r="A785" s="117" t="str">
        <x:v>MC0782</x:v>
      </x:c>
      <x:c r="B785" s="117" t="str">
        <x:v>Labuan Square</x:v>
      </x:c>
      <x:c r="C785" s="117" t="str">
        <x:v>W.P. Labuan</x:v>
      </x:c>
      <x:c r="D785" s="117" t="str">
        <x:v>Labuan</x:v>
      </x:c>
      <x:c r="E785" s="117" t="str">
        <x:v>Heritage and Visitor Attraction</x:v>
      </x:c>
      <x:c r="F785" s="117" t="str">
        <x:v>Unclassified</x:v>
      </x:c>
      <x:c r="G785" s="117" t="str">
        <x:v>Both</x:v>
      </x:c>
      <x:c r="H785" s="117" t="str">
        <x:v>Heritage and Visitor Attraction; Labuan</x:v>
      </x:c>
      <x:c r="I785" s="117" t="str">
        <x:v>A visitor attraction in Labuan, W.P. Labuan, listed in Tourism Malaysia's state travel guide. Venue operation and the precise accessible route require confirmation.</x:v>
      </x:c>
      <x:c r="J785" s="117" t="str">
        <x:v>https://ebrochures.malaysia.travel/en/malaysia-travel-guide/labuan/</x:v>
      </x:c>
      <x:c r="K785" s="117" t="str">
        <x:v>https://ebrochures.malaysia.travel/en/malaysia-travel-guide/labuan/</x:v>
      </x:c>
      <x:c r="L785" s="117" t="str">
        <x:v>Tourism Malaysia listing; operation unconfirmed</x:v>
      </x:c>
      <x:c r="M785" s="117" t="str">
        <x:v>Nationwide expansion 2026-09-08</x:v>
      </x:c>
      <x:c r="N785" s="117"/>
      <x:c r="O785" s="117" t="str">
        <x:v>2026-09-08</x:v>
      </x:c>
      <x:c r="P785" s="117" t="str">
        <x:v>Complete</x:v>
      </x:c>
      <x:c r="Q785" s="117"/>
      <x:c r="R785" s="117" t="str">
        <x:f>IF(J785="","Missing Link",IF(AND(ISNUMBER(SEARCH("google.com/maps",J785)),ISERROR(SEARCH(";",J785))),"Discovery Link Only","Source Link Present"))</x:f>
        <x:v>Source Link Present</x:v>
      </x:c>
      <x:c r="S785" s="117" t="str">
        <x:v>Unknown</x:v>
      </x:c>
      <x:c r="T785" s="117" t="str">
        <x:v>Unknown</x:v>
      </x:c>
      <x:c r="U785" s="117" t="str">
        <x:v>Unknown</x:v>
      </x:c>
      <x:c r="V785" s="117" t="str">
        <x:v>Unknown</x:v>
      </x:c>
      <x:c r="W785" s="117" t="str">
        <x:v>Unknown</x:v>
      </x:c>
      <x:c r="X785" s="117" t="str">
        <x:v>Unknown</x:v>
      </x:c>
      <x:c r="Y785" s="117" t="str">
        <x:v>Unknown</x:v>
      </x:c>
      <x:c r="Z785" s="117"/>
      <x:c r="AA785" s="117" t="str">
        <x:v>Pending evidence</x:v>
      </x:c>
      <x:c r="AB785" s="117"/>
      <x:c r="AC785" s="117" t="str">
        <x:v>No qualifying accessibility conclusion established from the screened sources. This is unknown, not evidence that the attraction is inaccessible.</x:v>
      </x:c>
      <x:c r="AD785" s="117" t="str">
        <x:v>2026-09-08</x:v>
      </x:c>
      <x:c r="AE785" s="117" t="str">
        <x:v>MC0782</x:v>
      </x:c>
      <x:c r="AF785" s="117" t="str">
        <x:v>Distinct candidate</x:v>
      </x:c>
      <x:c r="AG785" s="117" t="str"/>
      <x:c r="AH785" s="117" t="str">
        <x:v>Listed by Tourism Malaysia</x:v>
      </x:c>
      <x:c r="AI785" s="117" t="str">
        <x:v>https://ebrochures.malaysia.travel/en/malaysia-travel-guide/labuan/</x:v>
      </x:c>
      <x:c r="AJ785" s="117" t="str">
        <x:v>Named visitor attraction in cited source; state-guide listings can be historical. Locality is catalogue metadata, not a surveyed address. Current operation remains unconfirmed.</x:v>
      </x:c>
      <x:c r="AK785" s="117" t="str">
        <x:v>Not independently confirmed</x:v>
      </x:c>
      <x:c r="AL785" s="117" t="str">
        <x:v>Screened sources; accessibility unresolved</x:v>
      </x:c>
      <x:c r="AM785" s="117" t="str">
        <x:v>2026-09-08</x:v>
      </x:c>
      <x:c r="AN785" s="117" t="str">
        <x:v>https://thumb.wikimedia.org/wikipedia/commons/thumb/e/e9/Labuan_Square_%28Dataran_Labuan%29%2C_April_2025_03.jpg/1280px-Labuan_Square_%28Dataran_Labuan%29%2C_April_2025_03.jpg?utm_source=commons.wikimedia.org&amp;utm_campaign=imageinfo&amp;utm_content=thumbnail</x:v>
      </x:c>
      <x:c r="AO785" s="117" t="str">
        <x:v>https://thumb.wikimedia.org/wikipedia/commons/thumb/5/5f/Labuan_Square_%28Dataran_Labuan%29%2C_April_2025_02.jpg/1280px-Labuan_Square_%28Dataran_Labuan%29%2C_April_2025_02.jpg?utm_source=commons.wikimedia.org&amp;utm_campaign=imageinfo&amp;utm_content=thumbnail</x:v>
      </x:c>
      <x:c r="AP785" s="117" t="str">
        <x:v>2 metadata-matched images; visual review pending</x:v>
      </x:c>
      <x:c r="AQ785" s="117"/>
    </x:row>
    <x:row r="786" ht="66" customHeight="1">
      <x:c r="A786" s="117" t="str">
        <x:v>MC0783</x:v>
      </x:c>
      <x:c r="B786" s="117" t="str">
        <x:v>Tanjung Kubong Tunnel</x:v>
      </x:c>
      <x:c r="C786" s="117" t="str">
        <x:v>W.P. Labuan</x:v>
      </x:c>
      <x:c r="D786" s="117" t="str">
        <x:v>Labuan</x:v>
      </x:c>
      <x:c r="E786" s="117" t="str">
        <x:v>Heritage and Visitor Attraction</x:v>
      </x:c>
      <x:c r="F786" s="117" t="str">
        <x:v>Unclassified</x:v>
      </x:c>
      <x:c r="G786" s="117" t="str">
        <x:v>Both</x:v>
      </x:c>
      <x:c r="H786" s="117" t="str">
        <x:v>Heritage and Visitor Attraction; Labuan</x:v>
      </x:c>
      <x:c r="I786" s="117" t="str">
        <x:v>A visitor attraction in Labuan, W.P. Labuan, listed in Tourism Malaysia's state travel guide. Venue operation and the precise accessible route require confirmation.</x:v>
      </x:c>
      <x:c r="J786" s="117" t="str">
        <x:v>https://ebrochures.malaysia.travel/en/malaysia-travel-guide/labuan/</x:v>
      </x:c>
      <x:c r="K786" s="117" t="str">
        <x:v>https://ebrochures.malaysia.travel/en/malaysia-travel-guide/labuan/</x:v>
      </x:c>
      <x:c r="L786" s="117" t="str">
        <x:v>Tourism Malaysia listing; operation unconfirmed</x:v>
      </x:c>
      <x:c r="M786" s="117" t="str">
        <x:v>Nationwide expansion 2026-09-08</x:v>
      </x:c>
      <x:c r="N786" s="117"/>
      <x:c r="O786" s="117" t="str">
        <x:v>2026-09-08</x:v>
      </x:c>
      <x:c r="P786" s="117" t="str">
        <x:v>Complete</x:v>
      </x:c>
      <x:c r="Q786" s="117"/>
      <x:c r="R786" s="117" t="str">
        <x:f>IF(J786="","Missing Link",IF(AND(ISNUMBER(SEARCH("google.com/maps",J786)),ISERROR(SEARCH(";",J786))),"Discovery Link Only","Source Link Present"))</x:f>
        <x:v>Source Link Present</x:v>
      </x:c>
      <x:c r="S786" s="117" t="str">
        <x:v>Unknown</x:v>
      </x:c>
      <x:c r="T786" s="117" t="str">
        <x:v>Unknown</x:v>
      </x:c>
      <x:c r="U786" s="117" t="str">
        <x:v>Unknown</x:v>
      </x:c>
      <x:c r="V786" s="117" t="str">
        <x:v>Unknown</x:v>
      </x:c>
      <x:c r="W786" s="117" t="str">
        <x:v>Unknown</x:v>
      </x:c>
      <x:c r="X786" s="117" t="str">
        <x:v>Unknown</x:v>
      </x:c>
      <x:c r="Y786" s="117" t="str">
        <x:v>Unknown</x:v>
      </x:c>
      <x:c r="Z786" s="117"/>
      <x:c r="AA786" s="117" t="str">
        <x:v>Pending evidence</x:v>
      </x:c>
      <x:c r="AB786" s="117"/>
      <x:c r="AC786" s="117" t="str">
        <x:v>No qualifying accessibility conclusion established from the screened sources. This is unknown, not evidence that the attraction is inaccessible.</x:v>
      </x:c>
      <x:c r="AD786" s="117" t="str">
        <x:v>2026-09-08</x:v>
      </x:c>
      <x:c r="AE786" s="117" t="str">
        <x:v>MC0783</x:v>
      </x:c>
      <x:c r="AF786" s="117" t="str">
        <x:v>Distinct candidate</x:v>
      </x:c>
      <x:c r="AG786" s="117" t="str"/>
      <x:c r="AH786" s="117" t="str">
        <x:v>Listed by Tourism Malaysia</x:v>
      </x:c>
      <x:c r="AI786" s="117" t="str">
        <x:v>https://ebrochures.malaysia.travel/en/malaysia-travel-guide/labuan/</x:v>
      </x:c>
      <x:c r="AJ786" s="117" t="str">
        <x:v>Named visitor attraction in cited source; state-guide listings can be historical. Locality is catalogue metadata, not a surveyed address. Current operation remains unconfirmed.</x:v>
      </x:c>
      <x:c r="AK786" s="117" t="str">
        <x:v>Not independently confirmed</x:v>
      </x:c>
      <x:c r="AL786" s="117" t="str">
        <x:v>Screened sources; accessibility unresolved</x:v>
      </x:c>
      <x:c r="AM786" s="117" t="str">
        <x:v>2026-09-08</x:v>
      </x:c>
      <x:c r="AN786" s="117"/>
      <x:c r="AO786" s="117"/>
      <x:c r="AP786" s="117" t="str">
        <x:v>No usable pair located; image research pending</x:v>
      </x:c>
      <x:c r="AQ786" s="117"/>
    </x:row>
    <x:row r="787" ht="66" customHeight="1">
      <x:c r="A787" s="117" t="str">
        <x:v>MC0784</x:v>
      </x:c>
      <x:c r="B787" s="117" t="str">
        <x:v>An Nur Jamek Mosque</x:v>
      </x:c>
      <x:c r="C787" s="117" t="str">
        <x:v>W.P. Labuan</x:v>
      </x:c>
      <x:c r="D787" s="117" t="str">
        <x:v>Labuan</x:v>
      </x:c>
      <x:c r="E787" s="117" t="str">
        <x:v>Religious Site</x:v>
      </x:c>
      <x:c r="F787" s="117" t="str">
        <x:v>Unclassified</x:v>
      </x:c>
      <x:c r="G787" s="117" t="str">
        <x:v>Both</x:v>
      </x:c>
      <x:c r="H787" s="117" t="str">
        <x:v>Religious Site; Labuan</x:v>
      </x:c>
      <x:c r="I787" s="117" t="str">
        <x:v>A visitor attraction in Labuan, W.P. Labuan, listed in Tourism Malaysia's state travel guide. Venue operation and the precise accessible route require confirmation.</x:v>
      </x:c>
      <x:c r="J787" s="117" t="str">
        <x:v>https://ebrochures.malaysia.travel/en/malaysia-travel-guide/labuan/</x:v>
      </x:c>
      <x:c r="K787" s="117" t="str">
        <x:v>https://ebrochures.malaysia.travel/en/malaysia-travel-guide/labuan/</x:v>
      </x:c>
      <x:c r="L787" s="117" t="str">
        <x:v>Tourism Malaysia listing; operation unconfirmed</x:v>
      </x:c>
      <x:c r="M787" s="117" t="str">
        <x:v>Nationwide expansion 2026-09-08</x:v>
      </x:c>
      <x:c r="N787" s="117"/>
      <x:c r="O787" s="117" t="str">
        <x:v>2026-09-08</x:v>
      </x:c>
      <x:c r="P787" s="117" t="str">
        <x:v>Complete</x:v>
      </x:c>
      <x:c r="Q787" s="117"/>
      <x:c r="R787" s="117" t="str">
        <x:f>IF(J787="","Missing Link",IF(AND(ISNUMBER(SEARCH("google.com/maps",J787)),ISERROR(SEARCH(";",J787))),"Discovery Link Only","Source Link Present"))</x:f>
        <x:v>Source Link Present</x:v>
      </x:c>
      <x:c r="S787" s="117" t="str">
        <x:v>Unknown</x:v>
      </x:c>
      <x:c r="T787" s="117" t="str">
        <x:v>Unknown</x:v>
      </x:c>
      <x:c r="U787" s="117" t="str">
        <x:v>Unknown</x:v>
      </x:c>
      <x:c r="V787" s="117" t="str">
        <x:v>Unknown</x:v>
      </x:c>
      <x:c r="W787" s="117" t="str">
        <x:v>Unknown</x:v>
      </x:c>
      <x:c r="X787" s="117" t="str">
        <x:v>Unknown</x:v>
      </x:c>
      <x:c r="Y787" s="117" t="str">
        <x:v>Unknown</x:v>
      </x:c>
      <x:c r="Z787" s="117"/>
      <x:c r="AA787" s="117" t="str">
        <x:v>Pending evidence</x:v>
      </x:c>
      <x:c r="AB787" s="117"/>
      <x:c r="AC787" s="117" t="str">
        <x:v>No qualifying accessibility conclusion established from the screened sources. This is unknown, not evidence that the attraction is inaccessible.</x:v>
      </x:c>
      <x:c r="AD787" s="117" t="str">
        <x:v>2026-09-08</x:v>
      </x:c>
      <x:c r="AE787" s="117" t="str">
        <x:v>MC0784</x:v>
      </x:c>
      <x:c r="AF787" s="117" t="str">
        <x:v>Distinct candidate</x:v>
      </x:c>
      <x:c r="AG787" s="117" t="str"/>
      <x:c r="AH787" s="117" t="str">
        <x:v>Listed by Tourism Malaysia</x:v>
      </x:c>
      <x:c r="AI787" s="117" t="str">
        <x:v>https://ebrochures.malaysia.travel/en/malaysia-travel-guide/labuan/</x:v>
      </x:c>
      <x:c r="AJ787" s="117" t="str">
        <x:v>Named visitor attraction in cited source; state-guide listings can be historical. Locality is catalogue metadata, not a surveyed address. Current operation remains unconfirmed.</x:v>
      </x:c>
      <x:c r="AK787" s="117" t="str">
        <x:v>Not independently confirmed</x:v>
      </x:c>
      <x:c r="AL787" s="117" t="str">
        <x:v>Screened sources; accessibility unresolved</x:v>
      </x:c>
      <x:c r="AM787" s="117" t="str">
        <x:v>2026-09-08</x:v>
      </x:c>
      <x:c r="AN787" s="117" t="str">
        <x:v>https://upload.wikimedia.org/wikipedia/commons/a/a5/An%27Nur_Jamek_Mosque%2C_Labuan.jpg?utm_source=commons.wikimedia.org&amp;utm_campaign=imageinfo&amp;utm_content=thumbnail_unscaled</x:v>
      </x:c>
      <x:c r="AO787" s="117" t="str">
        <x:v>https://thumb.wikimedia.org/wikipedia/commons/thumb/0/0e/Masjid_Jamek_An-Nur_di_Labuan.jpg/1280px-Masjid_Jamek_An-Nur_di_Labuan.jpg?utm_source=commons.wikimedia.org&amp;utm_campaign=imageinfo&amp;utm_content=thumbnail</x:v>
      </x:c>
      <x:c r="AP787" s="117" t="str">
        <x:v>2 metadata-matched images; visual review pending</x:v>
      </x:c>
      <x:c r="AQ787" s="117"/>
    </x:row>
    <x:row r="788" ht="66" customHeight="1">
      <x:c r="A788" s="117" t="str">
        <x:v>MC0785</x:v>
      </x:c>
      <x:c r="B788" s="117" t="str">
        <x:v>Ba Xian Miao Temple</x:v>
      </x:c>
      <x:c r="C788" s="117" t="str">
        <x:v>W.P. Labuan</x:v>
      </x:c>
      <x:c r="D788" s="117" t="str">
        <x:v>Labuan</x:v>
      </x:c>
      <x:c r="E788" s="117" t="str">
        <x:v>Religious Site</x:v>
      </x:c>
      <x:c r="F788" s="117" t="str">
        <x:v>Unclassified</x:v>
      </x:c>
      <x:c r="G788" s="117" t="str">
        <x:v>Both</x:v>
      </x:c>
      <x:c r="H788" s="117" t="str">
        <x:v>Religious Site; Labuan</x:v>
      </x:c>
      <x:c r="I788" s="117" t="str">
        <x:v>A visitor attraction in Labuan, W.P. Labuan, listed in Tourism Malaysia's state travel guide. Venue operation and the precise accessible route require confirmation.</x:v>
      </x:c>
      <x:c r="J788" s="117" t="str">
        <x:v>https://ebrochures.malaysia.travel/en/malaysia-travel-guide/labuan/</x:v>
      </x:c>
      <x:c r="K788" s="117" t="str">
        <x:v>https://ebrochures.malaysia.travel/en/malaysia-travel-guide/labuan/</x:v>
      </x:c>
      <x:c r="L788" s="117" t="str">
        <x:v>Tourism Malaysia listing; operation unconfirmed</x:v>
      </x:c>
      <x:c r="M788" s="117" t="str">
        <x:v>Nationwide expansion 2026-09-08</x:v>
      </x:c>
      <x:c r="N788" s="117"/>
      <x:c r="O788" s="117" t="str">
        <x:v>2026-09-08</x:v>
      </x:c>
      <x:c r="P788" s="117" t="str">
        <x:v>Complete</x:v>
      </x:c>
      <x:c r="Q788" s="117"/>
      <x:c r="R788" s="117" t="str">
        <x:f>IF(J788="","Missing Link",IF(AND(ISNUMBER(SEARCH("google.com/maps",J788)),ISERROR(SEARCH(";",J788))),"Discovery Link Only","Source Link Present"))</x:f>
        <x:v>Source Link Present</x:v>
      </x:c>
      <x:c r="S788" s="117" t="str">
        <x:v>Unknown</x:v>
      </x:c>
      <x:c r="T788" s="117" t="str">
        <x:v>Unknown</x:v>
      </x:c>
      <x:c r="U788" s="117" t="str">
        <x:v>Unknown</x:v>
      </x:c>
      <x:c r="V788" s="117" t="str">
        <x:v>Unknown</x:v>
      </x:c>
      <x:c r="W788" s="117" t="str">
        <x:v>Unknown</x:v>
      </x:c>
      <x:c r="X788" s="117" t="str">
        <x:v>Unknown</x:v>
      </x:c>
      <x:c r="Y788" s="117" t="str">
        <x:v>Unknown</x:v>
      </x:c>
      <x:c r="Z788" s="117"/>
      <x:c r="AA788" s="117" t="str">
        <x:v>Pending evidence</x:v>
      </x:c>
      <x:c r="AB788" s="117"/>
      <x:c r="AC788" s="117" t="str">
        <x:v>No qualifying accessibility conclusion established from the screened sources. This is unknown, not evidence that the attraction is inaccessible.</x:v>
      </x:c>
      <x:c r="AD788" s="117" t="str">
        <x:v>2026-09-08</x:v>
      </x:c>
      <x:c r="AE788" s="117" t="str">
        <x:v>MC0785</x:v>
      </x:c>
      <x:c r="AF788" s="117" t="str">
        <x:v>Distinct candidate</x:v>
      </x:c>
      <x:c r="AG788" s="117" t="str"/>
      <x:c r="AH788" s="117" t="str">
        <x:v>Listed by Tourism Malaysia</x:v>
      </x:c>
      <x:c r="AI788" s="117" t="str">
        <x:v>https://ebrochures.malaysia.travel/en/malaysia-travel-guide/labuan/</x:v>
      </x:c>
      <x:c r="AJ788" s="117" t="str">
        <x:v>Named visitor attraction in cited source; state-guide listings can be historical. Locality is catalogue metadata, not a surveyed address. Current operation remains unconfirmed.</x:v>
      </x:c>
      <x:c r="AK788" s="117" t="str">
        <x:v>Not independently confirmed</x:v>
      </x:c>
      <x:c r="AL788" s="117" t="str">
        <x:v>Screened sources; accessibility unresolved</x:v>
      </x:c>
      <x:c r="AM788" s="117" t="str">
        <x:v>2026-09-08</x:v>
      </x:c>
      <x:c r="AN788" s="117"/>
      <x:c r="AO788" s="117"/>
      <x:c r="AP788" s="117" t="str">
        <x:v>No usable pair located; image research pending</x:v>
      </x:c>
      <x:c r="AQ788" s="117"/>
    </x:row>
    <x:row r="789" ht="66" customHeight="1">
      <x:c r="A789" s="117" t="str">
        <x:v>MC0786</x:v>
      </x:c>
      <x:c r="B789" s="117" t="str">
        <x:v>Labuan Gurdwara Sahib</x:v>
      </x:c>
      <x:c r="C789" s="117" t="str">
        <x:v>W.P. Labuan</x:v>
      </x:c>
      <x:c r="D789" s="117" t="str">
        <x:v>Labuan</x:v>
      </x:c>
      <x:c r="E789" s="117" t="str">
        <x:v>Religious Site</x:v>
      </x:c>
      <x:c r="F789" s="117" t="str">
        <x:v>Unclassified</x:v>
      </x:c>
      <x:c r="G789" s="117" t="str">
        <x:v>Both</x:v>
      </x:c>
      <x:c r="H789" s="117" t="str">
        <x:v>Religious Site; Labuan</x:v>
      </x:c>
      <x:c r="I789" s="117" t="str">
        <x:v>A visitor attraction in Labuan, W.P. Labuan, listed in Tourism Malaysia's state travel guide. Venue operation and the precise accessible route require confirmation.</x:v>
      </x:c>
      <x:c r="J789" s="117" t="str">
        <x:v>https://ebrochures.malaysia.travel/en/malaysia-travel-guide/labuan/</x:v>
      </x:c>
      <x:c r="K789" s="117" t="str">
        <x:v>https://ebrochures.malaysia.travel/en/malaysia-travel-guide/labuan/</x:v>
      </x:c>
      <x:c r="L789" s="117" t="str">
        <x:v>Tourism Malaysia listing; operation unconfirmed</x:v>
      </x:c>
      <x:c r="M789" s="117" t="str">
        <x:v>Nationwide expansion 2026-09-08</x:v>
      </x:c>
      <x:c r="N789" s="117"/>
      <x:c r="O789" s="117" t="str">
        <x:v>2026-09-08</x:v>
      </x:c>
      <x:c r="P789" s="117" t="str">
        <x:v>Complete</x:v>
      </x:c>
      <x:c r="Q789" s="117"/>
      <x:c r="R789" s="117" t="str">
        <x:f>IF(J789="","Missing Link",IF(AND(ISNUMBER(SEARCH("google.com/maps",J789)),ISERROR(SEARCH(";",J789))),"Discovery Link Only","Source Link Present"))</x:f>
        <x:v>Source Link Present</x:v>
      </x:c>
      <x:c r="S789" s="117" t="str">
        <x:v>Unknown</x:v>
      </x:c>
      <x:c r="T789" s="117" t="str">
        <x:v>Unknown</x:v>
      </x:c>
      <x:c r="U789" s="117" t="str">
        <x:v>Unknown</x:v>
      </x:c>
      <x:c r="V789" s="117" t="str">
        <x:v>Unknown</x:v>
      </x:c>
      <x:c r="W789" s="117" t="str">
        <x:v>Unknown</x:v>
      </x:c>
      <x:c r="X789" s="117" t="str">
        <x:v>Unknown</x:v>
      </x:c>
      <x:c r="Y789" s="117" t="str">
        <x:v>Unknown</x:v>
      </x:c>
      <x:c r="Z789" s="117"/>
      <x:c r="AA789" s="117" t="str">
        <x:v>Pending evidence</x:v>
      </x:c>
      <x:c r="AB789" s="117"/>
      <x:c r="AC789" s="117" t="str">
        <x:v>No qualifying accessibility conclusion established from the screened sources. This is unknown, not evidence that the attraction is inaccessible.</x:v>
      </x:c>
      <x:c r="AD789" s="117" t="str">
        <x:v>2026-09-08</x:v>
      </x:c>
      <x:c r="AE789" s="117" t="str">
        <x:v>MC0786</x:v>
      </x:c>
      <x:c r="AF789" s="117" t="str">
        <x:v>Distinct candidate</x:v>
      </x:c>
      <x:c r="AG789" s="117" t="str"/>
      <x:c r="AH789" s="117" t="str">
        <x:v>Listed by Tourism Malaysia</x:v>
      </x:c>
      <x:c r="AI789" s="117" t="str">
        <x:v>https://ebrochures.malaysia.travel/en/malaysia-travel-guide/labuan/</x:v>
      </x:c>
      <x:c r="AJ789" s="117" t="str">
        <x:v>Named visitor attraction in cited source; state-guide listings can be historical. Locality is catalogue metadata, not a surveyed address. Current operation remains unconfirmed.</x:v>
      </x:c>
      <x:c r="AK789" s="117" t="str">
        <x:v>Not independently confirmed</x:v>
      </x:c>
      <x:c r="AL789" s="117" t="str">
        <x:v>Screened sources; accessibility unresolved</x:v>
      </x:c>
      <x:c r="AM789" s="117" t="str">
        <x:v>2026-09-08</x:v>
      </x:c>
      <x:c r="AN789" s="117"/>
      <x:c r="AO789" s="117"/>
      <x:c r="AP789" s="117" t="str">
        <x:v>No usable pair located; image research pending</x:v>
      </x:c>
      <x:c r="AQ789" s="117"/>
    </x:row>
    <x:row r="790" ht="66" customHeight="1">
      <x:c r="A790" s="117" t="str">
        <x:v>MC0787</x:v>
      </x:c>
      <x:c r="B790" s="117" t="str">
        <x:v>Gedung Ubat</x:v>
      </x:c>
      <x:c r="C790" s="117" t="str">
        <x:v>W.P. Labuan</x:v>
      </x:c>
      <x:c r="D790" s="117" t="str">
        <x:v>Labuan</x:v>
      </x:c>
      <x:c r="E790" s="117" t="str">
        <x:v>Heritage and Visitor Attraction</x:v>
      </x:c>
      <x:c r="F790" s="117" t="str">
        <x:v>Unclassified</x:v>
      </x:c>
      <x:c r="G790" s="117" t="str">
        <x:v>Both</x:v>
      </x:c>
      <x:c r="H790" s="117" t="str">
        <x:v>Heritage and Visitor Attraction; Labuan</x:v>
      </x:c>
      <x:c r="I790" s="117" t="str">
        <x:v>A visitor attraction in Labuan, W.P. Labuan, listed in Tourism Malaysia's state travel guide. Venue operation and the precise accessible route require confirmation.</x:v>
      </x:c>
      <x:c r="J790" s="117" t="str">
        <x:v>https://ebrochures.malaysia.travel/en/malaysia-travel-guide/labuan/</x:v>
      </x:c>
      <x:c r="K790" s="117" t="str">
        <x:v>https://ebrochures.malaysia.travel/en/malaysia-travel-guide/labuan/</x:v>
      </x:c>
      <x:c r="L790" s="117" t="str">
        <x:v>Tourism Malaysia listing; operation unconfirmed</x:v>
      </x:c>
      <x:c r="M790" s="117" t="str">
        <x:v>Nationwide expansion 2026-09-08</x:v>
      </x:c>
      <x:c r="N790" s="117"/>
      <x:c r="O790" s="117" t="str">
        <x:v>2026-09-08</x:v>
      </x:c>
      <x:c r="P790" s="117" t="str">
        <x:v>Complete</x:v>
      </x:c>
      <x:c r="Q790" s="117"/>
      <x:c r="R790" s="117" t="str">
        <x:f>IF(J790="","Missing Link",IF(AND(ISNUMBER(SEARCH("google.com/maps",J790)),ISERROR(SEARCH(";",J790))),"Discovery Link Only","Source Link Present"))</x:f>
        <x:v>Source Link Present</x:v>
      </x:c>
      <x:c r="S790" s="117" t="str">
        <x:v>Unknown</x:v>
      </x:c>
      <x:c r="T790" s="117" t="str">
        <x:v>Unknown</x:v>
      </x:c>
      <x:c r="U790" s="117" t="str">
        <x:v>Unknown</x:v>
      </x:c>
      <x:c r="V790" s="117" t="str">
        <x:v>Unknown</x:v>
      </x:c>
      <x:c r="W790" s="117" t="str">
        <x:v>Unknown</x:v>
      </x:c>
      <x:c r="X790" s="117" t="str">
        <x:v>Unknown</x:v>
      </x:c>
      <x:c r="Y790" s="117" t="str">
        <x:v>Unknown</x:v>
      </x:c>
      <x:c r="Z790" s="117"/>
      <x:c r="AA790" s="117" t="str">
        <x:v>Pending evidence</x:v>
      </x:c>
      <x:c r="AB790" s="117"/>
      <x:c r="AC790" s="117" t="str">
        <x:v>No qualifying accessibility conclusion established from the screened sources. This is unknown, not evidence that the attraction is inaccessible.</x:v>
      </x:c>
      <x:c r="AD790" s="117" t="str">
        <x:v>2026-09-08</x:v>
      </x:c>
      <x:c r="AE790" s="117" t="str">
        <x:v>MC0787</x:v>
      </x:c>
      <x:c r="AF790" s="117" t="str">
        <x:v>Distinct candidate</x:v>
      </x:c>
      <x:c r="AG790" s="117" t="str"/>
      <x:c r="AH790" s="117" t="str">
        <x:v>Listed by Tourism Malaysia</x:v>
      </x:c>
      <x:c r="AI790" s="117" t="str">
        <x:v>https://ebrochures.malaysia.travel/en/malaysia-travel-guide/labuan/</x:v>
      </x:c>
      <x:c r="AJ790" s="117" t="str">
        <x:v>Named visitor attraction in cited source; state-guide listings can be historical. Locality is catalogue metadata, not a surveyed address. Current operation remains unconfirmed.</x:v>
      </x:c>
      <x:c r="AK790" s="117" t="str">
        <x:v>Not independently confirmed</x:v>
      </x:c>
      <x:c r="AL790" s="117" t="str">
        <x:v>Screened sources; accessibility unresolved</x:v>
      </x:c>
      <x:c r="AM790" s="117" t="str">
        <x:v>2026-09-08</x:v>
      </x:c>
      <x:c r="AN790" s="117"/>
      <x:c r="AO790" s="117"/>
      <x:c r="AP790" s="117" t="str">
        <x:v>No usable pair located; image research pending</x:v>
      </x:c>
      <x:c r="AQ790" s="117"/>
    </x:row>
    <x:row r="791" ht="66" customHeight="1">
      <x:c r="A791" s="117" t="str">
        <x:v>MC0788</x:v>
      </x:c>
      <x:c r="B791" s="117" t="str">
        <x:v>Borneo Cultures Museum</x:v>
      </x:c>
      <x:c r="C791" s="117" t="str">
        <x:v>Sarawak</x:v>
      </x:c>
      <x:c r="D791" s="117" t="str">
        <x:v>Kuching</x:v>
      </x:c>
      <x:c r="E791" s="117" t="str">
        <x:v>Museum and Gallery</x:v>
      </x:c>
      <x:c r="F791" s="117" t="str">
        <x:v>Unclassified</x:v>
      </x:c>
      <x:c r="G791" s="117" t="str">
        <x:v>Indoor</x:v>
      </x:c>
      <x:c r="H791" s="117" t="str">
        <x:v>Museum and Gallery; Kuching</x:v>
      </x:c>
      <x:c r="I791" s="117" t="str">
        <x:v>A five-storey museum in Kuching presenting the cultures and history of Borneo. Separate from the old Sarawak Museum building.</x:v>
      </x:c>
      <x:c r="J791" s="117" t="str">
        <x:v>https://museum.sarawak.gov.my/web/subpage/webpage_view/169</x:v>
      </x:c>
      <x:c r="K791" s="117" t="str">
        <x:v>https://ebrochures.malaysia.travel/en/malaysia-travel-guide/sarawak/</x:v>
      </x:c>
      <x:c r="L791" s="117" t="str">
        <x:v>Tourism Malaysia listing; operation unconfirmed</x:v>
      </x:c>
      <x:c r="M791" s="117" t="str">
        <x:v>Nationwide expansion 2026-09-08</x:v>
      </x:c>
      <x:c r="N791" s="117"/>
      <x:c r="O791" s="117" t="str">
        <x:v>2026-09-08</x:v>
      </x:c>
      <x:c r="P791" s="117" t="str">
        <x:v>Complete</x:v>
      </x:c>
      <x:c r="Q791" s="117"/>
      <x:c r="R791" s="117" t="str">
        <x:f>IF(J791="","Missing Link",IF(AND(ISNUMBER(SEARCH("google.com/maps",J791)),ISERROR(SEARCH(";",J791))),"Discovery Link Only","Source Link Present"))</x:f>
        <x:v>Source Link Present</x:v>
      </x:c>
      <x:c r="S791" s="117" t="str">
        <x:v>Not measured</x:v>
      </x:c>
      <x:c r="T791" s="117" t="str">
        <x:v>Partial - ramps documented</x:v>
      </x:c>
      <x:c r="U791" s="117" t="str">
        <x:v>Unknown</x:v>
      </x:c>
      <x:c r="V791" s="117" t="str">
        <x:v>Yes - documented</x:v>
      </x:c>
      <x:c r="W791" s="117" t="str">
        <x:v>Unknown</x:v>
      </x:c>
      <x:c r="X791" s="117" t="str">
        <x:v>Yes - indoor museum</x:v>
      </x:c>
      <x:c r="Y791" s="117" t="str">
        <x:v>Conditional on mobility and route</x:v>
      </x:c>
      <x:c r="Z791" s="117" t="str">
        <x:v>The Sarawak Museum Department documents these facilities. Confirm the full gallery route and operating lifts; do not apply the facilities to other buildings in the campus.</x:v>
      </x:c>
      <x:c r="AA791" s="117" t="str">
        <x:v>Documented support - conditional</x:v>
      </x:c>
      <x:c r="AB791" s="117" t="str">
        <x:v>https://museum.sarawak.gov.my/web/subpage/webpage_view/139
https://museum.sarawak.gov.my/web/subpage/webpage_view/169</x:v>
      </x:c>
      <x:c r="AC791" s="117" t="str">
        <x:v>Borneo Cultures Museum; not old Sarawak Museum</x:v>
      </x:c>
      <x:c r="AD791" s="117" t="str">
        <x:v>2026-09-08</x:v>
      </x:c>
      <x:c r="AE791" s="117" t="str">
        <x:v>MC0788</x:v>
      </x:c>
      <x:c r="AF791" s="117" t="str">
        <x:v>Distinct candidate</x:v>
      </x:c>
      <x:c r="AG791" s="117" t="str"/>
      <x:c r="AH791" s="117" t="str">
        <x:v>Venue-specific source reviewed</x:v>
      </x:c>
      <x:c r="AI791" s="117" t="str">
        <x:v>https://museum.sarawak.gov.my/web/subpage/webpage_view/139</x:v>
      </x:c>
      <x:c r="AJ791" s="117" t="str">
        <x:v>Named visitor attraction in cited source; state-guide listings can be historical. Locality is catalogue metadata, not a surveyed address. Current operation remains unconfirmed.</x:v>
      </x:c>
      <x:c r="AK791" s="117" t="str">
        <x:v>Not independently confirmed</x:v>
      </x:c>
      <x:c r="AL791" s="117" t="str">
        <x:v>Primary accessibility evidence reviewed</x:v>
      </x:c>
      <x:c r="AM791" s="117" t="str">
        <x:v>2026-09-08</x:v>
      </x:c>
      <x:c r="AN791" s="117" t="str">
        <x:v>https://thumb.wikimedia.org/wikipedia/commons/thumb/4/47/Front_view_of_Borneo_Cultural_Museum_20220408153640.jpg/1280px-Front_view_of_Borneo_Cultural_Museum_20220408153640.jpg?utm_source=commons.wikimedia.org&amp;utm_campaign=imageinfo&amp;utm_content=thumbnail</x:v>
      </x:c>
      <x:c r="AO791" s="117" t="str">
        <x:v>https://thumb.wikimedia.org/wikipedia/commons/thumb/0/0c/Borneo_Cultures_Museum_%282024%29.jpg/1280px-Borneo_Cultures_Museum_%282024%29.jpg?utm_source=commons.wikimedia.org&amp;utm_campaign=imageinfo&amp;utm_content=thumbnail</x:v>
      </x:c>
      <x:c r="AP791" s="117" t="str">
        <x:v>2 metadata-matched images; visual review pending</x:v>
      </x:c>
      <x:c r="AQ791" s="117"/>
    </x:row>
    <x:row r="792" ht="66" customHeight="1">
      <x:c r="A792" s="117" t="str">
        <x:v>MC0789</x:v>
      </x:c>
      <x:c r="B792" s="117" t="str">
        <x:v>Bank Negara Malaysia Museum and Art Gallery</x:v>
      </x:c>
      <x:c r="C792" s="117" t="str">
        <x:v>W.P. Kuala Lumpur</x:v>
      </x:c>
      <x:c r="D792" s="117" t="str">
        <x:v>Kuala Lumpur</x:v>
      </x:c>
      <x:c r="E792" s="117" t="str">
        <x:v>Museum and Gallery</x:v>
      </x:c>
      <x:c r="F792" s="117" t="str">
        <x:v>Unclassified</x:v>
      </x:c>
      <x:c r="G792" s="117" t="str">
        <x:v>Indoor</x:v>
      </x:c>
      <x:c r="H792" s="117" t="str">
        <x:v>Museum and Gallery; Kuala Lumpur</x:v>
      </x:c>
      <x:c r="I792" s="117" t="str">
        <x:v>A museum and art gallery in Sasana Kijang with galleries on economics, banking, currency and art.</x:v>
      </x:c>
      <x:c r="J792" s="117" t="str">
        <x:v>https://museum.bnm.gov.my/visit/</x:v>
      </x:c>
      <x:c r="K792" s="117" t="str">
        <x:v>https://ebrochures.malaysia.travel/en/malaysia-travel-guide/kuala-lumpur/</x:v>
      </x:c>
      <x:c r="L792" s="117" t="str">
        <x:v>Tourism Malaysia listing; operation unconfirmed</x:v>
      </x:c>
      <x:c r="M792" s="117" t="str">
        <x:v>Nationwide expansion 2026-09-08</x:v>
      </x:c>
      <x:c r="N792" s="117"/>
      <x:c r="O792" s="117" t="str">
        <x:v>2026-09-08</x:v>
      </x:c>
      <x:c r="P792" s="117" t="str">
        <x:v>Complete</x:v>
      </x:c>
      <x:c r="Q792" s="117"/>
      <x:c r="R792" s="117" t="str">
        <x:f>IF(J792="","Missing Link",IF(AND(ISNUMBER(SEARCH("google.com/maps",J792)),ISERROR(SEARCH(";",J792))),"Discovery Link Only","Source Link Present"))</x:f>
        <x:v>Source Link Present</x:v>
      </x:c>
      <x:c r="S792" s="117" t="str">
        <x:v>Not measured</x:v>
      </x:c>
      <x:c r="T792" s="117" t="str">
        <x:v>Yes - ramps and elevators</x:v>
      </x:c>
      <x:c r="U792" s="117" t="str">
        <x:v>Unknown</x:v>
      </x:c>
      <x:c r="V792" s="117" t="str">
        <x:v>Yes - documented</x:v>
      </x:c>
      <x:c r="W792" s="117" t="str">
        <x:v>Unknown</x:v>
      </x:c>
      <x:c r="X792" s="117" t="str">
        <x:v>Yes - indoor galleries</x:v>
      </x:c>
      <x:c r="Y792" s="117" t="str">
        <x:v>Conditional on mobility and route</x:v>
      </x:c>
      <x:c r="Z792" s="117" t="str">
        <x:v>The operator documents wheelchair circulation facilities. Its older facilities page remains available; confirm current opening and lift operation before a visit.</x:v>
      </x:c>
      <x:c r="AA792" s="117" t="str">
        <x:v>Documented support - conditional</x:v>
      </x:c>
      <x:c r="AB792" s="117" t="str">
        <x:v>https://museum.bnm.gov.my/visit/</x:v>
      </x:c>
      <x:c r="AC792" s="117" t="str">
        <x:v>Museum galleries in Sasana Kijang</x:v>
      </x:c>
      <x:c r="AD792" s="117" t="str">
        <x:v>2026-09-08</x:v>
      </x:c>
      <x:c r="AE792" s="117" t="str">
        <x:v>MC0789</x:v>
      </x:c>
      <x:c r="AF792" s="117" t="str">
        <x:v>Distinct candidate</x:v>
      </x:c>
      <x:c r="AG792" s="117" t="str"/>
      <x:c r="AH792" s="117" t="str">
        <x:v>Venue-specific source reviewed</x:v>
      </x:c>
      <x:c r="AI792" s="117" t="str">
        <x:v>https://museum.bnm.gov.my/visit/</x:v>
      </x:c>
      <x:c r="AJ792" s="117" t="str">
        <x:v>Named visitor attraction in cited source; state-guide listings can be historical. Locality is catalogue metadata, not a surveyed address. Current operation remains unconfirmed.</x:v>
      </x:c>
      <x:c r="AK792" s="117" t="str">
        <x:v>Not independently confirmed</x:v>
      </x:c>
      <x:c r="AL792" s="117" t="str">
        <x:v>Primary accessibility evidence reviewed</x:v>
      </x:c>
      <x:c r="AM792" s="117" t="str">
        <x:v>2026-09-08</x:v>
      </x:c>
      <x:c r="AN792" s="117" t="str">
        <x:v>https://thumb.wikimedia.org/wikipedia/commons/thumb/0/0f/Bank_Negara_Malaysia_Museum_and_Art_Gallery.jpg/1280px-Bank_Negara_Malaysia_Museum_and_Art_Gallery.jpg?utm_source=commons.wikimedia.org&amp;utm_campaign=imageinfo&amp;utm_content=thumbnail</x:v>
      </x:c>
      <x:c r="AO792" s="117" t="str">
        <x:v>https://thumb.wikimedia.org/wikipedia/commons/thumb/2/2b/Astrolabe_at_Bank_Negara_Malaysia_Museum_and_Art_Gallery.jpg/1280px-Astrolabe_at_Bank_Negara_Malaysia_Museum_and_Art_Gallery.jpg?utm_source=commons.wikimedia.org&amp;utm_campaign=imageinfo&amp;utm_content=thumbnail</x:v>
      </x:c>
      <x:c r="AP792" s="117" t="str">
        <x:v>2 metadata-matched images; visual review pending</x:v>
      </x:c>
      <x:c r="AQ792" s="117"/>
    </x:row>
    <x:row r="793" ht="66" customHeight="1">
      <x:c r="A793" s="117" t="str">
        <x:v>MC0790</x:v>
      </x:c>
      <x:c r="B793" s="117" t="str">
        <x:v>Awana SkyWay</x:v>
      </x:c>
      <x:c r="C793" s="117" t="str">
        <x:v>Pahang</x:v>
      </x:c>
      <x:c r="D793" s="117" t="str">
        <x:v>Genting Highlands</x:v>
      </x:c>
      <x:c r="E793" s="117" t="str">
        <x:v>Scenic Transport</x:v>
      </x:c>
      <x:c r="F793" s="117" t="str">
        <x:v>Unclassified</x:v>
      </x:c>
      <x:c r="G793" s="117" t="str">
        <x:v>Both</x:v>
      </x:c>
      <x:c r="H793" s="117" t="str">
        <x:v>Scenic Transport; Genting Highlands</x:v>
      </x:c>
      <x:c r="I793" s="117" t="str">
        <x:v>A cable-car visitor experience connecting the lower station with Resorts World Genting. Accessibility information is specific to the standard gondola.</x:v>
      </x:c>
      <x:c r="J793" s="117" t="str">
        <x:v>https://www.rwgenting.com/en/getting-here/cable-car.html</x:v>
      </x:c>
      <x:c r="K793" s="117" t="str">
        <x:v>https://ebrochures.malaysia.travel/en/malaysia-travel-guide/pahang/</x:v>
      </x:c>
      <x:c r="L793" s="117" t="str">
        <x:v>Tourism Malaysia listing; operation unconfirmed</x:v>
      </x:c>
      <x:c r="M793" s="117" t="str">
        <x:v>Nationwide expansion 2026-09-08</x:v>
      </x:c>
      <x:c r="N793" s="117"/>
      <x:c r="O793" s="117" t="str">
        <x:v>2026-09-08</x:v>
      </x:c>
      <x:c r="P793" s="117" t="str">
        <x:v>Complete</x:v>
      </x:c>
      <x:c r="Q793" s="117"/>
      <x:c r="R793" s="117" t="str">
        <x:f>IF(J793="","Missing Link",IF(AND(ISNUMBER(SEARCH("google.com/maps",J793)),ISERROR(SEARCH(";",J793))),"Discovery Link Only","Source Link Present"))</x:f>
        <x:v>Source Link Present</x:v>
      </x:c>
      <x:c r="S793" s="117" t="str">
        <x:v>Not measured</x:v>
      </x:c>
      <x:c r="T793" s="117" t="str">
        <x:v>Yes - standard gondola</x:v>
      </x:c>
      <x:c r="U793" s="117" t="str">
        <x:v>Unknown</x:v>
      </x:c>
      <x:c r="V793" s="117" t="str">
        <x:v>Unknown</x:v>
      </x:c>
      <x:c r="W793" s="117" t="str">
        <x:v>Unknown</x:v>
      </x:c>
      <x:c r="X793" s="117" t="str">
        <x:v>Unknown</x:v>
      </x:c>
      <x:c r="Y793" s="117" t="str">
        <x:v>Conditional on mobility and route</x:v>
      </x:c>
      <x:c r="Z793" s="117" t="str">
        <x:v>The access statement applies to standard gondolas. Glass-floor gondola access and step-free access at the intermediate temple attraction are not established.</x:v>
      </x:c>
      <x:c r="AA793" s="117" t="str">
        <x:v>Documented support - conditional</x:v>
      </x:c>
      <x:c r="AB793" s="117" t="str">
        <x:v>https://www.rwgenting.com/en/getting-here/cable-car.html</x:v>
      </x:c>
      <x:c r="AC793" s="117" t="str">
        <x:v>Awana SkyWay standard gondola only</x:v>
      </x:c>
      <x:c r="AD793" s="117" t="str">
        <x:v>2026-09-08</x:v>
      </x:c>
      <x:c r="AE793" s="117" t="str">
        <x:v>MC0790</x:v>
      </x:c>
      <x:c r="AF793" s="117" t="str">
        <x:v>Distinct candidate</x:v>
      </x:c>
      <x:c r="AG793" s="117" t="str"/>
      <x:c r="AH793" s="117" t="str">
        <x:v>Venue-specific source reviewed</x:v>
      </x:c>
      <x:c r="AI793" s="117" t="str">
        <x:v>https://www.rwgenting.com/en/getting-here/cable-car.html</x:v>
      </x:c>
      <x:c r="AJ793" s="117" t="str">
        <x:v>Named visitor attraction in cited source; state-guide listings can be historical. Locality is catalogue metadata, not a surveyed address. Current operation remains unconfirmed.</x:v>
      </x:c>
      <x:c r="AK793" s="117" t="str">
        <x:v>Not independently confirmed</x:v>
      </x:c>
      <x:c r="AL793" s="117" t="str">
        <x:v>Primary accessibility evidence reviewed</x:v>
      </x:c>
      <x:c r="AM793" s="117" t="str">
        <x:v>2026-09-08</x:v>
      </x:c>
      <x:c r="AN793" s="117" t="str">
        <x:v>https://thumb.wikimedia.org/wikipedia/commons/thumb/9/91/Awana_Skyway.jpg/1280px-Awana_Skyway.jpg?utm_source=commons.wikimedia.org&amp;utm_campaign=imageinfo&amp;utm_content=thumbnail</x:v>
      </x:c>
      <x:c r="AO793" s="117" t="str">
        <x:v>https://thumb.wikimedia.org/wikipedia/commons/thumb/b/b0/Awana_Skyway_Gondola_lift.jpg/1280px-Awana_Skyway_Gondola_lift.jpg?utm_source=commons.wikimedia.org&amp;utm_campaign=imageinfo&amp;utm_content=thumbnail</x:v>
      </x:c>
      <x:c r="AP793" s="117" t="str">
        <x:v>2 metadata-matched images; visual review pending</x:v>
      </x:c>
      <x:c r="AQ793" s="117"/>
    </x:row>
    <x:row r="794" ht="66" customHeight="1">
      <x:c r="A794" s="117" t="str">
        <x:v>MC0791</x:v>
      </x:c>
      <x:c r="B794" s="117" t="str">
        <x:v>National Art Gallery Malaysia</x:v>
      </x:c>
      <x:c r="C794" s="117" t="str">
        <x:v>W.P. Kuala Lumpur</x:v>
      </x:c>
      <x:c r="D794" s="117" t="str">
        <x:v>Kuala Lumpur</x:v>
      </x:c>
      <x:c r="E794" s="117" t="str">
        <x:v>Museum and Gallery</x:v>
      </x:c>
      <x:c r="F794" s="117" t="str">
        <x:v>Unclassified</x:v>
      </x:c>
      <x:c r="G794" s="117" t="str">
        <x:v>Indoor</x:v>
      </x:c>
      <x:c r="H794" s="117" t="str">
        <x:v>Museum and Gallery; Kuala Lumpur</x:v>
      </x:c>
      <x:c r="I794" s="117" t="str">
        <x:v>Balai Seni Negara, Malaysia's national visual-art gallery in Kuala Lumpur.</x:v>
      </x:c>
      <x:c r="J794" s="117" t="str">
        <x:v>https://www.artgallery.gov.my/soalan-lazim/</x:v>
      </x:c>
      <x:c r="K794" s="117" t="str">
        <x:v>https://ebrochures.malaysia.travel/en/malaysia-travel-guide/kuala-lumpur/</x:v>
      </x:c>
      <x:c r="L794" s="117" t="str">
        <x:v>Tourism Malaysia listing; operation unconfirmed</x:v>
      </x:c>
      <x:c r="M794" s="117" t="str">
        <x:v>Nationwide expansion 2026-09-08</x:v>
      </x:c>
      <x:c r="N794" s="117"/>
      <x:c r="O794" s="117" t="str">
        <x:v>2026-09-08</x:v>
      </x:c>
      <x:c r="P794" s="117" t="str">
        <x:v>Complete</x:v>
      </x:c>
      <x:c r="Q794" s="117"/>
      <x:c r="R794" s="117" t="str">
        <x:f>IF(J794="","Missing Link",IF(AND(ISNUMBER(SEARCH("google.com/maps",J794)),ISERROR(SEARCH(";",J794))),"Discovery Link Only","Source Link Present"))</x:f>
        <x:v>Source Link Present</x:v>
      </x:c>
      <x:c r="S794" s="117" t="str">
        <x:v>Not measured</x:v>
      </x:c>
      <x:c r="T794" s="117" t="str">
        <x:v>Unknown</x:v>
      </x:c>
      <x:c r="U794" s="117" t="str">
        <x:v>Unknown</x:v>
      </x:c>
      <x:c r="V794" s="117" t="str">
        <x:v>Unknown</x:v>
      </x:c>
      <x:c r="W794" s="117" t="str">
        <x:v>Unknown</x:v>
      </x:c>
      <x:c r="X794" s="117" t="str">
        <x:v>Unknown</x:v>
      </x:c>
      <x:c r="Y794" s="117" t="str">
        <x:v>Conditional on mobility and route</x:v>
      </x:c>
      <x:c r="Z794" s="117" t="str">
        <x:v>Request a wheelchair when registering at the main entrance. The FAQ confirms the service, not every gallery's route dimensions.</x:v>
      </x:c>
      <x:c r="AA794" s="117" t="str">
        <x:v>Documented support - conditional</x:v>
      </x:c>
      <x:c r="AB794" s="117" t="str">
        <x:v>https://www.artgallery.gov.my/soalan-lazim/</x:v>
      </x:c>
      <x:c r="AC794" s="117" t="str">
        <x:v>Wheelchair service at main entrance</x:v>
      </x:c>
      <x:c r="AD794" s="117" t="str">
        <x:v>2026-09-08</x:v>
      </x:c>
      <x:c r="AE794" s="117" t="str">
        <x:v>MC0791</x:v>
      </x:c>
      <x:c r="AF794" s="117" t="str">
        <x:v>Distinct candidate</x:v>
      </x:c>
      <x:c r="AG794" s="117" t="str"/>
      <x:c r="AH794" s="117" t="str">
        <x:v>Venue-specific source reviewed</x:v>
      </x:c>
      <x:c r="AI794" s="117" t="str">
        <x:v>https://www.artgallery.gov.my/soalan-lazim/</x:v>
      </x:c>
      <x:c r="AJ794" s="117" t="str">
        <x:v>Named visitor attraction in cited source; state-guide listings can be historical. Locality is catalogue metadata, not a surveyed address. Current operation remains unconfirmed.</x:v>
      </x:c>
      <x:c r="AK794" s="117" t="str">
        <x:v>Not independently confirmed</x:v>
      </x:c>
      <x:c r="AL794" s="117" t="str">
        <x:v>Primary accessibility evidence reviewed</x:v>
      </x:c>
      <x:c r="AM794" s="117" t="str">
        <x:v>2026-09-08</x:v>
      </x:c>
      <x:c r="AN794" s="117" t="str">
        <x:v>https://upload.wikimedia.org/wikipedia/commons/6/6f/Balai_Seni_Lukis_Negara_2007_1.jpg?utm_source=commons.wikimedia.org&amp;utm_campaign=imageinfo&amp;utm_content=thumbnail_unscaled</x:v>
      </x:c>
      <x:c r="AO794" s="117" t="str">
        <x:v>https://thumb.wikimedia.org/wikipedia/commons/thumb/9/94/Balai_Seni_Negara.jpg/1280px-Balai_Seni_Negara.jpg?utm_source=commons.wikimedia.org&amp;utm_campaign=imageinfo&amp;utm_content=thumbnail</x:v>
      </x:c>
      <x:c r="AP794" s="117" t="str">
        <x:v>2 metadata-matched images; visual review pending</x:v>
      </x:c>
      <x:c r="AQ794" s="117"/>
    </x:row>
    <x:row r="795" ht="66" customHeight="1">
      <x:c r="A795" s="117" t="str">
        <x:v>MC0792</x:v>
      </x:c>
      <x:c r="B795" s="117" t="str">
        <x:v>The Royal Press</x:v>
      </x:c>
      <x:c r="C795" s="117" t="str">
        <x:v>Melaka</x:v>
      </x:c>
      <x:c r="D795" s="117" t="str">
        <x:v>Melaka City</x:v>
      </x:c>
      <x:c r="E795" s="117" t="str">
        <x:v>Museum and Gallery</x:v>
      </x:c>
      <x:c r="F795" s="117" t="str">
        <x:v>Unclassified</x:v>
      </x:c>
      <x:c r="G795" s="117" t="str">
        <x:v>Indoor</x:v>
      </x:c>
      <x:c r="H795" s="117" t="str">
        <x:v>Museum and Gallery; Melaka City</x:v>
      </x:c>
      <x:c r="I795" s="117" t="str">
        <x:v>A printing heritage museum on Jalan Hang Jebat offering guided tours. The operator explicitly states it is not wheelchair accessible.</x:v>
      </x:c>
      <x:c r="J795" s="117" t="str">
        <x:v>https://theroyalpress.my/faq</x:v>
      </x:c>
      <x:c r="K795" s="117" t="str">
        <x:v>https://ebrochures.malaysia.travel/en/malaysia-travel-guide/melaka/</x:v>
      </x:c>
      <x:c r="L795" s="117" t="str">
        <x:v>Tourism Malaysia listing; operation unconfirmed</x:v>
      </x:c>
      <x:c r="M795" s="117" t="str">
        <x:v>Nationwide expansion 2026-09-08</x:v>
      </x:c>
      <x:c r="N795" s="117"/>
      <x:c r="O795" s="117" t="str">
        <x:v>2026-09-08</x:v>
      </x:c>
      <x:c r="P795" s="117" t="str">
        <x:v>Complete</x:v>
      </x:c>
      <x:c r="Q795" s="117"/>
      <x:c r="R795" s="117" t="str">
        <x:f>IF(J795="","Missing Link",IF(AND(ISNUMBER(SEARCH("google.com/maps",J795)),ISERROR(SEARCH(";",J795))),"Discovery Link Only","Source Link Present"))</x:f>
        <x:v>Source Link Present</x:v>
      </x:c>
      <x:c r="S795" s="117" t="str">
        <x:v>Not measured</x:v>
      </x:c>
      <x:c r="T795" s="117" t="str">
        <x:v>No - operator statement</x:v>
      </x:c>
      <x:c r="U795" s="117" t="str">
        <x:v>Unknown</x:v>
      </x:c>
      <x:c r="V795" s="117" t="str">
        <x:v>Unknown</x:v>
      </x:c>
      <x:c r="W795" s="117" t="str">
        <x:v>Unknown</x:v>
      </x:c>
      <x:c r="X795" s="117" t="str">
        <x:v>Unknown</x:v>
      </x:c>
      <x:c r="Y795" s="117" t="str">
        <x:v>Not recommended for stated route</x:v>
      </x:c>
      <x:c r="Z795" s="117" t="str">
        <x:v>Space limitations prevent wheelchair access. Do not recommend this tour to someone who needs a wheelchair-accessible route.</x:v>
      </x:c>
      <x:c r="AA795" s="117" t="str">
        <x:v>Restricted route</x:v>
      </x:c>
      <x:c r="AB795" s="117" t="str">
        <x:v>https://theroyalpress.my/faq</x:v>
      </x:c>
      <x:c r="AC795" s="117" t="str">
        <x:v>Museum tour</x:v>
      </x:c>
      <x:c r="AD795" s="117" t="str">
        <x:v>2026-09-08</x:v>
      </x:c>
      <x:c r="AE795" s="117" t="str">
        <x:v>MC0792</x:v>
      </x:c>
      <x:c r="AF795" s="117" t="str">
        <x:v>Distinct candidate</x:v>
      </x:c>
      <x:c r="AG795" s="117" t="str"/>
      <x:c r="AH795" s="117" t="str">
        <x:v>Venue-specific source reviewed</x:v>
      </x:c>
      <x:c r="AI795" s="117" t="str">
        <x:v>https://theroyalpress.my/faq</x:v>
      </x:c>
      <x:c r="AJ795" s="117" t="str">
        <x:v>Named visitor attraction in cited source; state-guide listings can be historical. Locality is catalogue metadata, not a surveyed address. Current operation remains unconfirmed.</x:v>
      </x:c>
      <x:c r="AK795" s="117" t="str">
        <x:v>Not independently confirmed</x:v>
      </x:c>
      <x:c r="AL795" s="117" t="str">
        <x:v>Access restriction documented</x:v>
      </x:c>
      <x:c r="AM795" s="117" t="str">
        <x:v>2026-09-08</x:v>
      </x:c>
      <x:c r="AN795" s="117"/>
      <x:c r="AO795" s="117"/>
      <x:c r="AP795" s="117" t="str">
        <x:v>No usable pair located; image research pending</x:v>
      </x:c>
      <x:c r="AQ795" s="117"/>
    </x:row>
    <x:row r="796" ht="66" customHeight="1">
      <x:c r="A796" s="117" t="str">
        <x:v>MC0793</x:v>
      </x:c>
      <x:c r="B796" s="117" t="str">
        <x:v>Zoo Negara</x:v>
      </x:c>
      <x:c r="C796" s="117" t="str">
        <x:v>Selangor</x:v>
      </x:c>
      <x:c r="D796" s="117" t="str">
        <x:v>Hulu Kelang / Ampang</x:v>
      </x:c>
      <x:c r="E796" s="117" t="str">
        <x:v>Wildlife</x:v>
      </x:c>
      <x:c r="F796" s="117" t="str">
        <x:v>Unclassified</x:v>
      </x:c>
      <x:c r="G796" s="117" t="str">
        <x:v>Outdoor</x:v>
      </x:c>
      <x:c r="H796" s="117" t="str">
        <x:v>Wildlife; Hulu Kelang / Ampang</x:v>
      </x:c>
      <x:c r="I796" s="117" t="str">
        <x:v>Malaysia's national zoo in Hulu Kelang, with a tram service listed by the operator; accessible tram boarding is not confirmed.</x:v>
      </x:c>
      <x:c r="J796" s="117" t="str">
        <x:v>https://www.zoonegara.my/rides.html</x:v>
      </x:c>
      <x:c r="K796" s="117" t="str">
        <x:v>https://ebrochures.malaysia.travel/en/malaysia-travel-guide/selangor/</x:v>
      </x:c>
      <x:c r="L796" s="117" t="str">
        <x:v>Tourism Malaysia listing; operation unconfirmed</x:v>
      </x:c>
      <x:c r="M796" s="117" t="str">
        <x:v>Nationwide expansion 2026-09-08</x:v>
      </x:c>
      <x:c r="N796" s="117"/>
      <x:c r="O796" s="117" t="str">
        <x:v>2026-09-08</x:v>
      </x:c>
      <x:c r="P796" s="117" t="str">
        <x:v>Complete</x:v>
      </x:c>
      <x:c r="Q796" s="117"/>
      <x:c r="R796" s="117" t="str">
        <x:f>IF(J796="","Missing Link",IF(AND(ISNUMBER(SEARCH("google.com/maps",J796)),ISERROR(SEARCH(";",J796))),"Discovery Link Only","Source Link Present"))</x:f>
        <x:v>Source Link Present</x:v>
      </x:c>
      <x:c r="S796" s="117" t="str">
        <x:v>Not measured</x:v>
      </x:c>
      <x:c r="T796" s="117" t="str">
        <x:v>Unknown</x:v>
      </x:c>
      <x:c r="U796" s="117" t="str">
        <x:v>Unknown</x:v>
      </x:c>
      <x:c r="V796" s="117" t="str">
        <x:v>Unknown</x:v>
      </x:c>
      <x:c r="W796" s="117" t="str">
        <x:v>Unknown</x:v>
      </x:c>
      <x:c r="X796" s="117" t="str">
        <x:v>Unknown</x:v>
      </x:c>
      <x:c r="Y796" s="117" t="str">
        <x:v>Conditional on mobility and route</x:v>
      </x:c>
      <x:c r="Z796" s="117" t="str">
        <x:v>The tram can reduce walking for visitors who can board it. Confirm boarding steps and wheelchair carriage; do not label the entire zoo wheelchair accessible from this evidence.</x:v>
      </x:c>
      <x:c r="AA796" s="117" t="str">
        <x:v>Documented support - conditional</x:v>
      </x:c>
      <x:c r="AB796" s="117" t="str">
        <x:v>https://www.zoonegara.my/rides.html</x:v>
      </x:c>
      <x:c r="AC796" s="117" t="str">
        <x:v>Zoo tram; boarding and accessible routes unconfirmed</x:v>
      </x:c>
      <x:c r="AD796" s="117" t="str">
        <x:v>2026-09-08</x:v>
      </x:c>
      <x:c r="AE796" s="117" t="str">
        <x:v>MC0793</x:v>
      </x:c>
      <x:c r="AF796" s="117" t="str">
        <x:v>Distinct candidate</x:v>
      </x:c>
      <x:c r="AG796" s="117" t="str"/>
      <x:c r="AH796" s="117" t="str">
        <x:v>Venue-specific source reviewed</x:v>
      </x:c>
      <x:c r="AI796" s="117" t="str">
        <x:v>https://www.zoonegara.my/rides.html</x:v>
      </x:c>
      <x:c r="AJ796" s="117" t="str">
        <x:v>Named visitor attraction in cited source; state-guide listings can be historical. Locality is catalogue metadata, not a surveyed address. Current operation remains unconfirmed.</x:v>
      </x:c>
      <x:c r="AK796" s="117" t="str">
        <x:v>Not independently confirmed</x:v>
      </x:c>
      <x:c r="AL796" s="117" t="str">
        <x:v>Primary accessibility evidence reviewed</x:v>
      </x:c>
      <x:c r="AM796" s="117" t="str">
        <x:v>2026-09-08</x:v>
      </x:c>
      <x:c r="AN796" s="117" t="str">
        <x:v>https://thumb.wikimedia.org/wikipedia/commons/thumb/a/a9/YosriPintuZooNegara.jpg/1280px-YosriPintuZooNegara.jpg?utm_source=commons.wikimedia.org&amp;utm_campaign=imageinfo&amp;utm_content=thumbnail</x:v>
      </x:c>
      <x:c r="AO796" s="117" t="str">
        <x:v>https://thumb.wikimedia.org/wikipedia/commons/thumb/0/0b/Zoo_Negara_entrance_with_elephant_sculpture.jpg/1280px-Zoo_Negara_entrance_with_elephant_sculpture.jpg?utm_source=commons.wikimedia.org&amp;utm_campaign=imageinfo&amp;utm_content=thumbnail</x:v>
      </x:c>
      <x:c r="AP796" s="117" t="str">
        <x:v>2 metadata-matched images; visual review pending</x:v>
      </x:c>
      <x:c r="AQ796" s="117"/>
    </x:row>
  </x:sheetData>
  <x:mergeCells>
    <x:mergeCell ref="A1:AQ1"/>
    <x:mergeCell ref="A2:AQ2"/>
  </x:mergeCells>
  <x:conditionalFormatting sqref="P4:P434">
    <x:cfRule type="containsText" dxfId="3" priority="2" operator="containsText" text="Pending Review">
      <x:formula>NOT(ISERROR(SEARCH("Pending Review",P4)))</x:formula>
    </x:cfRule>
    <x:cfRule type="containsText" dxfId="2" priority="3" operator="containsText" text="Approved">
      <x:formula>NOT(ISERROR(SEARCH("Approved",P4)))</x:formula>
    </x:cfRule>
    <x:cfRule type="containsText" dxfId="1" priority="4" operator="containsText" text="Rejected">
      <x:formula>NOT(ISERROR(SEARCH("Rejected",P4)))</x:formula>
    </x:cfRule>
  </x:conditionalFormatting>
  <x:conditionalFormatting sqref="R4:R434">
    <x:cfRule type="containsText" dxfId="0" priority="5" operator="containsText" text="Missing Link">
      <x:formula>NOT(ISERROR(SEARCH("Missing Link",R4)))</x:formula>
    </x:cfRule>
  </x:conditionalFormatting>
  <x:conditionalFormatting sqref="S4:Z434">
    <x:cfRule type="expression" dxfId="7" priority="6">
      <x:formula>MOD(ROW(),2)=0</x:formula>
    </x:cfRule>
  </x:conditionalFormatting>
  <x:conditionalFormatting sqref="AA4:AA434">
    <x:cfRule type="expression" dxfId="10" priority="7">
      <x:formula>$AA4="Eligible"</x:formula>
    </x:cfRule>
    <x:cfRule type="expression" dxfId="11" priority="8">
      <x:formula>$AA4="Excluded"</x:formula>
    </x:cfRule>
  </x:conditionalFormatting>
  <x:dataValidations count="11">
    <x:dataValidation type="list" sqref="P4:P434">
      <x:formula1>"Pending Review,Approved,Rejected,Needs More Research"</x:formula1>
      <x:formula2>0</x:formula2>
    </x:dataValidation>
    <x:dataValidation type="list" sqref="F4:F434">
      <x:formula1>"Popular,Local,Rural,Underrated,Seasonal,Unclassified"</x:formula1>
      <x:formula2>0</x:formula2>
    </x:dataValidation>
    <x:dataValidation type="list" sqref="S4:S434">
      <x:formula1>"Low,Moderate,High,Unknown"</x:formula1>
    </x:dataValidation>
    <x:dataValidation type="list" sqref="T4:T434">
      <x:formula1>"Yes,Partial,No,Unknown"</x:formula1>
    </x:dataValidation>
    <x:dataValidation type="list" sqref="U4:U434">
      <x:formula1>"Yes,Partial,No,Unknown"</x:formula1>
    </x:dataValidation>
    <x:dataValidation type="list" sqref="V4:V434">
      <x:formula1>"Yes,Partial,No,Unknown"</x:formula1>
    </x:dataValidation>
    <x:dataValidation type="list" sqref="X4:X434">
      <x:formula1>"Yes,Partial,No,Unknown"</x:formula1>
    </x:dataValidation>
    <x:dataValidation type="list" sqref="W4:W434">
      <x:formula1>"Near,Moderate,Far,Unknown"</x:formula1>
    </x:dataValidation>
    <x:dataValidation type="list" sqref="Y4:Y434">
      <x:formula1>"Suitable,Suitable with assistance,Not recommended,Unknown"</x:formula1>
    </x:dataValidation>
    <x:dataValidation type="list" sqref="AA4:AA434">
      <x:formula1>"Eligible,Excluded"</x:formula1>
    </x:dataValidation>
    <x:dataValidation type="list" sqref="P4:P796">
      <x:formula1>"Pending Review,Complete"</x:formula1>
    </x:dataValidation>
  </x:dataValidations>
  <x:pageMargins left="0.7" right="0.7" top="0.75" bottom="0.75" header="0.3" footer="0.3"/>
  <x:tableParts count="1">
    <x:tablePart xmlns:r="http://schemas.openxmlformats.org/officeDocument/2006/relationships" r:id="R2541b8f3c0e1430b"/>
  </x:tableParts>
</x:worksheet>
</file>

<file path=xl/worksheets/sheet2.xml><?xml version="1.0" encoding="utf-8"?>
<x:worksheet xmlns:x="http://schemas.openxmlformats.org/spreadsheetml/2006/main">
  <x:sheetViews>
    <x:sheetView showGridLines="0" workbookViewId="0"/>
  </x:sheetViews>
  <x:sheetFormatPr defaultColWidth="8.7109375" defaultRowHeight="12.75"/>
  <x:cols>
    <x:col min="1" max="1" width="22" style="9" customWidth="1"/>
    <x:col min="2" max="11" width="15" style="9" customWidth="1"/>
  </x:cols>
  <x:sheetData>
    <x:row r="1" ht="30" customHeight="1">
      <x:c r="A1" s="6" t="s">
        <x:v>0</x:v>
      </x:c>
      <x:c r="B1" s="6"/>
      <x:c r="C1" s="6"/>
      <x:c r="D1" s="6"/>
      <x:c r="E1" s="6"/>
      <x:c r="F1" s="6"/>
      <x:c r="G1" s="6"/>
      <x:c r="H1" s="6"/>
      <x:c r="I1" s="6"/>
      <x:c r="J1" s="6"/>
      <x:c r="K1" s="6"/>
    </x:row>
    <x:row r="2" ht="24" customHeight="1">
      <x:c r="A2" s="5" t="s">
        <x:v>1</x:v>
      </x:c>
      <x:c r="B2" s="5"/>
      <x:c r="C2" s="5"/>
      <x:c r="D2" s="5"/>
      <x:c r="E2" s="5"/>
      <x:c r="F2" s="5"/>
      <x:c r="G2" s="5"/>
      <x:c r="H2" s="5"/>
      <x:c r="I2" s="5"/>
      <x:c r="J2" s="5"/>
      <x:c r="K2" s="5"/>
    </x:row>
    <x:row r="3" ht="15" customHeight="1">
      <x:c r="A3" s="24"/>
      <x:c r="B3" s="24"/>
      <x:c r="C3" s="24"/>
      <x:c r="D3" s="24"/>
      <x:c r="E3" s="24"/>
      <x:c r="F3" s="24"/>
      <x:c r="G3" s="24"/>
      <x:c r="H3" s="24"/>
      <x:c r="I3" s="24"/>
      <x:c r="J3" s="24"/>
      <x:c r="K3" s="24"/>
    </x:row>
    <x:row r="4" ht="33.75" customHeight="1">
      <x:c r="A4" s="25" t="s">
        <x:v>2</x:v>
      </x:c>
      <x:c r="B4" s="25" t="s">
        <x:v>3</x:v>
      </x:c>
      <x:c r="C4" s="25" t="s">
        <x:v>4</x:v>
      </x:c>
      <x:c r="D4" s="25" t="s">
        <x:v>5</x:v>
      </x:c>
      <x:c r="E4" s="25" t="s">
        <x:v>6</x:v>
      </x:c>
      <x:c r="F4" s="25" t="s">
        <x:v>7</x:v>
      </x:c>
      <x:c r="G4" s="25" t="s">
        <x:v>8</x:v>
      </x:c>
      <x:c r="H4" s="25" t="s">
        <x:v>9</x:v>
      </x:c>
      <x:c r="I4" s="25" t="s">
        <x:v>10</x:v>
      </x:c>
      <x:c r="J4" s="25" t="s">
        <x:v>11</x:v>
      </x:c>
      <x:c r="K4" s="25" t="s">
        <x:v>12</x:v>
      </x:c>
    </x:row>
    <x:row r="5" ht="15" customHeight="1">
      <x:c r="A5" s="26" t="s">
        <x:v>13</x:v>
      </x:c>
      <x:c r="B5" s="26" t="n">
        <x:f>COUNTIFS(Catalogue!$C$4:$C$796,A5)</x:f>
        <x:v>60</x:v>
      </x:c>
      <x:c r="C5" s="26" t="n">
        <x:f>COUNTIFS(Catalogue!$C$4:$C$796,A5,Catalogue!$F$4:$F$796,"Popular")</x:f>
        <x:v>8</x:v>
      </x:c>
      <x:c r="D5" s="26" t="n">
        <x:f>COUNTIFS(Catalogue!$C$4:$C$796,A5,Catalogue!$F$4:$F$796,"Local")</x:f>
        <x:v>10</x:v>
      </x:c>
      <x:c r="E5" s="26" t="n">
        <x:f>COUNTIFS(Catalogue!$C$4:$C$796,A5,Catalogue!$F$4:$F$796,"Rural")</x:f>
        <x:v>2</x:v>
      </x:c>
      <x:c r="F5" s="26" t="n">
        <x:f>COUNTIFS(Catalogue!$C$4:$C$796,A5,Catalogue!$F$4:$F$796,"Underrated")</x:f>
        <x:v>5</x:v>
      </x:c>
      <x:c r="G5" s="26" t="n">
        <x:f t="shared" ref="G5:G20" si="0">B5-SUM(C5:F5)</x:f>
        <x:v>35</x:v>
      </x:c>
      <x:c r="H5" s="26" t="n">
        <x:f>COUNTIFS(Catalogue!$C$4:$C$796,A5,Catalogue!$P$4:$P$796,"Pending Review")</x:f>
        <x:v>1</x:v>
      </x:c>
      <x:c r="I5" s="26" t="n">
        <x:f>COUNTIFS(Catalogue!$C$4:$C$796,A5,Catalogue!$R$4:$R$796,"Source Link Present")</x:f>
        <x:v>28</x:v>
      </x:c>
      <x:c r="J5" s="26" t="n">
        <x:f t="shared" ref="J5:J20" si="1">B5-H5</x:f>
        <x:v>59</x:v>
      </x:c>
      <x:c r="K5" s="27" t="n">
        <x:f t="shared" ref="K5:K20" si="2">IF(B5=0,0,J5/B5)</x:f>
        <x:v>0.9833333333333333</x:v>
      </x:c>
    </x:row>
    <x:row r="6" ht="15" customHeight="1">
      <x:c r="A6" s="28" t="s">
        <x:v>14</x:v>
      </x:c>
      <x:c r="B6" s="28" t="n">
        <x:f>COUNTIFS(Catalogue!$C$4:$C$796,A6)</x:f>
        <x:v>68</x:v>
      </x:c>
      <x:c r="C6" s="28" t="n">
        <x:f>COUNTIFS(Catalogue!$C$4:$C$796,A6,Catalogue!$F$4:$F$796,"Popular")</x:f>
        <x:v>7</x:v>
      </x:c>
      <x:c r="D6" s="28" t="n">
        <x:f>COUNTIFS(Catalogue!$C$4:$C$796,A6,Catalogue!$F$4:$F$796,"Local")</x:f>
        <x:v>8</x:v>
      </x:c>
      <x:c r="E6" s="28" t="n">
        <x:f>COUNTIFS(Catalogue!$C$4:$C$796,A6,Catalogue!$F$4:$F$796,"Rural")</x:f>
        <x:v>3</x:v>
      </x:c>
      <x:c r="F6" s="28" t="n">
        <x:f>COUNTIFS(Catalogue!$C$4:$C$796,A6,Catalogue!$F$4:$F$796,"Underrated")</x:f>
        <x:v>2</x:v>
      </x:c>
      <x:c r="G6" s="28" t="n">
        <x:f t="shared" si="0">B6-SUM(C6:F6)</x:f>
        <x:v>48</x:v>
      </x:c>
      <x:c r="H6" s="28" t="n">
        <x:f>COUNTIFS(Catalogue!$C$4:$C$796,A6,Catalogue!$P$4:$P$796,"Pending Review")</x:f>
        <x:v>0</x:v>
      </x:c>
      <x:c r="I6" s="28" t="n">
        <x:f>COUNTIFS(Catalogue!$C$4:$C$796,A6,Catalogue!$R$4:$R$796,"Source Link Present")</x:f>
        <x:v>41</x:v>
      </x:c>
      <x:c r="J6" s="28" t="n">
        <x:f t="shared" si="1">B6-H6</x:f>
        <x:v>68</x:v>
      </x:c>
      <x:c r="K6" s="29" t="n">
        <x:f t="shared" si="2">IF(B6=0,0,J6/B6)</x:f>
        <x:v>1</x:v>
      </x:c>
    </x:row>
    <x:row r="7" ht="15" customHeight="1">
      <x:c r="A7" s="28" t="s">
        <x:v>15</x:v>
      </x:c>
      <x:c r="B7" s="28" t="n">
        <x:f>COUNTIFS(Catalogue!$C$4:$C$796,A7)</x:f>
        <x:v>54</x:v>
      </x:c>
      <x:c r="C7" s="28" t="n">
        <x:f>COUNTIFS(Catalogue!$C$4:$C$796,A7,Catalogue!$F$4:$F$796,"Popular")</x:f>
        <x:v>1</x:v>
      </x:c>
      <x:c r="D7" s="28" t="n">
        <x:f>COUNTIFS(Catalogue!$C$4:$C$796,A7,Catalogue!$F$4:$F$796,"Local")</x:f>
        <x:v>10</x:v>
      </x:c>
      <x:c r="E7" s="28" t="n">
        <x:f>COUNTIFS(Catalogue!$C$4:$C$796,A7,Catalogue!$F$4:$F$796,"Rural")</x:f>
        <x:v>3</x:v>
      </x:c>
      <x:c r="F7" s="28" t="n">
        <x:f>COUNTIFS(Catalogue!$C$4:$C$796,A7,Catalogue!$F$4:$F$796,"Underrated")</x:f>
        <x:v>3</x:v>
      </x:c>
      <x:c r="G7" s="28" t="n">
        <x:f t="shared" si="0">B7-SUM(C7:F7)</x:f>
        <x:v>37</x:v>
      </x:c>
      <x:c r="H7" s="28" t="n">
        <x:f>COUNTIFS(Catalogue!$C$4:$C$796,A7,Catalogue!$P$4:$P$796,"Pending Review")</x:f>
        <x:v>2</x:v>
      </x:c>
      <x:c r="I7" s="28" t="n">
        <x:f>COUNTIFS(Catalogue!$C$4:$C$796,A7,Catalogue!$R$4:$R$796,"Source Link Present")</x:f>
        <x:v>31</x:v>
      </x:c>
      <x:c r="J7" s="28" t="n">
        <x:f t="shared" si="1">B7-H7</x:f>
        <x:v>52</x:v>
      </x:c>
      <x:c r="K7" s="29" t="n">
        <x:f t="shared" si="2">IF(B7=0,0,J7/B7)</x:f>
        <x:v>0.9629629629629629</x:v>
      </x:c>
    </x:row>
    <x:row r="8" ht="15" customHeight="1">
      <x:c r="A8" s="28" t="s">
        <x:v>16</x:v>
      </x:c>
      <x:c r="B8" s="28" t="n">
        <x:f>COUNTIFS(Catalogue!$C$4:$C$796,A8)</x:f>
        <x:v>49</x:v>
      </x:c>
      <x:c r="C8" s="28" t="n">
        <x:f>COUNTIFS(Catalogue!$C$4:$C$796,A8,Catalogue!$F$4:$F$796,"Popular")</x:f>
        <x:v>7</x:v>
      </x:c>
      <x:c r="D8" s="28" t="n">
        <x:f>COUNTIFS(Catalogue!$C$4:$C$796,A8,Catalogue!$F$4:$F$796,"Local")</x:f>
        <x:v>8</x:v>
      </x:c>
      <x:c r="E8" s="28" t="n">
        <x:f>COUNTIFS(Catalogue!$C$4:$C$796,A8,Catalogue!$F$4:$F$796,"Rural")</x:f>
        <x:v>1</x:v>
      </x:c>
      <x:c r="F8" s="28" t="n">
        <x:f>COUNTIFS(Catalogue!$C$4:$C$796,A8,Catalogue!$F$4:$F$796,"Underrated")</x:f>
        <x:v>3</x:v>
      </x:c>
      <x:c r="G8" s="28" t="n">
        <x:f t="shared" si="0">B8-SUM(C8:F8)</x:f>
        <x:v>30</x:v>
      </x:c>
      <x:c r="H8" s="28" t="n">
        <x:f>COUNTIFS(Catalogue!$C$4:$C$796,A8,Catalogue!$P$4:$P$796,"Pending Review")</x:f>
        <x:v>0</x:v>
      </x:c>
      <x:c r="I8" s="28" t="n">
        <x:f>COUNTIFS(Catalogue!$C$4:$C$796,A8,Catalogue!$R$4:$R$796,"Source Link Present")</x:f>
        <x:v>24</x:v>
      </x:c>
      <x:c r="J8" s="28" t="n">
        <x:f t="shared" si="1">B8-H8</x:f>
        <x:v>49</x:v>
      </x:c>
      <x:c r="K8" s="29" t="n">
        <x:f t="shared" si="2">IF(B8=0,0,J8/B8)</x:f>
        <x:v>1</x:v>
      </x:c>
    </x:row>
    <x:row r="9" ht="15" customHeight="1">
      <x:c r="A9" s="28" t="s">
        <x:v>17</x:v>
      </x:c>
      <x:c r="B9" s="28" t="n">
        <x:f>COUNTIFS(Catalogue!$C$4:$C$796,A9)</x:f>
        <x:v>43</x:v>
      </x:c>
      <x:c r="C9" s="28" t="n">
        <x:f>COUNTIFS(Catalogue!$C$4:$C$796,A9,Catalogue!$F$4:$F$796,"Popular")</x:f>
        <x:v>4</x:v>
      </x:c>
      <x:c r="D9" s="28" t="n">
        <x:f>COUNTIFS(Catalogue!$C$4:$C$796,A9,Catalogue!$F$4:$F$796,"Local")</x:f>
        <x:v>4</x:v>
      </x:c>
      <x:c r="E9" s="28" t="n">
        <x:f>COUNTIFS(Catalogue!$C$4:$C$796,A9,Catalogue!$F$4:$F$796,"Rural")</x:f>
        <x:v>2</x:v>
      </x:c>
      <x:c r="F9" s="28" t="n">
        <x:f>COUNTIFS(Catalogue!$C$4:$C$796,A9,Catalogue!$F$4:$F$796,"Underrated")</x:f>
        <x:v>5</x:v>
      </x:c>
      <x:c r="G9" s="28" t="n">
        <x:f t="shared" si="0">B9-SUM(C9:F9)</x:f>
        <x:v>28</x:v>
      </x:c>
      <x:c r="H9" s="28" t="n">
        <x:f>COUNTIFS(Catalogue!$C$4:$C$796,A9,Catalogue!$P$4:$P$796,"Pending Review")</x:f>
        <x:v>1</x:v>
      </x:c>
      <x:c r="I9" s="28" t="n">
        <x:f>COUNTIFS(Catalogue!$C$4:$C$796,A9,Catalogue!$R$4:$R$796,"Source Link Present")</x:f>
        <x:v>21</x:v>
      </x:c>
      <x:c r="J9" s="28" t="n">
        <x:f t="shared" si="1">B9-H9</x:f>
        <x:v>42</x:v>
      </x:c>
      <x:c r="K9" s="29" t="n">
        <x:f t="shared" si="2">IF(B9=0,0,J9/B9)</x:f>
        <x:v>0.9767441860465116</x:v>
      </x:c>
    </x:row>
    <x:row r="10" ht="15" customHeight="1">
      <x:c r="A10" s="28" t="s">
        <x:v>18</x:v>
      </x:c>
      <x:c r="B10" s="28" t="n">
        <x:f>COUNTIFS(Catalogue!$C$4:$C$796,A10)</x:f>
        <x:v>55</x:v>
      </x:c>
      <x:c r="C10" s="28" t="n">
        <x:f>COUNTIFS(Catalogue!$C$4:$C$796,A10,Catalogue!$F$4:$F$796,"Popular")</x:f>
        <x:v>8</x:v>
      </x:c>
      <x:c r="D10" s="28" t="n">
        <x:f>COUNTIFS(Catalogue!$C$4:$C$796,A10,Catalogue!$F$4:$F$796,"Local")</x:f>
        <x:v>6</x:v>
      </x:c>
      <x:c r="E10" s="28" t="n">
        <x:f>COUNTIFS(Catalogue!$C$4:$C$796,A10,Catalogue!$F$4:$F$796,"Rural")</x:f>
        <x:v>2</x:v>
      </x:c>
      <x:c r="F10" s="28" t="n">
        <x:f>COUNTIFS(Catalogue!$C$4:$C$796,A10,Catalogue!$F$4:$F$796,"Underrated")</x:f>
        <x:v>4</x:v>
      </x:c>
      <x:c r="G10" s="28" t="n">
        <x:f t="shared" si="0">B10-SUM(C10:F10)</x:f>
        <x:v>35</x:v>
      </x:c>
      <x:c r="H10" s="28" t="n">
        <x:f>COUNTIFS(Catalogue!$C$4:$C$796,A10,Catalogue!$P$4:$P$796,"Pending Review")</x:f>
        <x:v>0</x:v>
      </x:c>
      <x:c r="I10" s="28" t="n">
        <x:f>COUNTIFS(Catalogue!$C$4:$C$796,A10,Catalogue!$R$4:$R$796,"Source Link Present")</x:f>
        <x:v>28</x:v>
      </x:c>
      <x:c r="J10" s="28" t="n">
        <x:f t="shared" si="1">B10-H10</x:f>
        <x:v>55</x:v>
      </x:c>
      <x:c r="K10" s="29" t="n">
        <x:f t="shared" si="2">IF(B10=0,0,J10/B10)</x:f>
        <x:v>1</x:v>
      </x:c>
    </x:row>
    <x:row r="11" ht="15" customHeight="1">
      <x:c r="A11" s="28" t="s">
        <x:v>19</x:v>
      </x:c>
      <x:c r="B11" s="28" t="n">
        <x:f>COUNTIFS(Catalogue!$C$4:$C$796,A11)</x:f>
        <x:v>53</x:v>
      </x:c>
      <x:c r="C11" s="28" t="n">
        <x:f>COUNTIFS(Catalogue!$C$4:$C$796,A11,Catalogue!$F$4:$F$796,"Popular")</x:f>
        <x:v>8</x:v>
      </x:c>
      <x:c r="D11" s="28" t="n">
        <x:f>COUNTIFS(Catalogue!$C$4:$C$796,A11,Catalogue!$F$4:$F$796,"Local")</x:f>
        <x:v>7</x:v>
      </x:c>
      <x:c r="E11" s="28" t="n">
        <x:f>COUNTIFS(Catalogue!$C$4:$C$796,A11,Catalogue!$F$4:$F$796,"Rural")</x:f>
        <x:v>0</x:v>
      </x:c>
      <x:c r="F11" s="28" t="n">
        <x:f>COUNTIFS(Catalogue!$C$4:$C$796,A11,Catalogue!$F$4:$F$796,"Underrated")</x:f>
        <x:v>0</x:v>
      </x:c>
      <x:c r="G11" s="28" t="n">
        <x:f t="shared" si="0">B11-SUM(C11:F11)</x:f>
        <x:v>38</x:v>
      </x:c>
      <x:c r="H11" s="28" t="n">
        <x:f>COUNTIFS(Catalogue!$C$4:$C$796,A11,Catalogue!$P$4:$P$796,"Pending Review")</x:f>
        <x:v>0</x:v>
      </x:c>
      <x:c r="I11" s="28" t="n">
        <x:f>COUNTIFS(Catalogue!$C$4:$C$796,A11,Catalogue!$R$4:$R$796,"Source Link Present")</x:f>
        <x:v>30</x:v>
      </x:c>
      <x:c r="J11" s="28" t="n">
        <x:f t="shared" si="1">B11-H11</x:f>
        <x:v>53</x:v>
      </x:c>
      <x:c r="K11" s="29" t="n">
        <x:f t="shared" si="2">IF(B11=0,0,J11/B11)</x:f>
        <x:v>1</x:v>
      </x:c>
    </x:row>
    <x:row r="12" ht="15" customHeight="1">
      <x:c r="A12" s="28" t="s">
        <x:v>20</x:v>
      </x:c>
      <x:c r="B12" s="28" t="n">
        <x:f>COUNTIFS(Catalogue!$C$4:$C$796,A12)</x:f>
        <x:v>60</x:v>
      </x:c>
      <x:c r="C12" s="28" t="n">
        <x:f>COUNTIFS(Catalogue!$C$4:$C$796,A12,Catalogue!$F$4:$F$796,"Popular")</x:f>
        <x:v>11</x:v>
      </x:c>
      <x:c r="D12" s="28" t="n">
        <x:f>COUNTIFS(Catalogue!$C$4:$C$796,A12,Catalogue!$F$4:$F$796,"Local")</x:f>
        <x:v>7</x:v>
      </x:c>
      <x:c r="E12" s="28" t="n">
        <x:f>COUNTIFS(Catalogue!$C$4:$C$796,A12,Catalogue!$F$4:$F$796,"Rural")</x:f>
        <x:v>2</x:v>
      </x:c>
      <x:c r="F12" s="28" t="n">
        <x:f>COUNTIFS(Catalogue!$C$4:$C$796,A12,Catalogue!$F$4:$F$796,"Underrated")</x:f>
        <x:v>1</x:v>
      </x:c>
      <x:c r="G12" s="28" t="n">
        <x:f t="shared" si="0">B12-SUM(C12:F12)</x:f>
        <x:v>39</x:v>
      </x:c>
      <x:c r="H12" s="28" t="n">
        <x:f>COUNTIFS(Catalogue!$C$4:$C$796,A12,Catalogue!$P$4:$P$796,"Pending Review")</x:f>
        <x:v>0</x:v>
      </x:c>
      <x:c r="I12" s="28" t="n">
        <x:f>COUNTIFS(Catalogue!$C$4:$C$796,A12,Catalogue!$R$4:$R$796,"Source Link Present")</x:f>
        <x:v>33</x:v>
      </x:c>
      <x:c r="J12" s="28" t="n">
        <x:f t="shared" si="1">B12-H12</x:f>
        <x:v>60</x:v>
      </x:c>
      <x:c r="K12" s="29" t="n">
        <x:f t="shared" si="2">IF(B12=0,0,J12/B12)</x:f>
        <x:v>1</x:v>
      </x:c>
    </x:row>
    <x:row r="13" ht="15" customHeight="1">
      <x:c r="A13" s="28" t="s">
        <x:v>21</x:v>
      </x:c>
      <x:c r="B13" s="28" t="n">
        <x:f>COUNTIFS(Catalogue!$C$4:$C$796,A13)</x:f>
        <x:v>25</x:v>
      </x:c>
      <x:c r="C13" s="28" t="n">
        <x:f>COUNTIFS(Catalogue!$C$4:$C$796,A13,Catalogue!$F$4:$F$796,"Popular")</x:f>
        <x:v>2</x:v>
      </x:c>
      <x:c r="D13" s="28" t="n">
        <x:f>COUNTIFS(Catalogue!$C$4:$C$796,A13,Catalogue!$F$4:$F$796,"Local")</x:f>
        <x:v>6</x:v>
      </x:c>
      <x:c r="E13" s="28" t="n">
        <x:f>COUNTIFS(Catalogue!$C$4:$C$796,A13,Catalogue!$F$4:$F$796,"Rural")</x:f>
        <x:v>1</x:v>
      </x:c>
      <x:c r="F13" s="28" t="n">
        <x:f>COUNTIFS(Catalogue!$C$4:$C$796,A13,Catalogue!$F$4:$F$796,"Underrated")</x:f>
        <x:v>2</x:v>
      </x:c>
      <x:c r="G13" s="28" t="n">
        <x:f t="shared" si="0">B13-SUM(C13:F13)</x:f>
        <x:v>14</x:v>
      </x:c>
      <x:c r="H13" s="28" t="n">
        <x:f>COUNTIFS(Catalogue!$C$4:$C$796,A13,Catalogue!$P$4:$P$796,"Pending Review")</x:f>
        <x:v>0</x:v>
      </x:c>
      <x:c r="I13" s="28" t="n">
        <x:f>COUNTIFS(Catalogue!$C$4:$C$796,A13,Catalogue!$R$4:$R$796,"Source Link Present")</x:f>
        <x:v>6</x:v>
      </x:c>
      <x:c r="J13" s="28" t="n">
        <x:f t="shared" si="1">B13-H13</x:f>
        <x:v>25</x:v>
      </x:c>
      <x:c r="K13" s="29" t="n">
        <x:f t="shared" si="2">IF(B13=0,0,J13/B13)</x:f>
        <x:v>1</x:v>
      </x:c>
    </x:row>
    <x:row r="14" ht="15" customHeight="1">
      <x:c r="A14" s="28" t="s">
        <x:v>22</x:v>
      </x:c>
      <x:c r="B14" s="28" t="n">
        <x:f>COUNTIFS(Catalogue!$C$4:$C$796,A14)</x:f>
        <x:v>62</x:v>
      </x:c>
      <x:c r="C14" s="28" t="n">
        <x:f>COUNTIFS(Catalogue!$C$4:$C$796,A14,Catalogue!$F$4:$F$796,"Popular")</x:f>
        <x:v>14</x:v>
      </x:c>
      <x:c r="D14" s="28" t="n">
        <x:f>COUNTIFS(Catalogue!$C$4:$C$796,A14,Catalogue!$F$4:$F$796,"Local")</x:f>
        <x:v>7</x:v>
      </x:c>
      <x:c r="E14" s="28" t="n">
        <x:f>COUNTIFS(Catalogue!$C$4:$C$796,A14,Catalogue!$F$4:$F$796,"Rural")</x:f>
        <x:v>2</x:v>
      </x:c>
      <x:c r="F14" s="28" t="n">
        <x:f>COUNTIFS(Catalogue!$C$4:$C$796,A14,Catalogue!$F$4:$F$796,"Underrated")</x:f>
        <x:v>1</x:v>
      </x:c>
      <x:c r="G14" s="28" t="n">
        <x:f t="shared" si="0">B14-SUM(C14:F14)</x:f>
        <x:v>38</x:v>
      </x:c>
      <x:c r="H14" s="28" t="n">
        <x:f>COUNTIFS(Catalogue!$C$4:$C$796,A14,Catalogue!$P$4:$P$796,"Pending Review")</x:f>
        <x:v>0</x:v>
      </x:c>
      <x:c r="I14" s="28" t="n">
        <x:f>COUNTIFS(Catalogue!$C$4:$C$796,A14,Catalogue!$R$4:$R$796,"Source Link Present")</x:f>
        <x:v>31</x:v>
      </x:c>
      <x:c r="J14" s="28" t="n">
        <x:f t="shared" si="1">B14-H14</x:f>
        <x:v>62</x:v>
      </x:c>
      <x:c r="K14" s="29" t="n">
        <x:f t="shared" si="2">IF(B14=0,0,J14/B14)</x:f>
        <x:v>1</x:v>
      </x:c>
    </x:row>
    <x:row r="15" ht="15" customHeight="1">
      <x:c r="A15" s="28" t="s">
        <x:v>23</x:v>
      </x:c>
      <x:c r="B15" s="28" t="n">
        <x:f>COUNTIFS(Catalogue!$C$4:$C$796,A15)</x:f>
        <x:v>56</x:v>
      </x:c>
      <x:c r="C15" s="28" t="n">
        <x:f>COUNTIFS(Catalogue!$C$4:$C$796,A15,Catalogue!$F$4:$F$796,"Popular")</x:f>
        <x:v>10</x:v>
      </x:c>
      <x:c r="D15" s="28" t="n">
        <x:f>COUNTIFS(Catalogue!$C$4:$C$796,A15,Catalogue!$F$4:$F$796,"Local")</x:f>
        <x:v>6</x:v>
      </x:c>
      <x:c r="E15" s="28" t="n">
        <x:f>COUNTIFS(Catalogue!$C$4:$C$796,A15,Catalogue!$F$4:$F$796,"Rural")</x:f>
        <x:v>6</x:v>
      </x:c>
      <x:c r="F15" s="28" t="n">
        <x:f>COUNTIFS(Catalogue!$C$4:$C$796,A15,Catalogue!$F$4:$F$796,"Underrated")</x:f>
        <x:v>2</x:v>
      </x:c>
      <x:c r="G15" s="28" t="n">
        <x:f t="shared" si="0">B15-SUM(C15:F15)</x:f>
        <x:v>32</x:v>
      </x:c>
      <x:c r="H15" s="28" t="n">
        <x:f>COUNTIFS(Catalogue!$C$4:$C$796,A15,Catalogue!$P$4:$P$796,"Pending Review")</x:f>
        <x:v>0</x:v>
      </x:c>
      <x:c r="I15" s="28" t="n">
        <x:f>COUNTIFS(Catalogue!$C$4:$C$796,A15,Catalogue!$R$4:$R$796,"Source Link Present")</x:f>
        <x:v>25</x:v>
      </x:c>
      <x:c r="J15" s="28" t="n">
        <x:f t="shared" si="1">B15-H15</x:f>
        <x:v>56</x:v>
      </x:c>
      <x:c r="K15" s="29" t="n">
        <x:f t="shared" si="2">IF(B15=0,0,J15/B15)</x:f>
        <x:v>1</x:v>
      </x:c>
    </x:row>
    <x:row r="16" ht="15" customHeight="1">
      <x:c r="A16" s="28" t="s">
        <x:v>24</x:v>
      </x:c>
      <x:c r="B16" s="28" t="n">
        <x:f>COUNTIFS(Catalogue!$C$4:$C$796,A16)</x:f>
        <x:v>48</x:v>
      </x:c>
      <x:c r="C16" s="28" t="n">
        <x:f>COUNTIFS(Catalogue!$C$4:$C$796,A16,Catalogue!$F$4:$F$796,"Popular")</x:f>
        <x:v>11</x:v>
      </x:c>
      <x:c r="D16" s="28" t="n">
        <x:f>COUNTIFS(Catalogue!$C$4:$C$796,A16,Catalogue!$F$4:$F$796,"Local")</x:f>
        <x:v>10</x:v>
      </x:c>
      <x:c r="E16" s="28" t="n">
        <x:f>COUNTIFS(Catalogue!$C$4:$C$796,A16,Catalogue!$F$4:$F$796,"Rural")</x:f>
        <x:v>0</x:v>
      </x:c>
      <x:c r="F16" s="28" t="n">
        <x:f>COUNTIFS(Catalogue!$C$4:$C$796,A16,Catalogue!$F$4:$F$796,"Underrated")</x:f>
        <x:v>1</x:v>
      </x:c>
      <x:c r="G16" s="28" t="n">
        <x:f t="shared" si="0">B16-SUM(C16:F16)</x:f>
        <x:v>26</x:v>
      </x:c>
      <x:c r="H16" s="28" t="n">
        <x:f>COUNTIFS(Catalogue!$C$4:$C$796,A16,Catalogue!$P$4:$P$796,"Pending Review")</x:f>
        <x:v>0</x:v>
      </x:c>
      <x:c r="I16" s="28" t="n">
        <x:f>COUNTIFS(Catalogue!$C$4:$C$796,A16,Catalogue!$R$4:$R$796,"Source Link Present")</x:f>
        <x:v>20</x:v>
      </x:c>
      <x:c r="J16" s="28" t="n">
        <x:f t="shared" si="1">B16-H16</x:f>
        <x:v>48</x:v>
      </x:c>
      <x:c r="K16" s="29" t="n">
        <x:f t="shared" si="2">IF(B16=0,0,J16/B16)</x:f>
        <x:v>1</x:v>
      </x:c>
    </x:row>
    <x:row r="17" ht="15" customHeight="1">
      <x:c r="A17" s="28" t="s">
        <x:v>25</x:v>
      </x:c>
      <x:c r="B17" s="28" t="n">
        <x:f>COUNTIFS(Catalogue!$C$4:$C$796,A17)</x:f>
        <x:v>65</x:v>
      </x:c>
      <x:c r="C17" s="28" t="n">
        <x:f>COUNTIFS(Catalogue!$C$4:$C$796,A17,Catalogue!$F$4:$F$796,"Popular")</x:f>
        <x:v>11</x:v>
      </x:c>
      <x:c r="D17" s="28" t="n">
        <x:f>COUNTIFS(Catalogue!$C$4:$C$796,A17,Catalogue!$F$4:$F$796,"Local")</x:f>
        <x:v>8</x:v>
      </x:c>
      <x:c r="E17" s="28" t="n">
        <x:f>COUNTIFS(Catalogue!$C$4:$C$796,A17,Catalogue!$F$4:$F$796,"Rural")</x:f>
        <x:v>1</x:v>
      </x:c>
      <x:c r="F17" s="28" t="n">
        <x:f>COUNTIFS(Catalogue!$C$4:$C$796,A17,Catalogue!$F$4:$F$796,"Underrated")</x:f>
        <x:v>3</x:v>
      </x:c>
      <x:c r="G17" s="28" t="n">
        <x:f t="shared" si="0">B17-SUM(C17:F17)</x:f>
        <x:v>42</x:v>
      </x:c>
      <x:c r="H17" s="28" t="n">
        <x:f>COUNTIFS(Catalogue!$C$4:$C$796,A17,Catalogue!$P$4:$P$796,"Pending Review")</x:f>
        <x:v>0</x:v>
      </x:c>
      <x:c r="I17" s="28" t="n">
        <x:f>COUNTIFS(Catalogue!$C$4:$C$796,A17,Catalogue!$R$4:$R$796,"Source Link Present")</x:f>
        <x:v>35</x:v>
      </x:c>
      <x:c r="J17" s="28" t="n">
        <x:f t="shared" si="1">B17-H17</x:f>
        <x:v>65</x:v>
      </x:c>
      <x:c r="K17" s="29" t="n">
        <x:f t="shared" si="2">IF(B17=0,0,J17/B17)</x:f>
        <x:v>1</x:v>
      </x:c>
    </x:row>
    <x:row r="18" ht="15" customHeight="1">
      <x:c r="A18" s="28" t="s">
        <x:v>26</x:v>
      </x:c>
      <x:c r="B18" s="28" t="n">
        <x:f>COUNTIFS(Catalogue!$C$4:$C$796,A18)</x:f>
        <x:v>47</x:v>
      </x:c>
      <x:c r="C18" s="28" t="n">
        <x:f>COUNTIFS(Catalogue!$C$4:$C$796,A18,Catalogue!$F$4:$F$796,"Popular")</x:f>
        <x:v>6</x:v>
      </x:c>
      <x:c r="D18" s="28" t="n">
        <x:f>COUNTIFS(Catalogue!$C$4:$C$796,A18,Catalogue!$F$4:$F$796,"Local")</x:f>
        <x:v>8</x:v>
      </x:c>
      <x:c r="E18" s="28" t="n">
        <x:f>COUNTIFS(Catalogue!$C$4:$C$796,A18,Catalogue!$F$4:$F$796,"Rural")</x:f>
        <x:v>0</x:v>
      </x:c>
      <x:c r="F18" s="28" t="n">
        <x:f>COUNTIFS(Catalogue!$C$4:$C$796,A18,Catalogue!$F$4:$F$796,"Underrated")</x:f>
        <x:v>1</x:v>
      </x:c>
      <x:c r="G18" s="28" t="n">
        <x:f t="shared" si="0">B18-SUM(C18:F18)</x:f>
        <x:v>32</x:v>
      </x:c>
      <x:c r="H18" s="28" t="n">
        <x:f>COUNTIFS(Catalogue!$C$4:$C$796,A18,Catalogue!$P$4:$P$796,"Pending Review")</x:f>
        <x:v>1</x:v>
      </x:c>
      <x:c r="I18" s="28" t="n">
        <x:f>COUNTIFS(Catalogue!$C$4:$C$796,A18,Catalogue!$R$4:$R$796,"Source Link Present")</x:f>
        <x:v>25</x:v>
      </x:c>
      <x:c r="J18" s="28" t="n">
        <x:f t="shared" si="1">B18-H18</x:f>
        <x:v>46</x:v>
      </x:c>
      <x:c r="K18" s="29" t="n">
        <x:f t="shared" si="2">IF(B18=0,0,J18/B18)</x:f>
        <x:v>0.9787234042553191</x:v>
      </x:c>
    </x:row>
    <x:row r="19" ht="15" customHeight="1">
      <x:c r="A19" s="28" t="s">
        <x:v>27</x:v>
      </x:c>
      <x:c r="B19" s="28" t="n">
        <x:f>COUNTIFS(Catalogue!$C$4:$C$796,A19)</x:f>
        <x:v>22</x:v>
      </x:c>
      <x:c r="C19" s="28" t="n">
        <x:f>COUNTIFS(Catalogue!$C$4:$C$796,A19,Catalogue!$F$4:$F$796,"Popular")</x:f>
        <x:v>3</x:v>
      </x:c>
      <x:c r="D19" s="28" t="n">
        <x:f>COUNTIFS(Catalogue!$C$4:$C$796,A19,Catalogue!$F$4:$F$796,"Local")</x:f>
        <x:v>4</x:v>
      </x:c>
      <x:c r="E19" s="28" t="n">
        <x:f>COUNTIFS(Catalogue!$C$4:$C$796,A19,Catalogue!$F$4:$F$796,"Rural")</x:f>
        <x:v>0</x:v>
      </x:c>
      <x:c r="F19" s="28" t="n">
        <x:f>COUNTIFS(Catalogue!$C$4:$C$796,A19,Catalogue!$F$4:$F$796,"Underrated")</x:f>
        <x:v>1</x:v>
      </x:c>
      <x:c r="G19" s="28" t="n">
        <x:f t="shared" si="0">B19-SUM(C19:F19)</x:f>
        <x:v>14</x:v>
      </x:c>
      <x:c r="H19" s="28" t="n">
        <x:f>COUNTIFS(Catalogue!$C$4:$C$796,A19,Catalogue!$P$4:$P$796,"Pending Review")</x:f>
        <x:v>0</x:v>
      </x:c>
      <x:c r="I19" s="28" t="n">
        <x:f>COUNTIFS(Catalogue!$C$4:$C$796,A19,Catalogue!$R$4:$R$796,"Source Link Present")</x:f>
        <x:v>7</x:v>
      </x:c>
      <x:c r="J19" s="28" t="n">
        <x:f t="shared" si="1">B19-H19</x:f>
        <x:v>22</x:v>
      </x:c>
      <x:c r="K19" s="29" t="n">
        <x:f t="shared" si="2">IF(B19=0,0,J19/B19)</x:f>
        <x:v>1</x:v>
      </x:c>
    </x:row>
    <x:row r="20" ht="15" customHeight="1">
      <x:c r="A20" s="30" t="s">
        <x:v>28</x:v>
      </x:c>
      <x:c r="B20" s="30" t="n">
        <x:f>COUNTIFS(Catalogue!$C$4:$C$796,A20)</x:f>
        <x:v>26</x:v>
      </x:c>
      <x:c r="C20" s="30" t="n">
        <x:f>COUNTIFS(Catalogue!$C$4:$C$796,A20,Catalogue!$F$4:$F$796,"Popular")</x:f>
        <x:v>1</x:v>
      </x:c>
      <x:c r="D20" s="30" t="n">
        <x:f>COUNTIFS(Catalogue!$C$4:$C$796,A20,Catalogue!$F$4:$F$796,"Local")</x:f>
        <x:v>5</x:v>
      </x:c>
      <x:c r="E20" s="30" t="n">
        <x:f>COUNTIFS(Catalogue!$C$4:$C$796,A20,Catalogue!$F$4:$F$796,"Rural")</x:f>
        <x:v>0</x:v>
      </x:c>
      <x:c r="F20" s="30" t="n">
        <x:f>COUNTIFS(Catalogue!$C$4:$C$796,A20,Catalogue!$F$4:$F$796,"Underrated")</x:f>
        <x:v>4</x:v>
      </x:c>
      <x:c r="G20" s="30" t="n">
        <x:f t="shared" si="0">B20-SUM(C20:F20)</x:f>
        <x:v>16</x:v>
      </x:c>
      <x:c r="H20" s="30" t="n">
        <x:f>COUNTIFS(Catalogue!$C$4:$C$796,A20,Catalogue!$P$4:$P$796,"Pending Review")</x:f>
        <x:v>0</x:v>
      </x:c>
      <x:c r="I20" s="30" t="n">
        <x:f>COUNTIFS(Catalogue!$C$4:$C$796,A20,Catalogue!$R$4:$R$796,"Source Link Present")</x:f>
        <x:v>9</x:v>
      </x:c>
      <x:c r="J20" s="30" t="n">
        <x:f t="shared" si="1">B20-H20</x:f>
        <x:v>26</x:v>
      </x:c>
      <x:c r="K20" s="31" t="n">
        <x:f t="shared" si="2">IF(B20=0,0,J20/B20)</x:f>
        <x:v>1</x:v>
      </x:c>
    </x:row>
    <x:row r="21" ht="15" customHeight="1">
      <x:c r="A21" s="24"/>
      <x:c r="B21" s="24"/>
      <x:c r="C21" s="24"/>
      <x:c r="D21" s="24"/>
      <x:c r="E21" s="24"/>
      <x:c r="F21" s="24"/>
      <x:c r="G21" s="24"/>
      <x:c r="H21" s="24"/>
      <x:c r="I21" s="24"/>
      <x:c r="J21" s="24"/>
      <x:c r="K21" s="32"/>
    </x:row>
    <x:row r="22" ht="15" customHeight="1">
      <x:c r="A22" s="33" t="s">
        <x:v>29</x:v>
      </x:c>
      <x:c r="B22" s="33" t="n">
        <x:f t="shared" ref="B22:J22" si="3">SUM(B5:B20)</x:f>
        <x:v>793</x:v>
      </x:c>
      <x:c r="C22" s="33" t="n">
        <x:f t="shared" si="3">SUM(C5:C20)</x:f>
        <x:v>112</x:v>
      </x:c>
      <x:c r="D22" s="33" t="n">
        <x:f t="shared" si="3">SUM(D5:D20)</x:f>
        <x:v>114</x:v>
      </x:c>
      <x:c r="E22" s="33" t="n">
        <x:f t="shared" si="3">SUM(E5:E20)</x:f>
        <x:v>25</x:v>
      </x:c>
      <x:c r="F22" s="33" t="n">
        <x:f t="shared" si="3">SUM(F5:F20)</x:f>
        <x:v>38</x:v>
      </x:c>
      <x:c r="G22" s="33" t="n">
        <x:f t="shared" si="3">SUM(G5:G20)</x:f>
        <x:v>504</x:v>
      </x:c>
      <x:c r="H22" s="33" t="n">
        <x:f t="shared" si="3">SUM(H5:H20)</x:f>
        <x:v>5</x:v>
      </x:c>
      <x:c r="I22" s="33" t="n">
        <x:f t="shared" si="3">SUM(I5:I20)</x:f>
        <x:v>394</x:v>
      </x:c>
      <x:c r="J22" s="33" t="n">
        <x:f t="shared" si="3">SUM(J5:J20)</x:f>
        <x:v>788</x:v>
      </x:c>
      <x:c r="K22" s="34" t="n">
        <x:f>IF(B22=0,0,J22/B22)</x:f>
        <x:v>0.9936948297604036</x:v>
      </x:c>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7109375" defaultRowHeight="12.75"/>
  <x:cols>
    <x:col min="1" max="1" width="22" style="9" customWidth="1"/>
    <x:col min="2" max="2" width="48" style="9" customWidth="1"/>
    <x:col min="3" max="3" width="30" style="9" customWidth="1"/>
    <x:col min="4" max="4" width="34" style="9" customWidth="1"/>
    <x:col min="5" max="5" width="52" style="9" customWidth="1"/>
  </x:cols>
  <x:sheetData>
    <x:row r="1" ht="30" customHeight="1">
      <x:c r="A1" s="6" t="s">
        <x:v>30</x:v>
      </x:c>
      <x:c r="B1" s="6"/>
      <x:c r="C1" s="6"/>
      <x:c r="D1" s="6"/>
      <x:c r="E1" s="6"/>
    </x:row>
    <x:row r="2" ht="31.5" customHeight="1">
      <x:c r="A2" s="4" t="s">
        <x:v>31</x:v>
      </x:c>
      <x:c r="B2" s="4"/>
      <x:c r="C2" s="4"/>
      <x:c r="D2" s="4"/>
      <x:c r="E2" s="4"/>
    </x:row>
    <x:row r="4" ht="30" customHeight="1">
      <x:c r="A4" s="35" t="s">
        <x:v>2</x:v>
      </x:c>
      <x:c r="B4" s="35" t="s">
        <x:v>32</x:v>
      </x:c>
      <x:c r="C4" s="35" t="s">
        <x:v>33</x:v>
      </x:c>
      <x:c r="D4" s="35" t="s">
        <x:v>34</x:v>
      </x:c>
      <x:c r="E4" s="35" t="s">
        <x:v>35</x:v>
      </x:c>
    </x:row>
    <x:row r="5" ht="36" customHeight="1">
      <x:c r="A5" s="13" t="s">
        <x:v>13</x:v>
      </x:c>
      <x:c r="B5" s="13" t="s">
        <x:v>36</x:v>
      </x:c>
      <x:c r="C5" s="13" t="s">
        <x:v>37</x:v>
      </x:c>
      <x:c r="D5" s="13" t="s">
        <x:v>38</x:v>
      </x:c>
      <x:c r="E5" s="13" t="s">
        <x:v>39</x:v>
      </x:c>
    </x:row>
    <x:row r="6" ht="36" customHeight="1">
      <x:c r="A6" s="17" t="s">
        <x:v>14</x:v>
      </x:c>
      <x:c r="B6" s="17" t="s">
        <x:v>40</x:v>
      </x:c>
      <x:c r="C6" s="17" t="s">
        <x:v>37</x:v>
      </x:c>
      <x:c r="D6" s="17" t="s">
        <x:v>38</x:v>
      </x:c>
      <x:c r="E6" s="17" t="s">
        <x:v>39</x:v>
      </x:c>
    </x:row>
    <x:row r="7" ht="36" customHeight="1">
      <x:c r="A7" s="17" t="s">
        <x:v>15</x:v>
      </x:c>
      <x:c r="B7" s="17" t="s">
        <x:v>41</x:v>
      </x:c>
      <x:c r="C7" s="17" t="s">
        <x:v>37</x:v>
      </x:c>
      <x:c r="D7" s="17" t="s">
        <x:v>38</x:v>
      </x:c>
      <x:c r="E7" s="17" t="s">
        <x:v>39</x:v>
      </x:c>
    </x:row>
    <x:row r="8" ht="36" customHeight="1">
      <x:c r="A8" s="17" t="s">
        <x:v>16</x:v>
      </x:c>
      <x:c r="B8" s="17" t="s">
        <x:v>42</x:v>
      </x:c>
      <x:c r="C8" s="17" t="s">
        <x:v>37</x:v>
      </x:c>
      <x:c r="D8" s="17" t="s">
        <x:v>38</x:v>
      </x:c>
      <x:c r="E8" s="17" t="s">
        <x:v>39</x:v>
      </x:c>
    </x:row>
    <x:row r="9" ht="36" customHeight="1">
      <x:c r="A9" s="17" t="s">
        <x:v>17</x:v>
      </x:c>
      <x:c r="B9" s="17" t="s">
        <x:v>43</x:v>
      </x:c>
      <x:c r="C9" s="17" t="s">
        <x:v>37</x:v>
      </x:c>
      <x:c r="D9" s="17" t="s">
        <x:v>38</x:v>
      </x:c>
      <x:c r="E9" s="17" t="s">
        <x:v>39</x:v>
      </x:c>
    </x:row>
    <x:row r="10" ht="36" customHeight="1">
      <x:c r="A10" s="17" t="s">
        <x:v>18</x:v>
      </x:c>
      <x:c r="B10" s="17" t="s">
        <x:v>44</x:v>
      </x:c>
      <x:c r="C10" s="17" t="s">
        <x:v>37</x:v>
      </x:c>
      <x:c r="D10" s="17" t="s">
        <x:v>38</x:v>
      </x:c>
      <x:c r="E10" s="17" t="s">
        <x:v>39</x:v>
      </x:c>
    </x:row>
    <x:row r="11" ht="36" customHeight="1">
      <x:c r="A11" s="17" t="s">
        <x:v>19</x:v>
      </x:c>
      <x:c r="B11" s="17" t="s">
        <x:v>45</x:v>
      </x:c>
      <x:c r="C11" s="17" t="s">
        <x:v>37</x:v>
      </x:c>
      <x:c r="D11" s="17" t="s">
        <x:v>38</x:v>
      </x:c>
      <x:c r="E11" s="17" t="s">
        <x:v>39</x:v>
      </x:c>
    </x:row>
    <x:row r="12" ht="36" customHeight="1">
      <x:c r="A12" s="17" t="s">
        <x:v>20</x:v>
      </x:c>
      <x:c r="B12" s="17" t="s">
        <x:v>46</x:v>
      </x:c>
      <x:c r="C12" s="17" t="s">
        <x:v>37</x:v>
      </x:c>
      <x:c r="D12" s="17" t="s">
        <x:v>38</x:v>
      </x:c>
      <x:c r="E12" s="17" t="s">
        <x:v>39</x:v>
      </x:c>
    </x:row>
    <x:row r="13" ht="36" customHeight="1">
      <x:c r="A13" s="17" t="s">
        <x:v>21</x:v>
      </x:c>
      <x:c r="B13" s="17" t="s">
        <x:v>47</x:v>
      </x:c>
      <x:c r="C13" s="17" t="s">
        <x:v>37</x:v>
      </x:c>
      <x:c r="D13" s="17" t="s">
        <x:v>38</x:v>
      </x:c>
      <x:c r="E13" s="17" t="s">
        <x:v>39</x:v>
      </x:c>
    </x:row>
    <x:row r="14" ht="36" customHeight="1">
      <x:c r="A14" s="17" t="s">
        <x:v>22</x:v>
      </x:c>
      <x:c r="B14" s="17" t="s">
        <x:v>48</x:v>
      </x:c>
      <x:c r="C14" s="17" t="s">
        <x:v>37</x:v>
      </x:c>
      <x:c r="D14" s="17" t="s">
        <x:v>38</x:v>
      </x:c>
      <x:c r="E14" s="17" t="s">
        <x:v>39</x:v>
      </x:c>
    </x:row>
    <x:row r="15" ht="36" customHeight="1">
      <x:c r="A15" s="17" t="s">
        <x:v>23</x:v>
      </x:c>
      <x:c r="B15" s="17" t="s">
        <x:v>49</x:v>
      </x:c>
      <x:c r="C15" s="17" t="s">
        <x:v>37</x:v>
      </x:c>
      <x:c r="D15" s="17" t="s">
        <x:v>38</x:v>
      </x:c>
      <x:c r="E15" s="17" t="s">
        <x:v>39</x:v>
      </x:c>
    </x:row>
    <x:row r="16" ht="36" customHeight="1">
      <x:c r="A16" s="17" t="s">
        <x:v>24</x:v>
      </x:c>
      <x:c r="B16" s="17" t="s">
        <x:v>50</x:v>
      </x:c>
      <x:c r="C16" s="17" t="s">
        <x:v>37</x:v>
      </x:c>
      <x:c r="D16" s="17" t="s">
        <x:v>38</x:v>
      </x:c>
      <x:c r="E16" s="17" t="s">
        <x:v>39</x:v>
      </x:c>
    </x:row>
    <x:row r="17" ht="36" customHeight="1">
      <x:c r="A17" s="17" t="s">
        <x:v>25</x:v>
      </x:c>
      <x:c r="B17" s="17" t="s">
        <x:v>51</x:v>
      </x:c>
      <x:c r="C17" s="17" t="s">
        <x:v>37</x:v>
      </x:c>
      <x:c r="D17" s="17" t="s">
        <x:v>38</x:v>
      </x:c>
      <x:c r="E17" s="17" t="s">
        <x:v>39</x:v>
      </x:c>
    </x:row>
    <x:row r="18" ht="36" customHeight="1">
      <x:c r="A18" s="17" t="s">
        <x:v>26</x:v>
      </x:c>
      <x:c r="B18" s="17" t="s">
        <x:v>52</x:v>
      </x:c>
      <x:c r="C18" s="17" t="s">
        <x:v>37</x:v>
      </x:c>
      <x:c r="D18" s="17" t="s">
        <x:v>38</x:v>
      </x:c>
      <x:c r="E18" s="17" t="s">
        <x:v>39</x:v>
      </x:c>
    </x:row>
    <x:row r="19" ht="36" customHeight="1">
      <x:c r="A19" s="17" t="s">
        <x:v>27</x:v>
      </x:c>
      <x:c r="B19" s="17" t="s">
        <x:v>53</x:v>
      </x:c>
      <x:c r="C19" s="17" t="s">
        <x:v>37</x:v>
      </x:c>
      <x:c r="D19" s="17" t="s">
        <x:v>38</x:v>
      </x:c>
      <x:c r="E19" s="17" t="s">
        <x:v>39</x:v>
      </x:c>
    </x:row>
    <x:row r="20" ht="36" customHeight="1">
      <x:c r="A20" s="21" t="s">
        <x:v>28</x:v>
      </x:c>
      <x:c r="B20" s="21" t="s">
        <x:v>54</x:v>
      </x:c>
      <x:c r="C20" s="21" t="s">
        <x:v>37</x:v>
      </x:c>
      <x:c r="D20" s="21" t="s">
        <x:v>38</x:v>
      </x:c>
      <x:c r="E20" s="21" t="s">
        <x:v>39</x:v>
      </x:c>
    </x:row>
  </x:sheetData>
  <x:mergeCells>
    <x:mergeCell ref="A1:E1"/>
    <x:mergeCell ref="A2:E2"/>
  </x:mergeCells>
  <x:pageMargins left="0.7" right="0.7" top="0.75" bottom="0.75" header="0.3" footer="0.3"/>
  <x:tableParts count="1">
    <x:tablePart xmlns:r="http://schemas.openxmlformats.org/officeDocument/2006/relationships" r:id="R0cb72f240f7a4042"/>
  </x:tableParts>
</x:worksheet>
</file>

<file path=xl/worksheets/sheet4.xml><?xml version="1.0" encoding="utf-8"?>
<x:worksheet xmlns:x="http://schemas.openxmlformats.org/spreadsheetml/2006/main">
  <x:sheetViews>
    <x:sheetView showGridLines="0" workbookViewId="0"/>
  </x:sheetViews>
  <x:sheetFormatPr defaultColWidth="8.7109375" defaultRowHeight="12.75"/>
  <x:cols>
    <x:col min="1" max="1" width="27" style="9" hidden="0" customWidth="1"/>
    <x:col min="2" max="2" width="36" style="9" hidden="0" customWidth="1"/>
    <x:col min="3" max="3" width="75" style="9" hidden="0" customWidth="1"/>
    <x:col min="4" max="6" width="12" style="9" customWidth="1"/>
  </x:cols>
  <x:sheetData>
    <x:row r="1" ht="30" customHeight="1">
      <x:c r="A1" s="6" t="s">
        <x:v>55</x:v>
      </x:c>
      <x:c r="B1" s="6"/>
      <x:c r="C1" s="6"/>
      <x:c r="D1" s="6"/>
      <x:c r="E1" s="6"/>
      <x:c r="F1" s="6"/>
    </x:row>
    <x:row r="3" ht="24" customHeight="1">
      <x:c r="A3" s="3" t="s">
        <x:v>56</x:v>
      </x:c>
      <x:c r="B3" s="3"/>
      <x:c r="C3" s="3"/>
      <x:c r="D3" s="3"/>
      <x:c r="E3" s="3"/>
      <x:c r="F3" s="3"/>
    </x:row>
    <x:row r="4" ht="34.5" customHeight="1">
      <x:c r="A4" s="36" t="s">
        <x:v>57</x:v>
      </x:c>
      <x:c r="B4" s="36" t="s">
        <x:v>58</x:v>
      </x:c>
      <x:c r="C4" s="36" t="s">
        <x:v>59</x:v>
      </x:c>
      <x:c r="D4" s="36"/>
      <x:c r="E4" s="36"/>
      <x:c r="F4" s="36"/>
    </x:row>
    <x:row r="5" ht="34.5" customHeight="1">
      <x:c r="A5" s="37" t="s">
        <x:v>60</x:v>
      </x:c>
      <x:c r="B5" s="37" t="s">
        <x:v>61</x:v>
      </x:c>
      <x:c r="C5" s="37" t="s">
        <x:v>62</x:v>
      </x:c>
      <x:c r="D5" s="37"/>
      <x:c r="E5" s="37"/>
      <x:c r="F5" s="37"/>
    </x:row>
    <x:row r="6" ht="34.5" customHeight="1">
      <x:c r="A6" s="37" t="s">
        <x:v>63</x:v>
      </x:c>
      <x:c r="B6" s="37" t="s">
        <x:v>64</x:v>
      </x:c>
      <x:c r="C6" s="37" t="s">
        <x:v>65</x:v>
      </x:c>
      <x:c r="D6" s="37"/>
      <x:c r="E6" s="37"/>
      <x:c r="F6" s="37"/>
    </x:row>
    <x:row r="7" ht="34.5" customHeight="1">
      <x:c r="A7" s="37" t="s">
        <x:v>66</x:v>
      </x:c>
      <x:c r="B7" s="37" t="s">
        <x:v>67</x:v>
      </x:c>
      <x:c r="C7" s="37" t="s">
        <x:v>68</x:v>
      </x:c>
      <x:c r="D7" s="37"/>
      <x:c r="E7" s="37"/>
      <x:c r="F7" s="37"/>
    </x:row>
    <x:row r="8" ht="34.5" customHeight="1">
      <x:c r="A8" s="38" t="s">
        <x:v>69</x:v>
      </x:c>
      <x:c r="B8" s="38" t="s">
        <x:v>70</x:v>
      </x:c>
      <x:c r="C8" s="38" t="s">
        <x:v>71</x:v>
      </x:c>
      <x:c r="D8" s="38"/>
      <x:c r="E8" s="38"/>
      <x:c r="F8" s="38"/>
    </x:row>
    <x:row r="10" ht="24" customHeight="1">
      <x:c r="A10" s="3" t="s">
        <x:v>72</x:v>
      </x:c>
      <x:c r="B10" s="3"/>
      <x:c r="C10" s="3"/>
      <x:c r="D10" s="3"/>
      <x:c r="E10" s="3"/>
      <x:c r="F10" s="3"/>
    </x:row>
    <x:row r="11" ht="15" customHeight="1">
      <x:c r="A11" s="39" t="s">
        <x:v>73</x:v>
      </x:c>
      <x:c r="B11" s="39" t="s">
        <x:v>74</x:v>
      </x:c>
      <x:c r="C11" s="39" t="s">
        <x:v>75</x:v>
      </x:c>
    </x:row>
    <x:row r="12" ht="30" customHeight="1">
      <x:c r="A12" s="40" t="s">
        <x:v>9</x:v>
      </x:c>
      <x:c r="B12" s="40" t="s">
        <x:v>76</x:v>
      </x:c>
      <x:c r="C12" s="40" t="s">
        <x:v>77</x:v>
      </x:c>
    </x:row>
    <x:row r="13" ht="30" customHeight="1">
      <x:c r="A13" s="41" t="s">
        <x:v>78</x:v>
      </x:c>
      <x:c r="B13" s="41" t="s">
        <x:v>79</x:v>
      </x:c>
      <x:c r="C13" s="41" t="s">
        <x:v>80</x:v>
      </x:c>
    </x:row>
    <x:row r="14" ht="30" customHeight="1">
      <x:c r="A14" s="41" t="s">
        <x:v>81</x:v>
      </x:c>
      <x:c r="B14" s="41" t="s">
        <x:v>82</x:v>
      </x:c>
      <x:c r="C14" s="41" t="s">
        <x:v>83</x:v>
      </x:c>
    </x:row>
    <x:row r="15" ht="30" customHeight="1">
      <x:c r="A15" s="42" t="s">
        <x:v>84</x:v>
      </x:c>
      <x:c r="B15" s="42" t="s">
        <x:v>85</x:v>
      </x:c>
      <x:c r="C15" s="42" t="s">
        <x:v>86</x:v>
      </x:c>
    </x:row>
    <x:row r="17" ht="24" customHeight="1">
      <x:c r="A17" s="3" t="s">
        <x:v>87</x:v>
      </x:c>
      <x:c r="B17" s="3"/>
      <x:c r="C17" s="3"/>
      <x:c r="D17" s="3"/>
      <x:c r="E17" s="3"/>
      <x:c r="F17" s="3"/>
    </x:row>
    <x:row r="18" ht="27.75" customHeight="1">
      <x:c r="A18" s="2" t="s">
        <x:v>88</x:v>
      </x:c>
      <x:c r="B18" s="2"/>
      <x:c r="C18" s="2"/>
      <x:c r="D18" s="2"/>
      <x:c r="E18" s="2"/>
      <x:c r="F18" s="2"/>
    </x:row>
    <x:row r="19" ht="27.75" customHeight="1">
      <x:c r="A19" s="2"/>
      <x:c r="B19" s="2"/>
      <x:c r="C19" s="2"/>
      <x:c r="D19" s="2"/>
      <x:c r="E19" s="2"/>
      <x:c r="F19" s="2"/>
    </x:row>
    <x:row r="20" ht="27.75" customHeight="1">
      <x:c r="A20" s="2"/>
      <x:c r="B20" s="2"/>
      <x:c r="C20" s="2"/>
      <x:c r="D20" s="2"/>
      <x:c r="E20" s="2"/>
      <x:c r="F20" s="2"/>
    </x:row>
    <x:row r="21" ht="30" customHeight="1">
      <x:c r="A21" s="1" t="s">
        <x:v>89</x:v>
      </x:c>
      <x:c r="B21" s="1"/>
      <x:c r="C21" s="1"/>
      <x:c r="D21" s="1"/>
      <x:c r="E21" s="1"/>
      <x:c r="F21" s="1"/>
    </x:row>
    <x:row r="22" ht="30" customHeight="1">
      <x:c r="A22" s="1"/>
      <x:c r="B22" s="1"/>
      <x:c r="C22" s="1"/>
      <x:c r="D22" s="1"/>
      <x:c r="E22" s="1"/>
      <x:c r="F22" s="1"/>
    </x:row>
    <x:row r="23" ht="16.799999237060547" hidden="0" customHeight="1">
      <x:c r="A23" s="80" t="str">
        <x:v>Elderly accessibility review</x:v>
      </x:c>
      <x:c r="B23" s="80"/>
      <x:c r="C23" s="80"/>
    </x:row>
    <x:row r="24" ht="12.75" hidden="0" customHeight="1">
      <x:c r="A24" s="81" t="str">
        <x:v>Field</x:v>
      </x:c>
      <x:c r="B24" s="81" t="str">
        <x:v>Allowed values</x:v>
      </x:c>
      <x:c r="C24" s="81" t="str">
        <x:v>How to review</x:v>
      </x:c>
    </x:row>
    <x:row r="25" ht="12.75" hidden="0" customHeight="1">
      <x:c r="A25" s="57" t="str">
        <x:v>Walking Difficulty</x:v>
      </x:c>
      <x:c r="B25" s="58" t="str">
        <x:v>Low / Moderate / High / Unknown</x:v>
      </x:c>
      <x:c r="C25" s="58" t="str">
        <x:v>Consider walking distance, slopes and physical effort using a reliable source.</x:v>
      </x:c>
    </x:row>
    <x:row r="26" ht="12.75" hidden="0" customHeight="1">
      <x:c r="A26" s="60" t="str">
        <x:v>Step-Free Access</x:v>
      </x:c>
      <x:c r="B26" s="61" t="str">
        <x:v>Yes / Partial / No / Unknown</x:v>
      </x:c>
      <x:c r="C26" s="61" t="str">
        <x:v>Record ramps, lifts and whether important visitor areas require stairs.</x:v>
      </x:c>
    </x:row>
    <x:row r="27" ht="12.75" hidden="0" customHeight="1">
      <x:c r="A27" s="60" t="str">
        <x:v>Resting Seats Available</x:v>
      </x:c>
      <x:c r="B27" s="61" t="str">
        <x:v>Yes / Partial / No / Unknown</x:v>
      </x:c>
      <x:c r="C27" s="61" t="str">
        <x:v>Confirm benches or designated resting areas along the visitor route.</x:v>
      </x:c>
    </x:row>
    <x:row r="28" ht="12.75" hidden="0" customHeight="1">
      <x:c r="A28" s="60" t="str">
        <x:v>Accessible Toilet</x:v>
      </x:c>
      <x:c r="B28" s="61" t="str">
        <x:v>Yes / Partial / No / Unknown</x:v>
      </x:c>
      <x:c r="C28" s="61" t="str">
        <x:v>Use Yes only when an accessible toilet is specifically documented.</x:v>
      </x:c>
    </x:row>
    <x:row r="29" ht="12.75" hidden="0" customHeight="1">
      <x:c r="A29" s="60" t="str">
        <x:v>Parking Proximity</x:v>
      </x:c>
      <x:c r="B29" s="61" t="str">
        <x:v>Near / Moderate / Far / Unknown</x:v>
      </x:c>
      <x:c r="C29" s="61" t="str">
        <x:v>Assess the distance from parking or drop-off to the main entrance.</x:v>
      </x:c>
    </x:row>
    <x:row r="30" ht="12.75" hidden="0" customHeight="1">
      <x:c r="A30" s="60" t="str">
        <x:v>Shelter Available</x:v>
      </x:c>
      <x:c r="B30" s="61" t="str">
        <x:v>Yes / Partial / No / Unknown</x:v>
      </x:c>
      <x:c r="C30" s="61" t="str">
        <x:v>Record shade, covered walkways or sheltered resting areas.</x:v>
      </x:c>
    </x:row>
    <x:row r="31" ht="24" hidden="0" customHeight="1">
      <x:c r="A31" s="60" t="str">
        <x:v>Elderly Suitability</x:v>
      </x:c>
      <x:c r="B31" s="61" t="str">
        <x:v>Suitable / Suitable with assistance / Not recommended / Unknown</x:v>
      </x:c>
      <x:c r="C31" s="61" t="str">
        <x:v>Summarise supported mobility evidence; do not infer from category alone.</x:v>
      </x:c>
    </x:row>
    <x:row r="32" ht="12.75" hidden="0" customHeight="1">
      <x:c r="A32" s="60" t="str">
        <x:v>Elderly Accessibility Notes</x:v>
      </x:c>
      <x:c r="B32" s="61" t="str">
        <x:v>Source-supported free text</x:v>
      </x:c>
      <x:c r="C32" s="61" t="str">
        <x:v>State useful facilities and remaining barriers concisely.</x:v>
      </x:c>
    </x:row>
    <x:row r="33" ht="12.75" hidden="0" customHeight="1">
      <x:c r="A33" s="60" t="str">
        <x:v>Evidence rule</x:v>
      </x:c>
      <x:c r="B33" s="61" t="str">
        <x:v>Do not guess</x:v>
      </x:c>
      <x:c r="C33" s="61" t="str">
        <x:v>Keep Unknown when the attraction source does not document the feature.</x:v>
      </x:c>
    </x:row>
    <x:row r="34" ht="12.75" hidden="0" customHeight="1">
      <x:c r="A34" s="60" t="str">
        <x:v>Safety rule</x:v>
      </x:c>
      <x:c r="B34" s="61" t="str">
        <x:v>No medical or safety guarantee</x:v>
      </x:c>
      <x:c r="C34" s="61" t="str">
        <x:v>Describe recorded facilities and barriers without guaranteeing suitability for every visitor.</x:v>
      </x:c>
    </x:row>
    <x:row r="36" ht="16.799999237060547" hidden="0" customHeight="1">
      <x:c r="A36" s="95" t="str">
        <x:v>Active elderly recommendation rule</x:v>
      </x:c>
      <x:c r="B36" s="95"/>
      <x:c r="C36" s="95"/>
    </x:row>
    <x:row r="37" ht="12.75" hidden="0" customHeight="1">
      <x:c r="A37" s="96" t="str">
        <x:v>Rule</x:v>
      </x:c>
      <x:c r="B37" s="96" t="str">
        <x:v>Decision</x:v>
      </x:c>
      <x:c r="C37" s="96" t="str">
        <x:v>Explanation</x:v>
      </x:c>
    </x:row>
    <x:row r="38" ht="24" hidden="0" customHeight="1">
      <x:c r="A38" s="57" t="str">
        <x:v>At least one source-backed elderly accessibility feature</x:v>
      </x:c>
      <x:c r="B38" s="58" t="str">
        <x:v>Eligible</x:v>
      </x:c>
      <x:c r="C38" s="58" t="str">
        <x:v>The attraction may appear when Maya handles an elderly or accessibility-related request.</x:v>
      </x:c>
    </x:row>
    <x:row r="39" ht="24" hidden="0" customHeight="1">
      <x:c r="A39" s="60" t="str">
        <x:v>No source-backed elderly accessibility feature recorded</x:v>
      </x:c>
      <x:c r="B39" s="61" t="str">
        <x:v>Excluded</x:v>
      </x:c>
      <x:c r="C39" s="61" t="str">
        <x:v>The attraction remains available for general travel searches but is removed from elderly and accessibility-related results.</x:v>
      </x:c>
    </x:row>
    <x:row r="40" ht="24" hidden="0" customHeight="1">
      <x:c r="A40" s="60" t="str">
        <x:v>Unknown is not inaccessible</x:v>
      </x:c>
      <x:c r="B40" s="61" t="str">
        <x:v>Research limitation</x:v>
      </x:c>
      <x:c r="C40" s="61" t="str">
        <x:v>Excluded means evidence was not found in the reviewed data; it is not a claim that the place cannot be accessed.</x:v>
      </x:c>
    </x:row>
    <x:row r="41" ht="12.75" hidden="0" customHeight="1">
      <x:c r="A41" s="60" t="str">
        <x:v>Evidence source required</x:v>
      </x:c>
      <x:c r="B41" s="61" t="str">
        <x:v>Mandatory</x:v>
      </x:c>
      <x:c r="C41" s="61" t="str">
        <x:v>A qualifying feature must be supported by a direct source URL, not only a map-search link.</x:v>
      </x:c>
    </x:row>
    <x:row r="42" ht="24" hidden="0" customHeight="1">
      <x:c r="A42" s="60" t="str">
        <x:v>Examples of qualifying features</x:v>
      </x:c>
      <x:c r="B42" s="61" t="str">
        <x:v>Physical or service support</x:v>
      </x:c>
      <x:c r="C42" s="61" t="str">
        <x:v>Step-free or wheelchair routes, accessible toilets, nearby parking, resting places, shelter, mobility aids, assistance, buggy/tram or a lower-effort route.</x:v>
      </x:c>
    </x:row>
    <x:row r="43" ht="24" hidden="0" customHeight="1">
      <x:c r="A43" s="60" t="str">
        <x:v>Barriers-only evidence</x:v>
      </x:c>
      <x:c r="B43" s="61" t="str">
        <x:v>Excluded</x:v>
      </x:c>
      <x:c r="C43" s="61" t="str">
        <x:v>A description of stairs, slopes or difficult terrain alone does not qualify an attraction for elderly recommendation.</x:v>
      </x:c>
    </x:row>
    <x:row r="44" ht="12.75" hidden="0" customHeight="1">
      <x:c r="A44" s="60" t="str">
        <x:v>Master catalogue</x:v>
      </x:c>
      <x:c r="B44" s="61" t="str">
        <x:v>Retained</x:v>
      </x:c>
      <x:c r="C44" s="61" t="str">
        <x:v>All candidates remain available for audit and future accessibility research.</x:v>
      </x:c>
    </x:row>
    <x:row r="45" ht="24" hidden="0" customHeight="1">
      <x:c r="A45" s="60" t="str">
        <x:v>SQLite catalogue</x:v>
      </x:c>
      <x:c r="B45" s="61" t="str">
        <x:v>Retained</x:v>
      </x:c>
      <x:c r="C45" s="61" t="str">
        <x:v>All confirmed attractions are stored; the eligibility rule is applied when an elderly or accessibility-related request is processed.</x:v>
      </x:c>
    </x:row>
  </x:sheetData>
  <x:mergeCells>
    <x:mergeCell ref="A21:F22"/>
    <x:mergeCell ref="A1:F1"/>
    <x:mergeCell ref="A3:F3"/>
    <x:mergeCell ref="A10:F10"/>
    <x:mergeCell ref="A17:F17"/>
    <x:mergeCell ref="A18:F20"/>
    <x:mergeCell ref="A23:C23"/>
    <x:mergeCell ref="A36:C36"/>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58" hidden="0" customWidth="1"/>
    <x:col min="3" max="3" width="18" hidden="0" customWidth="1"/>
    <x:col min="4" max="4" width="24" hidden="0" customWidth="1"/>
    <x:col min="5" max="5" width="15" hidden="0" customWidth="1"/>
    <x:col min="7" max="7" width="38" hidden="0" customWidth="1"/>
    <x:col min="8" max="8" width="14" hidden="0" customWidth="1"/>
  </x:cols>
  <x:sheetData>
    <x:row r="1" ht="26" customHeight="1">
      <x:c r="A1" s="105" t="str">
        <x:v>Accessibility and catalogue screening summary</x:v>
      </x:c>
      <x:c r="B1" s="105"/>
      <x:c r="C1" s="105"/>
      <x:c r="D1" s="105"/>
      <x:c r="G1" s="105" t="str">
        <x:v>Pending identity review outcome</x:v>
      </x:c>
      <x:c r="H1" s="105"/>
    </x:row>
    <x:row r="2">
      <x:c r="A2"/>
      <x:c r="B2"/>
      <x:c r="C2"/>
      <x:c r="D2"/>
    </x:row>
    <x:row r="3" ht="34" customHeight="1">
      <x:c r="A3" s="114" t="str">
        <x:v>Measure</x:v>
      </x:c>
      <x:c r="B3" s="114" t="str">
        <x:v>Count</x:v>
      </x:c>
      <x:c r="C3"/>
      <x:c r="D3" s="114" t="str">
        <x:v>State / Territory</x:v>
      </x:c>
      <x:c r="E3" s="114" t="str">
        <x:v>Candidate IDs</x:v>
      </x:c>
      <x:c r="G3" s="126" t="str">
        <x:v>Measure</x:v>
      </x:c>
      <x:c r="H3" s="126" t="str">
        <x:v>Count</x:v>
      </x:c>
    </x:row>
    <x:row r="4">
      <x:c r="A4" s="117" t="str">
        <x:v>Catalogue candidate IDs</x:v>
      </x:c>
      <x:c r="B4" s="118" t="n">
        <x:v>793</x:v>
      </x:c>
      <x:c r="C4"/>
      <x:c r="D4" s="117" t="str">
        <x:v>Johor</x:v>
      </x:c>
      <x:c r="E4" s="118" t="n">
        <x:v>60</x:v>
      </x:c>
      <x:c r="G4" s="128" t="str">
        <x:v>Rows reviewed</x:v>
      </x:c>
      <x:c r="H4" s="129" t="n">
        <x:v>151</x:v>
      </x:c>
    </x:row>
    <x:row r="5">
      <x:c r="A5" s="117" t="str">
        <x:v>Distinct candidates after duplicate aliases</x:v>
      </x:c>
      <x:c r="B5" s="118" t="n">
        <x:v>773</x:v>
      </x:c>
      <x:c r="C5"/>
      <x:c r="D5" s="117" t="str">
        <x:v>Kedah</x:v>
      </x:c>
      <x:c r="E5" s="118" t="n">
        <x:v>68</x:v>
      </x:c>
      <x:c r="G5" s="128" t="str">
        <x:v>Identity/location corroborated</x:v>
      </x:c>
      <x:c r="H5" s="129" t="n">
        <x:v>146</x:v>
      </x:c>
    </x:row>
    <x:row r="6">
      <x:c r="A6" s="117" t="str">
        <x:v>New candidate rows added</x:v>
      </x:c>
      <x:c r="B6" s="118" t="n">
        <x:v>362</x:v>
      </x:c>
      <x:c r="C6"/>
      <x:c r="D6" s="117" t="str">
        <x:v>Kelantan</x:v>
      </x:c>
      <x:c r="E6" s="118" t="n">
        <x:v>54</x:v>
      </x:c>
      <x:c r="G6" s="128" t="str">
        <x:v>Flagged for removal or rework</x:v>
      </x:c>
      <x:c r="H6" s="129" t="n">
        <x:v>5</x:v>
      </x:c>
    </x:row>
    <x:row r="7">
      <x:c r="A7" s="117" t="str">
        <x:v>Venue-specific accessibility records reviewed</x:v>
      </x:c>
      <x:c r="B7" s="118" t="n">
        <x:v>67</x:v>
      </x:c>
      <x:c r="C7"/>
      <x:c r="D7" s="117" t="str">
        <x:v>Melaka</x:v>
      </x:c>
      <x:c r="E7" s="118" t="n">
        <x:v>49</x:v>
      </x:c>
    </x:row>
    <x:row r="8" ht="34" customHeight="1">
      <x:c r="A8" s="117" t="str">
        <x:v>Support/conditional rows in elderly dataset</x:v>
      </x:c>
      <x:c r="B8" s="118" t="n">
        <x:v>57</x:v>
      </x:c>
      <x:c r="C8"/>
      <x:c r="D8" s="117" t="str">
        <x:v>Negeri Sembilan</x:v>
      </x:c>
      <x:c r="E8" s="118" t="n">
        <x:v>43</x:v>
      </x:c>
      <x:c r="G8" s="137" t="str">
        <x:v>Accessibility expansion</x:v>
      </x:c>
      <x:c r="H8" s="137" t="str">
        <x:v>Count</x:v>
      </x:c>
    </x:row>
    <x:row r="9">
      <x:c r="A9" s="117" t="str">
        <x:v>Access-restriction rows</x:v>
      </x:c>
      <x:c r="B9" s="118" t="n">
        <x:v>10</x:v>
      </x:c>
      <x:c r="C9"/>
      <x:c r="D9" s="117" t="str">
        <x:v>Pahang</x:v>
      </x:c>
      <x:c r="E9" s="118" t="n">
        <x:v>55</x:v>
      </x:c>
      <x:c r="G9" s="117" t="str">
        <x:v>New supported/conditional rows</x:v>
      </x:c>
      <x:c r="H9" s="118" t="n">
        <x:v>17</x:v>
      </x:c>
    </x:row>
    <x:row r="10">
      <x:c r="A10" s="117" t="str">
        <x:v>Legacy accessibility rows held for revalidation</x:v>
      </x:c>
      <x:c r="B10" s="118" t="n">
        <x:v>36</x:v>
      </x:c>
      <x:c r="C10"/>
      <x:c r="D10" s="117" t="str">
        <x:v>Selangor</x:v>
      </x:c>
      <x:c r="E10" s="118" t="n">
        <x:v>48</x:v>
      </x:c>
      <x:c r="G10" s="117" t="str">
        <x:v>New restriction rows</x:v>
      </x:c>
      <x:c r="H10" s="118" t="n">
        <x:v>5</x:v>
      </x:c>
    </x:row>
    <x:row r="11">
      <x:c r="A11" s="117" t="str">
        <x:v>Candidates with two image links</x:v>
      </x:c>
      <x:c r="B11" s="118" t="n">
        <x:v>310</x:v>
      </x:c>
      <x:c r="C11"/>
      <x:c r="D11" s="117" t="str">
        <x:v>Penang</x:v>
      </x:c>
      <x:c r="E11" s="118" t="n">
        <x:v>53</x:v>
      </x:c>
      <x:c r="G11" s="117" t="str">
        <x:v>Verified identities marked Complete</x:v>
      </x:c>
      <x:c r="H11" s="118" t="n">
        <x:v>146</x:v>
      </x:c>
    </x:row>
    <x:row r="12">
      <x:c r="A12" s="117" t="str">
        <x:v>Candidates with one image link</x:v>
      </x:c>
      <x:c r="B12" s="118" t="n">
        <x:v>78</x:v>
      </x:c>
      <x:c r="C12"/>
      <x:c r="D12" s="117" t="str">
        <x:v>Perak</x:v>
      </x:c>
      <x:c r="E12" s="118" t="n">
        <x:v>60</x:v>
      </x:c>
    </x:row>
    <x:row r="13">
      <x:c r="A13"/>
      <x:c r="B13"/>
      <x:c r="C13"/>
      <x:c r="D13" s="117" t="str">
        <x:v>Perlis</x:v>
      </x:c>
      <x:c r="E13" s="118" t="n">
        <x:v>25</x:v>
      </x:c>
    </x:row>
    <x:row r="14">
      <x:c r="A14"/>
      <x:c r="B14"/>
      <x:c r="C14"/>
      <x:c r="D14" s="117" t="str">
        <x:v>Sabah</x:v>
      </x:c>
      <x:c r="E14" s="118" t="n">
        <x:v>62</x:v>
      </x:c>
    </x:row>
    <x:row r="15" ht="34" customHeight="1">
      <x:c r="A15" s="114" t="str">
        <x:v>Status meaning</x:v>
      </x:c>
      <x:c r="B15" s="114" t="str">
        <x:v>Use</x:v>
      </x:c>
      <x:c r="C15"/>
      <x:c r="D15" s="117" t="str">
        <x:v>Sarawak</x:v>
      </x:c>
      <x:c r="E15" s="118" t="n">
        <x:v>56</x:v>
      </x:c>
    </x:row>
    <x:row r="16">
      <x:c r="A16" s="117" t="str">
        <x:v>Candidate only; confirm operation</x:v>
      </x:c>
      <x:c r="B16" s="117" t="str">
        <x:v>Place is in scope, but current opening was not established.</x:v>
      </x:c>
      <x:c r="C16"/>
      <x:c r="D16" s="117" t="str">
        <x:v>Terengganu</x:v>
      </x:c>
      <x:c r="E16" s="118" t="n">
        <x:v>65</x:v>
      </x:c>
    </x:row>
    <x:row r="17">
      <x:c r="A17" s="117" t="str">
        <x:v>Pending identity review</x:v>
      </x:c>
      <x:c r="B17" s="117" t="str">
        <x:v>Available sources did not provide a reliable name match.</x:v>
      </x:c>
      <x:c r="C17"/>
      <x:c r="D17" s="117" t="str">
        <x:v>W.P. Kuala Lumpur</x:v>
      </x:c>
      <x:c r="E17" s="118" t="n">
        <x:v>47</x:v>
      </x:c>
    </x:row>
    <x:row r="18">
      <x:c r="A18" s="117" t="str">
        <x:v>Primary accessibility evidence reviewed</x:v>
      </x:c>
      <x:c r="B18" s="117" t="str">
        <x:v>Operator, government or venue-specific primary source documents the stated feature.</x:v>
      </x:c>
      <x:c r="C18"/>
      <x:c r="D18" s="117" t="str">
        <x:v>W.P. Putrajaya</x:v>
      </x:c>
      <x:c r="E18" s="118" t="n">
        <x:v>22</x:v>
      </x:c>
    </x:row>
    <x:row r="19">
      <x:c r="A19" s="117" t="str">
        <x:v>Secondary accessibility evidence reviewed</x:v>
      </x:c>
      <x:c r="B19" s="117" t="str">
        <x:v>A relevant independent source reports the feature; confirm before travel.</x:v>
      </x:c>
      <x:c r="C19"/>
      <x:c r="D19" s="117" t="str">
        <x:v>W.P. Labuan</x:v>
      </x:c>
      <x:c r="E19" s="118" t="n">
        <x:v>26</x:v>
      </x:c>
    </x:row>
    <x:row r="20">
      <x:c r="A20" s="117" t="str">
        <x:v>No usable image pair</x:v>
      </x:c>
      <x:c r="B20" s="117" t="str">
        <x:v>Keep the chatbot image field empty or run a separate licensed-image review.</x:v>
      </x:c>
      <x:c r="C20"/>
      <x:c r="D20"/>
    </x:row>
    <x:row r="21">
      <x:c r="A21"/>
      <x:c r="B21"/>
      <x:c r="C21"/>
      <x:c r="D21"/>
    </x:row>
    <x:row r="22">
      <x:c r="A22"/>
      <x:c r="B22"/>
      <x:c r="C22"/>
      <x:c r="D22"/>
    </x:row>
    <x:row r="23">
      <x:c r="A23"/>
      <x:c r="B23"/>
      <x:c r="C23"/>
      <x:c r="D23"/>
    </x:row>
    <x:row r="24">
      <x:c r="A24"/>
      <x:c r="B24"/>
      <x:c r="C24"/>
      <x:c r="D24"/>
    </x:row>
    <x:row r="25">
      <x:c r="A25"/>
      <x:c r="B25"/>
      <x:c r="C25"/>
      <x:c r="D25"/>
    </x:row>
    <x:row r="26">
      <x:c r="A26"/>
      <x:c r="B26"/>
      <x:c r="C26"/>
      <x:c r="D26"/>
    </x:row>
  </x:sheetData>
  <x:mergeCells>
    <x:mergeCell ref="A1:D1"/>
    <x:mergeCell ref="G1:H1"/>
  </x:mergeCells>
  <x:pageMargins left="0.7" right="0.7" top="0.75" bottom="0.75" header="0.3" footer="0.3"/>
</x:worksheet>
</file>

<file path=xl/worksheets/sheet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1" hidden="0" customWidth="1"/>
    <x:col min="2" max="2" width="32" hidden="0" customWidth="1"/>
    <x:col min="3" max="3" width="12" hidden="0" customWidth="1"/>
    <x:col min="4" max="4" width="55" hidden="0" customWidth="1"/>
    <x:col min="5" max="5" width="55" hidden="0" customWidth="1"/>
    <x:col min="6" max="6" width="38" hidden="0" customWidth="1"/>
    <x:col min="7" max="7" width="30" hidden="0" customWidth="1"/>
    <x:col min="8" max="8" width="30" hidden="0" customWidth="1"/>
    <x:col min="9" max="9" width="30" hidden="0" customWidth="1"/>
    <x:col min="10" max="10" width="30" hidden="0" customWidth="1"/>
    <x:col min="11" max="11" width="30" hidden="0" customWidth="1"/>
    <x:col min="12" max="12" width="28" hidden="0" customWidth="1"/>
    <x:col min="13" max="13" width="28" hidden="0" customWidth="1"/>
    <x:col min="14" max="14" width="28" hidden="0" customWidth="1"/>
  </x:cols>
  <x:sheetData>
    <x:row r="1" ht="26" customHeight="1">
      <x:c r="A1" s="105" t="str">
        <x:v>Licensed image-link candidates and attribution metadata</x:v>
      </x:c>
      <x:c r="B1" s="105"/>
      <x:c r="C1" s="105"/>
      <x:c r="D1" s="105"/>
      <x:c r="E1" s="105"/>
      <x:c r="F1" s="105"/>
      <x:c r="G1" s="105"/>
      <x:c r="H1" s="105"/>
      <x:c r="I1" s="105"/>
      <x:c r="J1" s="105"/>
      <x:c r="K1" s="105"/>
      <x:c r="L1" s="105"/>
      <x:c r="M1" s="105"/>
      <x:c r="N1" s="105"/>
    </x:row>
    <x:row r="2" ht="30" customHeight="1">
      <x:c r="A2" s="107" t="str">
        <x:v>Images were matched using Wikimedia Commons file metadata. They are links, not embedded files. Visual review is still required before production use; comply with the named licence and attribution terms.</x:v>
      </x:c>
      <x:c r="B2" s="107"/>
      <x:c r="C2" s="107"/>
      <x:c r="D2" s="107"/>
      <x:c r="E2" s="107"/>
      <x:c r="F2" s="107"/>
      <x:c r="G2" s="107"/>
      <x:c r="H2" s="107"/>
      <x:c r="I2" s="107"/>
      <x:c r="J2" s="107"/>
      <x:c r="K2" s="107"/>
      <x:c r="L2" s="107"/>
      <x:c r="M2" s="107"/>
      <x:c r="N2" s="107"/>
    </x:row>
    <x:row r="4" ht="34" customHeight="1">
      <x:c r="A4" s="114" t="str">
        <x:v>Candidate ID</x:v>
      </x:c>
      <x:c r="B4" s="114" t="str">
        <x:v>Attraction Name</x:v>
      </x:c>
      <x:c r="C4" s="114" t="str">
        <x:v>Image Number</x:v>
      </x:c>
      <x:c r="D4" s="114" t="str">
        <x:v>Display URL</x:v>
      </x:c>
      <x:c r="E4" s="114" t="str">
        <x:v>Commons File Page</x:v>
      </x:c>
      <x:c r="F4" s="114" t="str">
        <x:v>File Title</x:v>
      </x:c>
      <x:c r="G4" s="114" t="str">
        <x:v>Creator</x:v>
      </x:c>
      <x:c r="H4" s="114" t="str">
        <x:v>License</x:v>
      </x:c>
      <x:c r="I4" s="114" t="str">
        <x:v>License URL</x:v>
      </x:c>
      <x:c r="J4" s="114" t="str">
        <x:v>Attribution Required</x:v>
      </x:c>
      <x:c r="K4" s="114" t="str">
        <x:v>Credit</x:v>
      </x:c>
      <x:c r="L4" s="114" t="str">
        <x:v>Match Basis</x:v>
      </x:c>
      <x:c r="M4" s="114" t="str">
        <x:v>Visual Review</x:v>
      </x:c>
      <x:c r="N4" s="114" t="str">
        <x:v>Checked Date</x:v>
      </x:c>
    </x:row>
    <x:row r="5" ht="48" customHeight="1">
      <x:c r="A5" s="117" t="str">
        <x:v>MC0001</x:v>
      </x:c>
      <x:c r="B5" s="117" t="str">
        <x:v>Hutan Bandar MBJB</x:v>
      </x:c>
      <x:c r="C5" s="117" t="n">
        <x:v>1</x:v>
      </x:c>
      <x:c r="D5" s="117" t="str">
        <x:v>https://thumb.wikimedia.org/wikipedia/commons/thumb/1/1e/Forest_trees_in_Johor.jpg/1280px-Forest_trees_in_Johor.jpg?utm_source=commons.wikimedia.org&amp;utm_campaign=imageinfo&amp;utm_content=thumbnail</x:v>
      </x:c>
      <x:c r="E5" s="117" t="str">
        <x:v>https://commons.wikimedia.org/wiki/File:Forest_trees_in_Johor.jpg</x:v>
      </x:c>
      <x:c r="F5" s="117" t="str">
        <x:v>File:Forest trees in Johor.jpg</x:v>
      </x:c>
      <x:c r="G5" s="117" t="str">
        <x:v>Emran Kassim from Kangar, Perlis, Malaysia</x:v>
      </x:c>
      <x:c r="H5" s="117" t="str">
        <x:v>CC BY 2.0</x:v>
      </x:c>
      <x:c r="I5" s="117" t="str">
        <x:v>https://creativecommons.org/licenses/by/2.0</x:v>
      </x:c>
      <x:c r="J5" s="117" t="str">
        <x:v>true</x:v>
      </x:c>
      <x:c r="K5" s="117" t="str">
        <x:v>Hijau @ Hutan Bandar, JB</x:v>
      </x:c>
      <x:c r="L5" s="117" t="str">
        <x:v>Place-name token match in file metadata</x:v>
      </x:c>
      <x:c r="M5" s="117" t="str">
        <x:v>Not visually reviewed</x:v>
      </x:c>
      <x:c r="N5" s="117" t="str">
        <x:v>2026-09-08</x:v>
      </x:c>
    </x:row>
    <x:row r="6" ht="48" customHeight="1">
      <x:c r="A6" s="117" t="str">
        <x:v>MC0002</x:v>
      </x:c>
      <x:c r="B6" s="117" t="str">
        <x:v>Zoo Johor</x:v>
      </x:c>
      <x:c r="C6" s="117" t="n">
        <x:v>1</x:v>
      </x:c>
      <x:c r="D6" s="117" t="str">
        <x:v>https://thumb.wikimedia.org/wikipedia/commons/thumb/2/2a/Zoo_Johor_entrance.jpg/1280px-Zoo_Johor_entrance.jpg?utm_source=commons.wikimedia.org&amp;utm_campaign=imageinfo&amp;utm_content=thumbnail</x:v>
      </x:c>
      <x:c r="E6" s="117" t="str">
        <x:v>https://commons.wikimedia.org/wiki/File:Zoo_Johor_entrance.jpg</x:v>
      </x:c>
      <x:c r="F6" s="117" t="str">
        <x:v>File:Zoo Johor entrance.jpg</x:v>
      </x:c>
      <x:c r="G6" s="117" t="str">
        <x:v>Stress 043</x:v>
      </x:c>
      <x:c r="H6" s="117" t="str">
        <x:v>CC BY-SA 4.0</x:v>
      </x:c>
      <x:c r="I6" s="117" t="str">
        <x:v>https://creativecommons.org/licenses/by-sa/4.0</x:v>
      </x:c>
      <x:c r="J6" s="117" t="str">
        <x:v>true</x:v>
      </x:c>
      <x:c r="K6" s="117" t="str">
        <x:v>Own work</x:v>
      </x:c>
      <x:c r="L6" s="117" t="str">
        <x:v>Exact place-name in file metadata</x:v>
      </x:c>
      <x:c r="M6" s="117" t="str">
        <x:v>Not visually reviewed</x:v>
      </x:c>
      <x:c r="N6" s="117" t="str">
        <x:v>2026-09-08</x:v>
      </x:c>
    </x:row>
    <x:row r="7" ht="48" customHeight="1">
      <x:c r="A7" s="117" t="str">
        <x:v>MC0002</x:v>
      </x:c>
      <x:c r="B7" s="117" t="str">
        <x:v>Zoo Johor</x:v>
      </x:c>
      <x:c r="C7" s="117" t="n">
        <x:v>2</x:v>
      </x:c>
      <x:c r="D7" s="117" t="str">
        <x:v>https://thumb.wikimedia.org/wikipedia/commons/thumb/9/98/Johor_Zoo.JPG/1280px-Johor_Zoo.JPG?utm_source=commons.wikimedia.org&amp;utm_campaign=imageinfo&amp;utm_content=thumbnail</x:v>
      </x:c>
      <x:c r="E7" s="117" t="str">
        <x:v>https://commons.wikimedia.org/wiki/File:Johor_Zoo.JPG</x:v>
      </x:c>
      <x:c r="F7" s="117" t="str">
        <x:v>File:Johor Zoo.JPG</x:v>
      </x:c>
      <x:c r="G7" s="117" t="str">
        <x:v>Chongkian</x:v>
      </x:c>
      <x:c r="H7" s="117" t="str">
        <x:v>CC BY-SA 4.0</x:v>
      </x:c>
      <x:c r="I7" s="117" t="str">
        <x:v>https://creativecommons.org/licenses/by-sa/4.0</x:v>
      </x:c>
      <x:c r="J7" s="117" t="str">
        <x:v>true</x:v>
      </x:c>
      <x:c r="K7" s="117" t="str">
        <x:v>Own work</x:v>
      </x:c>
      <x:c r="L7" s="117" t="str">
        <x:v>Exact place-name in file metadata</x:v>
      </x:c>
      <x:c r="M7" s="117" t="str">
        <x:v>Not visually reviewed</x:v>
      </x:c>
      <x:c r="N7" s="117" t="str">
        <x:v>2026-09-08</x:v>
      </x:c>
    </x:row>
    <x:row r="8" ht="48" customHeight="1">
      <x:c r="A8" s="117" t="str">
        <x:v>MC0003</x:v>
      </x:c>
      <x:c r="B8" s="117" t="str">
        <x:v>Endau-Rompin National Park</x:v>
      </x:c>
      <x:c r="C8" s="117" t="n">
        <x:v>1</x:v>
      </x:c>
      <x:c r="D8" s="117" t="str">
        <x:v>https://thumb.wikimedia.org/wikipedia/commons/thumb/f/f6/Kincin.jpg/1280px-Kincin.jpg?utm_source=commons.wikimedia.org&amp;utm_campaign=imageinfo&amp;utm_content=thumbnail</x:v>
      </x:c>
      <x:c r="E8" s="117" t="str">
        <x:v>https://commons.wikimedia.org/wiki/File:Kincin.jpg</x:v>
      </x:c>
      <x:c r="F8" s="117" t="str">
        <x:v>File:Kincin.jpg</x:v>
      </x:c>
      <x:c r="G8" s="117" t="str">
        <x:v>Ondřej Žváček</x:v>
      </x:c>
      <x:c r="H8" s="117" t="str">
        <x:v>CC BY 2.5</x:v>
      </x:c>
      <x:c r="I8" s="117" t="str">
        <x:v>https://creativecommons.org/licenses/by/2.5</x:v>
      </x:c>
      <x:c r="J8" s="117" t="str">
        <x:v>true</x:v>
      </x:c>
      <x:c r="K8" s="117" t="str">
        <x:v>Own work.</x:v>
      </x:c>
      <x:c r="L8" s="117" t="str">
        <x:v>Exact place-name in file metadata</x:v>
      </x:c>
      <x:c r="M8" s="117" t="str">
        <x:v>Not visually reviewed</x:v>
      </x:c>
      <x:c r="N8" s="117" t="str">
        <x:v>2026-09-08</x:v>
      </x:c>
    </x:row>
    <x:row r="9" ht="48" customHeight="1">
      <x:c r="A9" s="117" t="str">
        <x:v>MC0003</x:v>
      </x:c>
      <x:c r="B9" s="117" t="str">
        <x:v>Endau-Rompin National Park</x:v>
      </x:c>
      <x:c r="C9" s="117" t="n">
        <x:v>2</x:v>
      </x:c>
      <x:c r="D9" s="117" t="str">
        <x:v>https://thumb.wikimedia.org/wikipedia/commons/thumb/1/15/20170415T065925_Lat_2_26_7.40569196_N_Long_103_14_35.66140777_E.jpg/1280px-20170415T065925_Lat_2_26_7.40569196_N_Long_103_14_35.66140777_E.jpg?utm_source=commons.wikimedia.org&amp;utm_campaign=imageinfo&amp;utm_content=thumbnail</x:v>
      </x:c>
      <x:c r="E9" s="117" t="str">
        <x:v>https://commons.wikimedia.org/wiki/File:20170415T065925_Lat_2_26_7.40569196_N_Long_103_14_35.66140777_E.jpg</x:v>
      </x:c>
      <x:c r="F9" s="117" t="str">
        <x:v>File:20170415T065925 Lat 2 26 7.40569196 N Long 103 14 35.66140777 E.jpg</x:v>
      </x:c>
      <x:c r="G9" s="117" t="str">
        <x:v>Toni Wöhrl</x:v>
      </x:c>
      <x:c r="H9" s="117" t="str">
        <x:v>CC BY-SA 4.0</x:v>
      </x:c>
      <x:c r="I9" s="117" t="str">
        <x:v>https://creativecommons.org/licenses/by-sa/4.0</x:v>
      </x:c>
      <x:c r="J9" s="117" t="str">
        <x:v>true</x:v>
      </x:c>
      <x:c r="K9" s="117" t="str">
        <x:v>Own work</x:v>
      </x:c>
      <x:c r="L9" s="117" t="str">
        <x:v>Exact place-name in file metadata</x:v>
      </x:c>
      <x:c r="M9" s="117" t="str">
        <x:v>Not visually reviewed</x:v>
      </x:c>
      <x:c r="N9" s="117" t="str">
        <x:v>2026-09-08</x:v>
      </x:c>
    </x:row>
    <x:row r="10" ht="48" customHeight="1">
      <x:c r="A10" s="117" t="str">
        <x:v>MC0004</x:v>
      </x:c>
      <x:c r="B10" s="117" t="str">
        <x:v>LEGOLAND Malaysia Resort</x:v>
      </x:c>
      <x:c r="C10" s="117" t="n">
        <x:v>1</x:v>
      </x:c>
      <x:c r="D10" s="117" t="str">
        <x:v>https://thumb.wikimedia.org/wikipedia/commons/thumb/e/ed/Legoland_Malaysia_Resort.jpg/1280px-Legoland_Malaysia_Resort.jpg?utm_source=commons.wikimedia.org&amp;utm_campaign=imageinfo&amp;utm_content=thumbnail</x:v>
      </x:c>
      <x:c r="E10" s="117" t="str">
        <x:v>https://commons.wikimedia.org/wiki/File:Legoland_Malaysia_Resort.jpg</x:v>
      </x:c>
      <x:c r="F10" s="117" t="str">
        <x:v>File:Legoland Malaysia Resort.jpg</x:v>
      </x:c>
      <x:c r="G10" s="117" t="str">
        <x:v>Mohd Fazlin Mohd Effendy Ooi from Kuala Lumpur, Malaysia</x:v>
      </x:c>
      <x:c r="H10" s="117" t="str">
        <x:v>CC BY 2.0</x:v>
      </x:c>
      <x:c r="I10" s="117" t="str">
        <x:v>https://creativecommons.org/licenses/by/2.0</x:v>
      </x:c>
      <x:c r="J10" s="117" t="str">
        <x:v>true</x:v>
      </x:c>
      <x:c r="K10" s="117" t="str">
        <x:v>Legoland Malaysia Resort</x:v>
      </x:c>
      <x:c r="L10" s="117" t="str">
        <x:v>Exact name or all distinctive place-name tokens in file metadata</x:v>
      </x:c>
      <x:c r="M10" s="117" t="str">
        <x:v>Not visually reviewed</x:v>
      </x:c>
      <x:c r="N10" s="117" t="str">
        <x:v>2026-09-08</x:v>
      </x:c>
    </x:row>
    <x:row r="11" ht="48" customHeight="1">
      <x:c r="A11" s="117" t="str">
        <x:v>MC0005</x:v>
      </x:c>
      <x:c r="B11" s="117" t="str">
        <x:v>Adventure Waterpark Desaru Coast</x:v>
      </x:c>
      <x:c r="C11" s="117" t="n">
        <x:v>1</x:v>
      </x:c>
      <x:c r="D11" s="117" t="str">
        <x:v>https://thumb.wikimedia.org/wikipedia/commons/thumb/d/d6/Desaru_Coast_Adventure_Waterpark.jpg/1280px-Desaru_Coast_Adventure_Waterpark.jpg?utm_source=commons.wikimedia.org&amp;utm_campaign=imageinfo&amp;utm_content=thumbnail</x:v>
      </x:c>
      <x:c r="E11" s="117" t="str">
        <x:v>https://commons.wikimedia.org/wiki/File:Desaru_Coast_Adventure_Waterpark.jpg</x:v>
      </x:c>
      <x:c r="F11" s="117" t="str">
        <x:v>File:Desaru Coast Adventure Waterpark.jpg</x:v>
      </x:c>
      <x:c r="G11" s="117" t="str">
        <x:v>Chongkian</x:v>
      </x:c>
      <x:c r="H11" s="117" t="str">
        <x:v>CC BY-SA 4.0</x:v>
      </x:c>
      <x:c r="I11" s="117" t="str">
        <x:v>https://creativecommons.org/licenses/by-sa/4.0</x:v>
      </x:c>
      <x:c r="J11" s="117" t="str">
        <x:v>true</x:v>
      </x:c>
      <x:c r="K11" s="117" t="str">
        <x:v>Own work</x:v>
      </x:c>
      <x:c r="L11" s="117" t="str">
        <x:v>Exact name or all distinctive place-name tokens in file metadata</x:v>
      </x:c>
      <x:c r="M11" s="117" t="str">
        <x:v>Not visually reviewed</x:v>
      </x:c>
      <x:c r="N11" s="117" t="str">
        <x:v>2026-09-08</x:v>
      </x:c>
    </x:row>
    <x:row r="12" ht="48" customHeight="1">
      <x:c r="A12" s="117" t="str">
        <x:v>MC0006</x:v>
      </x:c>
      <x:c r="B12" s="117" t="str">
        <x:v>Desaru Beach</x:v>
      </x:c>
      <x:c r="C12" s="117" t="n">
        <x:v>1</x:v>
      </x:c>
      <x:c r="D12" s="117" t="str">
        <x:v>https://thumb.wikimedia.org/wikipedia/commons/thumb/d/d5/Desaru_Beach.jpg/1280px-Desaru_Beach.jpg?utm_source=commons.wikimedia.org&amp;utm_campaign=imageinfo&amp;utm_content=thumbnail</x:v>
      </x:c>
      <x:c r="E12" s="117" t="str">
        <x:v>https://commons.wikimedia.org/wiki/File:Desaru_Beach.jpg</x:v>
      </x:c>
      <x:c r="F12" s="117" t="str">
        <x:v>File:Desaru Beach.jpg</x:v>
      </x:c>
      <x:c r="G12" s="117" t="str">
        <x:v>Chongkian</x:v>
      </x:c>
      <x:c r="H12" s="117" t="str">
        <x:v>CC BY-SA 4.0</x:v>
      </x:c>
      <x:c r="I12" s="117" t="str">
        <x:v>https://creativecommons.org/licenses/by-sa/4.0</x:v>
      </x:c>
      <x:c r="J12" s="117" t="str">
        <x:v>true</x:v>
      </x:c>
      <x:c r="K12" s="117" t="str">
        <x:v>Own work</x:v>
      </x:c>
      <x:c r="L12" s="117" t="str">
        <x:v>Exact place-name in file metadata</x:v>
      </x:c>
      <x:c r="M12" s="117" t="str">
        <x:v>Not visually reviewed</x:v>
      </x:c>
      <x:c r="N12" s="117" t="str">
        <x:v>2026-09-08</x:v>
      </x:c>
    </x:row>
    <x:row r="13" ht="48" customHeight="1">
      <x:c r="A13" s="117" t="str">
        <x:v>MC0006</x:v>
      </x:c>
      <x:c r="B13" s="117" t="str">
        <x:v>Desaru Beach</x:v>
      </x:c>
      <x:c r="C13" s="117" t="n">
        <x:v>2</x:v>
      </x:c>
      <x:c r="D13" s="117" t="str">
        <x:v>https://thumb.wikimedia.org/wikipedia/commons/thumb/6/63/Pantai_Desaru_-_panoramio.jpg/1280px-Pantai_Desaru_-_panoramio.jpg?utm_source=commons.wikimedia.org&amp;utm_campaign=imageinfo&amp;utm_content=thumbnail</x:v>
      </x:c>
      <x:c r="E13" s="117" t="str">
        <x:v>https://commons.wikimedia.org/wiki/File:Pantai_Desaru_-_panoramio.jpg</x:v>
      </x:c>
      <x:c r="F13" s="117" t="str">
        <x:v>File:Pantai Desaru - panoramio.jpg</x:v>
      </x:c>
      <x:c r="G13" s="117" t="str">
        <x:v>Kai Gan</x:v>
      </x:c>
      <x:c r="H13" s="117" t="str">
        <x:v>CC BY 3.0</x:v>
      </x:c>
      <x:c r="I13" s="117" t="str">
        <x:v>https://creativecommons.org/licenses/by/3.0</x:v>
      </x:c>
      <x:c r="J13" s="117" t="str">
        <x:v>true</x:v>
      </x:c>
      <x:c r="K13" s="117" t="str">
        <x:v>https://web.archive.org/web/20161029171439/http://www.panoramio.com/photo/105477714</x:v>
      </x:c>
      <x:c r="L13" s="117" t="str">
        <x:v>Exact place-name in file metadata</x:v>
      </x:c>
      <x:c r="M13" s="117" t="str">
        <x:v>Not visually reviewed</x:v>
      </x:c>
      <x:c r="N13" s="117" t="str">
        <x:v>2026-09-08</x:v>
      </x:c>
    </x:row>
    <x:row r="14" ht="48" customHeight="1">
      <x:c r="A14" s="117" t="str">
        <x:v>MC0007</x:v>
      </x:c>
      <x:c r="B14" s="117" t="str">
        <x:v>Tanjung Piai National Park</x:v>
      </x:c>
      <x:c r="C14" s="117" t="n">
        <x:v>1</x:v>
      </x:c>
      <x:c r="D14" s="117" t="str">
        <x:v>https://thumb.wikimedia.org/wikipedia/commons/thumb/9/97/Mangrove_Tree_Roots.jpg/1280px-Mangrove_Tree_Roots.jpg?utm_source=commons.wikimedia.org&amp;utm_campaign=imageinfo&amp;utm_content=thumbnail</x:v>
      </x:c>
      <x:c r="E14" s="117" t="str">
        <x:v>https://commons.wikimedia.org/wiki/File:Mangrove_Tree_Roots.jpg</x:v>
      </x:c>
      <x:c r="F14" s="117" t="str">
        <x:v>File:Mangrove Tree Roots.jpg</x:v>
      </x:c>
      <x:c r="G14" s="117" t="str">
        <x:v>Yukhei234</x:v>
      </x:c>
      <x:c r="H14" s="117" t="str">
        <x:v>CC BY-SA 4.0</x:v>
      </x:c>
      <x:c r="I14" s="117" t="str">
        <x:v>https://creativecommons.org/licenses/by-sa/4.0</x:v>
      </x:c>
      <x:c r="J14" s="117" t="str">
        <x:v>true</x:v>
      </x:c>
      <x:c r="K14" s="117" t="str">
        <x:v>Own work</x:v>
      </x:c>
      <x:c r="L14" s="117" t="str">
        <x:v>Place-name token match in file metadata</x:v>
      </x:c>
      <x:c r="M14" s="117" t="str">
        <x:v>Not visually reviewed</x:v>
      </x:c>
      <x:c r="N14" s="117" t="str">
        <x:v>2026-09-08</x:v>
      </x:c>
    </x:row>
    <x:row r="15" ht="48" customHeight="1">
      <x:c r="A15" s="117" t="str">
        <x:v>MC0007</x:v>
      </x:c>
      <x:c r="B15" s="117" t="str">
        <x:v>Tanjung Piai National Park</x:v>
      </x:c>
      <x:c r="C15" s="117" t="n">
        <x:v>2</x:v>
      </x:c>
      <x:c r="D15" s="117" t="str">
        <x:v>https://thumb.wikimedia.org/wikipedia/commons/thumb/9/90/Mangrove_Trees_Tanjung_Piai_Johor_National_Park.jpg/1280px-Mangrove_Trees_Tanjung_Piai_Johor_National_Park.jpg?utm_source=commons.wikimedia.org&amp;utm_campaign=imageinfo&amp;utm_content=thumbnail</x:v>
      </x:c>
      <x:c r="E15" s="117" t="str">
        <x:v>https://commons.wikimedia.org/wiki/File:Mangrove_Trees_Tanjung_Piai_Johor_National_Park.jpg</x:v>
      </x:c>
      <x:c r="F15" s="117" t="str">
        <x:v>File:Mangrove Trees Tanjung Piai Johor National Park.jpg</x:v>
      </x:c>
      <x:c r="G15" s="117" t="str">
        <x:v>Yukhei234</x:v>
      </x:c>
      <x:c r="H15" s="117" t="str">
        <x:v>CC BY-SA 4.0</x:v>
      </x:c>
      <x:c r="I15" s="117" t="str">
        <x:v>https://creativecommons.org/licenses/by-sa/4.0</x:v>
      </x:c>
      <x:c r="J15" s="117" t="str">
        <x:v>true</x:v>
      </x:c>
      <x:c r="K15" s="117" t="str">
        <x:v>Own work</x:v>
      </x:c>
      <x:c r="L15" s="117" t="str">
        <x:v>Place-name token match in file metadata</x:v>
      </x:c>
      <x:c r="M15" s="117" t="str">
        <x:v>Not visually reviewed</x:v>
      </x:c>
      <x:c r="N15" s="117" t="str">
        <x:v>2026-09-08</x:v>
      </x:c>
    </x:row>
    <x:row r="16" ht="48" customHeight="1">
      <x:c r="A16" s="117" t="str">
        <x:v>MC0009</x:v>
      </x:c>
      <x:c r="B16" s="117" t="str">
        <x:v>Kota Tinggi Firefly Park</x:v>
      </x:c>
      <x:c r="C16" s="117" t="n">
        <x:v>1</x:v>
      </x:c>
      <x:c r="D16" s="117" t="str">
        <x:v>https://thumb.wikimedia.org/wikipedia/commons/thumb/0/0e/Kota_Tinggi_Firefly_Park_02.jpg/1280px-Kota_Tinggi_Firefly_Park_02.jpg?utm_source=commons.wikimedia.org&amp;utm_campaign=imageinfo&amp;utm_content=thumbnail</x:v>
      </x:c>
      <x:c r="E16" s="117" t="str">
        <x:v>https://commons.wikimedia.org/wiki/File:Kota_Tinggi_Firefly_Park_02.jpg</x:v>
      </x:c>
      <x:c r="F16" s="117" t="str">
        <x:v>File:Kota Tinggi Firefly Park 02.jpg</x:v>
      </x:c>
      <x:c r="G16" s="117" t="str">
        <x:v>Marcofly2409</x:v>
      </x:c>
      <x:c r="H16" s="117" t="str">
        <x:v>CC BY-SA 4.0</x:v>
      </x:c>
      <x:c r="I16" s="117" t="str">
        <x:v>https://creativecommons.org/licenses/by-sa/4.0</x:v>
      </x:c>
      <x:c r="J16" s="117" t="str">
        <x:v>true</x:v>
      </x:c>
      <x:c r="K16" s="117" t="str">
        <x:v>Own work</x:v>
      </x:c>
      <x:c r="L16" s="117" t="str">
        <x:v>Exact place-name in file metadata</x:v>
      </x:c>
      <x:c r="M16" s="117" t="str">
        <x:v>Not visually reviewed</x:v>
      </x:c>
      <x:c r="N16" s="117" t="str">
        <x:v>2026-09-08</x:v>
      </x:c>
    </x:row>
    <x:row r="17" ht="48" customHeight="1">
      <x:c r="A17" s="117" t="str">
        <x:v>MC0009</x:v>
      </x:c>
      <x:c r="B17" s="117" t="str">
        <x:v>Kota Tinggi Firefly Park</x:v>
      </x:c>
      <x:c r="C17" s="117" t="n">
        <x:v>2</x:v>
      </x:c>
      <x:c r="D17" s="117" t="str">
        <x:v>https://thumb.wikimedia.org/wikipedia/commons/thumb/2/2f/Kota_Tinggi_Firefly_Park_05.jpg/1280px-Kota_Tinggi_Firefly_Park_05.jpg?utm_source=commons.wikimedia.org&amp;utm_campaign=imageinfo&amp;utm_content=thumbnail</x:v>
      </x:c>
      <x:c r="E17" s="117" t="str">
        <x:v>https://commons.wikimedia.org/wiki/File:Kota_Tinggi_Firefly_Park_05.jpg</x:v>
      </x:c>
      <x:c r="F17" s="117" t="str">
        <x:v>File:Kota Tinggi Firefly Park 05.jpg</x:v>
      </x:c>
      <x:c r="G17" s="117" t="str">
        <x:v>Marcofly2409</x:v>
      </x:c>
      <x:c r="H17" s="117" t="str">
        <x:v>CC BY-SA 4.0</x:v>
      </x:c>
      <x:c r="I17" s="117" t="str">
        <x:v>https://creativecommons.org/licenses/by-sa/4.0</x:v>
      </x:c>
      <x:c r="J17" s="117" t="str">
        <x:v>true</x:v>
      </x:c>
      <x:c r="K17" s="117" t="str">
        <x:v>Own work</x:v>
      </x:c>
      <x:c r="L17" s="117" t="str">
        <x:v>Exact place-name in file metadata</x:v>
      </x:c>
      <x:c r="M17" s="117" t="str">
        <x:v>Not visually reviewed</x:v>
      </x:c>
      <x:c r="N17" s="117" t="str">
        <x:v>2026-09-08</x:v>
      </x:c>
    </x:row>
    <x:row r="18" ht="48" customHeight="1">
      <x:c r="A18" s="117" t="str">
        <x:v>MC0010</x:v>
      </x:c>
      <x:c r="B18" s="117" t="str">
        <x:v>Johor Bahru Old Chinese Temple</x:v>
      </x:c>
      <x:c r="C18" s="117" t="n">
        <x:v>1</x:v>
      </x:c>
      <x:c r="D18" s="117" t="str">
        <x:v>https://thumb.wikimedia.org/wikipedia/commons/thumb/9/93/%E6%9F%94%E4%BD%9B%E5%8F%A4%E5%BB%9F.jpg/1280px-%E6%9F%94%E4%BD%9B%E5%8F%A4%E5%BB%9F.jpg?utm_source=commons.wikimedia.org&amp;utm_campaign=imageinfo&amp;utm_content=thumbnail</x:v>
      </x:c>
      <x:c r="E18" s="117" t="str">
        <x:v>https://commons.wikimedia.org/wiki/File:%E6%9F%94%E4%BD%9B%E5%8F%A4%E5%BB%9F.jpg</x:v>
      </x:c>
      <x:c r="F18" s="117" t="str">
        <x:v>File:柔佛古廟.jpg</x:v>
      </x:c>
      <x:c r="G18" s="117" t="str">
        <x:v>Johan Jönsson (Julle)</x:v>
      </x:c>
      <x:c r="H18" s="117" t="str">
        <x:v>CC BY-SA 4.0</x:v>
      </x:c>
      <x:c r="I18" s="117" t="str">
        <x:v>https://creativecommons.org/licenses/by-sa/4.0</x:v>
      </x:c>
      <x:c r="J18" s="117" t="str">
        <x:v>true</x:v>
      </x:c>
      <x:c r="K18" s="117" t="str">
        <x:v>Own work</x:v>
      </x:c>
      <x:c r="L18" s="117" t="str">
        <x:v>Exact name or all distinctive place-name tokens in file metadata</x:v>
      </x:c>
      <x:c r="M18" s="117" t="str">
        <x:v>Not visually reviewed</x:v>
      </x:c>
      <x:c r="N18" s="117" t="str">
        <x:v>2026-09-08</x:v>
      </x:c>
    </x:row>
    <x:row r="19" ht="48" customHeight="1">
      <x:c r="A19" s="117" t="str">
        <x:v>MC0010</x:v>
      </x:c>
      <x:c r="B19" s="117" t="str">
        <x:v>Johor Bahru Old Chinese Temple</x:v>
      </x:c>
      <x:c r="C19" s="117" t="n">
        <x:v>2</x:v>
      </x:c>
      <x:c r="D19" s="117" t="str">
        <x:v>https://thumb.wikimedia.org/wikipedia/commons/thumb/7/7d/Wikimania_2023_-_Johor_Bahru_Photo_Walk_-_Old_Chinese_Temple_14.jpg/1280px-Wikimania_2023_-_Johor_Bahru_Photo_Walk_-_Old_Chinese_Temple_14.jpg?utm_source=commons.wikimedia.org&amp;utm_campaign=imageinfo&amp;utm_content=thumbnail</x:v>
      </x:c>
      <x:c r="E19" s="117" t="str">
        <x:v>https://commons.wikimedia.org/wiki/File:Wikimania_2023_-_Johor_Bahru_Photo_Walk_-_Old_Chinese_Temple_14.jpg</x:v>
      </x:c>
      <x:c r="F19" s="117" t="str">
        <x:v>File:Wikimania 2023 - Johor Bahru Photo Walk - Old Chinese Temple 14.jpg</x:v>
      </x:c>
      <x:c r="G19" s="117" t="str">
        <x:v>Zahirulnukman</x:v>
      </x:c>
      <x:c r="H19" s="117" t="str">
        <x:v>CC BY-SA 3.0</x:v>
      </x:c>
      <x:c r="I19" s="117" t="str">
        <x:v>https://creativecommons.org/licenses/by-sa/3.0</x:v>
      </x:c>
      <x:c r="J19" s="117" t="str">
        <x:v>true</x:v>
      </x:c>
      <x:c r="K19" s="117" t="str">
        <x:v>Own work</x:v>
      </x:c>
      <x:c r="L19" s="117" t="str">
        <x:v>Exact name or all distinctive place-name tokens in file metadata</x:v>
      </x:c>
      <x:c r="M19" s="117" t="str">
        <x:v>Not visually reviewed</x:v>
      </x:c>
      <x:c r="N19" s="117" t="str">
        <x:v>2026-09-08</x:v>
      </x:c>
    </x:row>
    <x:row r="20" ht="48" customHeight="1">
      <x:c r="A20" s="117" t="str">
        <x:v>MC0012</x:v>
      </x:c>
      <x:c r="B20" s="117" t="str">
        <x:v>Sultan Ibrahim Building</x:v>
      </x:c>
      <x:c r="C20" s="117" t="n">
        <x:v>1</x:v>
      </x:c>
      <x:c r="D20" s="117" t="str">
        <x:v>https://thumb.wikimedia.org/wikipedia/commons/thumb/2/2d/Sultan_Ibrahim_Building_-_JB.jpg/1280px-Sultan_Ibrahim_Building_-_JB.jpg?utm_source=commons.wikimedia.org&amp;utm_campaign=imageinfo&amp;utm_content=thumbnail</x:v>
      </x:c>
      <x:c r="E20" s="117" t="str">
        <x:v>https://commons.wikimedia.org/wiki/File:Sultan_Ibrahim_Building_-_JB.jpg</x:v>
      </x:c>
      <x:c r="F20" s="117" t="str">
        <x:v>File:Sultan Ibrahim Building - JB.jpg</x:v>
      </x:c>
      <x:c r="G20" s="117" t="str">
        <x:v>Graystravels</x:v>
      </x:c>
      <x:c r="H20" s="117" t="str">
        <x:v>CC BY-SA 4.0</x:v>
      </x:c>
      <x:c r="I20" s="117" t="str">
        <x:v>https://creativecommons.org/licenses/by-sa/4.0</x:v>
      </x:c>
      <x:c r="J20" s="117" t="str">
        <x:v>true</x:v>
      </x:c>
      <x:c r="K20" s="117" t="str">
        <x:v>Own work</x:v>
      </x:c>
      <x:c r="L20" s="117" t="str">
        <x:v>Exact name or all distinctive place-name tokens in file metadata</x:v>
      </x:c>
      <x:c r="M20" s="117" t="str">
        <x:v>Not visually reviewed</x:v>
      </x:c>
      <x:c r="N20" s="117" t="str">
        <x:v>2026-09-08</x:v>
      </x:c>
    </x:row>
    <x:row r="21" ht="48" customHeight="1">
      <x:c r="A21" s="117" t="str">
        <x:v>MC0014</x:v>
      </x:c>
      <x:c r="B21" s="117" t="str">
        <x:v>Arulmigu Sri Rajakaliamman Glass Temple</x:v>
      </x:c>
      <x:c r="C21" s="117" t="n">
        <x:v>1</x:v>
      </x:c>
      <x:c r="D21" s="117" t="str">
        <x:v>https://thumb.wikimedia.org/wikipedia/commons/thumb/e/eb/Arulmigu_Sri_Rajakaliamman_interior.jpg/1280px-Arulmigu_Sri_Rajakaliamman_interior.jpg?utm_source=commons.wikimedia.org&amp;utm_campaign=imageinfo&amp;utm_content=thumbnail</x:v>
      </x:c>
      <x:c r="E21" s="117" t="str">
        <x:v>https://commons.wikimedia.org/wiki/File:Arulmigu_Sri_Rajakaliamman_interior.jpg</x:v>
      </x:c>
      <x:c r="F21" s="117" t="str">
        <x:v>File:Arulmigu Sri Rajakaliamman interior.jpg</x:v>
      </x:c>
      <x:c r="G21" s="117" t="str">
        <x:v>Georgia National Guard</x:v>
      </x:c>
      <x:c r="H21" s="117" t="str">
        <x:v>CC BY 2.0</x:v>
      </x:c>
      <x:c r="I21" s="117" t="str">
        <x:v>https://creativecommons.org/licenses/by/2.0</x:v>
      </x:c>
      <x:c r="J21" s="117" t="str">
        <x:v>true</x:v>
      </x:c>
      <x:c r="K21" s="117" t="str">
        <x:v>https://www.flickr.com/photos/ganatlguard/8090553127</x:v>
      </x:c>
      <x:c r="L21" s="117" t="str">
        <x:v>Exact name or all distinctive place-name tokens in file metadata</x:v>
      </x:c>
      <x:c r="M21" s="117" t="str">
        <x:v>Not visually reviewed</x:v>
      </x:c>
      <x:c r="N21" s="117" t="str">
        <x:v>2026-09-08</x:v>
      </x:c>
    </x:row>
    <x:row r="22" ht="48" customHeight="1">
      <x:c r="A22" s="117" t="str">
        <x:v>MC0014</x:v>
      </x:c>
      <x:c r="B22" s="117" t="str">
        <x:v>Arulmigu Sri Rajakaliamman Glass Temple</x:v>
      </x:c>
      <x:c r="C22" s="117" t="n">
        <x:v>2</x:v>
      </x:c>
      <x:c r="D22" s="117" t="str">
        <x:v>https://thumb.wikimedia.org/wikipedia/commons/thumb/3/37/Arulmigu_Sri_Rajakaliamman_Glass_Temple_-_Flickr.jpg/1280px-Arulmigu_Sri_Rajakaliamman_Glass_Temple_-_Flickr.jpg?utm_source=commons.wikimedia.org&amp;utm_campaign=imageinfo&amp;utm_content=thumbnail</x:v>
      </x:c>
      <x:c r="E22" s="117" t="str">
        <x:v>https://commons.wikimedia.org/wiki/File:Arulmigu_Sri_Rajakaliamman_Glass_Temple_-_Flickr.jpg</x:v>
      </x:c>
      <x:c r="F22" s="117" t="str">
        <x:v>File:Arulmigu Sri Rajakaliamman Glass Temple - Flickr.jpg</x:v>
      </x:c>
      <x:c r="G22" s="117" t="str">
        <x:v>Kuruman</x:v>
      </x:c>
      <x:c r="H22" s="117" t="str">
        <x:v>CC BY 2.0</x:v>
      </x:c>
      <x:c r="I22" s="117" t="str">
        <x:v>https://creativecommons.org/licenses/by/2.0</x:v>
      </x:c>
      <x:c r="J22" s="117" t="str">
        <x:v>true</x:v>
      </x:c>
      <x:c r="K22" s="117" t="str">
        <x:v>https://www.flickr.com/photos/kuruman/40027905804/</x:v>
      </x:c>
      <x:c r="L22" s="117" t="str">
        <x:v>Exact name or all distinctive place-name tokens in file metadata</x:v>
      </x:c>
      <x:c r="M22" s="117" t="str">
        <x:v>Not visually reviewed</x:v>
      </x:c>
      <x:c r="N22" s="117" t="str">
        <x:v>2026-09-08</x:v>
      </x:c>
    </x:row>
    <x:row r="23" ht="48" customHeight="1">
      <x:c r="A23" s="117" t="str">
        <x:v>MC0016</x:v>
      </x:c>
      <x:c r="B23" s="117" t="str">
        <x:v>Puteri Harbour</x:v>
      </x:c>
      <x:c r="C23" s="117" t="n">
        <x:v>1</x:v>
      </x:c>
      <x:c r="D23" s="117" t="str">
        <x:v>https://thumb.wikimedia.org/wikipedia/commons/thumb/8/87/Puteri_Harbour_in_Johor%2C_Malaysia.jpg/1280px-Puteri_Harbour_in_Johor%2C_Malaysia.jpg?utm_source=commons.wikimedia.org&amp;utm_campaign=imageinfo&amp;utm_content=thumbnail</x:v>
      </x:c>
      <x:c r="E23" s="117" t="str">
        <x:v>https://commons.wikimedia.org/wiki/File:Puteri_Harbour_in_Johor,_Malaysia.jpg</x:v>
      </x:c>
      <x:c r="F23" s="117" t="str">
        <x:v>File:Puteri Harbour in Johor, Malaysia.jpg</x:v>
      </x:c>
      <x:c r="G23" s="117" t="str">
        <x:v>Mohd Fazlin Mohd Effendy Ooi from Kuala Lumpur, Malaysia</x:v>
      </x:c>
      <x:c r="H23" s="117" t="str">
        <x:v>CC BY 2.0</x:v>
      </x:c>
      <x:c r="I23" s="117" t="str">
        <x:v>https://creativecommons.org/licenses/by/2.0</x:v>
      </x:c>
      <x:c r="J23" s="117" t="str">
        <x:v>true</x:v>
      </x:c>
      <x:c r="K23" s="117" t="str">
        <x:v>Puteri Harbour</x:v>
      </x:c>
      <x:c r="L23" s="117" t="str">
        <x:v>Exact name or all distinctive place-name tokens in file metadata</x:v>
      </x:c>
      <x:c r="M23" s="117" t="str">
        <x:v>Not visually reviewed</x:v>
      </x:c>
      <x:c r="N23" s="117" t="str">
        <x:v>2026-09-08</x:v>
      </x:c>
    </x:row>
    <x:row r="24" ht="48" customHeight="1">
      <x:c r="A24" s="117" t="str">
        <x:v>MC0016</x:v>
      </x:c>
      <x:c r="B24" s="117" t="str">
        <x:v>Puteri Harbour</x:v>
      </x:c>
      <x:c r="C24" s="117" t="n">
        <x:v>2</x:v>
      </x:c>
      <x:c r="D24" s="117" t="str">
        <x:v>https://thumb.wikimedia.org/wikipedia/commons/thumb/6/68/Puteri_Harbour_-_Public_Bike_Share.jpg/1280px-Puteri_Harbour_-_Public_Bike_Share.jpg?utm_source=commons.wikimedia.org&amp;utm_campaign=imageinfo&amp;utm_content=thumbnail</x:v>
      </x:c>
      <x:c r="E24" s="117" t="str">
        <x:v>https://commons.wikimedia.org/wiki/File:Puteri_Harbour_-_Public_Bike_Share.jpg</x:v>
      </x:c>
      <x:c r="F24" s="117" t="str">
        <x:v>File:Puteri Harbour - Public Bike Share.jpg</x:v>
      </x:c>
      <x:c r="G24" s="117" t="str">
        <x:v>Chongkian</x:v>
      </x:c>
      <x:c r="H24" s="117" t="str">
        <x:v>CC BY-SA 4.0</x:v>
      </x:c>
      <x:c r="I24" s="117" t="str">
        <x:v>https://creativecommons.org/licenses/by-sa/4.0</x:v>
      </x:c>
      <x:c r="J24" s="117" t="str">
        <x:v>true</x:v>
      </x:c>
      <x:c r="K24" s="117" t="str">
        <x:v>Own work</x:v>
      </x:c>
      <x:c r="L24" s="117" t="str">
        <x:v>Exact name or all distinctive place-name tokens in file metadata</x:v>
      </x:c>
      <x:c r="M24" s="117" t="str">
        <x:v>Not visually reviewed</x:v>
      </x:c>
      <x:c r="N24" s="117" t="str">
        <x:v>2026-09-08</x:v>
      </x:c>
    </x:row>
    <x:row r="25" ht="48" customHeight="1">
      <x:c r="A25" s="117" t="str">
        <x:v>MC0017</x:v>
      </x:c>
      <x:c r="B25" s="117" t="str">
        <x:v>Kota Iskandar</x:v>
      </x:c>
      <x:c r="C25" s="117" t="n">
        <x:v>1</x:v>
      </x:c>
      <x:c r="D25" s="117" t="str">
        <x:v>https://thumb.wikimedia.org/wikipedia/commons/thumb/c/cb/Kota_Iskandar.JPG/1280px-Kota_Iskandar.JPG?utm_source=commons.wikimedia.org&amp;utm_campaign=imageinfo&amp;utm_content=thumbnail</x:v>
      </x:c>
      <x:c r="E25" s="117" t="str">
        <x:v>https://commons.wikimedia.org/wiki/File:Kota_Iskandar.JPG</x:v>
      </x:c>
      <x:c r="F25" s="117" t="str">
        <x:v>File:Kota Iskandar.JPG</x:v>
      </x:c>
      <x:c r="G25" s="117" t="str">
        <x:v>Chongkian</x:v>
      </x:c>
      <x:c r="H25" s="117" t="str">
        <x:v>CC BY-SA 4.0</x:v>
      </x:c>
      <x:c r="I25" s="117" t="str">
        <x:v>https://creativecommons.org/licenses/by-sa/4.0</x:v>
      </x:c>
      <x:c r="J25" s="117" t="str">
        <x:v>true</x:v>
      </x:c>
      <x:c r="K25" s="117" t="str">
        <x:v>Own work</x:v>
      </x:c>
      <x:c r="L25" s="117" t="str">
        <x:v>Exact name or all distinctive place-name tokens in file metadata</x:v>
      </x:c>
      <x:c r="M25" s="117" t="str">
        <x:v>Not visually reviewed</x:v>
      </x:c>
      <x:c r="N25" s="117" t="str">
        <x:v>2026-09-08</x:v>
      </x:c>
    </x:row>
    <x:row r="26" ht="48" customHeight="1">
      <x:c r="A26" s="117" t="str">
        <x:v>MC0017</x:v>
      </x:c>
      <x:c r="B26" s="117" t="str">
        <x:v>Kota Iskandar</x:v>
      </x:c>
      <x:c r="C26" s="117" t="n">
        <x:v>2</x:v>
      </x:c>
      <x:c r="D26" s="117" t="str">
        <x:v>https://thumb.wikimedia.org/wikipedia/commons/thumb/6/61/Johor_State_Government_Offices_%28East_Wing%29_%40_Nusajaya.jpg/1280px-Johor_State_Government_Offices_%28East_Wing%29_%40_Nusajaya.jpg?utm_source=commons.wikimedia.org&amp;utm_campaign=imageinfo&amp;utm_content=thumbnail</x:v>
      </x:c>
      <x:c r="E26" s="117" t="str">
        <x:v>https://commons.wikimedia.org/wiki/File:Johor_State_Government_Offices_(East_Wing)_@_Nusajaya.jpg</x:v>
      </x:c>
      <x:c r="F26" s="117" t="str">
        <x:v>File:Johor State Government Offices (East Wing) @ Nusajaya.jpg</x:v>
      </x:c>
      <x:c r="G26" s="117" t="str">
        <x:v>Azmeen Afandi</x:v>
      </x:c>
      <x:c r="H26" s="117" t="str">
        <x:v>CC BY 2.0</x:v>
      </x:c>
      <x:c r="I26" s="117" t="str">
        <x:v>https://creativecommons.org/licenses/by/2.0</x:v>
      </x:c>
      <x:c r="J26" s="117" t="str">
        <x:v>true</x:v>
      </x:c>
      <x:c r="K26" s="117" t="str">
        <x:v>https://www.flickr.com/photos/azmeen/3515965868/</x:v>
      </x:c>
      <x:c r="L26" s="117" t="str">
        <x:v>Exact name or all distinctive place-name tokens in file metadata</x:v>
      </x:c>
      <x:c r="M26" s="117" t="str">
        <x:v>Not visually reviewed</x:v>
      </x:c>
      <x:c r="N26" s="117" t="str">
        <x:v>2026-09-08</x:v>
      </x:c>
    </x:row>
    <x:row r="27" ht="48" customHeight="1">
      <x:c r="A27" s="117" t="str">
        <x:v>MC0018</x:v>
      </x:c>
      <x:c r="B27" s="117" t="str">
        <x:v>Johor Premium Outlets</x:v>
      </x:c>
      <x:c r="C27" s="117" t="n">
        <x:v>1</x:v>
      </x:c>
      <x:c r="D27" s="117" t="str">
        <x:v>https://thumb.wikimedia.org/wikipedia/commons/thumb/0/08/Johor_Premium_Outlets.jpg/1280px-Johor_Premium_Outlets.jpg?utm_source=commons.wikimedia.org&amp;utm_campaign=imageinfo&amp;utm_content=thumbnail</x:v>
      </x:c>
      <x:c r="E27" s="117" t="str">
        <x:v>https://commons.wikimedia.org/wiki/File:Johor_Premium_Outlets.jpg</x:v>
      </x:c>
      <x:c r="F27" s="117" t="str">
        <x:v>File:Johor Premium Outlets.jpg</x:v>
      </x:c>
      <x:c r="G27" s="117" t="str">
        <x:v>Chongkian</x:v>
      </x:c>
      <x:c r="H27" s="117" t="str">
        <x:v>CC BY-SA 4.0</x:v>
      </x:c>
      <x:c r="I27" s="117" t="str">
        <x:v>https://creativecommons.org/licenses/by-sa/4.0</x:v>
      </x:c>
      <x:c r="J27" s="117" t="str">
        <x:v>true</x:v>
      </x:c>
      <x:c r="K27" s="117" t="str">
        <x:v>Own work</x:v>
      </x:c>
      <x:c r="L27" s="117" t="str">
        <x:v>Exact name or all distinctive place-name tokens in file metadata</x:v>
      </x:c>
      <x:c r="M27" s="117" t="str">
        <x:v>Not visually reviewed</x:v>
      </x:c>
      <x:c r="N27" s="117" t="str">
        <x:v>2026-09-08</x:v>
      </x:c>
    </x:row>
    <x:row r="28" ht="48" customHeight="1">
      <x:c r="A28" s="117" t="str">
        <x:v>MC0018</x:v>
      </x:c>
      <x:c r="B28" s="117" t="str">
        <x:v>Johor Premium Outlets</x:v>
      </x:c>
      <x:c r="C28" s="117" t="n">
        <x:v>2</x:v>
      </x:c>
      <x:c r="D28" s="117" t="str">
        <x:v>https://thumb.wikimedia.org/wikipedia/commons/thumb/8/8b/Johor_Premium_Outlet%2C_Malaysia.jpg/1280px-Johor_Premium_Outlet%2C_Malaysia.jpg?utm_source=commons.wikimedia.org&amp;utm_campaign=imageinfo&amp;utm_content=thumbnail</x:v>
      </x:c>
      <x:c r="E28" s="117" t="str">
        <x:v>https://commons.wikimedia.org/wiki/File:Johor_Premium_Outlet,_Malaysia.jpg</x:v>
      </x:c>
      <x:c r="F28" s="117" t="str">
        <x:v>File:Johor Premium Outlet, Malaysia.jpg</x:v>
      </x:c>
      <x:c r="G28" s="117" t="str">
        <x:v>Emran Kassim</x:v>
      </x:c>
      <x:c r="H28" s="117" t="str">
        <x:v>CC BY 2.0</x:v>
      </x:c>
      <x:c r="I28" s="117" t="str">
        <x:v>https://creativecommons.org/licenses/by/2.0</x:v>
      </x:c>
      <x:c r="J28" s="117" t="str">
        <x:v>true</x:v>
      </x:c>
      <x:c r="K28" s="117" t="str">
        <x:v>Johor Premium Outlet, Malaysia</x:v>
      </x:c>
      <x:c r="L28" s="117" t="str">
        <x:v>Exact name or all distinctive place-name tokens in file metadata</x:v>
      </x:c>
      <x:c r="M28" s="117" t="str">
        <x:v>Not visually reviewed</x:v>
      </x:c>
      <x:c r="N28" s="117" t="str">
        <x:v>2026-09-08</x:v>
      </x:c>
    </x:row>
    <x:row r="29" ht="48" customHeight="1">
      <x:c r="A29" s="117" t="str">
        <x:v>MC0019</x:v>
      </x:c>
      <x:c r="B29" s="117" t="str">
        <x:v>Kota Tinggi Waterfalls</x:v>
      </x:c>
      <x:c r="C29" s="117" t="n">
        <x:v>1</x:v>
      </x:c>
      <x:c r="D29" s="117" t="str">
        <x:v>https://thumb.wikimedia.org/wikipedia/commons/thumb/0/03/Kota_Tinggi_Waterfalls.JPG/1280px-Kota_Tinggi_Waterfalls.JPG?utm_source=commons.wikimedia.org&amp;utm_campaign=imageinfo&amp;utm_content=thumbnail</x:v>
      </x:c>
      <x:c r="E29" s="117" t="str">
        <x:v>https://commons.wikimedia.org/wiki/File:Kota_Tinggi_Waterfalls.JPG</x:v>
      </x:c>
      <x:c r="F29" s="117" t="str">
        <x:v>File:Kota Tinggi Waterfalls.JPG</x:v>
      </x:c>
      <x:c r="G29" s="117" t="str"/>
      <x:c r="H29" s="117" t="str">
        <x:v>Copyrighted free use</x:v>
      </x:c>
      <x:c r="I29" s="117" t="str"/>
      <x:c r="J29" s="117" t="str">
        <x:v>false</x:v>
      </x:c>
      <x:c r="K29" s="117" t="str"/>
      <x:c r="L29" s="117" t="str">
        <x:v>Exact name or all distinctive place-name tokens in file metadata</x:v>
      </x:c>
      <x:c r="M29" s="117" t="str">
        <x:v>Not visually reviewed</x:v>
      </x:c>
      <x:c r="N29" s="117" t="str">
        <x:v>2026-09-08</x:v>
      </x:c>
    </x:row>
    <x:row r="30" ht="48" customHeight="1">
      <x:c r="A30" s="117" t="str">
        <x:v>MC0019</x:v>
      </x:c>
      <x:c r="B30" s="117" t="str">
        <x:v>Kota Tinggi Waterfalls</x:v>
      </x:c>
      <x:c r="C30" s="117" t="n">
        <x:v>2</x:v>
      </x:c>
      <x:c r="D30" s="117" t="str">
        <x:v>https://thumb.wikimedia.org/wikipedia/commons/thumb/0/01/Meeracle_of_Nature.jpg/1280px-Meeracle_of_Nature.jpg?utm_source=commons.wikimedia.org&amp;utm_campaign=imageinfo&amp;utm_content=thumbnail</x:v>
      </x:c>
      <x:c r="E30" s="117" t="str">
        <x:v>https://commons.wikimedia.org/wiki/File:Meeracle_of_Nature.jpg</x:v>
      </x:c>
      <x:c r="F30" s="117" t="str">
        <x:v>File:Meeracle of Nature.jpg</x:v>
      </x:c>
      <x:c r="G30" s="117" t="str">
        <x:v>Fahmi Rosli</x:v>
      </x:c>
      <x:c r="H30" s="117" t="str">
        <x:v>CC BY-SA 4.0</x:v>
      </x:c>
      <x:c r="I30" s="117" t="str">
        <x:v>https://creativecommons.org/licenses/by-sa/4.0</x:v>
      </x:c>
      <x:c r="J30" s="117" t="str">
        <x:v>true</x:v>
      </x:c>
      <x:c r="K30" s="117" t="str">
        <x:v>Own work</x:v>
      </x:c>
      <x:c r="L30" s="117" t="str">
        <x:v>Exact name or all distinctive place-name tokens in file metadata</x:v>
      </x:c>
      <x:c r="M30" s="117" t="str">
        <x:v>Not visually reviewed</x:v>
      </x:c>
      <x:c r="N30" s="117" t="str">
        <x:v>2026-09-08</x:v>
      </x:c>
    </x:row>
    <x:row r="31" ht="48" customHeight="1">
      <x:c r="A31" s="117" t="str">
        <x:v>MC0020</x:v>
      </x:c>
      <x:c r="B31" s="117" t="str">
        <x:v>Desaru Fruit Farm</x:v>
      </x:c>
      <x:c r="C31" s="117" t="n">
        <x:v>1</x:v>
      </x:c>
      <x:c r="D31" s="117" t="str">
        <x:v>https://thumb.wikimedia.org/wikipedia/commons/thumb/9/92/Desaru_Fruit_Farm.JPG/1280px-Desaru_Fruit_Farm.JPG?utm_source=commons.wikimedia.org&amp;utm_campaign=imageinfo&amp;utm_content=thumbnail</x:v>
      </x:c>
      <x:c r="E31" s="117" t="str">
        <x:v>https://commons.wikimedia.org/wiki/File:Desaru_Fruit_Farm.JPG</x:v>
      </x:c>
      <x:c r="F31" s="117" t="str">
        <x:v>File:Desaru Fruit Farm.JPG</x:v>
      </x:c>
      <x:c r="G31" s="117" t="str">
        <x:v>Chongkian</x:v>
      </x:c>
      <x:c r="H31" s="117" t="str">
        <x:v>CC BY-SA 4.0</x:v>
      </x:c>
      <x:c r="I31" s="117" t="str">
        <x:v>https://creativecommons.org/licenses/by-sa/4.0</x:v>
      </x:c>
      <x:c r="J31" s="117" t="str">
        <x:v>true</x:v>
      </x:c>
      <x:c r="K31" s="117" t="str">
        <x:v>Own work</x:v>
      </x:c>
      <x:c r="L31" s="117" t="str">
        <x:v>Exact name or all distinctive place-name tokens in file metadata</x:v>
      </x:c>
      <x:c r="M31" s="117" t="str">
        <x:v>Not visually reviewed</x:v>
      </x:c>
      <x:c r="N31" s="117" t="str">
        <x:v>2026-09-08</x:v>
      </x:c>
    </x:row>
    <x:row r="32" ht="48" customHeight="1">
      <x:c r="A32" s="117" t="str">
        <x:v>MC0020</x:v>
      </x:c>
      <x:c r="B32" s="117" t="str">
        <x:v>Desaru Fruit Farm</x:v>
      </x:c>
      <x:c r="C32" s="117" t="n">
        <x:v>2</x:v>
      </x:c>
      <x:c r="D32" s="117" t="str">
        <x:v>https://thumb.wikimedia.org/wikipedia/commons/thumb/e/e3/Desaru_Dirt_Kart_Ride.jpg/1280px-Desaru_Dirt_Kart_Ride.jpg?utm_source=commons.wikimedia.org&amp;utm_campaign=imageinfo&amp;utm_content=thumbnail</x:v>
      </x:c>
      <x:c r="E32" s="117" t="str">
        <x:v>https://commons.wikimedia.org/wiki/File:Desaru_Dirt_Kart_Ride.jpg</x:v>
      </x:c>
      <x:c r="F32" s="117" t="str">
        <x:v>File:Desaru Dirt Kart Ride.jpg</x:v>
      </x:c>
      <x:c r="G32" s="117" t="str">
        <x:v>Chongkian</x:v>
      </x:c>
      <x:c r="H32" s="117" t="str">
        <x:v>CC BY-SA 4.0</x:v>
      </x:c>
      <x:c r="I32" s="117" t="str">
        <x:v>https://creativecommons.org/licenses/by-sa/4.0</x:v>
      </x:c>
      <x:c r="J32" s="117" t="str">
        <x:v>true</x:v>
      </x:c>
      <x:c r="K32" s="117" t="str">
        <x:v>Own work</x:v>
      </x:c>
      <x:c r="L32" s="117" t="str">
        <x:v>Exact name or all distinctive place-name tokens in file metadata</x:v>
      </x:c>
      <x:c r="M32" s="117" t="str">
        <x:v>Not visually reviewed</x:v>
      </x:c>
      <x:c r="N32" s="117" t="str">
        <x:v>2026-09-08</x:v>
      </x:c>
    </x:row>
    <x:row r="33" ht="48" customHeight="1">
      <x:c r="A33" s="117" t="str">
        <x:v>MC0022</x:v>
      </x:c>
      <x:c r="B33" s="117" t="str">
        <x:v>Pulau Rawa</x:v>
      </x:c>
      <x:c r="C33" s="117" t="n">
        <x:v>1</x:v>
      </x:c>
      <x:c r="D33" s="117" t="str">
        <x:v>https://thumb.wikimedia.org/wikipedia/commons/thumb/2/2f/Pulau_Rawa_2014.jpg/1280px-Pulau_Rawa_2014.jpg?utm_source=commons.wikimedia.org&amp;utm_campaign=imageinfo&amp;utm_content=thumbnail</x:v>
      </x:c>
      <x:c r="E33" s="117" t="str">
        <x:v>https://commons.wikimedia.org/wiki/File:Pulau_Rawa_2014.jpg</x:v>
      </x:c>
      <x:c r="F33" s="117" t="str">
        <x:v>File:Pulau Rawa 2014.jpg</x:v>
      </x:c>
      <x:c r="G33" s="117" t="str">
        <x:v>Mohd Fazlin Mohd Effendy Ooi</x:v>
      </x:c>
      <x:c r="H33" s="117" t="str">
        <x:v>CC BY 2.0</x:v>
      </x:c>
      <x:c r="I33" s="117" t="str">
        <x:v>https://creativecommons.org/licenses/by/2.0</x:v>
      </x:c>
      <x:c r="J33" s="117" t="str">
        <x:v>true</x:v>
      </x:c>
      <x:c r="K33" s="117" t="str">
        <x:v>https://www.flickr.com/photos/phalinn/13820363745/in/photostream/</x:v>
      </x:c>
      <x:c r="L33" s="117" t="str">
        <x:v>Exact name or all distinctive place-name tokens in file metadata</x:v>
      </x:c>
      <x:c r="M33" s="117" t="str">
        <x:v>Not visually reviewed</x:v>
      </x:c>
      <x:c r="N33" s="117" t="str">
        <x:v>2026-09-08</x:v>
      </x:c>
    </x:row>
    <x:row r="34" ht="48" customHeight="1">
      <x:c r="A34" s="117" t="str">
        <x:v>MC0022</x:v>
      </x:c>
      <x:c r="B34" s="117" t="str">
        <x:v>Pulau Rawa</x:v>
      </x:c>
      <x:c r="C34" s="117" t="n">
        <x:v>2</x:v>
      </x:c>
      <x:c r="D34" s="117" t="str">
        <x:v>https://thumb.wikimedia.org/wikipedia/commons/thumb/7/7a/2004_0913_173111AA_%282674049736%29.jpg/1280px-2004_0913_173111AA_%282674049736%29.jpg?utm_source=commons.wikimedia.org&amp;utm_campaign=imageinfo&amp;utm_content=thumbnail</x:v>
      </x:c>
      <x:c r="E34" s="117" t="str">
        <x:v>https://commons.wikimedia.org/wiki/File:2004_0913_173111AA_(2674049736).jpg</x:v>
      </x:c>
      <x:c r="F34" s="117" t="str">
        <x:v>File:2004 0913 173111AA (2674049736).jpg</x:v>
      </x:c>
      <x:c r="G34" s="117" t="str">
        <x:v>Marufish from Alor Setar, Malaysia</x:v>
      </x:c>
      <x:c r="H34" s="117" t="str">
        <x:v>CC BY-SA 2.0</x:v>
      </x:c>
      <x:c r="I34" s="117" t="str">
        <x:v>https://creativecommons.org/licenses/by-sa/2.0</x:v>
      </x:c>
      <x:c r="J34" s="117" t="str">
        <x:v>true</x:v>
      </x:c>
      <x:c r="K34" s="117" t="str">
        <x:v>2004_0913_173111AA</x:v>
      </x:c>
      <x:c r="L34" s="117" t="str">
        <x:v>Exact name or all distinctive place-name tokens in file metadata</x:v>
      </x:c>
      <x:c r="M34" s="117" t="str">
        <x:v>Not visually reviewed</x:v>
      </x:c>
      <x:c r="N34" s="117" t="str">
        <x:v>2026-09-08</x:v>
      </x:c>
    </x:row>
    <x:row r="35" ht="48" customHeight="1">
      <x:c r="A35" s="117" t="str">
        <x:v>MC0023</x:v>
      </x:c>
      <x:c r="B35" s="117" t="str">
        <x:v>Pulau Sibu</x:v>
      </x:c>
      <x:c r="C35" s="117" t="n">
        <x:v>1</x:v>
      </x:c>
      <x:c r="D35" s="117" t="str">
        <x:v>https://upload.wikimedia.org/wikipedia/commons/d/dd/Pulau_Sibu.jpg?utm_source=commons.wikimedia.org&amp;utm_campaign=imageinfo&amp;utm_content=thumbnail_unscaled</x:v>
      </x:c>
      <x:c r="E35" s="117" t="str">
        <x:v>https://commons.wikimedia.org/wiki/File:Pulau_Sibu.jpg</x:v>
      </x:c>
      <x:c r="F35" s="117" t="str">
        <x:v>File:Pulau Sibu.jpg</x:v>
      </x:c>
      <x:c r="G35" s="117" t="str">
        <x:v>Peter D. Kennett</x:v>
      </x:c>
      <x:c r="H35" s="117" t="str">
        <x:v>CC BY-SA 3.0</x:v>
      </x:c>
      <x:c r="I35" s="117" t="str">
        <x:v>https://creativecommons.org/licenses/by-sa/3.0</x:v>
      </x:c>
      <x:c r="J35" s="117" t="str">
        <x:v>true</x:v>
      </x:c>
      <x:c r="K35" s="117" t="str">
        <x:v>Own work</x:v>
      </x:c>
      <x:c r="L35" s="117" t="str">
        <x:v>Exact name or all distinctive place-name tokens in file metadata</x:v>
      </x:c>
      <x:c r="M35" s="117" t="str">
        <x:v>Not visually reviewed</x:v>
      </x:c>
      <x:c r="N35" s="117" t="str">
        <x:v>2026-09-08</x:v>
      </x:c>
    </x:row>
    <x:row r="36" ht="48" customHeight="1">
      <x:c r="A36" s="117" t="str">
        <x:v>MC0023</x:v>
      </x:c>
      <x:c r="B36" s="117" t="str">
        <x:v>Pulau Sibu</x:v>
      </x:c>
      <x:c r="C36" s="117" t="n">
        <x:v>2</x:v>
      </x:c>
      <x:c r="D36" s="117" t="str">
        <x:v>https://thumb.wikimedia.org/wikipedia/commons/thumb/5/53/Pulau_Sibu_-_panoramio.jpg/1280px-Pulau_Sibu_-_panoramio.jpg?utm_source=commons.wikimedia.org&amp;utm_campaign=imageinfo&amp;utm_content=thumbnail</x:v>
      </x:c>
      <x:c r="E36" s="117" t="str">
        <x:v>https://commons.wikimedia.org/wiki/File:Pulau_Sibu_-_panoramio.jpg</x:v>
      </x:c>
      <x:c r="F36" s="117" t="str">
        <x:v>File:Pulau Sibu - panoramio.jpg</x:v>
      </x:c>
      <x:c r="G36" s="117" t="str">
        <x:v>Lee Jee Tshoon Lee</x:v>
      </x:c>
      <x:c r="H36" s="117" t="str">
        <x:v>CC BY-SA 3.0</x:v>
      </x:c>
      <x:c r="I36" s="117" t="str">
        <x:v>https://creativecommons.org/licenses/by-sa/3.0</x:v>
      </x:c>
      <x:c r="J36" s="117" t="str">
        <x:v>true</x:v>
      </x:c>
      <x:c r="K36" s="117" t="str">
        <x:v>https://web.archive.org/web/20161030134139/http://www.panoramio.com/photo/24590225</x:v>
      </x:c>
      <x:c r="L36" s="117" t="str">
        <x:v>Exact name or all distinctive place-name tokens in file metadata</x:v>
      </x:c>
      <x:c r="M36" s="117" t="str">
        <x:v>Not visually reviewed</x:v>
      </x:c>
      <x:c r="N36" s="117" t="str">
        <x:v>2026-09-08</x:v>
      </x:c>
    </x:row>
    <x:row r="37" ht="48" customHeight="1">
      <x:c r="A37" s="117" t="str">
        <x:v>MC0024</x:v>
      </x:c>
      <x:c r="B37" s="117" t="str">
        <x:v>Pulau Besar</x:v>
      </x:c>
      <x:c r="C37" s="117" t="n">
        <x:v>1</x:v>
      </x:c>
      <x:c r="D37" s="117" t="str">
        <x:v>https://thumb.wikimedia.org/wikipedia/commons/thumb/b/bd/Danau_Bawah_Taman_Nasional_Zamrud.jpg/1280px-Danau_Bawah_Taman_Nasional_Zamrud.jpg?utm_source=commons.wikimedia.org&amp;utm_campaign=imageinfo&amp;utm_content=thumbnail</x:v>
      </x:c>
      <x:c r="E37" s="117" t="str">
        <x:v>https://commons.wikimedia.org/wiki/File:Danau_Bawah_Taman_Nasional_Zamrud.jpg</x:v>
      </x:c>
      <x:c r="F37" s="117" t="str">
        <x:v>File:Danau Bawah Taman Nasional Zamrud.jpg</x:v>
      </x:c>
      <x:c r="G37" s="117" t="str">
        <x:v>Balai Besar Konservasi Sumber Daya Alam Riau</x:v>
      </x:c>
      <x:c r="H37" s="117" t="str">
        <x:v>Public domain</x:v>
      </x:c>
      <x:c r="I37" s="117" t="str"/>
      <x:c r="J37" s="117" t="str">
        <x:v>false</x:v>
      </x:c>
      <x:c r="K37" s="117" t="str">
        <x:v>https://bbksda-riau.id/images/gallery/1493669153.jpg</x:v>
      </x:c>
      <x:c r="L37" s="117" t="str">
        <x:v>Exact name or all distinctive place-name tokens in file metadata</x:v>
      </x:c>
      <x:c r="M37" s="117" t="str">
        <x:v>Not visually reviewed</x:v>
      </x:c>
      <x:c r="N37" s="117" t="str">
        <x:v>2026-09-08</x:v>
      </x:c>
    </x:row>
    <x:row r="38" ht="48" customHeight="1">
      <x:c r="A38" s="117" t="str">
        <x:v>MC0024</x:v>
      </x:c>
      <x:c r="B38" s="117" t="str">
        <x:v>Pulau Besar</x:v>
      </x:c>
      <x:c r="C38" s="117" t="n">
        <x:v>2</x:v>
      </x:c>
      <x:c r="D38" s="117" t="str">
        <x:v>https://thumb.wikimedia.org/wikipedia/commons/thumb/7/7d/KPD26_RyVisual_Peringkat_Keanekaragaman_Spesies_Indonesia.png/1280px-KPD26_RyVisual_Peringkat_Keanekaragaman_Spesies_Indonesia.png?utm_source=commons.wikimedia.org&amp;utm_campaign=imageinfo&amp;utm_content=thumbnail</x:v>
      </x:c>
      <x:c r="E38" s="117" t="str">
        <x:v>https://commons.wikimedia.org/wiki/File:KPD26_RyVisual_Peringkat_Keanekaragaman_Spesies_Indonesia.png</x:v>
      </x:c>
      <x:c r="F38" s="117" t="str">
        <x:v>File:KPD26 RyVisual Peringkat Keanekaragaman Spesies Indonesia.png</x:v>
      </x:c>
      <x:c r="G38" s="117" t="str">
        <x:v>RyVisual</x:v>
      </x:c>
      <x:c r="H38" s="117" t="str">
        <x:v>CC BY-SA 4.0</x:v>
      </x:c>
      <x:c r="I38" s="117" t="str">
        <x:v>https://creativecommons.org/licenses/by-sa/4.0</x:v>
      </x:c>
      <x:c r="J38" s="117" t="str">
        <x:v>true</x:v>
      </x:c>
      <x:c r="K38" s="117" t="str">
        <x:v>Own work</x:v>
      </x:c>
      <x:c r="L38" s="117" t="str">
        <x:v>Exact name or all distinctive place-name tokens in file metadata</x:v>
      </x:c>
      <x:c r="M38" s="117" t="str">
        <x:v>Not visually reviewed</x:v>
      </x:c>
      <x:c r="N38" s="117" t="str">
        <x:v>2026-09-08</x:v>
      </x:c>
    </x:row>
    <x:row r="39" ht="48" customHeight="1">
      <x:c r="A39" s="117" t="str">
        <x:v>MC0025</x:v>
      </x:c>
      <x:c r="B39" s="117" t="str">
        <x:v>Air Papan Beach</x:v>
      </x:c>
      <x:c r="C39" s="117" t="n">
        <x:v>1</x:v>
      </x:c>
      <x:c r="D39" s="117" t="str">
        <x:v>https://thumb.wikimedia.org/wikipedia/commons/thumb/c/c1/Air_papan.jpeg/1280px-Air_papan.jpeg?utm_source=commons.wikimedia.org&amp;utm_campaign=imageinfo&amp;utm_content=thumbnail</x:v>
      </x:c>
      <x:c r="E39" s="117" t="str">
        <x:v>https://commons.wikimedia.org/wiki/File:Air_papan.jpeg</x:v>
      </x:c>
      <x:c r="F39" s="117" t="str">
        <x:v>File:Air papan.jpeg</x:v>
      </x:c>
      <x:c r="G39" s="117" t="str">
        <x:v>Zul1603 at Malay Wikipedia</x:v>
      </x:c>
      <x:c r="H39" s="117" t="str">
        <x:v>CC BY 3.0</x:v>
      </x:c>
      <x:c r="I39" s="117" t="str">
        <x:v>https://creativecommons.org/licenses/by/3.0</x:v>
      </x:c>
      <x:c r="J39" s="117" t="str">
        <x:v>true</x:v>
      </x:c>
      <x:c r="K39" s="117" t="str">
        <x:v>Own work</x:v>
      </x:c>
      <x:c r="L39" s="117" t="str">
        <x:v>Exact name or all distinctive place-name tokens in file metadata</x:v>
      </x:c>
      <x:c r="M39" s="117" t="str">
        <x:v>Not visually reviewed</x:v>
      </x:c>
      <x:c r="N39" s="117" t="str">
        <x:v>2026-09-08</x:v>
      </x:c>
    </x:row>
    <x:row r="40" ht="48" customHeight="1">
      <x:c r="A40" s="117" t="str">
        <x:v>MC0025</x:v>
      </x:c>
      <x:c r="B40" s="117" t="str">
        <x:v>Air Papan Beach</x:v>
      </x:c>
      <x:c r="C40" s="117" t="n">
        <x:v>2</x:v>
      </x:c>
      <x:c r="D40" s="117" t="str">
        <x:v>https://thumb.wikimedia.org/wikipedia/commons/thumb/b/b1/Pantai_Air_Papan%2C_Kampung_Air_Papan_Laut_20221219_183407.jpg/1280px-Pantai_Air_Papan%2C_Kampung_Air_Papan_Laut_20221219_183407.jpg?utm_source=commons.wikimedia.org&amp;utm_campaign=imageinfo&amp;utm_content=thumbnail</x:v>
      </x:c>
      <x:c r="E40" s="117" t="str">
        <x:v>https://commons.wikimedia.org/wiki/File:Pantai_Air_Papan,_Kampung_Air_Papan_Laut_20221219_183407.jpg</x:v>
      </x:c>
      <x:c r="F40" s="117" t="str">
        <x:v>File:Pantai Air Papan, Kampung Air Papan Laut 20221219 183407.jpg</x:v>
      </x:c>
      <x:c r="G40" s="117" t="str">
        <x:v>Wiki Farazi</x:v>
      </x:c>
      <x:c r="H40" s="117" t="str">
        <x:v>CC0</x:v>
      </x:c>
      <x:c r="I40" s="117" t="str">
        <x:v>http://creativecommons.org/publicdomain/zero/1.0/deed.en</x:v>
      </x:c>
      <x:c r="J40" s="117" t="str">
        <x:v>false</x:v>
      </x:c>
      <x:c r="K40" s="117" t="str">
        <x:v>Own work</x:v>
      </x:c>
      <x:c r="L40" s="117" t="str">
        <x:v>Exact name or all distinctive place-name tokens in file metadata</x:v>
      </x:c>
      <x:c r="M40" s="117" t="str">
        <x:v>Not visually reviewed</x:v>
      </x:c>
      <x:c r="N40" s="117" t="str">
        <x:v>2026-09-08</x:v>
      </x:c>
    </x:row>
    <x:row r="41" ht="48" customHeight="1">
      <x:c r="A41" s="117" t="str">
        <x:v>MC0028</x:v>
      </x:c>
      <x:c r="B41" s="117" t="str">
        <x:v>Pulau Kukup National Park</x:v>
      </x:c>
      <x:c r="C41" s="117" t="n">
        <x:v>1</x:v>
      </x:c>
      <x:c r="D41" s="117" t="str">
        <x:v>https://thumb.wikimedia.org/wikipedia/commons/thumb/a/a4/Crab-eating_macaque_juveniles%2C_Pulau_Kukup_National_Park.jpg/1280px-Crab-eating_macaque_juveniles%2C_Pulau_Kukup_National_Park.jpg?utm_source=commons.wikimedia.org&amp;utm_campaign=imageinfo&amp;utm_content=thumbnail</x:v>
      </x:c>
      <x:c r="E41" s="117" t="str">
        <x:v>https://commons.wikimedia.org/wiki/File:Crab-eating_macaque_juveniles,_Pulau_Kukup_National_Park.jpg</x:v>
      </x:c>
      <x:c r="F41" s="117" t="str">
        <x:v>File:Crab-eating macaque juveniles, Pulau Kukup National Park.jpg</x:v>
      </x:c>
      <x:c r="G41" s="117" t="str">
        <x:v>Toni Wöhrl</x:v>
      </x:c>
      <x:c r="H41" s="117" t="str">
        <x:v>CC BY-SA 4.0</x:v>
      </x:c>
      <x:c r="I41" s="117" t="str">
        <x:v>https://creativecommons.org/licenses/by-sa/4.0</x:v>
      </x:c>
      <x:c r="J41" s="117" t="str">
        <x:v>true</x:v>
      </x:c>
      <x:c r="K41" s="117" t="str">
        <x:v>Own work</x:v>
      </x:c>
      <x:c r="L41" s="117" t="str">
        <x:v>Exact name or all distinctive place-name tokens in file metadata</x:v>
      </x:c>
      <x:c r="M41" s="117" t="str">
        <x:v>Not visually reviewed</x:v>
      </x:c>
      <x:c r="N41" s="117" t="str">
        <x:v>2026-09-08</x:v>
      </x:c>
    </x:row>
    <x:row r="42" ht="48" customHeight="1">
      <x:c r="A42" s="117" t="str">
        <x:v>MC0029</x:v>
      </x:c>
      <x:c r="B42" s="117" t="str">
        <x:v>Pantai Minyak Beku</x:v>
      </x:c>
      <x:c r="C42" s="117" t="n">
        <x:v>1</x:v>
      </x:c>
      <x:c r="D42" s="117" t="str">
        <x:v>https://thumb.wikimedia.org/wikipedia/commons/thumb/4/4f/Minyak_Beku_1.jpg/1280px-Minyak_Beku_1.jpg?utm_source=commons.wikimedia.org&amp;utm_campaign=imageinfo&amp;utm_content=thumbnail</x:v>
      </x:c>
      <x:c r="E42" s="117" t="str">
        <x:v>https://commons.wikimedia.org/wiki/File:Minyak_Beku_1.jpg</x:v>
      </x:c>
      <x:c r="F42" s="117" t="str">
        <x:v>File:Minyak Beku 1.jpg</x:v>
      </x:c>
      <x:c r="G42" s="117" t="str">
        <x:v>Wiki Farazi</x:v>
      </x:c>
      <x:c r="H42" s="117" t="str">
        <x:v>CC0</x:v>
      </x:c>
      <x:c r="I42" s="117" t="str">
        <x:v>http://creativecommons.org/publicdomain/zero/1.0/deed.en</x:v>
      </x:c>
      <x:c r="J42" s="117" t="str">
        <x:v>false</x:v>
      </x:c>
      <x:c r="K42" s="117" t="str">
        <x:v>Own work</x:v>
      </x:c>
      <x:c r="L42" s="117" t="str">
        <x:v>Exact name or all distinctive place-name tokens in file metadata</x:v>
      </x:c>
      <x:c r="M42" s="117" t="str">
        <x:v>Not visually reviewed</x:v>
      </x:c>
      <x:c r="N42" s="117" t="str">
        <x:v>2026-09-08</x:v>
      </x:c>
    </x:row>
    <x:row r="43" ht="48" customHeight="1">
      <x:c r="A43" s="117" t="str">
        <x:v>MC0029</x:v>
      </x:c>
      <x:c r="B43" s="117" t="str">
        <x:v>Pantai Minyak Beku</x:v>
      </x:c>
      <x:c r="C43" s="117" t="n">
        <x:v>2</x:v>
      </x:c>
      <x:c r="D43" s="117" t="str">
        <x:v>https://thumb.wikimedia.org/wikipedia/commons/thumb/7/78/Unnamed_Road%2C_83000_Senggarang%2C_Johor%2C_Malaysia_-_panoramio_%281%29.jpg/1280px-Unnamed_Road%2C_83000_Senggarang%2C_Johor%2C_Malaysia_-_panoramio_%281%29.jpg?utm_source=commons.wikimedia.org&amp;utm_campaign=imageinfo&amp;utm_content=thumbnail</x:v>
      </x:c>
      <x:c r="E43" s="117" t="str">
        <x:v>https://commons.wikimedia.org/wiki/File:Unnamed_Road,_83000_Senggarang,_Johor,_Malaysia_-_panoramio_(1).jpg</x:v>
      </x:c>
      <x:c r="F43" s="117" t="str">
        <x:v>File:Unnamed Road, 83000 Senggarang, Johor, Malaysia - panoramio (1).jpg</x:v>
      </x:c>
      <x:c r="G43" s="117" t="str">
        <x:v>Ardeka Balian Aga Fo…</x:v>
      </x:c>
      <x:c r="H43" s="117" t="str">
        <x:v>CC BY-SA 3.0</x:v>
      </x:c>
      <x:c r="I43" s="117" t="str">
        <x:v>https://creativecommons.org/licenses/by-sa/3.0</x:v>
      </x:c>
      <x:c r="J43" s="117" t="str">
        <x:v>true</x:v>
      </x:c>
      <x:c r="K43" s="117" t="str">
        <x:v>https://web.archive.org/web/20161025041115/http://www.panoramio.com/photo/83327268</x:v>
      </x:c>
      <x:c r="L43" s="117" t="str">
        <x:v>Exact name or all distinctive place-name tokens in file metadata</x:v>
      </x:c>
      <x:c r="M43" s="117" t="str">
        <x:v>Not visually reviewed</x:v>
      </x:c>
      <x:c r="N43" s="117" t="str">
        <x:v>2026-09-08</x:v>
      </x:c>
    </x:row>
    <x:row r="44" ht="48" customHeight="1">
      <x:c r="A44" s="117" t="str">
        <x:v>MC0030</x:v>
      </x:c>
      <x:c r="B44" s="117" t="str">
        <x:v>Chong Long Gong Temple</x:v>
      </x:c>
      <x:c r="C44" s="117" t="n">
        <x:v>1</x:v>
      </x:c>
      <x:c r="D44" s="117" t="str">
        <x:v>https://thumb.wikimedia.org/wikipedia/commons/thumb/5/54/Chong_Long_Gong_Temple.jpg/1280px-Chong_Long_Gong_Temple.jpg?utm_source=commons.wikimedia.org&amp;utm_campaign=imageinfo&amp;utm_content=thumbnail</x:v>
      </x:c>
      <x:c r="E44" s="117" t="str">
        <x:v>https://commons.wikimedia.org/wiki/File:Chong_Long_Gong_Temple.jpg</x:v>
      </x:c>
      <x:c r="F44" s="117" t="str">
        <x:v>File:Chong Long Gong Temple.jpg</x:v>
      </x:c>
      <x:c r="G44" s="117" t="str">
        <x:v>Chongkian</x:v>
      </x:c>
      <x:c r="H44" s="117" t="str">
        <x:v>CC BY-SA 4.0</x:v>
      </x:c>
      <x:c r="I44" s="117" t="str">
        <x:v>https://creativecommons.org/licenses/by-sa/4.0</x:v>
      </x:c>
      <x:c r="J44" s="117" t="str">
        <x:v>true</x:v>
      </x:c>
      <x:c r="K44" s="117" t="str">
        <x:v>Own work</x:v>
      </x:c>
      <x:c r="L44" s="117" t="str">
        <x:v>Exact name or all distinctive place-name tokens in file metadata</x:v>
      </x:c>
      <x:c r="M44" s="117" t="str">
        <x:v>Not visually reviewed</x:v>
      </x:c>
      <x:c r="N44" s="117" t="str">
        <x:v>2026-09-08</x:v>
      </x:c>
    </x:row>
    <x:row r="45" ht="48" customHeight="1">
      <x:c r="A45" s="117" t="str">
        <x:v>MC0031</x:v>
      </x:c>
      <x:c r="B45" s="117" t="str">
        <x:v>Tanjung Emas Park</x:v>
      </x:c>
      <x:c r="C45" s="117" t="n">
        <x:v>1</x:v>
      </x:c>
      <x:c r="D45" s="117" t="str">
        <x:v>https://thumb.wikimedia.org/wikipedia/commons/thumb/f/fb/FRU_Mounted_Unit015.jpg/1280px-FRU_Mounted_Unit015.jpg?utm_source=commons.wikimedia.org&amp;utm_campaign=imageinfo&amp;utm_content=thumbnail</x:v>
      </x:c>
      <x:c r="E45" s="117" t="str">
        <x:v>https://commons.wikimedia.org/wiki/File:FRU_Mounted_Unit015.jpg</x:v>
      </x:c>
      <x:c r="F45" s="117" t="str">
        <x:v>File:FRU Mounted Unit015.jpg</x:v>
      </x:c>
      <x:c r="G45" s="117" t="str">
        <x:v>Rizuan (talk)</x:v>
      </x:c>
      <x:c r="H45" s="117" t="str">
        <x:v>CC BY-SA 3.0</x:v>
      </x:c>
      <x:c r="I45" s="117" t="str">
        <x:v>https://creativecommons.org/licenses/by-sa/3.0</x:v>
      </x:c>
      <x:c r="J45" s="117" t="str">
        <x:v>true</x:v>
      </x:c>
      <x:c r="K45" s="117" t="str">
        <x:v>Own work</x:v>
      </x:c>
      <x:c r="L45" s="117" t="str">
        <x:v>Exact name or all distinctive place-name tokens in file metadata</x:v>
      </x:c>
      <x:c r="M45" s="117" t="str">
        <x:v>Not visually reviewed</x:v>
      </x:c>
      <x:c r="N45" s="117" t="str">
        <x:v>2026-09-08</x:v>
      </x:c>
    </x:row>
    <x:row r="46" ht="48" customHeight="1">
      <x:c r="A46" s="117" t="str">
        <x:v>MC0031</x:v>
      </x:c>
      <x:c r="B46" s="117" t="str">
        <x:v>Tanjung Emas Park</x:v>
      </x:c>
      <x:c r="C46" s="117" t="n">
        <x:v>2</x:v>
      </x:c>
      <x:c r="D46" s="117" t="str">
        <x:v>https://thumb.wikimedia.org/wikipedia/commons/thumb/7/7e/RMP_Traffic_Police_and_Bit_Servicemen.jpg/1280px-RMP_Traffic_Police_and_Bit_Servicemen.jpg?utm_source=commons.wikimedia.org&amp;utm_campaign=imageinfo&amp;utm_content=thumbnail</x:v>
      </x:c>
      <x:c r="E46" s="117" t="str">
        <x:v>https://commons.wikimedia.org/wiki/File:RMP_Traffic_Police_and_Bit_Servicemen.jpg</x:v>
      </x:c>
      <x:c r="F46" s="117" t="str">
        <x:v>File:RMP Traffic Police and Bit Servicemen.jpg</x:v>
      </x:c>
      <x:c r="G46" s="117" t="str">
        <x:v>Rizuan</x:v>
      </x:c>
      <x:c r="H46" s="117" t="str">
        <x:v>CC BY-SA 3.0</x:v>
      </x:c>
      <x:c r="I46" s="117" t="str">
        <x:v>https://creativecommons.org/licenses/by-sa/3.0</x:v>
      </x:c>
      <x:c r="J46" s="117" t="str">
        <x:v>true</x:v>
      </x:c>
      <x:c r="K46" s="117" t="str">
        <x:v>Own work</x:v>
      </x:c>
      <x:c r="L46" s="117" t="str">
        <x:v>Exact name or all distinctive place-name tokens in file metadata</x:v>
      </x:c>
      <x:c r="M46" s="117" t="str">
        <x:v>Not visually reviewed</x:v>
      </x:c>
      <x:c r="N46" s="117" t="str">
        <x:v>2026-09-08</x:v>
      </x:c>
    </x:row>
    <x:row r="47" ht="48" customHeight="1">
      <x:c r="A47" s="117" t="str">
        <x:v>MC0033</x:v>
      </x:c>
      <x:c r="B47" s="117" t="str">
        <x:v>Gunung Lambak</x:v>
      </x:c>
      <x:c r="C47" s="117" t="n">
        <x:v>1</x:v>
      </x:c>
      <x:c r="D47" s="117" t="str">
        <x:v>https://thumb.wikimedia.org/wikipedia/commons/thumb/e/eb/Kluang_-_waterfalls_on_Gunung_Lambak_May_2024_01.jpg/1280px-Kluang_-_waterfalls_on_Gunung_Lambak_May_2024_01.jpg?utm_source=commons.wikimedia.org&amp;utm_campaign=imageinfo&amp;utm_content=thumbnail</x:v>
      </x:c>
      <x:c r="E47" s="117" t="str">
        <x:v>https://commons.wikimedia.org/wiki/File:Kluang_-_waterfalls_on_Gunung_Lambak_May_2024_01.jpg</x:v>
      </x:c>
      <x:c r="F47" s="117" t="str">
        <x:v>File:Kluang - waterfalls on Gunung Lambak May 2024 01.jpg</x:v>
      </x:c>
      <x:c r="G47" s="117" t="str">
        <x:v>Dominic Nelson</x:v>
      </x:c>
      <x:c r="H47" s="117" t="str">
        <x:v>CC BY-SA 4.0</x:v>
      </x:c>
      <x:c r="I47" s="117" t="str">
        <x:v>https://creativecommons.org/licenses/by-sa/4.0</x:v>
      </x:c>
      <x:c r="J47" s="117" t="str">
        <x:v>true</x:v>
      </x:c>
      <x:c r="K47" s="117" t="str">
        <x:v>Own work</x:v>
      </x:c>
      <x:c r="L47" s="117" t="str">
        <x:v>Exact name or all distinctive place-name tokens in file metadata</x:v>
      </x:c>
      <x:c r="M47" s="117" t="str">
        <x:v>Not visually reviewed</x:v>
      </x:c>
      <x:c r="N47" s="117" t="str">
        <x:v>2026-09-08</x:v>
      </x:c>
    </x:row>
    <x:row r="48" ht="48" customHeight="1">
      <x:c r="A48" s="117" t="str">
        <x:v>MC0033</x:v>
      </x:c>
      <x:c r="B48" s="117" t="str">
        <x:v>Gunung Lambak</x:v>
      </x:c>
      <x:c r="C48" s="117" t="n">
        <x:v>2</x:v>
      </x:c>
      <x:c r="D48" s="117" t="str">
        <x:v>https://upload.wikimedia.org/wikipedia/commons/5/52/Gunung-Lambak-Johor-Malaysia.jpg?utm_source=commons.wikimedia.org&amp;utm_campaign=imageinfo&amp;utm_content=thumbnail_unscaled</x:v>
      </x:c>
      <x:c r="E48" s="117" t="str">
        <x:v>https://commons.wikimedia.org/wiki/File:Gunung-Lambak-Johor-Malaysia.jpg</x:v>
      </x:c>
      <x:c r="F48" s="117" t="str">
        <x:v>File:Gunung-Lambak-Johor-Malaysia.jpg</x:v>
      </x:c>
      <x:c r="G48" s="117" t="str">
        <x:v>self</x:v>
      </x:c>
      <x:c r="H48" s="117" t="str">
        <x:v>Public domain</x:v>
      </x:c>
      <x:c r="I48" s="117" t="str"/>
      <x:c r="J48" s="117" t="str">
        <x:v>false</x:v>
      </x:c>
      <x:c r="K48" s="117" t="str">
        <x:v>own work - I took this photograph</x:v>
      </x:c>
      <x:c r="L48" s="117" t="str">
        <x:v>Exact name or all distinctive place-name tokens in file metadata</x:v>
      </x:c>
      <x:c r="M48" s="117" t="str">
        <x:v>Not visually reviewed</x:v>
      </x:c>
      <x:c r="N48" s="117" t="str">
        <x:v>2026-09-08</x:v>
      </x:c>
    </x:row>
    <x:row r="49" ht="48" customHeight="1">
      <x:c r="A49" s="117" t="str">
        <x:v>MC0038</x:v>
      </x:c>
      <x:c r="B49" s="117" t="str">
        <x:v>Langkawi Sky Bridge</x:v>
      </x:c>
      <x:c r="C49" s="117" t="n">
        <x:v>1</x:v>
      </x:c>
      <x:c r="D49" s="117" t="str">
        <x:v>https://thumb.wikimedia.org/wikipedia/commons/thumb/f/f9/Langkawi_cablecar_bridge.jpg/1280px-Langkawi_cablecar_bridge.jpg?utm_source=commons.wikimedia.org&amp;utm_campaign=imageinfo&amp;utm_content=thumbnail</x:v>
      </x:c>
      <x:c r="E49" s="117" t="str">
        <x:v>https://commons.wikimedia.org/wiki/File:Langkawi_cablecar_bridge.jpg</x:v>
      </x:c>
      <x:c r="F49" s="117" t="str">
        <x:v>File:Langkawi cablecar bridge.jpg</x:v>
      </x:c>
      <x:c r="G49" s="117" t="str">
        <x:v>Cheon Fong Liew from Kluang, Malaysia</x:v>
      </x:c>
      <x:c r="H49" s="117" t="str">
        <x:v>CC BY-SA 2.0</x:v>
      </x:c>
      <x:c r="I49" s="117" t="str">
        <x:v>https://creativecommons.org/licenses/by-sa/2.0</x:v>
      </x:c>
      <x:c r="J49" s="117" t="str">
        <x:v>true</x:v>
      </x:c>
      <x:c r="K49" s="117" t="str">
        <x:v>Langkawi cablecar bridge</x:v>
      </x:c>
      <x:c r="L49" s="117" t="str">
        <x:v>Exact name or all distinctive place-name tokens in file metadata</x:v>
      </x:c>
      <x:c r="M49" s="117" t="str">
        <x:v>Not visually reviewed</x:v>
      </x:c>
      <x:c r="N49" s="117" t="str">
        <x:v>2026-09-08</x:v>
      </x:c>
    </x:row>
    <x:row r="50" ht="48" customHeight="1">
      <x:c r="A50" s="117" t="str">
        <x:v>MC0038</x:v>
      </x:c>
      <x:c r="B50" s="117" t="str">
        <x:v>Langkawi Sky Bridge</x:v>
      </x:c>
      <x:c r="C50" s="117" t="n">
        <x:v>2</x:v>
      </x:c>
      <x:c r="D50" s="117" t="str">
        <x:v>https://upload.wikimedia.org/wikipedia/commons/f/f8/Langkawi_sky_bridge.jpg?utm_source=commons.wikimedia.org&amp;utm_campaign=imageinfo&amp;utm_content=thumbnail_unscaled</x:v>
      </x:c>
      <x:c r="E50" s="117" t="str">
        <x:v>https://commons.wikimedia.org/wiki/File:Langkawi_sky_bridge.jpg</x:v>
      </x:c>
      <x:c r="F50" s="117" t="str">
        <x:v>File:Langkawi sky bridge.jpg</x:v>
      </x:c>
      <x:c r="G50" s="117" t="str">
        <x:v>Flickr user "The Dilly Lama"</x:v>
      </x:c>
      <x:c r="H50" s="117" t="str">
        <x:v>CC BY 2.0</x:v>
      </x:c>
      <x:c r="I50" s="117" t="str">
        <x:v>https://creativecommons.org/licenses/by/2.0</x:v>
      </x:c>
      <x:c r="J50" s="117" t="str">
        <x:v>true</x:v>
      </x:c>
      <x:c r="K50" s="117" t="str">
        <x:v>https://www.flickr.com/photos/dylwalters/509076089/</x:v>
      </x:c>
      <x:c r="L50" s="117" t="str">
        <x:v>Exact name or all distinctive place-name tokens in file metadata</x:v>
      </x:c>
      <x:c r="M50" s="117" t="str">
        <x:v>Not visually reviewed</x:v>
      </x:c>
      <x:c r="N50" s="117" t="str">
        <x:v>2026-09-08</x:v>
      </x:c>
    </x:row>
    <x:row r="51" ht="48" customHeight="1">
      <x:c r="A51" s="117" t="str">
        <x:v>MC0039</x:v>
      </x:c>
      <x:c r="B51" s="117" t="str">
        <x:v>Kilim Karst Geoforest Park</x:v>
      </x:c>
      <x:c r="C51" s="117" t="n">
        <x:v>1</x:v>
      </x:c>
      <x:c r="D51" s="117" t="str">
        <x:v>https://thumb.wikimedia.org/wikipedia/commons/thumb/8/8a/Langkawi_Mangrove_Forest.jpg/1280px-Langkawi_Mangrove_Forest.jpg?utm_source=commons.wikimedia.org&amp;utm_campaign=imageinfo&amp;utm_content=thumbnail</x:v>
      </x:c>
      <x:c r="E51" s="117" t="str">
        <x:v>https://commons.wikimedia.org/wiki/File:Langkawi_Mangrove_Forest.jpg</x:v>
      </x:c>
      <x:c r="F51" s="117" t="str">
        <x:v>File:Langkawi Mangrove Forest.jpg</x:v>
      </x:c>
      <x:c r="G51" s="117" t="str">
        <x:v>Leonardo0511</x:v>
      </x:c>
      <x:c r="H51" s="117" t="str">
        <x:v>CC BY-SA 4.0</x:v>
      </x:c>
      <x:c r="I51" s="117" t="str">
        <x:v>https://creativecommons.org/licenses/by-sa/4.0</x:v>
      </x:c>
      <x:c r="J51" s="117" t="str">
        <x:v>true</x:v>
      </x:c>
      <x:c r="K51" s="117" t="str">
        <x:v>Own work</x:v>
      </x:c>
      <x:c r="L51" s="117" t="str">
        <x:v>Exact name or all distinctive place-name tokens in file metadata</x:v>
      </x:c>
      <x:c r="M51" s="117" t="str">
        <x:v>Not visually reviewed</x:v>
      </x:c>
      <x:c r="N51" s="117" t="str">
        <x:v>2026-09-08</x:v>
      </x:c>
    </x:row>
    <x:row r="52" ht="48" customHeight="1">
      <x:c r="A52" s="117" t="str">
        <x:v>MC0040</x:v>
      </x:c>
      <x:c r="B52" s="117" t="str">
        <x:v>Pantai Cenang</x:v>
      </x:c>
      <x:c r="C52" s="117" t="n">
        <x:v>1</x:v>
      </x:c>
      <x:c r="D52" s="117" t="str">
        <x:v>https://thumb.wikimedia.org/wikipedia/commons/thumb/2/2b/Pantai_Cenang%2C_Langkawi_01.jpg/1280px-Pantai_Cenang%2C_Langkawi_01.jpg?utm_source=commons.wikimedia.org&amp;utm_campaign=imageinfo&amp;utm_content=thumbnail</x:v>
      </x:c>
      <x:c r="E52" s="117" t="str">
        <x:v>https://commons.wikimedia.org/wiki/File:Pantai_Cenang,_Langkawi_01.jpg</x:v>
      </x:c>
      <x:c r="F52" s="117" t="str">
        <x:v>File:Pantai Cenang, Langkawi 01.jpg</x:v>
      </x:c>
      <x:c r="G52" s="117" t="str">
        <x:v>Nahid Sultan 
This work was made by Nahid Sultan and released under the license(s) stated below. Please feel free to use it for any purpose as long as you credit Nahid Sultan as author and follow the terms of the chosen license. If you use this work outside of the Wikimedia projects, I would very much like to get a note from you. Thanks!</x:v>
      </x:c>
      <x:c r="H52" s="117" t="str">
        <x:v>CC BY-SA 4.0</x:v>
      </x:c>
      <x:c r="I52" s="117" t="str">
        <x:v>https://creativecommons.org/licenses/by-sa/4.0</x:v>
      </x:c>
      <x:c r="J52" s="117" t="str">
        <x:v>true</x:v>
      </x:c>
      <x:c r="K52" s="117" t="str">
        <x:v>Own work</x:v>
      </x:c>
      <x:c r="L52" s="117" t="str">
        <x:v>Exact name or all distinctive place-name tokens in file metadata</x:v>
      </x:c>
      <x:c r="M52" s="117" t="str">
        <x:v>Not visually reviewed</x:v>
      </x:c>
      <x:c r="N52" s="117" t="str">
        <x:v>2026-09-08</x:v>
      </x:c>
    </x:row>
    <x:row r="53" ht="48" customHeight="1">
      <x:c r="A53" s="117" t="str">
        <x:v>MC0040</x:v>
      </x:c>
      <x:c r="B53" s="117" t="str">
        <x:v>Pantai Cenang</x:v>
      </x:c>
      <x:c r="C53" s="117" t="n">
        <x:v>2</x:v>
      </x:c>
      <x:c r="D53" s="117" t="str">
        <x:v>https://thumb.wikimedia.org/wikipedia/commons/thumb/d/d3/Pantai_Cenang%2C_Langkawi_during_movement_control.png/1280px-Pantai_Cenang%2C_Langkawi_during_movement_control.png?utm_source=commons.wikimedia.org&amp;utm_campaign=imageinfo&amp;utm_content=thumbnail</x:v>
      </x:c>
      <x:c r="E53" s="117" t="str">
        <x:v>https://commons.wikimedia.org/wiki/File:Pantai_Cenang,_Langkawi_during_movement_control.png</x:v>
      </x:c>
      <x:c r="F53" s="117" t="str">
        <x:v>File:Pantai Cenang, Langkawi during movement control.png</x:v>
      </x:c>
      <x:c r="G53" s="117" t="str">
        <x:v>MrVJclub704</x:v>
      </x:c>
      <x:c r="H53" s="117" t="str">
        <x:v>CC BY 3.0</x:v>
      </x:c>
      <x:c r="I53" s="117" t="str">
        <x:v>https://creativecommons.org/licenses/by/3.0</x:v>
      </x:c>
      <x:c r="J53" s="117" t="str">
        <x:v>true</x:v>
      </x:c>
      <x:c r="K53" s="117" t="str">
        <x:v>YouTube: Malaysia partial lockdown – View/save archived versions on archive.org</x:v>
      </x:c>
      <x:c r="L53" s="117" t="str">
        <x:v>Exact name or all distinctive place-name tokens in file metadata</x:v>
      </x:c>
      <x:c r="M53" s="117" t="str">
        <x:v>Not visually reviewed</x:v>
      </x:c>
      <x:c r="N53" s="117" t="str">
        <x:v>2026-09-08</x:v>
      </x:c>
    </x:row>
    <x:row r="54" ht="48" customHeight="1">
      <x:c r="A54" s="117" t="str">
        <x:v>MC0042</x:v>
      </x:c>
      <x:c r="B54" s="117" t="str">
        <x:v>Underwater World Langkawi</x:v>
      </x:c>
      <x:c r="C54" s="117" t="n">
        <x:v>1</x:v>
      </x:c>
      <x:c r="D54" s="117" t="str">
        <x:v>https://thumb.wikimedia.org/wikipedia/commons/thumb/0/0b/Entrance_to_Underwater_World%2C_Langkawi.jpg/1280px-Entrance_to_Underwater_World%2C_Langkawi.jpg?utm_source=commons.wikimedia.org&amp;utm_campaign=imageinfo&amp;utm_content=thumbnail</x:v>
      </x:c>
      <x:c r="E54" s="117" t="str">
        <x:v>https://commons.wikimedia.org/wiki/File:Entrance_to_Underwater_World,_Langkawi.jpg</x:v>
      </x:c>
      <x:c r="F54" s="117" t="str">
        <x:v>File:Entrance to Underwater World, Langkawi.jpg</x:v>
      </x:c>
      <x:c r="G54" s="117" t="str">
        <x:v>User: (WT-shared) Umang.joshi at  wts wikivoyage 01:19, 1 April 2010 (EDT)</x:v>
      </x:c>
      <x:c r="H54" s="117" t="str">
        <x:v>Public domain</x:v>
      </x:c>
      <x:c r="I54" s="117" t="str"/>
      <x:c r="J54" s="117" t="str">
        <x:v>false</x:v>
      </x:c>
      <x:c r="K54" s="117" t="str">
        <x:v>Own work</x:v>
      </x:c>
      <x:c r="L54" s="117" t="str">
        <x:v>Exact name or all distinctive place-name tokens in file metadata</x:v>
      </x:c>
      <x:c r="M54" s="117" t="str">
        <x:v>Not visually reviewed</x:v>
      </x:c>
      <x:c r="N54" s="117" t="str">
        <x:v>2026-09-08</x:v>
      </x:c>
    </x:row>
    <x:row r="55" ht="48" customHeight="1">
      <x:c r="A55" s="117" t="str">
        <x:v>MC0042</x:v>
      </x:c>
      <x:c r="B55" s="117" t="str">
        <x:v>Underwater World Langkawi</x:v>
      </x:c>
      <x:c r="C55" s="117" t="n">
        <x:v>2</x:v>
      </x:c>
      <x:c r="D55" s="117" t="str">
        <x:v>https://thumb.wikimedia.org/wikipedia/commons/thumb/6/6f/Discus_%28fish%29.JPG/1280px-Discus_%28fish%29.JPG?utm_source=commons.wikimedia.org&amp;utm_campaign=imageinfo&amp;utm_content=thumbnail</x:v>
      </x:c>
      <x:c r="E55" s="117" t="str">
        <x:v>https://commons.wikimedia.org/wiki/File:Discus_(fish).JPG</x:v>
      </x:c>
      <x:c r="F55" s="117" t="str">
        <x:v>File:Discus (fish).JPG</x:v>
      </x:c>
      <x:c r="G55" s="117" t="str">
        <x:v>Zamwan</x:v>
      </x:c>
      <x:c r="H55" s="117" t="str">
        <x:v>CC BY-SA 3.0</x:v>
      </x:c>
      <x:c r="I55" s="117" t="str">
        <x:v>https://creativecommons.org/licenses/by-sa/3.0</x:v>
      </x:c>
      <x:c r="J55" s="117" t="str">
        <x:v>true</x:v>
      </x:c>
      <x:c r="K55" s="117" t="str">
        <x:v>Own work</x:v>
      </x:c>
      <x:c r="L55" s="117" t="str">
        <x:v>Exact name or all distinctive place-name tokens in file metadata</x:v>
      </x:c>
      <x:c r="M55" s="117" t="str">
        <x:v>Not visually reviewed</x:v>
      </x:c>
      <x:c r="N55" s="117" t="str">
        <x:v>2026-09-08</x:v>
      </x:c>
    </x:row>
    <x:row r="56" ht="48" customHeight="1">
      <x:c r="A56" s="117" t="str">
        <x:v>MC0043</x:v>
      </x:c>
      <x:c r="B56" s="117" t="str">
        <x:v>Lembah Bujang Archaeological Museum</x:v>
      </x:c>
      <x:c r="C56" s="117" t="n">
        <x:v>1</x:v>
      </x:c>
      <x:c r="D56" s="117" t="str">
        <x:v>https://thumb.wikimedia.org/wikipedia/commons/thumb/7/76/Bujang_valley.jpg/1280px-Bujang_valley.jpg?utm_source=commons.wikimedia.org&amp;utm_campaign=imageinfo&amp;utm_content=thumbnail</x:v>
      </x:c>
      <x:c r="E56" s="117" t="str">
        <x:v>https://commons.wikimedia.org/wiki/File:Bujang_valley.jpg</x:v>
      </x:c>
      <x:c r="F56" s="117" t="str">
        <x:v>File:Bujang valley.jpg</x:v>
      </x:c>
      <x:c r="G56" s="117" t="str">
        <x:v>Imhadi at English Wikipedia</x:v>
      </x:c>
      <x:c r="H56" s="117" t="str">
        <x:v>Public domain</x:v>
      </x:c>
      <x:c r="I56" s="117" t="str"/>
      <x:c r="J56" s="117" t="str">
        <x:v>false</x:v>
      </x:c>
      <x:c r="K56" s="117" t="str">
        <x:v>Own work</x:v>
      </x:c>
      <x:c r="L56" s="117" t="str">
        <x:v>Exact name or all distinctive place-name tokens in file metadata</x:v>
      </x:c>
      <x:c r="M56" s="117" t="str">
        <x:v>Not visually reviewed</x:v>
      </x:c>
      <x:c r="N56" s="117" t="str">
        <x:v>2026-09-08</x:v>
      </x:c>
    </x:row>
    <x:row r="57" ht="48" customHeight="1">
      <x:c r="A57" s="117" t="str">
        <x:v>MC0044</x:v>
      </x:c>
      <x:c r="B57" s="117" t="str">
        <x:v>Gunung Jerai</x:v>
      </x:c>
      <x:c r="C57" s="117" t="n">
        <x:v>1</x:v>
      </x:c>
      <x:c r="D57" s="117" t="str">
        <x:v>https://thumb.wikimedia.org/wikipedia/commons/thumb/c/cf/Gunung_Jerai_as_viewed_from_George_Town_Dec2024-1.jpg/1280px-Gunung_Jerai_as_viewed_from_George_Town_Dec2024-1.jpg?utm_source=commons.wikimedia.org&amp;utm_campaign=imageinfo&amp;utm_content=thumbnail</x:v>
      </x:c>
      <x:c r="E57" s="117" t="str">
        <x:v>https://commons.wikimedia.org/wiki/File:Gunung_Jerai_as_viewed_from_George_Town_Dec2024-1.jpg</x:v>
      </x:c>
      <x:c r="F57" s="117" t="str">
        <x:v>File:Gunung Jerai as viewed from George Town Dec2024-1.jpg</x:v>
      </x:c>
      <x:c r="G57" s="117" t="str">
        <x:v>HundenvonPenang</x:v>
      </x:c>
      <x:c r="H57" s="117" t="str">
        <x:v>CC BY-SA 4.0</x:v>
      </x:c>
      <x:c r="I57" s="117" t="str">
        <x:v>https://creativecommons.org/licenses/by-sa/4.0</x:v>
      </x:c>
      <x:c r="J57" s="117" t="str">
        <x:v>true</x:v>
      </x:c>
      <x:c r="K57" s="117" t="str">
        <x:v>Own work</x:v>
      </x:c>
      <x:c r="L57" s="117" t="str">
        <x:v>Exact name or all distinctive place-name tokens in file metadata</x:v>
      </x:c>
      <x:c r="M57" s="117" t="str">
        <x:v>Not visually reviewed</x:v>
      </x:c>
      <x:c r="N57" s="117" t="str">
        <x:v>2026-09-08</x:v>
      </x:c>
    </x:row>
    <x:row r="58" ht="48" customHeight="1">
      <x:c r="A58" s="117" t="str">
        <x:v>MC0044</x:v>
      </x:c>
      <x:c r="B58" s="117" t="str">
        <x:v>Gunung Jerai</x:v>
      </x:c>
      <x:c r="C58" s="117" t="n">
        <x:v>2</x:v>
      </x:c>
      <x:c r="D58" s="117" t="str">
        <x:v>https://thumb.wikimedia.org/wikipedia/commons/thumb/e/e1/Kedah_Peak_Sunset_%2835712866865%29.jpg/1280px-Kedah_Peak_Sunset_%2835712866865%29.jpg?utm_source=commons.wikimedia.org&amp;utm_campaign=imageinfo&amp;utm_content=thumbnail</x:v>
      </x:c>
      <x:c r="E58" s="117" t="str">
        <x:v>https://commons.wikimedia.org/wiki/File:Kedah_Peak_Sunset_(35712866865).jpg</x:v>
      </x:c>
      <x:c r="F58" s="117" t="str">
        <x:v>File:Kedah Peak Sunset (35712866865).jpg</x:v>
      </x:c>
      <x:c r="G58" s="117" t="str">
        <x:v>Christopher Harriot from Penang, Malaysia</x:v>
      </x:c>
      <x:c r="H58" s="117" t="str">
        <x:v>CC BY 2.0</x:v>
      </x:c>
      <x:c r="I58" s="117" t="str">
        <x:v>https://creativecommons.org/licenses/by/2.0</x:v>
      </x:c>
      <x:c r="J58" s="117" t="str">
        <x:v>true</x:v>
      </x:c>
      <x:c r="K58" s="117" t="str">
        <x:v>Kedah Peak Sunset</x:v>
      </x:c>
      <x:c r="L58" s="117" t="str">
        <x:v>Exact name or all distinctive place-name tokens in file metadata</x:v>
      </x:c>
      <x:c r="M58" s="117" t="str">
        <x:v>Not visually reviewed</x:v>
      </x:c>
      <x:c r="N58" s="117" t="str">
        <x:v>2026-09-08</x:v>
      </x:c>
    </x:row>
    <x:row r="59" ht="48" customHeight="1">
      <x:c r="A59" s="117" t="str">
        <x:v>MC0045</x:v>
      </x:c>
      <x:c r="B59" s="117" t="str">
        <x:v>Pekan Rabu</x:v>
      </x:c>
      <x:c r="C59" s="117" t="n">
        <x:v>1</x:v>
      </x:c>
      <x:c r="D59" s="117" t="str">
        <x:v>https://thumb.wikimedia.org/wikipedia/commons/thumb/2/24/Polres_Pekalongan.jpg/1280px-Polres_Pekalongan.jpg?utm_source=commons.wikimedia.org&amp;utm_campaign=imageinfo&amp;utm_content=thumbnail</x:v>
      </x:c>
      <x:c r="E59" s="117" t="str">
        <x:v>https://commons.wikimedia.org/wiki/File:Polres_Pekalongan.jpg</x:v>
      </x:c>
      <x:c r="F59" s="117" t="str">
        <x:v>File:Polres Pekalongan.jpg</x:v>
      </x:c>
      <x:c r="G59" s="117" t="str">
        <x:v>AntaraTV</x:v>
      </x:c>
      <x:c r="H59" s="117" t="str">
        <x:v>CC BY 3.0</x:v>
      </x:c>
      <x:c r="I59" s="117" t="str">
        <x:v>https://creativecommons.org/licenses/by/3.0</x:v>
      </x:c>
      <x:c r="J59" s="117" t="str">
        <x:v>true</x:v>
      </x:c>
      <x:c r="K59" s="117" t="str">
        <x:v>&lt;Polres Kota Pekalongan memusnahkan ratusan knalpot tidak standar&gt; at 00:51</x:v>
      </x:c>
      <x:c r="L59" s="117" t="str">
        <x:v>Exact name or all distinctive place-name tokens in file metadata</x:v>
      </x:c>
      <x:c r="M59" s="117" t="str">
        <x:v>Not visually reviewed</x:v>
      </x:c>
      <x:c r="N59" s="117" t="str">
        <x:v>2026-09-08</x:v>
      </x:c>
    </x:row>
    <x:row r="60" ht="48" customHeight="1">
      <x:c r="A60" s="117" t="str">
        <x:v>MC0047</x:v>
      </x:c>
      <x:c r="B60" s="117" t="str">
        <x:v>Telaga Tujuh Waterfalls</x:v>
      </x:c>
      <x:c r="C60" s="117" t="n">
        <x:v>1</x:v>
      </x:c>
      <x:c r="D60" s="117" t="str">
        <x:v>https://thumb.wikimedia.org/wikipedia/commons/thumb/3/35/Telaga_tujuh_waterfalls.jpg/1280px-Telaga_tujuh_waterfalls.jpg?utm_source=commons.wikimedia.org&amp;utm_campaign=imageinfo&amp;utm_content=thumbnail</x:v>
      </x:c>
      <x:c r="E60" s="117" t="str">
        <x:v>https://commons.wikimedia.org/wiki/File:Telaga_tujuh_waterfalls.jpg</x:v>
      </x:c>
      <x:c r="F60" s="117" t="str">
        <x:v>File:Telaga tujuh waterfalls.jpg</x:v>
      </x:c>
      <x:c r="G60" s="117" t="str">
        <x:v>Sabrinakhanpoly</x:v>
      </x:c>
      <x:c r="H60" s="117" t="str">
        <x:v>CC BY-SA 4.0</x:v>
      </x:c>
      <x:c r="I60" s="117" t="str">
        <x:v>https://creativecommons.org/licenses/by-sa/4.0</x:v>
      </x:c>
      <x:c r="J60" s="117" t="str">
        <x:v>true</x:v>
      </x:c>
      <x:c r="K60" s="117" t="str">
        <x:v>Own work</x:v>
      </x:c>
      <x:c r="L60" s="117" t="str">
        <x:v>Exact name or all distinctive place-name tokens in file metadata</x:v>
      </x:c>
      <x:c r="M60" s="117" t="str">
        <x:v>Not visually reviewed</x:v>
      </x:c>
      <x:c r="N60" s="117" t="str">
        <x:v>2026-09-08</x:v>
      </x:c>
    </x:row>
    <x:row r="61" ht="48" customHeight="1">
      <x:c r="A61" s="117" t="str">
        <x:v>MC0048</x:v>
      </x:c>
      <x:c r="B61" s="117" t="str">
        <x:v>Tanjung Rhu Beach</x:v>
      </x:c>
      <x:c r="C61" s="117" t="n">
        <x:v>1</x:v>
      </x:c>
      <x:c r="D61" s="117" t="str">
        <x:v>https://thumb.wikimedia.org/wikipedia/commons/thumb/b/b7/Tanjung_Rhu_Beach.jpg/1280px-Tanjung_Rhu_Beach.jpg?utm_source=commons.wikimedia.org&amp;utm_campaign=imageinfo&amp;utm_content=thumbnail</x:v>
      </x:c>
      <x:c r="E61" s="117" t="str">
        <x:v>https://commons.wikimedia.org/wiki/File:Tanjung_Rhu_Beach.jpg</x:v>
      </x:c>
      <x:c r="F61" s="117" t="str">
        <x:v>File:Tanjung Rhu Beach.jpg</x:v>
      </x:c>
      <x:c r="G61" s="117" t="str">
        <x:v>Tim Parkinson</x:v>
      </x:c>
      <x:c r="H61" s="117" t="str">
        <x:v>CC BY 2.0</x:v>
      </x:c>
      <x:c r="I61" s="117" t="str">
        <x:v>https://creativecommons.org/licenses/by/2.0</x:v>
      </x:c>
      <x:c r="J61" s="117" t="str">
        <x:v>true</x:v>
      </x:c>
      <x:c r="K61" s="117" t="str">
        <x:v>https://www.flickr.com/photos/timparkinson/213777728</x:v>
      </x:c>
      <x:c r="L61" s="117" t="str">
        <x:v>Exact name or all distinctive place-name tokens in file metadata</x:v>
      </x:c>
      <x:c r="M61" s="117" t="str">
        <x:v>Not visually reviewed</x:v>
      </x:c>
      <x:c r="N61" s="117" t="str">
        <x:v>2026-09-08</x:v>
      </x:c>
    </x:row>
    <x:row r="62" ht="48" customHeight="1">
      <x:c r="A62" s="117" t="str">
        <x:v>MC0048</x:v>
      </x:c>
      <x:c r="B62" s="117" t="str">
        <x:v>Tanjung Rhu Beach</x:v>
      </x:c>
      <x:c r="C62" s="117" t="n">
        <x:v>2</x:v>
      </x:c>
      <x:c r="D62" s="117" t="str">
        <x:v>https://thumb.wikimedia.org/wikipedia/commons/thumb/3/37/Jalan_Tanjung_Rhu%2C_07000_Langkawi%2C_Kedah%2C_Malaysia_-_panoramio_-_jetsun_%287%29.jpg/1280px-Jalan_Tanjung_Rhu%2C_07000_Langkawi%2C_Kedah%2C_Malaysia_-_panoramio_-_jetsun_%287%29.jpg?utm_source=commons.wikimedia.org&amp;utm_campaign=imageinfo&amp;utm_content=thumbnail</x:v>
      </x:c>
      <x:c r="E62" s="117" t="str">
        <x:v>https://commons.wikimedia.org/wiki/File:Jalan_Tanjung_Rhu,_07000_Langkawi,_Kedah,_Malaysia_-_panoramio_-_jetsun_(7).jpg</x:v>
      </x:c>
      <x:c r="F62" s="117" t="str">
        <x:v>File:Jalan Tanjung Rhu, 07000 Langkawi, Kedah, Malaysia - panoramio - jetsun (7).jpg</x:v>
      </x:c>
      <x:c r="G62" s="117" t="str">
        <x:v>jetsun</x:v>
      </x:c>
      <x:c r="H62" s="117" t="str">
        <x:v>CC BY-SA 3.0</x:v>
      </x:c>
      <x:c r="I62" s="117" t="str">
        <x:v>https://creativecommons.org/licenses/by-sa/3.0</x:v>
      </x:c>
      <x:c r="J62" s="117" t="str">
        <x:v>true</x:v>
      </x:c>
      <x:c r="K62" s="117" t="str">
        <x:v>https://web.archive.org/web/20161013094113/http://www.panoramio.com/photo/11868502</x:v>
      </x:c>
      <x:c r="L62" s="117" t="str">
        <x:v>Exact name or all distinctive place-name tokens in file metadata</x:v>
      </x:c>
      <x:c r="M62" s="117" t="str">
        <x:v>Not visually reviewed</x:v>
      </x:c>
      <x:c r="N62" s="117" t="str">
        <x:v>2026-09-08</x:v>
      </x:c>
    </x:row>
    <x:row r="63" ht="48" customHeight="1">
      <x:c r="A63" s="117" t="str">
        <x:v>MC0049</x:v>
      </x:c>
      <x:c r="B63" s="117" t="str">
        <x:v>Black Sand Beach</x:v>
      </x:c>
      <x:c r="C63" s="117" t="n">
        <x:v>1</x:v>
      </x:c>
      <x:c r="D63" s="117" t="str">
        <x:v>https://thumb.wikimedia.org/wikipedia/commons/thumb/d/da/Punaluu_Black_Sand_Beach%2C_Hawaii%2C_USA8.jpg/1280px-Punaluu_Black_Sand_Beach%2C_Hawaii%2C_USA8.jpg?utm_source=commons.wikimedia.org&amp;utm_campaign=imageinfo&amp;utm_content=thumbnail</x:v>
      </x:c>
      <x:c r="E63" s="117" t="str">
        <x:v>https://commons.wikimedia.org/wiki/File:Punaluu_Black_Sand_Beach,_Hawaii,_USA8.jpg</x:v>
      </x:c>
      <x:c r="F63" s="117" t="str">
        <x:v>File:Punaluu Black Sand Beach, Hawaii, USA8.jpg</x:v>
      </x:c>
      <x:c r="G63" s="117" t="str">
        <x:v>Diego Delso</x:v>
      </x:c>
      <x:c r="H63" s="117" t="str">
        <x:v>CC BY-SA 3.0</x:v>
      </x:c>
      <x:c r="I63" s="117" t="str">
        <x:v>https://creativecommons.org/licenses/by-sa/3.0</x:v>
      </x:c>
      <x:c r="J63" s="117" t="str">
        <x:v>true</x:v>
      </x:c>
      <x:c r="K63" s="117" t="str">
        <x:v>Own work</x:v>
      </x:c>
      <x:c r="L63" s="117" t="str">
        <x:v>Exact name or all distinctive place-name tokens in file metadata</x:v>
      </x:c>
      <x:c r="M63" s="117" t="str">
        <x:v>Not visually reviewed</x:v>
      </x:c>
      <x:c r="N63" s="117" t="str">
        <x:v>2026-09-08</x:v>
      </x:c>
    </x:row>
    <x:row r="64" ht="48" customHeight="1">
      <x:c r="A64" s="117" t="str">
        <x:v>MC0049</x:v>
      </x:c>
      <x:c r="B64" s="117" t="str">
        <x:v>Black Sand Beach</x:v>
      </x:c>
      <x:c r="C64" s="117" t="n">
        <x:v>2</x:v>
      </x:c>
      <x:c r="D64" s="117" t="str">
        <x:v>https://thumb.wikimedia.org/wikipedia/commons/thumb/7/7d/Punalu%27u_Beach%2C_Big_Island_of_Hawaii%2C_Hawaii_%284529499380%29.jpg/1280px-Punalu%27u_Beach%2C_Big_Island_of_Hawaii%2C_Hawaii_%284529499380%29.jpg?utm_source=commons.wikimedia.org&amp;utm_campaign=imageinfo&amp;utm_content=thumbnail</x:v>
      </x:c>
      <x:c r="E64" s="117" t="str">
        <x:v>https://commons.wikimedia.org/wiki/File:Punalu%27u_Beach,_Big_Island_of_Hawaii,_Hawaii_(4529499380).jpg</x:v>
      </x:c>
      <x:c r="F64" s="117" t="str">
        <x:v>File:Punalu'u Beach, Big Island of Hawaii, Hawaii (4529499380).jpg</x:v>
      </x:c>
      <x:c r="G64" s="117" t="str">
        <x:v>Ken Lund from Reno, Nevada, USA</x:v>
      </x:c>
      <x:c r="H64" s="117" t="str">
        <x:v>CC BY-SA 2.0</x:v>
      </x:c>
      <x:c r="I64" s="117" t="str">
        <x:v>https://creativecommons.org/licenses/by-sa/2.0</x:v>
      </x:c>
      <x:c r="J64" s="117" t="str">
        <x:v>true</x:v>
      </x:c>
      <x:c r="K64" s="117" t="str">
        <x:v>Punalu'u Beach, Big Island of Hawaii, Hawaii</x:v>
      </x:c>
      <x:c r="L64" s="117" t="str">
        <x:v>Exact name or all distinctive place-name tokens in file metadata</x:v>
      </x:c>
      <x:c r="M64" s="117" t="str">
        <x:v>Not visually reviewed</x:v>
      </x:c>
      <x:c r="N64" s="117" t="str">
        <x:v>2026-09-08</x:v>
      </x:c>
    </x:row>
    <x:row r="65" ht="48" customHeight="1">
      <x:c r="A65" s="117" t="str">
        <x:v>MC0052</x:v>
      </x:c>
      <x:c r="B65" s="117" t="str">
        <x:v>Zahir Mosque</x:v>
      </x:c>
      <x:c r="C65" s="117" t="n">
        <x:v>1</x:v>
      </x:c>
      <x:c r="D65" s="117" t="str">
        <x:v>https://thumb.wikimedia.org/wikipedia/commons/thumb/b/ba/Masjid_zahir%2C_alor_setar.jpg/1280px-Masjid_zahir%2C_alor_setar.jpg?utm_source=commons.wikimedia.org&amp;utm_campaign=imageinfo&amp;utm_content=thumbnail</x:v>
      </x:c>
      <x:c r="E65" s="117" t="str">
        <x:v>https://commons.wikimedia.org/wiki/File:Masjid_zahir,_alor_setar.jpg</x:v>
      </x:c>
      <x:c r="F65" s="117" t="str">
        <x:v>File:Masjid zahir, alor setar.jpg</x:v>
      </x:c>
      <x:c r="G65" s="117" t="str">
        <x:v>Ecoblueprint</x:v>
      </x:c>
      <x:c r="H65" s="117" t="str">
        <x:v>CC BY 2.0</x:v>
      </x:c>
      <x:c r="I65" s="117" t="str">
        <x:v>https://creativecommons.org/licenses/by/2.0</x:v>
      </x:c>
      <x:c r="J65" s="117" t="str">
        <x:v>true</x:v>
      </x:c>
      <x:c r="K65" s="117" t="str">
        <x:v>Flickr: masjid zahir, alor setar</x:v>
      </x:c>
      <x:c r="L65" s="117" t="str">
        <x:v>Exact name or all distinctive place-name tokens in file metadata</x:v>
      </x:c>
      <x:c r="M65" s="117" t="str">
        <x:v>Not visually reviewed</x:v>
      </x:c>
      <x:c r="N65" s="117" t="str">
        <x:v>2026-09-08</x:v>
      </x:c>
    </x:row>
    <x:row r="66" ht="48" customHeight="1">
      <x:c r="A66" s="117" t="str">
        <x:v>MC0052</x:v>
      </x:c>
      <x:c r="B66" s="117" t="str">
        <x:v>Zahir Mosque</x:v>
      </x:c>
      <x:c r="C66" s="117" t="n">
        <x:v>2</x:v>
      </x:c>
      <x:c r="D66" s="117" t="str">
        <x:v>https://thumb.wikimedia.org/wikipedia/commons/thumb/1/14/Zahir_Masjid_prayer_area.jpg/1280px-Zahir_Masjid_prayer_area.jpg?utm_source=commons.wikimedia.org&amp;utm_campaign=imageinfo&amp;utm_content=thumbnail</x:v>
      </x:c>
      <x:c r="E66" s="117" t="str">
        <x:v>https://commons.wikimedia.org/wiki/File:Zahir_Masjid_prayer_area.jpg</x:v>
      </x:c>
      <x:c r="F66" s="117" t="str">
        <x:v>File:Zahir Masjid prayer area.jpg</x:v>
      </x:c>
      <x:c r="G66" s="117" t="str">
        <x:v>Choomengfoo</x:v>
      </x:c>
      <x:c r="H66" s="117" t="str">
        <x:v>CC BY-SA 4.0</x:v>
      </x:c>
      <x:c r="I66" s="117" t="str">
        <x:v>https://creativecommons.org/licenses/by-sa/4.0</x:v>
      </x:c>
      <x:c r="J66" s="117" t="str">
        <x:v>true</x:v>
      </x:c>
      <x:c r="K66" s="117" t="str">
        <x:v>Own work</x:v>
      </x:c>
      <x:c r="L66" s="117" t="str">
        <x:v>Exact name or all distinctive place-name tokens in file metadata</x:v>
      </x:c>
      <x:c r="M66" s="117" t="str">
        <x:v>Not visually reviewed</x:v>
      </x:c>
      <x:c r="N66" s="117" t="str">
        <x:v>2026-09-08</x:v>
      </x:c>
    </x:row>
    <x:row r="67" ht="48" customHeight="1">
      <x:c r="A67" s="117" t="str">
        <x:v>MC0054</x:v>
      </x:c>
      <x:c r="B67" s="117" t="str">
        <x:v>Pekan Rabu Complex</x:v>
      </x:c>
      <x:c r="C67" s="117" t="n">
        <x:v>1</x:v>
      </x:c>
      <x:c r="D67" s="117" t="str">
        <x:v>https://thumb.wikimedia.org/wikipedia/commons/thumb/2/24/Polres_Pekalongan.jpg/1280px-Polres_Pekalongan.jpg?utm_source=commons.wikimedia.org&amp;utm_campaign=imageinfo&amp;utm_content=thumbnail</x:v>
      </x:c>
      <x:c r="E67" s="117" t="str">
        <x:v>https://commons.wikimedia.org/wiki/File:Polres_Pekalongan.jpg</x:v>
      </x:c>
      <x:c r="F67" s="117" t="str">
        <x:v>File:Polres Pekalongan.jpg</x:v>
      </x:c>
      <x:c r="G67" s="117" t="str">
        <x:v>AntaraTV</x:v>
      </x:c>
      <x:c r="H67" s="117" t="str">
        <x:v>CC BY 3.0</x:v>
      </x:c>
      <x:c r="I67" s="117" t="str">
        <x:v>https://creativecommons.org/licenses/by/3.0</x:v>
      </x:c>
      <x:c r="J67" s="117" t="str">
        <x:v>true</x:v>
      </x:c>
      <x:c r="K67" s="117" t="str">
        <x:v>&lt;Polres Kota Pekalongan memusnahkan ratusan knalpot tidak standar&gt; at 00:51</x:v>
      </x:c>
      <x:c r="L67" s="117" t="str">
        <x:v>Exact name or all distinctive place-name tokens in file metadata</x:v>
      </x:c>
      <x:c r="M67" s="117" t="str">
        <x:v>Not visually reviewed</x:v>
      </x:c>
      <x:c r="N67" s="117" t="str">
        <x:v>2026-09-08</x:v>
      </x:c>
    </x:row>
    <x:row r="68" ht="48" customHeight="1">
      <x:c r="A68" s="117" t="str">
        <x:v>MC0055</x:v>
      </x:c>
      <x:c r="B68" s="117" t="str">
        <x:v>Kedah State Museum</x:v>
      </x:c>
      <x:c r="C68" s="117" t="n">
        <x:v>1</x:v>
      </x:c>
      <x:c r="D68" s="117" t="str">
        <x:v>https://thumb.wikimedia.org/wikipedia/commons/thumb/1/15/Muzium_Negeri_Kedah_%2811270888223%29.jpg/1280px-Muzium_Negeri_Kedah_%2811270888223%29.jpg?utm_source=commons.wikimedia.org&amp;utm_campaign=imageinfo&amp;utm_content=thumbnail</x:v>
      </x:c>
      <x:c r="E68" s="117" t="str">
        <x:v>https://commons.wikimedia.org/wiki/File:Muzium_Negeri_Kedah_(11270888223).jpg</x:v>
      </x:c>
      <x:c r="F68" s="117" t="str">
        <x:v>File:Muzium Negeri Kedah (11270888223).jpg</x:v>
      </x:c>
      <x:c r="G68" s="117" t="str">
        <x:v>Marufish from Alor Setar, Malaysia</x:v>
      </x:c>
      <x:c r="H68" s="117" t="str">
        <x:v>CC BY-SA 2.0</x:v>
      </x:c>
      <x:c r="I68" s="117" t="str">
        <x:v>https://creativecommons.org/licenses/by-sa/2.0</x:v>
      </x:c>
      <x:c r="J68" s="117" t="str">
        <x:v>true</x:v>
      </x:c>
      <x:c r="K68" s="117" t="str">
        <x:v>Muzium Negeri Kedah</x:v>
      </x:c>
      <x:c r="L68" s="117" t="str">
        <x:v>Exact name or all distinctive place-name tokens in file metadata</x:v>
      </x:c>
      <x:c r="M68" s="117" t="str">
        <x:v>Not visually reviewed</x:v>
      </x:c>
      <x:c r="N68" s="117" t="str">
        <x:v>2026-09-08</x:v>
      </x:c>
    </x:row>
    <x:row r="69" ht="48" customHeight="1">
      <x:c r="A69" s="117" t="str">
        <x:v>MC0055</x:v>
      </x:c>
      <x:c r="B69" s="117" t="str">
        <x:v>Kedah State Museum</x:v>
      </x:c>
      <x:c r="C69" s="117" t="n">
        <x:v>2</x:v>
      </x:c>
      <x:c r="D69" s="117" t="str">
        <x:v>https://thumb.wikimedia.org/wikipedia/commons/thumb/4/45/Muzium_Negeri_Kedah_%2811270752515%29.jpg/1280px-Muzium_Negeri_Kedah_%2811270752515%29.jpg?utm_source=commons.wikimedia.org&amp;utm_campaign=imageinfo&amp;utm_content=thumbnail</x:v>
      </x:c>
      <x:c r="E69" s="117" t="str">
        <x:v>https://commons.wikimedia.org/wiki/File:Muzium_Negeri_Kedah_(11270752515).jpg</x:v>
      </x:c>
      <x:c r="F69" s="117" t="str">
        <x:v>File:Muzium Negeri Kedah (11270752515).jpg</x:v>
      </x:c>
      <x:c r="G69" s="117" t="str">
        <x:v>Marufish from Alor Setar, Malaysia</x:v>
      </x:c>
      <x:c r="H69" s="117" t="str">
        <x:v>CC BY-SA 2.0</x:v>
      </x:c>
      <x:c r="I69" s="117" t="str">
        <x:v>https://creativecommons.org/licenses/by-sa/2.0</x:v>
      </x:c>
      <x:c r="J69" s="117" t="str">
        <x:v>true</x:v>
      </x:c>
      <x:c r="K69" s="117" t="str">
        <x:v>Muzium Negeri Kedah</x:v>
      </x:c>
      <x:c r="L69" s="117" t="str">
        <x:v>Exact name or all distinctive place-name tokens in file metadata</x:v>
      </x:c>
      <x:c r="M69" s="117" t="str">
        <x:v>Not visually reviewed</x:v>
      </x:c>
      <x:c r="N69" s="117" t="str">
        <x:v>2026-09-08</x:v>
      </x:c>
    </x:row>
    <x:row r="70" ht="48" customHeight="1">
      <x:c r="A70" s="117" t="str">
        <x:v>MC0056</x:v>
      </x:c>
      <x:c r="B70" s="117" t="str">
        <x:v>Kuala Kedah Fort</x:v>
      </x:c>
      <x:c r="C70" s="117" t="n">
        <x:v>1</x:v>
      </x:c>
      <x:c r="D70" s="117" t="str">
        <x:v>https://thumb.wikimedia.org/wikipedia/commons/thumb/7/72/DSC_01001865_%282637582599%29.jpg/1280px-DSC_01001865_%282637582599%29.jpg?utm_source=commons.wikimedia.org&amp;utm_campaign=imageinfo&amp;utm_content=thumbnail</x:v>
      </x:c>
      <x:c r="E70" s="117" t="str">
        <x:v>https://commons.wikimedia.org/wiki/File:DSC_01001865_(2637582599).jpg</x:v>
      </x:c>
      <x:c r="F70" s="117" t="str">
        <x:v>File:DSC 01001865 (2637582599).jpg</x:v>
      </x:c>
      <x:c r="G70" s="117" t="str">
        <x:v>Marufish from Alor Setar, Malaysia</x:v>
      </x:c>
      <x:c r="H70" s="117" t="str">
        <x:v>CC BY-SA 2.0</x:v>
      </x:c>
      <x:c r="I70" s="117" t="str">
        <x:v>https://creativecommons.org/licenses/by-sa/2.0</x:v>
      </x:c>
      <x:c r="J70" s="117" t="str">
        <x:v>true</x:v>
      </x:c>
      <x:c r="K70" s="117" t="str">
        <x:v>DSC_01001865</x:v>
      </x:c>
      <x:c r="L70" s="117" t="str">
        <x:v>Exact name or all distinctive place-name tokens in file metadata</x:v>
      </x:c>
      <x:c r="M70" s="117" t="str">
        <x:v>Not visually reviewed</x:v>
      </x:c>
      <x:c r="N70" s="117" t="str">
        <x:v>2026-09-08</x:v>
      </x:c>
    </x:row>
    <x:row r="71" ht="48" customHeight="1">
      <x:c r="A71" s="117" t="str">
        <x:v>MC0056</x:v>
      </x:c>
      <x:c r="B71" s="117" t="str">
        <x:v>Kuala Kedah Fort</x:v>
      </x:c>
      <x:c r="C71" s="117" t="n">
        <x:v>2</x:v>
      </x:c>
      <x:c r="D71" s="117" t="str">
        <x:v>https://thumb.wikimedia.org/wikipedia/commons/thumb/1/13/DSC_01211886_%282637585507%29.jpg/1280px-DSC_01211886_%282637585507%29.jpg?utm_source=commons.wikimedia.org&amp;utm_campaign=imageinfo&amp;utm_content=thumbnail</x:v>
      </x:c>
      <x:c r="E71" s="117" t="str">
        <x:v>https://commons.wikimedia.org/wiki/File:DSC_01211886_(2637585507).jpg</x:v>
      </x:c>
      <x:c r="F71" s="117" t="str">
        <x:v>File:DSC 01211886 (2637585507).jpg</x:v>
      </x:c>
      <x:c r="G71" s="117" t="str">
        <x:v>Marufish from Alor Setar, Malaysia</x:v>
      </x:c>
      <x:c r="H71" s="117" t="str">
        <x:v>CC BY-SA 2.0</x:v>
      </x:c>
      <x:c r="I71" s="117" t="str">
        <x:v>https://creativecommons.org/licenses/by-sa/2.0</x:v>
      </x:c>
      <x:c r="J71" s="117" t="str">
        <x:v>true</x:v>
      </x:c>
      <x:c r="K71" s="117" t="str">
        <x:v>DSC_01211886</x:v>
      </x:c>
      <x:c r="L71" s="117" t="str">
        <x:v>Exact name or all distinctive place-name tokens in file metadata</x:v>
      </x:c>
      <x:c r="M71" s="117" t="str">
        <x:v>Not visually reviewed</x:v>
      </x:c>
      <x:c r="N71" s="117" t="str">
        <x:v>2026-09-08</x:v>
      </x:c>
    </x:row>
    <x:row r="72" ht="48" customHeight="1">
      <x:c r="A72" s="117" t="str">
        <x:v>MC0057</x:v>
      </x:c>
      <x:c r="B72" s="117" t="str">
        <x:v>Mount Jerai</x:v>
      </x:c>
      <x:c r="C72" s="117" t="n">
        <x:v>1</x:v>
      </x:c>
      <x:c r="D72" s="117" t="str">
        <x:v>https://thumb.wikimedia.org/wikipedia/commons/thumb/c/cf/Gunung_Jerai_as_viewed_from_George_Town_Dec2024-1.jpg/1280px-Gunung_Jerai_as_viewed_from_George_Town_Dec2024-1.jpg?utm_source=commons.wikimedia.org&amp;utm_campaign=imageinfo&amp;utm_content=thumbnail</x:v>
      </x:c>
      <x:c r="E72" s="117" t="str">
        <x:v>https://commons.wikimedia.org/wiki/File:Gunung_Jerai_as_viewed_from_George_Town_Dec2024-1.jpg</x:v>
      </x:c>
      <x:c r="F72" s="117" t="str">
        <x:v>File:Gunung Jerai as viewed from George Town Dec2024-1.jpg</x:v>
      </x:c>
      <x:c r="G72" s="117" t="str">
        <x:v>HundenvonPenang</x:v>
      </x:c>
      <x:c r="H72" s="117" t="str">
        <x:v>CC BY-SA 4.0</x:v>
      </x:c>
      <x:c r="I72" s="117" t="str">
        <x:v>https://creativecommons.org/licenses/by-sa/4.0</x:v>
      </x:c>
      <x:c r="J72" s="117" t="str">
        <x:v>true</x:v>
      </x:c>
      <x:c r="K72" s="117" t="str">
        <x:v>Own work</x:v>
      </x:c>
      <x:c r="L72" s="117" t="str">
        <x:v>Exact name or all distinctive place-name tokens in file metadata</x:v>
      </x:c>
      <x:c r="M72" s="117" t="str">
        <x:v>Not visually reviewed</x:v>
      </x:c>
      <x:c r="N72" s="117" t="str">
        <x:v>2026-09-08</x:v>
      </x:c>
    </x:row>
    <x:row r="73" ht="48" customHeight="1">
      <x:c r="A73" s="117" t="str">
        <x:v>MC0057</x:v>
      </x:c>
      <x:c r="B73" s="117" t="str">
        <x:v>Mount Jerai</x:v>
      </x:c>
      <x:c r="C73" s="117" t="n">
        <x:v>2</x:v>
      </x:c>
      <x:c r="D73" s="117" t="str">
        <x:v>https://thumb.wikimedia.org/wikipedia/commons/thumb/e/e1/Kedah_Peak_Sunset_%2835712866865%29.jpg/1280px-Kedah_Peak_Sunset_%2835712866865%29.jpg?utm_source=commons.wikimedia.org&amp;utm_campaign=imageinfo&amp;utm_content=thumbnail</x:v>
      </x:c>
      <x:c r="E73" s="117" t="str">
        <x:v>https://commons.wikimedia.org/wiki/File:Kedah_Peak_Sunset_(35712866865).jpg</x:v>
      </x:c>
      <x:c r="F73" s="117" t="str">
        <x:v>File:Kedah Peak Sunset (35712866865).jpg</x:v>
      </x:c>
      <x:c r="G73" s="117" t="str">
        <x:v>Christopher Harriot from Penang, Malaysia</x:v>
      </x:c>
      <x:c r="H73" s="117" t="str">
        <x:v>CC BY 2.0</x:v>
      </x:c>
      <x:c r="I73" s="117" t="str">
        <x:v>https://creativecommons.org/licenses/by/2.0</x:v>
      </x:c>
      <x:c r="J73" s="117" t="str">
        <x:v>true</x:v>
      </x:c>
      <x:c r="K73" s="117" t="str">
        <x:v>Kedah Peak Sunset</x:v>
      </x:c>
      <x:c r="L73" s="117" t="str">
        <x:v>Exact name or all distinctive place-name tokens in file metadata</x:v>
      </x:c>
      <x:c r="M73" s="117" t="str">
        <x:v>Not visually reviewed</x:v>
      </x:c>
      <x:c r="N73" s="117" t="str">
        <x:v>2026-09-08</x:v>
      </x:c>
    </x:row>
    <x:row r="74" ht="48" customHeight="1">
      <x:c r="A74" s="117" t="str">
        <x:v>MC0061</x:v>
      </x:c>
      <x:c r="B74" s="117" t="str">
        <x:v>Ulu Legong Hot Spring</x:v>
      </x:c>
      <x:c r="C74" s="117" t="n">
        <x:v>1</x:v>
      </x:c>
      <x:c r="D74" s="117" t="str">
        <x:v>https://thumb.wikimedia.org/wikipedia/commons/thumb/e/ee/Hot_spring_%2811271000915%29.jpg/1280px-Hot_spring_%2811271000915%29.jpg?utm_source=commons.wikimedia.org&amp;utm_campaign=imageinfo&amp;utm_content=thumbnail</x:v>
      </x:c>
      <x:c r="E74" s="117" t="str">
        <x:v>https://commons.wikimedia.org/wiki/File:Hot_spring_(11271000915).jpg</x:v>
      </x:c>
      <x:c r="F74" s="117" t="str">
        <x:v>File:Hot spring (11271000915).jpg</x:v>
      </x:c>
      <x:c r="G74" s="117" t="str">
        <x:v>Marufish from Alor Setar, Malaysia</x:v>
      </x:c>
      <x:c r="H74" s="117" t="str">
        <x:v>CC BY-SA 2.0</x:v>
      </x:c>
      <x:c r="I74" s="117" t="str">
        <x:v>https://creativecommons.org/licenses/by-sa/2.0</x:v>
      </x:c>
      <x:c r="J74" s="117" t="str">
        <x:v>true</x:v>
      </x:c>
      <x:c r="K74" s="117" t="str">
        <x:v>Hot spring</x:v>
      </x:c>
      <x:c r="L74" s="117" t="str">
        <x:v>Exact name or all distinctive place-name tokens in file metadata</x:v>
      </x:c>
      <x:c r="M74" s="117" t="str">
        <x:v>Not visually reviewed</x:v>
      </x:c>
      <x:c r="N74" s="117" t="str">
        <x:v>2026-09-08</x:v>
      </x:c>
    </x:row>
    <x:row r="75" ht="48" customHeight="1">
      <x:c r="A75" s="117" t="str">
        <x:v>MC0061</x:v>
      </x:c>
      <x:c r="B75" s="117" t="str">
        <x:v>Ulu Legong Hot Spring</x:v>
      </x:c>
      <x:c r="C75" s="117" t="n">
        <x:v>2</x:v>
      </x:c>
      <x:c r="D75" s="117" t="str">
        <x:v>https://thumb.wikimedia.org/wikipedia/commons/thumb/d/dd/Hot_spring_%2811270838973%29.jpg/1280px-Hot_spring_%2811270838973%29.jpg?utm_source=commons.wikimedia.org&amp;utm_campaign=imageinfo&amp;utm_content=thumbnail</x:v>
      </x:c>
      <x:c r="E75" s="117" t="str">
        <x:v>https://commons.wikimedia.org/wiki/File:Hot_spring_(11270838973).jpg</x:v>
      </x:c>
      <x:c r="F75" s="117" t="str">
        <x:v>File:Hot spring (11270838973).jpg</x:v>
      </x:c>
      <x:c r="G75" s="117" t="str">
        <x:v>Marufish from Alor Setar, Malaysia</x:v>
      </x:c>
      <x:c r="H75" s="117" t="str">
        <x:v>CC BY-SA 2.0</x:v>
      </x:c>
      <x:c r="I75" s="117" t="str">
        <x:v>https://creativecommons.org/licenses/by-sa/2.0</x:v>
      </x:c>
      <x:c r="J75" s="117" t="str">
        <x:v>true</x:v>
      </x:c>
      <x:c r="K75" s="117" t="str">
        <x:v>Hot spring</x:v>
      </x:c>
      <x:c r="L75" s="117" t="str">
        <x:v>Exact name or all distinctive place-name tokens in file metadata</x:v>
      </x:c>
      <x:c r="M75" s="117" t="str">
        <x:v>Not visually reviewed</x:v>
      </x:c>
      <x:c r="N75" s="117" t="str">
        <x:v>2026-09-08</x:v>
      </x:c>
    </x:row>
    <x:row r="76" ht="48" customHeight="1">
      <x:c r="A76" s="117" t="str">
        <x:v>MC0066</x:v>
      </x:c>
      <x:c r="B76" s="117" t="str">
        <x:v>Siti Khadijah Market</x:v>
      </x:c>
      <x:c r="C76" s="117" t="n">
        <x:v>1</x:v>
      </x:c>
      <x:c r="D76" s="117" t="str">
        <x:v>https://thumb.wikimedia.org/wikipedia/commons/thumb/5/5e/Pasar_Besar_Siti_Khadijah%2C_Kota_Bharu%2C_Malaysia_%284014429550%29.jpg/1280px-Pasar_Besar_Siti_Khadijah%2C_Kota_Bharu%2C_Malaysia_%284014429550%29.jpg?utm_source=commons.wikimedia.org&amp;utm_campaign=imageinfo&amp;utm_content=thumbnail</x:v>
      </x:c>
      <x:c r="E76" s="117" t="str">
        <x:v>https://commons.wikimedia.org/wiki/File:Pasar_Besar_Siti_Khadijah,_Kota_Bharu,_Malaysia_(4014429550).jpg</x:v>
      </x:c>
      <x:c r="F76" s="117" t="str">
        <x:v>File:Pasar Besar Siti Khadijah, Kota Bharu, Malaysia (4014429550).jpg</x:v>
      </x:c>
      <x:c r="G76" s="117" t="str">
        <x:v>yeowatzup</x:v>
      </x:c>
      <x:c r="H76" s="117" t="str">
        <x:v>CC BY 2.0</x:v>
      </x:c>
      <x:c r="I76" s="117" t="str">
        <x:v>https://creativecommons.org/licenses/by/2.0</x:v>
      </x:c>
      <x:c r="J76" s="117" t="str">
        <x:v>true</x:v>
      </x:c>
      <x:c r="K76" s="117" t="str">
        <x:v>Pasar Besar Siti Khadijah, Kota Bharu, Malaysia</x:v>
      </x:c>
      <x:c r="L76" s="117" t="str">
        <x:v>Exact name or all distinctive place-name tokens in file metadata</x:v>
      </x:c>
      <x:c r="M76" s="117" t="str">
        <x:v>Not visually reviewed</x:v>
      </x:c>
      <x:c r="N76" s="117" t="str">
        <x:v>2026-09-08</x:v>
      </x:c>
    </x:row>
    <x:row r="77" ht="48" customHeight="1">
      <x:c r="A77" s="117" t="str">
        <x:v>MC0066</x:v>
      </x:c>
      <x:c r="B77" s="117" t="str">
        <x:v>Siti Khadijah Market</x:v>
      </x:c>
      <x:c r="C77" s="117" t="n">
        <x:v>2</x:v>
      </x:c>
      <x:c r="D77" s="117" t="str">
        <x:v>https://thumb.wikimedia.org/wikipedia/commons/thumb/e/ef/Kota_Bharu_Central_Market_-_panoramio.jpg/1280px-Kota_Bharu_Central_Market_-_panoramio.jpg?utm_source=commons.wikimedia.org&amp;utm_campaign=imageinfo&amp;utm_content=thumbnail</x:v>
      </x:c>
      <x:c r="E77" s="117" t="str">
        <x:v>https://commons.wikimedia.org/wiki/File:Kota_Bharu_Central_Market_-_panoramio.jpg</x:v>
      </x:c>
      <x:c r="F77" s="117" t="str">
        <x:v>File:Kota Bharu Central Market - panoramio.jpg</x:v>
      </x:c>
      <x:c r="G77" s="117" t="str">
        <x:v>CK Tan</x:v>
      </x:c>
      <x:c r="H77" s="117" t="str">
        <x:v>CC BY 3.0</x:v>
      </x:c>
      <x:c r="I77" s="117" t="str">
        <x:v>https://creativecommons.org/licenses/by/3.0</x:v>
      </x:c>
      <x:c r="J77" s="117" t="str">
        <x:v>true</x:v>
      </x:c>
      <x:c r="K77" s="117" t="str">
        <x:v>https://web.archive.org/web/20161021170137/http://www.panoramio.com/photo/56510886</x:v>
      </x:c>
      <x:c r="L77" s="117" t="str">
        <x:v>Exact name or all distinctive place-name tokens in file metadata</x:v>
      </x:c>
      <x:c r="M77" s="117" t="str">
        <x:v>Not visually reviewed</x:v>
      </x:c>
      <x:c r="N77" s="117" t="str">
        <x:v>2026-09-08</x:v>
      </x:c>
    </x:row>
    <x:row r="78" ht="48" customHeight="1">
      <x:c r="A78" s="117" t="str">
        <x:v>MC0067</x:v>
      </x:c>
      <x:c r="B78" s="117" t="str">
        <x:v>Istana Jahar</x:v>
      </x:c>
      <x:c r="C78" s="117" t="n">
        <x:v>1</x:v>
      </x:c>
      <x:c r="D78" s="117" t="str">
        <x:v>https://thumb.wikimedia.org/wikipedia/commons/thumb/0/09/Istana_Jahar%2C_Kota_Bharu.jpg/1280px-Istana_Jahar%2C_Kota_Bharu.jpg?utm_source=commons.wikimedia.org&amp;utm_campaign=imageinfo&amp;utm_content=thumbnail</x:v>
      </x:c>
      <x:c r="E78" s="117" t="str">
        <x:v>https://commons.wikimedia.org/wiki/File:Istana_Jahar,_Kota_Bharu.jpg</x:v>
      </x:c>
      <x:c r="F78" s="117" t="str">
        <x:v>File:Istana Jahar, Kota Bharu.jpg</x:v>
      </x:c>
      <x:c r="G78" s="117" t="str">
        <x:v>Comelote</x:v>
      </x:c>
      <x:c r="H78" s="117" t="str">
        <x:v>CC BY-SA 4.0</x:v>
      </x:c>
      <x:c r="I78" s="117" t="str">
        <x:v>https://creativecommons.org/licenses/by-sa/4.0</x:v>
      </x:c>
      <x:c r="J78" s="117" t="str">
        <x:v>true</x:v>
      </x:c>
      <x:c r="K78" s="117" t="str">
        <x:v>Own work</x:v>
      </x:c>
      <x:c r="L78" s="117" t="str">
        <x:v>Exact name or all distinctive place-name tokens in file metadata</x:v>
      </x:c>
      <x:c r="M78" s="117" t="str">
        <x:v>Not visually reviewed</x:v>
      </x:c>
      <x:c r="N78" s="117" t="str">
        <x:v>2026-09-08</x:v>
      </x:c>
    </x:row>
    <x:row r="79" ht="48" customHeight="1">
      <x:c r="A79" s="117" t="str">
        <x:v>MC0067</x:v>
      </x:c>
      <x:c r="B79" s="117" t="str">
        <x:v>Istana Jahar</x:v>
      </x:c>
      <x:c r="C79" s="117" t="n">
        <x:v>2</x:v>
      </x:c>
      <x:c r="D79" s="117" t="str">
        <x:v>https://thumb.wikimedia.org/wikipedia/commons/thumb/7/77/Istana_Jahar%2C_Kota_Bharu%2C_Malaysia_%284014469790%29.jpg/1280px-Istana_Jahar%2C_Kota_Bharu%2C_Malaysia_%284014469790%29.jpg?utm_source=commons.wikimedia.org&amp;utm_campaign=imageinfo&amp;utm_content=thumbnail</x:v>
      </x:c>
      <x:c r="E79" s="117" t="str">
        <x:v>https://commons.wikimedia.org/wiki/File:Istana_Jahar,_Kota_Bharu,_Malaysia_(4014469790).jpg</x:v>
      </x:c>
      <x:c r="F79" s="117" t="str">
        <x:v>File:Istana Jahar, Kota Bharu, Malaysia (4014469790).jpg</x:v>
      </x:c>
      <x:c r="G79" s="117" t="str">
        <x:v>yeowatzup</x:v>
      </x:c>
      <x:c r="H79" s="117" t="str">
        <x:v>CC BY 2.0</x:v>
      </x:c>
      <x:c r="I79" s="117" t="str">
        <x:v>https://creativecommons.org/licenses/by/2.0</x:v>
      </x:c>
      <x:c r="J79" s="117" t="str">
        <x:v>true</x:v>
      </x:c>
      <x:c r="K79" s="117" t="str">
        <x:v>Istana Jahar, Kota Bharu, Malaysia</x:v>
      </x:c>
      <x:c r="L79" s="117" t="str">
        <x:v>Exact name or all distinctive place-name tokens in file metadata</x:v>
      </x:c>
      <x:c r="M79" s="117" t="str">
        <x:v>Not visually reviewed</x:v>
      </x:c>
      <x:c r="N79" s="117" t="str">
        <x:v>2026-09-08</x:v>
      </x:c>
    </x:row>
    <x:row r="80" ht="48" customHeight="1">
      <x:c r="A80" s="117" t="str">
        <x:v>MC0071</x:v>
      </x:c>
      <x:c r="B80" s="117" t="str">
        <x:v>Pantai Irama</x:v>
      </x:c>
      <x:c r="C80" s="117" t="n">
        <x:v>1</x:v>
      </x:c>
      <x:c r="D80" s="117" t="str">
        <x:v>https://upload.wikimedia.org/wikipedia/commons/e/ea/Pantai_Irama%2C_Bachok%2C_Kelantan.jpg?utm_source=commons.wikimedia.org&amp;utm_campaign=imageinfo&amp;utm_content=thumbnail_unscaled</x:v>
      </x:c>
      <x:c r="E80" s="117" t="str">
        <x:v>https://commons.wikimedia.org/wiki/File:Pantai_Irama,_Bachok,_Kelantan.jpg</x:v>
      </x:c>
      <x:c r="F80" s="117" t="str">
        <x:v>File:Pantai Irama, Bachok, Kelantan.jpg</x:v>
      </x:c>
      <x:c r="G80" s="117" t="str">
        <x:v>Azmin/Az08ProGamers</x:v>
      </x:c>
      <x:c r="H80" s="117" t="str">
        <x:v>Public domain</x:v>
      </x:c>
      <x:c r="I80" s="117" t="str"/>
      <x:c r="J80" s="117" t="str">
        <x:v>false</x:v>
      </x:c>
      <x:c r="K80" s="117" t="str">
        <x:v>My friend (Azmin) on WhatsApp Message</x:v>
      </x:c>
      <x:c r="L80" s="117" t="str">
        <x:v>Exact name or all distinctive place-name tokens in file metadata</x:v>
      </x:c>
      <x:c r="M80" s="117" t="str">
        <x:v>Not visually reviewed</x:v>
      </x:c>
      <x:c r="N80" s="117" t="str">
        <x:v>2026-09-08</x:v>
      </x:c>
    </x:row>
    <x:row r="81" ht="48" customHeight="1">
      <x:c r="A81" s="117" t="str">
        <x:v>MC0071</x:v>
      </x:c>
      <x:c r="B81" s="117" t="str">
        <x:v>Pantai Irama</x:v>
      </x:c>
      <x:c r="C81" s="117" t="n">
        <x:v>2</x:v>
      </x:c>
      <x:c r="D81" s="117" t="str">
        <x:v>https://upload.wikimedia.org/wikipedia/commons/a/a6/Ahmad_Yakob_MB_Kelantan.jpg?utm_source=commons.wikimedia.org&amp;utm_campaign=imageinfo&amp;utm_content=thumbnail_unscaled</x:v>
      </x:c>
      <x:c r="E81" s="117" t="str">
        <x:v>https://commons.wikimedia.org/wiki/File:Ahmad_Yakob_MB_Kelantan.jpg</x:v>
      </x:c>
      <x:c r="F81" s="117" t="str">
        <x:v>File:Ahmad Yakob MB Kelantan.jpg</x:v>
      </x:c>
      <x:c r="G81" s="117" t="str">
        <x:v>Malayan Law</x:v>
      </x:c>
      <x:c r="H81" s="117" t="str">
        <x:v>CC BY-SA 4.0</x:v>
      </x:c>
      <x:c r="I81" s="117" t="str">
        <x:v>https://creativecommons.org/licenses/by-sa/4.0</x:v>
      </x:c>
      <x:c r="J81" s="117" t="str">
        <x:v>true</x:v>
      </x:c>
      <x:c r="K81" s="117" t="str">
        <x:v>Own work</x:v>
      </x:c>
      <x:c r="L81" s="117" t="str">
        <x:v>Exact name or all distinctive place-name tokens in file metadata</x:v>
      </x:c>
      <x:c r="M81" s="117" t="str">
        <x:v>Not visually reviewed</x:v>
      </x:c>
      <x:c r="N81" s="117" t="str">
        <x:v>2026-09-08</x:v>
      </x:c>
    </x:row>
    <x:row r="82" ht="48" customHeight="1">
      <x:c r="A82" s="117" t="str">
        <x:v>MC0072</x:v>
      </x:c>
      <x:c r="B82" s="117" t="str">
        <x:v>Gunung Stong State Park</x:v>
      </x:c>
      <x:c r="C82" s="117" t="n">
        <x:v>1</x:v>
      </x:c>
      <x:c r="D82" s="117" t="str">
        <x:v>https://upload.wikimedia.org/wikipedia/commons/0/0c/TMEarthCamp2014.png?utm_source=commons.wikimedia.org&amp;utm_campaign=imageinfo&amp;utm_content=thumbnail_unscaled</x:v>
      </x:c>
      <x:c r="E82" s="117" t="str">
        <x:v>https://commons.wikimedia.org/wiki/File:TMEarthCamp2014.png</x:v>
      </x:c>
      <x:c r="F82" s="117" t="str">
        <x:v>File:TMEarthCamp2014.png</x:v>
      </x:c>
      <x:c r="G82" s="117" t="str">
        <x:v>NealAtIPG</x:v>
      </x:c>
      <x:c r="H82" s="117" t="str">
        <x:v>CC BY-SA 4.0</x:v>
      </x:c>
      <x:c r="I82" s="117" t="str">
        <x:v>https://creativecommons.org/licenses/by-sa/4.0</x:v>
      </x:c>
      <x:c r="J82" s="117" t="str">
        <x:v>true</x:v>
      </x:c>
      <x:c r="K82" s="117" t="str">
        <x:v>Own work</x:v>
      </x:c>
      <x:c r="L82" s="117" t="str">
        <x:v>Exact name or all distinctive place-name tokens in file metadata</x:v>
      </x:c>
      <x:c r="M82" s="117" t="str">
        <x:v>Not visually reviewed</x:v>
      </x:c>
      <x:c r="N82" s="117" t="str">
        <x:v>2026-09-08</x:v>
      </x:c>
    </x:row>
    <x:row r="83" ht="48" customHeight="1">
      <x:c r="A83" s="117" t="str">
        <x:v>MC0074</x:v>
      </x:c>
      <x:c r="B83" s="117" t="str">
        <x:v>Muhammadi Mosque</x:v>
      </x:c>
      <x:c r="C83" s="117" t="n">
        <x:v>1</x:v>
      </x:c>
      <x:c r="D83" s="117" t="str">
        <x:v>https://thumb.wikimedia.org/wikipedia/commons/thumb/a/a3/Masjid_Muhammadi_Kota_Bharu.jpg/1280px-Masjid_Muhammadi_Kota_Bharu.jpg?utm_source=commons.wikimedia.org&amp;utm_campaign=imageinfo&amp;utm_content=thumbnail</x:v>
      </x:c>
      <x:c r="E83" s="117" t="str">
        <x:v>https://commons.wikimedia.org/wiki/File:Masjid_Muhammadi_Kota_Bharu.jpg</x:v>
      </x:c>
      <x:c r="F83" s="117" t="str">
        <x:v>File:Masjid Muhammadi Kota Bharu.jpg</x:v>
      </x:c>
      <x:c r="G83" s="117" t="str">
        <x:v>Lim Natee</x:v>
      </x:c>
      <x:c r="H83" s="117" t="str">
        <x:v>CC BY-SA 4.0</x:v>
      </x:c>
      <x:c r="I83" s="117" t="str">
        <x:v>https://creativecommons.org/licenses/by-sa/4.0</x:v>
      </x:c>
      <x:c r="J83" s="117" t="str">
        <x:v>true</x:v>
      </x:c>
      <x:c r="K83" s="117" t="str">
        <x:v>Own work</x:v>
      </x:c>
      <x:c r="L83" s="117" t="str">
        <x:v>Exact name or all distinctive place-name tokens in file metadata</x:v>
      </x:c>
      <x:c r="M83" s="117" t="str">
        <x:v>Not visually reviewed</x:v>
      </x:c>
      <x:c r="N83" s="117" t="str">
        <x:v>2026-09-08</x:v>
      </x:c>
    </x:row>
    <x:row r="84" ht="48" customHeight="1">
      <x:c r="A84" s="117" t="str">
        <x:v>MC0074</x:v>
      </x:c>
      <x:c r="B84" s="117" t="str">
        <x:v>Muhammadi Mosque</x:v>
      </x:c>
      <x:c r="C84" s="117" t="n">
        <x:v>2</x:v>
      </x:c>
      <x:c r="D84" s="117" t="str">
        <x:v>https://thumb.wikimedia.org/wikipedia/commons/thumb/e/e4/Masjid_Muhammadi_KB_4.jpg/1280px-Masjid_Muhammadi_KB_4.jpg?utm_source=commons.wikimedia.org&amp;utm_campaign=imageinfo&amp;utm_content=thumbnail</x:v>
      </x:c>
      <x:c r="E84" s="117" t="str">
        <x:v>https://commons.wikimedia.org/wiki/File:Masjid_Muhammadi_KB_4.jpg</x:v>
      </x:c>
      <x:c r="F84" s="117" t="str">
        <x:v>File:Masjid Muhammadi KB 4.jpg</x:v>
      </x:c>
      <x:c r="G84" s="117" t="str">
        <x:v>Zahirul Nukman</x:v>
      </x:c>
      <x:c r="H84" s="117" t="str">
        <x:v>CC BY-SA 4.0</x:v>
      </x:c>
      <x:c r="I84" s="117" t="str">
        <x:v>https://creativecommons.org/licenses/by-sa/4.0</x:v>
      </x:c>
      <x:c r="J84" s="117" t="str">
        <x:v>true</x:v>
      </x:c>
      <x:c r="K84" s="117" t="str">
        <x:v>Own work</x:v>
      </x:c>
      <x:c r="L84" s="117" t="str">
        <x:v>Exact name or all distinctive place-name tokens in file metadata</x:v>
      </x:c>
      <x:c r="M84" s="117" t="str">
        <x:v>Not visually reviewed</x:v>
      </x:c>
      <x:c r="N84" s="117" t="str">
        <x:v>2026-09-08</x:v>
      </x:c>
    </x:row>
    <x:row r="85" ht="48" customHeight="1">
      <x:c r="A85" s="117" t="str">
        <x:v>MC0080</x:v>
      </x:c>
      <x:c r="B85" s="117" t="str">
        <x:v>Jeram Linang</x:v>
      </x:c>
      <x:c r="C85" s="117" t="n">
        <x:v>1</x:v>
      </x:c>
      <x:c r="D85" s="117" t="str">
        <x:v>https://upload.wikimedia.org/wikipedia/commons/5/51/Jeram_mengaji_1.0.jpg?utm_source=commons.wikimedia.org&amp;utm_campaign=imageinfo&amp;utm_content=thumbnail_unscaled</x:v>
      </x:c>
      <x:c r="E85" s="117" t="str">
        <x:v>https://commons.wikimedia.org/wiki/File:Jeram_mengaji_1.0.jpg</x:v>
      </x:c>
      <x:c r="F85" s="117" t="str">
        <x:v>File:Jeram mengaji 1.0.jpg</x:v>
      </x:c>
      <x:c r="G85" s="117" t="str">
        <x:v>Majlis Daerah Pasir Puteh</x:v>
      </x:c>
      <x:c r="H85" s="117" t="str">
        <x:v>CC0</x:v>
      </x:c>
      <x:c r="I85" s="117" t="str">
        <x:v>http://creativecommons.org/publicdomain/zero/1.0/deed.en</x:v>
      </x:c>
      <x:c r="J85" s="117" t="str">
        <x:v>false</x:v>
      </x:c>
      <x:c r="K85" s="117" t="str">
        <x:v>http://www.mdpputeh.gov.my/ms/pelawat/destinasi-menarik/jeram-mengaji-jeram-mak-nenek-selising</x:v>
      </x:c>
      <x:c r="L85" s="117" t="str">
        <x:v>Exact name or all distinctive place-name tokens in file metadata</x:v>
      </x:c>
      <x:c r="M85" s="117" t="str">
        <x:v>Not visually reviewed</x:v>
      </x:c>
      <x:c r="N85" s="117" t="str">
        <x:v>2026-09-08</x:v>
      </x:c>
    </x:row>
    <x:row r="86" ht="48" customHeight="1">
      <x:c r="A86" s="117" t="str">
        <x:v>MC0080</x:v>
      </x:c>
      <x:c r="B86" s="117" t="str">
        <x:v>Jeram Linang</x:v>
      </x:c>
      <x:c r="C86" s="117" t="n">
        <x:v>2</x:v>
      </x:c>
      <x:c r="D86" s="117" t="str">
        <x:v>https://upload.wikimedia.org/wikipedia/commons/f/f0/Jeram_mengaji_2_0.jpg?utm_source=commons.wikimedia.org&amp;utm_campaign=imageinfo&amp;utm_content=thumbnail_unscaled</x:v>
      </x:c>
      <x:c r="E86" s="117" t="str">
        <x:v>https://commons.wikimedia.org/wiki/File:Jeram_mengaji_2_0.jpg</x:v>
      </x:c>
      <x:c r="F86" s="117" t="str">
        <x:v>File:Jeram mengaji 2 0.jpg</x:v>
      </x:c>
      <x:c r="G86" s="117" t="str">
        <x:v>Majlis Daerah Pasir Puteh</x:v>
      </x:c>
      <x:c r="H86" s="117" t="str">
        <x:v>CC0</x:v>
      </x:c>
      <x:c r="I86" s="117" t="str">
        <x:v>http://creativecommons.org/publicdomain/zero/1.0/deed.en</x:v>
      </x:c>
      <x:c r="J86" s="117" t="str">
        <x:v>false</x:v>
      </x:c>
      <x:c r="K86" s="117" t="str">
        <x:v>http://www.mdpputeh.gov.my/ms/pelawat/destinasi-menarik/jeram-mengaji-jeram-mak-nenek-selising</x:v>
      </x:c>
      <x:c r="L86" s="117" t="str">
        <x:v>Exact name or all distinctive place-name tokens in file metadata</x:v>
      </x:c>
      <x:c r="M86" s="117" t="str">
        <x:v>Not visually reviewed</x:v>
      </x:c>
      <x:c r="N86" s="117" t="str">
        <x:v>2026-09-08</x:v>
      </x:c>
    </x:row>
    <x:row r="87" ht="48" customHeight="1">
      <x:c r="A87" s="117" t="str">
        <x:v>MC0081</x:v>
      </x:c>
      <x:c r="B87" s="117" t="str">
        <x:v>Tok Bali Beach</x:v>
      </x:c>
      <x:c r="C87" s="117" t="n">
        <x:v>1</x:v>
      </x:c>
      <x:c r="D87" s="117" t="str">
        <x:v>https://upload.wikimedia.org/wikipedia/commons/5/59/Tok_Bali_Beach.jpg?utm_source=commons.wikimedia.org&amp;utm_campaign=imageinfo&amp;utm_content=thumbnail_unscaled</x:v>
      </x:c>
      <x:c r="E87" s="117" t="str">
        <x:v>https://commons.wikimedia.org/wiki/File:Tok_Bali_Beach.jpg</x:v>
      </x:c>
      <x:c r="F87" s="117" t="str">
        <x:v>File:Tok Bali Beach.jpg</x:v>
      </x:c>
      <x:c r="G87" s="117" t="str">
        <x:v>Malayan Law</x:v>
      </x:c>
      <x:c r="H87" s="117" t="str">
        <x:v>CC BY 4.0</x:v>
      </x:c>
      <x:c r="I87" s="117" t="str">
        <x:v>https://creativecommons.org/licenses/by/4.0</x:v>
      </x:c>
      <x:c r="J87" s="117" t="str">
        <x:v>true</x:v>
      </x:c>
      <x:c r="K87" s="117" t="str">
        <x:v>Own work</x:v>
      </x:c>
      <x:c r="L87" s="117" t="str">
        <x:v>Exact name or all distinctive place-name tokens in file metadata</x:v>
      </x:c>
      <x:c r="M87" s="117" t="str">
        <x:v>Not visually reviewed</x:v>
      </x:c>
      <x:c r="N87" s="117" t="str">
        <x:v>2026-09-08</x:v>
      </x:c>
    </x:row>
    <x:row r="88" ht="48" customHeight="1">
      <x:c r="A88" s="117" t="str">
        <x:v>MC0081</x:v>
      </x:c>
      <x:c r="B88" s="117" t="str">
        <x:v>Tok Bali Beach</x:v>
      </x:c>
      <x:c r="C88" s="117" t="n">
        <x:v>2</x:v>
      </x:c>
      <x:c r="D88" s="117" t="str">
        <x:v>https://upload.wikimedia.org/wikipedia/commons/4/43/Pantai_Tok_Bali_waktu_senja.jpg?utm_source=commons.wikimedia.org&amp;utm_campaign=imageinfo&amp;utm_content=thumbnail_unscaled</x:v>
      </x:c>
      <x:c r="E88" s="117" t="str">
        <x:v>https://commons.wikimedia.org/wiki/File:Pantai_Tok_Bali_waktu_senja.jpg</x:v>
      </x:c>
      <x:c r="F88" s="117" t="str">
        <x:v>File:Pantai Tok Bali waktu senja.jpg</x:v>
      </x:c>
      <x:c r="G88" s="117" t="str">
        <x:v>Malayan Law</x:v>
      </x:c>
      <x:c r="H88" s="117" t="str">
        <x:v>CC BY-SA 4.0</x:v>
      </x:c>
      <x:c r="I88" s="117" t="str">
        <x:v>https://creativecommons.org/licenses/by-sa/4.0</x:v>
      </x:c>
      <x:c r="J88" s="117" t="str">
        <x:v>true</x:v>
      </x:c>
      <x:c r="K88" s="117" t="str">
        <x:v>Own work</x:v>
      </x:c>
      <x:c r="L88" s="117" t="str">
        <x:v>Exact name or all distinctive place-name tokens in file metadata</x:v>
      </x:c>
      <x:c r="M88" s="117" t="str">
        <x:v>Not visually reviewed</x:v>
      </x:c>
      <x:c r="N88" s="117" t="str">
        <x:v>2026-09-08</x:v>
      </x:c>
    </x:row>
    <x:row r="89" ht="48" customHeight="1">
      <x:c r="A89" s="117" t="str">
        <x:v>MC0088</x:v>
      </x:c>
      <x:c r="B89" s="117" t="str">
        <x:v>Lata Rek</x:v>
      </x:c>
      <x:c r="C89" s="117" t="n">
        <x:v>1</x:v>
      </x:c>
      <x:c r="D89" s="117" t="str">
        <x:v>https://thumb.wikimedia.org/wikipedia/commons/thumb/8/88/Lata_Rek%2C_Kampung_Laloh%2C_Kuala_Krai%2C_Kelantan_-_panoramio_-_Gula_Kapas_%281%29.jpg/1280px-Lata_Rek%2C_Kampung_Laloh%2C_Kuala_Krai%2C_Kelantan_-_panoramio_-_Gula_Kapas_%281%29.jpg?utm_source=commons.wikimedia.org&amp;utm_campaign=imageinfo&amp;utm_content=thumbnail</x:v>
      </x:c>
      <x:c r="E89" s="117" t="str">
        <x:v>https://commons.wikimedia.org/wiki/File:Lata_Rek,_Kampung_Laloh,_Kuala_Krai,_Kelantan_-_panoramio_-_Gula_Kapas_(1).jpg</x:v>
      </x:c>
      <x:c r="F89" s="117" t="str">
        <x:v>File:Lata Rek, Kampung Laloh, Kuala Krai, Kelantan - panoramio - Gula Kapas (1).jpg</x:v>
      </x:c>
      <x:c r="G89" s="117" t="str">
        <x:v>Gula Kapas</x:v>
      </x:c>
      <x:c r="H89" s="117" t="str">
        <x:v>CC BY 3.0</x:v>
      </x:c>
      <x:c r="I89" s="117" t="str">
        <x:v>https://creativecommons.org/licenses/by/3.0</x:v>
      </x:c>
      <x:c r="J89" s="117" t="str">
        <x:v>true</x:v>
      </x:c>
      <x:c r="K89" s="117" t="str">
        <x:v>https://web.archive.org/web/20161016211729/http://www.panoramio.com/photo/48195082</x:v>
      </x:c>
      <x:c r="L89" s="117" t="str">
        <x:v>Exact name or all distinctive place-name tokens in file metadata</x:v>
      </x:c>
      <x:c r="M89" s="117" t="str">
        <x:v>Not visually reviewed</x:v>
      </x:c>
      <x:c r="N89" s="117" t="str">
        <x:v>2026-09-08</x:v>
      </x:c>
    </x:row>
    <x:row r="90" ht="48" customHeight="1">
      <x:c r="A90" s="117" t="str">
        <x:v>MC0088</x:v>
      </x:c>
      <x:c r="B90" s="117" t="str">
        <x:v>Lata Rek</x:v>
      </x:c>
      <x:c r="C90" s="117" t="n">
        <x:v>2</x:v>
      </x:c>
      <x:c r="D90" s="117" t="str">
        <x:v>https://thumb.wikimedia.org/wikipedia/commons/thumb/1/11/Lata_Rek%2C_Kampung_Laloh%2C_Kuala_Krai%2C_Kelantan_-_panoramio.jpg/1280px-Lata_Rek%2C_Kampung_Laloh%2C_Kuala_Krai%2C_Kelantan_-_panoramio.jpg?utm_source=commons.wikimedia.org&amp;utm_campaign=imageinfo&amp;utm_content=thumbnail</x:v>
      </x:c>
      <x:c r="E90" s="117" t="str">
        <x:v>https://commons.wikimedia.org/wiki/File:Lata_Rek,_Kampung_Laloh,_Kuala_Krai,_Kelantan_-_panoramio.jpg</x:v>
      </x:c>
      <x:c r="F90" s="117" t="str">
        <x:v>File:Lata Rek, Kampung Laloh, Kuala Krai, Kelantan - panoramio.jpg</x:v>
      </x:c>
      <x:c r="G90" s="117" t="str">
        <x:v>Gula Kapas</x:v>
      </x:c>
      <x:c r="H90" s="117" t="str">
        <x:v>CC BY 3.0</x:v>
      </x:c>
      <x:c r="I90" s="117" t="str">
        <x:v>https://creativecommons.org/licenses/by/3.0</x:v>
      </x:c>
      <x:c r="J90" s="117" t="str">
        <x:v>true</x:v>
      </x:c>
      <x:c r="K90" s="117" t="str">
        <x:v>https://web.archive.org/web/20161016221632/http://www.panoramio.com/photo/48194610</x:v>
      </x:c>
      <x:c r="L90" s="117" t="str">
        <x:v>Exact name or all distinctive place-name tokens in file metadata</x:v>
      </x:c>
      <x:c r="M90" s="117" t="str">
        <x:v>Not visually reviewed</x:v>
      </x:c>
      <x:c r="N90" s="117" t="str">
        <x:v>2026-09-08</x:v>
      </x:c>
    </x:row>
    <x:row r="91" ht="48" customHeight="1">
      <x:c r="A91" s="117" t="str">
        <x:v>MC0090</x:v>
      </x:c>
      <x:c r="B91" s="117" t="str">
        <x:v>Pengkalan Balak</x:v>
      </x:c>
      <x:c r="C91" s="117" t="n">
        <x:v>1</x:v>
      </x:c>
      <x:c r="D91" s="117" t="str">
        <x:v>https://upload.wikimedia.org/wikipedia/commons/e/ef/Sunset_at_Pengkalan_Balak.JPG?utm_source=commons.wikimedia.org&amp;utm_campaign=imageinfo&amp;utm_content=thumbnail_unscaled</x:v>
      </x:c>
      <x:c r="E91" s="117" t="str">
        <x:v>https://commons.wikimedia.org/wiki/File:Sunset_at_Pengkalan_Balak.JPG</x:v>
      </x:c>
      <x:c r="F91" s="117" t="str">
        <x:v>File:Sunset at Pengkalan Balak.JPG</x:v>
      </x:c>
      <x:c r="G91" s="117" t="str">
        <x:v>Adiput at English Wikipedia</x:v>
      </x:c>
      <x:c r="H91" s="117" t="str">
        <x:v>Public domain</x:v>
      </x:c>
      <x:c r="I91" s="117" t="str"/>
      <x:c r="J91" s="117" t="str">
        <x:v>false</x:v>
      </x:c>
      <x:c r="K91" s="117" t="str">
        <x:v>Own work</x:v>
      </x:c>
      <x:c r="L91" s="117" t="str">
        <x:v>Exact name or all distinctive place-name tokens in file metadata</x:v>
      </x:c>
      <x:c r="M91" s="117" t="str">
        <x:v>Not visually reviewed</x:v>
      </x:c>
      <x:c r="N91" s="117" t="str">
        <x:v>2026-09-08</x:v>
      </x:c>
    </x:row>
    <x:row r="92" ht="48" customHeight="1">
      <x:c r="A92" s="117" t="str">
        <x:v>MC0090</x:v>
      </x:c>
      <x:c r="B92" s="117" t="str">
        <x:v>Pengkalan Balak</x:v>
      </x:c>
      <x:c r="C92" s="117" t="n">
        <x:v>2</x:v>
      </x:c>
      <x:c r="D92" s="117" t="str">
        <x:v>https://upload.wikimedia.org/wikipedia/commons/4/43/Coconut_trees_at_Pengkalan_Balak_beach.JPG?utm_source=commons.wikimedia.org&amp;utm_campaign=imageinfo&amp;utm_content=thumbnail_unscaled</x:v>
      </x:c>
      <x:c r="E92" s="117" t="str">
        <x:v>https://commons.wikimedia.org/wiki/File:Coconut_trees_at_Pengkalan_Balak_beach.JPG</x:v>
      </x:c>
      <x:c r="F92" s="117" t="str">
        <x:v>File:Coconut trees at Pengkalan Balak beach.JPG</x:v>
      </x:c>
      <x:c r="G92" s="117" t="str">
        <x:v>Adiput at en.wikipedia</x:v>
      </x:c>
      <x:c r="H92" s="117" t="str">
        <x:v>Public domain</x:v>
      </x:c>
      <x:c r="I92" s="117" t="str"/>
      <x:c r="J92" s="117" t="str">
        <x:v>false</x:v>
      </x:c>
      <x:c r="K92" s="117" t="str">
        <x:v>Own workTransferred from en.wikipedia</x:v>
      </x:c>
      <x:c r="L92" s="117" t="str">
        <x:v>Exact name or all distinctive place-name tokens in file metadata</x:v>
      </x:c>
      <x:c r="M92" s="117" t="str">
        <x:v>Not visually reviewed</x:v>
      </x:c>
      <x:c r="N92" s="117" t="str">
        <x:v>2026-09-08</x:v>
      </x:c>
    </x:row>
    <x:row r="93" ht="48" customHeight="1">
      <x:c r="A93" s="117" t="str">
        <x:v>MC0091</x:v>
      </x:c>
      <x:c r="B93" s="117" t="str">
        <x:v>A Famosa</x:v>
      </x:c>
      <x:c r="C93" s="117" t="n">
        <x:v>1</x:v>
      </x:c>
      <x:c r="D93" s="117" t="str">
        <x:v>https://thumb.wikimedia.org/wikipedia/commons/thumb/9/94/Melaka-Porta-de-Santiago-2Cimg2194.jpg/1280px-Melaka-Porta-de-Santiago-2Cimg2194.jpg?utm_source=commons.wikimedia.org&amp;utm_campaign=imageinfo&amp;utm_content=thumbnail</x:v>
      </x:c>
      <x:c r="E93" s="117" t="str">
        <x:v>https://commons.wikimedia.org/wiki/File:Melaka-Porta-de-Santiago-2Cimg2194.jpg</x:v>
      </x:c>
      <x:c r="F93" s="117" t="str">
        <x:v>File:Melaka-Porta-de-Santiago-2Cimg2194.jpg</x:v>
      </x:c>
      <x:c r="G93" s="117" t="str">
        <x:v>User:Vmenkov</x:v>
      </x:c>
      <x:c r="H93" s="117" t="str">
        <x:v>CC BY-SA 3.0</x:v>
      </x:c>
      <x:c r="I93" s="117" t="str">
        <x:v>http://creativecommons.org/licenses/by-sa/3.0/</x:v>
      </x:c>
      <x:c r="J93" s="117" t="str">
        <x:v>true</x:v>
      </x:c>
      <x:c r="K93" s="117" t="str">
        <x:v>Self-photographed</x:v>
      </x:c>
      <x:c r="L93" s="117" t="str">
        <x:v>Exact name or all distinctive place-name tokens in file metadata</x:v>
      </x:c>
      <x:c r="M93" s="117" t="str">
        <x:v>Not visually reviewed</x:v>
      </x:c>
      <x:c r="N93" s="117" t="str">
        <x:v>2026-09-08</x:v>
      </x:c>
    </x:row>
    <x:row r="94" ht="48" customHeight="1">
      <x:c r="A94" s="117" t="str">
        <x:v>MC0091</x:v>
      </x:c>
      <x:c r="B94" s="117" t="str">
        <x:v>A Famosa</x:v>
      </x:c>
      <x:c r="C94" s="117" t="n">
        <x:v>2</x:v>
      </x:c>
      <x:c r="D94" s="117" t="str">
        <x:v>https://thumb.wikimedia.org/wikipedia/commons/thumb/3/3b/A_Famosa_Fortress_Melaka_2.jpg/1280px-A_Famosa_Fortress_Melaka_2.jpg?utm_source=commons.wikimedia.org&amp;utm_campaign=imageinfo&amp;utm_content=thumbnail</x:v>
      </x:c>
      <x:c r="E94" s="117" t="str">
        <x:v>https://commons.wikimedia.org/wiki/File:A_Famosa_Fortress_Melaka_2.jpg</x:v>
      </x:c>
      <x:c r="F94" s="117" t="str">
        <x:v>File:A Famosa Fortress Melaka 2.jpg</x:v>
      </x:c>
      <x:c r="G94" s="117" t="str">
        <x:v>Philip Nalangan</x:v>
      </x:c>
      <x:c r="H94" s="117" t="str">
        <x:v>CC BY 4.0</x:v>
      </x:c>
      <x:c r="I94" s="117" t="str">
        <x:v>https://creativecommons.org/licenses/by/4.0</x:v>
      </x:c>
      <x:c r="J94" s="117" t="str">
        <x:v>true</x:v>
      </x:c>
      <x:c r="K94" s="117" t="str">
        <x:v>Own work</x:v>
      </x:c>
      <x:c r="L94" s="117" t="str">
        <x:v>Exact name or all distinctive place-name tokens in file metadata</x:v>
      </x:c>
      <x:c r="M94" s="117" t="str">
        <x:v>Not visually reviewed</x:v>
      </x:c>
      <x:c r="N94" s="117" t="str">
        <x:v>2026-09-08</x:v>
      </x:c>
    </x:row>
    <x:row r="95" ht="48" customHeight="1">
      <x:c r="A95" s="117" t="str">
        <x:v>MC0093</x:v>
      </x:c>
      <x:c r="B95" s="117" t="str">
        <x:v>Jonker Walk</x:v>
      </x:c>
      <x:c r="C95" s="117" t="n">
        <x:v>1</x:v>
      </x:c>
      <x:c r="D95" s="117" t="str">
        <x:v>https://thumb.wikimedia.org/wikipedia/commons/thumb/c/cd/Jonker_Walk_April_2022.jpg/1280px-Jonker_Walk_April_2022.jpg?utm_source=commons.wikimedia.org&amp;utm_campaign=imageinfo&amp;utm_content=thumbnail</x:v>
      </x:c>
      <x:c r="E95" s="117" t="str">
        <x:v>https://commons.wikimedia.org/wiki/File:Jonker_Walk_April_2022.jpg</x:v>
      </x:c>
      <x:c r="F95" s="117" t="str">
        <x:v>File:Jonker Walk April 2022.jpg</x:v>
      </x:c>
      <x:c r="G95" s="117" t="str">
        <x:v>Renamed user 8acf31ebc6096374fac7208a57c76440</x:v>
      </x:c>
      <x:c r="H95" s="117" t="str">
        <x:v>CC0</x:v>
      </x:c>
      <x:c r="I95" s="117" t="str">
        <x:v>http://creativecommons.org/publicdomain/zero/1.0/deed.en</x:v>
      </x:c>
      <x:c r="J95" s="117" t="str">
        <x:v>false</x:v>
      </x:c>
      <x:c r="K95" s="117" t="str">
        <x:v>Own work</x:v>
      </x:c>
      <x:c r="L95" s="117" t="str">
        <x:v>Exact name or all distinctive place-name tokens in file metadata</x:v>
      </x:c>
      <x:c r="M95" s="117" t="str">
        <x:v>Not visually reviewed</x:v>
      </x:c>
      <x:c r="N95" s="117" t="str">
        <x:v>2026-09-08</x:v>
      </x:c>
    </x:row>
    <x:row r="96" ht="48" customHeight="1">
      <x:c r="A96" s="117" t="str">
        <x:v>MC0093</x:v>
      </x:c>
      <x:c r="B96" s="117" t="str">
        <x:v>Jonker Walk</x:v>
      </x:c>
      <x:c r="C96" s="117" t="n">
        <x:v>2</x:v>
      </x:c>
      <x:c r="D96" s="117" t="str">
        <x:v>https://thumb.wikimedia.org/wikipedia/commons/thumb/c/c0/Jonker_Street_Night_Market_in_Melaka%2C_Malaysia.jpg/1280px-Jonker_Street_Night_Market_in_Melaka%2C_Malaysia.jpg?utm_source=commons.wikimedia.org&amp;utm_campaign=imageinfo&amp;utm_content=thumbnail</x:v>
      </x:c>
      <x:c r="E96" s="117" t="str">
        <x:v>https://commons.wikimedia.org/wiki/File:Jonker_Street_Night_Market_in_Melaka,_Malaysia.jpg</x:v>
      </x:c>
      <x:c r="F96" s="117" t="str">
        <x:v>File:Jonker Street Night Market in Melaka, Malaysia.jpg</x:v>
      </x:c>
      <x:c r="G96" s="117" t="str">
        <x:v>Philip Mallis</x:v>
      </x:c>
      <x:c r="H96" s="117" t="str">
        <x:v>CC BY-SA 2.0</x:v>
      </x:c>
      <x:c r="I96" s="117" t="str">
        <x:v>https://creativecommons.org/licenses/by-sa/2.0</x:v>
      </x:c>
      <x:c r="J96" s="117" t="str">
        <x:v>true</x:v>
      </x:c>
      <x:c r="K96" s="117" t="str">
        <x:v>https://www.flickr.com/photos/philipmallis/53899339672/</x:v>
      </x:c>
      <x:c r="L96" s="117" t="str">
        <x:v>Exact name or all distinctive place-name tokens in file metadata</x:v>
      </x:c>
      <x:c r="M96" s="117" t="str">
        <x:v>Not visually reviewed</x:v>
      </x:c>
      <x:c r="N96" s="117" t="str">
        <x:v>2026-09-08</x:v>
      </x:c>
    </x:row>
    <x:row r="97" ht="48" customHeight="1">
      <x:c r="A97" s="117" t="str">
        <x:v>MC0095</x:v>
      </x:c>
      <x:c r="B97" s="117" t="str">
        <x:v>Melaka Sultanate Palace Museum</x:v>
      </x:c>
      <x:c r="C97" s="117" t="n">
        <x:v>1</x:v>
      </x:c>
      <x:c r="D97" s="117" t="str">
        <x:v>https://upload.wikimedia.org/wikipedia/commons/f/f3/Lakaran_Hang_Lekir.jpg?utm_source=commons.wikimedia.org&amp;utm_campaign=imageinfo&amp;utm_content=thumbnail_unscaled</x:v>
      </x:c>
      <x:c r="E97" s="117" t="str">
        <x:v>https://commons.wikimedia.org/wiki/File:Lakaran_Hang_Lekir.jpg</x:v>
      </x:c>
      <x:c r="F97" s="117" t="str">
        <x:v>File:Lakaran Hang Lekir.jpg</x:v>
      </x:c>
      <x:c r="G97" s="117" t="str">
        <x:v>Unknown authorUnknown author</x:v>
      </x:c>
      <x:c r="H97" s="117" t="str">
        <x:v>CC0</x:v>
      </x:c>
      <x:c r="I97" s="117" t="str">
        <x:v>http://creativecommons.org/publicdomain/zero/1.0/deed.en</x:v>
      </x:c>
      <x:c r="J97" s="117" t="str">
        <x:v>false</x:v>
      </x:c>
      <x:c r="K97" s="117" t="str">
        <x:v>The Royal Orchard</x:v>
      </x:c>
      <x:c r="L97" s="117" t="str">
        <x:v>Exact name or all distinctive place-name tokens in file metadata</x:v>
      </x:c>
      <x:c r="M97" s="117" t="str">
        <x:v>Not visually reviewed</x:v>
      </x:c>
      <x:c r="N97" s="117" t="str">
        <x:v>2026-09-08</x:v>
      </x:c>
    </x:row>
    <x:row r="98" ht="48" customHeight="1">
      <x:c r="A98" s="117" t="str">
        <x:v>MC0097</x:v>
      </x:c>
      <x:c r="B98" s="117" t="str">
        <x:v>Cheng Hoon Teng Temple</x:v>
      </x:c>
      <x:c r="C98" s="117" t="n">
        <x:v>1</x:v>
      </x:c>
      <x:c r="D98" s="117" t="str">
        <x:v>https://upload.wikimedia.org/wikipedia/commons/2/24/ChengHoonTeng.jpg?utm_source=commons.wikimedia.org&amp;utm_campaign=imageinfo&amp;utm_content=thumbnail_unscaled</x:v>
      </x:c>
      <x:c r="E98" s="117" t="str">
        <x:v>https://commons.wikimedia.org/wiki/File:ChengHoonTeng.jpg</x:v>
      </x:c>
      <x:c r="F98" s="117" t="str">
        <x:v>File:ChengHoonTeng.jpg</x:v>
      </x:c>
      <x:c r="G98" s="117" t="str"/>
      <x:c r="H98" s="117" t="str">
        <x:v>CC BY 2.0</x:v>
      </x:c>
      <x:c r="I98" s="117" t="str">
        <x:v>https://creativecommons.org/licenses/by/2.0</x:v>
      </x:c>
      <x:c r="J98" s="117" t="str">
        <x:v>true</x:v>
      </x:c>
      <x:c r="K98" s="117" t="str"/>
      <x:c r="L98" s="117" t="str">
        <x:v>Exact name or all distinctive place-name tokens in file metadata</x:v>
      </x:c>
      <x:c r="M98" s="117" t="str">
        <x:v>Not visually reviewed</x:v>
      </x:c>
      <x:c r="N98" s="117" t="str">
        <x:v>2026-09-08</x:v>
      </x:c>
    </x:row>
    <x:row r="99" ht="48" customHeight="1">
      <x:c r="A99" s="117" t="str">
        <x:v>MC0097</x:v>
      </x:c>
      <x:c r="B99" s="117" t="str">
        <x:v>Cheng Hoon Teng Temple</x:v>
      </x:c>
      <x:c r="C99" s="117" t="n">
        <x:v>2</x:v>
      </x:c>
      <x:c r="D99" s="117" t="str">
        <x:v>https://thumb.wikimedia.org/wikipedia/commons/thumb/5/50/Cheng_Hoon_Teng_Temple_Melaka_3.jpg/1280px-Cheng_Hoon_Teng_Temple_Melaka_3.jpg?utm_source=commons.wikimedia.org&amp;utm_campaign=imageinfo&amp;utm_content=thumbnail</x:v>
      </x:c>
      <x:c r="E99" s="117" t="str">
        <x:v>https://commons.wikimedia.org/wiki/File:Cheng_Hoon_Teng_Temple_Melaka_3.jpg</x:v>
      </x:c>
      <x:c r="F99" s="117" t="str">
        <x:v>File:Cheng Hoon Teng Temple Melaka 3.jpg</x:v>
      </x:c>
      <x:c r="G99" s="117" t="str">
        <x:v>Philip Nalangan</x:v>
      </x:c>
      <x:c r="H99" s="117" t="str">
        <x:v>CC BY 4.0</x:v>
      </x:c>
      <x:c r="I99" s="117" t="str">
        <x:v>https://creativecommons.org/licenses/by/4.0</x:v>
      </x:c>
      <x:c r="J99" s="117" t="str">
        <x:v>true</x:v>
      </x:c>
      <x:c r="K99" s="117" t="str">
        <x:v>Own work</x:v>
      </x:c>
      <x:c r="L99" s="117" t="str">
        <x:v>Exact name or all distinctive place-name tokens in file metadata</x:v>
      </x:c>
      <x:c r="M99" s="117" t="str">
        <x:v>Not visually reviewed</x:v>
      </x:c>
      <x:c r="N99" s="117" t="str">
        <x:v>2026-09-08</x:v>
      </x:c>
    </x:row>
    <x:row r="100" ht="48" customHeight="1">
      <x:c r="A100" s="117" t="str">
        <x:v>MC0098</x:v>
      </x:c>
      <x:c r="B100" s="117" t="str">
        <x:v>Melaka Botanical Garden</x:v>
      </x:c>
      <x:c r="C100" s="117" t="n">
        <x:v>1</x:v>
      </x:c>
      <x:c r="D100" s="117" t="str">
        <x:v>https://thumb.wikimedia.org/wikipedia/commons/thumb/2/26/Melaka_Botanical_Garden_main_entrance.jpg/1280px-Melaka_Botanical_Garden_main_entrance.jpg?utm_source=commons.wikimedia.org&amp;utm_campaign=imageinfo&amp;utm_content=thumbnail</x:v>
      </x:c>
      <x:c r="E100" s="117" t="str">
        <x:v>https://commons.wikimedia.org/wiki/File:Melaka_Botanical_Garden_main_entrance.jpg</x:v>
      </x:c>
      <x:c r="F100" s="117" t="str">
        <x:v>File:Melaka Botanical Garden main entrance.jpg</x:v>
      </x:c>
      <x:c r="G100" s="117" t="str">
        <x:v>Stress 043</x:v>
      </x:c>
      <x:c r="H100" s="117" t="str">
        <x:v>CC BY-SA 4.0</x:v>
      </x:c>
      <x:c r="I100" s="117" t="str">
        <x:v>https://creativecommons.org/licenses/by-sa/4.0</x:v>
      </x:c>
      <x:c r="J100" s="117" t="str">
        <x:v>true</x:v>
      </x:c>
      <x:c r="K100" s="117" t="str">
        <x:v>Own work</x:v>
      </x:c>
      <x:c r="L100" s="117" t="str">
        <x:v>Exact name or all distinctive place-name tokens in file metadata</x:v>
      </x:c>
      <x:c r="M100" s="117" t="str">
        <x:v>Not visually reviewed</x:v>
      </x:c>
      <x:c r="N100" s="117" t="str">
        <x:v>2026-09-08</x:v>
      </x:c>
    </x:row>
    <x:row r="101" ht="48" customHeight="1">
      <x:c r="A101" s="117" t="str">
        <x:v>MC0098</x:v>
      </x:c>
      <x:c r="B101" s="117" t="str">
        <x:v>Melaka Botanical Garden</x:v>
      </x:c>
      <x:c r="C101" s="117" t="n">
        <x:v>2</x:v>
      </x:c>
      <x:c r="D101" s="117" t="str">
        <x:v>https://thumb.wikimedia.org/wikipedia/commons/thumb/6/6b/Melaka_Botanical_Garden.jpg/1280px-Melaka_Botanical_Garden.jpg?utm_source=commons.wikimedia.org&amp;utm_campaign=imageinfo&amp;utm_content=thumbnail</x:v>
      </x:c>
      <x:c r="E101" s="117" t="str">
        <x:v>https://commons.wikimedia.org/wiki/File:Melaka_Botanical_Garden.jpg</x:v>
      </x:c>
      <x:c r="F101" s="117" t="str">
        <x:v>File:Melaka Botanical Garden.jpg</x:v>
      </x:c>
      <x:c r="G101" s="117" t="str">
        <x:v>Chongkian</x:v>
      </x:c>
      <x:c r="H101" s="117" t="str">
        <x:v>CC BY-SA 4.0</x:v>
      </x:c>
      <x:c r="I101" s="117" t="str">
        <x:v>https://creativecommons.org/licenses/by-sa/4.0</x:v>
      </x:c>
      <x:c r="J101" s="117" t="str">
        <x:v>true</x:v>
      </x:c>
      <x:c r="K101" s="117" t="str">
        <x:v>Own work</x:v>
      </x:c>
      <x:c r="L101" s="117" t="str">
        <x:v>Exact name or all distinctive place-name tokens in file metadata</x:v>
      </x:c>
      <x:c r="M101" s="117" t="str">
        <x:v>Not visually reviewed</x:v>
      </x:c>
      <x:c r="N101" s="117" t="str">
        <x:v>2026-09-08</x:v>
      </x:c>
    </x:row>
    <x:row r="102" ht="48" customHeight="1">
      <x:c r="A102" s="117" t="str">
        <x:v>MC0099</x:v>
      </x:c>
      <x:c r="B102" s="117" t="str">
        <x:v>Stadthuys</x:v>
      </x:c>
      <x:c r="C102" s="117" t="n">
        <x:v>1</x:v>
      </x:c>
      <x:c r="D102" s="117" t="str">
        <x:v>https://thumb.wikimedia.org/wikipedia/commons/thumb/0/07/Malacca_stadhuys1.jpg/1280px-Malacca_stadhuys1.jpg?utm_source=commons.wikimedia.org&amp;utm_campaign=imageinfo&amp;utm_content=thumbnail</x:v>
      </x:c>
      <x:c r="E102" s="117" t="str">
        <x:v>https://commons.wikimedia.org/wiki/File:Malacca_stadhuys1.jpg</x:v>
      </x:c>
      <x:c r="F102" s="117" t="str">
        <x:v>File:Malacca stadhuys1.jpg</x:v>
      </x:c>
      <x:c r="G102" s="117" t="str">
        <x:v>User: (WT-shared) Slleong at  wts wikivoyage</x:v>
      </x:c>
      <x:c r="H102" s="117" t="str">
        <x:v>CC BY 1.0</x:v>
      </x:c>
      <x:c r="I102" s="117" t="str">
        <x:v>https://creativecommons.org/licenses/by/1.0</x:v>
      </x:c>
      <x:c r="J102" s="117" t="str">
        <x:v>true</x:v>
      </x:c>
      <x:c r="K102" s="117" t="str">
        <x:v>Own work</x:v>
      </x:c>
      <x:c r="L102" s="117" t="str">
        <x:v>Exact name or all distinctive place-name tokens in file metadata</x:v>
      </x:c>
      <x:c r="M102" s="117" t="str">
        <x:v>Not visually reviewed</x:v>
      </x:c>
      <x:c r="N102" s="117" t="str">
        <x:v>2026-09-08</x:v>
      </x:c>
    </x:row>
    <x:row r="103" ht="48" customHeight="1">
      <x:c r="A103" s="117" t="str">
        <x:v>MC0099</x:v>
      </x:c>
      <x:c r="B103" s="117" t="str">
        <x:v>Stadthuys</x:v>
      </x:c>
      <x:c r="C103" s="117" t="n">
        <x:v>2</x:v>
      </x:c>
      <x:c r="D103" s="117" t="str">
        <x:v>https://thumb.wikimedia.org/wikipedia/commons/thumb/f/f0/Stadthuys_Melaka_3.jpg/1280px-Stadthuys_Melaka_3.jpg?utm_source=commons.wikimedia.org&amp;utm_campaign=imageinfo&amp;utm_content=thumbnail</x:v>
      </x:c>
      <x:c r="E103" s="117" t="str">
        <x:v>https://commons.wikimedia.org/wiki/File:Stadthuys_Melaka_3.jpg</x:v>
      </x:c>
      <x:c r="F103" s="117" t="str">
        <x:v>File:Stadthuys Melaka 3.jpg</x:v>
      </x:c>
      <x:c r="G103" s="117" t="str">
        <x:v>Philip Nalangan</x:v>
      </x:c>
      <x:c r="H103" s="117" t="str">
        <x:v>CC BY 4.0</x:v>
      </x:c>
      <x:c r="I103" s="117" t="str">
        <x:v>https://creativecommons.org/licenses/by/4.0</x:v>
      </x:c>
      <x:c r="J103" s="117" t="str">
        <x:v>true</x:v>
      </x:c>
      <x:c r="K103" s="117" t="str">
        <x:v>Own work</x:v>
      </x:c>
      <x:c r="L103" s="117" t="str">
        <x:v>Exact name or all distinctive place-name tokens in file metadata</x:v>
      </x:c>
      <x:c r="M103" s="117" t="str">
        <x:v>Not visually reviewed</x:v>
      </x:c>
      <x:c r="N103" s="117" t="str">
        <x:v>2026-09-08</x:v>
      </x:c>
    </x:row>
    <x:row r="104" ht="48" customHeight="1">
      <x:c r="A104" s="117" t="str">
        <x:v>MC0100</x:v>
      </x:c>
      <x:c r="B104" s="117" t="str">
        <x:v>Christ Church Melaka</x:v>
      </x:c>
      <x:c r="C104" s="117" t="n">
        <x:v>1</x:v>
      </x:c>
      <x:c r="D104" s="117" t="str">
        <x:v>https://upload.wikimedia.org/wikipedia/commons/0/01/Firstchurchmelaka.JPG?utm_source=commons.wikimedia.org&amp;utm_campaign=imageinfo&amp;utm_content=thumbnail_unscaled</x:v>
      </x:c>
      <x:c r="E104" s="117" t="str">
        <x:v>https://commons.wikimedia.org/wiki/File:Firstchurchmelaka.JPG</x:v>
      </x:c>
      <x:c r="F104" s="117" t="str">
        <x:v>File:Firstchurchmelaka.JPG</x:v>
      </x:c>
      <x:c r="G104" s="117" t="str">
        <x:v>T0lk</x:v>
      </x:c>
      <x:c r="H104" s="117" t="str">
        <x:v>Public domain</x:v>
      </x:c>
      <x:c r="I104" s="117" t="str"/>
      <x:c r="J104" s="117" t="str">
        <x:v>false</x:v>
      </x:c>
      <x:c r="K104" s="117" t="str">
        <x:v>Own work</x:v>
      </x:c>
      <x:c r="L104" s="117" t="str">
        <x:v>Exact name or all distinctive place-name tokens in file metadata</x:v>
      </x:c>
      <x:c r="M104" s="117" t="str">
        <x:v>Not visually reviewed</x:v>
      </x:c>
      <x:c r="N104" s="117" t="str">
        <x:v>2026-09-08</x:v>
      </x:c>
    </x:row>
    <x:row r="105" ht="48" customHeight="1">
      <x:c r="A105" s="117" t="str">
        <x:v>MC0100</x:v>
      </x:c>
      <x:c r="B105" s="117" t="str">
        <x:v>Christ Church Melaka</x:v>
      </x:c>
      <x:c r="C105" s="117" t="n">
        <x:v>2</x:v>
      </x:c>
      <x:c r="D105" s="117" t="str">
        <x:v>https://thumb.wikimedia.org/wikipedia/commons/thumb/7/79/Melaka_03.jpg/1280px-Melaka_03.jpg?utm_source=commons.wikimedia.org&amp;utm_campaign=imageinfo&amp;utm_content=thumbnail</x:v>
      </x:c>
      <x:c r="E105" s="117" t="str">
        <x:v>https://commons.wikimedia.org/wiki/File:Melaka_03.jpg</x:v>
      </x:c>
      <x:c r="F105" s="117" t="str">
        <x:v>File:Melaka 03.jpg</x:v>
      </x:c>
      <x:c r="G105" s="117" t="str">
        <x:v>Ken Walker kgw@lunar.ca</x:v>
      </x:c>
      <x:c r="H105" s="117" t="str">
        <x:v>CC BY 2.5</x:v>
      </x:c>
      <x:c r="I105" s="117" t="str">
        <x:v>https://creativecommons.org/licenses/by/2.5</x:v>
      </x:c>
      <x:c r="J105" s="117" t="str">
        <x:v>true</x:v>
      </x:c>
      <x:c r="K105" s="117" t="str">
        <x:v>Own work</x:v>
      </x:c>
      <x:c r="L105" s="117" t="str">
        <x:v>Exact name or all distinctive place-name tokens in file metadata</x:v>
      </x:c>
      <x:c r="M105" s="117" t="str">
        <x:v>Not visually reviewed</x:v>
      </x:c>
      <x:c r="N105" s="117" t="str">
        <x:v>2026-09-08</x:v>
      </x:c>
    </x:row>
    <x:row r="106" ht="48" customHeight="1">
      <x:c r="A106" s="117" t="str">
        <x:v>MC0102</x:v>
      </x:c>
      <x:c r="B106" s="117" t="str">
        <x:v>Kampung Kling Mosque</x:v>
      </x:c>
      <x:c r="C106" s="117" t="n">
        <x:v>1</x:v>
      </x:c>
      <x:c r="D106" s="117" t="str">
        <x:v>https://thumb.wikimedia.org/wikipedia/commons/thumb/b/bf/Masjid-Kampung-Kling-2326.jpg/1280px-Masjid-Kampung-Kling-2326.jpg?utm_source=commons.wikimedia.org&amp;utm_campaign=imageinfo&amp;utm_content=thumbnail</x:v>
      </x:c>
      <x:c r="E106" s="117" t="str">
        <x:v>https://commons.wikimedia.org/wiki/File:Masjid-Kampung-Kling-2326.jpg</x:v>
      </x:c>
      <x:c r="F106" s="117" t="str">
        <x:v>File:Masjid-Kampung-Kling-2326.jpg</x:v>
      </x:c>
      <x:c r="G106" s="117" t="str">
        <x:v>Vmenkov</x:v>
      </x:c>
      <x:c r="H106" s="117" t="str">
        <x:v>CC BY-SA 3.0</x:v>
      </x:c>
      <x:c r="I106" s="117" t="str">
        <x:v>https://creativecommons.org/licenses/by-sa/3.0</x:v>
      </x:c>
      <x:c r="J106" s="117" t="str">
        <x:v>true</x:v>
      </x:c>
      <x:c r="K106" s="117" t="str">
        <x:v>Own work</x:v>
      </x:c>
      <x:c r="L106" s="117" t="str">
        <x:v>Exact name or all distinctive place-name tokens in file metadata</x:v>
      </x:c>
      <x:c r="M106" s="117" t="str">
        <x:v>Not visually reviewed</x:v>
      </x:c>
      <x:c r="N106" s="117" t="str">
        <x:v>2026-09-08</x:v>
      </x:c>
    </x:row>
    <x:row r="107" ht="48" customHeight="1">
      <x:c r="A107" s="117" t="str">
        <x:v>MC0102</x:v>
      </x:c>
      <x:c r="B107" s="117" t="str">
        <x:v>Kampung Kling Mosque</x:v>
      </x:c>
      <x:c r="C107" s="117" t="n">
        <x:v>2</x:v>
      </x:c>
      <x:c r="D107" s="117" t="str">
        <x:v>https://thumb.wikimedia.org/wikipedia/commons/thumb/2/2c/Kampung_Kling_Mosque_Melaka.jpg/1280px-Kampung_Kling_Mosque_Melaka.jpg?utm_source=commons.wikimedia.org&amp;utm_campaign=imageinfo&amp;utm_content=thumbnail</x:v>
      </x:c>
      <x:c r="E107" s="117" t="str">
        <x:v>https://commons.wikimedia.org/wiki/File:Kampung_Kling_Mosque_Melaka.jpg</x:v>
      </x:c>
      <x:c r="F107" s="117" t="str">
        <x:v>File:Kampung Kling Mosque Melaka.jpg</x:v>
      </x:c>
      <x:c r="G107" s="117" t="str">
        <x:v>Philip Nalangan</x:v>
      </x:c>
      <x:c r="H107" s="117" t="str">
        <x:v>CC BY 4.0</x:v>
      </x:c>
      <x:c r="I107" s="117" t="str">
        <x:v>https://creativecommons.org/licenses/by/4.0</x:v>
      </x:c>
      <x:c r="J107" s="117" t="str">
        <x:v>true</x:v>
      </x:c>
      <x:c r="K107" s="117" t="str">
        <x:v>Own work</x:v>
      </x:c>
      <x:c r="L107" s="117" t="str">
        <x:v>Exact name or all distinctive place-name tokens in file metadata</x:v>
      </x:c>
      <x:c r="M107" s="117" t="str">
        <x:v>Not visually reviewed</x:v>
      </x:c>
      <x:c r="N107" s="117" t="str">
        <x:v>2026-09-08</x:v>
      </x:c>
    </x:row>
    <x:row r="108" ht="48" customHeight="1">
      <x:c r="A108" s="117" t="str">
        <x:v>MC0105</x:v>
      </x:c>
      <x:c r="B108" s="117" t="str">
        <x:v>Portuguese Settlement</x:v>
      </x:c>
      <x:c r="C108" s="117" t="n">
        <x:v>1</x:v>
      </x:c>
      <x:c r="D108" s="117" t="str">
        <x:v>https://thumb.wikimedia.org/wikipedia/commons/thumb/1/16/Melaka%2C_Malaysia_Portuguese_Settlement%2C_March_2023_-_Canal.jpg/1280px-Melaka%2C_Malaysia_Portuguese_Settlement%2C_March_2023_-_Canal.jpg?utm_source=commons.wikimedia.org&amp;utm_campaign=imageinfo&amp;utm_content=thumbnail</x:v>
      </x:c>
      <x:c r="E108" s="117" t="str">
        <x:v>https://commons.wikimedia.org/wiki/File:Melaka,_Malaysia_Portuguese_Settlement,_March_2023_-_Canal.jpg</x:v>
      </x:c>
      <x:c r="F108" s="117" t="str">
        <x:v>File:Melaka, Malaysia Portuguese Settlement, March 2023 - Canal.jpg</x:v>
      </x:c>
      <x:c r="G108" s="117" t="str">
        <x:v>Sharon Hahn Darlin</x:v>
      </x:c>
      <x:c r="H108" s="117" t="str">
        <x:v>CC BY 2.0</x:v>
      </x:c>
      <x:c r="I108" s="117" t="str">
        <x:v>https://creativecommons.org/licenses/by/2.0</x:v>
      </x:c>
      <x:c r="J108" s="117" t="str">
        <x:v>true</x:v>
      </x:c>
      <x:c r="K108" s="117" t="str">
        <x:v>https://www.flickr.com/photos/sharonhahndarlin/52764833532/</x:v>
      </x:c>
      <x:c r="L108" s="117" t="str">
        <x:v>Exact name or all distinctive place-name tokens in file metadata</x:v>
      </x:c>
      <x:c r="M108" s="117" t="str">
        <x:v>Not visually reviewed</x:v>
      </x:c>
      <x:c r="N108" s="117" t="str">
        <x:v>2026-09-08</x:v>
      </x:c>
    </x:row>
    <x:row r="109" ht="48" customHeight="1">
      <x:c r="A109" s="117" t="str">
        <x:v>MC0105</x:v>
      </x:c>
      <x:c r="B109" s="117" t="str">
        <x:v>Portuguese Settlement</x:v>
      </x:c>
      <x:c r="C109" s="117" t="n">
        <x:v>2</x:v>
      </x:c>
      <x:c r="D109" s="117" t="str">
        <x:v>https://thumb.wikimedia.org/wikipedia/commons/thumb/d/d4/Melaka%2C_Malaysia_Portuguese_Settlement%2C_March_2023_-_Portuguese_Square.jpg/1280px-Melaka%2C_Malaysia_Portuguese_Settlement%2C_March_2023_-_Portuguese_Square.jpg?utm_source=commons.wikimedia.org&amp;utm_campaign=imageinfo&amp;utm_content=thumbnail</x:v>
      </x:c>
      <x:c r="E109" s="117" t="str">
        <x:v>https://commons.wikimedia.org/wiki/File:Melaka,_Malaysia_Portuguese_Settlement,_March_2023_-_Portuguese_Square.jpg</x:v>
      </x:c>
      <x:c r="F109" s="117" t="str">
        <x:v>File:Melaka, Malaysia Portuguese Settlement, March 2023 - Portuguese Square.jpg</x:v>
      </x:c>
      <x:c r="G109" s="117" t="str">
        <x:v>Sharon Hahn Darlin</x:v>
      </x:c>
      <x:c r="H109" s="117" t="str">
        <x:v>CC BY 2.0</x:v>
      </x:c>
      <x:c r="I109" s="117" t="str">
        <x:v>https://creativecommons.org/licenses/by/2.0</x:v>
      </x:c>
      <x:c r="J109" s="117" t="str">
        <x:v>true</x:v>
      </x:c>
      <x:c r="K109" s="117" t="str">
        <x:v>https://www.flickr.com/photos/sharonhahndarlin/52765538464/</x:v>
      </x:c>
      <x:c r="L109" s="117" t="str">
        <x:v>Exact name or all distinctive place-name tokens in file metadata</x:v>
      </x:c>
      <x:c r="M109" s="117" t="str">
        <x:v>Not visually reviewed</x:v>
      </x:c>
      <x:c r="N109" s="117" t="str">
        <x:v>2026-09-08</x:v>
      </x:c>
    </x:row>
    <x:row r="110" ht="48" customHeight="1">
      <x:c r="A110" s="117" t="str">
        <x:v>MC0106</x:v>
      </x:c>
      <x:c r="B110" s="117" t="str">
        <x:v>Melaka Butterfly and Reptile Sanctuary</x:v>
      </x:c>
      <x:c r="C110" s="117" t="n">
        <x:v>1</x:v>
      </x:c>
      <x:c r="D110" s="117" t="str">
        <x:v>https://thumb.wikimedia.org/wikipedia/commons/thumb/7/71/Melaka_Butterfly_%26_Reptile_Sanctuary.jpg/1280px-Melaka_Butterfly_%26_Reptile_Sanctuary.jpg?utm_source=commons.wikimedia.org&amp;utm_campaign=imageinfo&amp;utm_content=thumbnail</x:v>
      </x:c>
      <x:c r="E110" s="117" t="str">
        <x:v>https://commons.wikimedia.org/wiki/File:Melaka_Butterfly_%26_Reptile_Sanctuary.jpg</x:v>
      </x:c>
      <x:c r="F110" s="117" t="str">
        <x:v>File:Melaka Butterfly &amp; Reptile Sanctuary.jpg</x:v>
      </x:c>
      <x:c r="G110" s="117" t="str">
        <x:v>Chongkian</x:v>
      </x:c>
      <x:c r="H110" s="117" t="str">
        <x:v>CC BY-SA 4.0</x:v>
      </x:c>
      <x:c r="I110" s="117" t="str">
        <x:v>https://creativecommons.org/licenses/by-sa/4.0</x:v>
      </x:c>
      <x:c r="J110" s="117" t="str">
        <x:v>true</x:v>
      </x:c>
      <x:c r="K110" s="117" t="str">
        <x:v>Own work</x:v>
      </x:c>
      <x:c r="L110" s="117" t="str">
        <x:v>Exact name or all distinctive place-name tokens in file metadata</x:v>
      </x:c>
      <x:c r="M110" s="117" t="str">
        <x:v>Not visually reviewed</x:v>
      </x:c>
      <x:c r="N110" s="117" t="str">
        <x:v>2026-09-08</x:v>
      </x:c>
    </x:row>
    <x:row r="111" ht="48" customHeight="1">
      <x:c r="A111" s="117" t="str">
        <x:v>MC0107</x:v>
      </x:c>
      <x:c r="B111" s="117" t="str">
        <x:v>Mini Malaysia and ASEAN Cultural Park</x:v>
      </x:c>
      <x:c r="C111" s="117" t="n">
        <x:v>1</x:v>
      </x:c>
      <x:c r="D111" s="117" t="str">
        <x:v>https://thumb.wikimedia.org/wikipedia/commons/thumb/b/b3/Mini_Malaysia_and_ASEAN_Cultural_Park.JPG/1280px-Mini_Malaysia_and_ASEAN_Cultural_Park.JPG?utm_source=commons.wikimedia.org&amp;utm_campaign=imageinfo&amp;utm_content=thumbnail</x:v>
      </x:c>
      <x:c r="E111" s="117" t="str">
        <x:v>https://commons.wikimedia.org/wiki/File:Mini_Malaysia_and_ASEAN_Cultural_Park.JPG</x:v>
      </x:c>
      <x:c r="F111" s="117" t="str">
        <x:v>File:Mini Malaysia and ASEAN Cultural Park.JPG</x:v>
      </x:c>
      <x:c r="G111" s="117" t="str">
        <x:v>Chongkian</x:v>
      </x:c>
      <x:c r="H111" s="117" t="str">
        <x:v>CC BY-SA 4.0</x:v>
      </x:c>
      <x:c r="I111" s="117" t="str">
        <x:v>https://creativecommons.org/licenses/by-sa/4.0</x:v>
      </x:c>
      <x:c r="J111" s="117" t="str">
        <x:v>true</x:v>
      </x:c>
      <x:c r="K111" s="117" t="str">
        <x:v>Own work</x:v>
      </x:c>
      <x:c r="L111" s="117" t="str">
        <x:v>Exact name or all distinctive place-name tokens in file metadata</x:v>
      </x:c>
      <x:c r="M111" s="117" t="str">
        <x:v>Not visually reviewed</x:v>
      </x:c>
      <x:c r="N111" s="117" t="str">
        <x:v>2026-09-08</x:v>
      </x:c>
    </x:row>
    <x:row r="112" ht="48" customHeight="1">
      <x:c r="A112" s="117" t="str">
        <x:v>MC0107</x:v>
      </x:c>
      <x:c r="B112" s="117" t="str">
        <x:v>Mini Malaysia and ASEAN Cultural Park</x:v>
      </x:c>
      <x:c r="C112" s="117" t="n">
        <x:v>2</x:v>
      </x:c>
      <x:c r="D112" s="117" t="str">
        <x:v>https://thumb.wikimedia.org/wikipedia/commons/thumb/c/cc/Mini_ASEAN.JPG/1280px-Mini_ASEAN.JPG?utm_source=commons.wikimedia.org&amp;utm_campaign=imageinfo&amp;utm_content=thumbnail</x:v>
      </x:c>
      <x:c r="E112" s="117" t="str">
        <x:v>https://commons.wikimedia.org/wiki/File:Mini_ASEAN.JPG</x:v>
      </x:c>
      <x:c r="F112" s="117" t="str">
        <x:v>File:Mini ASEAN.JPG</x:v>
      </x:c>
      <x:c r="G112" s="117" t="str">
        <x:v>Chongkian</x:v>
      </x:c>
      <x:c r="H112" s="117" t="str">
        <x:v>CC BY-SA 4.0</x:v>
      </x:c>
      <x:c r="I112" s="117" t="str">
        <x:v>https://creativecommons.org/licenses/by-sa/4.0</x:v>
      </x:c>
      <x:c r="J112" s="117" t="str">
        <x:v>true</x:v>
      </x:c>
      <x:c r="K112" s="117" t="str">
        <x:v>Own work</x:v>
      </x:c>
      <x:c r="L112" s="117" t="str">
        <x:v>Exact name or all distinctive place-name tokens in file metadata</x:v>
      </x:c>
      <x:c r="M112" s="117" t="str">
        <x:v>Not visually reviewed</x:v>
      </x:c>
      <x:c r="N112" s="117" t="str">
        <x:v>2026-09-08</x:v>
      </x:c>
    </x:row>
    <x:row r="113" ht="48" customHeight="1">
      <x:c r="A113" s="117" t="str">
        <x:v>MC0110</x:v>
      </x:c>
      <x:c r="B113" s="117" t="str">
        <x:v>Freeport A'Famosa Outlet</x:v>
      </x:c>
      <x:c r="C113" s="117" t="n">
        <x:v>1</x:v>
      </x:c>
      <x:c r="D113" s="117" t="str">
        <x:v>https://thumb.wikimedia.org/wikipedia/commons/thumb/c/c1/Cosplay_A%27Famosa_Gathering_2022.jpg/1280px-Cosplay_A%27Famosa_Gathering_2022.jpg?utm_source=commons.wikimedia.org&amp;utm_campaign=imageinfo&amp;utm_content=thumbnail</x:v>
      </x:c>
      <x:c r="E113" s="117" t="str">
        <x:v>https://commons.wikimedia.org/wiki/File:Cosplay_A%27Famosa_Gathering_2022.jpg</x:v>
      </x:c>
      <x:c r="F113" s="117" t="str">
        <x:v>File:Cosplay A'Famosa Gathering 2022.jpg</x:v>
      </x:c>
      <x:c r="G113" s="117" t="str">
        <x:v>Chongkian</x:v>
      </x:c>
      <x:c r="H113" s="117" t="str">
        <x:v>CC BY-SA 4.0</x:v>
      </x:c>
      <x:c r="I113" s="117" t="str">
        <x:v>https://creativecommons.org/licenses/by-sa/4.0</x:v>
      </x:c>
      <x:c r="J113" s="117" t="str">
        <x:v>true</x:v>
      </x:c>
      <x:c r="K113" s="117" t="str">
        <x:v>Own work</x:v>
      </x:c>
      <x:c r="L113" s="117" t="str">
        <x:v>Exact name or all distinctive place-name tokens in file metadata</x:v>
      </x:c>
      <x:c r="M113" s="117" t="str">
        <x:v>Not visually reviewed</x:v>
      </x:c>
      <x:c r="N113" s="117" t="str">
        <x:v>2026-09-08</x:v>
      </x:c>
    </x:row>
    <x:row r="114" ht="48" customHeight="1">
      <x:c r="A114" s="117" t="str">
        <x:v>MC0110</x:v>
      </x:c>
      <x:c r="B114" s="117" t="str">
        <x:v>Freeport A'Famosa Outlet</x:v>
      </x:c>
      <x:c r="C114" s="117" t="n">
        <x:v>2</x:v>
      </x:c>
      <x:c r="D114" s="117" t="str">
        <x:v>https://thumb.wikimedia.org/wikipedia/commons/thumb/8/8f/Freeport_A%27Famosa_Outlet.jpg/1280px-Freeport_A%27Famosa_Outlet.jpg?utm_source=commons.wikimedia.org&amp;utm_campaign=imageinfo&amp;utm_content=thumbnail</x:v>
      </x:c>
      <x:c r="E114" s="117" t="str">
        <x:v>https://commons.wikimedia.org/wiki/File:Freeport_A%27Famosa_Outlet.jpg</x:v>
      </x:c>
      <x:c r="F114" s="117" t="str">
        <x:v>File:Freeport A'Famosa Outlet.jpg</x:v>
      </x:c>
      <x:c r="G114" s="117" t="str">
        <x:v>Chongkian</x:v>
      </x:c>
      <x:c r="H114" s="117" t="str">
        <x:v>CC BY-SA 4.0</x:v>
      </x:c>
      <x:c r="I114" s="117" t="str">
        <x:v>https://creativecommons.org/licenses/by-sa/4.0</x:v>
      </x:c>
      <x:c r="J114" s="117" t="str">
        <x:v>true</x:v>
      </x:c>
      <x:c r="K114" s="117" t="str">
        <x:v>Own work</x:v>
      </x:c>
      <x:c r="L114" s="117" t="str">
        <x:v>Exact name or all distinctive place-name tokens in file metadata</x:v>
      </x:c>
      <x:c r="M114" s="117" t="str">
        <x:v>Not visually reviewed</x:v>
      </x:c>
      <x:c r="N114" s="117" t="str">
        <x:v>2026-09-08</x:v>
      </x:c>
    </x:row>
    <x:row r="115" ht="48" customHeight="1">
      <x:c r="A115" s="117" t="str">
        <x:v>MC0113</x:v>
      </x:c>
      <x:c r="B115" s="117" t="str">
        <x:v>Tanjung Bidara Beach</x:v>
      </x:c>
      <x:c r="C115" s="117" t="n">
        <x:v>1</x:v>
      </x:c>
      <x:c r="D115" s="117" t="str">
        <x:v>https://thumb.wikimedia.org/wikipedia/commons/thumb/b/bc/Tanjung_Bidara_Beach.JPG/1280px-Tanjung_Bidara_Beach.JPG?utm_source=commons.wikimedia.org&amp;utm_campaign=imageinfo&amp;utm_content=thumbnail</x:v>
      </x:c>
      <x:c r="E115" s="117" t="str">
        <x:v>https://commons.wikimedia.org/wiki/File:Tanjung_Bidara_Beach.JPG</x:v>
      </x:c>
      <x:c r="F115" s="117" t="str">
        <x:v>File:Tanjung Bidara Beach.JPG</x:v>
      </x:c>
      <x:c r="G115" s="117" t="str">
        <x:v>Chongkian</x:v>
      </x:c>
      <x:c r="H115" s="117" t="str">
        <x:v>CC BY-SA 4.0</x:v>
      </x:c>
      <x:c r="I115" s="117" t="str">
        <x:v>https://creativecommons.org/licenses/by-sa/4.0</x:v>
      </x:c>
      <x:c r="J115" s="117" t="str">
        <x:v>true</x:v>
      </x:c>
      <x:c r="K115" s="117" t="str">
        <x:v>Own work</x:v>
      </x:c>
      <x:c r="L115" s="117" t="str">
        <x:v>Exact name or all distinctive place-name tokens in file metadata</x:v>
      </x:c>
      <x:c r="M115" s="117" t="str">
        <x:v>Not visually reviewed</x:v>
      </x:c>
      <x:c r="N115" s="117" t="str">
        <x:v>2026-09-08</x:v>
      </x:c>
    </x:row>
    <x:row r="116" ht="48" customHeight="1">
      <x:c r="A116" s="117" t="str">
        <x:v>MC0114</x:v>
      </x:c>
      <x:c r="B116" s="117" t="str">
        <x:v>Demang Abdul Ghani Gallery</x:v>
      </x:c>
      <x:c r="C116" s="117" t="n">
        <x:v>1</x:v>
      </x:c>
      <x:c r="D116" s="117" t="str">
        <x:v>https://thumb.wikimedia.org/wikipedia/commons/thumb/5/5e/Demang_Abdul_Ghani_Gallery.JPG/1280px-Demang_Abdul_Ghani_Gallery.JPG?utm_source=commons.wikimedia.org&amp;utm_campaign=imageinfo&amp;utm_content=thumbnail</x:v>
      </x:c>
      <x:c r="E116" s="117" t="str">
        <x:v>https://commons.wikimedia.org/wiki/File:Demang_Abdul_Ghani_Gallery.JPG</x:v>
      </x:c>
      <x:c r="F116" s="117" t="str">
        <x:v>File:Demang Abdul Ghani Gallery.JPG</x:v>
      </x:c>
      <x:c r="G116" s="117" t="str">
        <x:v>Chongkian</x:v>
      </x:c>
      <x:c r="H116" s="117" t="str">
        <x:v>CC BY-SA 4.0</x:v>
      </x:c>
      <x:c r="I116" s="117" t="str">
        <x:v>https://creativecommons.org/licenses/by-sa/4.0</x:v>
      </x:c>
      <x:c r="J116" s="117" t="str">
        <x:v>true</x:v>
      </x:c>
      <x:c r="K116" s="117" t="str">
        <x:v>Own work</x:v>
      </x:c>
      <x:c r="L116" s="117" t="str">
        <x:v>Exact name or all distinctive place-name tokens in file metadata</x:v>
      </x:c>
      <x:c r="M116" s="117" t="str">
        <x:v>Not visually reviewed</x:v>
      </x:c>
      <x:c r="N116" s="117" t="str">
        <x:v>2026-09-08</x:v>
      </x:c>
    </x:row>
    <x:row r="117" ht="48" customHeight="1">
      <x:c r="A117" s="117" t="str">
        <x:v>MC0114</x:v>
      </x:c>
      <x:c r="B117" s="117" t="str">
        <x:v>Demang Abdul Ghani Gallery</x:v>
      </x:c>
      <x:c r="C117" s="117" t="n">
        <x:v>2</x:v>
      </x:c>
      <x:c r="D117" s="117" t="str">
        <x:v>https://thumb.wikimedia.org/wikipedia/commons/thumb/f/fd/Demang_Abdul_Ghani_Gallery_-_Interior.JPG/1280px-Demang_Abdul_Ghani_Gallery_-_Interior.JPG?utm_source=commons.wikimedia.org&amp;utm_campaign=imageinfo&amp;utm_content=thumbnail</x:v>
      </x:c>
      <x:c r="E117" s="117" t="str">
        <x:v>https://commons.wikimedia.org/wiki/File:Demang_Abdul_Ghani_Gallery_-_Interior.JPG</x:v>
      </x:c>
      <x:c r="F117" s="117" t="str">
        <x:v>File:Demang Abdul Ghani Gallery - Interior.JPG</x:v>
      </x:c>
      <x:c r="G117" s="117" t="str">
        <x:v>Chongkian</x:v>
      </x:c>
      <x:c r="H117" s="117" t="str">
        <x:v>CC BY-SA 4.0</x:v>
      </x:c>
      <x:c r="I117" s="117" t="str">
        <x:v>https://creativecommons.org/licenses/by-sa/4.0</x:v>
      </x:c>
      <x:c r="J117" s="117" t="str">
        <x:v>true</x:v>
      </x:c>
      <x:c r="K117" s="117" t="str">
        <x:v>Own work</x:v>
      </x:c>
      <x:c r="L117" s="117" t="str">
        <x:v>Exact name or all distinctive place-name tokens in file metadata</x:v>
      </x:c>
      <x:c r="M117" s="117" t="str">
        <x:v>Not visually reviewed</x:v>
      </x:c>
      <x:c r="N117" s="117" t="str">
        <x:v>2026-09-08</x:v>
      </x:c>
    </x:row>
    <x:row r="118" ht="48" customHeight="1">
      <x:c r="A118" s="117" t="str">
        <x:v>MC0115</x:v>
      </x:c>
      <x:c r="B118" s="117" t="str">
        <x:v>Port Dickson</x:v>
      </x:c>
      <x:c r="C118" s="117" t="n">
        <x:v>1</x:v>
      </x:c>
      <x:c r="D118" s="117" t="str">
        <x:v>https://thumb.wikimedia.org/wikipedia/commons/thumb/6/66/Downtown_Port_Dickson_south_view.jpg/1280px-Downtown_Port_Dickson_south_view.jpg?utm_source=commons.wikimedia.org&amp;utm_campaign=imageinfo&amp;utm_content=thumbnail</x:v>
      </x:c>
      <x:c r="E118" s="117" t="str">
        <x:v>https://commons.wikimedia.org/wiki/File:Downtown_Port_Dickson_south_view.jpg</x:v>
      </x:c>
      <x:c r="F118" s="117" t="str">
        <x:v>File:Downtown Port Dickson south view.jpg</x:v>
      </x:c>
      <x:c r="G118" s="117" t="str">
        <x:v>AyyanD</x:v>
      </x:c>
      <x:c r="H118" s="117" t="str">
        <x:v>CC BY-SA 4.0</x:v>
      </x:c>
      <x:c r="I118" s="117" t="str">
        <x:v>https://creativecommons.org/licenses/by-sa/4.0</x:v>
      </x:c>
      <x:c r="J118" s="117" t="str">
        <x:v>true</x:v>
      </x:c>
      <x:c r="K118" s="117" t="str">
        <x:v>Own work</x:v>
      </x:c>
      <x:c r="L118" s="117" t="str">
        <x:v>Exact name or all distinctive place-name tokens in file metadata</x:v>
      </x:c>
      <x:c r="M118" s="117" t="str">
        <x:v>Not visually reviewed</x:v>
      </x:c>
      <x:c r="N118" s="117" t="str">
        <x:v>2026-09-08</x:v>
      </x:c>
    </x:row>
    <x:row r="119" ht="48" customHeight="1">
      <x:c r="A119" s="117" t="str">
        <x:v>MC0115</x:v>
      </x:c>
      <x:c r="B119" s="117" t="str">
        <x:v>Port Dickson</x:v>
      </x:c>
      <x:c r="C119" s="117" t="n">
        <x:v>2</x:v>
      </x:c>
      <x:c r="D119" s="117" t="str">
        <x:v>https://thumb.wikimedia.org/wikipedia/commons/thumb/3/3f/Port_Dickson_Town_Center_3.jpg/1280px-Port_Dickson_Town_Center_3.jpg?utm_source=commons.wikimedia.org&amp;utm_campaign=imageinfo&amp;utm_content=thumbnail</x:v>
      </x:c>
      <x:c r="E119" s="117" t="str">
        <x:v>https://commons.wikimedia.org/wiki/File:Port_Dickson_Town_Center_3.jpg</x:v>
      </x:c>
      <x:c r="F119" s="117" t="str">
        <x:v>File:Port Dickson Town Center 3.jpg</x:v>
      </x:c>
      <x:c r="G119" s="117" t="str">
        <x:v>Wiki Farazi</x:v>
      </x:c>
      <x:c r="H119" s="117" t="str">
        <x:v>CC0</x:v>
      </x:c>
      <x:c r="I119" s="117" t="str">
        <x:v>http://creativecommons.org/publicdomain/zero/1.0/deed.en</x:v>
      </x:c>
      <x:c r="J119" s="117" t="str">
        <x:v>false</x:v>
      </x:c>
      <x:c r="K119" s="117" t="str">
        <x:v>Own work</x:v>
      </x:c>
      <x:c r="L119" s="117" t="str">
        <x:v>Exact name or all distinctive place-name tokens in file metadata</x:v>
      </x:c>
      <x:c r="M119" s="117" t="str">
        <x:v>Not visually reviewed</x:v>
      </x:c>
      <x:c r="N119" s="117" t="str">
        <x:v>2026-09-08</x:v>
      </x:c>
    </x:row>
    <x:row r="120" ht="48" customHeight="1">
      <x:c r="A120" s="117" t="str">
        <x:v>MC0116</x:v>
      </x:c>
      <x:c r="B120" s="117" t="str">
        <x:v>Ulu Bendul Recreational Forest</x:v>
      </x:c>
      <x:c r="C120" s="117" t="n">
        <x:v>1</x:v>
      </x:c>
      <x:c r="D120" s="117" t="str">
        <x:v>https://thumb.wikimedia.org/wikipedia/commons/thumb/4/45/Observed_by_Nature.jpg/1280px-Observed_by_Nature.jpg?utm_source=commons.wikimedia.org&amp;utm_campaign=imageinfo&amp;utm_content=thumbnail</x:v>
      </x:c>
      <x:c r="E120" s="117" t="str">
        <x:v>https://commons.wikimedia.org/wiki/File:Observed_by_Nature.jpg</x:v>
      </x:c>
      <x:c r="F120" s="117" t="str">
        <x:v>File:Observed by Nature.jpg</x:v>
      </x:c>
      <x:c r="G120" s="117" t="str">
        <x:v>Izz Amirul Azizan</x:v>
      </x:c>
      <x:c r="H120" s="117" t="str">
        <x:v>CC BY 4.0</x:v>
      </x:c>
      <x:c r="I120" s="117" t="str">
        <x:v>https://creativecommons.org/licenses/by/4.0</x:v>
      </x:c>
      <x:c r="J120" s="117" t="str">
        <x:v>true</x:v>
      </x:c>
      <x:c r="K120" s="117" t="str">
        <x:v>Own work</x:v>
      </x:c>
      <x:c r="L120" s="117" t="str">
        <x:v>Exact name or all distinctive place-name tokens in file metadata</x:v>
      </x:c>
      <x:c r="M120" s="117" t="str">
        <x:v>Not visually reviewed</x:v>
      </x:c>
      <x:c r="N120" s="117" t="str">
        <x:v>2026-09-08</x:v>
      </x:c>
    </x:row>
    <x:row r="121" ht="48" customHeight="1">
      <x:c r="A121" s="117" t="str">
        <x:v>MC0117</x:v>
      </x:c>
      <x:c r="B121" s="117" t="str">
        <x:v>Army Museum Port Dickson</x:v>
      </x:c>
      <x:c r="C121" s="117" t="n">
        <x:v>1</x:v>
      </x:c>
      <x:c r="D121" s="117" t="str">
        <x:v>https://upload.wikimedia.org/wikipedia/commons/0/07/Malaysian_Army_V-150_on_display.jpg?utm_source=commons.wikimedia.org&amp;utm_campaign=imageinfo&amp;utm_content=thumbnail_unscaled</x:v>
      </x:c>
      <x:c r="E121" s="117" t="str">
        <x:v>https://commons.wikimedia.org/wiki/File:Malaysian_Army_V-150_on_display.jpg</x:v>
      </x:c>
      <x:c r="F121" s="117" t="str">
        <x:v>File:Malaysian Army V-150 on display.jpg</x:v>
      </x:c>
      <x:c r="G121" s="117" t="str">
        <x:v>Joewings at en.wikipedia</x:v>
      </x:c>
      <x:c r="H121" s="117" t="str">
        <x:v>Public domain</x:v>
      </x:c>
      <x:c r="I121" s="117" t="str"/>
      <x:c r="J121" s="117" t="str">
        <x:v>false</x:v>
      </x:c>
      <x:c r="K121" s="117" t="str">
        <x:v>Own work (Original text: self-made)
Transferred from en.wikipedia to Commons by User:JohnnyMrNinja using CommonsHelper.</x:v>
      </x:c>
      <x:c r="L121" s="117" t="str">
        <x:v>Exact name or all distinctive place-name tokens in file metadata</x:v>
      </x:c>
      <x:c r="M121" s="117" t="str">
        <x:v>Not visually reviewed</x:v>
      </x:c>
      <x:c r="N121" s="117" t="str">
        <x:v>2026-09-08</x:v>
      </x:c>
    </x:row>
    <x:row r="122" ht="48" customHeight="1">
      <x:c r="A122" s="117" t="str">
        <x:v>MC0117</x:v>
      </x:c>
      <x:c r="B122" s="117" t="str">
        <x:v>Army Museum Port Dickson</x:v>
      </x:c>
      <x:c r="C122" s="117" t="n">
        <x:v>2</x:v>
      </x:c>
      <x:c r="D122" s="117" t="str">
        <x:v>https://upload.wikimedia.org/wikipedia/commons/d/d2/Without_wheel.jpg?utm_source=commons.wikimedia.org&amp;utm_campaign=imageinfo&amp;utm_content=thumbnail_unscaled</x:v>
      </x:c>
      <x:c r="E122" s="117" t="str">
        <x:v>https://commons.wikimedia.org/wiki/File:Without_wheel.jpg</x:v>
      </x:c>
      <x:c r="F122" s="117" t="str">
        <x:v>File:Without wheel.jpg</x:v>
      </x:c>
      <x:c r="G122" s="117" t="str">
        <x:v>Joewings (talk)</x:v>
      </x:c>
      <x:c r="H122" s="117" t="str">
        <x:v>Public domain</x:v>
      </x:c>
      <x:c r="I122" s="117" t="str"/>
      <x:c r="J122" s="117" t="str">
        <x:v>false</x:v>
      </x:c>
      <x:c r="K122" s="117" t="str">
        <x:v>Own work (Original text: self-made)</x:v>
      </x:c>
      <x:c r="L122" s="117" t="str">
        <x:v>Exact name or all distinctive place-name tokens in file metadata</x:v>
      </x:c>
      <x:c r="M122" s="117" t="str">
        <x:v>Not visually reviewed</x:v>
      </x:c>
      <x:c r="N122" s="117" t="str">
        <x:v>2026-09-08</x:v>
      </x:c>
    </x:row>
    <x:row r="123" ht="48" customHeight="1">
      <x:c r="A123" s="117" t="str">
        <x:v>MC0118</x:v>
      </x:c>
      <x:c r="B123" s="117" t="str">
        <x:v>Cape Rachado Lighthouse</x:v>
      </x:c>
      <x:c r="C123" s="117" t="n">
        <x:v>1</x:v>
      </x:c>
      <x:c r="D123" s="117" t="str">
        <x:v>https://thumb.wikimedia.org/wikipedia/commons/thumb/9/94/Cape_Rachado_Lighthouse%2C_Malacca%2C_Malaysia%2C_2024_02.jpg/1280px-Cape_Rachado_Lighthouse%2C_Malacca%2C_Malaysia%2C_2024_02.jpg?utm_source=commons.wikimedia.org&amp;utm_campaign=imageinfo&amp;utm_content=thumbnail</x:v>
      </x:c>
      <x:c r="E123" s="117" t="str">
        <x:v>https://commons.wikimedia.org/wiki/File:Cape_Rachado_Lighthouse,_Malacca,_Malaysia,_2024_02.jpg</x:v>
      </x:c>
      <x:c r="F123" s="117" t="str">
        <x:v>File:Cape Rachado Lighthouse, Malacca, Malaysia, 2024 02.jpg</x:v>
      </x:c>
      <x:c r="G123" s="117" t="str">
        <x:v>FBilula</x:v>
      </x:c>
      <x:c r="H123" s="117" t="str">
        <x:v>CC BY-SA 4.0</x:v>
      </x:c>
      <x:c r="I123" s="117" t="str">
        <x:v>https://creativecommons.org/licenses/by-sa/4.0</x:v>
      </x:c>
      <x:c r="J123" s="117" t="str">
        <x:v>true</x:v>
      </x:c>
      <x:c r="K123" s="117" t="str">
        <x:v>Own work</x:v>
      </x:c>
      <x:c r="L123" s="117" t="str">
        <x:v>Exact name or all distinctive place-name tokens in file metadata</x:v>
      </x:c>
      <x:c r="M123" s="117" t="str">
        <x:v>Not visually reviewed</x:v>
      </x:c>
      <x:c r="N123" s="117" t="str">
        <x:v>2026-09-08</x:v>
      </x:c>
    </x:row>
    <x:row r="124" ht="48" customHeight="1">
      <x:c r="A124" s="117" t="str">
        <x:v>MC0118</x:v>
      </x:c>
      <x:c r="B124" s="117" t="str">
        <x:v>Cape Rachado Lighthouse</x:v>
      </x:c>
      <x:c r="C124" s="117" t="n">
        <x:v>2</x:v>
      </x:c>
      <x:c r="D124" s="117" t="str">
        <x:v>https://thumb.wikimedia.org/wikipedia/commons/thumb/8/8e/Cape_Rachado_Lighthouse%2C_Malacca%2C_Malaysia%2C_2024_03.jpg/1280px-Cape_Rachado_Lighthouse%2C_Malacca%2C_Malaysia%2C_2024_03.jpg?utm_source=commons.wikimedia.org&amp;utm_campaign=imageinfo&amp;utm_content=thumbnail</x:v>
      </x:c>
      <x:c r="E124" s="117" t="str">
        <x:v>https://commons.wikimedia.org/wiki/File:Cape_Rachado_Lighthouse,_Malacca,_Malaysia,_2024_03.jpg</x:v>
      </x:c>
      <x:c r="F124" s="117" t="str">
        <x:v>File:Cape Rachado Lighthouse, Malacca, Malaysia, 2024 03.jpg</x:v>
      </x:c>
      <x:c r="G124" s="117" t="str">
        <x:v>FBilula</x:v>
      </x:c>
      <x:c r="H124" s="117" t="str">
        <x:v>CC BY-SA 4.0</x:v>
      </x:c>
      <x:c r="I124" s="117" t="str">
        <x:v>https://creativecommons.org/licenses/by-sa/4.0</x:v>
      </x:c>
      <x:c r="J124" s="117" t="str">
        <x:v>true</x:v>
      </x:c>
      <x:c r="K124" s="117" t="str">
        <x:v>Own work</x:v>
      </x:c>
      <x:c r="L124" s="117" t="str">
        <x:v>Exact name or all distinctive place-name tokens in file metadata</x:v>
      </x:c>
      <x:c r="M124" s="117" t="str">
        <x:v>Not visually reviewed</x:v>
      </x:c>
      <x:c r="N124" s="117" t="str">
        <x:v>2026-09-08</x:v>
      </x:c>
    </x:row>
    <x:row r="125" ht="48" customHeight="1">
      <x:c r="A125" s="117" t="str">
        <x:v>MC0119</x:v>
      </x:c>
      <x:c r="B125" s="117" t="str">
        <x:v>Lukut Museum and Fort</x:v>
      </x:c>
      <x:c r="C125" s="117" t="n">
        <x:v>1</x:v>
      </x:c>
      <x:c r="D125" s="117" t="str">
        <x:v>https://thumb.wikimedia.org/wikipedia/commons/thumb/5/50/Lukut_Museum_and_Fort.JPG/1280px-Lukut_Museum_and_Fort.JPG?utm_source=commons.wikimedia.org&amp;utm_campaign=imageinfo&amp;utm_content=thumbnail</x:v>
      </x:c>
      <x:c r="E125" s="117" t="str">
        <x:v>https://commons.wikimedia.org/wiki/File:Lukut_Museum_and_Fort.JPG</x:v>
      </x:c>
      <x:c r="F125" s="117" t="str">
        <x:v>File:Lukut Museum and Fort.JPG</x:v>
      </x:c>
      <x:c r="G125" s="117" t="str">
        <x:v>Chongkian</x:v>
      </x:c>
      <x:c r="H125" s="117" t="str">
        <x:v>CC BY-SA 4.0</x:v>
      </x:c>
      <x:c r="I125" s="117" t="str">
        <x:v>https://creativecommons.org/licenses/by-sa/4.0</x:v>
      </x:c>
      <x:c r="J125" s="117" t="str">
        <x:v>true</x:v>
      </x:c>
      <x:c r="K125" s="117" t="str">
        <x:v>Own work</x:v>
      </x:c>
      <x:c r="L125" s="117" t="str">
        <x:v>Exact name or all distinctive place-name tokens in file metadata</x:v>
      </x:c>
      <x:c r="M125" s="117" t="str">
        <x:v>Not visually reviewed</x:v>
      </x:c>
      <x:c r="N125" s="117" t="str">
        <x:v>2026-09-08</x:v>
      </x:c>
    </x:row>
    <x:row r="126" ht="48" customHeight="1">
      <x:c r="A126" s="117" t="str">
        <x:v>MC0122</x:v>
      </x:c>
      <x:c r="B126" s="117" t="str">
        <x:v>Gunung Angsi</x:v>
      </x:c>
      <x:c r="C126" s="117" t="n">
        <x:v>1</x:v>
      </x:c>
      <x:c r="D126" s="117" t="str">
        <x:v>https://thumb.wikimedia.org/wikipedia/commons/thumb/b/b4/Gunung_Angsi_entrance_gate_in_2018.jpg/1280px-Gunung_Angsi_entrance_gate_in_2018.jpg?utm_source=commons.wikimedia.org&amp;utm_campaign=imageinfo&amp;utm_content=thumbnail</x:v>
      </x:c>
      <x:c r="E126" s="117" t="str">
        <x:v>https://commons.wikimedia.org/wiki/File:Gunung_Angsi_entrance_gate_in_2018.jpg</x:v>
      </x:c>
      <x:c r="F126" s="117" t="str">
        <x:v>File:Gunung Angsi entrance gate in 2018.jpg</x:v>
      </x:c>
      <x:c r="G126" s="117" t="str">
        <x:v>WPSamson</x:v>
      </x:c>
      <x:c r="H126" s="117" t="str">
        <x:v>CC0</x:v>
      </x:c>
      <x:c r="I126" s="117" t="str">
        <x:v>http://creativecommons.org/publicdomain/zero/1.0/deed.en</x:v>
      </x:c>
      <x:c r="J126" s="117" t="str">
        <x:v>false</x:v>
      </x:c>
      <x:c r="K126" s="117" t="str">
        <x:v>Own work</x:v>
      </x:c>
      <x:c r="L126" s="117" t="str">
        <x:v>Exact name or all distinctive place-name tokens in file metadata</x:v>
      </x:c>
      <x:c r="M126" s="117" t="str">
        <x:v>Not visually reviewed</x:v>
      </x:c>
      <x:c r="N126" s="117" t="str">
        <x:v>2026-09-08</x:v>
      </x:c>
    </x:row>
    <x:row r="127" ht="48" customHeight="1">
      <x:c r="A127" s="117" t="str">
        <x:v>MC0122</x:v>
      </x:c>
      <x:c r="B127" s="117" t="str">
        <x:v>Gunung Angsi</x:v>
      </x:c>
      <x:c r="C127" s="117" t="n">
        <x:v>2</x:v>
      </x:c>
      <x:c r="D127" s="117" t="str">
        <x:v>https://thumb.wikimedia.org/wikipedia/commons/thumb/7/7d/Hutan_Lipur_Ulu_Bendul%2C_located_in_Kuala_Pilah%2C_Negeri_Sembilan.jpg/1280px-Hutan_Lipur_Ulu_Bendul%2C_located_in_Kuala_Pilah%2C_Negeri_Sembilan.jpg?utm_source=commons.wikimedia.org&amp;utm_campaign=imageinfo&amp;utm_content=thumbnail</x:v>
      </x:c>
      <x:c r="E127" s="117" t="str">
        <x:v>https://commons.wikimedia.org/wiki/File:Hutan_Lipur_Ulu_Bendul,_located_in_Kuala_Pilah,_Negeri_Sembilan.jpg</x:v>
      </x:c>
      <x:c r="F127" s="117" t="str">
        <x:v>File:Hutan Lipur Ulu Bendul, located in Kuala Pilah, Negeri Sembilan.jpg</x:v>
      </x:c>
      <x:c r="G127" s="117" t="str">
        <x:v>Wenny Gan</x:v>
      </x:c>
      <x:c r="H127" s="117" t="str">
        <x:v>CC BY-SA 4.0</x:v>
      </x:c>
      <x:c r="I127" s="117" t="str">
        <x:v>https://creativecommons.org/licenses/by-sa/4.0</x:v>
      </x:c>
      <x:c r="J127" s="117" t="str">
        <x:v>true</x:v>
      </x:c>
      <x:c r="K127" s="117" t="str">
        <x:v>Own work</x:v>
      </x:c>
      <x:c r="L127" s="117" t="str">
        <x:v>Exact name or all distinctive place-name tokens in file metadata</x:v>
      </x:c>
      <x:c r="M127" s="117" t="str">
        <x:v>Not visually reviewed</x:v>
      </x:c>
      <x:c r="N127" s="117" t="str">
        <x:v>2026-09-08</x:v>
      </x:c>
    </x:row>
    <x:row r="128" ht="48" customHeight="1">
      <x:c r="A128" s="117" t="str">
        <x:v>MC0123</x:v>
      </x:c>
      <x:c r="B128" s="117" t="str">
        <x:v>Taman Tasik Seremban</x:v>
      </x:c>
      <x:c r="C128" s="117" t="n">
        <x:v>1</x:v>
      </x:c>
      <x:c r="D128" s="117" t="str">
        <x:v>https://thumb.wikimedia.org/wikipedia/commons/thumb/a/ae/White_House_Seremban_from_Taman_Tasik_Seremban.jpg/1280px-White_House_Seremban_from_Taman_Tasik_Seremban.jpg?utm_source=commons.wikimedia.org&amp;utm_campaign=imageinfo&amp;utm_content=thumbnail</x:v>
      </x:c>
      <x:c r="E128" s="117" t="str">
        <x:v>https://commons.wikimedia.org/wiki/File:White_House_Seremban_from_Taman_Tasik_Seremban.jpg</x:v>
      </x:c>
      <x:c r="F128" s="117" t="str">
        <x:v>File:White House Seremban from Taman Tasik Seremban.jpg</x:v>
      </x:c>
      <x:c r="G128" s="117" t="str">
        <x:v>Ardzun</x:v>
      </x:c>
      <x:c r="H128" s="117" t="str">
        <x:v>CC BY-SA 4.0</x:v>
      </x:c>
      <x:c r="I128" s="117" t="str">
        <x:v>https://creativecommons.org/licenses/by-sa/4.0</x:v>
      </x:c>
      <x:c r="J128" s="117" t="str">
        <x:v>true</x:v>
      </x:c>
      <x:c r="K128" s="117" t="str">
        <x:v>Own work</x:v>
      </x:c>
      <x:c r="L128" s="117" t="str">
        <x:v>Exact name or all distinctive place-name tokens in file metadata</x:v>
      </x:c>
      <x:c r="M128" s="117" t="str">
        <x:v>Not visually reviewed</x:v>
      </x:c>
      <x:c r="N128" s="117" t="str">
        <x:v>2026-09-08</x:v>
      </x:c>
    </x:row>
    <x:row r="129" ht="48" customHeight="1">
      <x:c r="A129" s="117" t="str">
        <x:v>MC0123</x:v>
      </x:c>
      <x:c r="B129" s="117" t="str">
        <x:v>Taman Tasik Seremban</x:v>
      </x:c>
      <x:c r="C129" s="117" t="n">
        <x:v>2</x:v>
      </x:c>
      <x:c r="D129" s="117" t="str">
        <x:v>https://thumb.wikimedia.org/wikipedia/commons/thumb/b/b7/Parking_Lot_of_Taman_Tasik_Seremban_02072025.jpg/1280px-Parking_Lot_of_Taman_Tasik_Seremban_02072025.jpg?utm_source=commons.wikimedia.org&amp;utm_campaign=imageinfo&amp;utm_content=thumbnail</x:v>
      </x:c>
      <x:c r="E129" s="117" t="str">
        <x:v>https://commons.wikimedia.org/wiki/File:Parking_Lot_of_Taman_Tasik_Seremban_02072025.jpg</x:v>
      </x:c>
      <x:c r="F129" s="117" t="str">
        <x:v>File:Parking Lot of Taman Tasik Seremban 02072025.jpg</x:v>
      </x:c>
      <x:c r="G129" s="117" t="str">
        <x:v>Ardzun</x:v>
      </x:c>
      <x:c r="H129" s="117" t="str">
        <x:v>CC BY-SA 4.0</x:v>
      </x:c>
      <x:c r="I129" s="117" t="str">
        <x:v>https://creativecommons.org/licenses/by-sa/4.0</x:v>
      </x:c>
      <x:c r="J129" s="117" t="str">
        <x:v>true</x:v>
      </x:c>
      <x:c r="K129" s="117" t="str">
        <x:v>Own work</x:v>
      </x:c>
      <x:c r="L129" s="117" t="str">
        <x:v>Exact name or all distinctive place-name tokens in file metadata</x:v>
      </x:c>
      <x:c r="M129" s="117" t="str">
        <x:v>Not visually reviewed</x:v>
      </x:c>
      <x:c r="N129" s="117" t="str">
        <x:v>2026-09-08</x:v>
      </x:c>
    </x:row>
    <x:row r="130" ht="48" customHeight="1">
      <x:c r="A130" s="117" t="str">
        <x:v>MC0124</x:v>
      </x:c>
      <x:c r="B130" s="117" t="str">
        <x:v>Jeram Toi Recreational Forest</x:v>
      </x:c>
      <x:c r="C130" s="117" t="n">
        <x:v>1</x:v>
      </x:c>
      <x:c r="D130" s="117" t="str">
        <x:v>https://thumb.wikimedia.org/wikipedia/commons/thumb/5/59/Jeram_Toi_Recreational_Forest.jpg/1280px-Jeram_Toi_Recreational_Forest.jpg?utm_source=commons.wikimedia.org&amp;utm_campaign=imageinfo&amp;utm_content=thumbnail</x:v>
      </x:c>
      <x:c r="E130" s="117" t="str">
        <x:v>https://commons.wikimedia.org/wiki/File:Jeram_Toi_Recreational_Forest.jpg</x:v>
      </x:c>
      <x:c r="F130" s="117" t="str">
        <x:v>File:Jeram Toi Recreational Forest.jpg</x:v>
      </x:c>
      <x:c r="G130" s="117" t="str">
        <x:v>Chongkian</x:v>
      </x:c>
      <x:c r="H130" s="117" t="str">
        <x:v>CC BY-SA 4.0</x:v>
      </x:c>
      <x:c r="I130" s="117" t="str">
        <x:v>https://creativecommons.org/licenses/by-sa/4.0</x:v>
      </x:c>
      <x:c r="J130" s="117" t="str">
        <x:v>true</x:v>
      </x:c>
      <x:c r="K130" s="117" t="str">
        <x:v>Own work</x:v>
      </x:c>
      <x:c r="L130" s="117" t="str">
        <x:v>Exact name or all distinctive place-name tokens in file metadata</x:v>
      </x:c>
      <x:c r="M130" s="117" t="str">
        <x:v>Not visually reviewed</x:v>
      </x:c>
      <x:c r="N130" s="117" t="str">
        <x:v>2026-09-08</x:v>
      </x:c>
    </x:row>
    <x:row r="131" ht="48" customHeight="1">
      <x:c r="A131" s="117" t="str">
        <x:v>MC0126</x:v>
      </x:c>
      <x:c r="B131" s="117" t="str">
        <x:v>Seremban Lake Garden</x:v>
      </x:c>
      <x:c r="C131" s="117" t="n">
        <x:v>1</x:v>
      </x:c>
      <x:c r="D131" s="117" t="str">
        <x:v>https://thumb.wikimedia.org/wikipedia/commons/thumb/a/ae/White_House_Seremban_from_Taman_Tasik_Seremban.jpg/1280px-White_House_Seremban_from_Taman_Tasik_Seremban.jpg?utm_source=commons.wikimedia.org&amp;utm_campaign=imageinfo&amp;utm_content=thumbnail</x:v>
      </x:c>
      <x:c r="E131" s="117" t="str">
        <x:v>https://commons.wikimedia.org/wiki/File:White_House_Seremban_from_Taman_Tasik_Seremban.jpg</x:v>
      </x:c>
      <x:c r="F131" s="117" t="str">
        <x:v>File:White House Seremban from Taman Tasik Seremban.jpg</x:v>
      </x:c>
      <x:c r="G131" s="117" t="str">
        <x:v>Ardzun</x:v>
      </x:c>
      <x:c r="H131" s="117" t="str">
        <x:v>CC BY-SA 4.0</x:v>
      </x:c>
      <x:c r="I131" s="117" t="str">
        <x:v>https://creativecommons.org/licenses/by-sa/4.0</x:v>
      </x:c>
      <x:c r="J131" s="117" t="str">
        <x:v>true</x:v>
      </x:c>
      <x:c r="K131" s="117" t="str">
        <x:v>Own work</x:v>
      </x:c>
      <x:c r="L131" s="117" t="str">
        <x:v>Exact name or all distinctive place-name tokens in file metadata</x:v>
      </x:c>
      <x:c r="M131" s="117" t="str">
        <x:v>Not visually reviewed</x:v>
      </x:c>
      <x:c r="N131" s="117" t="str">
        <x:v>2026-09-08</x:v>
      </x:c>
    </x:row>
    <x:row r="132" ht="48" customHeight="1">
      <x:c r="A132" s="117" t="str">
        <x:v>MC0126</x:v>
      </x:c>
      <x:c r="B132" s="117" t="str">
        <x:v>Seremban Lake Garden</x:v>
      </x:c>
      <x:c r="C132" s="117" t="n">
        <x:v>2</x:v>
      </x:c>
      <x:c r="D132" s="117" t="str">
        <x:v>https://thumb.wikimedia.org/wikipedia/commons/thumb/b/b7/Parking_Lot_of_Taman_Tasik_Seremban_02072025.jpg/1280px-Parking_Lot_of_Taman_Tasik_Seremban_02072025.jpg?utm_source=commons.wikimedia.org&amp;utm_campaign=imageinfo&amp;utm_content=thumbnail</x:v>
      </x:c>
      <x:c r="E132" s="117" t="str">
        <x:v>https://commons.wikimedia.org/wiki/File:Parking_Lot_of_Taman_Tasik_Seremban_02072025.jpg</x:v>
      </x:c>
      <x:c r="F132" s="117" t="str">
        <x:v>File:Parking Lot of Taman Tasik Seremban 02072025.jpg</x:v>
      </x:c>
      <x:c r="G132" s="117" t="str">
        <x:v>Ardzun</x:v>
      </x:c>
      <x:c r="H132" s="117" t="str">
        <x:v>CC BY-SA 4.0</x:v>
      </x:c>
      <x:c r="I132" s="117" t="str">
        <x:v>https://creativecommons.org/licenses/by-sa/4.0</x:v>
      </x:c>
      <x:c r="J132" s="117" t="str">
        <x:v>true</x:v>
      </x:c>
      <x:c r="K132" s="117" t="str">
        <x:v>Own work</x:v>
      </x:c>
      <x:c r="L132" s="117" t="str">
        <x:v>Exact name or all distinctive place-name tokens in file metadata</x:v>
      </x:c>
      <x:c r="M132" s="117" t="str">
        <x:v>Not visually reviewed</x:v>
      </x:c>
      <x:c r="N132" s="117" t="str">
        <x:v>2026-09-08</x:v>
      </x:c>
    </x:row>
    <x:row r="133" ht="48" customHeight="1">
      <x:c r="A133" s="117" t="str">
        <x:v>MC0129</x:v>
      </x:c>
      <x:c r="B133" s="117" t="str">
        <x:v>Seri Menanti Royal Museum</x:v>
      </x:c>
      <x:c r="C133" s="117" t="n">
        <x:v>1</x:v>
      </x:c>
      <x:c r="D133" s="117" t="str">
        <x:v>https://upload.wikimedia.org/wikipedia/commons/c/c7/The_old_illustrate_image_that_shown_the_settings_of_Seri_Menanti_Royal_town_dating_from_1920.jpg?utm_source=commons.wikimedia.org&amp;utm_campaign=imageinfo&amp;utm_content=thumbnail_unscaled</x:v>
      </x:c>
      <x:c r="E133" s="117" t="str">
        <x:v>https://commons.wikimedia.org/wiki/File:The_old_illustrate_image_that_shown_the_settings_of_Seri_Menanti_Royal_town_dating_from_1920.jpg</x:v>
      </x:c>
      <x:c r="F133" s="117" t="str">
        <x:v>File:The old illustrate image that shown the settings of Seri Menanti Royal town dating from 1920.jpg</x:v>
      </x:c>
      <x:c r="G133" s="117" t="str">
        <x:v>Unknown</x:v>
      </x:c>
      <x:c r="H133" s="117" t="str">
        <x:v>CC BY 3.0</x:v>
      </x:c>
      <x:c r="I133" s="117" t="str">
        <x:v>https://creativecommons.org/licenses/by/3.0</x:v>
      </x:c>
      <x:c r="J133" s="117" t="str">
        <x:v>true</x:v>
      </x:c>
      <x:c r="K133" s="117" t="str">
        <x:v>Shukri, S M (2020-01-01). "Revealing Malay Royal Town Identity: Seri Menanti, Negeri Sembilan". IOP Conference Series: Earth and Environmental Science 409 (1): 012034. DOI:10.1088/1755-1315/409/1/012034. ISSN 1755-1307.</x:v>
      </x:c>
      <x:c r="L133" s="117" t="str">
        <x:v>Exact name or all distinctive place-name tokens in file metadata</x:v>
      </x:c>
      <x:c r="M133" s="117" t="str">
        <x:v>Not visually reviewed</x:v>
      </x:c>
      <x:c r="N133" s="117" t="str">
        <x:v>2026-09-08</x:v>
      </x:c>
    </x:row>
    <x:row r="134" ht="48" customHeight="1">
      <x:c r="A134" s="117" t="str">
        <x:v>MC0130</x:v>
      </x:c>
      <x:c r="B134" s="117" t="str">
        <x:v>Rembau Museum</x:v>
      </x:c>
      <x:c r="C134" s="117" t="n">
        <x:v>1</x:v>
      </x:c>
      <x:c r="D134" s="117" t="str">
        <x:v>https://thumb.wikimedia.org/wikipedia/commons/thumb/d/d6/Rembau_Museum_07-06-2023_5.jpg/1280px-Rembau_Museum_07-06-2023_5.jpg?utm_source=commons.wikimedia.org&amp;utm_campaign=imageinfo&amp;utm_content=thumbnail</x:v>
      </x:c>
      <x:c r="E134" s="117" t="str">
        <x:v>https://commons.wikimedia.org/wiki/File:Rembau_Museum_07-06-2023_5.jpg</x:v>
      </x:c>
      <x:c r="F134" s="117" t="str">
        <x:v>File:Rembau Museum 07-06-2023 5.jpg</x:v>
      </x:c>
      <x:c r="G134" s="117" t="str">
        <x:v>Zahirulnukman</x:v>
      </x:c>
      <x:c r="H134" s="117" t="str">
        <x:v>CC BY 3.0</x:v>
      </x:c>
      <x:c r="I134" s="117" t="str">
        <x:v>https://creativecommons.org/licenses/by/3.0</x:v>
      </x:c>
      <x:c r="J134" s="117" t="str">
        <x:v>true</x:v>
      </x:c>
      <x:c r="K134" s="117" t="str">
        <x:v>Own work</x:v>
      </x:c>
      <x:c r="L134" s="117" t="str">
        <x:v>Exact name or all distinctive place-name tokens in file metadata</x:v>
      </x:c>
      <x:c r="M134" s="117" t="str">
        <x:v>Not visually reviewed</x:v>
      </x:c>
      <x:c r="N134" s="117" t="str">
        <x:v>2026-09-08</x:v>
      </x:c>
    </x:row>
    <x:row r="135" ht="48" customHeight="1">
      <x:c r="A135" s="117" t="str">
        <x:v>MC0130</x:v>
      </x:c>
      <x:c r="B135" s="117" t="str">
        <x:v>Rembau Museum</x:v>
      </x:c>
      <x:c r="C135" s="117" t="n">
        <x:v>2</x:v>
      </x:c>
      <x:c r="D135" s="117" t="str">
        <x:v>https://thumb.wikimedia.org/wikipedia/commons/thumb/e/e8/Rembau_Museum_07-06-2023_1.jpg/1280px-Rembau_Museum_07-06-2023_1.jpg?utm_source=commons.wikimedia.org&amp;utm_campaign=imageinfo&amp;utm_content=thumbnail</x:v>
      </x:c>
      <x:c r="E135" s="117" t="str">
        <x:v>https://commons.wikimedia.org/wiki/File:Rembau_Museum_07-06-2023_1.jpg</x:v>
      </x:c>
      <x:c r="F135" s="117" t="str">
        <x:v>File:Rembau Museum 07-06-2023 1.jpg</x:v>
      </x:c>
      <x:c r="G135" s="117" t="str">
        <x:v>Zahirulnukman</x:v>
      </x:c>
      <x:c r="H135" s="117" t="str">
        <x:v>CC BY 3.0</x:v>
      </x:c>
      <x:c r="I135" s="117" t="str">
        <x:v>https://creativecommons.org/licenses/by/3.0</x:v>
      </x:c>
      <x:c r="J135" s="117" t="str">
        <x:v>true</x:v>
      </x:c>
      <x:c r="K135" s="117" t="str">
        <x:v>Own work</x:v>
      </x:c>
      <x:c r="L135" s="117" t="str">
        <x:v>Exact name or all distinctive place-name tokens in file metadata</x:v>
      </x:c>
      <x:c r="M135" s="117" t="str">
        <x:v>Not visually reviewed</x:v>
      </x:c>
      <x:c r="N135" s="117" t="str">
        <x:v>2026-09-08</x:v>
      </x:c>
    </x:row>
    <x:row r="136" ht="48" customHeight="1">
      <x:c r="A136" s="117" t="str">
        <x:v>MC0133</x:v>
      </x:c>
      <x:c r="B136" s="117" t="str">
        <x:v>Kenaboi State Park</x:v>
      </x:c>
      <x:c r="C136" s="117" t="n">
        <x:v>1</x:v>
      </x:c>
      <x:c r="D136" s="117" t="str">
        <x:v>https://upload.wikimedia.org/wikipedia/commons/6/6d/Lata_Kijang.jpg?utm_source=commons.wikimedia.org&amp;utm_campaign=imageinfo&amp;utm_content=thumbnail_unscaled</x:v>
      </x:c>
      <x:c r="E136" s="117" t="str">
        <x:v>https://commons.wikimedia.org/wiki/File:Lata_Kijang.jpg</x:v>
      </x:c>
      <x:c r="F136" s="117" t="str">
        <x:v>File:Lata Kijang.jpg</x:v>
      </x:c>
      <x:c r="G136" s="117" t="str">
        <x:v>Jabatan Perhutanan Semenanjung Malaysia</x:v>
      </x:c>
      <x:c r="H136" s="117" t="str">
        <x:v>CC BY-SA 4.0</x:v>
      </x:c>
      <x:c r="I136" s="117" t="str">
        <x:v>https://creativecommons.org/licenses/by-sa/4.0</x:v>
      </x:c>
      <x:c r="J136" s="117" t="str">
        <x:v>true</x:v>
      </x:c>
      <x:c r="K136" s="117" t="str">
        <x:v>https://www.forestry.gov.my/my/negeri-sembilan/taman-eko-rimba-lata-kijang</x:v>
      </x:c>
      <x:c r="L136" s="117" t="str">
        <x:v>Exact name or all distinctive place-name tokens in file metadata</x:v>
      </x:c>
      <x:c r="M136" s="117" t="str">
        <x:v>Not visually reviewed</x:v>
      </x:c>
      <x:c r="N136" s="117" t="str">
        <x:v>2026-09-08</x:v>
      </x:c>
    </x:row>
    <x:row r="137" ht="48" customHeight="1">
      <x:c r="A137" s="117" t="str">
        <x:v>MC0134</x:v>
      </x:c>
      <x:c r="B137" s="117" t="str">
        <x:v>Teratak Za'aba</x:v>
      </x:c>
      <x:c r="C137" s="117" t="n">
        <x:v>1</x:v>
      </x:c>
      <x:c r="D137" s="117" t="str">
        <x:v>https://upload.wikimedia.org/wikipedia/commons/8/88/Teratak_za%27aba.jpg?utm_source=commons.wikimedia.org&amp;utm_campaign=imageinfo&amp;utm_content=thumbnail_unscaled</x:v>
      </x:c>
      <x:c r="E137" s="117" t="str">
        <x:v>https://commons.wikimedia.org/wiki/File:Teratak_za%27aba.jpg</x:v>
      </x:c>
      <x:c r="F137" s="117" t="str">
        <x:v>File:Teratak za'aba.jpg</x:v>
      </x:c>
      <x:c r="G137" s="117" t="str">
        <x:v>Tripadvisor</x:v>
      </x:c>
      <x:c r="H137" s="117" t="str">
        <x:v>CC BY-SA 4.0</x:v>
      </x:c>
      <x:c r="I137" s="117" t="str">
        <x:v>https://creativecommons.org/licenses/by-sa/4.0</x:v>
      </x:c>
      <x:c r="J137" s="117" t="str">
        <x:v>true</x:v>
      </x:c>
      <x:c r="K137" s="117" t="str">
        <x:v>https://www.tripadvisor.com.my/ShowUserReviews-g3862491-d15286045-r630414215-Teratak_Za_ba-Bahau_Negeri_Sembilan.html</x:v>
      </x:c>
      <x:c r="L137" s="117" t="str">
        <x:v>Exact name or all distinctive place-name tokens in file metadata</x:v>
      </x:c>
      <x:c r="M137" s="117" t="str">
        <x:v>Not visually reviewed</x:v>
      </x:c>
      <x:c r="N137" s="117" t="str">
        <x:v>2026-09-08</x:v>
      </x:c>
    </x:row>
    <x:row r="138" ht="48" customHeight="1">
      <x:c r="A138" s="117" t="str">
        <x:v>MC0136</x:v>
      </x:c>
      <x:c r="B138" s="117" t="str">
        <x:v>Blue Lagoon</x:v>
      </x:c>
      <x:c r="C138" s="117" t="n">
        <x:v>1</x:v>
      </x:c>
      <x:c r="D138" s="117" t="str">
        <x:v>https://upload.wikimedia.org/wikipedia/commons/f/f1/Blue_Lagoon_Members.jpg?utm_source=commons.wikimedia.org&amp;utm_campaign=imageinfo&amp;utm_content=thumbnail_unscaled</x:v>
      </x:c>
      <x:c r="E138" s="117" t="str">
        <x:v>https://commons.wikimedia.org/wiki/File:Blue_Lagoon_Members.jpg</x:v>
      </x:c>
      <x:c r="F138" s="117" t="str">
        <x:v>File:Blue Lagoon Members.jpg</x:v>
      </x:c>
      <x:c r="G138" s="117" t="str">
        <x:v>David O Joseph</x:v>
      </x:c>
      <x:c r="H138" s="117" t="str">
        <x:v>CC BY-SA 4.0</x:v>
      </x:c>
      <x:c r="I138" s="117" t="str">
        <x:v>https://creativecommons.org/licenses/by-sa/4.0</x:v>
      </x:c>
      <x:c r="J138" s="117" t="str">
        <x:v>true</x:v>
      </x:c>
      <x:c r="K138" s="117" t="str">
        <x:v>Own work</x:v>
      </x:c>
      <x:c r="L138" s="117" t="str">
        <x:v>Exact name or all distinctive place-name tokens in file metadata</x:v>
      </x:c>
      <x:c r="M138" s="117" t="str">
        <x:v>Not visually reviewed</x:v>
      </x:c>
      <x:c r="N138" s="117" t="str">
        <x:v>2026-09-08</x:v>
      </x:c>
    </x:row>
    <x:row r="139" ht="48" customHeight="1">
      <x:c r="A139" s="117" t="str">
        <x:v>MC0136</x:v>
      </x:c>
      <x:c r="B139" s="117" t="str">
        <x:v>Blue Lagoon</x:v>
      </x:c>
      <x:c r="C139" s="117" t="n">
        <x:v>2</x:v>
      </x:c>
      <x:c r="D139" s="117" t="str">
        <x:v>https://thumb.wikimedia.org/wikipedia/commons/thumb/7/78/The_Blue_Lagoon_2.jpg/1280px-The_Blue_Lagoon_2.jpg?utm_source=commons.wikimedia.org&amp;utm_campaign=imageinfo&amp;utm_content=thumbnail</x:v>
      </x:c>
      <x:c r="E139" s="117" t="str">
        <x:v>https://commons.wikimedia.org/wiki/File:The_Blue_Lagoon_2.jpg</x:v>
      </x:c>
      <x:c r="F139" s="117" t="str">
        <x:v>File:The Blue Lagoon 2.jpg</x:v>
      </x:c>
      <x:c r="G139" s="117" t="str">
        <x:v>JavierOlivares</x:v>
      </x:c>
      <x:c r="H139" s="117" t="str">
        <x:v>CC BY-SA 4.0</x:v>
      </x:c>
      <x:c r="I139" s="117" t="str">
        <x:v>https://creativecommons.org/licenses/by-sa/4.0</x:v>
      </x:c>
      <x:c r="J139" s="117" t="str">
        <x:v>true</x:v>
      </x:c>
      <x:c r="K139" s="117" t="str">
        <x:v>Own work</x:v>
      </x:c>
      <x:c r="L139" s="117" t="str">
        <x:v>Exact name or all distinctive place-name tokens in file metadata</x:v>
      </x:c>
      <x:c r="M139" s="117" t="str">
        <x:v>Not visually reviewed</x:v>
      </x:c>
      <x:c r="N139" s="117" t="str">
        <x:v>2026-09-08</x:v>
      </x:c>
    </x:row>
    <x:row r="140" ht="48" customHeight="1">
      <x:c r="A140" s="117" t="str">
        <x:v>MC0140</x:v>
      </x:c>
      <x:c r="B140" s="117" t="str">
        <x:v>Genting Highlands</x:v>
      </x:c>
      <x:c r="C140" s="117" t="n">
        <x:v>1</x:v>
      </x:c>
      <x:c r="D140" s="117" t="str">
        <x:v>https://thumb.wikimedia.org/wikipedia/commons/thumb/0/04/GrandIonCityGenting.jpg/1280px-GrandIonCityGenting.jpg?utm_source=commons.wikimedia.org&amp;utm_campaign=imageinfo&amp;utm_content=thumbnail</x:v>
      </x:c>
      <x:c r="E140" s="117" t="str">
        <x:v>https://commons.wikimedia.org/wiki/File:GrandIonCityGenting.jpg</x:v>
      </x:c>
      <x:c r="F140" s="117" t="str">
        <x:v>File:GrandIonCityGenting.jpg</x:v>
      </x:c>
      <x:c r="G140" s="117" t="str">
        <x:v>KayJay2401</x:v>
      </x:c>
      <x:c r="H140" s="117" t="str">
        <x:v>CC BY-SA 4.0</x:v>
      </x:c>
      <x:c r="I140" s="117" t="str">
        <x:v>https://creativecommons.org/licenses/by-sa/4.0</x:v>
      </x:c>
      <x:c r="J140" s="117" t="str">
        <x:v>true</x:v>
      </x:c>
      <x:c r="K140" s="117" t="str">
        <x:v>Own work</x:v>
      </x:c>
      <x:c r="L140" s="117" t="str">
        <x:v>Exact name or all distinctive place-name tokens in file metadata</x:v>
      </x:c>
      <x:c r="M140" s="117" t="str">
        <x:v>Not visually reviewed</x:v>
      </x:c>
      <x:c r="N140" s="117" t="str">
        <x:v>2026-09-08</x:v>
      </x:c>
    </x:row>
    <x:row r="141" ht="48" customHeight="1">
      <x:c r="A141" s="117" t="str">
        <x:v>MC0140</x:v>
      </x:c>
      <x:c r="B141" s="117" t="str">
        <x:v>Genting Highlands</x:v>
      </x:c>
      <x:c r="C141" s="117" t="n">
        <x:v>2</x:v>
      </x:c>
      <x:c r="D141" s="117" t="str">
        <x:v>https://thumb.wikimedia.org/wikipedia/commons/thumb/9/95/The_Tree_Drowned_in_the_Fog.jpg/1280px-The_Tree_Drowned_in_the_Fog.jpg?utm_source=commons.wikimedia.org&amp;utm_campaign=imageinfo&amp;utm_content=thumbnail</x:v>
      </x:c>
      <x:c r="E141" s="117" t="str">
        <x:v>https://commons.wikimedia.org/wiki/File:The_Tree_Drowned_in_the_Fog.jpg</x:v>
      </x:c>
      <x:c r="F141" s="117" t="str">
        <x:v>File:The Tree Drowned in the Fog.jpg</x:v>
      </x:c>
      <x:c r="G141" s="117" t="str">
        <x:v>Taha Akbari</x:v>
      </x:c>
      <x:c r="H141" s="117" t="str">
        <x:v>CC BY-SA 4.0</x:v>
      </x:c>
      <x:c r="I141" s="117" t="str">
        <x:v>https://creativecommons.org/licenses/by-sa/4.0</x:v>
      </x:c>
      <x:c r="J141" s="117" t="str">
        <x:v>true</x:v>
      </x:c>
      <x:c r="K141" s="117" t="str">
        <x:v>Own work</x:v>
      </x:c>
      <x:c r="L141" s="117" t="str">
        <x:v>Exact name or all distinctive place-name tokens in file metadata</x:v>
      </x:c>
      <x:c r="M141" s="117" t="str">
        <x:v>Not visually reviewed</x:v>
      </x:c>
      <x:c r="N141" s="117" t="str">
        <x:v>2026-09-08</x:v>
      </x:c>
    </x:row>
    <x:row r="142" ht="48" customHeight="1">
      <x:c r="A142" s="117" t="str">
        <x:v>MC0141</x:v>
      </x:c>
      <x:c r="B142" s="117" t="str">
        <x:v>Cameron Highlands</x:v>
      </x:c>
      <x:c r="C142" s="117" t="n">
        <x:v>1</x:v>
      </x:c>
      <x:c r="D142" s="117" t="str">
        <x:v>https://thumb.wikimedia.org/wikipedia/commons/thumb/0/06/Tea_fields_%28Will_Ellis%29.jpg/1280px-Tea_fields_%28Will_Ellis%29.jpg?utm_source=commons.wikimedia.org&amp;utm_campaign=imageinfo&amp;utm_content=thumbnail</x:v>
      </x:c>
      <x:c r="E142" s="117" t="str">
        <x:v>https://commons.wikimedia.org/wiki/File:Tea_fields_(Will_Ellis).jpg</x:v>
      </x:c>
      <x:c r="F142" s="117" t="str">
        <x:v>File:Tea fields (Will Ellis).jpg</x:v>
      </x:c>
      <x:c r="G142" s="117" t="str">
        <x:v>Will Ellis from Reading, England</x:v>
      </x:c>
      <x:c r="H142" s="117" t="str">
        <x:v>CC BY 2.0</x:v>
      </x:c>
      <x:c r="I142" s="117" t="str">
        <x:v>https://creativecommons.org/licenses/by/2.0</x:v>
      </x:c>
      <x:c r="J142" s="117" t="str">
        <x:v>true</x:v>
      </x:c>
      <x:c r="K142" s="117" t="str">
        <x:v>Flickr</x:v>
      </x:c>
      <x:c r="L142" s="117" t="str">
        <x:v>Exact name or all distinctive place-name tokens in file metadata</x:v>
      </x:c>
      <x:c r="M142" s="117" t="str">
        <x:v>Not visually reviewed</x:v>
      </x:c>
      <x:c r="N142" s="117" t="str">
        <x:v>2026-09-08</x:v>
      </x:c>
    </x:row>
    <x:row r="143" ht="48" customHeight="1">
      <x:c r="A143" s="117" t="str">
        <x:v>MC0141</x:v>
      </x:c>
      <x:c r="B143" s="117" t="str">
        <x:v>Cameron Highlands</x:v>
      </x:c>
      <x:c r="C143" s="117" t="n">
        <x:v>2</x:v>
      </x:c>
      <x:c r="D143" s="117" t="str">
        <x:v>https://thumb.wikimedia.org/wikipedia/commons/thumb/c/c5/Sheep_Sanctuary%2C_Cameron_Highlands_202412.jpg/1280px-Sheep_Sanctuary%2C_Cameron_Highlands_202412.jpg?utm_source=commons.wikimedia.org&amp;utm_campaign=imageinfo&amp;utm_content=thumbnail</x:v>
      </x:c>
      <x:c r="E143" s="117" t="str">
        <x:v>https://commons.wikimedia.org/wiki/File:Sheep_Sanctuary,_Cameron_Highlands_202412.jpg</x:v>
      </x:c>
      <x:c r="F143" s="117" t="str">
        <x:v>File:Sheep Sanctuary, Cameron Highlands 202412.jpg</x:v>
      </x:c>
      <x:c r="G143" s="117" t="str">
        <x:v>FN-082</x:v>
      </x:c>
      <x:c r="H143" s="117" t="str">
        <x:v>CC BY-SA 4.0</x:v>
      </x:c>
      <x:c r="I143" s="117" t="str">
        <x:v>https://creativecommons.org/licenses/by-sa/4.0</x:v>
      </x:c>
      <x:c r="J143" s="117" t="str">
        <x:v>true</x:v>
      </x:c>
      <x:c r="K143" s="117" t="str">
        <x:v>Own work</x:v>
      </x:c>
      <x:c r="L143" s="117" t="str">
        <x:v>Exact name or all distinctive place-name tokens in file metadata</x:v>
      </x:c>
      <x:c r="M143" s="117" t="str">
        <x:v>Not visually reviewed</x:v>
      </x:c>
      <x:c r="N143" s="117" t="str">
        <x:v>2026-09-08</x:v>
      </x:c>
    </x:row>
    <x:row r="144" ht="48" customHeight="1">
      <x:c r="A144" s="117" t="str">
        <x:v>MC0143</x:v>
      </x:c>
      <x:c r="B144" s="117" t="str">
        <x:v>Fraser's Hill</x:v>
      </x:c>
      <x:c r="C144" s="117" t="n">
        <x:v>1</x:v>
      </x:c>
      <x:c r="D144" s="117" t="str">
        <x:v>https://thumb.wikimedia.org/wikipedia/commons/thumb/6/6e/Fraser%27s_Hill_Clock_Tower.JPG/1280px-Fraser%27s_Hill_Clock_Tower.JPG?utm_source=commons.wikimedia.org&amp;utm_campaign=imageinfo&amp;utm_content=thumbnail</x:v>
      </x:c>
      <x:c r="E144" s="117" t="str">
        <x:v>https://commons.wikimedia.org/wiki/File:Fraser%27s_Hill_Clock_Tower.JPG</x:v>
      </x:c>
      <x:c r="F144" s="117" t="str">
        <x:v>File:Fraser's Hill Clock Tower.JPG</x:v>
      </x:c>
      <x:c r="G144" s="117" t="str">
        <x:v>RoB</x:v>
      </x:c>
      <x:c r="H144" s="117" t="str">
        <x:v>CC BY-SA 3.0</x:v>
      </x:c>
      <x:c r="I144" s="117" t="str">
        <x:v>https://creativecommons.org/licenses/by-sa/3.0</x:v>
      </x:c>
      <x:c r="J144" s="117" t="str">
        <x:v>true</x:v>
      </x:c>
      <x:c r="K144" s="117" t="str">
        <x:v>Own work</x:v>
      </x:c>
      <x:c r="L144" s="117" t="str">
        <x:v>Exact name or all distinctive place-name tokens in file metadata</x:v>
      </x:c>
      <x:c r="M144" s="117" t="str">
        <x:v>Not visually reviewed</x:v>
      </x:c>
      <x:c r="N144" s="117" t="str">
        <x:v>2026-09-08</x:v>
      </x:c>
    </x:row>
    <x:row r="145" ht="48" customHeight="1">
      <x:c r="A145" s="117" t="str">
        <x:v>MC0143</x:v>
      </x:c>
      <x:c r="B145" s="117" t="str">
        <x:v>Fraser's Hill</x:v>
      </x:c>
      <x:c r="C145" s="117" t="n">
        <x:v>2</x:v>
      </x:c>
      <x:c r="D145" s="117" t="str">
        <x:v>https://thumb.wikimedia.org/wikipedia/commons/thumb/0/0d/Stripes_on_Stripes.jpg/1280px-Stripes_on_Stripes.jpg?utm_source=commons.wikimedia.org&amp;utm_campaign=imageinfo&amp;utm_content=thumbnail</x:v>
      </x:c>
      <x:c r="E145" s="117" t="str">
        <x:v>https://commons.wikimedia.org/wiki/File:Stripes_on_Stripes.jpg</x:v>
      </x:c>
      <x:c r="F145" s="117" t="str">
        <x:v>File:Stripes on Stripes.jpg</x:v>
      </x:c>
      <x:c r="G145" s="117" t="str">
        <x:v>Tee Yi Chen</x:v>
      </x:c>
      <x:c r="H145" s="117" t="str">
        <x:v>CC BY-SA 4.0</x:v>
      </x:c>
      <x:c r="I145" s="117" t="str">
        <x:v>https://creativecommons.org/licenses/by-sa/4.0</x:v>
      </x:c>
      <x:c r="J145" s="117" t="str">
        <x:v>true</x:v>
      </x:c>
      <x:c r="K145" s="117" t="str">
        <x:v>Own work</x:v>
      </x:c>
      <x:c r="L145" s="117" t="str">
        <x:v>Exact name or all distinctive place-name tokens in file metadata</x:v>
      </x:c>
      <x:c r="M145" s="117" t="str">
        <x:v>Not visually reviewed</x:v>
      </x:c>
      <x:c r="N145" s="117" t="str">
        <x:v>2026-09-08</x:v>
      </x:c>
    </x:row>
    <x:row r="146" ht="48" customHeight="1">
      <x:c r="A146" s="117" t="str">
        <x:v>MC0146</x:v>
      </x:c>
      <x:c r="B146" s="117" t="str">
        <x:v>Sungai Pandan Waterfall</x:v>
      </x:c>
      <x:c r="C146" s="117" t="n">
        <x:v>1</x:v>
      </x:c>
      <x:c r="D146" s="117" t="str">
        <x:v>https://upload.wikimedia.org/wikipedia/commons/8/87/Sungai_Pandan_Waterfall.png?utm_source=commons.wikimedia.org&amp;utm_campaign=imageinfo&amp;utm_content=thumbnail_unscaled</x:v>
      </x:c>
      <x:c r="E146" s="117" t="str">
        <x:v>https://commons.wikimedia.org/wiki/File:Sungai_Pandan_Waterfall.png</x:v>
      </x:c>
      <x:c r="F146" s="117" t="str">
        <x:v>File:Sungai Pandan Waterfall.png</x:v>
      </x:c>
      <x:c r="G146" s="117" t="str">
        <x:v>Pandanwaterfall</x:v>
      </x:c>
      <x:c r="H146" s="117" t="str">
        <x:v>CC BY-SA 4.0</x:v>
      </x:c>
      <x:c r="I146" s="117" t="str">
        <x:v>https://creativecommons.org/licenses/by-sa/4.0</x:v>
      </x:c>
      <x:c r="J146" s="117" t="str">
        <x:v>true</x:v>
      </x:c>
      <x:c r="K146" s="117" t="str">
        <x:v>Own work</x:v>
      </x:c>
      <x:c r="L146" s="117" t="str">
        <x:v>Exact name or all distinctive place-name tokens in file metadata</x:v>
      </x:c>
      <x:c r="M146" s="117" t="str">
        <x:v>Not visually reviewed</x:v>
      </x:c>
      <x:c r="N146" s="117" t="str">
        <x:v>2026-09-08</x:v>
      </x:c>
    </x:row>
    <x:row r="147" ht="48" customHeight="1">
      <x:c r="A147" s="117" t="str">
        <x:v>MC0146</x:v>
      </x:c>
      <x:c r="B147" s="117" t="str">
        <x:v>Sungai Pandan Waterfall</x:v>
      </x:c>
      <x:c r="C147" s="117" t="n">
        <x:v>2</x:v>
      </x:c>
      <x:c r="D147" s="117" t="str">
        <x:v>https://upload.wikimedia.org/wikipedia/commons/5/51/Pandan_Waterfall_View.jpg?utm_source=commons.wikimedia.org&amp;utm_campaign=imageinfo&amp;utm_content=thumbnail_unscaled</x:v>
      </x:c>
      <x:c r="E147" s="117" t="str">
        <x:v>https://commons.wikimedia.org/wiki/File:Pandan_Waterfall_View.jpg</x:v>
      </x:c>
      <x:c r="F147" s="117" t="str">
        <x:v>File:Pandan Waterfall View.jpg</x:v>
      </x:c>
      <x:c r="G147" s="117" t="str">
        <x:v>Pandanwaterfall</x:v>
      </x:c>
      <x:c r="H147" s="117" t="str">
        <x:v>CC BY-SA 4.0</x:v>
      </x:c>
      <x:c r="I147" s="117" t="str">
        <x:v>https://creativecommons.org/licenses/by-sa/4.0</x:v>
      </x:c>
      <x:c r="J147" s="117" t="str">
        <x:v>true</x:v>
      </x:c>
      <x:c r="K147" s="117" t="str">
        <x:v>Own work</x:v>
      </x:c>
      <x:c r="L147" s="117" t="str">
        <x:v>Exact name or all distinctive place-name tokens in file metadata</x:v>
      </x:c>
      <x:c r="M147" s="117" t="str">
        <x:v>Not visually reviewed</x:v>
      </x:c>
      <x:c r="N147" s="117" t="str">
        <x:v>2026-09-08</x:v>
      </x:c>
    </x:row>
    <x:row r="148" ht="48" customHeight="1">
      <x:c r="A148" s="117" t="str">
        <x:v>MC0147</x:v>
      </x:c>
      <x:c r="B148" s="117" t="str">
        <x:v>Colmar Tropicale</x:v>
      </x:c>
      <x:c r="C148" s="117" t="n">
        <x:v>1</x:v>
      </x:c>
      <x:c r="D148" s="117" t="str">
        <x:v>https://thumb.wikimedia.org/wikipedia/commons/thumb/c/c0/Colmar_Tropicale_Bukit_Tinggi_Malaysia_%2832402493%29.jpeg/1280px-Colmar_Tropicale_Bukit_Tinggi_Malaysia_%2832402493%29.jpeg?utm_source=commons.wikimedia.org&amp;utm_campaign=imageinfo&amp;utm_content=thumbnail</x:v>
      </x:c>
      <x:c r="E148" s="117" t="str">
        <x:v>https://commons.wikimedia.org/wiki/File:Colmar_Tropicale_Bukit_Tinggi_Malaysia_(32402493).jpeg</x:v>
      </x:c>
      <x:c r="F148" s="117" t="str">
        <x:v>File:Colmar Tropicale Bukit Tinggi Malaysia (32402493).jpeg</x:v>
      </x:c>
      <x:c r="G148" s="117" t="str">
        <x:v>Hakeem Ibnfaisal</x:v>
      </x:c>
      <x:c r="H148" s="117" t="str">
        <x:v>CC BY 3.0</x:v>
      </x:c>
      <x:c r="I148" s="117" t="str">
        <x:v>https://creativecommons.org/licenses/by/3.0</x:v>
      </x:c>
      <x:c r="J148" s="117" t="str">
        <x:v>true</x:v>
      </x:c>
      <x:c r="K148" s="117" t="str">
        <x:v>Imported from 500px (archived version) by the Archive Team. (detail page)</x:v>
      </x:c>
      <x:c r="L148" s="117" t="str">
        <x:v>Exact name or all distinctive place-name tokens in file metadata</x:v>
      </x:c>
      <x:c r="M148" s="117" t="str">
        <x:v>Not visually reviewed</x:v>
      </x:c>
      <x:c r="N148" s="117" t="str">
        <x:v>2026-09-08</x:v>
      </x:c>
    </x:row>
    <x:row r="149" ht="48" customHeight="1">
      <x:c r="A149" s="117" t="str">
        <x:v>MC0147</x:v>
      </x:c>
      <x:c r="B149" s="117" t="str">
        <x:v>Colmar Tropicale</x:v>
      </x:c>
      <x:c r="C149" s="117" t="n">
        <x:v>2</x:v>
      </x:c>
      <x:c r="D149" s="117" t="str">
        <x:v>https://thumb.wikimedia.org/wikipedia/commons/thumb/b/b5/Colmar_Tropicale_horse_statue.jpg/1280px-Colmar_Tropicale_horse_statue.jpg?utm_source=commons.wikimedia.org&amp;utm_campaign=imageinfo&amp;utm_content=thumbnail</x:v>
      </x:c>
      <x:c r="E149" s="117" t="str">
        <x:v>https://commons.wikimedia.org/wiki/File:Colmar_Tropicale_horse_statue.jpg</x:v>
      </x:c>
      <x:c r="F149" s="117" t="str">
        <x:v>File:Colmar Tropicale horse statue.jpg</x:v>
      </x:c>
      <x:c r="G149" s="117" t="str">
        <x:v>Stress 043</x:v>
      </x:c>
      <x:c r="H149" s="117" t="str">
        <x:v>CC BY 4.0</x:v>
      </x:c>
      <x:c r="I149" s="117" t="str">
        <x:v>https://creativecommons.org/licenses/by/4.0</x:v>
      </x:c>
      <x:c r="J149" s="117" t="str">
        <x:v>true</x:v>
      </x:c>
      <x:c r="K149" s="117" t="str">
        <x:v>Own work</x:v>
      </x:c>
      <x:c r="L149" s="117" t="str">
        <x:v>Exact name or all distinctive place-name tokens in file metadata</x:v>
      </x:c>
      <x:c r="M149" s="117" t="str">
        <x:v>Not visually reviewed</x:v>
      </x:c>
      <x:c r="N149" s="117" t="str">
        <x:v>2026-09-08</x:v>
      </x:c>
    </x:row>
    <x:row r="150" ht="48" customHeight="1">
      <x:c r="A150" s="117" t="str">
        <x:v>MC0148</x:v>
      </x:c>
      <x:c r="B150" s="117" t="str">
        <x:v>Teluk Cempedak</x:v>
      </x:c>
      <x:c r="C150" s="117" t="n">
        <x:v>1</x:v>
      </x:c>
      <x:c r="D150" s="117" t="str">
        <x:v>https://thumb.wikimedia.org/wikipedia/commons/thumb/1/14/Kuantan_-_waves_breaking_over_rocks_at_Teluk_Cempedak_-_May_2024.jpg/1280px-Kuantan_-_waves_breaking_over_rocks_at_Teluk_Cempedak_-_May_2024.jpg?utm_source=commons.wikimedia.org&amp;utm_campaign=imageinfo&amp;utm_content=thumbnail</x:v>
      </x:c>
      <x:c r="E150" s="117" t="str">
        <x:v>https://commons.wikimedia.org/wiki/File:Kuantan_-_waves_breaking_over_rocks_at_Teluk_Cempedak_-_May_2024.jpg</x:v>
      </x:c>
      <x:c r="F150" s="117" t="str">
        <x:v>File:Kuantan - waves breaking over rocks at Teluk Cempedak - May 2024.jpg</x:v>
      </x:c>
      <x:c r="G150" s="117" t="str">
        <x:v>Dominic Nelson</x:v>
      </x:c>
      <x:c r="H150" s="117" t="str">
        <x:v>CC BY-SA 4.0</x:v>
      </x:c>
      <x:c r="I150" s="117" t="str">
        <x:v>https://creativecommons.org/licenses/by-sa/4.0</x:v>
      </x:c>
      <x:c r="J150" s="117" t="str">
        <x:v>true</x:v>
      </x:c>
      <x:c r="K150" s="117" t="str">
        <x:v>Own work</x:v>
      </x:c>
      <x:c r="L150" s="117" t="str">
        <x:v>Exact name or all distinctive place-name tokens in file metadata</x:v>
      </x:c>
      <x:c r="M150" s="117" t="str">
        <x:v>Not visually reviewed</x:v>
      </x:c>
      <x:c r="N150" s="117" t="str">
        <x:v>2026-09-08</x:v>
      </x:c>
    </x:row>
    <x:row r="151" ht="48" customHeight="1">
      <x:c r="A151" s="117" t="str">
        <x:v>MC0148</x:v>
      </x:c>
      <x:c r="B151" s="117" t="str">
        <x:v>Teluk Cempedak</x:v>
      </x:c>
      <x:c r="C151" s="117" t="n">
        <x:v>2</x:v>
      </x:c>
      <x:c r="D151" s="117" t="str">
        <x:v>https://thumb.wikimedia.org/wikipedia/commons/thumb/b/b8/Kuantan_-_Teluk_Cempedak_roundabout_-_May_2024.jpg/1280px-Kuantan_-_Teluk_Cempedak_roundabout_-_May_2024.jpg?utm_source=commons.wikimedia.org&amp;utm_campaign=imageinfo&amp;utm_content=thumbnail</x:v>
      </x:c>
      <x:c r="E151" s="117" t="str">
        <x:v>https://commons.wikimedia.org/wiki/File:Kuantan_-_Teluk_Cempedak_roundabout_-_May_2024.jpg</x:v>
      </x:c>
      <x:c r="F151" s="117" t="str">
        <x:v>File:Kuantan - Teluk Cempedak roundabout - May 2024.jpg</x:v>
      </x:c>
      <x:c r="G151" s="117" t="str">
        <x:v>Dominic Nelson</x:v>
      </x:c>
      <x:c r="H151" s="117" t="str">
        <x:v>CC BY-SA 4.0</x:v>
      </x:c>
      <x:c r="I151" s="117" t="str">
        <x:v>https://creativecommons.org/licenses/by-sa/4.0</x:v>
      </x:c>
      <x:c r="J151" s="117" t="str">
        <x:v>true</x:v>
      </x:c>
      <x:c r="K151" s="117" t="str">
        <x:v>Own work</x:v>
      </x:c>
      <x:c r="L151" s="117" t="str">
        <x:v>Exact name or all distinctive place-name tokens in file metadata</x:v>
      </x:c>
      <x:c r="M151" s="117" t="str">
        <x:v>Not visually reviewed</x:v>
      </x:c>
      <x:c r="N151" s="117" t="str">
        <x:v>2026-09-08</x:v>
      </x:c>
    </x:row>
    <x:row r="152" ht="48" customHeight="1">
      <x:c r="A152" s="117" t="str">
        <x:v>MC0149</x:v>
      </x:c>
      <x:c r="B152" s="117" t="str">
        <x:v>Mossy Forest</x:v>
      </x:c>
      <x:c r="C152" s="117" t="n">
        <x:v>1</x:v>
      </x:c>
      <x:c r="D152" s="117" t="str">
        <x:v>https://thumb.wikimedia.org/wikipedia/commons/thumb/c/c0/50th_Birthday_Celebration_at_Mt._Dulang-Dulang%27s_Mossy_Forest%2C_Bukidnon.jpg/1280px-50th_Birthday_Celebration_at_Mt._Dulang-Dulang%27s_Mossy_Forest%2C_Bukidnon.jpg?utm_source=commons.wikimedia.org&amp;utm_campaign=imageinfo&amp;utm_content=thumbnail</x:v>
      </x:c>
      <x:c r="E152" s="117" t="str">
        <x:v>https://commons.wikimedia.org/wiki/File:50th_Birthday_Celebration_at_Mt._Dulang-Dulang%27s_Mossy_Forest,_Bukidnon.jpg</x:v>
      </x:c>
      <x:c r="F152" s="117" t="str">
        <x:v>File:50th Birthday Celebration at Mt. Dulang-Dulang's Mossy Forest, Bukidnon.jpg</x:v>
      </x:c>
      <x:c r="G152" s="117" t="str">
        <x:v>Ritchie Basilio</x:v>
      </x:c>
      <x:c r="H152" s="117" t="str">
        <x:v>CC BY-SA 4.0</x:v>
      </x:c>
      <x:c r="I152" s="117" t="str">
        <x:v>https://creativecommons.org/licenses/by-sa/4.0</x:v>
      </x:c>
      <x:c r="J152" s="117" t="str">
        <x:v>true</x:v>
      </x:c>
      <x:c r="K152" s="117" t="str">
        <x:v>Own work</x:v>
      </x:c>
      <x:c r="L152" s="117" t="str">
        <x:v>Exact name or all distinctive place-name tokens in file metadata</x:v>
      </x:c>
      <x:c r="M152" s="117" t="str">
        <x:v>Not visually reviewed</x:v>
      </x:c>
      <x:c r="N152" s="117" t="str">
        <x:v>2026-09-08</x:v>
      </x:c>
    </x:row>
    <x:row r="153" ht="48" customHeight="1">
      <x:c r="A153" s="117" t="str">
        <x:v>MC0149</x:v>
      </x:c>
      <x:c r="B153" s="117" t="str">
        <x:v>Mossy Forest</x:v>
      </x:c>
      <x:c r="C153" s="117" t="n">
        <x:v>2</x:v>
      </x:c>
      <x:c r="D153" s="117" t="str">
        <x:v>https://upload.wikimedia.org/wikipedia/commons/7/70/Mossy_Forest_Shrew_area.png?utm_source=commons.wikimedia.org&amp;utm_campaign=imageinfo&amp;utm_content=thumbnail_unscaled</x:v>
      </x:c>
      <x:c r="E153" s="117" t="str">
        <x:v>https://commons.wikimedia.org/wiki/File:Mossy_Forest_Shrew_area.png</x:v>
      </x:c>
      <x:c r="F153" s="117" t="str">
        <x:v>File:Mossy Forest Shrew area.png</x:v>
      </x:c>
      <x:c r="G153" s="117" t="str">
        <x:v>Chermundy</x:v>
      </x:c>
      <x:c r="H153" s="117" t="str">
        <x:v>CC BY-SA 3.0</x:v>
      </x:c>
      <x:c r="I153" s="117" t="str">
        <x:v>https://creativecommons.org/licenses/by-sa/3.0</x:v>
      </x:c>
      <x:c r="J153" s="117" t="str">
        <x:v>true</x:v>
      </x:c>
      <x:c r="K153" s="117" t="str">
        <x:v>Base map derived from File:BlankMap-World.png. Distribution data from IUCN Red List of Threatened Species (English). iucnredlist.org. Retrieved on 2025-09-01.</x:v>
      </x:c>
      <x:c r="L153" s="117" t="str">
        <x:v>Exact name or all distinctive place-name tokens in file metadata</x:v>
      </x:c>
      <x:c r="M153" s="117" t="str">
        <x:v>Not visually reviewed</x:v>
      </x:c>
      <x:c r="N153" s="117" t="str">
        <x:v>2026-09-08</x:v>
      </x:c>
    </x:row>
    <x:row r="154" ht="48" customHeight="1">
      <x:c r="A154" s="117" t="str">
        <x:v>MC0150</x:v>
      </x:c>
      <x:c r="B154" s="117" t="str">
        <x:v>Sultan Ahmad Shah State Mosque</x:v>
      </x:c>
      <x:c r="C154" s="117" t="n">
        <x:v>1</x:v>
      </x:c>
      <x:c r="D154" s="117" t="str">
        <x:v>https://thumb.wikimedia.org/wikipedia/commons/thumb/b/b0/Pahang_state_mosque.jpg/1280px-Pahang_state_mosque.jpg?utm_source=commons.wikimedia.org&amp;utm_campaign=imageinfo&amp;utm_content=thumbnail</x:v>
      </x:c>
      <x:c r="E154" s="117" t="str">
        <x:v>https://commons.wikimedia.org/wiki/File:Pahang_state_mosque.jpg</x:v>
      </x:c>
      <x:c r="F154" s="117" t="str">
        <x:v>File:Pahang state mosque.jpg</x:v>
      </x:c>
      <x:c r="G154" s="117" t="str">
        <x:v>Ibnu ariff at English Wikipedia</x:v>
      </x:c>
      <x:c r="H154" s="117" t="str">
        <x:v>Public domain</x:v>
      </x:c>
      <x:c r="I154" s="117" t="str"/>
      <x:c r="J154" s="117" t="str">
        <x:v>false</x:v>
      </x:c>
      <x:c r="K154" s="117" t="str">
        <x:v>Transferred from en.wikipedia to Commons.</x:v>
      </x:c>
      <x:c r="L154" s="117" t="str">
        <x:v>Exact name or all distinctive place-name tokens in file metadata</x:v>
      </x:c>
      <x:c r="M154" s="117" t="str">
        <x:v>Not visually reviewed</x:v>
      </x:c>
      <x:c r="N154" s="117" t="str">
        <x:v>2026-09-08</x:v>
      </x:c>
    </x:row>
    <x:row r="155" ht="48" customHeight="1">
      <x:c r="A155" s="117" t="str">
        <x:v>MC0150</x:v>
      </x:c>
      <x:c r="B155" s="117" t="str">
        <x:v>Sultan Ahmad Shah State Mosque</x:v>
      </x:c>
      <x:c r="C155" s="117" t="n">
        <x:v>2</x:v>
      </x:c>
      <x:c r="D155" s="117" t="str">
        <x:v>https://thumb.wikimedia.org/wikipedia/commons/thumb/2/24/Pahang_state_mosque_02.jpg/1280px-Pahang_state_mosque_02.jpg?utm_source=commons.wikimedia.org&amp;utm_campaign=imageinfo&amp;utm_content=thumbnail</x:v>
      </x:c>
      <x:c r="E155" s="117" t="str">
        <x:v>https://commons.wikimedia.org/wiki/File:Pahang_state_mosque_02.jpg</x:v>
      </x:c>
      <x:c r="F155" s="117" t="str">
        <x:v>File:Pahang state mosque 02.jpg</x:v>
      </x:c>
      <x:c r="G155" s="117" t="str">
        <x:v>The original uploader was Ibnu ariff at English Wikipedia.
Later version(s) were uploaded by Only Truth at en.wikipedia.
derivative work: Stefan Fussan</x:v>
      </x:c>
      <x:c r="H155" s="117" t="str">
        <x:v>Public domain</x:v>
      </x:c>
      <x:c r="I155" s="117" t="str"/>
      <x:c r="J155" s="117" t="str">
        <x:v>false</x:v>
      </x:c>
      <x:c r="K155" s="117" t="str">
        <x:v>Transferred from en.wikipedia to Commons.
This file was derived from:  Pahang state mosque.jpg: 
Pahang state mosque.jpg: 
Pahang state mosque.jpg: 
Pahang state mosque.jpg: 
Pahang state mosque.jpg: 
Pahang state mosque.jpg: 
Pahang state mosque.jpg: 
Pahang state mosque.jpg: 
Pahang state mosque.jpg: 
Pahang state mosque.jpg:</x:v>
      </x:c>
      <x:c r="L155" s="117" t="str">
        <x:v>Exact name or all distinctive place-name tokens in file metadata</x:v>
      </x:c>
      <x:c r="M155" s="117" t="str">
        <x:v>Not visually reviewed</x:v>
      </x:c>
      <x:c r="N155" s="117" t="str">
        <x:v>2026-09-08</x:v>
      </x:c>
    </x:row>
    <x:row r="156" ht="48" customHeight="1">
      <x:c r="A156" s="117" t="str">
        <x:v>MC0152</x:v>
      </x:c>
      <x:c r="B156" s="117" t="str">
        <x:v>Sultan Abu Bakar Museum</x:v>
      </x:c>
      <x:c r="C156" s="117" t="n">
        <x:v>1</x:v>
      </x:c>
      <x:c r="D156" s="117" t="str">
        <x:v>https://thumb.wikimedia.org/wikipedia/commons/thumb/8/88/YosriMuziumPekan.JPG/1280px-YosriMuziumPekan.JPG?utm_source=commons.wikimedia.org&amp;utm_campaign=imageinfo&amp;utm_content=thumbnail</x:v>
      </x:c>
      <x:c r="E156" s="117" t="str">
        <x:v>https://commons.wikimedia.org/wiki/File:YosriMuziumPekan.JPG</x:v>
      </x:c>
      <x:c r="F156" s="117" t="str">
        <x:v>File:YosriMuziumPekan.JPG</x:v>
      </x:c>
      <x:c r="G156" s="117" t="str">
        <x:v>Yosri at ms.wikipedia.
Later version(s) were uploaded by PM Poon at ms.wikipedia.</x:v>
      </x:c>
      <x:c r="H156" s="117" t="str">
        <x:v>GFDL</x:v>
      </x:c>
      <x:c r="I156" s="117" t="str">
        <x:v>http://www.gnu.org/copyleft/fdl.html</x:v>
      </x:c>
      <x:c r="J156" s="117" t="str">
        <x:v>true</x:v>
      </x:c>
      <x:c r="K156" s="117" t="str">
        <x:v>Own work
Transferred from ms.wikipedia</x:v>
      </x:c>
      <x:c r="L156" s="117" t="str">
        <x:v>Exact name or all distinctive place-name tokens in file metadata</x:v>
      </x:c>
      <x:c r="M156" s="117" t="str">
        <x:v>Not visually reviewed</x:v>
      </x:c>
      <x:c r="N156" s="117" t="str">
        <x:v>2026-09-08</x:v>
      </x:c>
    </x:row>
    <x:row r="157" ht="48" customHeight="1">
      <x:c r="A157" s="117" t="str">
        <x:v>MC0152</x:v>
      </x:c>
      <x:c r="B157" s="117" t="str">
        <x:v>Sultan Abu Bakar Museum</x:v>
      </x:c>
      <x:c r="C157" s="117" t="n">
        <x:v>2</x:v>
      </x:c>
      <x:c r="D157" s="117" t="str">
        <x:v>https://thumb.wikimedia.org/wikipedia/commons/thumb/a/a0/Sultan_abu_bakar_museum%2C_pekan.jpg/1280px-Sultan_abu_bakar_museum%2C_pekan.jpg?utm_source=commons.wikimedia.org&amp;utm_campaign=imageinfo&amp;utm_content=thumbnail</x:v>
      </x:c>
      <x:c r="E157" s="117" t="str">
        <x:v>https://commons.wikimedia.org/wiki/File:Sultan_abu_bakar_museum,_pekan.jpg</x:v>
      </x:c>
      <x:c r="F157" s="117" t="str">
        <x:v>File:Sultan abu bakar museum, pekan.jpg</x:v>
      </x:c>
      <x:c r="G157" s="117" t="str">
        <x:v>Fikku fiq</x:v>
      </x:c>
      <x:c r="H157" s="117" t="str">
        <x:v>CC BY-SA 4.0</x:v>
      </x:c>
      <x:c r="I157" s="117" t="str">
        <x:v>https://creativecommons.org/licenses/by-sa/4.0</x:v>
      </x:c>
      <x:c r="J157" s="117" t="str">
        <x:v>true</x:v>
      </x:c>
      <x:c r="K157" s="117" t="str">
        <x:v>Own work</x:v>
      </x:c>
      <x:c r="L157" s="117" t="str">
        <x:v>Exact name or all distinctive place-name tokens in file metadata</x:v>
      </x:c>
      <x:c r="M157" s="117" t="str">
        <x:v>Not visually reviewed</x:v>
      </x:c>
      <x:c r="N157" s="117" t="str">
        <x:v>2026-09-08</x:v>
      </x:c>
    </x:row>
    <x:row r="158" ht="48" customHeight="1">
      <x:c r="A158" s="117" t="str">
        <x:v>MC0154</x:v>
      </x:c>
      <x:c r="B158" s="117" t="str">
        <x:v>Cherating Turtle Sanctuary</x:v>
      </x:c>
      <x:c r="C158" s="117" t="n">
        <x:v>1</x:v>
      </x:c>
      <x:c r="D158" s="117" t="str">
        <x:v>https://thumb.wikimedia.org/wikipedia/commons/thumb/2/26/Vimales_Terengganu.jpg/1280px-Vimales_Terengganu.jpg?utm_source=commons.wikimedia.org&amp;utm_campaign=imageinfo&amp;utm_content=thumbnail</x:v>
      </x:c>
      <x:c r="E158" s="117" t="str">
        <x:v>https://commons.wikimedia.org/wiki/File:Vimales_Terengganu.jpg</x:v>
      </x:c>
      <x:c r="F158" s="117" t="str">
        <x:v>File:Vimales Terengganu.jpg</x:v>
      </x:c>
      <x:c r="G158" s="117" t="str">
        <x:v>Vimales Rao</x:v>
      </x:c>
      <x:c r="H158" s="117" t="str">
        <x:v>CC BY-SA 4.0</x:v>
      </x:c>
      <x:c r="I158" s="117" t="str">
        <x:v>https://creativecommons.org/licenses/by-sa/4.0</x:v>
      </x:c>
      <x:c r="J158" s="117" t="str">
        <x:v>true</x:v>
      </x:c>
      <x:c r="K158" s="117" t="str">
        <x:v>Own work</x:v>
      </x:c>
      <x:c r="L158" s="117" t="str">
        <x:v>Exact name or all distinctive place-name tokens in file metadata</x:v>
      </x:c>
      <x:c r="M158" s="117" t="str">
        <x:v>Not visually reviewed</x:v>
      </x:c>
      <x:c r="N158" s="117" t="str">
        <x:v>2026-09-08</x:v>
      </x:c>
    </x:row>
    <x:row r="159" ht="48" customHeight="1">
      <x:c r="A159" s="117" t="str">
        <x:v>MC0155</x:v>
      </x:c>
      <x:c r="B159" s="117" t="str">
        <x:v>Rompin State Park</x:v>
      </x:c>
      <x:c r="C159" s="117" t="n">
        <x:v>1</x:v>
      </x:c>
      <x:c r="D159" s="117" t="str">
        <x:v>https://thumb.wikimedia.org/wikipedia/commons/thumb/0/0c/Wiki_Seri_Mahkota_Waterfall.jpg/1280px-Wiki_Seri_Mahkota_Waterfall.jpg?utm_source=commons.wikimedia.org&amp;utm_campaign=imageinfo&amp;utm_content=thumbnail</x:v>
      </x:c>
      <x:c r="E159" s="117" t="str">
        <x:v>https://commons.wikimedia.org/wiki/File:Wiki_Seri_Mahkota_Waterfall.jpg</x:v>
      </x:c>
      <x:c r="F159" s="117" t="str">
        <x:v>File:Wiki Seri Mahkota Waterfall.jpg</x:v>
      </x:c>
      <x:c r="G159" s="117" t="str">
        <x:v>Cuna Hassan</x:v>
      </x:c>
      <x:c r="H159" s="117" t="str">
        <x:v>CC BY-SA 4.0</x:v>
      </x:c>
      <x:c r="I159" s="117" t="str">
        <x:v>https://creativecommons.org/licenses/by-sa/4.0</x:v>
      </x:c>
      <x:c r="J159" s="117" t="str">
        <x:v>true</x:v>
      </x:c>
      <x:c r="K159" s="117" t="str">
        <x:v>Own work</x:v>
      </x:c>
      <x:c r="L159" s="117" t="str">
        <x:v>Exact name or all distinctive place-name tokens in file metadata</x:v>
      </x:c>
      <x:c r="M159" s="117" t="str">
        <x:v>Not visually reviewed</x:v>
      </x:c>
      <x:c r="N159" s="117" t="str">
        <x:v>2026-09-08</x:v>
      </x:c>
    </x:row>
    <x:row r="160" ht="48" customHeight="1">
      <x:c r="A160" s="117" t="str">
        <x:v>MC0155</x:v>
      </x:c>
      <x:c r="B160" s="117" t="str">
        <x:v>Rompin State Park</x:v>
      </x:c>
      <x:c r="C160" s="117" t="n">
        <x:v>2</x:v>
      </x:c>
      <x:c r="D160" s="117" t="str">
        <x:v>https://thumb.wikimedia.org/wikipedia/commons/thumb/7/73/TNR_Multipurpose_Hall.jpg/1280px-TNR_Multipurpose_Hall.jpg?utm_source=commons.wikimedia.org&amp;utm_campaign=imageinfo&amp;utm_content=thumbnail</x:v>
      </x:c>
      <x:c r="E160" s="117" t="str">
        <x:v>https://commons.wikimedia.org/wiki/File:TNR_Multipurpose_Hall.jpg</x:v>
      </x:c>
      <x:c r="F160" s="117" t="str">
        <x:v>File:TNR Multipurpose Hall.jpg</x:v>
      </x:c>
      <x:c r="G160" s="117" t="str">
        <x:v>Cuna Hassan</x:v>
      </x:c>
      <x:c r="H160" s="117" t="str">
        <x:v>CC BY-SA 4.0</x:v>
      </x:c>
      <x:c r="I160" s="117" t="str">
        <x:v>https://creativecommons.org/licenses/by-sa/4.0</x:v>
      </x:c>
      <x:c r="J160" s="117" t="str">
        <x:v>true</x:v>
      </x:c>
      <x:c r="K160" s="117" t="str">
        <x:v>Own work</x:v>
      </x:c>
      <x:c r="L160" s="117" t="str">
        <x:v>Exact name or all distinctive place-name tokens in file metadata</x:v>
      </x:c>
      <x:c r="M160" s="117" t="str">
        <x:v>Not visually reviewed</x:v>
      </x:c>
      <x:c r="N160" s="117" t="str">
        <x:v>2026-09-08</x:v>
      </x:c>
    </x:row>
    <x:row r="161" ht="48" customHeight="1">
      <x:c r="A161" s="117" t="str">
        <x:v>MC0156</x:v>
      </x:c>
      <x:c r="B161" s="117" t="str">
        <x:v>Lanjut Beach</x:v>
      </x:c>
      <x:c r="C161" s="117" t="n">
        <x:v>1</x:v>
      </x:c>
      <x:c r="D161" s="117" t="str">
        <x:v>https://upload.wikimedia.org/wikipedia/commons/b/b4/Lanjut_Resort.jpg?utm_source=commons.wikimedia.org&amp;utm_campaign=imageinfo&amp;utm_content=thumbnail_unscaled</x:v>
      </x:c>
      <x:c r="E161" s="117" t="str">
        <x:v>https://commons.wikimedia.org/wiki/File:Lanjut_Resort.jpg</x:v>
      </x:c>
      <x:c r="F161" s="117" t="str">
        <x:v>File:Lanjut Resort.jpg</x:v>
      </x:c>
      <x:c r="G161" s="117" t="str">
        <x:v>JasonAngZC</x:v>
      </x:c>
      <x:c r="H161" s="117" t="str">
        <x:v>CC BY-SA 4.0</x:v>
      </x:c>
      <x:c r="I161" s="117" t="str">
        <x:v>https://creativecommons.org/licenses/by-sa/4.0</x:v>
      </x:c>
      <x:c r="J161" s="117" t="str">
        <x:v>true</x:v>
      </x:c>
      <x:c r="K161" s="117" t="str">
        <x:v>Own work</x:v>
      </x:c>
      <x:c r="L161" s="117" t="str">
        <x:v>Exact name or all distinctive place-name tokens in file metadata</x:v>
      </x:c>
      <x:c r="M161" s="117" t="str">
        <x:v>Not visually reviewed</x:v>
      </x:c>
      <x:c r="N161" s="117" t="str">
        <x:v>2026-09-08</x:v>
      </x:c>
    </x:row>
    <x:row r="162" ht="48" customHeight="1">
      <x:c r="A162" s="117" t="str">
        <x:v>MC0159</x:v>
      </x:c>
      <x:c r="B162" s="117" t="str">
        <x:v>Kuala Tahan</x:v>
      </x:c>
      <x:c r="C162" s="117" t="n">
        <x:v>1</x:v>
      </x:c>
      <x:c r="D162" s="117" t="str">
        <x:v>https://thumb.wikimedia.org/wikipedia/commons/thumb/d/d1/Kuala_Tahan.JPG/1280px-Kuala_Tahan.JPG?utm_source=commons.wikimedia.org&amp;utm_campaign=imageinfo&amp;utm_content=thumbnail</x:v>
      </x:c>
      <x:c r="E162" s="117" t="str">
        <x:v>https://commons.wikimedia.org/wiki/File:Kuala_Tahan.JPG</x:v>
      </x:c>
      <x:c r="F162" s="117" t="str">
        <x:v>File:Kuala Tahan.JPG</x:v>
      </x:c>
      <x:c r="G162" s="117" t="str">
        <x:v>RoB</x:v>
      </x:c>
      <x:c r="H162" s="117" t="str">
        <x:v>CC BY-SA 3.0</x:v>
      </x:c>
      <x:c r="I162" s="117" t="str">
        <x:v>https://creativecommons.org/licenses/by-sa/3.0</x:v>
      </x:c>
      <x:c r="J162" s="117" t="str">
        <x:v>true</x:v>
      </x:c>
      <x:c r="K162" s="117" t="str">
        <x:v>Own work</x:v>
      </x:c>
      <x:c r="L162" s="117" t="str">
        <x:v>Exact name or all distinctive place-name tokens in file metadata</x:v>
      </x:c>
      <x:c r="M162" s="117" t="str">
        <x:v>Not visually reviewed</x:v>
      </x:c>
      <x:c r="N162" s="117" t="str">
        <x:v>2026-09-08</x:v>
      </x:c>
    </x:row>
    <x:row r="163" ht="48" customHeight="1">
      <x:c r="A163" s="117" t="str">
        <x:v>MC0159</x:v>
      </x:c>
      <x:c r="B163" s="117" t="str">
        <x:v>Kuala Tahan</x:v>
      </x:c>
      <x:c r="C163" s="117" t="n">
        <x:v>2</x:v>
      </x:c>
      <x:c r="D163" s="117" t="str">
        <x:v>https://thumb.wikimedia.org/wikipedia/commons/thumb/5/55/Floating_restaurants_%283108621542%29.jpg/1280px-Floating_restaurants_%283108621542%29.jpg?utm_source=commons.wikimedia.org&amp;utm_campaign=imageinfo&amp;utm_content=thumbnail</x:v>
      </x:c>
      <x:c r="E163" s="117" t="str">
        <x:v>https://commons.wikimedia.org/wiki/File:Floating_restaurants_(3108621542).jpg</x:v>
      </x:c>
      <x:c r="F163" s="117" t="str">
        <x:v>File:Floating restaurants (3108621542).jpg</x:v>
      </x:c>
      <x:c r="G163" s="117" t="str">
        <x:v>Honza Soukup from Czech Republic</x:v>
      </x:c>
      <x:c r="H163" s="117" t="str">
        <x:v>CC BY 2.0</x:v>
      </x:c>
      <x:c r="I163" s="117" t="str">
        <x:v>https://creativecommons.org/licenses/by/2.0</x:v>
      </x:c>
      <x:c r="J163" s="117" t="str">
        <x:v>true</x:v>
      </x:c>
      <x:c r="K163" s="117" t="str">
        <x:v>Floating restaurants</x:v>
      </x:c>
      <x:c r="L163" s="117" t="str">
        <x:v>Exact name or all distinctive place-name tokens in file metadata</x:v>
      </x:c>
      <x:c r="M163" s="117" t="str">
        <x:v>Not visually reviewed</x:v>
      </x:c>
      <x:c r="N163" s="117" t="str">
        <x:v>2026-09-08</x:v>
      </x:c>
    </x:row>
    <x:row r="164" ht="48" customHeight="1">
      <x:c r="A164" s="117" t="str">
        <x:v>MC0160</x:v>
      </x:c>
      <x:c r="B164" s="117" t="str">
        <x:v>Canopy Walkway Taman Negara</x:v>
      </x:c>
      <x:c r="C164" s="117" t="n">
        <x:v>1</x:v>
      </x:c>
      <x:c r="D164" s="117" t="str">
        <x:v>https://thumb.wikimedia.org/wikipedia/commons/thumb/c/cf/Canopy_Walkway-_Taman_Negara_-_panoramio.jpg/1280px-Canopy_Walkway-_Taman_Negara_-_panoramio.jpg?utm_source=commons.wikimedia.org&amp;utm_campaign=imageinfo&amp;utm_content=thumbnail</x:v>
      </x:c>
      <x:c r="E164" s="117" t="str">
        <x:v>https://commons.wikimedia.org/wiki/File:Canopy_Walkway-_Taman_Negara_-_panoramio.jpg</x:v>
      </x:c>
      <x:c r="F164" s="117" t="str">
        <x:v>File:Canopy Walkway- Taman Negara - panoramio.jpg</x:v>
      </x:c>
      <x:c r="G164" s="117" t="str">
        <x:v>Raki_Man</x:v>
      </x:c>
      <x:c r="H164" s="117" t="str">
        <x:v>CC BY 3.0</x:v>
      </x:c>
      <x:c r="I164" s="117" t="str">
        <x:v>https://creativecommons.org/licenses/by/3.0</x:v>
      </x:c>
      <x:c r="J164" s="117" t="str">
        <x:v>true</x:v>
      </x:c>
      <x:c r="K164" s="117" t="str">
        <x:v>https://web.archive.org/web/20161030214559/http://www.panoramio.com/photo/114905242</x:v>
      </x:c>
      <x:c r="L164" s="117" t="str">
        <x:v>Exact name or all distinctive place-name tokens in file metadata</x:v>
      </x:c>
      <x:c r="M164" s="117" t="str">
        <x:v>Not visually reviewed</x:v>
      </x:c>
      <x:c r="N164" s="117" t="str">
        <x:v>2026-09-08</x:v>
      </x:c>
    </x:row>
    <x:row r="165" ht="48" customHeight="1">
      <x:c r="A165" s="117" t="str">
        <x:v>MC0168</x:v>
      </x:c>
      <x:c r="B165" s="117" t="str">
        <x:v>Agro Technology Park MARDI</x:v>
      </x:c>
      <x:c r="C165" s="117" t="n">
        <x:v>1</x:v>
      </x:c>
      <x:c r="D165" s="117" t="str">
        <x:v>https://thumb.wikimedia.org/wikipedia/commons/thumb/9/90/Old_water_mill_at_Agro_Technology_Park_MARDI_Cameron_Highlands.jpg/1280px-Old_water_mill_at_Agro_Technology_Park_MARDI_Cameron_Highlands.jpg?utm_source=commons.wikimedia.org&amp;utm_campaign=imageinfo&amp;utm_content=thumbnail</x:v>
      </x:c>
      <x:c r="E165" s="117" t="str">
        <x:v>https://commons.wikimedia.org/wiki/File:Old_water_mill_at_Agro_Technology_Park_MARDI_Cameron_Highlands.jpg</x:v>
      </x:c>
      <x:c r="F165" s="117" t="str">
        <x:v>File:Old water mill at Agro Technology Park MARDI Cameron Highlands.jpg</x:v>
      </x:c>
      <x:c r="G165" s="117" t="str">
        <x:v>Cerevisae</x:v>
      </x:c>
      <x:c r="H165" s="117" t="str">
        <x:v>CC BY-SA 4.0</x:v>
      </x:c>
      <x:c r="I165" s="117" t="str">
        <x:v>https://creativecommons.org/licenses/by-sa/4.0</x:v>
      </x:c>
      <x:c r="J165" s="117" t="str">
        <x:v>true</x:v>
      </x:c>
      <x:c r="K165" s="117" t="str">
        <x:v>Own work</x:v>
      </x:c>
      <x:c r="L165" s="117" t="str">
        <x:v>Exact name or all distinctive place-name tokens in file metadata</x:v>
      </x:c>
      <x:c r="M165" s="117" t="str">
        <x:v>Not visually reviewed</x:v>
      </x:c>
      <x:c r="N165" s="117" t="str">
        <x:v>2026-09-08</x:v>
      </x:c>
    </x:row>
    <x:row r="166" ht="48" customHeight="1">
      <x:c r="A166" s="117" t="str">
        <x:v>MC0168</x:v>
      </x:c>
      <x:c r="B166" s="117" t="str">
        <x:v>Agro Technology Park MARDI</x:v>
      </x:c>
      <x:c r="C166" s="117" t="n">
        <x:v>2</x:v>
      </x:c>
      <x:c r="D166" s="117" t="str">
        <x:v>https://thumb.wikimedia.org/wikipedia/commons/thumb/5/55/Agro_Technology_Park_MARDI_Cameron_Highlands_at_Tanah_Rata.jpg/1280px-Agro_Technology_Park_MARDI_Cameron_Highlands_at_Tanah_Rata.jpg?utm_source=commons.wikimedia.org&amp;utm_campaign=imageinfo&amp;utm_content=thumbnail</x:v>
      </x:c>
      <x:c r="E166" s="117" t="str">
        <x:v>https://commons.wikimedia.org/wiki/File:Agro_Technology_Park_MARDI_Cameron_Highlands_at_Tanah_Rata.jpg</x:v>
      </x:c>
      <x:c r="F166" s="117" t="str">
        <x:v>File:Agro Technology Park MARDI Cameron Highlands at Tanah Rata.jpg</x:v>
      </x:c>
      <x:c r="G166" s="117" t="str">
        <x:v>Cerevisae</x:v>
      </x:c>
      <x:c r="H166" s="117" t="str">
        <x:v>CC BY-SA 4.0</x:v>
      </x:c>
      <x:c r="I166" s="117" t="str">
        <x:v>https://creativecommons.org/licenses/by-sa/4.0</x:v>
      </x:c>
      <x:c r="J166" s="117" t="str">
        <x:v>true</x:v>
      </x:c>
      <x:c r="K166" s="117" t="str">
        <x:v>Own work</x:v>
      </x:c>
      <x:c r="L166" s="117" t="str">
        <x:v>Exact name or all distinctive place-name tokens in file metadata</x:v>
      </x:c>
      <x:c r="M166" s="117" t="str">
        <x:v>Not visually reviewed</x:v>
      </x:c>
      <x:c r="N166" s="117" t="str">
        <x:v>2026-09-08</x:v>
      </x:c>
    </x:row>
    <x:row r="167" ht="48" customHeight="1">
      <x:c r="A167" s="117" t="str">
        <x:v>MC0171</x:v>
      </x:c>
      <x:c r="B167" s="117" t="str">
        <x:v>Penang National Park</x:v>
      </x:c>
      <x:c r="C167" s="117" t="n">
        <x:v>1</x:v>
      </x:c>
      <x:c r="D167" s="117" t="str">
        <x:v>https://thumb.wikimedia.org/wikipedia/commons/thumb/a/ad/Monkeybeach08.jpg/1280px-Monkeybeach08.jpg?utm_source=commons.wikimedia.org&amp;utm_campaign=imageinfo&amp;utm_content=thumbnail</x:v>
      </x:c>
      <x:c r="E167" s="117" t="str">
        <x:v>https://commons.wikimedia.org/wiki/File:Monkeybeach08.jpg</x:v>
      </x:c>
      <x:c r="F167" s="117" t="str">
        <x:v>File:Monkeybeach08.jpg</x:v>
      </x:c>
      <x:c r="G167" s="117" t="str">
        <x:v>Asiadetailfeed</x:v>
      </x:c>
      <x:c r="H167" s="117" t="str">
        <x:v>CC BY-SA 3.0</x:v>
      </x:c>
      <x:c r="I167" s="117" t="str">
        <x:v>https://creativecommons.org/licenses/by-sa/3.0</x:v>
      </x:c>
      <x:c r="J167" s="117" t="str">
        <x:v>true</x:v>
      </x:c>
      <x:c r="K167" s="117" t="str">
        <x:v>Own work</x:v>
      </x:c>
      <x:c r="L167" s="117" t="str">
        <x:v>Exact name or all distinctive place-name tokens in file metadata</x:v>
      </x:c>
      <x:c r="M167" s="117" t="str">
        <x:v>Not visually reviewed</x:v>
      </x:c>
      <x:c r="N167" s="117" t="str">
        <x:v>2026-09-08</x:v>
      </x:c>
    </x:row>
    <x:row r="168" ht="48" customHeight="1">
      <x:c r="A168" s="117" t="str">
        <x:v>MC0172</x:v>
      </x:c>
      <x:c r="B168" s="117" t="str">
        <x:v>George Town UNESCO World Heritage Site</x:v>
      </x:c>
      <x:c r="C168" s="117" t="n">
        <x:v>1</x:v>
      </x:c>
      <x:c r="D168" s="117" t="str">
        <x:v>https://thumb.wikimedia.org/wikipedia/commons/thumb/5/5d/Skyline_of_George_Town%2C_Penang_at_night_January_2025_02-01.jpg/1280px-Skyline_of_George_Town%2C_Penang_at_night_January_2025_02-01.jpg?utm_source=commons.wikimedia.org&amp;utm_campaign=imageinfo&amp;utm_content=thumbnail</x:v>
      </x:c>
      <x:c r="E168" s="117" t="str">
        <x:v>https://commons.wikimedia.org/wiki/File:Skyline_of_George_Town,_Penang_at_night_January_2025_02-01.jpg</x:v>
      </x:c>
      <x:c r="F168" s="117" t="str">
        <x:v>File:Skyline of George Town, Penang at night January 2025 02-01.jpg</x:v>
      </x:c>
      <x:c r="G168" s="117" t="str">
        <x:v>HundenvonPenang</x:v>
      </x:c>
      <x:c r="H168" s="117" t="str">
        <x:v>CC BY-SA 4.0</x:v>
      </x:c>
      <x:c r="I168" s="117" t="str">
        <x:v>https://creativecommons.org/licenses/by-sa/4.0</x:v>
      </x:c>
      <x:c r="J168" s="117" t="str">
        <x:v>true</x:v>
      </x:c>
      <x:c r="K168" s="117" t="str">
        <x:v>Own work</x:v>
      </x:c>
      <x:c r="L168" s="117" t="str">
        <x:v>Exact name or all distinctive place-name tokens in file metadata</x:v>
      </x:c>
      <x:c r="M168" s="117" t="str">
        <x:v>Not visually reviewed</x:v>
      </x:c>
      <x:c r="N168" s="117" t="str">
        <x:v>2026-09-08</x:v>
      </x:c>
    </x:row>
    <x:row r="169" ht="48" customHeight="1">
      <x:c r="A169" s="117" t="str">
        <x:v>MC0172</x:v>
      </x:c>
      <x:c r="B169" s="117" t="str">
        <x:v>George Town UNESCO World Heritage Site</x:v>
      </x:c>
      <x:c r="C169" s="117" t="n">
        <x:v>2</x:v>
      </x:c>
      <x:c r="D169" s="117" t="str">
        <x:v>https://thumb.wikimedia.org/wikipedia/commons/thumb/0/03/Kek_Lok_Si_1.jpg/1280px-Kek_Lok_Si_1.jpg?utm_source=commons.wikimedia.org&amp;utm_campaign=imageinfo&amp;utm_content=thumbnail</x:v>
      </x:c>
      <x:c r="E169" s="117" t="str">
        <x:v>https://commons.wikimedia.org/wiki/File:Kek_Lok_Si_1.jpg</x:v>
      </x:c>
      <x:c r="F169" s="117" t="str">
        <x:v>File:Kek Lok Si 1.jpg</x:v>
      </x:c>
      <x:c r="G169" s="117" t="str">
        <x:v>Arne Müseler</x:v>
      </x:c>
      <x:c r="H169" s="117" t="str">
        <x:v>CC BY-SA 3.0 de</x:v>
      </x:c>
      <x:c r="I169" s="117" t="str">
        <x:v>https://creativecommons.org/licenses/by-sa/3.0/de/deed.en</x:v>
      </x:c>
      <x:c r="J169" s="117" t="str">
        <x:v>true</x:v>
      </x:c>
      <x:c r="K169" s="117" t="str">
        <x:v>own work
http://www.arne-mueseler.de
Canon EOS 600D</x:v>
      </x:c>
      <x:c r="L169" s="117" t="str">
        <x:v>Exact name or all distinctive place-name tokens in file metadata</x:v>
      </x:c>
      <x:c r="M169" s="117" t="str">
        <x:v>Not visually reviewed</x:v>
      </x:c>
      <x:c r="N169" s="117" t="str">
        <x:v>2026-09-08</x:v>
      </x:c>
    </x:row>
    <x:row r="170" ht="48" customHeight="1">
      <x:c r="A170" s="117" t="str">
        <x:v>MC0173</x:v>
      </x:c>
      <x:c r="B170" s="117" t="str">
        <x:v>Penang Hill</x:v>
      </x:c>
      <x:c r="C170" s="117" t="n">
        <x:v>1</x:v>
      </x:c>
      <x:c r="D170" s="117" t="str">
        <x:v>https://thumb.wikimedia.org/wikipedia/commons/thumb/2/29/Funicular_approaching_top_of_Penang_Hill.JPG/1280px-Funicular_approaching_top_of_Penang_Hill.JPG?utm_source=commons.wikimedia.org&amp;utm_campaign=imageinfo&amp;utm_content=thumbnail</x:v>
      </x:c>
      <x:c r="E170" s="117" t="str">
        <x:v>https://commons.wikimedia.org/wiki/File:Funicular_approaching_top_of_Penang_Hill.JPG</x:v>
      </x:c>
      <x:c r="F170" s="117" t="str">
        <x:v>File:Funicular approaching top of Penang Hill.JPG</x:v>
      </x:c>
      <x:c r="G170" s="117" t="str">
        <x:v>Hzh</x:v>
      </x:c>
      <x:c r="H170" s="117" t="str">
        <x:v>CC BY-SA 4.0</x:v>
      </x:c>
      <x:c r="I170" s="117" t="str">
        <x:v>https://creativecommons.org/licenses/by-sa/4.0</x:v>
      </x:c>
      <x:c r="J170" s="117" t="str">
        <x:v>true</x:v>
      </x:c>
      <x:c r="K170" s="117" t="str">
        <x:v>Own work</x:v>
      </x:c>
      <x:c r="L170" s="117" t="str">
        <x:v>Exact name or all distinctive place-name tokens in file metadata</x:v>
      </x:c>
      <x:c r="M170" s="117" t="str">
        <x:v>Not visually reviewed</x:v>
      </x:c>
      <x:c r="N170" s="117" t="str">
        <x:v>2026-09-08</x:v>
      </x:c>
    </x:row>
    <x:row r="171" ht="48" customHeight="1">
      <x:c r="A171" s="117" t="str">
        <x:v>MC0173</x:v>
      </x:c>
      <x:c r="B171" s="117" t="str">
        <x:v>Penang Hill</x:v>
      </x:c>
      <x:c r="C171" s="117" t="n">
        <x:v>2</x:v>
      </x:c>
      <x:c r="D171" s="117" t="str">
        <x:v>https://thumb.wikimedia.org/wikipedia/commons/thumb/b/b1/The_Railway_from_above_in_the_mist%2C_Bukit_Bendera%2C_Penang.jpg/1280px-The_Railway_from_above_in_the_mist%2C_Bukit_Bendera%2C_Penang.jpg?utm_source=commons.wikimedia.org&amp;utm_campaign=imageinfo&amp;utm_content=thumbnail</x:v>
      </x:c>
      <x:c r="E171" s="117" t="str">
        <x:v>https://commons.wikimedia.org/wiki/File:The_Railway_from_above_in_the_mist,_Bukit_Bendera,_Penang.jpg</x:v>
      </x:c>
      <x:c r="F171" s="117" t="str">
        <x:v>File:The Railway from above in the mist, Bukit Bendera, Penang.jpg</x:v>
      </x:c>
      <x:c r="G171" s="117" t="str">
        <x:v>Pro QueeNia</x:v>
      </x:c>
      <x:c r="H171" s="117" t="str">
        <x:v>CC BY-SA 4.0</x:v>
      </x:c>
      <x:c r="I171" s="117" t="str">
        <x:v>https://creativecommons.org/licenses/by-sa/4.0</x:v>
      </x:c>
      <x:c r="J171" s="117" t="str">
        <x:v>true</x:v>
      </x:c>
      <x:c r="K171" s="117" t="str">
        <x:v>Own work</x:v>
      </x:c>
      <x:c r="L171" s="117" t="str">
        <x:v>Exact name or all distinctive place-name tokens in file metadata</x:v>
      </x:c>
      <x:c r="M171" s="117" t="str">
        <x:v>Not visually reviewed</x:v>
      </x:c>
      <x:c r="N171" s="117" t="str">
        <x:v>2026-09-08</x:v>
      </x:c>
    </x:row>
    <x:row r="172" ht="48" customHeight="1">
      <x:c r="A172" s="117" t="str">
        <x:v>MC0174</x:v>
      </x:c>
      <x:c r="B172" s="117" t="str">
        <x:v>Kek Lok Si Temple</x:v>
      </x:c>
      <x:c r="C172" s="117" t="n">
        <x:v>1</x:v>
      </x:c>
      <x:c r="D172" s="117" t="str">
        <x:v>https://thumb.wikimedia.org/wikipedia/commons/thumb/0/03/Kek_Lok_Si_1.jpg/1280px-Kek_Lok_Si_1.jpg?utm_source=commons.wikimedia.org&amp;utm_campaign=imageinfo&amp;utm_content=thumbnail</x:v>
      </x:c>
      <x:c r="E172" s="117" t="str">
        <x:v>https://commons.wikimedia.org/wiki/File:Kek_Lok_Si_1.jpg</x:v>
      </x:c>
      <x:c r="F172" s="117" t="str">
        <x:v>File:Kek Lok Si 1.jpg</x:v>
      </x:c>
      <x:c r="G172" s="117" t="str">
        <x:v>Arne Müseler</x:v>
      </x:c>
      <x:c r="H172" s="117" t="str">
        <x:v>CC BY-SA 3.0 de</x:v>
      </x:c>
      <x:c r="I172" s="117" t="str">
        <x:v>https://creativecommons.org/licenses/by-sa/3.0/de/deed.en</x:v>
      </x:c>
      <x:c r="J172" s="117" t="str">
        <x:v>true</x:v>
      </x:c>
      <x:c r="K172" s="117" t="str">
        <x:v>own work
http://www.arne-mueseler.de
Canon EOS 600D</x:v>
      </x:c>
      <x:c r="L172" s="117" t="str">
        <x:v>Exact name or all distinctive place-name tokens in file metadata</x:v>
      </x:c>
      <x:c r="M172" s="117" t="str">
        <x:v>Not visually reviewed</x:v>
      </x:c>
      <x:c r="N172" s="117" t="str">
        <x:v>2026-09-08</x:v>
      </x:c>
    </x:row>
    <x:row r="173" ht="48" customHeight="1">
      <x:c r="A173" s="117" t="str">
        <x:v>MC0174</x:v>
      </x:c>
      <x:c r="B173" s="117" t="str">
        <x:v>Kek Lok Si Temple</x:v>
      </x:c>
      <x:c r="C173" s="117" t="n">
        <x:v>2</x:v>
      </x:c>
      <x:c r="D173" s="117" t="str">
        <x:v>https://thumb.wikimedia.org/wikipedia/commons/thumb/e/ed/Penang_Malaysia_Kek-Lok-Si-Temple-03.jpg/1280px-Penang_Malaysia_Kek-Lok-Si-Temple-03.jpg?utm_source=commons.wikimedia.org&amp;utm_campaign=imageinfo&amp;utm_content=thumbnail</x:v>
      </x:c>
      <x:c r="E173" s="117" t="str">
        <x:v>https://commons.wikimedia.org/wiki/File:Penang_Malaysia_Kek-Lok-Si-Temple-03.jpg</x:v>
      </x:c>
      <x:c r="F173" s="117" t="str">
        <x:v>File:Penang Malaysia Kek-Lok-Si-Temple-03.jpg</x:v>
      </x:c>
      <x:c r="G173" s="117" t="str">
        <x:v>CEphoto, Uwe Aranas</x:v>
      </x:c>
      <x:c r="H173" s="117" t="str">
        <x:v>CC BY-SA 3.0</x:v>
      </x:c>
      <x:c r="I173" s="117" t="str">
        <x:v>https://creativecommons.org/licenses/by-sa/3.0</x:v>
      </x:c>
      <x:c r="J173" s="117" t="str">
        <x:v>true</x:v>
      </x:c>
      <x:c r="K173" s="117" t="str">
        <x:v>Own work</x:v>
      </x:c>
      <x:c r="L173" s="117" t="str">
        <x:v>Exact name or all distinctive place-name tokens in file metadata</x:v>
      </x:c>
      <x:c r="M173" s="117" t="str">
        <x:v>Not visually reviewed</x:v>
      </x:c>
      <x:c r="N173" s="117" t="str">
        <x:v>2026-09-08</x:v>
      </x:c>
    </x:row>
    <x:row r="174" ht="48" customHeight="1">
      <x:c r="A174" s="117" t="str">
        <x:v>MC0179</x:v>
      </x:c>
      <x:c r="B174" s="117" t="str">
        <x:v>Penang Botanic Gardens</x:v>
      </x:c>
      <x:c r="C174" s="117" t="n">
        <x:v>1</x:v>
      </x:c>
      <x:c r="D174" s="117" t="str">
        <x:v>https://thumb.wikimedia.org/wikipedia/commons/thumb/f/f9/Pg_botanic_gardens_trees.JPG/1280px-Pg_botanic_gardens_trees.JPG?utm_source=commons.wikimedia.org&amp;utm_campaign=imageinfo&amp;utm_content=thumbnail</x:v>
      </x:c>
      <x:c r="E174" s="117" t="str">
        <x:v>https://commons.wikimedia.org/wiki/File:Pg_botanic_gardens_trees.JPG</x:v>
      </x:c>
      <x:c r="F174" s="117" t="str">
        <x:v>File:Pg botanic gardens trees.JPG</x:v>
      </x:c>
      <x:c r="G174" s="117" t="str">
        <x:v>Dr htgoon</x:v>
      </x:c>
      <x:c r="H174" s="117" t="str">
        <x:v>CC0</x:v>
      </x:c>
      <x:c r="I174" s="117" t="str">
        <x:v>http://creativecommons.org/publicdomain/zero/1.0/deed.en</x:v>
      </x:c>
      <x:c r="J174" s="117" t="str">
        <x:v>false</x:v>
      </x:c>
      <x:c r="K174" s="117" t="str">
        <x:v>Own work</x:v>
      </x:c>
      <x:c r="L174" s="117" t="str">
        <x:v>Exact name or all distinctive place-name tokens in file metadata</x:v>
      </x:c>
      <x:c r="M174" s="117" t="str">
        <x:v>Not visually reviewed</x:v>
      </x:c>
      <x:c r="N174" s="117" t="str">
        <x:v>2026-09-08</x:v>
      </x:c>
    </x:row>
    <x:row r="175" ht="48" customHeight="1">
      <x:c r="A175" s="117" t="str">
        <x:v>MC0179</x:v>
      </x:c>
      <x:c r="B175" s="117" t="str">
        <x:v>Penang Botanic Gardens</x:v>
      </x:c>
      <x:c r="C175" s="117" t="n">
        <x:v>2</x:v>
      </x:c>
      <x:c r="D175" s="117" t="str">
        <x:v>https://thumb.wikimedia.org/wikipedia/commons/thumb/5/5d/The_famous_cannonball_tree_at_Penang_Botanic_Gardens.jpg/1280px-The_famous_cannonball_tree_at_Penang_Botanic_Gardens.jpg?utm_source=commons.wikimedia.org&amp;utm_campaign=imageinfo&amp;utm_content=thumbnail</x:v>
      </x:c>
      <x:c r="E175" s="117" t="str">
        <x:v>https://commons.wikimedia.org/wiki/File:The_famous_cannonball_tree_at_Penang_Botanic_Gardens.jpg</x:v>
      </x:c>
      <x:c r="F175" s="117" t="str">
        <x:v>File:The famous cannonball tree at Penang Botanic Gardens.jpg</x:v>
      </x:c>
      <x:c r="G175" s="117" t="str">
        <x:v>Chamberlain of Nilai</x:v>
      </x:c>
      <x:c r="H175" s="117" t="str">
        <x:v>CC BY-SA 4.0</x:v>
      </x:c>
      <x:c r="I175" s="117" t="str">
        <x:v>https://creativecommons.org/licenses/by-sa/4.0</x:v>
      </x:c>
      <x:c r="J175" s="117" t="str">
        <x:v>true</x:v>
      </x:c>
      <x:c r="K175" s="117" t="str">
        <x:v>Own work</x:v>
      </x:c>
      <x:c r="L175" s="117" t="str">
        <x:v>Exact name or all distinctive place-name tokens in file metadata</x:v>
      </x:c>
      <x:c r="M175" s="117" t="str">
        <x:v>Not visually reviewed</x:v>
      </x:c>
      <x:c r="N175" s="117" t="str">
        <x:v>2026-09-08</x:v>
      </x:c>
    </x:row>
    <x:row r="176" ht="48" customHeight="1">
      <x:c r="A176" s="117" t="str">
        <x:v>MC0180</x:v>
      </x:c>
      <x:c r="B176" s="117" t="str">
        <x:v>Pinang Peranakan Mansion</x:v>
      </x:c>
      <x:c r="C176" s="117" t="n">
        <x:v>1</x:v>
      </x:c>
      <x:c r="D176" s="117" t="str">
        <x:v>https://thumb.wikimedia.org/wikipedia/commons/thumb/9/92/Pinang_Peranakan_Mansion%2C_George_Town%2C_Penang.jpg/1280px-Pinang_Peranakan_Mansion%2C_George_Town%2C_Penang.jpg?utm_source=commons.wikimedia.org&amp;utm_campaign=imageinfo&amp;utm_content=thumbnail</x:v>
      </x:c>
      <x:c r="E176" s="117" t="str">
        <x:v>https://commons.wikimedia.org/wiki/File:Pinang_Peranakan_Mansion,_George_Town,_Penang.jpg</x:v>
      </x:c>
      <x:c r="F176" s="117" t="str">
        <x:v>File:Pinang Peranakan Mansion, George Town, Penang.jpg</x:v>
      </x:c>
      <x:c r="G176" s="117" t="str">
        <x:v>Vnonymous</x:v>
      </x:c>
      <x:c r="H176" s="117" t="str">
        <x:v>CC BY-SA 4.0</x:v>
      </x:c>
      <x:c r="I176" s="117" t="str">
        <x:v>https://creativecommons.org/licenses/by-sa/4.0</x:v>
      </x:c>
      <x:c r="J176" s="117" t="str">
        <x:v>true</x:v>
      </x:c>
      <x:c r="K176" s="117" t="str">
        <x:v>Own work</x:v>
      </x:c>
      <x:c r="L176" s="117" t="str">
        <x:v>Exact name or all distinctive place-name tokens in file metadata</x:v>
      </x:c>
      <x:c r="M176" s="117" t="str">
        <x:v>Not visually reviewed</x:v>
      </x:c>
      <x:c r="N176" s="117" t="str">
        <x:v>2026-09-08</x:v>
      </x:c>
    </x:row>
    <x:row r="177" ht="48" customHeight="1">
      <x:c r="A177" s="117" t="str">
        <x:v>MC0180</x:v>
      </x:c>
      <x:c r="B177" s="117" t="str">
        <x:v>Pinang Peranakan Mansion</x:v>
      </x:c>
      <x:c r="C177" s="117" t="n">
        <x:v>2</x:v>
      </x:c>
      <x:c r="D177" s="117" t="str">
        <x:v>https://thumb.wikimedia.org/wikipedia/commons/thumb/4/4f/Pinang_Peranakan_Mansion.JPG/1280px-Pinang_Peranakan_Mansion.JPG?utm_source=commons.wikimedia.org&amp;utm_campaign=imageinfo&amp;utm_content=thumbnail</x:v>
      </x:c>
      <x:c r="E177" s="117" t="str">
        <x:v>https://commons.wikimedia.org/wiki/File:Pinang_Peranakan_Mansion.JPG</x:v>
      </x:c>
      <x:c r="F177" s="117" t="str">
        <x:v>File:Pinang Peranakan Mansion.JPG</x:v>
      </x:c>
      <x:c r="G177" s="117" t="str">
        <x:v>Hajotthu</x:v>
      </x:c>
      <x:c r="H177" s="117" t="str">
        <x:v>CC BY 3.0</x:v>
      </x:c>
      <x:c r="I177" s="117" t="str">
        <x:v>https://creativecommons.org/licenses/by/3.0</x:v>
      </x:c>
      <x:c r="J177" s="117" t="str">
        <x:v>true</x:v>
      </x:c>
      <x:c r="K177" s="117" t="str">
        <x:v>Own work</x:v>
      </x:c>
      <x:c r="L177" s="117" t="str">
        <x:v>Exact name or all distinctive place-name tokens in file metadata</x:v>
      </x:c>
      <x:c r="M177" s="117" t="str">
        <x:v>Not visually reviewed</x:v>
      </x:c>
      <x:c r="N177" s="117" t="str">
        <x:v>2026-09-08</x:v>
      </x:c>
    </x:row>
    <x:row r="178" ht="48" customHeight="1">
      <x:c r="A178" s="117" t="str">
        <x:v>MC0181</x:v>
      </x:c>
      <x:c r="B178" s="117" t="str">
        <x:v>Khoo Kongsi</x:v>
      </x:c>
      <x:c r="C178" s="117" t="n">
        <x:v>1</x:v>
      </x:c>
      <x:c r="D178" s="117" t="str">
        <x:v>https://thumb.wikimedia.org/wikipedia/commons/thumb/7/78/Khoo_Kongsi_Penang_Dec_2006_020.jpg/1280px-Khoo_Kongsi_Penang_Dec_2006_020.jpg?utm_source=commons.wikimedia.org&amp;utm_campaign=imageinfo&amp;utm_content=thumbnail</x:v>
      </x:c>
      <x:c r="E178" s="117" t="str">
        <x:v>https://commons.wikimedia.org/wiki/File:Khoo_Kongsi_Penang_Dec_2006_020.jpg</x:v>
      </x:c>
      <x:c r="F178" s="117" t="str">
        <x:v>File:Khoo Kongsi Penang Dec 2006 020.jpg</x:v>
      </x:c>
      <x:c r="G178" s="117" t="str">
        <x:v>Gryffindor</x:v>
      </x:c>
      <x:c r="H178" s="117" t="str">
        <x:v>Public domain</x:v>
      </x:c>
      <x:c r="I178" s="117" t="str"/>
      <x:c r="J178" s="117" t="str">
        <x:v>false</x:v>
      </x:c>
      <x:c r="K178" s="117" t="str">
        <x:v>Own work</x:v>
      </x:c>
      <x:c r="L178" s="117" t="str">
        <x:v>Exact name or all distinctive place-name tokens in file metadata</x:v>
      </x:c>
      <x:c r="M178" s="117" t="str">
        <x:v>Not visually reviewed</x:v>
      </x:c>
      <x:c r="N178" s="117" t="str">
        <x:v>2026-09-08</x:v>
      </x:c>
    </x:row>
    <x:row r="179" ht="48" customHeight="1">
      <x:c r="A179" s="117" t="str">
        <x:v>MC0181</x:v>
      </x:c>
      <x:c r="B179" s="117" t="str">
        <x:v>Khoo Kongsi</x:v>
      </x:c>
      <x:c r="C179" s="117" t="n">
        <x:v>2</x:v>
      </x:c>
      <x:c r="D179" s="117" t="str">
        <x:v>https://thumb.wikimedia.org/wikipedia/commons/thumb/d/d9/Khoo_Kongsi_illuminated_for_Chinese_New_Year_2024.jpg/1280px-Khoo_Kongsi_illuminated_for_Chinese_New_Year_2024.jpg?utm_source=commons.wikimedia.org&amp;utm_campaign=imageinfo&amp;utm_content=thumbnail</x:v>
      </x:c>
      <x:c r="E179" s="117" t="str">
        <x:v>https://commons.wikimedia.org/wiki/File:Khoo_Kongsi_illuminated_for_Chinese_New_Year_2024.jpg</x:v>
      </x:c>
      <x:c r="F179" s="117" t="str">
        <x:v>File:Khoo Kongsi illuminated for Chinese New Year 2024.jpg</x:v>
      </x:c>
      <x:c r="G179" s="117" t="str">
        <x:v>HundenvonPenang</x:v>
      </x:c>
      <x:c r="H179" s="117" t="str">
        <x:v>CC BY-SA 4.0</x:v>
      </x:c>
      <x:c r="I179" s="117" t="str">
        <x:v>https://creativecommons.org/licenses/by-sa/4.0</x:v>
      </x:c>
      <x:c r="J179" s="117" t="str">
        <x:v>true</x:v>
      </x:c>
      <x:c r="K179" s="117" t="str">
        <x:v>Own work</x:v>
      </x:c>
      <x:c r="L179" s="117" t="str">
        <x:v>Exact name or all distinctive place-name tokens in file metadata</x:v>
      </x:c>
      <x:c r="M179" s="117" t="str">
        <x:v>Not visually reviewed</x:v>
      </x:c>
      <x:c r="N179" s="117" t="str">
        <x:v>2026-09-08</x:v>
      </x:c>
    </x:row>
    <x:row r="180" ht="48" customHeight="1">
      <x:c r="A180" s="117" t="str">
        <x:v>MC0182</x:v>
      </x:c>
      <x:c r="B180" s="117" t="str">
        <x:v>Cheong Fatt Tze Mansion</x:v>
      </x:c>
      <x:c r="C180" s="117" t="n">
        <x:v>1</x:v>
      </x:c>
      <x:c r="D180" s="117" t="str">
        <x:v>https://upload.wikimedia.org/wikipedia/commons/7/74/Exterior_view_of_the_mansion.jpg?utm_source=commons.wikimedia.org&amp;utm_campaign=imageinfo&amp;utm_content=thumbnail_unscaled</x:v>
      </x:c>
      <x:c r="E180" s="117" t="str">
        <x:v>https://commons.wikimedia.org/wiki/File:Exterior_view_of_the_mansion.jpg</x:v>
      </x:c>
      <x:c r="F180" s="117" t="str">
        <x:v>File:Exterior view of the mansion.jpg</x:v>
      </x:c>
      <x:c r="G180" s="117" t="str">
        <x:v>Mahen Bala</x:v>
      </x:c>
      <x:c r="H180" s="117" t="str">
        <x:v>CC BY-SA 3.0</x:v>
      </x:c>
      <x:c r="I180" s="117" t="str">
        <x:v>https://creativecommons.org/licenses/by-sa/3.0</x:v>
      </x:c>
      <x:c r="J180" s="117" t="str">
        <x:v>true</x:v>
      </x:c>
      <x:c r="K180" s="117" t="str">
        <x:v>Own work</x:v>
      </x:c>
      <x:c r="L180" s="117" t="str">
        <x:v>Exact name or all distinctive place-name tokens in file metadata</x:v>
      </x:c>
      <x:c r="M180" s="117" t="str">
        <x:v>Not visually reviewed</x:v>
      </x:c>
      <x:c r="N180" s="117" t="str">
        <x:v>2026-09-08</x:v>
      </x:c>
    </x:row>
    <x:row r="181" ht="48" customHeight="1">
      <x:c r="A181" s="117" t="str">
        <x:v>MC0182</x:v>
      </x:c>
      <x:c r="B181" s="117" t="str">
        <x:v>Cheong Fatt Tze Mansion</x:v>
      </x:c>
      <x:c r="C181" s="117" t="n">
        <x:v>2</x:v>
      </x:c>
      <x:c r="D181" s="117" t="str">
        <x:v>https://thumb.wikimedia.org/wikipedia/commons/thumb/a/aa/Penang_Malaysia-_Cheong-Fatt-Tze-Mansion-06.jpg/1280px-Penang_Malaysia-_Cheong-Fatt-Tze-Mansion-06.jpg?utm_source=commons.wikimedia.org&amp;utm_campaign=imageinfo&amp;utm_content=thumbnail</x:v>
      </x:c>
      <x:c r="E181" s="117" t="str">
        <x:v>https://commons.wikimedia.org/wiki/File:Penang_Malaysia-_Cheong-Fatt-Tze-Mansion-06.jpg</x:v>
      </x:c>
      <x:c r="F181" s="117" t="str">
        <x:v>File:Penang Malaysia- Cheong-Fatt-Tze-Mansion-06.jpg</x:v>
      </x:c>
      <x:c r="G181" s="117" t="str">
        <x:v>CEphoto, Uwe Aranas</x:v>
      </x:c>
      <x:c r="H181" s="117" t="str">
        <x:v>CC BY-SA 3.0</x:v>
      </x:c>
      <x:c r="I181" s="117" t="str">
        <x:v>https://creativecommons.org/licenses/by-sa/3.0</x:v>
      </x:c>
      <x:c r="J181" s="117" t="str">
        <x:v>true</x:v>
      </x:c>
      <x:c r="K181" s="117" t="str">
        <x:v>Own work</x:v>
      </x:c>
      <x:c r="L181" s="117" t="str">
        <x:v>Exact name or all distinctive place-name tokens in file metadata</x:v>
      </x:c>
      <x:c r="M181" s="117" t="str">
        <x:v>Not visually reviewed</x:v>
      </x:c>
      <x:c r="N181" s="117" t="str">
        <x:v>2026-09-08</x:v>
      </x:c>
    </x:row>
    <x:row r="182" ht="48" customHeight="1">
      <x:c r="A182" s="117" t="str">
        <x:v>MC0183</x:v>
      </x:c>
      <x:c r="B182" s="117" t="str">
        <x:v>Fort Cornwallis</x:v>
      </x:c>
      <x:c r="C182" s="117" t="n">
        <x:v>1</x:v>
      </x:c>
      <x:c r="D182" s="117" t="str">
        <x:v>https://thumb.wikimedia.org/wikipedia/commons/thumb/0/0c/Fort_Cornwallis_Penang_Dec_2006_005.jpg/1280px-Fort_Cornwallis_Penang_Dec_2006_005.jpg?utm_source=commons.wikimedia.org&amp;utm_campaign=imageinfo&amp;utm_content=thumbnail</x:v>
      </x:c>
      <x:c r="E182" s="117" t="str">
        <x:v>https://commons.wikimedia.org/wiki/File:Fort_Cornwallis_Penang_Dec_2006_005.jpg</x:v>
      </x:c>
      <x:c r="F182" s="117" t="str">
        <x:v>File:Fort Cornwallis Penang Dec 2006 005.jpg</x:v>
      </x:c>
      <x:c r="G182" s="117" t="str">
        <x:v>Gryffindor</x:v>
      </x:c>
      <x:c r="H182" s="117" t="str">
        <x:v>CC BY 2.5</x:v>
      </x:c>
      <x:c r="I182" s="117" t="str">
        <x:v>https://creativecommons.org/licenses/by/2.5</x:v>
      </x:c>
      <x:c r="J182" s="117" t="str">
        <x:v>true</x:v>
      </x:c>
      <x:c r="K182" s="117" t="str">
        <x:v>Own work</x:v>
      </x:c>
      <x:c r="L182" s="117" t="str">
        <x:v>Exact name or all distinctive place-name tokens in file metadata</x:v>
      </x:c>
      <x:c r="M182" s="117" t="str">
        <x:v>Not visually reviewed</x:v>
      </x:c>
      <x:c r="N182" s="117" t="str">
        <x:v>2026-09-08</x:v>
      </x:c>
    </x:row>
    <x:row r="183" ht="48" customHeight="1">
      <x:c r="A183" s="117" t="str">
        <x:v>MC0183</x:v>
      </x:c>
      <x:c r="B183" s="117" t="str">
        <x:v>Fort Cornwallis</x:v>
      </x:c>
      <x:c r="C183" s="117" t="n">
        <x:v>2</x:v>
      </x:c>
      <x:c r="D183" s="117" t="str">
        <x:v>https://thumb.wikimedia.org/wikipedia/commons/thumb/b/bc/Fort_Cornwallis_moat_2025_02.jpg/1280px-Fort_Cornwallis_moat_2025_02.jpg?utm_source=commons.wikimedia.org&amp;utm_campaign=imageinfo&amp;utm_content=thumbnail</x:v>
      </x:c>
      <x:c r="E183" s="117" t="str">
        <x:v>https://commons.wikimedia.org/wiki/File:Fort_Cornwallis_moat_2025_02.jpg</x:v>
      </x:c>
      <x:c r="F183" s="117" t="str">
        <x:v>File:Fort Cornwallis moat 2025 02.jpg</x:v>
      </x:c>
      <x:c r="G183" s="117" t="str">
        <x:v>LEE 003</x:v>
      </x:c>
      <x:c r="H183" s="117" t="str">
        <x:v>CC BY 4.0</x:v>
      </x:c>
      <x:c r="I183" s="117" t="str">
        <x:v>https://creativecommons.org/licenses/by/4.0</x:v>
      </x:c>
      <x:c r="J183" s="117" t="str">
        <x:v>true</x:v>
      </x:c>
      <x:c r="K183" s="117" t="str">
        <x:v>Own work</x:v>
      </x:c>
      <x:c r="L183" s="117" t="str">
        <x:v>Exact name or all distinctive place-name tokens in file metadata</x:v>
      </x:c>
      <x:c r="M183" s="117" t="str">
        <x:v>Not visually reviewed</x:v>
      </x:c>
      <x:c r="N183" s="117" t="str">
        <x:v>2026-09-08</x:v>
      </x:c>
    </x:row>
    <x:row r="184" ht="48" customHeight="1">
      <x:c r="A184" s="117" t="str">
        <x:v>MC0184</x:v>
      </x:c>
      <x:c r="B184" s="117" t="str">
        <x:v>Penang State Museum and Art Gallery</x:v>
      </x:c>
      <x:c r="C184" s="117" t="n">
        <x:v>1</x:v>
      </x:c>
      <x:c r="D184" s="117" t="str">
        <x:v>https://upload.wikimedia.org/wikipedia/commons/0/0f/Penang_State_Museum%2C_Georgetown%2C_Penang%2C_Malaysia.JPG?utm_source=commons.wikimedia.org&amp;utm_campaign=imageinfo&amp;utm_content=thumbnail_unscaled</x:v>
      </x:c>
      <x:c r="E184" s="117" t="str">
        <x:v>https://commons.wikimedia.org/wiki/File:Penang_State_Museum,_Georgetown,_Penang,_Malaysia.JPG</x:v>
      </x:c>
      <x:c r="F184" s="117" t="str">
        <x:v>File:Penang State Museum, Georgetown, Penang, Malaysia.JPG</x:v>
      </x:c>
      <x:c r="G184" s="117" t="str">
        <x:v>User: (WT-shared) Shoestring at  wts wikivoyage</x:v>
      </x:c>
      <x:c r="H184" s="117" t="str">
        <x:v>CC BY-SA 4.0</x:v>
      </x:c>
      <x:c r="I184" s="117" t="str">
        <x:v>https://creativecommons.org/licenses/by-sa/4.0</x:v>
      </x:c>
      <x:c r="J184" s="117" t="str">
        <x:v>true</x:v>
      </x:c>
      <x:c r="K184" s="117" t="str">
        <x:v>Own work</x:v>
      </x:c>
      <x:c r="L184" s="117" t="str">
        <x:v>Exact name or all distinctive place-name tokens in file metadata</x:v>
      </x:c>
      <x:c r="M184" s="117" t="str">
        <x:v>Not visually reviewed</x:v>
      </x:c>
      <x:c r="N184" s="117" t="str">
        <x:v>2026-09-08</x:v>
      </x:c>
    </x:row>
    <x:row r="185" ht="48" customHeight="1">
      <x:c r="A185" s="117" t="str">
        <x:v>MC0184</x:v>
      </x:c>
      <x:c r="B185" s="117" t="str">
        <x:v>Penang State Museum and Art Gallery</x:v>
      </x:c>
      <x:c r="C185" s="117" t="n">
        <x:v>2</x:v>
      </x:c>
      <x:c r="D185" s="117" t="str">
        <x:v>https://thumb.wikimedia.org/wikipedia/commons/thumb/f/fc/Penang_State_Museum_%2829.07.2026%29_02.jpg/1280px-Penang_State_Museum_%2829.07.2026%29_02.jpg?utm_source=commons.wikimedia.org&amp;utm_campaign=imageinfo&amp;utm_content=thumbnail</x:v>
      </x:c>
      <x:c r="E185" s="117" t="str">
        <x:v>https://commons.wikimedia.org/wiki/File:Penang_State_Museum_(29.07.2026)_02.jpg</x:v>
      </x:c>
      <x:c r="F185" s="117" t="str">
        <x:v>File:Penang State Museum (29.07.2026) 02.jpg</x:v>
      </x:c>
      <x:c r="G185" s="117" t="str">
        <x:v>LEE 003</x:v>
      </x:c>
      <x:c r="H185" s="117" t="str">
        <x:v>CC BY 4.0</x:v>
      </x:c>
      <x:c r="I185" s="117" t="str">
        <x:v>https://creativecommons.org/licenses/by/4.0</x:v>
      </x:c>
      <x:c r="J185" s="117" t="str">
        <x:v>true</x:v>
      </x:c>
      <x:c r="K185" s="117" t="str">
        <x:v>Own work</x:v>
      </x:c>
      <x:c r="L185" s="117" t="str">
        <x:v>Exact name or all distinctive place-name tokens in file metadata</x:v>
      </x:c>
      <x:c r="M185" s="117" t="str">
        <x:v>Not visually reviewed</x:v>
      </x:c>
      <x:c r="N185" s="117" t="str">
        <x:v>2026-09-08</x:v>
      </x:c>
    </x:row>
    <x:row r="186" ht="48" customHeight="1">
      <x:c r="A186" s="117" t="str">
        <x:v>MC0185</x:v>
      </x:c>
      <x:c r="B186" s="117" t="str">
        <x:v>Clan Jetties</x:v>
      </x:c>
      <x:c r="C186" s="117" t="n">
        <x:v>1</x:v>
      </x:c>
      <x:c r="D186" s="117" t="str">
        <x:v>https://thumb.wikimedia.org/wikipedia/commons/thumb/e/e0/Lim_Jetty_in_George_Town%2C_Penang.jpg/1280px-Lim_Jetty_in_George_Town%2C_Penang.jpg?utm_source=commons.wikimedia.org&amp;utm_campaign=imageinfo&amp;utm_content=thumbnail</x:v>
      </x:c>
      <x:c r="E186" s="117" t="str">
        <x:v>https://commons.wikimedia.org/wiki/File:Lim_Jetty_in_George_Town,_Penang.jpg</x:v>
      </x:c>
      <x:c r="F186" s="117" t="str">
        <x:v>File:Lim Jetty in George Town, Penang.jpg</x:v>
      </x:c>
      <x:c r="G186" s="117" t="str">
        <x:v>HundenvonPenang</x:v>
      </x:c>
      <x:c r="H186" s="117" t="str">
        <x:v>CC BY-SA 4.0</x:v>
      </x:c>
      <x:c r="I186" s="117" t="str">
        <x:v>https://creativecommons.org/licenses/by-sa/4.0</x:v>
      </x:c>
      <x:c r="J186" s="117" t="str">
        <x:v>true</x:v>
      </x:c>
      <x:c r="K186" s="117" t="str">
        <x:v>Own work</x:v>
      </x:c>
      <x:c r="L186" s="117" t="str">
        <x:v>Exact name or all distinctive place-name tokens in file metadata</x:v>
      </x:c>
      <x:c r="M186" s="117" t="str">
        <x:v>Not visually reviewed</x:v>
      </x:c>
      <x:c r="N186" s="117" t="str">
        <x:v>2026-09-08</x:v>
      </x:c>
    </x:row>
    <x:row r="187" ht="48" customHeight="1">
      <x:c r="A187" s="117" t="str">
        <x:v>MC0186</x:v>
      </x:c>
      <x:c r="B187" s="117" t="str">
        <x:v>Hin Bus Depot</x:v>
      </x:c>
      <x:c r="C187" s="117" t="n">
        <x:v>1</x:v>
      </x:c>
      <x:c r="D187" s="117" t="str">
        <x:v>https://upload.wikimedia.org/wikipedia/commons/8/8f/Cmglee_Penang_Hin_Bus_Depot_entrance.jpg?utm_source=commons.wikimedia.org&amp;utm_campaign=imageinfo&amp;utm_content=thumbnail_unscaled</x:v>
      </x:c>
      <x:c r="E187" s="117" t="str">
        <x:v>https://commons.wikimedia.org/wiki/File:Cmglee_Penang_Hin_Bus_Depot_entrance.jpg</x:v>
      </x:c>
      <x:c r="F187" s="117" t="str">
        <x:v>File:Cmglee Penang Hin Bus Depot entrance.jpg</x:v>
      </x:c>
      <x:c r="G187" s="117" t="str">
        <x:v>Cmglee</x:v>
      </x:c>
      <x:c r="H187" s="117" t="str">
        <x:v>CC BY-SA 4.0</x:v>
      </x:c>
      <x:c r="I187" s="117" t="str">
        <x:v>https://creativecommons.org/licenses/by-sa/4.0</x:v>
      </x:c>
      <x:c r="J187" s="117" t="str">
        <x:v>true</x:v>
      </x:c>
      <x:c r="K187" s="117" t="str">
        <x:v>Own work</x:v>
      </x:c>
      <x:c r="L187" s="117" t="str">
        <x:v>Exact name or all distinctive place-name tokens in file metadata</x:v>
      </x:c>
      <x:c r="M187" s="117" t="str">
        <x:v>Not visually reviewed</x:v>
      </x:c>
      <x:c r="N187" s="117" t="str">
        <x:v>2026-09-08</x:v>
      </x:c>
    </x:row>
    <x:row r="188" ht="48" customHeight="1">
      <x:c r="A188" s="117" t="str">
        <x:v>MC0186</x:v>
      </x:c>
      <x:c r="B188" s="117" t="str">
        <x:v>Hin Bus Depot</x:v>
      </x:c>
      <x:c r="C188" s="117" t="n">
        <x:v>2</x:v>
      </x:c>
      <x:c r="D188" s="117" t="str">
        <x:v>https://thumb.wikimedia.org/wikipedia/commons/thumb/4/40/Cmglee_Penang_Hin_Bus_Depot_interior.jpg/1280px-Cmglee_Penang_Hin_Bus_Depot_interior.jpg?utm_source=commons.wikimedia.org&amp;utm_campaign=imageinfo&amp;utm_content=thumbnail</x:v>
      </x:c>
      <x:c r="E188" s="117" t="str">
        <x:v>https://commons.wikimedia.org/wiki/File:Cmglee_Penang_Hin_Bus_Depot_interior.jpg</x:v>
      </x:c>
      <x:c r="F188" s="117" t="str">
        <x:v>File:Cmglee Penang Hin Bus Depot interior.jpg</x:v>
      </x:c>
      <x:c r="G188" s="117" t="str">
        <x:v>Cmglee</x:v>
      </x:c>
      <x:c r="H188" s="117" t="str">
        <x:v>CC BY-SA 4.0</x:v>
      </x:c>
      <x:c r="I188" s="117" t="str">
        <x:v>https://creativecommons.org/licenses/by-sa/4.0</x:v>
      </x:c>
      <x:c r="J188" s="117" t="str">
        <x:v>true</x:v>
      </x:c>
      <x:c r="K188" s="117" t="str">
        <x:v>Own work</x:v>
      </x:c>
      <x:c r="L188" s="117" t="str">
        <x:v>Exact name or all distinctive place-name tokens in file metadata</x:v>
      </x:c>
      <x:c r="M188" s="117" t="str">
        <x:v>Not visually reviewed</x:v>
      </x:c>
      <x:c r="N188" s="117" t="str">
        <x:v>2026-09-08</x:v>
      </x:c>
    </x:row>
    <x:row r="189" ht="48" customHeight="1">
      <x:c r="A189" s="117" t="str">
        <x:v>MC0189</x:v>
      </x:c>
      <x:c r="B189" s="117" t="str">
        <x:v>Audi Dream Farm</x:v>
      </x:c>
      <x:c r="C189" s="117" t="n">
        <x:v>1</x:v>
      </x:c>
      <x:c r="D189" s="117" t="str">
        <x:v>https://thumb.wikimedia.org/wikipedia/commons/thumb/6/66/Audi_Dream_Farm.jpg/1280px-Audi_Dream_Farm.jpg?utm_source=commons.wikimedia.org&amp;utm_campaign=imageinfo&amp;utm_content=thumbnail</x:v>
      </x:c>
      <x:c r="E189" s="117" t="str">
        <x:v>https://commons.wikimedia.org/wiki/File:Audi_Dream_Farm.jpg</x:v>
      </x:c>
      <x:c r="F189" s="117" t="str">
        <x:v>File:Audi Dream Farm.jpg</x:v>
      </x:c>
      <x:c r="G189" s="117" t="str">
        <x:v>Chongkian</x:v>
      </x:c>
      <x:c r="H189" s="117" t="str">
        <x:v>CC BY-SA 4.0</x:v>
      </x:c>
      <x:c r="I189" s="117" t="str">
        <x:v>https://creativecommons.org/licenses/by-sa/4.0</x:v>
      </x:c>
      <x:c r="J189" s="117" t="str">
        <x:v>true</x:v>
      </x:c>
      <x:c r="K189" s="117" t="str">
        <x:v>Own work</x:v>
      </x:c>
      <x:c r="L189" s="117" t="str">
        <x:v>Exact name or all distinctive place-name tokens in file metadata</x:v>
      </x:c>
      <x:c r="M189" s="117" t="str">
        <x:v>Not visually reviewed</x:v>
      </x:c>
      <x:c r="N189" s="117" t="str">
        <x:v>2026-09-08</x:v>
      </x:c>
    </x:row>
    <x:row r="190" ht="48" customHeight="1">
      <x:c r="A190" s="117" t="str">
        <x:v>MC0190</x:v>
      </x:c>
      <x:c r="B190" s="117" t="str">
        <x:v>Penang War Museum</x:v>
      </x:c>
      <x:c r="C190" s="117" t="n">
        <x:v>1</x:v>
      </x:c>
      <x:c r="D190" s="117" t="str">
        <x:v>https://thumb.wikimedia.org/wikipedia/commons/thumb/f/f0/Penang_War_Museum.jpg/1280px-Penang_War_Museum.jpg?utm_source=commons.wikimedia.org&amp;utm_campaign=imageinfo&amp;utm_content=thumbnail</x:v>
      </x:c>
      <x:c r="E190" s="117" t="str">
        <x:v>https://commons.wikimedia.org/wiki/File:Penang_War_Museum.jpg</x:v>
      </x:c>
      <x:c r="F190" s="117" t="str">
        <x:v>File:Penang War Museum.jpg</x:v>
      </x:c>
      <x:c r="G190" s="117" t="str">
        <x:v>*angys*</x:v>
      </x:c>
      <x:c r="H190" s="117" t="str">
        <x:v>CC BY-SA 4.0</x:v>
      </x:c>
      <x:c r="I190" s="117" t="str">
        <x:v>https://creativecommons.org/licenses/by-sa/4.0</x:v>
      </x:c>
      <x:c r="J190" s="117" t="str">
        <x:v>true</x:v>
      </x:c>
      <x:c r="K190" s="117" t="str">
        <x:v>Own work</x:v>
      </x:c>
      <x:c r="L190" s="117" t="str">
        <x:v>Exact name or all distinctive place-name tokens in file metadata</x:v>
      </x:c>
      <x:c r="M190" s="117" t="str">
        <x:v>Not visually reviewed</x:v>
      </x:c>
      <x:c r="N190" s="117" t="str">
        <x:v>2026-09-08</x:v>
      </x:c>
    </x:row>
    <x:row r="191" ht="48" customHeight="1">
      <x:c r="A191" s="117" t="str">
        <x:v>MC0190</x:v>
      </x:c>
      <x:c r="B191" s="117" t="str">
        <x:v>Penang War Museum</x:v>
      </x:c>
      <x:c r="C191" s="117" t="n">
        <x:v>2</x:v>
      </x:c>
      <x:c r="D191" s="117" t="str">
        <x:v>https://thumb.wikimedia.org/wikipedia/commons/thumb/6/67/Penang_War_Museum_022.jpg/1280px-Penang_War_Museum_022.jpg?utm_source=commons.wikimedia.org&amp;utm_campaign=imageinfo&amp;utm_content=thumbnail</x:v>
      </x:c>
      <x:c r="E191" s="117" t="str">
        <x:v>https://commons.wikimedia.org/wiki/File:Penang_War_Museum_022.jpg</x:v>
      </x:c>
      <x:c r="F191" s="117" t="str">
        <x:v>File:Penang War Museum 022.jpg</x:v>
      </x:c>
      <x:c r="G191" s="117" t="str">
        <x:v>LEE 003</x:v>
      </x:c>
      <x:c r="H191" s="117" t="str">
        <x:v>CC BY 4.0</x:v>
      </x:c>
      <x:c r="I191" s="117" t="str">
        <x:v>https://creativecommons.org/licenses/by/4.0</x:v>
      </x:c>
      <x:c r="J191" s="117" t="str">
        <x:v>true</x:v>
      </x:c>
      <x:c r="K191" s="117" t="str">
        <x:v>Own work</x:v>
      </x:c>
      <x:c r="L191" s="117" t="str">
        <x:v>Exact name or all distinctive place-name tokens in file metadata</x:v>
      </x:c>
      <x:c r="M191" s="117" t="str">
        <x:v>Not visually reviewed</x:v>
      </x:c>
      <x:c r="N191" s="117" t="str">
        <x:v>2026-09-08</x:v>
      </x:c>
    </x:row>
    <x:row r="192" ht="48" customHeight="1">
      <x:c r="A192" s="117" t="str">
        <x:v>MC0191</x:v>
      </x:c>
      <x:c r="B192" s="117" t="str">
        <x:v>Snake Temple</x:v>
      </x:c>
      <x:c r="C192" s="117" t="n">
        <x:v>1</x:v>
      </x:c>
      <x:c r="D192" s="117" t="str">
        <x:v>https://upload.wikimedia.org/wikipedia/commons/b/b3/Snake_Temple%2C_Penang.jpg?utm_source=commons.wikimedia.org&amp;utm_campaign=imageinfo&amp;utm_content=thumbnail_unscaled</x:v>
      </x:c>
      <x:c r="E192" s="117" t="str">
        <x:v>https://commons.wikimedia.org/wiki/File:Snake_Temple,_Penang.jpg</x:v>
      </x:c>
      <x:c r="F192" s="117" t="str">
        <x:v>File:Snake Temple, Penang.jpg</x:v>
      </x:c>
      <x:c r="G192" s="117" t="str">
        <x:v>Khalzuri Yazid from Petaling Jaya, Malaysia</x:v>
      </x:c>
      <x:c r="H192" s="117" t="str">
        <x:v>CC BY-SA 2.0</x:v>
      </x:c>
      <x:c r="I192" s="117" t="str">
        <x:v>https://creativecommons.org/licenses/by-sa/2.0</x:v>
      </x:c>
      <x:c r="J192" s="117" t="str">
        <x:v>true</x:v>
      </x:c>
      <x:c r="K192" s="117" t="str">
        <x:v>Bayan Lepas, Penang - Malaysia
Uploaded by Ryulong</x:v>
      </x:c>
      <x:c r="L192" s="117" t="str">
        <x:v>Exact name or all distinctive place-name tokens in file metadata</x:v>
      </x:c>
      <x:c r="M192" s="117" t="str">
        <x:v>Not visually reviewed</x:v>
      </x:c>
      <x:c r="N192" s="117" t="str">
        <x:v>2026-09-08</x:v>
      </x:c>
    </x:row>
    <x:row r="193" ht="48" customHeight="1">
      <x:c r="A193" s="117" t="str">
        <x:v>MC0191</x:v>
      </x:c>
      <x:c r="B193" s="117" t="str">
        <x:v>Snake Temple</x:v>
      </x:c>
      <x:c r="C193" s="117" t="n">
        <x:v>2</x:v>
      </x:c>
      <x:c r="D193" s="117" t="str">
        <x:v>https://thumb.wikimedia.org/wikipedia/commons/thumb/7/75/%E7%99%BD%E8%9B%87%E5%BB%9F2.jpg/1280px-%E7%99%BD%E8%9B%87%E5%BB%9F2.jpg?utm_source=commons.wikimedia.org&amp;utm_campaign=imageinfo&amp;utm_content=thumbnail</x:v>
      </x:c>
      <x:c r="E193" s="117" t="str">
        <x:v>https://commons.wikimedia.org/wiki/File:%E7%99%BD%E8%9B%87%E5%BB%9F2.jpg</x:v>
      </x:c>
      <x:c r="F193" s="117" t="str">
        <x:v>File:白蛇廟2.jpg</x:v>
      </x:c>
      <x:c r="G193" s="117" t="str">
        <x:v>Outlookxp</x:v>
      </x:c>
      <x:c r="H193" s="117" t="str">
        <x:v>CC BY-SA 4.0</x:v>
      </x:c>
      <x:c r="I193" s="117" t="str">
        <x:v>https://creativecommons.org/licenses/by-sa/4.0</x:v>
      </x:c>
      <x:c r="J193" s="117" t="str">
        <x:v>true</x:v>
      </x:c>
      <x:c r="K193" s="117" t="str">
        <x:v>Own work</x:v>
      </x:c>
      <x:c r="L193" s="117" t="str">
        <x:v>Exact name or all distinctive place-name tokens in file metadata</x:v>
      </x:c>
      <x:c r="M193" s="117" t="str">
        <x:v>Not visually reviewed</x:v>
      </x:c>
      <x:c r="N193" s="117" t="str">
        <x:v>2026-09-08</x:v>
      </x:c>
    </x:row>
    <x:row r="194" ht="48" customHeight="1">
      <x:c r="A194" s="117" t="str">
        <x:v>MC0192</x:v>
      </x:c>
      <x:c r="B194" s="117" t="str">
        <x:v>St Anne's Church</x:v>
      </x:c>
      <x:c r="C194" s="117" t="n">
        <x:v>1</x:v>
      </x:c>
      <x:c r="D194" s="117" t="str">
        <x:v>https://upload.wikimedia.org/wikipedia/commons/1/17/St_annes_soho_1.jpg?utm_source=commons.wikimedia.org&amp;utm_campaign=imageinfo&amp;utm_content=thumbnail_unscaled</x:v>
      </x:c>
      <x:c r="E194" s="117" t="str">
        <x:v>https://commons.wikimedia.org/wiki/File:St_annes_soho_1.jpg</x:v>
      </x:c>
      <x:c r="F194" s="117" t="str">
        <x:v>File:St annes soho 1.jpg</x:v>
      </x:c>
      <x:c r="G194" s="117" t="str">
        <x:v>Tarquin Binary</x:v>
      </x:c>
      <x:c r="H194" s="117" t="str">
        <x:v>CC BY-SA 2.5</x:v>
      </x:c>
      <x:c r="I194" s="117" t="str">
        <x:v>https://creativecommons.org/licenses/by-sa/2.5</x:v>
      </x:c>
      <x:c r="J194" s="117" t="str">
        <x:v>true</x:v>
      </x:c>
      <x:c r="K194" s="117" t="str">
        <x:v>Own work</x:v>
      </x:c>
      <x:c r="L194" s="117" t="str">
        <x:v>Exact name or all distinctive place-name tokens in file metadata</x:v>
      </x:c>
      <x:c r="M194" s="117" t="str">
        <x:v>Not visually reviewed</x:v>
      </x:c>
      <x:c r="N194" s="117" t="str">
        <x:v>2026-09-08</x:v>
      </x:c>
    </x:row>
    <x:row r="195" ht="48" customHeight="1">
      <x:c r="A195" s="117" t="str">
        <x:v>MC0193</x:v>
      </x:c>
      <x:c r="B195" s="117" t="str">
        <x:v>Mengkuang Dam</x:v>
      </x:c>
      <x:c r="C195" s="117" t="n">
        <x:v>1</x:v>
      </x:c>
      <x:c r="D195" s="117" t="str">
        <x:v>https://thumb.wikimedia.org/wikipedia/commons/thumb/6/6f/Mengkuang_Dam_view_%28240225%29_03.jpg/1280px-Mengkuang_Dam_view_%28240225%29_03.jpg?utm_source=commons.wikimedia.org&amp;utm_campaign=imageinfo&amp;utm_content=thumbnail</x:v>
      </x:c>
      <x:c r="E195" s="117" t="str">
        <x:v>https://commons.wikimedia.org/wiki/File:Mengkuang_Dam_view_(240225)_03.jpg</x:v>
      </x:c>
      <x:c r="F195" s="117" t="str">
        <x:v>File:Mengkuang Dam view (240225) 03.jpg</x:v>
      </x:c>
      <x:c r="G195" s="117" t="str">
        <x:v>*angys*</x:v>
      </x:c>
      <x:c r="H195" s="117" t="str">
        <x:v>CC BY-SA 4.0</x:v>
      </x:c>
      <x:c r="I195" s="117" t="str">
        <x:v>https://creativecommons.org/licenses/by-sa/4.0</x:v>
      </x:c>
      <x:c r="J195" s="117" t="str">
        <x:v>true</x:v>
      </x:c>
      <x:c r="K195" s="117" t="str">
        <x:v>Own work</x:v>
      </x:c>
      <x:c r="L195" s="117" t="str">
        <x:v>Exact name or all distinctive place-name tokens in file metadata</x:v>
      </x:c>
      <x:c r="M195" s="117" t="str">
        <x:v>Not visually reviewed</x:v>
      </x:c>
      <x:c r="N195" s="117" t="str">
        <x:v>2026-09-08</x:v>
      </x:c>
    </x:row>
    <x:row r="196" ht="48" customHeight="1">
      <x:c r="A196" s="117" t="str">
        <x:v>MC0193</x:v>
      </x:c>
      <x:c r="B196" s="117" t="str">
        <x:v>Mengkuang Dam</x:v>
      </x:c>
      <x:c r="C196" s="117" t="n">
        <x:v>2</x:v>
      </x:c>
      <x:c r="D196" s="117" t="str">
        <x:v>https://thumb.wikimedia.org/wikipedia/commons/thumb/a/ac/Mengkuang_Dam_04.jpg/1280px-Mengkuang_Dam_04.jpg?utm_source=commons.wikimedia.org&amp;utm_campaign=imageinfo&amp;utm_content=thumbnail</x:v>
      </x:c>
      <x:c r="E196" s="117" t="str">
        <x:v>https://commons.wikimedia.org/wiki/File:Mengkuang_Dam_04.jpg</x:v>
      </x:c>
      <x:c r="F196" s="117" t="str">
        <x:v>File:Mengkuang Dam 04.jpg</x:v>
      </x:c>
      <x:c r="G196" s="117" t="str">
        <x:v>LEE 003</x:v>
      </x:c>
      <x:c r="H196" s="117" t="str">
        <x:v>CC BY 4.0</x:v>
      </x:c>
      <x:c r="I196" s="117" t="str">
        <x:v>https://creativecommons.org/licenses/by/4.0</x:v>
      </x:c>
      <x:c r="J196" s="117" t="str">
        <x:v>true</x:v>
      </x:c>
      <x:c r="K196" s="117" t="str">
        <x:v>Own work</x:v>
      </x:c>
      <x:c r="L196" s="117" t="str">
        <x:v>Exact name or all distinctive place-name tokens in file metadata</x:v>
      </x:c>
      <x:c r="M196" s="117" t="str">
        <x:v>Not visually reviewed</x:v>
      </x:c>
      <x:c r="N196" s="117" t="str">
        <x:v>2026-09-08</x:v>
      </x:c>
    </x:row>
    <x:row r="197" ht="48" customHeight="1">
      <x:c r="A197" s="117" t="str">
        <x:v>MC0195</x:v>
      </x:c>
      <x:c r="B197" s="117" t="str">
        <x:v>Pangkor Island</x:v>
      </x:c>
      <x:c r="C197" s="117" t="n">
        <x:v>1</x:v>
      </x:c>
      <x:c r="D197" s="117" t="str">
        <x:v>https://thumb.wikimedia.org/wikipedia/commons/thumb/8/85/Cmglee_Malaysia_Pangkor_Island_and_Lumut.jpg/1280px-Cmglee_Malaysia_Pangkor_Island_and_Lumut.jpg?utm_source=commons.wikimedia.org&amp;utm_campaign=imageinfo&amp;utm_content=thumbnail</x:v>
      </x:c>
      <x:c r="E197" s="117" t="str">
        <x:v>https://commons.wikimedia.org/wiki/File:Cmglee_Malaysia_Pangkor_Island_and_Lumut.jpg</x:v>
      </x:c>
      <x:c r="F197" s="117" t="str">
        <x:v>File:Cmglee Malaysia Pangkor Island and Lumut.jpg</x:v>
      </x:c>
      <x:c r="G197" s="117" t="str">
        <x:v>Cmglee</x:v>
      </x:c>
      <x:c r="H197" s="117" t="str">
        <x:v>CC BY-SA 4.0</x:v>
      </x:c>
      <x:c r="I197" s="117" t="str">
        <x:v>https://creativecommons.org/licenses/by-sa/4.0</x:v>
      </x:c>
      <x:c r="J197" s="117" t="str">
        <x:v>true</x:v>
      </x:c>
      <x:c r="K197" s="117" t="str">
        <x:v>Own work</x:v>
      </x:c>
      <x:c r="L197" s="117" t="str">
        <x:v>Exact name or all distinctive place-name tokens in file metadata</x:v>
      </x:c>
      <x:c r="M197" s="117" t="str">
        <x:v>Not visually reviewed</x:v>
      </x:c>
      <x:c r="N197" s="117" t="str">
        <x:v>2026-09-08</x:v>
      </x:c>
    </x:row>
    <x:row r="198" ht="48" customHeight="1">
      <x:c r="A198" s="117" t="str">
        <x:v>MC0195</x:v>
      </x:c>
      <x:c r="B198" s="117" t="str">
        <x:v>Pangkor Island</x:v>
      </x:c>
      <x:c r="C198" s="117" t="n">
        <x:v>2</x:v>
      </x:c>
      <x:c r="D198" s="117" t="str">
        <x:v>https://thumb.wikimedia.org/wikipedia/commons/thumb/3/31/Sunset_over_Pangkor_Island.jpg/1280px-Sunset_over_Pangkor_Island.jpg?utm_source=commons.wikimedia.org&amp;utm_campaign=imageinfo&amp;utm_content=thumbnail</x:v>
      </x:c>
      <x:c r="E198" s="117" t="str">
        <x:v>https://commons.wikimedia.org/wiki/File:Sunset_over_Pangkor_Island.jpg</x:v>
      </x:c>
      <x:c r="F198" s="117" t="str">
        <x:v>File:Sunset over Pangkor Island.jpg</x:v>
      </x:c>
      <x:c r="G198" s="117" t="str">
        <x:v>Michael</x:v>
      </x:c>
      <x:c r="H198" s="117" t="str">
        <x:v>Public domain</x:v>
      </x:c>
      <x:c r="I198" s="117" t="str"/>
      <x:c r="J198" s="117" t="str">
        <x:v>false</x:v>
      </x:c>
      <x:c r="K198" s="117" t="str">
        <x:v>Own work</x:v>
      </x:c>
      <x:c r="L198" s="117" t="str">
        <x:v>Exact name or all distinctive place-name tokens in file metadata</x:v>
      </x:c>
      <x:c r="M198" s="117" t="str">
        <x:v>Not visually reviewed</x:v>
      </x:c>
      <x:c r="N198" s="117" t="str">
        <x:v>2026-09-08</x:v>
      </x:c>
    </x:row>
    <x:row r="199" ht="48" customHeight="1">
      <x:c r="A199" s="117" t="str">
        <x:v>MC0197</x:v>
      </x:c>
      <x:c r="B199" s="117" t="str">
        <x:v>Lost World of Tambun</x:v>
      </x:c>
      <x:c r="C199" s="117" t="n">
        <x:v>1</x:v>
      </x:c>
      <x:c r="D199" s="117" t="str">
        <x:v>https://thumb.wikimedia.org/wikipedia/commons/thumb/5/5e/Lost_Word_of_Tambun_Main_Entrance.JPG/1280px-Lost_Word_of_Tambun_Main_Entrance.JPG?utm_source=commons.wikimedia.org&amp;utm_campaign=imageinfo&amp;utm_content=thumbnail</x:v>
      </x:c>
      <x:c r="E199" s="117" t="str">
        <x:v>https://commons.wikimedia.org/wiki/File:Lost_Word_of_Tambun_Main_Entrance.JPG</x:v>
      </x:c>
      <x:c r="F199" s="117" t="str">
        <x:v>File:Lost Word of Tambun Main Entrance.JPG</x:v>
      </x:c>
      <x:c r="G199" s="117" t="str">
        <x:v>Shafika Tahir</x:v>
      </x:c>
      <x:c r="H199" s="117" t="str">
        <x:v>CC BY-SA 4.0</x:v>
      </x:c>
      <x:c r="I199" s="117" t="str">
        <x:v>https://creativecommons.org/licenses/by-sa/4.0</x:v>
      </x:c>
      <x:c r="J199" s="117" t="str">
        <x:v>true</x:v>
      </x:c>
      <x:c r="K199" s="117" t="str">
        <x:v>Own work</x:v>
      </x:c>
      <x:c r="L199" s="117" t="str">
        <x:v>Exact name or all distinctive place-name tokens in file metadata</x:v>
      </x:c>
      <x:c r="M199" s="117" t="str">
        <x:v>Not visually reviewed</x:v>
      </x:c>
      <x:c r="N199" s="117" t="str">
        <x:v>2026-09-08</x:v>
      </x:c>
    </x:row>
    <x:row r="200" ht="48" customHeight="1">
      <x:c r="A200" s="117" t="str">
        <x:v>MC0197</x:v>
      </x:c>
      <x:c r="B200" s="117" t="str">
        <x:v>Lost World of Tambun</x:v>
      </x:c>
      <x:c r="C200" s="117" t="n">
        <x:v>2</x:v>
      </x:c>
      <x:c r="D200" s="117" t="str">
        <x:v>https://thumb.wikimedia.org/wikipedia/commons/thumb/b/b1/Lost_World_Petting_Zoo_Albino-Phyton.JPG/1280px-Lost_World_Petting_Zoo_Albino-Phyton.JPG?utm_source=commons.wikimedia.org&amp;utm_campaign=imageinfo&amp;utm_content=thumbnail</x:v>
      </x:c>
      <x:c r="E200" s="117" t="str">
        <x:v>https://commons.wikimedia.org/wiki/File:Lost_World_Petting_Zoo_Albino-Phyton.JPG</x:v>
      </x:c>
      <x:c r="F200" s="117" t="str">
        <x:v>File:Lost World Petting Zoo Albino-Phyton.JPG</x:v>
      </x:c>
      <x:c r="G200" s="117" t="str">
        <x:v>Shafika Tahir</x:v>
      </x:c>
      <x:c r="H200" s="117" t="str">
        <x:v>CC BY-SA 4.0</x:v>
      </x:c>
      <x:c r="I200" s="117" t="str">
        <x:v>https://creativecommons.org/licenses/by-sa/4.0</x:v>
      </x:c>
      <x:c r="J200" s="117" t="str">
        <x:v>true</x:v>
      </x:c>
      <x:c r="K200" s="117" t="str">
        <x:v>Own work</x:v>
      </x:c>
      <x:c r="L200" s="117" t="str">
        <x:v>Exact name or all distinctive place-name tokens in file metadata</x:v>
      </x:c>
      <x:c r="M200" s="117" t="str">
        <x:v>Not visually reviewed</x:v>
      </x:c>
      <x:c r="N200" s="117" t="str">
        <x:v>2026-09-08</x:v>
      </x:c>
    </x:row>
    <x:row r="201" ht="48" customHeight="1">
      <x:c r="A201" s="117" t="str">
        <x:v>MC0198</x:v>
      </x:c>
      <x:c r="B201" s="117" t="str">
        <x:v>Kellie's Castle</x:v>
      </x:c>
      <x:c r="C201" s="117" t="n">
        <x:v>1</x:v>
      </x:c>
      <x:c r="D201" s="117" t="str">
        <x:v>https://thumb.wikimedia.org/wikipedia/commons/thumb/6/68/Kellie%27s_Castle.jpg/1280px-Kellie%27s_Castle.jpg?utm_source=commons.wikimedia.org&amp;utm_campaign=imageinfo&amp;utm_content=thumbnail</x:v>
      </x:c>
      <x:c r="E201" s="117" t="str">
        <x:v>https://commons.wikimedia.org/wiki/File:Kellie%27s_Castle.jpg</x:v>
      </x:c>
      <x:c r="F201" s="117" t="str">
        <x:v>File:Kellie's Castle.jpg</x:v>
      </x:c>
      <x:c r="G201" s="117" t="str">
        <x:v>Kulshrax</x:v>
      </x:c>
      <x:c r="H201" s="117" t="str">
        <x:v>CC BY 3.0</x:v>
      </x:c>
      <x:c r="I201" s="117" t="str">
        <x:v>https://creativecommons.org/licenses/by/3.0</x:v>
      </x:c>
      <x:c r="J201" s="117" t="str">
        <x:v>true</x:v>
      </x:c>
      <x:c r="K201" s="117" t="str">
        <x:v>Own work</x:v>
      </x:c>
      <x:c r="L201" s="117" t="str">
        <x:v>Exact name or all distinctive place-name tokens in file metadata</x:v>
      </x:c>
      <x:c r="M201" s="117" t="str">
        <x:v>Not visually reviewed</x:v>
      </x:c>
      <x:c r="N201" s="117" t="str">
        <x:v>2026-09-08</x:v>
      </x:c>
    </x:row>
    <x:row r="202" ht="48" customHeight="1">
      <x:c r="A202" s="117" t="str">
        <x:v>MC0198</x:v>
      </x:c>
      <x:c r="B202" s="117" t="str">
        <x:v>Kellie's Castle</x:v>
      </x:c>
      <x:c r="C202" s="117" t="n">
        <x:v>2</x:v>
      </x:c>
      <x:c r="D202" s="117" t="str">
        <x:v>https://thumb.wikimedia.org/wikipedia/commons/thumb/6/65/Ghostly_Cloister_Balcony_2.png/1280px-Ghostly_Cloister_Balcony_2.png?utm_source=commons.wikimedia.org&amp;utm_campaign=imageinfo&amp;utm_content=thumbnail</x:v>
      </x:c>
      <x:c r="E202" s="117" t="str">
        <x:v>https://commons.wikimedia.org/wiki/File:Ghostly_Cloister_Balcony_2.png</x:v>
      </x:c>
      <x:c r="F202" s="117" t="str">
        <x:v>File:Ghostly Cloister Balcony 2.png</x:v>
      </x:c>
      <x:c r="G202" s="117" t="str">
        <x:v>Pooventhan Supramaniam</x:v>
      </x:c>
      <x:c r="H202" s="117" t="str">
        <x:v>CC BY-SA 4.0</x:v>
      </x:c>
      <x:c r="I202" s="117" t="str">
        <x:v>https://creativecommons.org/licenses/by-sa/4.0</x:v>
      </x:c>
      <x:c r="J202" s="117" t="str">
        <x:v>true</x:v>
      </x:c>
      <x:c r="K202" s="117" t="str">
        <x:v>Own work</x:v>
      </x:c>
      <x:c r="L202" s="117" t="str">
        <x:v>Exact name or all distinctive place-name tokens in file metadata</x:v>
      </x:c>
      <x:c r="M202" s="117" t="str">
        <x:v>Not visually reviewed</x:v>
      </x:c>
      <x:c r="N202" s="117" t="str">
        <x:v>2026-09-08</x:v>
      </x:c>
    </x:row>
    <x:row r="203" ht="48" customHeight="1">
      <x:c r="A203" s="117" t="str">
        <x:v>MC0200</x:v>
      </x:c>
      <x:c r="B203" s="117" t="str">
        <x:v>Royal Belum State Park</x:v>
      </x:c>
      <x:c r="C203" s="117" t="n">
        <x:v>1</x:v>
      </x:c>
      <x:c r="D203" s="117" t="str">
        <x:v>https://thumb.wikimedia.org/wikipedia/commons/thumb/2/2b/Royal_Belum_State_Park.jpg/1280px-Royal_Belum_State_Park.jpg?utm_source=commons.wikimedia.org&amp;utm_campaign=imageinfo&amp;utm_content=thumbnail</x:v>
      </x:c>
      <x:c r="E203" s="117" t="str">
        <x:v>https://commons.wikimedia.org/wiki/File:Royal_Belum_State_Park.jpg</x:v>
      </x:c>
      <x:c r="F203" s="117" t="str">
        <x:v>File:Royal Belum State Park.jpg</x:v>
      </x:c>
      <x:c r="G203" s="117" t="str">
        <x:v>Ancalime88</x:v>
      </x:c>
      <x:c r="H203" s="117" t="str">
        <x:v>CC BY-SA 4.0</x:v>
      </x:c>
      <x:c r="I203" s="117" t="str">
        <x:v>https://creativecommons.org/licenses/by-sa/4.0</x:v>
      </x:c>
      <x:c r="J203" s="117" t="str">
        <x:v>true</x:v>
      </x:c>
      <x:c r="K203" s="117" t="str">
        <x:v>Own work</x:v>
      </x:c>
      <x:c r="L203" s="117" t="str">
        <x:v>Exact name or all distinctive place-name tokens in file metadata</x:v>
      </x:c>
      <x:c r="M203" s="117" t="str">
        <x:v>Not visually reviewed</x:v>
      </x:c>
      <x:c r="N203" s="117" t="str">
        <x:v>2026-09-08</x:v>
      </x:c>
    </x:row>
    <x:row r="204" ht="48" customHeight="1">
      <x:c r="A204" s="117" t="str">
        <x:v>MC0201</x:v>
      </x:c>
      <x:c r="B204" s="117" t="str">
        <x:v>Taiping Lake Gardens</x:v>
      </x:c>
      <x:c r="C204" s="117" t="n">
        <x:v>1</x:v>
      </x:c>
      <x:c r="D204" s="117" t="str">
        <x:v>https://upload.wikimedia.org/wikipedia/commons/5/5e/Wohin_auswandern_malaysia_Taiping_Lake_Gardens_4.jpg?utm_source=commons.wikimedia.org&amp;utm_campaign=imageinfo&amp;utm_content=thumbnail_unscaled</x:v>
      </x:c>
      <x:c r="E204" s="117" t="str">
        <x:v>https://commons.wikimedia.org/wiki/File:Wohin_auswandern_malaysia_Taiping_Lake_Gardens_4.jpg</x:v>
      </x:c>
      <x:c r="F204" s="117" t="str">
        <x:v>File:Wohin auswandern malaysia Taiping Lake Gardens 4.jpg</x:v>
      </x:c>
      <x:c r="G204" s="117" t="str">
        <x:v>Wohin Auswandern</x:v>
      </x:c>
      <x:c r="H204" s="117" t="str">
        <x:v>CC BY 2.0</x:v>
      </x:c>
      <x:c r="I204" s="117" t="str">
        <x:v>https://creativecommons.org/licenses/by/2.0</x:v>
      </x:c>
      <x:c r="J204" s="117" t="str">
        <x:v>true</x:v>
      </x:c>
      <x:c r="K204" s="117" t="str">
        <x:v>originally posted to Flickr as wohin auswandern malaysia Taiping Lake Gardens 4</x:v>
      </x:c>
      <x:c r="L204" s="117" t="str">
        <x:v>Exact name or all distinctive place-name tokens in file metadata</x:v>
      </x:c>
      <x:c r="M204" s="117" t="str">
        <x:v>Not visually reviewed</x:v>
      </x:c>
      <x:c r="N204" s="117" t="str">
        <x:v>2026-09-08</x:v>
      </x:c>
    </x:row>
    <x:row r="205" ht="48" customHeight="1">
      <x:c r="A205" s="117" t="str">
        <x:v>MC0201</x:v>
      </x:c>
      <x:c r="B205" s="117" t="str">
        <x:v>Taiping Lake Gardens</x:v>
      </x:c>
      <x:c r="C205" s="117" t="n">
        <x:v>2</x:v>
      </x:c>
      <x:c r="D205" s="117" t="str">
        <x:v>https://thumb.wikimedia.org/wikipedia/commons/thumb/7/75/Taiping_-_Taman_Tasik_sign_blue_hour_with_reflections_-_Jun_2024.jpg/1280px-Taiping_-_Taman_Tasik_sign_blue_hour_with_reflections_-_Jun_2024.jpg?utm_source=commons.wikimedia.org&amp;utm_campaign=imageinfo&amp;utm_content=thumbnail</x:v>
      </x:c>
      <x:c r="E205" s="117" t="str">
        <x:v>https://commons.wikimedia.org/wiki/File:Taiping_-_Taman_Tasik_sign_blue_hour_with_reflections_-_Jun_2024.jpg</x:v>
      </x:c>
      <x:c r="F205" s="117" t="str">
        <x:v>File:Taiping - Taman Tasik sign blue hour with reflections - Jun 2024.jpg</x:v>
      </x:c>
      <x:c r="G205" s="117" t="str">
        <x:v>Dominic Nelson</x:v>
      </x:c>
      <x:c r="H205" s="117" t="str">
        <x:v>CC BY-SA 4.0</x:v>
      </x:c>
      <x:c r="I205" s="117" t="str">
        <x:v>https://creativecommons.org/licenses/by-sa/4.0</x:v>
      </x:c>
      <x:c r="J205" s="117" t="str">
        <x:v>true</x:v>
      </x:c>
      <x:c r="K205" s="117" t="str">
        <x:v>Own work</x:v>
      </x:c>
      <x:c r="L205" s="117" t="str">
        <x:v>Exact name or all distinctive place-name tokens in file metadata</x:v>
      </x:c>
      <x:c r="M205" s="117" t="str">
        <x:v>Not visually reviewed</x:v>
      </x:c>
      <x:c r="N205" s="117" t="str">
        <x:v>2026-09-08</x:v>
      </x:c>
    </x:row>
    <x:row r="206" ht="48" customHeight="1">
      <x:c r="A206" s="117" t="str">
        <x:v>MC0204</x:v>
      </x:c>
      <x:c r="B206" s="117" t="str">
        <x:v>Gua Tempurung</x:v>
      </x:c>
      <x:c r="C206" s="117" t="n">
        <x:v>1</x:v>
      </x:c>
      <x:c r="D206" s="117" t="str">
        <x:v>https://thumb.wikimedia.org/wikipedia/commons/thumb/e/e9/Gua_Tempurung.jpg/1280px-Gua_Tempurung.jpg?utm_source=commons.wikimedia.org&amp;utm_campaign=imageinfo&amp;utm_content=thumbnail</x:v>
      </x:c>
      <x:c r="E206" s="117" t="str">
        <x:v>https://commons.wikimedia.org/wiki/File:Gua_Tempurung.jpg</x:v>
      </x:c>
      <x:c r="F206" s="117" t="str">
        <x:v>File:Gua Tempurung.jpg</x:v>
      </x:c>
      <x:c r="G206" s="117" t="str">
        <x:v>No machine-readable author provided. Calvin Teo assumed (based on copyright claims).</x:v>
      </x:c>
      <x:c r="H206" s="117" t="str">
        <x:v>CC BY-SA 2.5</x:v>
      </x:c>
      <x:c r="I206" s="117" t="str">
        <x:v>https://creativecommons.org/licenses/by-sa/2.5</x:v>
      </x:c>
      <x:c r="J206" s="117" t="str">
        <x:v>true</x:v>
      </x:c>
      <x:c r="K206" s="117" t="str">
        <x:v>No machine-readable source provided. Own work assumed (based on copyright claims).</x:v>
      </x:c>
      <x:c r="L206" s="117" t="str">
        <x:v>Exact name or all distinctive place-name tokens in file metadata</x:v>
      </x:c>
      <x:c r="M206" s="117" t="str">
        <x:v>Not visually reviewed</x:v>
      </x:c>
      <x:c r="N206" s="117" t="str">
        <x:v>2026-09-08</x:v>
      </x:c>
    </x:row>
    <x:row r="207" ht="48" customHeight="1">
      <x:c r="A207" s="117" t="str">
        <x:v>MC0204</x:v>
      </x:c>
      <x:c r="B207" s="117" t="str">
        <x:v>Gua Tempurung</x:v>
      </x:c>
      <x:c r="C207" s="117" t="n">
        <x:v>2</x:v>
      </x:c>
      <x:c r="D207" s="117" t="str">
        <x:v>https://upload.wikimedia.org/wikipedia/commons/0/02/E1%2C_Hentian_Sebelah_Gua_Tempurung_Arah_Selatan_02.jpg?utm_source=commons.wikimedia.org&amp;utm_campaign=imageinfo&amp;utm_content=thumbnail_unscaled</x:v>
      </x:c>
      <x:c r="E207" s="117" t="str">
        <x:v>https://commons.wikimedia.org/wiki/File:E1,_Hentian_Sebelah_Gua_Tempurung_Arah_Selatan_02.jpg</x:v>
      </x:c>
      <x:c r="F207" s="117" t="str">
        <x:v>File:E1, Hentian Sebelah Gua Tempurung Arah Selatan 02.jpg</x:v>
      </x:c>
      <x:c r="G207" s="117" t="str">
        <x:v>Wiki Farazi</x:v>
      </x:c>
      <x:c r="H207" s="117" t="str">
        <x:v>CC0</x:v>
      </x:c>
      <x:c r="I207" s="117" t="str">
        <x:v>http://creativecommons.org/publicdomain/zero/1.0/deed.en</x:v>
      </x:c>
      <x:c r="J207" s="117" t="str">
        <x:v>false</x:v>
      </x:c>
      <x:c r="K207" s="117" t="str">
        <x:v>Own work</x:v>
      </x:c>
      <x:c r="L207" s="117" t="str">
        <x:v>Exact name or all distinctive place-name tokens in file metadata</x:v>
      </x:c>
      <x:c r="M207" s="117" t="str">
        <x:v>Not visually reviewed</x:v>
      </x:c>
      <x:c r="N207" s="117" t="str">
        <x:v>2026-09-08</x:v>
      </x:c>
    </x:row>
    <x:row r="208" ht="48" customHeight="1">
      <x:c r="A208" s="117" t="str">
        <x:v>MC0206</x:v>
      </x:c>
      <x:c r="B208" s="117" t="str">
        <x:v>Han Chin Pet Soo</x:v>
      </x:c>
      <x:c r="C208" s="117" t="n">
        <x:v>1</x:v>
      </x:c>
      <x:c r="D208" s="117" t="str">
        <x:v>https://upload.wikimedia.org/wikipedia/commons/d/d8/HCPS_Dining_hall.jpg?utm_source=commons.wikimedia.org&amp;utm_campaign=imageinfo&amp;utm_content=thumbnail_unscaled</x:v>
      </x:c>
      <x:c r="E208" s="117" t="str">
        <x:v>https://commons.wikimedia.org/wiki/File:HCPS_Dining_hall.jpg</x:v>
      </x:c>
      <x:c r="F208" s="117" t="str">
        <x:v>File:HCPS Dining hall.jpg</x:v>
      </x:c>
      <x:c r="G208" s="117" t="str">
        <x:v>Chriscwy5435</x:v>
      </x:c>
      <x:c r="H208" s="117" t="str">
        <x:v>CC BY-SA 4.0</x:v>
      </x:c>
      <x:c r="I208" s="117" t="str">
        <x:v>https://creativecommons.org/licenses/by-sa/4.0</x:v>
      </x:c>
      <x:c r="J208" s="117" t="str">
        <x:v>true</x:v>
      </x:c>
      <x:c r="K208" s="117" t="str">
        <x:v>Own work</x:v>
      </x:c>
      <x:c r="L208" s="117" t="str">
        <x:v>Exact name or all distinctive place-name tokens in file metadata</x:v>
      </x:c>
      <x:c r="M208" s="117" t="str">
        <x:v>Not visually reviewed</x:v>
      </x:c>
      <x:c r="N208" s="117" t="str">
        <x:v>2026-09-08</x:v>
      </x:c>
    </x:row>
    <x:row r="209" ht="48" customHeight="1">
      <x:c r="A209" s="117" t="str">
        <x:v>MC0206</x:v>
      </x:c>
      <x:c r="B209" s="117" t="str">
        <x:v>Han Chin Pet Soo</x:v>
      </x:c>
      <x:c r="C209" s="117" t="n">
        <x:v>2</x:v>
      </x:c>
      <x:c r="D209" s="117" t="str">
        <x:v>https://upload.wikimedia.org/wikipedia/commons/0/07/HCPS_coolie.jpg?utm_source=commons.wikimedia.org&amp;utm_campaign=imageinfo&amp;utm_content=thumbnail_unscaled</x:v>
      </x:c>
      <x:c r="E209" s="117" t="str">
        <x:v>https://commons.wikimedia.org/wiki/File:HCPS_coolie.jpg</x:v>
      </x:c>
      <x:c r="F209" s="117" t="str">
        <x:v>File:HCPS coolie.jpg</x:v>
      </x:c>
      <x:c r="G209" s="117" t="str">
        <x:v>Chriscwy5435</x:v>
      </x:c>
      <x:c r="H209" s="117" t="str">
        <x:v>CC BY-SA 4.0</x:v>
      </x:c>
      <x:c r="I209" s="117" t="str">
        <x:v>https://creativecommons.org/licenses/by-sa/4.0</x:v>
      </x:c>
      <x:c r="J209" s="117" t="str">
        <x:v>true</x:v>
      </x:c>
      <x:c r="K209" s="117" t="str">
        <x:v>Own work</x:v>
      </x:c>
      <x:c r="L209" s="117" t="str">
        <x:v>Exact name or all distinctive place-name tokens in file metadata</x:v>
      </x:c>
      <x:c r="M209" s="117" t="str">
        <x:v>Not visually reviewed</x:v>
      </x:c>
      <x:c r="N209" s="117" t="str">
        <x:v>2026-09-08</x:v>
      </x:c>
    </x:row>
    <x:row r="210" ht="48" customHeight="1">
      <x:c r="A210" s="117" t="str">
        <x:v>MC0207</x:v>
      </x:c>
      <x:c r="B210" s="117" t="str">
        <x:v>Ho Yan Hor Museum</x:v>
      </x:c>
      <x:c r="C210" s="117" t="n">
        <x:v>1</x:v>
      </x:c>
      <x:c r="D210" s="117" t="str">
        <x:v>https://thumb.wikimedia.org/wikipedia/commons/thumb/c/c6/Ho_Yan_Hor_Museum_1.jpg/1280px-Ho_Yan_Hor_Museum_1.jpg?utm_source=commons.wikimedia.org&amp;utm_campaign=imageinfo&amp;utm_content=thumbnail</x:v>
      </x:c>
      <x:c r="E210" s="117" t="str">
        <x:v>https://commons.wikimedia.org/wiki/File:Ho_Yan_Hor_Museum_1.jpg</x:v>
      </x:c>
      <x:c r="F210" s="117" t="str">
        <x:v>File:Ho Yan Hor Museum 1.jpg</x:v>
      </x:c>
      <x:c r="G210" s="117" t="str">
        <x:v>Slleong</x:v>
      </x:c>
      <x:c r="H210" s="117" t="str">
        <x:v>CC0</x:v>
      </x:c>
      <x:c r="I210" s="117" t="str">
        <x:v>http://creativecommons.org/publicdomain/zero/1.0/deed.en</x:v>
      </x:c>
      <x:c r="J210" s="117" t="str">
        <x:v>false</x:v>
      </x:c>
      <x:c r="K210" s="117" t="str">
        <x:v>Own work</x:v>
      </x:c>
      <x:c r="L210" s="117" t="str">
        <x:v>Exact name or all distinctive place-name tokens in file metadata</x:v>
      </x:c>
      <x:c r="M210" s="117" t="str">
        <x:v>Not visually reviewed</x:v>
      </x:c>
      <x:c r="N210" s="117" t="str">
        <x:v>2026-09-08</x:v>
      </x:c>
    </x:row>
    <x:row r="211" ht="48" customHeight="1">
      <x:c r="A211" s="117" t="str">
        <x:v>MC0209</x:v>
      </x:c>
      <x:c r="B211" s="117" t="str">
        <x:v>Sam Poh Tong Temple</x:v>
      </x:c>
      <x:c r="C211" s="117" t="n">
        <x:v>1</x:v>
      </x:c>
      <x:c r="D211" s="117" t="str">
        <x:v>https://thumb.wikimedia.org/wikipedia/commons/thumb/7/72/Sam_Poh_Tong_Temple.jpg/1280px-Sam_Poh_Tong_Temple.jpg?utm_source=commons.wikimedia.org&amp;utm_campaign=imageinfo&amp;utm_content=thumbnail</x:v>
      </x:c>
      <x:c r="E211" s="117" t="str">
        <x:v>https://commons.wikimedia.org/wiki/File:Sam_Poh_Tong_Temple.jpg</x:v>
      </x:c>
      <x:c r="F211" s="117" t="str">
        <x:v>File:Sam Poh Tong Temple.jpg</x:v>
      </x:c>
      <x:c r="G211" s="117" t="str">
        <x:v>Miss Prema Darshini</x:v>
      </x:c>
      <x:c r="H211" s="117" t="str">
        <x:v>CC BY-SA 4.0</x:v>
      </x:c>
      <x:c r="I211" s="117" t="str">
        <x:v>https://creativecommons.org/licenses/by-sa/4.0</x:v>
      </x:c>
      <x:c r="J211" s="117" t="str">
        <x:v>true</x:v>
      </x:c>
      <x:c r="K211" s="117" t="str">
        <x:v>Own work</x:v>
      </x:c>
      <x:c r="L211" s="117" t="str">
        <x:v>Exact name or all distinctive place-name tokens in file metadata</x:v>
      </x:c>
      <x:c r="M211" s="117" t="str">
        <x:v>Not visually reviewed</x:v>
      </x:c>
      <x:c r="N211" s="117" t="str">
        <x:v>2026-09-08</x:v>
      </x:c>
    </x:row>
    <x:row r="212" ht="48" customHeight="1">
      <x:c r="A212" s="117" t="str">
        <x:v>MC0209</x:v>
      </x:c>
      <x:c r="B212" s="117" t="str">
        <x:v>Sam Poh Tong Temple</x:v>
      </x:c>
      <x:c r="C212" s="117" t="n">
        <x:v>2</x:v>
      </x:c>
      <x:c r="D212" s="117" t="str">
        <x:v>https://thumb.wikimedia.org/wikipedia/commons/thumb/3/32/Divine_prayers.png/1280px-Divine_prayers.png?utm_source=commons.wikimedia.org&amp;utm_campaign=imageinfo&amp;utm_content=thumbnail</x:v>
      </x:c>
      <x:c r="E212" s="117" t="str">
        <x:v>https://commons.wikimedia.org/wiki/File:Divine_prayers.png</x:v>
      </x:c>
      <x:c r="F212" s="117" t="str">
        <x:v>File:Divine prayers.png</x:v>
      </x:c>
      <x:c r="G212" s="117" t="str">
        <x:v>Pooventhan Supramaniam</x:v>
      </x:c>
      <x:c r="H212" s="117" t="str">
        <x:v>CC BY-SA 4.0</x:v>
      </x:c>
      <x:c r="I212" s="117" t="str">
        <x:v>https://creativecommons.org/licenses/by-sa/4.0</x:v>
      </x:c>
      <x:c r="J212" s="117" t="str">
        <x:v>true</x:v>
      </x:c>
      <x:c r="K212" s="117" t="str">
        <x:v>Own work</x:v>
      </x:c>
      <x:c r="L212" s="117" t="str">
        <x:v>Exact name or all distinctive place-name tokens in file metadata</x:v>
      </x:c>
      <x:c r="M212" s="117" t="str">
        <x:v>Not visually reviewed</x:v>
      </x:c>
      <x:c r="N212" s="117" t="str">
        <x:v>2026-09-08</x:v>
      </x:c>
    </x:row>
    <x:row r="213" ht="48" customHeight="1">
      <x:c r="A213" s="117" t="str">
        <x:v>MC0210</x:v>
      </x:c>
      <x:c r="B213" s="117" t="str">
        <x:v>Gunung Lang Recreational Park</x:v>
      </x:c>
      <x:c r="C213" s="117" t="n">
        <x:v>1</x:v>
      </x:c>
      <x:c r="D213" s="117" t="str">
        <x:v>https://thumb.wikimedia.org/wikipedia/commons/thumb/0/0f/Panorama_at_Gunung_Lang_Recreational_Park.jpg/1280px-Panorama_at_Gunung_Lang_Recreational_Park.jpg?utm_source=commons.wikimedia.org&amp;utm_campaign=imageinfo&amp;utm_content=thumbnail</x:v>
      </x:c>
      <x:c r="E213" s="117" t="str">
        <x:v>https://commons.wikimedia.org/wiki/File:Panorama_at_Gunung_Lang_Recreational_Park.jpg</x:v>
      </x:c>
      <x:c r="F213" s="117" t="str">
        <x:v>File:Panorama at Gunung Lang Recreational Park.jpg</x:v>
      </x:c>
      <x:c r="G213" s="117" t="str">
        <x:v>Jeon.dhira</x:v>
      </x:c>
      <x:c r="H213" s="117" t="str">
        <x:v>CC BY-SA 4.0</x:v>
      </x:c>
      <x:c r="I213" s="117" t="str">
        <x:v>https://creativecommons.org/licenses/by-sa/4.0</x:v>
      </x:c>
      <x:c r="J213" s="117" t="str">
        <x:v>true</x:v>
      </x:c>
      <x:c r="K213" s="117" t="str">
        <x:v>Own work</x:v>
      </x:c>
      <x:c r="L213" s="117" t="str">
        <x:v>Exact name or all distinctive place-name tokens in file metadata</x:v>
      </x:c>
      <x:c r="M213" s="117" t="str">
        <x:v>Not visually reviewed</x:v>
      </x:c>
      <x:c r="N213" s="117" t="str">
        <x:v>2026-09-08</x:v>
      </x:c>
    </x:row>
    <x:row r="214" ht="48" customHeight="1">
      <x:c r="A214" s="117" t="str">
        <x:v>MC0210</x:v>
      </x:c>
      <x:c r="B214" s="117" t="str">
        <x:v>Gunung Lang Recreational Park</x:v>
      </x:c>
      <x:c r="C214" s="117" t="n">
        <x:v>2</x:v>
      </x:c>
      <x:c r="D214" s="117" t="str">
        <x:v>https://thumb.wikimedia.org/wikipedia/commons/thumb/5/5c/Taman_Gunung_Lang.jpg/1280px-Taman_Gunung_Lang.jpg?utm_source=commons.wikimedia.org&amp;utm_campaign=imageinfo&amp;utm_content=thumbnail</x:v>
      </x:c>
      <x:c r="E214" s="117" t="str">
        <x:v>https://commons.wikimedia.org/wiki/File:Taman_Gunung_Lang.jpg</x:v>
      </x:c>
      <x:c r="F214" s="117" t="str">
        <x:v>File:Taman Gunung Lang.jpg</x:v>
      </x:c>
      <x:c r="G214" s="117" t="str">
        <x:v>Michael</x:v>
      </x:c>
      <x:c r="H214" s="117" t="str">
        <x:v>Public domain</x:v>
      </x:c>
      <x:c r="I214" s="117" t="str"/>
      <x:c r="J214" s="117" t="str">
        <x:v>false</x:v>
      </x:c>
      <x:c r="K214" s="117" t="str">
        <x:v>Own work</x:v>
      </x:c>
      <x:c r="L214" s="117" t="str">
        <x:v>Exact name or all distinctive place-name tokens in file metadata</x:v>
      </x:c>
      <x:c r="M214" s="117" t="str">
        <x:v>Not visually reviewed</x:v>
      </x:c>
      <x:c r="N214" s="117" t="str">
        <x:v>2026-09-08</x:v>
      </x:c>
    </x:row>
    <x:row r="215" ht="48" customHeight="1">
      <x:c r="A215" s="117" t="str">
        <x:v>MC0211</x:v>
      </x:c>
      <x:c r="B215" s="117" t="str">
        <x:v>Ubudiah Mosque</x:v>
      </x:c>
      <x:c r="C215" s="117" t="n">
        <x:v>1</x:v>
      </x:c>
      <x:c r="D215" s="117" t="str">
        <x:v>https://upload.wikimedia.org/wikipedia/commons/1/10/Masjid_Ubudiah.jpg?utm_source=commons.wikimedia.org&amp;utm_campaign=imageinfo&amp;utm_content=thumbnail_unscaled</x:v>
      </x:c>
      <x:c r="E215" s="117" t="str">
        <x:v>https://commons.wikimedia.org/wiki/File:Masjid_Ubudiah.jpg</x:v>
      </x:c>
      <x:c r="F215" s="117" t="str">
        <x:v>File:Masjid Ubudiah.jpg</x:v>
      </x:c>
      <x:c r="G215" s="117" t="str">
        <x:v>Georg Wittberger</x:v>
      </x:c>
      <x:c r="H215" s="117" t="str">
        <x:v>CC BY 2.0</x:v>
      </x:c>
      <x:c r="I215" s="117" t="str">
        <x:v>https://creativecommons.org/licenses/by/2.0</x:v>
      </x:c>
      <x:c r="J215" s="117" t="str">
        <x:v>true</x:v>
      </x:c>
      <x:c r="K215" s="117" t="str">
        <x:v>Flickr: Ubudiah Moschee in Kuala Kangsar</x:v>
      </x:c>
      <x:c r="L215" s="117" t="str">
        <x:v>Exact name or all distinctive place-name tokens in file metadata</x:v>
      </x:c>
      <x:c r="M215" s="117" t="str">
        <x:v>Not visually reviewed</x:v>
      </x:c>
      <x:c r="N215" s="117" t="str">
        <x:v>2026-09-08</x:v>
      </x:c>
    </x:row>
    <x:row r="216" ht="48" customHeight="1">
      <x:c r="A216" s="117" t="str">
        <x:v>MC0211</x:v>
      </x:c>
      <x:c r="B216" s="117" t="str">
        <x:v>Ubudiah Mosque</x:v>
      </x:c>
      <x:c r="C216" s="117" t="n">
        <x:v>2</x:v>
      </x:c>
      <x:c r="D216" s="117" t="str">
        <x:v>https://thumb.wikimedia.org/wikipedia/commons/thumb/e/e3/Ubudiah_Mosque%2C_circa_2023.jpg/1280px-Ubudiah_Mosque%2C_circa_2023.jpg?utm_source=commons.wikimedia.org&amp;utm_campaign=imageinfo&amp;utm_content=thumbnail</x:v>
      </x:c>
      <x:c r="E216" s="117" t="str">
        <x:v>https://commons.wikimedia.org/wiki/File:Ubudiah_Mosque,_circa_2023.jpg</x:v>
      </x:c>
      <x:c r="F216" s="117" t="str">
        <x:v>File:Ubudiah Mosque, circa 2023.jpg</x:v>
      </x:c>
      <x:c r="G216" s="117" t="str">
        <x:v>Linken-nightmare</x:v>
      </x:c>
      <x:c r="H216" s="117" t="str">
        <x:v>CC0</x:v>
      </x:c>
      <x:c r="I216" s="117" t="str">
        <x:v>http://creativecommons.org/publicdomain/zero/1.0/deed.en</x:v>
      </x:c>
      <x:c r="J216" s="117" t="str">
        <x:v>false</x:v>
      </x:c>
      <x:c r="K216" s="117" t="str">
        <x:v>Own work</x:v>
      </x:c>
      <x:c r="L216" s="117" t="str">
        <x:v>Exact name or all distinctive place-name tokens in file metadata</x:v>
      </x:c>
      <x:c r="M216" s="117" t="str">
        <x:v>Not visually reviewed</x:v>
      </x:c>
      <x:c r="N216" s="117" t="str">
        <x:v>2026-09-08</x:v>
      </x:c>
    </x:row>
    <x:row r="217" ht="48" customHeight="1">
      <x:c r="A217" s="117" t="str">
        <x:v>MC0213</x:v>
      </x:c>
      <x:c r="B217" s="117" t="str">
        <x:v>Victoria Bridge</x:v>
      </x:c>
      <x:c r="C217" s="117" t="n">
        <x:v>1</x:v>
      </x:c>
      <x:c r="D217" s="117" t="str">
        <x:v>https://thumb.wikimedia.org/wikipedia/commons/thumb/d/d1/Victoria_Bridge%2C_Manchester.jpg/1280px-Victoria_Bridge%2C_Manchester.jpg?utm_source=commons.wikimedia.org&amp;utm_campaign=imageinfo&amp;utm_content=thumbnail</x:v>
      </x:c>
      <x:c r="E217" s="117" t="str">
        <x:v>https://commons.wikimedia.org/wiki/File:Victoria_Bridge,_Manchester.jpg</x:v>
      </x:c>
      <x:c r="F217" s="117" t="str">
        <x:v>File:Victoria Bridge, Manchester.jpg</x:v>
      </x:c>
      <x:c r="G217" s="117" t="str">
        <x:v>Marc A Gibbs</x:v>
      </x:c>
      <x:c r="H217" s="117" t="str">
        <x:v>CC BY-SA 4.0</x:v>
      </x:c>
      <x:c r="I217" s="117" t="str">
        <x:v>https://creativecommons.org/licenses/by-sa/4.0</x:v>
      </x:c>
      <x:c r="J217" s="117" t="str">
        <x:v>true</x:v>
      </x:c>
      <x:c r="K217" s="117" t="str">
        <x:v>Own work</x:v>
      </x:c>
      <x:c r="L217" s="117" t="str">
        <x:v>Exact name or all distinctive place-name tokens in file metadata</x:v>
      </x:c>
      <x:c r="M217" s="117" t="str">
        <x:v>Not visually reviewed</x:v>
      </x:c>
      <x:c r="N217" s="117" t="str">
        <x:v>2026-09-08</x:v>
      </x:c>
    </x:row>
    <x:row r="218" ht="48" customHeight="1">
      <x:c r="A218" s="117" t="str">
        <x:v>MC0213</x:v>
      </x:c>
      <x:c r="B218" s="117" t="str">
        <x:v>Victoria Bridge</x:v>
      </x:c>
      <x:c r="C218" s="117" t="n">
        <x:v>2</x:v>
      </x:c>
      <x:c r="D218" s="117" t="str">
        <x:v>https://upload.wikimedia.org/wikipedia/commons/d/dd/Irwell_Victoria_Bridge_4527.JPG?utm_source=commons.wikimedia.org&amp;utm_campaign=imageinfo&amp;utm_content=thumbnail_unscaled</x:v>
      </x:c>
      <x:c r="E218" s="117" t="str">
        <x:v>https://commons.wikimedia.org/wiki/File:Irwell_Victoria_Bridge_4527.JPG</x:v>
      </x:c>
      <x:c r="F218" s="117" t="str">
        <x:v>File:Irwell Victoria Bridge 4527.JPG</x:v>
      </x:c>
      <x:c r="G218" s="117" t="str">
        <x:v>Clem Rutter, Rochester, Kent.</x:v>
      </x:c>
      <x:c r="H218" s="117" t="str">
        <x:v>CC BY-SA 3.0</x:v>
      </x:c>
      <x:c r="I218" s="117" t="str">
        <x:v>https://creativecommons.org/licenses/by-sa/3.0</x:v>
      </x:c>
      <x:c r="J218" s="117" t="str">
        <x:v>true</x:v>
      </x:c>
      <x:c r="K218" s="117" t="str">
        <x:v>I, the copyright holder of this work, hereby publish it under the following license:</x:v>
      </x:c>
      <x:c r="L218" s="117" t="str">
        <x:v>Exact name or all distinctive place-name tokens in file metadata</x:v>
      </x:c>
      <x:c r="M218" s="117" t="str">
        <x:v>Not visually reviewed</x:v>
      </x:c>
      <x:c r="N218" s="117" t="str">
        <x:v>2026-09-08</x:v>
      </x:c>
    </x:row>
    <x:row r="219" ht="48" customHeight="1">
      <x:c r="A219" s="117" t="str">
        <x:v>MC0214</x:v>
      </x:c>
      <x:c r="B219" s="117" t="str">
        <x:v>Perak Museum</x:v>
      </x:c>
      <x:c r="C219" s="117" t="n">
        <x:v>1</x:v>
      </x:c>
      <x:c r="D219" s="117" t="str">
        <x:v>https://thumb.wikimedia.org/wikipedia/commons/thumb/1/18/Museum_Perak_Taiping.jpg/1280px-Museum_Perak_Taiping.jpg?utm_source=commons.wikimedia.org&amp;utm_campaign=imageinfo&amp;utm_content=thumbnail</x:v>
      </x:c>
      <x:c r="E219" s="117" t="str">
        <x:v>https://commons.wikimedia.org/wiki/File:Museum_Perak_Taiping.jpg</x:v>
      </x:c>
      <x:c r="F219" s="117" t="str">
        <x:v>File:Museum Perak Taiping.jpg</x:v>
      </x:c>
      <x:c r="G219" s="117" t="str">
        <x:v>Taipingite</x:v>
      </x:c>
      <x:c r="H219" s="117" t="str">
        <x:v>CC BY-SA 3.0</x:v>
      </x:c>
      <x:c r="I219" s="117" t="str">
        <x:v>https://creativecommons.org/licenses/by-sa/3.0</x:v>
      </x:c>
      <x:c r="J219" s="117" t="str">
        <x:v>true</x:v>
      </x:c>
      <x:c r="K219" s="117" t="str">
        <x:v>Nikon D40 and visit to the museum</x:v>
      </x:c>
      <x:c r="L219" s="117" t="str">
        <x:v>Exact name or all distinctive place-name tokens in file metadata</x:v>
      </x:c>
      <x:c r="M219" s="117" t="str">
        <x:v>Not visually reviewed</x:v>
      </x:c>
      <x:c r="N219" s="117" t="str">
        <x:v>2026-09-08</x:v>
      </x:c>
    </x:row>
    <x:row r="220" ht="48" customHeight="1">
      <x:c r="A220" s="117" t="str">
        <x:v>MC0214</x:v>
      </x:c>
      <x:c r="B220" s="117" t="str">
        <x:v>Perak Museum</x:v>
      </x:c>
      <x:c r="C220" s="117" t="n">
        <x:v>2</x:v>
      </x:c>
      <x:c r="D220" s="117" t="str">
        <x:v>https://thumb.wikimedia.org/wikipedia/commons/thumb/b/b2/20060415DSC_0200_%282643387861%29.jpg/1280px-20060415DSC_0200_%282643387861%29.jpg?utm_source=commons.wikimedia.org&amp;utm_campaign=imageinfo&amp;utm_content=thumbnail</x:v>
      </x:c>
      <x:c r="E220" s="117" t="str">
        <x:v>https://commons.wikimedia.org/wiki/File:20060415DSC_0200_(2643387861).jpg</x:v>
      </x:c>
      <x:c r="F220" s="117" t="str">
        <x:v>File:20060415DSC 0200 (2643387861).jpg</x:v>
      </x:c>
      <x:c r="G220" s="117" t="str">
        <x:v>Marufish from Alor Setar, Malaysia</x:v>
      </x:c>
      <x:c r="H220" s="117" t="str">
        <x:v>CC BY-SA 2.0</x:v>
      </x:c>
      <x:c r="I220" s="117" t="str">
        <x:v>https://creativecommons.org/licenses/by-sa/2.0</x:v>
      </x:c>
      <x:c r="J220" s="117" t="str">
        <x:v>true</x:v>
      </x:c>
      <x:c r="K220" s="117" t="str">
        <x:v>20060415DSC_0200</x:v>
      </x:c>
      <x:c r="L220" s="117" t="str">
        <x:v>Exact name or all distinctive place-name tokens in file metadata</x:v>
      </x:c>
      <x:c r="M220" s="117" t="str">
        <x:v>Not visually reviewed</x:v>
      </x:c>
      <x:c r="N220" s="117" t="str">
        <x:v>2026-09-08</x:v>
      </x:c>
    </x:row>
    <x:row r="221" ht="48" customHeight="1">
      <x:c r="A221" s="117" t="str">
        <x:v>MC0215</x:v>
      </x:c>
      <x:c r="B221" s="117" t="str">
        <x:v>Bukit Larut</x:v>
      </x:c>
      <x:c r="C221" s="117" t="n">
        <x:v>1</x:v>
      </x:c>
      <x:c r="D221" s="117" t="str">
        <x:v>https://upload.wikimedia.org/wikipedia/commons/7/7a/MaxwellSignboard.jpg?utm_source=commons.wikimedia.org&amp;utm_campaign=imageinfo&amp;utm_content=thumbnail_unscaled</x:v>
      </x:c>
      <x:c r="E221" s="117" t="str">
        <x:v>https://commons.wikimedia.org/wiki/File:MaxwellSignboard.jpg</x:v>
      </x:c>
      <x:c r="F221" s="117" t="str">
        <x:v>File:MaxwellSignboard.jpg</x:v>
      </x:c>
      <x:c r="G221" s="117" t="str">
        <x:v>SRTG</x:v>
      </x:c>
      <x:c r="H221" s="117" t="str">
        <x:v>CC BY-SA 3.0</x:v>
      </x:c>
      <x:c r="I221" s="117" t="str">
        <x:v>https://creativecommons.org/licenses/by-sa/3.0</x:v>
      </x:c>
      <x:c r="J221" s="117" t="str">
        <x:v>true</x:v>
      </x:c>
      <x:c r="K221" s="117" t="str">
        <x:v>Own work</x:v>
      </x:c>
      <x:c r="L221" s="117" t="str">
        <x:v>Exact name or all distinctive place-name tokens in file metadata</x:v>
      </x:c>
      <x:c r="M221" s="117" t="str">
        <x:v>Not visually reviewed</x:v>
      </x:c>
      <x:c r="N221" s="117" t="str">
        <x:v>2026-09-08</x:v>
      </x:c>
    </x:row>
    <x:row r="222" ht="48" customHeight="1">
      <x:c r="A222" s="117" t="str">
        <x:v>MC0215</x:v>
      </x:c>
      <x:c r="B222" s="117" t="str">
        <x:v>Bukit Larut</x:v>
      </x:c>
      <x:c r="C222" s="117" t="n">
        <x:v>2</x:v>
      </x:c>
      <x:c r="D222" s="117" t="str">
        <x:v>https://thumb.wikimedia.org/wikipedia/commons/thumb/9/90/Giganteopalpus_mirabilis_MHNT_CUT_2010_0_27_Bukit_Larut_Malaysia_ventral.jpg/1280px-Giganteopalpus_mirabilis_MHNT_CUT_2010_0_27_Bukit_Larut_Malaysia_ventral.jpg?utm_source=commons.wikimedia.org&amp;utm_campaign=imageinfo&amp;utm_content=thumbnail</x:v>
      </x:c>
      <x:c r="E222" s="117" t="str">
        <x:v>https://commons.wikimedia.org/wiki/File:Giganteopalpus_mirabilis_MHNT_CUT_2010_0_27_Bukit_Larut_Malaysia_ventral.jpg</x:v>
      </x:c>
      <x:c r="F222" s="117" t="str">
        <x:v>File:Giganteopalpus mirabilis MHNT CUT 2010 0 27 Bukit Larut Malaysia ventral.jpg</x:v>
      </x:c>
      <x:c r="G222" s="117" t="str">
        <x:v>Didier Descouens</x:v>
      </x:c>
      <x:c r="H222" s="117" t="str">
        <x:v>CC BY-SA 4.0</x:v>
      </x:c>
      <x:c r="I222" s="117" t="str">
        <x:v>https://creativecommons.org/licenses/by-sa/4.0</x:v>
      </x:c>
      <x:c r="J222" s="117" t="str">
        <x:v>true</x:v>
      </x:c>
      <x:c r="K222" s="117" t="str">
        <x:v>Own work</x:v>
      </x:c>
      <x:c r="L222" s="117" t="str">
        <x:v>Exact name or all distinctive place-name tokens in file metadata</x:v>
      </x:c>
      <x:c r="M222" s="117" t="str">
        <x:v>Not visually reviewed</x:v>
      </x:c>
      <x:c r="N222" s="117" t="str">
        <x:v>2026-09-08</x:v>
      </x:c>
    </x:row>
    <x:row r="223" ht="48" customHeight="1">
      <x:c r="A223" s="117" t="str">
        <x:v>MC0216</x:v>
      </x:c>
      <x:c r="B223" s="117" t="str">
        <x:v>Kuala Sepetang Charcoal Factory</x:v>
      </x:c>
      <x:c r="C223" s="117" t="n">
        <x:v>1</x:v>
      </x:c>
      <x:c r="D223" s="117" t="str">
        <x:v>https://thumb.wikimedia.org/wikipedia/commons/thumb/3/31/Charcoal_factory%2C_Kuala_Sepetang_%286134069135%29.jpg/1280px-Charcoal_factory%2C_Kuala_Sepetang_%286134069135%29.jpg?utm_source=commons.wikimedia.org&amp;utm_campaign=imageinfo&amp;utm_content=thumbnail</x:v>
      </x:c>
      <x:c r="E223" s="117" t="str">
        <x:v>https://commons.wikimedia.org/wiki/File:Charcoal_factory,_Kuala_Sepetang_(6134069135).jpg</x:v>
      </x:c>
      <x:c r="F223" s="117" t="str">
        <x:v>File:Charcoal factory, Kuala Sepetang (6134069135).jpg</x:v>
      </x:c>
      <x:c r="G223" s="117" t="str">
        <x:v>udeyismail from Cheras, Kuala Lumpur</x:v>
      </x:c>
      <x:c r="H223" s="117" t="str">
        <x:v>CC BY-SA 2.0</x:v>
      </x:c>
      <x:c r="I223" s="117" t="str">
        <x:v>https://creativecommons.org/licenses/by-sa/2.0</x:v>
      </x:c>
      <x:c r="J223" s="117" t="str">
        <x:v>true</x:v>
      </x:c>
      <x:c r="K223" s="117" t="str">
        <x:v>charcoal factory, Kuala Sepetang</x:v>
      </x:c>
      <x:c r="L223" s="117" t="str">
        <x:v>Exact name or all distinctive place-name tokens in file metadata</x:v>
      </x:c>
      <x:c r="M223" s="117" t="str">
        <x:v>Not visually reviewed</x:v>
      </x:c>
      <x:c r="N223" s="117" t="str">
        <x:v>2026-09-08</x:v>
      </x:c>
    </x:row>
    <x:row r="224" ht="48" customHeight="1">
      <x:c r="A224" s="117" t="str">
        <x:v>MC0216</x:v>
      </x:c>
      <x:c r="B224" s="117" t="str">
        <x:v>Kuala Sepetang Charcoal Factory</x:v>
      </x:c>
      <x:c r="C224" s="117" t="n">
        <x:v>2</x:v>
      </x:c>
      <x:c r="D224" s="117" t="str">
        <x:v>https://thumb.wikimedia.org/wikipedia/commons/thumb/3/39/UDE_7602_%286116328128%29.jpg/1280px-UDE_7602_%286116328128%29.jpg?utm_source=commons.wikimedia.org&amp;utm_campaign=imageinfo&amp;utm_content=thumbnail</x:v>
      </x:c>
      <x:c r="E224" s="117" t="str">
        <x:v>https://commons.wikimedia.org/wiki/File:UDE_7602_(6116328128).jpg</x:v>
      </x:c>
      <x:c r="F224" s="117" t="str">
        <x:v>File:UDE 7602 (6116328128).jpg</x:v>
      </x:c>
      <x:c r="G224" s="117" t="str">
        <x:v>udeyismail from Cheras, Kuala Lumpur</x:v>
      </x:c>
      <x:c r="H224" s="117" t="str">
        <x:v>CC BY-SA 2.0</x:v>
      </x:c>
      <x:c r="I224" s="117" t="str">
        <x:v>https://creativecommons.org/licenses/by-sa/2.0</x:v>
      </x:c>
      <x:c r="J224" s="117" t="str">
        <x:v>true</x:v>
      </x:c>
      <x:c r="K224" s="117" t="str">
        <x:v>UDE_7602</x:v>
      </x:c>
      <x:c r="L224" s="117" t="str">
        <x:v>Exact name or all distinctive place-name tokens in file metadata</x:v>
      </x:c>
      <x:c r="M224" s="117" t="str">
        <x:v>Not visually reviewed</x:v>
      </x:c>
      <x:c r="N224" s="117" t="str">
        <x:v>2026-09-08</x:v>
      </x:c>
    </x:row>
    <x:row r="225" ht="48" customHeight="1">
      <x:c r="A225" s="117" t="str">
        <x:v>MC0220</x:v>
      </x:c>
      <x:c r="B225" s="117" t="str">
        <x:v>Temengor Lake</x:v>
      </x:c>
      <x:c r="C225" s="117" t="n">
        <x:v>1</x:v>
      </x:c>
      <x:c r="D225" s="117" t="str">
        <x:v>https://upload.wikimedia.org/wikipedia/commons/1/1a/Temengor_Lake_-_panoramio.jpg?utm_source=commons.wikimedia.org&amp;utm_campaign=imageinfo&amp;utm_content=thumbnail_unscaled</x:v>
      </x:c>
      <x:c r="E225" s="117" t="str">
        <x:v>https://commons.wikimedia.org/wiki/File:Temengor_Lake_-_panoramio.jpg</x:v>
      </x:c>
      <x:c r="F225" s="117" t="str">
        <x:v>File:Temengor Lake - panoramio.jpg</x:v>
      </x:c>
      <x:c r="G225" s="117" t="str">
        <x:v>Tony Ng</x:v>
      </x:c>
      <x:c r="H225" s="117" t="str">
        <x:v>CC BY-SA 3.0</x:v>
      </x:c>
      <x:c r="I225" s="117" t="str">
        <x:v>https://creativecommons.org/licenses/by-sa/3.0</x:v>
      </x:c>
      <x:c r="J225" s="117" t="str">
        <x:v>true</x:v>
      </x:c>
      <x:c r="K225" s="117" t="str">
        <x:v>https://web.archive.org/web/20161113042421/http://www.panoramio.com/photo/41833042</x:v>
      </x:c>
      <x:c r="L225" s="117" t="str">
        <x:v>Exact name or all distinctive place-name tokens in file metadata</x:v>
      </x:c>
      <x:c r="M225" s="117" t="str">
        <x:v>Not visually reviewed</x:v>
      </x:c>
      <x:c r="N225" s="117" t="str">
        <x:v>2026-09-08</x:v>
      </x:c>
    </x:row>
    <x:row r="226" ht="48" customHeight="1">
      <x:c r="A226" s="117" t="str">
        <x:v>MC0221</x:v>
      </x:c>
      <x:c r="B226" s="117" t="str">
        <x:v>Leaning Tower of Teluk Intan</x:v>
      </x:c>
      <x:c r="C226" s="117" t="n">
        <x:v>1</x:v>
      </x:c>
      <x:c r="D226" s="117" t="str">
        <x:v>https://thumb.wikimedia.org/wikipedia/commons/thumb/b/bc/Menara_Condong_Teluk_Intan.JPG/1280px-Menara_Condong_Teluk_Intan.JPG?utm_source=commons.wikimedia.org&amp;utm_campaign=imageinfo&amp;utm_content=thumbnail</x:v>
      </x:c>
      <x:c r="E226" s="117" t="str">
        <x:v>https://commons.wikimedia.org/wiki/File:Menara_Condong_Teluk_Intan.JPG</x:v>
      </x:c>
      <x:c r="F226" s="117" t="str">
        <x:v>File:Menara Condong Teluk Intan.JPG</x:v>
      </x:c>
      <x:c r="G226" s="117" t="str">
        <x:v>D.W. Fisher-Freberg</x:v>
      </x:c>
      <x:c r="H226" s="117" t="str">
        <x:v>CC BY-SA 3.0</x:v>
      </x:c>
      <x:c r="I226" s="117" t="str">
        <x:v>https://creativecommons.org/licenses/by-sa/3.0</x:v>
      </x:c>
      <x:c r="J226" s="117" t="str">
        <x:v>true</x:v>
      </x:c>
      <x:c r="K226" s="117" t="str">
        <x:v>Own work</x:v>
      </x:c>
      <x:c r="L226" s="117" t="str">
        <x:v>Exact name or all distinctive place-name tokens in file metadata</x:v>
      </x:c>
      <x:c r="M226" s="117" t="str">
        <x:v>Not visually reviewed</x:v>
      </x:c>
      <x:c r="N226" s="117" t="str">
        <x:v>2026-09-08</x:v>
      </x:c>
    </x:row>
    <x:row r="227" ht="48" customHeight="1">
      <x:c r="A227" s="117" t="str">
        <x:v>MC0221</x:v>
      </x:c>
      <x:c r="B227" s="117" t="str">
        <x:v>Leaning Tower of Teluk Intan</x:v>
      </x:c>
      <x:c r="C227" s="117" t="n">
        <x:v>2</x:v>
      </x:c>
      <x:c r="D227" s="117" t="str">
        <x:v>https://thumb.wikimedia.org/wikipedia/commons/thumb/f/fe/Menara_Condong_Teluk_Intan_-_panoramio.jpg/1280px-Menara_Condong_Teluk_Intan_-_panoramio.jpg?utm_source=commons.wikimedia.org&amp;utm_campaign=imageinfo&amp;utm_content=thumbnail</x:v>
      </x:c>
      <x:c r="E227" s="117" t="str">
        <x:v>https://commons.wikimedia.org/wiki/File:Menara_Condong_Teluk_Intan_-_panoramio.jpg</x:v>
      </x:c>
      <x:c r="F227" s="117" t="str">
        <x:v>File:Menara Condong Teluk Intan - panoramio.jpg</x:v>
      </x:c>
      <x:c r="G227" s="117" t="str">
        <x:v>CK Tan</x:v>
      </x:c>
      <x:c r="H227" s="117" t="str">
        <x:v>CC BY 3.0</x:v>
      </x:c>
      <x:c r="I227" s="117" t="str">
        <x:v>https://creativecommons.org/licenses/by/3.0</x:v>
      </x:c>
      <x:c r="J227" s="117" t="str">
        <x:v>true</x:v>
      </x:c>
      <x:c r="K227" s="117" t="str">
        <x:v>https://web.archive.org/web/20161022002424/http://www.panoramio.com/photo/57215774</x:v>
      </x:c>
      <x:c r="L227" s="117" t="str">
        <x:v>Exact name or all distinctive place-name tokens in file metadata</x:v>
      </x:c>
      <x:c r="M227" s="117" t="str">
        <x:v>Not visually reviewed</x:v>
      </x:c>
      <x:c r="N227" s="117" t="str">
        <x:v>2026-09-08</x:v>
      </x:c>
    </x:row>
    <x:row r="228" ht="48" customHeight="1">
      <x:c r="A228" s="117" t="str">
        <x:v>MC0222</x:v>
      </x:c>
      <x:c r="B228" s="117" t="str">
        <x:v>Dutch Fort Pangkor</x:v>
      </x:c>
      <x:c r="C228" s="117" t="n">
        <x:v>1</x:v>
      </x:c>
      <x:c r="D228" s="117" t="str">
        <x:v>https://thumb.wikimedia.org/wikipedia/commons/thumb/4/4c/Dutch_Fort_Pulau_Pangkor_2007_024_pano.jpg/1280px-Dutch_Fort_Pulau_Pangkor_2007_024_pano.jpg?utm_source=commons.wikimedia.org&amp;utm_campaign=imageinfo&amp;utm_content=thumbnail</x:v>
      </x:c>
      <x:c r="E228" s="117" t="str">
        <x:v>https://commons.wikimedia.org/wiki/File:Dutch_Fort_Pulau_Pangkor_2007_024_pano.jpg</x:v>
      </x:c>
      <x:c r="F228" s="117" t="str">
        <x:v>File:Dutch Fort Pulau Pangkor 2007 024 pano.jpg</x:v>
      </x:c>
      <x:c r="G228" s="117" t="str">
        <x:v>Gryffindor</x:v>
      </x:c>
      <x:c r="H228" s="117" t="str">
        <x:v>Public domain</x:v>
      </x:c>
      <x:c r="I228" s="117" t="str"/>
      <x:c r="J228" s="117" t="str">
        <x:v>false</x:v>
      </x:c>
      <x:c r="K228" s="117" t="str">
        <x:v>Own work</x:v>
      </x:c>
      <x:c r="L228" s="117" t="str">
        <x:v>Exact name or all distinctive place-name tokens in file metadata</x:v>
      </x:c>
      <x:c r="M228" s="117" t="str">
        <x:v>Not visually reviewed</x:v>
      </x:c>
      <x:c r="N228" s="117" t="str">
        <x:v>2026-09-08</x:v>
      </x:c>
    </x:row>
    <x:row r="229" ht="48" customHeight="1">
      <x:c r="A229" s="117" t="str">
        <x:v>MC0222</x:v>
      </x:c>
      <x:c r="B229" s="117" t="str">
        <x:v>Dutch Fort Pangkor</x:v>
      </x:c>
      <x:c r="C229" s="117" t="n">
        <x:v>2</x:v>
      </x:c>
      <x:c r="D229" s="117" t="str">
        <x:v>https://thumb.wikimedia.org/wikipedia/commons/thumb/1/1f/Dutch_Fort_Interior.jpg/1280px-Dutch_Fort_Interior.jpg?utm_source=commons.wikimedia.org&amp;utm_campaign=imageinfo&amp;utm_content=thumbnail</x:v>
      </x:c>
      <x:c r="E229" s="117" t="str">
        <x:v>https://commons.wikimedia.org/wiki/File:Dutch_Fort_Interior.jpg</x:v>
      </x:c>
      <x:c r="F229" s="117" t="str">
        <x:v>File:Dutch Fort Interior.jpg</x:v>
      </x:c>
      <x:c r="G229" s="117" t="str">
        <x:v>Michael</x:v>
      </x:c>
      <x:c r="H229" s="117" t="str">
        <x:v>Public domain</x:v>
      </x:c>
      <x:c r="I229" s="117" t="str"/>
      <x:c r="J229" s="117" t="str">
        <x:v>false</x:v>
      </x:c>
      <x:c r="K229" s="117" t="str">
        <x:v>Own work</x:v>
      </x:c>
      <x:c r="L229" s="117" t="str">
        <x:v>Exact name or all distinctive place-name tokens in file metadata</x:v>
      </x:c>
      <x:c r="M229" s="117" t="str">
        <x:v>Not visually reviewed</x:v>
      </x:c>
      <x:c r="N229" s="117" t="str">
        <x:v>2026-09-08</x:v>
      </x:c>
    </x:row>
    <x:row r="230" ht="48" customHeight="1">
      <x:c r="A230" s="117" t="str">
        <x:v>MC0223</x:v>
      </x:c>
      <x:c r="B230" s="117" t="str">
        <x:v>Tanjung Tualang Tin Dredge No. 5</x:v>
      </x:c>
      <x:c r="C230" s="117" t="n">
        <x:v>1</x:v>
      </x:c>
      <x:c r="D230" s="117" t="str">
        <x:v>https://upload.wikimedia.org/wikipedia/commons/4/40/TT5_Tin_Dredge_-_panoramio_%284%29.jpg?utm_source=commons.wikimedia.org&amp;utm_campaign=imageinfo&amp;utm_content=thumbnail_unscaled</x:v>
      </x:c>
      <x:c r="E230" s="117" t="str">
        <x:v>https://commons.wikimedia.org/wiki/File:TT5_Tin_Dredge_-_panoramio_(4).jpg</x:v>
      </x:c>
      <x:c r="F230" s="117" t="str">
        <x:v>File:TT5 Tin Dredge - panoramio (4).jpg</x:v>
      </x:c>
      <x:c r="G230" s="117" t="str">
        <x:v>Tony Ng</x:v>
      </x:c>
      <x:c r="H230" s="117" t="str">
        <x:v>CC BY-SA 3.0</x:v>
      </x:c>
      <x:c r="I230" s="117" t="str">
        <x:v>https://creativecommons.org/licenses/by-sa/3.0</x:v>
      </x:c>
      <x:c r="J230" s="117" t="str">
        <x:v>true</x:v>
      </x:c>
      <x:c r="K230" s="117" t="str">
        <x:v>https://web.archive.org/web/20161021075800/http://www.panoramio.com/photo/61904012</x:v>
      </x:c>
      <x:c r="L230" s="117" t="str">
        <x:v>Exact name or all distinctive place-name tokens in file metadata</x:v>
      </x:c>
      <x:c r="M230" s="117" t="str">
        <x:v>Not visually reviewed</x:v>
      </x:c>
      <x:c r="N230" s="117" t="str">
        <x:v>2026-09-08</x:v>
      </x:c>
    </x:row>
    <x:row r="231" ht="48" customHeight="1">
      <x:c r="A231" s="117" t="str">
        <x:v>MC0223</x:v>
      </x:c>
      <x:c r="B231" s="117" t="str">
        <x:v>Tanjung Tualang Tin Dredge No. 5</x:v>
      </x:c>
      <x:c r="C231" s="117" t="n">
        <x:v>2</x:v>
      </x:c>
      <x:c r="D231" s="117" t="str">
        <x:v>https://upload.wikimedia.org/wikipedia/commons/5/55/TT5_Tin_Dredge_-_panoramio_%283%29.jpg?utm_source=commons.wikimedia.org&amp;utm_campaign=imageinfo&amp;utm_content=thumbnail_unscaled</x:v>
      </x:c>
      <x:c r="E231" s="117" t="str">
        <x:v>https://commons.wikimedia.org/wiki/File:TT5_Tin_Dredge_-_panoramio_(3).jpg</x:v>
      </x:c>
      <x:c r="F231" s="117" t="str">
        <x:v>File:TT5 Tin Dredge - panoramio (3).jpg</x:v>
      </x:c>
      <x:c r="G231" s="117" t="str">
        <x:v>Tony Ng</x:v>
      </x:c>
      <x:c r="H231" s="117" t="str">
        <x:v>CC BY-SA 3.0</x:v>
      </x:c>
      <x:c r="I231" s="117" t="str">
        <x:v>https://creativecommons.org/licenses/by-sa/3.0</x:v>
      </x:c>
      <x:c r="J231" s="117" t="str">
        <x:v>true</x:v>
      </x:c>
      <x:c r="K231" s="117" t="str">
        <x:v>https://web.archive.org/web/20161023120040/http://www.panoramio.com/photo/61903209</x:v>
      </x:c>
      <x:c r="L231" s="117" t="str">
        <x:v>Exact name or all distinctive place-name tokens in file metadata</x:v>
      </x:c>
      <x:c r="M231" s="117" t="str">
        <x:v>Not visually reviewed</x:v>
      </x:c>
      <x:c r="N231" s="117" t="str">
        <x:v>2026-09-08</x:v>
      </x:c>
    </x:row>
    <x:row r="232" ht="48" customHeight="1">
      <x:c r="A232" s="117" t="str">
        <x:v>MC0232</x:v>
      </x:c>
      <x:c r="B232" s="117" t="str">
        <x:v>Al-Hussain Mosque</x:v>
      </x:c>
      <x:c r="C232" s="117" t="n">
        <x:v>1</x:v>
      </x:c>
      <x:c r="D232" s="117" t="str">
        <x:v>https://thumb.wikimedia.org/wikipedia/commons/thumb/c/cc/Sunset_at_Al-Hussain_Floating_Mosque.jpg/1280px-Sunset_at_Al-Hussain_Floating_Mosque.jpg?utm_source=commons.wikimedia.org&amp;utm_campaign=imageinfo&amp;utm_content=thumbnail</x:v>
      </x:c>
      <x:c r="E232" s="117" t="str">
        <x:v>https://commons.wikimedia.org/wiki/File:Sunset_at_Al-Hussain_Floating_Mosque.jpg</x:v>
      </x:c>
      <x:c r="F232" s="117" t="str">
        <x:v>File:Sunset at Al-Hussain Floating Mosque.jpg</x:v>
      </x:c>
      <x:c r="G232" s="117" t="str">
        <x:v>DanialNajmi</x:v>
      </x:c>
      <x:c r="H232" s="117" t="str">
        <x:v>CC BY-SA 4.0</x:v>
      </x:c>
      <x:c r="I232" s="117" t="str">
        <x:v>https://creativecommons.org/licenses/by-sa/4.0</x:v>
      </x:c>
      <x:c r="J232" s="117" t="str">
        <x:v>true</x:v>
      </x:c>
      <x:c r="K232" s="117" t="str">
        <x:v>Own work</x:v>
      </x:c>
      <x:c r="L232" s="117" t="str">
        <x:v>Exact name or all distinctive place-name tokens in file metadata</x:v>
      </x:c>
      <x:c r="M232" s="117" t="str">
        <x:v>Not visually reviewed</x:v>
      </x:c>
      <x:c r="N232" s="117" t="str">
        <x:v>2026-09-08</x:v>
      </x:c>
    </x:row>
    <x:row r="233" ht="48" customHeight="1">
      <x:c r="A233" s="117" t="str">
        <x:v>MC0232</x:v>
      </x:c>
      <x:c r="B233" s="117" t="str">
        <x:v>Al-Hussain Mosque</x:v>
      </x:c>
      <x:c r="C233" s="117" t="n">
        <x:v>2</x:v>
      </x:c>
      <x:c r="D233" s="117" t="str">
        <x:v>https://thumb.wikimedia.org/wikipedia/commons/thumb/3/34/Al_Hassan_and_Al_Hussain_Mosque_%28kasserine%29_06.jpg/1280px-Al_Hassan_and_Al_Hussain_Mosque_%28kasserine%29_06.jpg?utm_source=commons.wikimedia.org&amp;utm_campaign=imageinfo&amp;utm_content=thumbnail</x:v>
      </x:c>
      <x:c r="E233" s="117" t="str">
        <x:v>https://commons.wikimedia.org/wiki/File:Al_Hassan_and_Al_Hussain_Mosque_(kasserine)_06.jpg</x:v>
      </x:c>
      <x:c r="F233" s="117" t="str">
        <x:v>File:Al Hassan and Al Hussain Mosque (kasserine) 06.jpg</x:v>
      </x:c>
      <x:c r="G233" s="117" t="str">
        <x:v>Nagaboussi</x:v>
      </x:c>
      <x:c r="H233" s="117" t="str">
        <x:v>CC BY 4.0</x:v>
      </x:c>
      <x:c r="I233" s="117" t="str">
        <x:v>https://creativecommons.org/licenses/by/4.0</x:v>
      </x:c>
      <x:c r="J233" s="117" t="str">
        <x:v>true</x:v>
      </x:c>
      <x:c r="K233" s="117" t="str">
        <x:v>Own work</x:v>
      </x:c>
      <x:c r="L233" s="117" t="str">
        <x:v>Exact name or all distinctive place-name tokens in file metadata</x:v>
      </x:c>
      <x:c r="M233" s="117" t="str">
        <x:v>Not visually reviewed</x:v>
      </x:c>
      <x:c r="N233" s="117" t="str">
        <x:v>2026-09-08</x:v>
      </x:c>
    </x:row>
    <x:row r="234" ht="48" customHeight="1">
      <x:c r="A234" s="117" t="str">
        <x:v>MC0239</x:v>
      </x:c>
      <x:c r="B234" s="117" t="str">
        <x:v>Syed Alwi Mosque</x:v>
      </x:c>
      <x:c r="C234" s="117" t="n">
        <x:v>1</x:v>
      </x:c>
      <x:c r="D234" s="117" t="str">
        <x:v>https://thumb.wikimedia.org/wikipedia/commons/thumb/0/0d/Syed_Alwi_Mosque_at_night.jpg/1280px-Syed_Alwi_Mosque_at_night.jpg?utm_source=commons.wikimedia.org&amp;utm_campaign=imageinfo&amp;utm_content=thumbnail</x:v>
      </x:c>
      <x:c r="E234" s="117" t="str">
        <x:v>https://commons.wikimedia.org/wiki/File:Syed_Alwi_Mosque_at_night.jpg</x:v>
      </x:c>
      <x:c r="F234" s="117" t="str">
        <x:v>File:Syed Alwi Mosque at night.jpg</x:v>
      </x:c>
      <x:c r="G234" s="117" t="str">
        <x:v>KHUDHUR ABDULLAH FAHAD ALFARHAN</x:v>
      </x:c>
      <x:c r="H234" s="117" t="str">
        <x:v>CC BY-SA 4.0</x:v>
      </x:c>
      <x:c r="I234" s="117" t="str">
        <x:v>https://creativecommons.org/licenses/by-sa/4.0</x:v>
      </x:c>
      <x:c r="J234" s="117" t="str">
        <x:v>true</x:v>
      </x:c>
      <x:c r="K234" s="117" t="str">
        <x:v>Own work</x:v>
      </x:c>
      <x:c r="L234" s="117" t="str">
        <x:v>Exact name or all distinctive place-name tokens in file metadata</x:v>
      </x:c>
      <x:c r="M234" s="117" t="str">
        <x:v>Not visually reviewed</x:v>
      </x:c>
      <x:c r="N234" s="117" t="str">
        <x:v>2026-09-08</x:v>
      </x:c>
    </x:row>
    <x:row r="235" ht="48" customHeight="1">
      <x:c r="A235" s="117" t="str">
        <x:v>MC0239</x:v>
      </x:c>
      <x:c r="B235" s="117" t="str">
        <x:v>Syed Alwi Mosque</x:v>
      </x:c>
      <x:c r="C235" s="117" t="n">
        <x:v>2</x:v>
      </x:c>
      <x:c r="D235" s="117" t="str">
        <x:v>https://thumb.wikimedia.org/wikipedia/commons/thumb/8/8a/Masjid_Syed_Alwi.JPG/1280px-Masjid_Syed_Alwi.JPG?utm_source=commons.wikimedia.org&amp;utm_campaign=imageinfo&amp;utm_content=thumbnail</x:v>
      </x:c>
      <x:c r="E235" s="117" t="str">
        <x:v>https://commons.wikimedia.org/wiki/File:Masjid_Syed_Alwi.JPG</x:v>
      </x:c>
      <x:c r="F235" s="117" t="str">
        <x:v>File:Masjid Syed Alwi.JPG</x:v>
      </x:c>
      <x:c r="G235" s="117" t="str">
        <x:v>Jensennbj</x:v>
      </x:c>
      <x:c r="H235" s="117" t="str">
        <x:v>CC BY-SA 4.0</x:v>
      </x:c>
      <x:c r="I235" s="117" t="str">
        <x:v>https://creativecommons.org/licenses/by-sa/4.0</x:v>
      </x:c>
      <x:c r="J235" s="117" t="str">
        <x:v>true</x:v>
      </x:c>
      <x:c r="K235" s="117" t="str">
        <x:v>Own work</x:v>
      </x:c>
      <x:c r="L235" s="117" t="str">
        <x:v>Exact name or all distinctive place-name tokens in file metadata</x:v>
      </x:c>
      <x:c r="M235" s="117" t="str">
        <x:v>Not visually reviewed</x:v>
      </x:c>
      <x:c r="N235" s="117" t="str">
        <x:v>2026-09-08</x:v>
      </x:c>
    </x:row>
    <x:row r="236" ht="48" customHeight="1">
      <x:c r="A236" s="117" t="str">
        <x:v>MC0245</x:v>
      </x:c>
      <x:c r="B236" s="117" t="str">
        <x:v>Kinabalu Park</x:v>
      </x:c>
      <x:c r="C236" s="117" t="n">
        <x:v>1</x:v>
      </x:c>
      <x:c r="D236" s="117" t="str">
        <x:v>https://thumb.wikimedia.org/wikipedia/commons/thumb/1/15/Borneo_rainforest.jpg/1280px-Borneo_rainforest.jpg?utm_source=commons.wikimedia.org&amp;utm_campaign=imageinfo&amp;utm_content=thumbnail</x:v>
      </x:c>
      <x:c r="E236" s="117" t="str">
        <x:v>https://commons.wikimedia.org/wiki/File:Borneo_rainforest.jpg</x:v>
      </x:c>
      <x:c r="F236" s="117" t="str">
        <x:v>File:Borneo rainforest.jpg</x:v>
      </x:c>
      <x:c r="G236" s="117" t="str">
        <x:v>Dukeabruzzi</x:v>
      </x:c>
      <x:c r="H236" s="117" t="str">
        <x:v>CC BY-SA 4.0</x:v>
      </x:c>
      <x:c r="I236" s="117" t="str">
        <x:v>https://creativecommons.org/licenses/by-sa/4.0</x:v>
      </x:c>
      <x:c r="J236" s="117" t="str">
        <x:v>true</x:v>
      </x:c>
      <x:c r="K236" s="117" t="str">
        <x:v>Own work</x:v>
      </x:c>
      <x:c r="L236" s="117" t="str">
        <x:v>Exact name or all distinctive place-name tokens in file metadata</x:v>
      </x:c>
      <x:c r="M236" s="117" t="str">
        <x:v>Not visually reviewed</x:v>
      </x:c>
      <x:c r="N236" s="117" t="str">
        <x:v>2026-09-08</x:v>
      </x:c>
    </x:row>
    <x:row r="237" ht="48" customHeight="1">
      <x:c r="A237" s="117" t="str">
        <x:v>MC0245</x:v>
      </x:c>
      <x:c r="B237" s="117" t="str">
        <x:v>Kinabalu Park</x:v>
      </x:c>
      <x:c r="C237" s="117" t="n">
        <x:v>2</x:v>
      </x:c>
      <x:c r="D237" s="117" t="str">
        <x:v>https://thumb.wikimedia.org/wikipedia/commons/thumb/2/29/Kinabalu_park_road_signboard.JPG/1280px-Kinabalu_park_road_signboard.JPG?utm_source=commons.wikimedia.org&amp;utm_campaign=imageinfo&amp;utm_content=thumbnail</x:v>
      </x:c>
      <x:c r="E237" s="117" t="str">
        <x:v>https://commons.wikimedia.org/wiki/File:Kinabalu_park_road_signboard.JPG</x:v>
      </x:c>
      <x:c r="F237" s="117" t="str">
        <x:v>File:Kinabalu park road signboard.JPG</x:v>
      </x:c>
      <x:c r="G237" s="117" t="str"/>
      <x:c r="H237" s="117" t="str">
        <x:v>CC BY 2.5</x:v>
      </x:c>
      <x:c r="I237" s="117" t="str">
        <x:v>https://creativecommons.org/licenses/by/2.5</x:v>
      </x:c>
      <x:c r="J237" s="117" t="str">
        <x:v>true</x:v>
      </x:c>
      <x:c r="K237" s="117" t="str"/>
      <x:c r="L237" s="117" t="str">
        <x:v>Exact name or all distinctive place-name tokens in file metadata</x:v>
      </x:c>
      <x:c r="M237" s="117" t="str">
        <x:v>Not visually reviewed</x:v>
      </x:c>
      <x:c r="N237" s="117" t="str">
        <x:v>2026-09-08</x:v>
      </x:c>
    </x:row>
    <x:row r="238" ht="48" customHeight="1">
      <x:c r="A238" s="117" t="str">
        <x:v>MC0247</x:v>
      </x:c>
      <x:c r="B238" s="117" t="str">
        <x:v>Tunku Abdul Rahman Park</x:v>
      </x:c>
      <x:c r="C238" s="117" t="n">
        <x:v>1</x:v>
      </x:c>
      <x:c r="D238" s="117" t="str">
        <x:v>https://upload.wikimedia.org/wikipedia/commons/5/5f/Manukan%2C_Mamutik_%26_Sulug_-_Happy_Islands_retouched.jpg?utm_source=commons.wikimedia.org&amp;utm_campaign=imageinfo&amp;utm_content=thumbnail_unscaled</x:v>
      </x:c>
      <x:c r="E238" s="117" t="str">
        <x:v>https://commons.wikimedia.org/wiki/File:Manukan,_Mamutik_%26_Sulug_-_Happy_Islands_retouched.jpg</x:v>
      </x:c>
      <x:c r="F238" s="117" t="str">
        <x:v>File:Manukan, Mamutik &amp; Sulug - Happy Islands retouched.jpg</x:v>
      </x:c>
      <x:c r="G238" s="117" t="str">
        <x:v>Manukan,_Mamutik_&amp;_Sulug_-_Happy_Islands.jpg: Thien Zie Yung
derivative work: Teofilo (talk)</x:v>
      </x:c>
      <x:c r="H238" s="117" t="str">
        <x:v>CC BY 2.0</x:v>
      </x:c>
      <x:c r="I238" s="117" t="str">
        <x:v>https://creativecommons.org/licenses/by/2.0</x:v>
      </x:c>
      <x:c r="J238" s="117" t="str">
        <x:v>true</x:v>
      </x:c>
      <x:c r="K238" s="117" t="str">
        <x:v>Manukan,_Mamutik_&amp;_Sulug_-_Happy_Islands.jpg</x:v>
      </x:c>
      <x:c r="L238" s="117" t="str">
        <x:v>Exact name or all distinctive place-name tokens in file metadata</x:v>
      </x:c>
      <x:c r="M238" s="117" t="str">
        <x:v>Not visually reviewed</x:v>
      </x:c>
      <x:c r="N238" s="117" t="str">
        <x:v>2026-09-08</x:v>
      </x:c>
    </x:row>
    <x:row r="239" ht="48" customHeight="1">
      <x:c r="A239" s="117" t="str">
        <x:v>MC0247</x:v>
      </x:c>
      <x:c r="B239" s="117" t="str">
        <x:v>Tunku Abdul Rahman Park</x:v>
      </x:c>
      <x:c r="C239" s="117" t="n">
        <x:v>2</x:v>
      </x:c>
      <x:c r="D239" s="117" t="str">
        <x:v>https://thumb.wikimedia.org/wikipedia/commons/thumb/e/e3/Tunku_Abdul_Rahman_National_Park.jpg/1280px-Tunku_Abdul_Rahman_National_Park.jpg?utm_source=commons.wikimedia.org&amp;utm_campaign=imageinfo&amp;utm_content=thumbnail</x:v>
      </x:c>
      <x:c r="E239" s="117" t="str">
        <x:v>https://commons.wikimedia.org/wiki/File:Tunku_Abdul_Rahman_National_Park.jpg</x:v>
      </x:c>
      <x:c r="F239" s="117" t="str">
        <x:v>File:Tunku Abdul Rahman National Park.jpg</x:v>
      </x:c>
      <x:c r="G239" s="117" t="str">
        <x:v>Scipio66africanus</x:v>
      </x:c>
      <x:c r="H239" s="117" t="str">
        <x:v>CC BY-SA 4.0</x:v>
      </x:c>
      <x:c r="I239" s="117" t="str">
        <x:v>https://creativecommons.org/licenses/by-sa/4.0</x:v>
      </x:c>
      <x:c r="J239" s="117" t="str">
        <x:v>true</x:v>
      </x:c>
      <x:c r="K239" s="117" t="str">
        <x:v>Own work</x:v>
      </x:c>
      <x:c r="L239" s="117" t="str">
        <x:v>Exact name or all distinctive place-name tokens in file metadata</x:v>
      </x:c>
      <x:c r="M239" s="117" t="str">
        <x:v>Not visually reviewed</x:v>
      </x:c>
      <x:c r="N239" s="117" t="str">
        <x:v>2026-09-08</x:v>
      </x:c>
    </x:row>
    <x:row r="240" ht="48" customHeight="1">
      <x:c r="A240" s="117" t="str">
        <x:v>MC0248</x:v>
      </x:c>
      <x:c r="B240" s="117" t="str">
        <x:v>Sepilok Orangutan Rehabilitation Centre</x:v>
      </x:c>
      <x:c r="C240" s="117" t="n">
        <x:v>1</x:v>
      </x:c>
      <x:c r="D240" s="117" t="str">
        <x:v>https://thumb.wikimedia.org/wikipedia/commons/thumb/c/c2/Sandakan_Sabah_Sepilok-Orangutan-Rehabilitation-Centre-02.jpg/1280px-Sandakan_Sabah_Sepilok-Orangutan-Rehabilitation-Centre-02.jpg?utm_source=commons.wikimedia.org&amp;utm_campaign=imageinfo&amp;utm_content=thumbnail</x:v>
      </x:c>
      <x:c r="E240" s="117" t="str">
        <x:v>https://commons.wikimedia.org/wiki/File:Sandakan_Sabah_Sepilok-Orangutan-Rehabilitation-Centre-02.jpg</x:v>
      </x:c>
      <x:c r="F240" s="117" t="str">
        <x:v>File:Sandakan Sabah Sepilok-Orangutan-Rehabilitation-Centre-02.jpg</x:v>
      </x:c>
      <x:c r="G240" s="117" t="str">
        <x:v>CEphoto, Uwe Aranas</x:v>
      </x:c>
      <x:c r="H240" s="117" t="str">
        <x:v>CC BY-SA 3.0</x:v>
      </x:c>
      <x:c r="I240" s="117" t="str">
        <x:v>https://creativecommons.org/licenses/by-sa/3.0</x:v>
      </x:c>
      <x:c r="J240" s="117" t="str">
        <x:v>true</x:v>
      </x:c>
      <x:c r="K240" s="117" t="str">
        <x:v>Own work</x:v>
      </x:c>
      <x:c r="L240" s="117" t="str">
        <x:v>Exact name or all distinctive place-name tokens in file metadata</x:v>
      </x:c>
      <x:c r="M240" s="117" t="str">
        <x:v>Not visually reviewed</x:v>
      </x:c>
      <x:c r="N240" s="117" t="str">
        <x:v>2026-09-08</x:v>
      </x:c>
    </x:row>
    <x:row r="241" ht="48" customHeight="1">
      <x:c r="A241" s="117" t="str">
        <x:v>MC0248</x:v>
      </x:c>
      <x:c r="B241" s="117" t="str">
        <x:v>Sepilok Orangutan Rehabilitation Centre</x:v>
      </x:c>
      <x:c r="C241" s="117" t="n">
        <x:v>2</x:v>
      </x:c>
      <x:c r="D241" s="117" t="str">
        <x:v>https://upload.wikimedia.org/wikipedia/commons/5/53/Orangutan_in_Sepilok_Orangutan_Rehabilitation_Centre.jpg?utm_source=commons.wikimedia.org&amp;utm_campaign=imageinfo&amp;utm_content=thumbnail_unscaled</x:v>
      </x:c>
      <x:c r="E241" s="117" t="str">
        <x:v>https://commons.wikimedia.org/wiki/File:Orangutan_in_Sepilok_Orangutan_Rehabilitation_Centre.jpg</x:v>
      </x:c>
      <x:c r="F241" s="117" t="str">
        <x:v>File:Orangutan in Sepilok Orangutan Rehabilitation Centre.jpg</x:v>
      </x:c>
      <x:c r="G241" s="117" t="str">
        <x:v>Neomijemmy</x:v>
      </x:c>
      <x:c r="H241" s="117" t="str">
        <x:v>CC BY-SA 4.0</x:v>
      </x:c>
      <x:c r="I241" s="117" t="str">
        <x:v>https://creativecommons.org/licenses/by-sa/4.0</x:v>
      </x:c>
      <x:c r="J241" s="117" t="str">
        <x:v>true</x:v>
      </x:c>
      <x:c r="K241" s="117" t="str">
        <x:v>Own work</x:v>
      </x:c>
      <x:c r="L241" s="117" t="str">
        <x:v>Exact name or all distinctive place-name tokens in file metadata</x:v>
      </x:c>
      <x:c r="M241" s="117" t="str">
        <x:v>Not visually reviewed</x:v>
      </x:c>
      <x:c r="N241" s="117" t="str">
        <x:v>2026-09-08</x:v>
      </x:c>
    </x:row>
    <x:row r="242" ht="48" customHeight="1">
      <x:c r="A242" s="117" t="str">
        <x:v>MC0249</x:v>
      </x:c>
      <x:c r="B242" s="117" t="str">
        <x:v>Sabah State Museum</x:v>
      </x:c>
      <x:c r="C242" s="117" t="n">
        <x:v>1</x:v>
      </x:c>
      <x:c r="D242" s="117" t="str">
        <x:v>https://thumb.wikimedia.org/wikipedia/commons/thumb/6/6b/KotaKinabalu_Sabah_Sabah-State-Museum-01.jpg/1280px-KotaKinabalu_Sabah_Sabah-State-Museum-01.jpg?utm_source=commons.wikimedia.org&amp;utm_campaign=imageinfo&amp;utm_content=thumbnail</x:v>
      </x:c>
      <x:c r="E242" s="117" t="str">
        <x:v>https://commons.wikimedia.org/wiki/File:KotaKinabalu_Sabah_Sabah-State-Museum-01.jpg</x:v>
      </x:c>
      <x:c r="F242" s="117" t="str">
        <x:v>File:KotaKinabalu Sabah Sabah-State-Museum-01.jpg</x:v>
      </x:c>
      <x:c r="G242" s="117" t="str">
        <x:v>CEphoto, Uwe Aranas</x:v>
      </x:c>
      <x:c r="H242" s="117" t="str">
        <x:v>CC BY-SA 3.0</x:v>
      </x:c>
      <x:c r="I242" s="117" t="str">
        <x:v>https://creativecommons.org/licenses/by-sa/3.0</x:v>
      </x:c>
      <x:c r="J242" s="117" t="str">
        <x:v>true</x:v>
      </x:c>
      <x:c r="K242" s="117" t="str">
        <x:v>Own work</x:v>
      </x:c>
      <x:c r="L242" s="117" t="str">
        <x:v>Exact name or all distinctive place-name tokens in file metadata</x:v>
      </x:c>
      <x:c r="M242" s="117" t="str">
        <x:v>Not visually reviewed</x:v>
      </x:c>
      <x:c r="N242" s="117" t="str">
        <x:v>2026-09-08</x:v>
      </x:c>
    </x:row>
    <x:row r="243" ht="48" customHeight="1">
      <x:c r="A243" s="117" t="str">
        <x:v>MC0249</x:v>
      </x:c>
      <x:c r="B243" s="117" t="str">
        <x:v>Sabah State Museum</x:v>
      </x:c>
      <x:c r="C243" s="117" t="n">
        <x:v>2</x:v>
      </x:c>
      <x:c r="D243" s="117" t="str">
        <x:v>https://thumb.wikimedia.org/wikipedia/commons/thumb/4/48/Photowalk_at_Sabah_State_Museum%2C_Kota_Kinabalu_208.jpg/1280px-Photowalk_at_Sabah_State_Museum%2C_Kota_Kinabalu_208.jpg?utm_source=commons.wikimedia.org&amp;utm_campaign=imageinfo&amp;utm_content=thumbnail</x:v>
      </x:c>
      <x:c r="E243" s="117" t="str">
        <x:v>https://commons.wikimedia.org/wiki/File:Photowalk_at_Sabah_State_Museum,_Kota_Kinabalu_208.jpg</x:v>
      </x:c>
      <x:c r="F243" s="117" t="str">
        <x:v>File:Photowalk at Sabah State Museum, Kota Kinabalu 208.jpg</x:v>
      </x:c>
      <x:c r="G243" s="117" t="str">
        <x:v>Suyash Dwivedi</x:v>
      </x:c>
      <x:c r="H243" s="117" t="str">
        <x:v>CC BY-SA 4.0</x:v>
      </x:c>
      <x:c r="I243" s="117" t="str">
        <x:v>https://creativecommons.org/licenses/by-sa/4.0</x:v>
      </x:c>
      <x:c r="J243" s="117" t="str">
        <x:v>true</x:v>
      </x:c>
      <x:c r="K243" s="117" t="str">
        <x:v>Own work</x:v>
      </x:c>
      <x:c r="L243" s="117" t="str">
        <x:v>Exact name or all distinctive place-name tokens in file metadata</x:v>
      </x:c>
      <x:c r="M243" s="117" t="str">
        <x:v>Not visually reviewed</x:v>
      </x:c>
      <x:c r="N243" s="117" t="str">
        <x:v>2026-09-08</x:v>
      </x:c>
    </x:row>
    <x:row r="244" ht="48" customHeight="1">
      <x:c r="A244" s="117" t="str">
        <x:v>MC0250</x:v>
      </x:c>
      <x:c r="B244" s="117" t="str">
        <x:v>Mari Mari Cultural Village</x:v>
      </x:c>
      <x:c r="C244" s="117" t="n">
        <x:v>1</x:v>
      </x:c>
      <x:c r="D244" s="117" t="str">
        <x:v>https://thumb.wikimedia.org/wikipedia/commons/thumb/5/58/ESEAP_Conference_2024_Mari_Mari_Cultural_Village_Trip_-_12.jpg/1280px-ESEAP_Conference_2024_Mari_Mari_Cultural_Village_Trip_-_12.jpg?utm_source=commons.wikimedia.org&amp;utm_campaign=imageinfo&amp;utm_content=thumbnail</x:v>
      </x:c>
      <x:c r="E244" s="117" t="str">
        <x:v>https://commons.wikimedia.org/wiki/File:ESEAP_Conference_2024_Mari_Mari_Cultural_Village_Trip_-_12.jpg</x:v>
      </x:c>
      <x:c r="F244" s="117" t="str">
        <x:v>File:ESEAP Conference 2024 Mari Mari Cultural Village Trip - 12.jpg</x:v>
      </x:c>
      <x:c r="G244" s="117" t="str">
        <x:v>Eugene Alvin Villar (seav)</x:v>
      </x:c>
      <x:c r="H244" s="117" t="str">
        <x:v>CC BY-SA 4.0</x:v>
      </x:c>
      <x:c r="I244" s="117" t="str">
        <x:v>https://creativecommons.org/licenses/by-sa/4.0</x:v>
      </x:c>
      <x:c r="J244" s="117" t="str">
        <x:v>true</x:v>
      </x:c>
      <x:c r="K244" s="117" t="str">
        <x:v>Self-photographed</x:v>
      </x:c>
      <x:c r="L244" s="117" t="str">
        <x:v>Exact name or all distinctive place-name tokens in file metadata</x:v>
      </x:c>
      <x:c r="M244" s="117" t="str">
        <x:v>Not visually reviewed</x:v>
      </x:c>
      <x:c r="N244" s="117" t="str">
        <x:v>2026-09-08</x:v>
      </x:c>
    </x:row>
    <x:row r="245" ht="48" customHeight="1">
      <x:c r="A245" s="117" t="str">
        <x:v>MC0251</x:v>
      </x:c>
      <x:c r="B245" s="117" t="str">
        <x:v>Poring Hot Spring</x:v>
      </x:c>
      <x:c r="C245" s="117" t="n">
        <x:v>1</x:v>
      </x:c>
      <x:c r="D245" s="117" t="str">
        <x:v>https://upload.wikimedia.org/wikipedia/commons/7/73/Poring_-_Hot_Springs_0012.JPG?utm_source=commons.wikimedia.org&amp;utm_campaign=imageinfo&amp;utm_content=thumbnail_unscaled</x:v>
      </x:c>
      <x:c r="E245" s="117" t="str">
        <x:v>https://commons.wikimedia.org/wiki/File:Poring_-_Hot_Springs_0012.JPG</x:v>
      </x:c>
      <x:c r="F245" s="117" t="str">
        <x:v>File:Poring - Hot Springs 0012.JPG</x:v>
      </x:c>
      <x:c r="G245" s="117" t="str">
        <x:v>Stefan Fussan</x:v>
      </x:c>
      <x:c r="H245" s="117" t="str">
        <x:v>CC BY-SA 3.0</x:v>
      </x:c>
      <x:c r="I245" s="117" t="str">
        <x:v>https://creativecommons.org/licenses/by-sa/3.0</x:v>
      </x:c>
      <x:c r="J245" s="117" t="str">
        <x:v>true</x:v>
      </x:c>
      <x:c r="K245" s="117" t="str">
        <x:v>Own work - My images are also available on MyPortfolio</x:v>
      </x:c>
      <x:c r="L245" s="117" t="str">
        <x:v>Exact name or all distinctive place-name tokens in file metadata</x:v>
      </x:c>
      <x:c r="M245" s="117" t="str">
        <x:v>Not visually reviewed</x:v>
      </x:c>
      <x:c r="N245" s="117" t="str">
        <x:v>2026-09-08</x:v>
      </x:c>
    </x:row>
    <x:row r="246" ht="48" customHeight="1">
      <x:c r="A246" s="117" t="str">
        <x:v>MC0252</x:v>
      </x:c>
      <x:c r="B246" s="117" t="str">
        <x:v>Danum Valley Conservation Area</x:v>
      </x:c>
      <x:c r="C246" s="117" t="n">
        <x:v>1</x:v>
      </x:c>
      <x:c r="D246" s="117" t="str">
        <x:v>https://thumb.wikimedia.org/wikipedia/commons/thumb/f/f4/Morning_fog_over_Danum_Valley_%2827329938517%29.jpg/1280px-Morning_fog_over_Danum_Valley_%2827329938517%29.jpg?utm_source=commons.wikimedia.org&amp;utm_campaign=imageinfo&amp;utm_content=thumbnail</x:v>
      </x:c>
      <x:c r="E246" s="117" t="str">
        <x:v>https://commons.wikimedia.org/wiki/File:Morning_fog_over_Danum_Valley_(27329938517).jpg</x:v>
      </x:c>
      <x:c r="F246" s="117" t="str">
        <x:v>File:Morning fog over Danum Valley (27329938517).jpg</x:v>
      </x:c>
      <x:c r="G246" s="117" t="str">
        <x:v>Christopher Michel</x:v>
      </x:c>
      <x:c r="H246" s="117" t="str">
        <x:v>CC BY 2.0</x:v>
      </x:c>
      <x:c r="I246" s="117" t="str">
        <x:v>https://creativecommons.org/licenses/by/2.0</x:v>
      </x:c>
      <x:c r="J246" s="117" t="str">
        <x:v>true</x:v>
      </x:c>
      <x:c r="K246" s="117" t="str">
        <x:v>https://www.flickr.com/photos/cmichel67/27329938517/</x:v>
      </x:c>
      <x:c r="L246" s="117" t="str">
        <x:v>Exact name or all distinctive place-name tokens in file metadata</x:v>
      </x:c>
      <x:c r="M246" s="117" t="str">
        <x:v>Not visually reviewed</x:v>
      </x:c>
      <x:c r="N246" s="117" t="str">
        <x:v>2026-09-08</x:v>
      </x:c>
    </x:row>
    <x:row r="247" ht="48" customHeight="1">
      <x:c r="A247" s="117" t="str">
        <x:v>MC0252</x:v>
      </x:c>
      <x:c r="B247" s="117" t="str">
        <x:v>Danum Valley Conservation Area</x:v>
      </x:c>
      <x:c r="C247" s="117" t="n">
        <x:v>2</x:v>
      </x:c>
      <x:c r="D247" s="117" t="str">
        <x:v>https://thumb.wikimedia.org/wikipedia/commons/thumb/f/f2/Bridge_to_the_rainforest.jpg/1280px-Bridge_to_the_rainforest.jpg?utm_source=commons.wikimedia.org&amp;utm_campaign=imageinfo&amp;utm_content=thumbnail</x:v>
      </x:c>
      <x:c r="E247" s="117" t="str">
        <x:v>https://commons.wikimedia.org/wiki/File:Bridge_to_the_rainforest.jpg</x:v>
      </x:c>
      <x:c r="F247" s="117" t="str">
        <x:v>File:Bridge to the rainforest.jpg</x:v>
      </x:c>
      <x:c r="G247" s="117" t="str">
        <x:v>Rob and Stephanie Levy from Townsville, Australia</x:v>
      </x:c>
      <x:c r="H247" s="117" t="str">
        <x:v>CC BY 2.0</x:v>
      </x:c>
      <x:c r="I247" s="117" t="str">
        <x:v>https://creativecommons.org/licenses/by/2.0</x:v>
      </x:c>
      <x:c r="J247" s="117" t="str">
        <x:v>true</x:v>
      </x:c>
      <x:c r="K247" s="117" t="str">
        <x:v>Bridge to the rainforest</x:v>
      </x:c>
      <x:c r="L247" s="117" t="str">
        <x:v>Exact name or all distinctive place-name tokens in file metadata</x:v>
      </x:c>
      <x:c r="M247" s="117" t="str">
        <x:v>Not visually reviewed</x:v>
      </x:c>
      <x:c r="N247" s="117" t="str">
        <x:v>2026-09-08</x:v>
      </x:c>
    </x:row>
    <x:row r="248" ht="48" customHeight="1">
      <x:c r="A248" s="117" t="str">
        <x:v>MC0253</x:v>
      </x:c>
      <x:c r="B248" s="117" t="str">
        <x:v>Tip of Borneo</x:v>
      </x:c>
      <x:c r="C248" s="117" t="n">
        <x:v>1</x:v>
      </x:c>
      <x:c r="D248" s="117" t="str">
        <x:v>https://thumb.wikimedia.org/wikipedia/commons/thumb/7/71/Kudat_Sabah_Tanjung_Simpang_Mengayau-21.jpg/1280px-Kudat_Sabah_Tanjung_Simpang_Mengayau-21.jpg?utm_source=commons.wikimedia.org&amp;utm_campaign=imageinfo&amp;utm_content=thumbnail</x:v>
      </x:c>
      <x:c r="E248" s="117" t="str">
        <x:v>https://commons.wikimedia.org/wiki/File:Kudat_Sabah_Tanjung_Simpang_Mengayau-21.jpg</x:v>
      </x:c>
      <x:c r="F248" s="117" t="str">
        <x:v>File:Kudat Sabah Tanjung Simpang Mengayau-21.jpg</x:v>
      </x:c>
      <x:c r="G248" s="117" t="str">
        <x:v>CEphoto, Uwe Aranas</x:v>
      </x:c>
      <x:c r="H248" s="117" t="str">
        <x:v>CC BY-SA 3.0</x:v>
      </x:c>
      <x:c r="I248" s="117" t="str">
        <x:v>https://creativecommons.org/licenses/by-sa/3.0</x:v>
      </x:c>
      <x:c r="J248" s="117" t="str">
        <x:v>true</x:v>
      </x:c>
      <x:c r="K248" s="117" t="str">
        <x:v>Own work</x:v>
      </x:c>
      <x:c r="L248" s="117" t="str">
        <x:v>Exact name or all distinctive place-name tokens in file metadata</x:v>
      </x:c>
      <x:c r="M248" s="117" t="str">
        <x:v>Not visually reviewed</x:v>
      </x:c>
      <x:c r="N248" s="117" t="str">
        <x:v>2026-09-08</x:v>
      </x:c>
    </x:row>
    <x:row r="249" ht="48" customHeight="1">
      <x:c r="A249" s="117" t="str">
        <x:v>MC0253</x:v>
      </x:c>
      <x:c r="B249" s="117" t="str">
        <x:v>Tip of Borneo</x:v>
      </x:c>
      <x:c r="C249" s="117" t="n">
        <x:v>2</x:v>
      </x:c>
      <x:c r="D249" s="117" t="str">
        <x:v>https://thumb.wikimedia.org/wikipedia/commons/thumb/a/ad/Kudat_Sabah_Tanjung_Simpang_Mengayau-01.jpg/1280px-Kudat_Sabah_Tanjung_Simpang_Mengayau-01.jpg?utm_source=commons.wikimedia.org&amp;utm_campaign=imageinfo&amp;utm_content=thumbnail</x:v>
      </x:c>
      <x:c r="E249" s="117" t="str">
        <x:v>https://commons.wikimedia.org/wiki/File:Kudat_Sabah_Tanjung_Simpang_Mengayau-01.jpg</x:v>
      </x:c>
      <x:c r="F249" s="117" t="str">
        <x:v>File:Kudat Sabah Tanjung Simpang Mengayau-01.jpg</x:v>
      </x:c>
      <x:c r="G249" s="117" t="str">
        <x:v>CEphoto, Uwe Aranas</x:v>
      </x:c>
      <x:c r="H249" s="117" t="str">
        <x:v>CC BY-SA 3.0</x:v>
      </x:c>
      <x:c r="I249" s="117" t="str">
        <x:v>https://creativecommons.org/licenses/by-sa/3.0</x:v>
      </x:c>
      <x:c r="J249" s="117" t="str">
        <x:v>true</x:v>
      </x:c>
      <x:c r="K249" s="117" t="str">
        <x:v>Own work</x:v>
      </x:c>
      <x:c r="L249" s="117" t="str">
        <x:v>Exact name or all distinctive place-name tokens in file metadata</x:v>
      </x:c>
      <x:c r="M249" s="117" t="str">
        <x:v>Not visually reviewed</x:v>
      </x:c>
      <x:c r="N249" s="117" t="str">
        <x:v>2026-09-08</x:v>
      </x:c>
    </x:row>
    <x:row r="250" ht="48" customHeight="1">
      <x:c r="A250" s="117" t="str">
        <x:v>MC0254</x:v>
      </x:c>
      <x:c r="B250" s="117" t="str">
        <x:v>Lok Kawi Wildlife Park</x:v>
      </x:c>
      <x:c r="C250" s="117" t="n">
        <x:v>1</x:v>
      </x:c>
      <x:c r="D250" s="117" t="str">
        <x:v>https://thumb.wikimedia.org/wikipedia/commons/thumb/5/56/Putatan_Sabah_LokKawiWildlifePark-03.jpg/1280px-Putatan_Sabah_LokKawiWildlifePark-03.jpg?utm_source=commons.wikimedia.org&amp;utm_campaign=imageinfo&amp;utm_content=thumbnail</x:v>
      </x:c>
      <x:c r="E250" s="117" t="str">
        <x:v>https://commons.wikimedia.org/wiki/File:Putatan_Sabah_LokKawiWildlifePark-03.jpg</x:v>
      </x:c>
      <x:c r="F250" s="117" t="str">
        <x:v>File:Putatan Sabah LokKawiWildlifePark-03.jpg</x:v>
      </x:c>
      <x:c r="G250" s="117" t="str">
        <x:v>CEphoto, Uwe Aranas</x:v>
      </x:c>
      <x:c r="H250" s="117" t="str">
        <x:v>CC BY-SA 3.0</x:v>
      </x:c>
      <x:c r="I250" s="117" t="str">
        <x:v>https://creativecommons.org/licenses/by-sa/3.0</x:v>
      </x:c>
      <x:c r="J250" s="117" t="str">
        <x:v>true</x:v>
      </x:c>
      <x:c r="K250" s="117" t="str">
        <x:v>Own work</x:v>
      </x:c>
      <x:c r="L250" s="117" t="str">
        <x:v>Exact name or all distinctive place-name tokens in file metadata</x:v>
      </x:c>
      <x:c r="M250" s="117" t="str">
        <x:v>Not visually reviewed</x:v>
      </x:c>
      <x:c r="N250" s="117" t="str">
        <x:v>2026-09-08</x:v>
      </x:c>
    </x:row>
    <x:row r="251" ht="48" customHeight="1">
      <x:c r="A251" s="117" t="str">
        <x:v>MC0256</x:v>
      </x:c>
      <x:c r="B251" s="117" t="str">
        <x:v>Kota Kinabalu City Mosque</x:v>
      </x:c>
      <x:c r="C251" s="117" t="n">
        <x:v>1</x:v>
      </x:c>
      <x:c r="D251" s="117" t="str">
        <x:v>https://thumb.wikimedia.org/wikipedia/commons/thumb/9/90/KotaKinabalu_Sabah_CityMosque-08.jpg/1280px-KotaKinabalu_Sabah_CityMosque-08.jpg?utm_source=commons.wikimedia.org&amp;utm_campaign=imageinfo&amp;utm_content=thumbnail</x:v>
      </x:c>
      <x:c r="E251" s="117" t="str">
        <x:v>https://commons.wikimedia.org/wiki/File:KotaKinabalu_Sabah_CityMosque-08.jpg</x:v>
      </x:c>
      <x:c r="F251" s="117" t="str">
        <x:v>File:KotaKinabalu Sabah CityMosque-08.jpg</x:v>
      </x:c>
      <x:c r="G251" s="117" t="str">
        <x:v>CEphoto, Uwe Aranas</x:v>
      </x:c>
      <x:c r="H251" s="117" t="str">
        <x:v>CC BY-SA 3.0</x:v>
      </x:c>
      <x:c r="I251" s="117" t="str">
        <x:v>https://creativecommons.org/licenses/by-sa/3.0</x:v>
      </x:c>
      <x:c r="J251" s="117" t="str">
        <x:v>true</x:v>
      </x:c>
      <x:c r="K251" s="117" t="str">
        <x:v>Own work</x:v>
      </x:c>
      <x:c r="L251" s="117" t="str">
        <x:v>Exact name or all distinctive place-name tokens in file metadata</x:v>
      </x:c>
      <x:c r="M251" s="117" t="str">
        <x:v>Not visually reviewed</x:v>
      </x:c>
      <x:c r="N251" s="117" t="str">
        <x:v>2026-09-08</x:v>
      </x:c>
    </x:row>
    <x:row r="252" ht="48" customHeight="1">
      <x:c r="A252" s="117" t="str">
        <x:v>MC0256</x:v>
      </x:c>
      <x:c r="B252" s="117" t="str">
        <x:v>Kota Kinabalu City Mosque</x:v>
      </x:c>
      <x:c r="C252" s="117" t="n">
        <x:v>2</x:v>
      </x:c>
      <x:c r="D252" s="117" t="str">
        <x:v>https://thumb.wikimedia.org/wikipedia/commons/thumb/3/35/KotaKinabalu_Sabah_CityMosque-07.jpg/1280px-KotaKinabalu_Sabah_CityMosque-07.jpg?utm_source=commons.wikimedia.org&amp;utm_campaign=imageinfo&amp;utm_content=thumbnail</x:v>
      </x:c>
      <x:c r="E252" s="117" t="str">
        <x:v>https://commons.wikimedia.org/wiki/File:KotaKinabalu_Sabah_CityMosque-07.jpg</x:v>
      </x:c>
      <x:c r="F252" s="117" t="str">
        <x:v>File:KotaKinabalu Sabah CityMosque-07.jpg</x:v>
      </x:c>
      <x:c r="G252" s="117" t="str">
        <x:v>CEphoto, Uwe Aranas</x:v>
      </x:c>
      <x:c r="H252" s="117" t="str">
        <x:v>CC BY-SA 3.0</x:v>
      </x:c>
      <x:c r="I252" s="117" t="str">
        <x:v>https://creativecommons.org/licenses/by-sa/3.0</x:v>
      </x:c>
      <x:c r="J252" s="117" t="str">
        <x:v>true</x:v>
      </x:c>
      <x:c r="K252" s="117" t="str">
        <x:v>Own work</x:v>
      </x:c>
      <x:c r="L252" s="117" t="str">
        <x:v>Exact name or all distinctive place-name tokens in file metadata</x:v>
      </x:c>
      <x:c r="M252" s="117" t="str">
        <x:v>Not visually reviewed</x:v>
      </x:c>
      <x:c r="N252" s="117" t="str">
        <x:v>2026-09-08</x:v>
      </x:c>
    </x:row>
    <x:row r="253" ht="48" customHeight="1">
      <x:c r="A253" s="117" t="str">
        <x:v>MC0257</x:v>
      </x:c>
      <x:c r="B253" s="117" t="str">
        <x:v>Gaya Street Sunday Market</x:v>
      </x:c>
      <x:c r="C253" s="117" t="n">
        <x:v>1</x:v>
      </x:c>
      <x:c r="D253" s="117" t="str">
        <x:v>https://thumb.wikimedia.org/wikipedia/commons/thumb/0/0b/KotaKinabalu_Sabah_Gaya-Street-Sunday-Market-12.jpg/1280px-KotaKinabalu_Sabah_Gaya-Street-Sunday-Market-12.jpg?utm_source=commons.wikimedia.org&amp;utm_campaign=imageinfo&amp;utm_content=thumbnail</x:v>
      </x:c>
      <x:c r="E253" s="117" t="str">
        <x:v>https://commons.wikimedia.org/wiki/File:KotaKinabalu_Sabah_Gaya-Street-Sunday-Market-12.jpg</x:v>
      </x:c>
      <x:c r="F253" s="117" t="str">
        <x:v>File:KotaKinabalu Sabah Gaya-Street-Sunday-Market-12.jpg</x:v>
      </x:c>
      <x:c r="G253" s="117" t="str">
        <x:v>CEphoto, Uwe Aranas</x:v>
      </x:c>
      <x:c r="H253" s="117" t="str">
        <x:v>CC BY-SA 3.0</x:v>
      </x:c>
      <x:c r="I253" s="117" t="str">
        <x:v>https://creativecommons.org/licenses/by-sa/3.0</x:v>
      </x:c>
      <x:c r="J253" s="117" t="str">
        <x:v>true</x:v>
      </x:c>
      <x:c r="K253" s="117" t="str">
        <x:v>Own work</x:v>
      </x:c>
      <x:c r="L253" s="117" t="str">
        <x:v>Exact name or all distinctive place-name tokens in file metadata</x:v>
      </x:c>
      <x:c r="M253" s="117" t="str">
        <x:v>Not visually reviewed</x:v>
      </x:c>
      <x:c r="N253" s="117" t="str">
        <x:v>2026-09-08</x:v>
      </x:c>
    </x:row>
    <x:row r="254" ht="48" customHeight="1">
      <x:c r="A254" s="117" t="str">
        <x:v>MC0257</x:v>
      </x:c>
      <x:c r="B254" s="117" t="str">
        <x:v>Gaya Street Sunday Market</x:v>
      </x:c>
      <x:c r="C254" s="117" t="n">
        <x:v>2</x:v>
      </x:c>
      <x:c r="D254" s="117" t="str">
        <x:v>https://upload.wikimedia.org/wikipedia/commons/2/26/Sunday_Market%2C_Kota_Kinabalu%2C_Malaysia.JPG?utm_source=commons.wikimedia.org&amp;utm_campaign=imageinfo&amp;utm_content=thumbnail_unscaled</x:v>
      </x:c>
      <x:c r="E254" s="117" t="str">
        <x:v>https://commons.wikimedia.org/wiki/File:Sunday_Market,_Kota_Kinabalu,_Malaysia.JPG</x:v>
      </x:c>
      <x:c r="F254" s="117" t="str">
        <x:v>File:Sunday Market, Kota Kinabalu, Malaysia.JPG</x:v>
      </x:c>
      <x:c r="G254" s="117" t="str">
        <x:v>User: (WT-shared) Shoestring at  wts wikivoyage</x:v>
      </x:c>
      <x:c r="H254" s="117" t="str">
        <x:v>CC BY-SA 4.0</x:v>
      </x:c>
      <x:c r="I254" s="117" t="str">
        <x:v>https://creativecommons.org/licenses/by-sa/4.0</x:v>
      </x:c>
      <x:c r="J254" s="117" t="str">
        <x:v>true</x:v>
      </x:c>
      <x:c r="K254" s="117" t="str">
        <x:v>Own work</x:v>
      </x:c>
      <x:c r="L254" s="117" t="str">
        <x:v>Exact name or all distinctive place-name tokens in file metadata</x:v>
      </x:c>
      <x:c r="M254" s="117" t="str">
        <x:v>Not visually reviewed</x:v>
      </x:c>
      <x:c r="N254" s="117" t="str">
        <x:v>2026-09-08</x:v>
      </x:c>
    </x:row>
    <x:row r="255" ht="48" customHeight="1">
      <x:c r="A255" s="117" t="str">
        <x:v>MC0258</x:v>
      </x:c>
      <x:c r="B255" s="117" t="str">
        <x:v>Tanjung Aru Beach</x:v>
      </x:c>
      <x:c r="C255" s="117" t="n">
        <x:v>1</x:v>
      </x:c>
      <x:c r="D255" s="117" t="str">
        <x:v>https://upload.wikimedia.org/wikipedia/commons/a/a1/Kota_Kinabalu_Tanjung_Aru_Beach_0002.jpg?utm_source=commons.wikimedia.org&amp;utm_campaign=imageinfo&amp;utm_content=thumbnail_unscaled</x:v>
      </x:c>
      <x:c r="E255" s="117" t="str">
        <x:v>https://commons.wikimedia.org/wiki/File:Kota_Kinabalu_Tanjung_Aru_Beach_0002.jpg</x:v>
      </x:c>
      <x:c r="F255" s="117" t="str">
        <x:v>File:Kota Kinabalu Tanjung Aru Beach 0002.jpg</x:v>
      </x:c>
      <x:c r="G255" s="117" t="str">
        <x:v>Stefan Fussan</x:v>
      </x:c>
      <x:c r="H255" s="117" t="str">
        <x:v>CC BY-SA 3.0</x:v>
      </x:c>
      <x:c r="I255" s="117" t="str">
        <x:v>https://creativecommons.org/licenses/by-sa/3.0</x:v>
      </x:c>
      <x:c r="J255" s="117" t="str">
        <x:v>true</x:v>
      </x:c>
      <x:c r="K255" s="117" t="str">
        <x:v>Own work - My images are also available on MyPortfolio</x:v>
      </x:c>
      <x:c r="L255" s="117" t="str">
        <x:v>Exact name or all distinctive place-name tokens in file metadata</x:v>
      </x:c>
      <x:c r="M255" s="117" t="str">
        <x:v>Not visually reviewed</x:v>
      </x:c>
      <x:c r="N255" s="117" t="str">
        <x:v>2026-09-08</x:v>
      </x:c>
    </x:row>
    <x:row r="256" ht="48" customHeight="1">
      <x:c r="A256" s="117" t="str">
        <x:v>MC0258</x:v>
      </x:c>
      <x:c r="B256" s="117" t="str">
        <x:v>Tanjung Aru Beach</x:v>
      </x:c>
      <x:c r="C256" s="117" t="n">
        <x:v>2</x:v>
      </x:c>
      <x:c r="D256" s="117" t="str">
        <x:v>https://thumb.wikimedia.org/wikipedia/commons/thumb/e/e3/Sunset_Tanjung_Aru.jpg/1280px-Sunset_Tanjung_Aru.jpg?utm_source=commons.wikimedia.org&amp;utm_campaign=imageinfo&amp;utm_content=thumbnail</x:v>
      </x:c>
      <x:c r="E256" s="117" t="str">
        <x:v>https://commons.wikimedia.org/wiki/File:Sunset_Tanjung_Aru.jpg</x:v>
      </x:c>
      <x:c r="F256" s="117" t="str">
        <x:v>File:Sunset Tanjung Aru.jpg</x:v>
      </x:c>
      <x:c r="G256" s="117" t="str">
        <x:v>Hamsah Baharuddin</x:v>
      </x:c>
      <x:c r="H256" s="117" t="str">
        <x:v>CC BY-SA 4.0</x:v>
      </x:c>
      <x:c r="I256" s="117" t="str">
        <x:v>https://creativecommons.org/licenses/by-sa/4.0</x:v>
      </x:c>
      <x:c r="J256" s="117" t="str">
        <x:v>true</x:v>
      </x:c>
      <x:c r="K256" s="117" t="str">
        <x:v>Own work</x:v>
      </x:c>
      <x:c r="L256" s="117" t="str">
        <x:v>Exact name or all distinctive place-name tokens in file metadata</x:v>
      </x:c>
      <x:c r="M256" s="117" t="str">
        <x:v>Not visually reviewed</x:v>
      </x:c>
      <x:c r="N256" s="117" t="str">
        <x:v>2026-09-08</x:v>
      </x:c>
    </x:row>
    <x:row r="257" ht="48" customHeight="1">
      <x:c r="A257" s="117" t="str">
        <x:v>MC0262</x:v>
      </x:c>
      <x:c r="B257" s="117" t="str">
        <x:v>Mantanani Islands</x:v>
      </x:c>
      <x:c r="C257" s="117" t="n">
        <x:v>1</x:v>
      </x:c>
      <x:c r="D257" s="117" t="str">
        <x:v>https://thumb.wikimedia.org/wikipedia/commons/thumb/3/32/Admiralty_Chart_No_3728_Mantanani_Islands_to_Banggi_Island%2C_Published_1964.jpg/1280px-Admiralty_Chart_No_3728_Mantanani_Islands_to_Banggi_Island%2C_Published_1964.jpg?utm_source=commons.wikimedia.org&amp;utm_campaign=imageinfo&amp;utm_content=thumbnail</x:v>
      </x:c>
      <x:c r="E257" s="117" t="str">
        <x:v>https://commons.wikimedia.org/wiki/File:Admiralty_Chart_No_3728_Mantanani_Islands_to_Banggi_Island,_Published_1964.jpg</x:v>
      </x:c>
      <x:c r="F257" s="117" t="str">
        <x:v>File:Admiralty Chart No 3728 Mantanani Islands to Banggi Island, Published 1964.jpg</x:v>
      </x:c>
      <x:c r="G257" s="117" t="str">
        <x:v>United Kingdom Hydrographic Office</x:v>
      </x:c>
      <x:c r="H257" s="117" t="str">
        <x:v>Public domain</x:v>
      </x:c>
      <x:c r="I257" s="117" t="str"/>
      <x:c r="J257" s="117" t="str">
        <x:v>false</x:v>
      </x:c>
      <x:c r="K257" s="117" t="str">
        <x:v>Scan of original Admiralty Chart</x:v>
      </x:c>
      <x:c r="L257" s="117" t="str">
        <x:v>Exact name or all distinctive place-name tokens in file metadata</x:v>
      </x:c>
      <x:c r="M257" s="117" t="str">
        <x:v>Not visually reviewed</x:v>
      </x:c>
      <x:c r="N257" s="117" t="str">
        <x:v>2026-09-08</x:v>
      </x:c>
    </x:row>
    <x:row r="258" ht="48" customHeight="1">
      <x:c r="A258" s="117" t="str">
        <x:v>MC0262</x:v>
      </x:c>
      <x:c r="B258" s="117" t="str">
        <x:v>Mantanani Islands</x:v>
      </x:c>
      <x:c r="C258" s="117" t="n">
        <x:v>2</x:v>
      </x:c>
      <x:c r="D258" s="117" t="str">
        <x:v>https://thumb.wikimedia.org/wikipedia/commons/thumb/b/b0/Mantanani_Island_Sabah_Borneo_%2832199873233%29.jpg/1280px-Mantanani_Island_Sabah_Borneo_%2832199873233%29.jpg?utm_source=commons.wikimedia.org&amp;utm_campaign=imageinfo&amp;utm_content=thumbnail</x:v>
      </x:c>
      <x:c r="E258" s="117" t="str">
        <x:v>https://commons.wikimedia.org/wiki/File:Mantanani_Island_Sabah_Borneo_(32199873233).jpg</x:v>
      </x:c>
      <x:c r="F258" s="117" t="str">
        <x:v>File:Mantanani Island Sabah Borneo (32199873233).jpg</x:v>
      </x:c>
      <x:c r="G258" s="117" t="str">
        <x:v>Eddie Yip from Groningen, the Netherlands</x:v>
      </x:c>
      <x:c r="H258" s="117" t="str">
        <x:v>CC BY-SA 2.0</x:v>
      </x:c>
      <x:c r="I258" s="117" t="str">
        <x:v>https://creativecommons.org/licenses/by-sa/2.0</x:v>
      </x:c>
      <x:c r="J258" s="117" t="str">
        <x:v>true</x:v>
      </x:c>
      <x:c r="K258" s="117" t="str">
        <x:v>Mantanani Island Sabah Borneo</x:v>
      </x:c>
      <x:c r="L258" s="117" t="str">
        <x:v>Exact name or all distinctive place-name tokens in file metadata</x:v>
      </x:c>
      <x:c r="M258" s="117" t="str">
        <x:v>Not visually reviewed</x:v>
      </x:c>
      <x:c r="N258" s="117" t="str">
        <x:v>2026-09-08</x:v>
      </x:c>
    </x:row>
    <x:row r="259" ht="48" customHeight="1">
      <x:c r="A259" s="117" t="str">
        <x:v>MC0264</x:v>
      </x:c>
      <x:c r="B259" s="117" t="str">
        <x:v>Kundasang War Memorial</x:v>
      </x:c>
      <x:c r="C259" s="117" t="n">
        <x:v>1</x:v>
      </x:c>
      <x:c r="D259" s="117" t="str">
        <x:v>https://thumb.wikimedia.org/wikipedia/commons/thumb/8/89/Kundasang_Sabah_WarMemorial-01.jpg/1280px-Kundasang_Sabah_WarMemorial-01.jpg?utm_source=commons.wikimedia.org&amp;utm_campaign=imageinfo&amp;utm_content=thumbnail</x:v>
      </x:c>
      <x:c r="E259" s="117" t="str">
        <x:v>https://commons.wikimedia.org/wiki/File:Kundasang_Sabah_WarMemorial-01.jpg</x:v>
      </x:c>
      <x:c r="F259" s="117" t="str">
        <x:v>File:Kundasang Sabah WarMemorial-01.jpg</x:v>
      </x:c>
      <x:c r="G259" s="117" t="str">
        <x:v>CEphoto, Uwe Aranas</x:v>
      </x:c>
      <x:c r="H259" s="117" t="str">
        <x:v>CC BY-SA 3.0</x:v>
      </x:c>
      <x:c r="I259" s="117" t="str">
        <x:v>https://creativecommons.org/licenses/by-sa/3.0</x:v>
      </x:c>
      <x:c r="J259" s="117" t="str">
        <x:v>true</x:v>
      </x:c>
      <x:c r="K259" s="117" t="str">
        <x:v>Own work</x:v>
      </x:c>
      <x:c r="L259" s="117" t="str">
        <x:v>Exact name or all distinctive place-name tokens in file metadata</x:v>
      </x:c>
      <x:c r="M259" s="117" t="str">
        <x:v>Not visually reviewed</x:v>
      </x:c>
      <x:c r="N259" s="117" t="str">
        <x:v>2026-09-08</x:v>
      </x:c>
    </x:row>
    <x:row r="260" ht="48" customHeight="1">
      <x:c r="A260" s="117" t="str">
        <x:v>MC0264</x:v>
      </x:c>
      <x:c r="B260" s="117" t="str">
        <x:v>Kundasang War Memorial</x:v>
      </x:c>
      <x:c r="C260" s="117" t="n">
        <x:v>2</x:v>
      </x:c>
      <x:c r="D260" s="117" t="str">
        <x:v>https://thumb.wikimedia.org/wikipedia/commons/thumb/9/98/Kundasang_War_Memorial_28_December_2023_22.jpg/1280px-Kundasang_War_Memorial_28_December_2023_22.jpg?utm_source=commons.wikimedia.org&amp;utm_campaign=imageinfo&amp;utm_content=thumbnail</x:v>
      </x:c>
      <x:c r="E260" s="117" t="str">
        <x:v>https://commons.wikimedia.org/wiki/File:Kundasang_War_Memorial_28_December_2023_22.jpg</x:v>
      </x:c>
      <x:c r="F260" s="117" t="str">
        <x:v>File:Kundasang War Memorial 28 December 2023 22.jpg</x:v>
      </x:c>
      <x:c r="G260" s="117" t="str">
        <x:v>Pangalau</x:v>
      </x:c>
      <x:c r="H260" s="117" t="str">
        <x:v>CC BY-SA 4.0</x:v>
      </x:c>
      <x:c r="I260" s="117" t="str">
        <x:v>https://creativecommons.org/licenses/by-sa/4.0</x:v>
      </x:c>
      <x:c r="J260" s="117" t="str">
        <x:v>true</x:v>
      </x:c>
      <x:c r="K260" s="117" t="str">
        <x:v>Own work</x:v>
      </x:c>
      <x:c r="L260" s="117" t="str">
        <x:v>Exact name or all distinctive place-name tokens in file metadata</x:v>
      </x:c>
      <x:c r="M260" s="117" t="str">
        <x:v>Not visually reviewed</x:v>
      </x:c>
      <x:c r="N260" s="117" t="str">
        <x:v>2026-09-08</x:v>
      </x:c>
    </x:row>
    <x:row r="261" ht="48" customHeight="1">
      <x:c r="A261" s="117" t="str">
        <x:v>MC0269</x:v>
      </x:c>
      <x:c r="B261" s="117" t="str">
        <x:v>Bornean Sun Bear Conservation Centre</x:v>
      </x:c>
      <x:c r="C261" s="117" t="n">
        <x:v>1</x:v>
      </x:c>
      <x:c r="D261" s="117" t="str">
        <x:v>https://thumb.wikimedia.org/wikipedia/commons/thumb/6/60/Sepilok_Sabah_BSBCC-photos-by-Wong-Siew-Te-02.jpg/1280px-Sepilok_Sabah_BSBCC-photos-by-Wong-Siew-Te-02.jpg?utm_source=commons.wikimedia.org&amp;utm_campaign=imageinfo&amp;utm_content=thumbnail</x:v>
      </x:c>
      <x:c r="E261" s="117" t="str">
        <x:v>https://commons.wikimedia.org/wiki/File:Sepilok_Sabah_BSBCC-photos-by-Wong-Siew-Te-02.jpg</x:v>
      </x:c>
      <x:c r="F261" s="117" t="str">
        <x:v>File:Sepilok Sabah BSBCC-photos-by-Wong-Siew-Te-02.jpg</x:v>
      </x:c>
      <x:c r="G261" s="117" t="str">
        <x:v>Siew Te Wong, Thye Lim Tee, and Lin May Chiew, BSBCC</x:v>
      </x:c>
      <x:c r="H261" s="117" t="str">
        <x:v>CC BY-SA 3.0 de</x:v>
      </x:c>
      <x:c r="I261" s="117" t="str">
        <x:v>https://creativecommons.org/licenses/by-sa/3.0/de/deed.en</x:v>
      </x:c>
      <x:c r="J261" s="117" t="str">
        <x:v>true</x:v>
      </x:c>
      <x:c r="K261" s="117" t="str">
        <x:v>Bornean Sun Bear Conservation Centre (BSBCC, http://www.bsbcc.org.my/), Sepilok, Sabah, Malaysia</x:v>
      </x:c>
      <x:c r="L261" s="117" t="str">
        <x:v>Exact name or all distinctive place-name tokens in file metadata</x:v>
      </x:c>
      <x:c r="M261" s="117" t="str">
        <x:v>Not visually reviewed</x:v>
      </x:c>
      <x:c r="N261" s="117" t="str">
        <x:v>2026-09-08</x:v>
      </x:c>
    </x:row>
    <x:row r="262" ht="48" customHeight="1">
      <x:c r="A262" s="117" t="str">
        <x:v>MC0269</x:v>
      </x:c>
      <x:c r="B262" s="117" t="str">
        <x:v>Bornean Sun Bear Conservation Centre</x:v>
      </x:c>
      <x:c r="C262" s="117" t="n">
        <x:v>2</x:v>
      </x:c>
      <x:c r="D262" s="117" t="str">
        <x:v>https://thumb.wikimedia.org/wikipedia/commons/thumb/4/40/Scarlet_basker_%28Urothemis_signata_insignata%29_male.jpg/1280px-Scarlet_basker_%28Urothemis_signata_insignata%29_male.jpg?utm_source=commons.wikimedia.org&amp;utm_campaign=imageinfo&amp;utm_content=thumbnail</x:v>
      </x:c>
      <x:c r="E262" s="117" t="str">
        <x:v>https://commons.wikimedia.org/wiki/File:Scarlet_basker_(Urothemis_signata_insignata)_male.jpg</x:v>
      </x:c>
      <x:c r="F262" s="117" t="str">
        <x:v>File:Scarlet basker (Urothemis signata insignata) male.jpg</x:v>
      </x:c>
      <x:c r="G262" s="117" t="str">
        <x:v>Charles J. Sharp</x:v>
      </x:c>
      <x:c r="H262" s="117" t="str">
        <x:v>CC BY-SA 4.0</x:v>
      </x:c>
      <x:c r="I262" s="117" t="str">
        <x:v>https://creativecommons.org/licenses/by-sa/4.0</x:v>
      </x:c>
      <x:c r="J262" s="117" t="str">
        <x:v>true</x:v>
      </x:c>
      <x:c r="K262" s="117" t="str">
        <x:v>Own work, from Sharp Photography, sharpphotography</x:v>
      </x:c>
      <x:c r="L262" s="117" t="str">
        <x:v>Exact name or all distinctive place-name tokens in file metadata</x:v>
      </x:c>
      <x:c r="M262" s="117" t="str">
        <x:v>Not visually reviewed</x:v>
      </x:c>
      <x:c r="N262" s="117" t="str">
        <x:v>2026-09-08</x:v>
      </x:c>
    </x:row>
    <x:row r="263" ht="48" customHeight="1">
      <x:c r="A263" s="117" t="str">
        <x:v>MC0270</x:v>
      </x:c>
      <x:c r="B263" s="117" t="str">
        <x:v>Rainforest Discovery Centre</x:v>
      </x:c>
      <x:c r="C263" s="117" t="n">
        <x:v>1</x:v>
      </x:c>
      <x:c r="D263" s="117" t="str">
        <x:v>https://thumb.wikimedia.org/wikipedia/commons/thumb/3/32/Rainforest_Discovery_Centre_Sepilok_20190706_154021.jpg/1280px-Rainforest_Discovery_Centre_Sepilok_20190706_154021.jpg?utm_source=commons.wikimedia.org&amp;utm_campaign=imageinfo&amp;utm_content=thumbnail</x:v>
      </x:c>
      <x:c r="E263" s="117" t="str">
        <x:v>https://commons.wikimedia.org/wiki/File:Rainforest_Discovery_Centre_Sepilok_20190706_154021.jpg</x:v>
      </x:c>
      <x:c r="F263" s="117" t="str">
        <x:v>File:Rainforest Discovery Centre Sepilok 20190706 154021.jpg</x:v>
      </x:c>
      <x:c r="G263" s="117" t="str">
        <x:v>Josefito123</x:v>
      </x:c>
      <x:c r="H263" s="117" t="str">
        <x:v>CC BY-SA 4.0</x:v>
      </x:c>
      <x:c r="I263" s="117" t="str">
        <x:v>https://creativecommons.org/licenses/by-sa/4.0</x:v>
      </x:c>
      <x:c r="J263" s="117" t="str">
        <x:v>true</x:v>
      </x:c>
      <x:c r="K263" s="117" t="str">
        <x:v>Own work</x:v>
      </x:c>
      <x:c r="L263" s="117" t="str">
        <x:v>Exact name or all distinctive place-name tokens in file metadata</x:v>
      </x:c>
      <x:c r="M263" s="117" t="str">
        <x:v>Not visually reviewed</x:v>
      </x:c>
      <x:c r="N263" s="117" t="str">
        <x:v>2026-09-08</x:v>
      </x:c>
    </x:row>
    <x:row r="264" ht="48" customHeight="1">
      <x:c r="A264" s="117" t="str">
        <x:v>MC0270</x:v>
      </x:c>
      <x:c r="B264" s="117" t="str">
        <x:v>Rainforest Discovery Centre</x:v>
      </x:c>
      <x:c r="C264" s="117" t="n">
        <x:v>2</x:v>
      </x:c>
      <x:c r="D264" s="117" t="str">
        <x:v>https://thumb.wikimedia.org/wikipedia/commons/thumb/7/7c/Prevost%27s_squirrel_%28Callosciurus_prevostii%29_at_Rainforest_Discovery_Centre_Sepilok%2C_April_2026_01.jpg/1280px-Prevost%27s_squirrel_%28Callosciurus_prevostii%29_at_Rainforest_Discovery_Centre_Sepilok%2C_April_2026_01.jpg?utm_source=commons.wikimedia.org&amp;utm_campaign=imageinfo&amp;utm_content=thumbnail</x:v>
      </x:c>
      <x:c r="E264" s="117" t="str">
        <x:v>https://commons.wikimedia.org/wiki/File:Prevost%27s_squirrel_(Callosciurus_prevostii)_at_Rainforest_Discovery_Centre_Sepilok,_April_2026_01.jpg</x:v>
      </x:c>
      <x:c r="F264" s="117" t="str">
        <x:v>File:Prevost's squirrel (Callosciurus prevostii) at Rainforest Discovery Centre Sepilok, April 2026 01.jpg</x:v>
      </x:c>
      <x:c r="G264" s="117" t="str">
        <x:v>Calistemon</x:v>
      </x:c>
      <x:c r="H264" s="117" t="str">
        <x:v>CC BY-SA 4.0</x:v>
      </x:c>
      <x:c r="I264" s="117" t="str">
        <x:v>https://creativecommons.org/licenses/by-sa/4.0</x:v>
      </x:c>
      <x:c r="J264" s="117" t="str">
        <x:v>true</x:v>
      </x:c>
      <x:c r="K264" s="117" t="str">
        <x:v>Own work</x:v>
      </x:c>
      <x:c r="L264" s="117" t="str">
        <x:v>Exact name or all distinctive place-name tokens in file metadata</x:v>
      </x:c>
      <x:c r="M264" s="117" t="str">
        <x:v>Not visually reviewed</x:v>
      </x:c>
      <x:c r="N264" s="117" t="str">
        <x:v>2026-09-08</x:v>
      </x:c>
    </x:row>
    <x:row r="265" ht="48" customHeight="1">
      <x:c r="A265" s="117" t="str">
        <x:v>MC0271</x:v>
      </x:c>
      <x:c r="B265" s="117" t="str">
        <x:v>Sandakan Memorial Park</x:v>
      </x:c>
      <x:c r="C265" s="117" t="n">
        <x:v>1</x:v>
      </x:c>
      <x:c r="D265" s="117" t="str">
        <x:v>https://thumb.wikimedia.org/wikipedia/commons/thumb/7/71/Sandakan_Sabah_SandakanMemorialPark-01.jpg/1280px-Sandakan_Sabah_SandakanMemorialPark-01.jpg?utm_source=commons.wikimedia.org&amp;utm_campaign=imageinfo&amp;utm_content=thumbnail</x:v>
      </x:c>
      <x:c r="E265" s="117" t="str">
        <x:v>https://commons.wikimedia.org/wiki/File:Sandakan_Sabah_SandakanMemorialPark-01.jpg</x:v>
      </x:c>
      <x:c r="F265" s="117" t="str">
        <x:v>File:Sandakan Sabah SandakanMemorialPark-01.jpg</x:v>
      </x:c>
      <x:c r="G265" s="117" t="str">
        <x:v>CEphoto, Uwe Aranas</x:v>
      </x:c>
      <x:c r="H265" s="117" t="str">
        <x:v>CC BY-SA 3.0</x:v>
      </x:c>
      <x:c r="I265" s="117" t="str">
        <x:v>https://creativecommons.org/licenses/by-sa/3.0</x:v>
      </x:c>
      <x:c r="J265" s="117" t="str">
        <x:v>true</x:v>
      </x:c>
      <x:c r="K265" s="117" t="str">
        <x:v>Own work</x:v>
      </x:c>
      <x:c r="L265" s="117" t="str">
        <x:v>Exact name or all distinctive place-name tokens in file metadata</x:v>
      </x:c>
      <x:c r="M265" s="117" t="str">
        <x:v>Not visually reviewed</x:v>
      </x:c>
      <x:c r="N265" s="117" t="str">
        <x:v>2026-09-08</x:v>
      </x:c>
    </x:row>
    <x:row r="266" ht="48" customHeight="1">
      <x:c r="A266" s="117" t="str">
        <x:v>MC0271</x:v>
      </x:c>
      <x:c r="B266" s="117" t="str">
        <x:v>Sandakan Memorial Park</x:v>
      </x:c>
      <x:c r="C266" s="117" t="n">
        <x:v>2</x:v>
      </x:c>
      <x:c r="D266" s="117" t="str">
        <x:v>https://thumb.wikimedia.org/wikipedia/commons/thumb/9/9e/KWK_Wikiwalk_at_Memorial_Park_Sandakan_25.jpg/1280px-KWK_Wikiwalk_at_Memorial_Park_Sandakan_25.jpg?utm_source=commons.wikimedia.org&amp;utm_campaign=imageinfo&amp;utm_content=thumbnail</x:v>
      </x:c>
      <x:c r="E266" s="117" t="str">
        <x:v>https://commons.wikimedia.org/wiki/File:KWK_Wikiwalk_at_Memorial_Park_Sandakan_25.jpg</x:v>
      </x:c>
      <x:c r="F266" s="117" t="str">
        <x:v>File:KWK Wikiwalk at Memorial Park Sandakan 25.jpg</x:v>
      </x:c>
      <x:c r="G266" s="117" t="str">
        <x:v>Anzellyssa</x:v>
      </x:c>
      <x:c r="H266" s="117" t="str">
        <x:v>CC0</x:v>
      </x:c>
      <x:c r="I266" s="117" t="str">
        <x:v>http://creativecommons.org/publicdomain/zero/1.0/deed.en</x:v>
      </x:c>
      <x:c r="J266" s="117" t="str">
        <x:v>false</x:v>
      </x:c>
      <x:c r="K266" s="117" t="str">
        <x:v>Own work</x:v>
      </x:c>
      <x:c r="L266" s="117" t="str">
        <x:v>Exact name or all distinctive place-name tokens in file metadata</x:v>
      </x:c>
      <x:c r="M266" s="117" t="str">
        <x:v>Not visually reviewed</x:v>
      </x:c>
      <x:c r="N266" s="117" t="str">
        <x:v>2026-09-08</x:v>
      </x:c>
    </x:row>
    <x:row r="267" ht="48" customHeight="1">
      <x:c r="A267" s="117" t="str">
        <x:v>MC0272</x:v>
      </x:c>
      <x:c r="B267" s="117" t="str">
        <x:v>Kinabatangan River</x:v>
      </x:c>
      <x:c r="C267" s="117" t="n">
        <x:v>1</x:v>
      </x:c>
      <x:c r="D267" s="117" t="str">
        <x:v>https://thumb.wikimedia.org/wikipedia/commons/thumb/3/33/Mangrove_snake_%28Boiga_dendrophila%29_at_the_shore_of_the_Kinabatangan_River%2C_April_2025_01.jpg/1280px-Mangrove_snake_%28Boiga_dendrophila%29_at_the_shore_of_the_Kinabatangan_River%2C_April_2025_01.jpg?utm_source=commons.wikimedia.org&amp;utm_campaign=imageinfo&amp;utm_content=thumbnail</x:v>
      </x:c>
      <x:c r="E267" s="117" t="str">
        <x:v>https://commons.wikimedia.org/wiki/File:Mangrove_snake_(Boiga_dendrophila)_at_the_shore_of_the_Kinabatangan_River,_April_2025_01.jpg</x:v>
      </x:c>
      <x:c r="F267" s="117" t="str">
        <x:v>File:Mangrove snake (Boiga dendrophila) at the shore of the Kinabatangan River, April 2025 01.jpg</x:v>
      </x:c>
      <x:c r="G267" s="117" t="str">
        <x:v>Calistemon</x:v>
      </x:c>
      <x:c r="H267" s="117" t="str">
        <x:v>CC BY-SA 4.0</x:v>
      </x:c>
      <x:c r="I267" s="117" t="str">
        <x:v>https://creativecommons.org/licenses/by-sa/4.0</x:v>
      </x:c>
      <x:c r="J267" s="117" t="str">
        <x:v>true</x:v>
      </x:c>
      <x:c r="K267" s="117" t="str">
        <x:v>Own work</x:v>
      </x:c>
      <x:c r="L267" s="117" t="str">
        <x:v>Exact name or all distinctive place-name tokens in file metadata</x:v>
      </x:c>
      <x:c r="M267" s="117" t="str">
        <x:v>Not visually reviewed</x:v>
      </x:c>
      <x:c r="N267" s="117" t="str">
        <x:v>2026-09-08</x:v>
      </x:c>
    </x:row>
    <x:row r="268" ht="48" customHeight="1">
      <x:c r="A268" s="117" t="str">
        <x:v>MC0272</x:v>
      </x:c>
      <x:c r="B268" s="117" t="str">
        <x:v>Kinabatangan River</x:v>
      </x:c>
      <x:c r="C268" s="117" t="n">
        <x:v>2</x:v>
      </x:c>
      <x:c r="D268" s="117" t="str">
        <x:v>https://thumb.wikimedia.org/wikipedia/commons/thumb/0/0b/Mangrove_snake_%28Boiga_dendrophila%29_at_the_shore_of_the_Kinabatangan_River%2C_April_2025_02.jpg/1280px-Mangrove_snake_%28Boiga_dendrophila%29_at_the_shore_of_the_Kinabatangan_River%2C_April_2025_02.jpg?utm_source=commons.wikimedia.org&amp;utm_campaign=imageinfo&amp;utm_content=thumbnail</x:v>
      </x:c>
      <x:c r="E268" s="117" t="str">
        <x:v>https://commons.wikimedia.org/wiki/File:Mangrove_snake_(Boiga_dendrophila)_at_the_shore_of_the_Kinabatangan_River,_April_2025_02.jpg</x:v>
      </x:c>
      <x:c r="F268" s="117" t="str">
        <x:v>File:Mangrove snake (Boiga dendrophila) at the shore of the Kinabatangan River, April 2025 02.jpg</x:v>
      </x:c>
      <x:c r="G268" s="117" t="str">
        <x:v>Calistemon</x:v>
      </x:c>
      <x:c r="H268" s="117" t="str">
        <x:v>CC BY-SA 4.0</x:v>
      </x:c>
      <x:c r="I268" s="117" t="str">
        <x:v>https://creativecommons.org/licenses/by-sa/4.0</x:v>
      </x:c>
      <x:c r="J268" s="117" t="str">
        <x:v>true</x:v>
      </x:c>
      <x:c r="K268" s="117" t="str">
        <x:v>Own work</x:v>
      </x:c>
      <x:c r="L268" s="117" t="str">
        <x:v>Exact name or all distinctive place-name tokens in file metadata</x:v>
      </x:c>
      <x:c r="M268" s="117" t="str">
        <x:v>Not visually reviewed</x:v>
      </x:c>
      <x:c r="N268" s="117" t="str">
        <x:v>2026-09-08</x:v>
      </x:c>
    </x:row>
    <x:row r="269" ht="48" customHeight="1">
      <x:c r="A269" s="117" t="str">
        <x:v>MC0273</x:v>
      </x:c>
      <x:c r="B269" s="117" t="str">
        <x:v>Tabin Wildlife Reserve</x:v>
      </x:c>
      <x:c r="C269" s="117" t="n">
        <x:v>1</x:v>
      </x:c>
      <x:c r="D269" s="117" t="str">
        <x:v>https://thumb.wikimedia.org/wikipedia/commons/thumb/f/f5/Tabin_Wildlife_Reserve_%2814839986368%29.jpg/1280px-Tabin_Wildlife_Reserve_%2814839986368%29.jpg?utm_source=commons.wikimedia.org&amp;utm_campaign=imageinfo&amp;utm_content=thumbnail</x:v>
      </x:c>
      <x:c r="E269" s="117" t="str">
        <x:v>https://commons.wikimedia.org/wiki/File:Tabin_Wildlife_Reserve_(14839986368).jpg</x:v>
      </x:c>
      <x:c r="F269" s="117" t="str">
        <x:v>File:Tabin Wildlife Reserve (14839986368).jpg</x:v>
      </x:c>
      <x:c r="G269" s="117" t="str">
        <x:v>Mike Prince from Bangalore, India</x:v>
      </x:c>
      <x:c r="H269" s="117" t="str">
        <x:v>CC BY 2.0</x:v>
      </x:c>
      <x:c r="I269" s="117" t="str">
        <x:v>https://creativecommons.org/licenses/by/2.0</x:v>
      </x:c>
      <x:c r="J269" s="117" t="str">
        <x:v>true</x:v>
      </x:c>
      <x:c r="K269" s="117" t="str">
        <x:v>Tabin Wildlife Reserve</x:v>
      </x:c>
      <x:c r="L269" s="117" t="str">
        <x:v>Exact name or all distinctive place-name tokens in file metadata</x:v>
      </x:c>
      <x:c r="M269" s="117" t="str">
        <x:v>Not visually reviewed</x:v>
      </x:c>
      <x:c r="N269" s="117" t="str">
        <x:v>2026-09-08</x:v>
      </x:c>
    </x:row>
    <x:row r="270" ht="48" customHeight="1">
      <x:c r="A270" s="117" t="str">
        <x:v>MC0273</x:v>
      </x:c>
      <x:c r="B270" s="117" t="str">
        <x:v>Tabin Wildlife Reserve</x:v>
      </x:c>
      <x:c r="C270" s="117" t="n">
        <x:v>2</x:v>
      </x:c>
      <x:c r="D270" s="117" t="str">
        <x:v>https://thumb.wikimedia.org/wikipedia/commons/thumb/9/99/Leopard_Cat_%2814839635578%29.jpg/1280px-Leopard_Cat_%2814839635578%29.jpg?utm_source=commons.wikimedia.org&amp;utm_campaign=imageinfo&amp;utm_content=thumbnail</x:v>
      </x:c>
      <x:c r="E270" s="117" t="str">
        <x:v>https://commons.wikimedia.org/wiki/File:Leopard_Cat_(14839635578).jpg</x:v>
      </x:c>
      <x:c r="F270" s="117" t="str">
        <x:v>File:Leopard Cat (14839635578).jpg</x:v>
      </x:c>
      <x:c r="G270" s="117" t="str">
        <x:v>Mike Prince from Bangalore, India</x:v>
      </x:c>
      <x:c r="H270" s="117" t="str">
        <x:v>CC BY 2.0</x:v>
      </x:c>
      <x:c r="I270" s="117" t="str">
        <x:v>https://creativecommons.org/licenses/by/2.0</x:v>
      </x:c>
      <x:c r="J270" s="117" t="str">
        <x:v>true</x:v>
      </x:c>
      <x:c r="K270" s="117" t="str">
        <x:v>Leopard Cat</x:v>
      </x:c>
      <x:c r="L270" s="117" t="str">
        <x:v>Exact name or all distinctive place-name tokens in file metadata</x:v>
      </x:c>
      <x:c r="M270" s="117" t="str">
        <x:v>Not visually reviewed</x:v>
      </x:c>
      <x:c r="N270" s="117" t="str">
        <x:v>2026-09-08</x:v>
      </x:c>
    </x:row>
    <x:row r="271" ht="48" customHeight="1">
      <x:c r="A271" s="117" t="str">
        <x:v>MC0275</x:v>
      </x:c>
      <x:c r="B271" s="117" t="str">
        <x:v>Tawau Hills Park</x:v>
      </x:c>
      <x:c r="C271" s="117" t="n">
        <x:v>1</x:v>
      </x:c>
      <x:c r="D271" s="117" t="str">
        <x:v>https://thumb.wikimedia.org/wikipedia/commons/thumb/e/e5/Table_Waterfall_at_Tawau_Hills_Park_-_panoramio.jpg/1280px-Table_Waterfall_at_Tawau_Hills_Park_-_panoramio.jpg?utm_source=commons.wikimedia.org&amp;utm_campaign=imageinfo&amp;utm_content=thumbnail</x:v>
      </x:c>
      <x:c r="E271" s="117" t="str">
        <x:v>https://commons.wikimedia.org/wiki/File:Table_Waterfall_at_Tawau_Hills_Park_-_panoramio.jpg</x:v>
      </x:c>
      <x:c r="F271" s="117" t="str">
        <x:v>File:Table Waterfall at Tawau Hills Park - panoramio.jpg</x:v>
      </x:c>
      <x:c r="G271" s="117" t="str">
        <x:v>Annette Teng</x:v>
      </x:c>
      <x:c r="H271" s="117" t="str">
        <x:v>CC BY 3.0</x:v>
      </x:c>
      <x:c r="I271" s="117" t="str">
        <x:v>https://creativecommons.org/licenses/by/3.0</x:v>
      </x:c>
      <x:c r="J271" s="117" t="str">
        <x:v>true</x:v>
      </x:c>
      <x:c r="K271" s="117" t="str">
        <x:v>https://web.archive.org/web/20161028220956/http://www.panoramio.com/photo/98222695</x:v>
      </x:c>
      <x:c r="L271" s="117" t="str">
        <x:v>Exact name or all distinctive place-name tokens in file metadata</x:v>
      </x:c>
      <x:c r="M271" s="117" t="str">
        <x:v>Not visually reviewed</x:v>
      </x:c>
      <x:c r="N271" s="117" t="str">
        <x:v>2026-09-08</x:v>
      </x:c>
    </x:row>
    <x:row r="272" ht="48" customHeight="1">
      <x:c r="A272" s="117" t="str">
        <x:v>MC0275</x:v>
      </x:c>
      <x:c r="B272" s="117" t="str">
        <x:v>Tawau Hills Park</x:v>
      </x:c>
      <x:c r="C272" s="117" t="n">
        <x:v>2</x:v>
      </x:c>
      <x:c r="D272" s="117" t="str">
        <x:v>https://thumb.wikimedia.org/wikipedia/commons/thumb/a/ae/2014-01-28_Podoserpula_D.A._Reid_426854.jpg/1280px-2014-01-28_Podoserpula_D.A._Reid_426854.jpg?utm_source=commons.wikimedia.org&amp;utm_campaign=imageinfo&amp;utm_content=thumbnail</x:v>
      </x:c>
      <x:c r="E272" s="117" t="str">
        <x:v>https://commons.wikimedia.org/wiki/File:2014-01-28_Podoserpula_D.A._Reid_426854.jpg</x:v>
      </x:c>
      <x:c r="F272" s="117" t="str">
        <x:v>File:2014-01-28 Podoserpula D.A. Reid 426854.jpg</x:v>
      </x:c>
      <x:c r="G272" s="117" t="str">
        <x:v>This image was created by user dandoucette (travellerdan) at Mushroom Observer, a source for mycological images.You can contact this user here.</x:v>
      </x:c>
      <x:c r="H272" s="117" t="str">
        <x:v>CC BY-SA 3.0</x:v>
      </x:c>
      <x:c r="I272" s="117" t="str">
        <x:v>https://creativecommons.org/licenses/by-sa/3.0</x:v>
      </x:c>
      <x:c r="J272" s="117" t="str">
        <x:v>true</x:v>
      </x:c>
      <x:c r="K272" s="117" t="str">
        <x:v>This image is Image Number 426854 at Mushroom Observer, a source for mycological images.</x:v>
      </x:c>
      <x:c r="L272" s="117" t="str">
        <x:v>Exact name or all distinctive place-name tokens in file metadata</x:v>
      </x:c>
      <x:c r="M272" s="117" t="str">
        <x:v>Not visually reviewed</x:v>
      </x:c>
      <x:c r="N272" s="117" t="str">
        <x:v>2026-09-08</x:v>
      </x:c>
    </x:row>
    <x:row r="273" ht="48" customHeight="1">
      <x:c r="A273" s="117" t="str">
        <x:v>MC0277</x:v>
      </x:c>
      <x:c r="B273" s="117" t="str">
        <x:v>Batu Sumpah Keningau</x:v>
      </x:c>
      <x:c r="C273" s="117" t="n">
        <x:v>1</x:v>
      </x:c>
      <x:c r="D273" s="117" t="str">
        <x:v>https://thumb.wikimedia.org/wikipedia/commons/thumb/5/5b/Keningau_Sabah_BatuSumpahKeningau-01.jpg/1280px-Keningau_Sabah_BatuSumpahKeningau-01.jpg?utm_source=commons.wikimedia.org&amp;utm_campaign=imageinfo&amp;utm_content=thumbnail</x:v>
      </x:c>
      <x:c r="E273" s="117" t="str">
        <x:v>https://commons.wikimedia.org/wiki/File:Keningau_Sabah_BatuSumpahKeningau-01.jpg</x:v>
      </x:c>
      <x:c r="F273" s="117" t="str">
        <x:v>File:Keningau Sabah BatuSumpahKeningau-01.jpg</x:v>
      </x:c>
      <x:c r="G273" s="117" t="str">
        <x:v>CEphoto, Uwe Aranas</x:v>
      </x:c>
      <x:c r="H273" s="117" t="str">
        <x:v>CC BY-SA 3.0</x:v>
      </x:c>
      <x:c r="I273" s="117" t="str">
        <x:v>https://creativecommons.org/licenses/by-sa/3.0</x:v>
      </x:c>
      <x:c r="J273" s="117" t="str">
        <x:v>true</x:v>
      </x:c>
      <x:c r="K273" s="117" t="str">
        <x:v>Own work</x:v>
      </x:c>
      <x:c r="L273" s="117" t="str">
        <x:v>Exact name or all distinctive place-name tokens in file metadata</x:v>
      </x:c>
      <x:c r="M273" s="117" t="str">
        <x:v>Not visually reviewed</x:v>
      </x:c>
      <x:c r="N273" s="117" t="str">
        <x:v>2026-09-08</x:v>
      </x:c>
    </x:row>
    <x:row r="274" ht="48" customHeight="1">
      <x:c r="A274" s="117" t="str">
        <x:v>MC0277</x:v>
      </x:c>
      <x:c r="B274" s="117" t="str">
        <x:v>Batu Sumpah Keningau</x:v>
      </x:c>
      <x:c r="C274" s="117" t="n">
        <x:v>2</x:v>
      </x:c>
      <x:c r="D274" s="117" t="str">
        <x:v>https://thumb.wikimedia.org/wikipedia/commons/thumb/1/1c/Keningau_Sabah_BatuSumpahKeningau-02.jpg/1280px-Keningau_Sabah_BatuSumpahKeningau-02.jpg?utm_source=commons.wikimedia.org&amp;utm_campaign=imageinfo&amp;utm_content=thumbnail</x:v>
      </x:c>
      <x:c r="E274" s="117" t="str">
        <x:v>https://commons.wikimedia.org/wiki/File:Keningau_Sabah_BatuSumpahKeningau-02.jpg</x:v>
      </x:c>
      <x:c r="F274" s="117" t="str">
        <x:v>File:Keningau Sabah BatuSumpahKeningau-02.jpg</x:v>
      </x:c>
      <x:c r="G274" s="117" t="str">
        <x:v>CEphoto, Uwe Aranas</x:v>
      </x:c>
      <x:c r="H274" s="117" t="str">
        <x:v>CC BY-SA 3.0</x:v>
      </x:c>
      <x:c r="I274" s="117" t="str">
        <x:v>https://creativecommons.org/licenses/by-sa/3.0</x:v>
      </x:c>
      <x:c r="J274" s="117" t="str">
        <x:v>true</x:v>
      </x:c>
      <x:c r="K274" s="117" t="str">
        <x:v>Own work</x:v>
      </x:c>
      <x:c r="L274" s="117" t="str">
        <x:v>Exact name or all distinctive place-name tokens in file metadata</x:v>
      </x:c>
      <x:c r="M274" s="117" t="str">
        <x:v>Not visually reviewed</x:v>
      </x:c>
      <x:c r="N274" s="117" t="str">
        <x:v>2026-09-08</x:v>
      </x:c>
    </x:row>
    <x:row r="275" ht="48" customHeight="1">
      <x:c r="A275" s="117" t="str">
        <x:v>MC0278</x:v>
      </x:c>
      <x:c r="B275" s="117" t="str">
        <x:v>Bako National Park</x:v>
      </x:c>
      <x:c r="C275" s="117" t="n">
        <x:v>1</x:v>
      </x:c>
      <x:c r="D275" s="117" t="str">
        <x:v>https://thumb.wikimedia.org/wikipedia/commons/thumb/5/5b/797_-_Bako_NationalparkPANORAMA.JPG/1280px-797_-_Bako_NationalparkPANORAMA.JPG?utm_source=commons.wikimedia.org&amp;utm_campaign=imageinfo&amp;utm_content=thumbnail</x:v>
      </x:c>
      <x:c r="E275" s="117" t="str">
        <x:v>https://commons.wikimedia.org/wiki/File:797_-_Bako_NationalparkPANORAMA.JPG</x:v>
      </x:c>
      <x:c r="F275" s="117" t="str">
        <x:v>File:797 - Bako NationalparkPANORAMA.JPG</x:v>
      </x:c>
      <x:c r="G275" s="117" t="str">
        <x:v>Huettepe</x:v>
      </x:c>
      <x:c r="H275" s="117" t="str">
        <x:v>CC BY-SA 3.0 de</x:v>
      </x:c>
      <x:c r="I275" s="117" t="str">
        <x:v>https://creativecommons.org/licenses/by-sa/3.0/de/deed.en</x:v>
      </x:c>
      <x:c r="J275" s="117" t="str">
        <x:v>true</x:v>
      </x:c>
      <x:c r="K275" s="117" t="str">
        <x:v>Own work</x:v>
      </x:c>
      <x:c r="L275" s="117" t="str">
        <x:v>Exact name or all distinctive place-name tokens in file metadata</x:v>
      </x:c>
      <x:c r="M275" s="117" t="str">
        <x:v>Not visually reviewed</x:v>
      </x:c>
      <x:c r="N275" s="117" t="str">
        <x:v>2026-09-08</x:v>
      </x:c>
    </x:row>
    <x:row r="276" ht="48" customHeight="1">
      <x:c r="A276" s="117" t="str">
        <x:v>MC0278</x:v>
      </x:c>
      <x:c r="B276" s="117" t="str">
        <x:v>Bako National Park</x:v>
      </x:c>
      <x:c r="C276" s="117" t="n">
        <x:v>2</x:v>
      </x:c>
      <x:c r="D276" s="117" t="str">
        <x:v>https://thumb.wikimedia.org/wikipedia/commons/thumb/2/26/Bako_NP.jpg/1280px-Bako_NP.jpg?utm_source=commons.wikimedia.org&amp;utm_campaign=imageinfo&amp;utm_content=thumbnail</x:v>
      </x:c>
      <x:c r="E276" s="117" t="str">
        <x:v>https://commons.wikimedia.org/wiki/File:Bako_NP.jpg</x:v>
      </x:c>
      <x:c r="F276" s="117" t="str">
        <x:v>File:Bako NP.jpg</x:v>
      </x:c>
      <x:c r="G276" s="117" t="str">
        <x:v>Mgiganteus1 at English Wikipedia</x:v>
      </x:c>
      <x:c r="H276" s="117" t="str">
        <x:v>Public domain</x:v>
      </x:c>
      <x:c r="I276" s="117" t="str"/>
      <x:c r="J276" s="117" t="str">
        <x:v>false</x:v>
      </x:c>
      <x:c r="K276" s="117" t="str">
        <x:v>Transferred from en.wikipedia to Commons.</x:v>
      </x:c>
      <x:c r="L276" s="117" t="str">
        <x:v>Exact name or all distinctive place-name tokens in file metadata</x:v>
      </x:c>
      <x:c r="M276" s="117" t="str">
        <x:v>Not visually reviewed</x:v>
      </x:c>
      <x:c r="N276" s="117" t="str">
        <x:v>2026-09-08</x:v>
      </x:c>
    </x:row>
    <x:row r="277" ht="48" customHeight="1">
      <x:c r="A277" s="117" t="str">
        <x:v>MC0279</x:v>
      </x:c>
      <x:c r="B277" s="117" t="str">
        <x:v>Gunung Mulu National Park</x:v>
      </x:c>
      <x:c r="C277" s="117" t="n">
        <x:v>1</x:v>
      </x:c>
      <x:c r="D277" s="117" t="str">
        <x:v>https://thumb.wikimedia.org/wikipedia/commons/thumb/5/55/Mulu_Pinnacles.jpg/1280px-Mulu_Pinnacles.jpg?utm_source=commons.wikimedia.org&amp;utm_campaign=imageinfo&amp;utm_content=thumbnail</x:v>
      </x:c>
      <x:c r="E277" s="117" t="str">
        <x:v>https://commons.wikimedia.org/wiki/File:Mulu_Pinnacles.jpg</x:v>
      </x:c>
      <x:c r="F277" s="117" t="str">
        <x:v>File:Mulu Pinnacles.jpg</x:v>
      </x:c>
      <x:c r="G277" s="117" t="str">
        <x:v>Nur Nafis Naim</x:v>
      </x:c>
      <x:c r="H277" s="117" t="str">
        <x:v>CC BY-SA 4.0</x:v>
      </x:c>
      <x:c r="I277" s="117" t="str">
        <x:v>https://creativecommons.org/licenses/by-sa/4.0</x:v>
      </x:c>
      <x:c r="J277" s="117" t="str">
        <x:v>true</x:v>
      </x:c>
      <x:c r="K277" s="117" t="str">
        <x:v>Own work</x:v>
      </x:c>
      <x:c r="L277" s="117" t="str">
        <x:v>Exact name or all distinctive place-name tokens in file metadata</x:v>
      </x:c>
      <x:c r="M277" s="117" t="str">
        <x:v>Not visually reviewed</x:v>
      </x:c>
      <x:c r="N277" s="117" t="str">
        <x:v>2026-09-08</x:v>
      </x:c>
    </x:row>
    <x:row r="278" ht="48" customHeight="1">
      <x:c r="A278" s="117" t="str">
        <x:v>MC0279</x:v>
      </x:c>
      <x:c r="B278" s="117" t="str">
        <x:v>Gunung Mulu National Park</x:v>
      </x:c>
      <x:c r="C278" s="117" t="n">
        <x:v>2</x:v>
      </x:c>
      <x:c r="D278" s="117" t="str">
        <x:v>https://upload.wikimedia.org/wikipedia/commons/6/6e/Mulu.JPG?utm_source=commons.wikimedia.org&amp;utm_campaign=imageinfo&amp;utm_content=thumbnail_unscaled</x:v>
      </x:c>
      <x:c r="E278" s="117" t="str">
        <x:v>https://commons.wikimedia.org/wiki/File:Mulu.JPG</x:v>
      </x:c>
      <x:c r="F278" s="117" t="str">
        <x:v>File:Mulu.JPG</x:v>
      </x:c>
      <x:c r="G278" s="117" t="str">
        <x:v>Juanita at the Japanese wikpedia</x:v>
      </x:c>
      <x:c r="H278" s="117" t="str">
        <x:v>CC BY-SA 3.0</x:v>
      </x:c>
      <x:c r="I278" s="117" t="str">
        <x:v>http://creativecommons.org/licenses/by-sa/3.0/</x:v>
      </x:c>
      <x:c r="J278" s="117" t="str">
        <x:v>true</x:v>
      </x:c>
      <x:c r="K278" s="117" t="str">
        <x:v>Japanese wikipedia</x:v>
      </x:c>
      <x:c r="L278" s="117" t="str">
        <x:v>Exact name or all distinctive place-name tokens in file metadata</x:v>
      </x:c>
      <x:c r="M278" s="117" t="str">
        <x:v>Not visually reviewed</x:v>
      </x:c>
      <x:c r="N278" s="117" t="str">
        <x:v>2026-09-08</x:v>
      </x:c>
    </x:row>
    <x:row r="279" ht="48" customHeight="1">
      <x:c r="A279" s="117" t="str">
        <x:v>MC0282</x:v>
      </x:c>
      <x:c r="B279" s="117" t="str">
        <x:v>Kuching Waterfront</x:v>
      </x:c>
      <x:c r="C279" s="117" t="n">
        <x:v>1</x:v>
      </x:c>
      <x:c r="D279" s="117" t="str">
        <x:v>https://thumb.wikimedia.org/wikipedia/commons/thumb/5/51/View_of_Kuching_waterfront_from_Fort_Margherita.jpg/1280px-View_of_Kuching_waterfront_from_Fort_Margherita.jpg?utm_source=commons.wikimedia.org&amp;utm_campaign=imageinfo&amp;utm_content=thumbnail</x:v>
      </x:c>
      <x:c r="E279" s="117" t="str">
        <x:v>https://commons.wikimedia.org/wiki/File:View_of_Kuching_waterfront_from_Fort_Margherita.jpg</x:v>
      </x:c>
      <x:c r="F279" s="117" t="str">
        <x:v>File:View of Kuching waterfront from Fort Margherita.jpg</x:v>
      </x:c>
      <x:c r="G279" s="117" t="str">
        <x:v>Cerevisae</x:v>
      </x:c>
      <x:c r="H279" s="117" t="str">
        <x:v>CC BY-SA 4.0</x:v>
      </x:c>
      <x:c r="I279" s="117" t="str">
        <x:v>https://creativecommons.org/licenses/by-sa/4.0</x:v>
      </x:c>
      <x:c r="J279" s="117" t="str">
        <x:v>true</x:v>
      </x:c>
      <x:c r="K279" s="117" t="str">
        <x:v>Own work</x:v>
      </x:c>
      <x:c r="L279" s="117" t="str">
        <x:v>Exact name or all distinctive place-name tokens in file metadata</x:v>
      </x:c>
      <x:c r="M279" s="117" t="str">
        <x:v>Not visually reviewed</x:v>
      </x:c>
      <x:c r="N279" s="117" t="str">
        <x:v>2026-09-08</x:v>
      </x:c>
    </x:row>
    <x:row r="280" ht="48" customHeight="1">
      <x:c r="A280" s="117" t="str">
        <x:v>MC0283</x:v>
      </x:c>
      <x:c r="B280" s="117" t="str">
        <x:v>Fort Margherita</x:v>
      </x:c>
      <x:c r="C280" s="117" t="n">
        <x:v>1</x:v>
      </x:c>
      <x:c r="D280" s="117" t="str">
        <x:v>https://thumb.wikimedia.org/wikipedia/commons/thumb/4/4f/FortMargheritaTower.jpg/1280px-FortMargheritaTower.jpg?utm_source=commons.wikimedia.org&amp;utm_campaign=imageinfo&amp;utm_content=thumbnail</x:v>
      </x:c>
      <x:c r="E280" s="117" t="str">
        <x:v>https://commons.wikimedia.org/wiki/File:FortMargheritaTower.jpg</x:v>
      </x:c>
      <x:c r="F280" s="117" t="str">
        <x:v>File:FortMargheritaTower.jpg</x:v>
      </x:c>
      <x:c r="G280" s="117" t="str">
        <x:v>Mattun0211</x:v>
      </x:c>
      <x:c r="H280" s="117" t="str">
        <x:v>CC0</x:v>
      </x:c>
      <x:c r="I280" s="117" t="str">
        <x:v>http://creativecommons.org/publicdomain/zero/1.0/deed.en</x:v>
      </x:c>
      <x:c r="J280" s="117" t="str">
        <x:v>false</x:v>
      </x:c>
      <x:c r="K280" s="117" t="str">
        <x:v>Own work</x:v>
      </x:c>
      <x:c r="L280" s="117" t="str">
        <x:v>Exact name or all distinctive place-name tokens in file metadata</x:v>
      </x:c>
      <x:c r="M280" s="117" t="str">
        <x:v>Not visually reviewed</x:v>
      </x:c>
      <x:c r="N280" s="117" t="str">
        <x:v>2026-09-08</x:v>
      </x:c>
    </x:row>
    <x:row r="281" ht="48" customHeight="1">
      <x:c r="A281" s="117" t="str">
        <x:v>MC0283</x:v>
      </x:c>
      <x:c r="B281" s="117" t="str">
        <x:v>Fort Margherita</x:v>
      </x:c>
      <x:c r="C281" s="117" t="n">
        <x:v>2</x:v>
      </x:c>
      <x:c r="D281" s="117" t="str">
        <x:v>https://thumb.wikimedia.org/wikipedia/commons/thumb/8/89/View_from_inside_Fort_Margherita.jpg/1280px-View_from_inside_Fort_Margherita.jpg?utm_source=commons.wikimedia.org&amp;utm_campaign=imageinfo&amp;utm_content=thumbnail</x:v>
      </x:c>
      <x:c r="E281" s="117" t="str">
        <x:v>https://commons.wikimedia.org/wiki/File:View_from_inside_Fort_Margherita.jpg</x:v>
      </x:c>
      <x:c r="F281" s="117" t="str">
        <x:v>File:View from inside Fort Margherita.jpg</x:v>
      </x:c>
      <x:c r="G281" s="117" t="str">
        <x:v>Ashkho</x:v>
      </x:c>
      <x:c r="H281" s="117" t="str">
        <x:v>CC BY-SA 4.0</x:v>
      </x:c>
      <x:c r="I281" s="117" t="str">
        <x:v>https://creativecommons.org/licenses/by-sa/4.0</x:v>
      </x:c>
      <x:c r="J281" s="117" t="str">
        <x:v>true</x:v>
      </x:c>
      <x:c r="K281" s="117" t="str">
        <x:v>Own work</x:v>
      </x:c>
      <x:c r="L281" s="117" t="str">
        <x:v>Exact name or all distinctive place-name tokens in file metadata</x:v>
      </x:c>
      <x:c r="M281" s="117" t="str">
        <x:v>Not visually reviewed</x:v>
      </x:c>
      <x:c r="N281" s="117" t="str">
        <x:v>2026-09-08</x:v>
      </x:c>
    </x:row>
    <x:row r="282" ht="48" customHeight="1">
      <x:c r="A282" s="117" t="str">
        <x:v>MC0284</x:v>
      </x:c>
      <x:c r="B282" s="117" t="str">
        <x:v>Niah National Park</x:v>
      </x:c>
      <x:c r="C282" s="117" t="n">
        <x:v>1</x:v>
      </x:c>
      <x:c r="D282" s="117" t="str">
        <x:v>https://thumb.wikimedia.org/wikipedia/commons/thumb/7/72/The_Great_Cave_of_Niah.jpg/1280px-The_Great_Cave_of_Niah.jpg?utm_source=commons.wikimedia.org&amp;utm_campaign=imageinfo&amp;utm_content=thumbnail</x:v>
      </x:c>
      <x:c r="E282" s="117" t="str">
        <x:v>https://commons.wikimedia.org/wiki/File:The_Great_Cave_of_Niah.jpg</x:v>
      </x:c>
      <x:c r="F282" s="117" t="str">
        <x:v>File:The Great Cave of Niah.jpg</x:v>
      </x:c>
      <x:c r="G282" s="117" t="str">
        <x:v>Nur Nafis Naim</x:v>
      </x:c>
      <x:c r="H282" s="117" t="str">
        <x:v>CC BY-SA 4.0</x:v>
      </x:c>
      <x:c r="I282" s="117" t="str">
        <x:v>https://creativecommons.org/licenses/by-sa/4.0</x:v>
      </x:c>
      <x:c r="J282" s="117" t="str">
        <x:v>true</x:v>
      </x:c>
      <x:c r="K282" s="117" t="str">
        <x:v>Own work</x:v>
      </x:c>
      <x:c r="L282" s="117" t="str">
        <x:v>Exact name or all distinctive place-name tokens in file metadata</x:v>
      </x:c>
      <x:c r="M282" s="117" t="str">
        <x:v>Not visually reviewed</x:v>
      </x:c>
      <x:c r="N282" s="117" t="str">
        <x:v>2026-09-08</x:v>
      </x:c>
    </x:row>
    <x:row r="283" ht="48" customHeight="1">
      <x:c r="A283" s="117" t="str">
        <x:v>MC0285</x:v>
      </x:c>
      <x:c r="B283" s="117" t="str">
        <x:v>Kubah National Park</x:v>
      </x:c>
      <x:c r="C283" s="117" t="n">
        <x:v>1</x:v>
      </x:c>
      <x:c r="D283" s="117" t="str">
        <x:v>https://thumb.wikimedia.org/wikipedia/commons/thumb/f/fc/Kubah_waterafall_at_morning.jpg/1280px-Kubah_waterafall_at_morning.jpg?utm_source=commons.wikimedia.org&amp;utm_campaign=imageinfo&amp;utm_content=thumbnail</x:v>
      </x:c>
      <x:c r="E283" s="117" t="str">
        <x:v>https://commons.wikimedia.org/wiki/File:Kubah_waterafall_at_morning.jpg</x:v>
      </x:c>
      <x:c r="F283" s="117" t="str">
        <x:v>File:Kubah waterafall at morning.jpg</x:v>
      </x:c>
      <x:c r="G283" s="117" t="str">
        <x:v>KelvinToh</x:v>
      </x:c>
      <x:c r="H283" s="117" t="str">
        <x:v>CC BY-SA 4.0</x:v>
      </x:c>
      <x:c r="I283" s="117" t="str">
        <x:v>https://creativecommons.org/licenses/by-sa/4.0</x:v>
      </x:c>
      <x:c r="J283" s="117" t="str">
        <x:v>true</x:v>
      </x:c>
      <x:c r="K283" s="117" t="str">
        <x:v>Own work</x:v>
      </x:c>
      <x:c r="L283" s="117" t="str">
        <x:v>Exact name or all distinctive place-name tokens in file metadata</x:v>
      </x:c>
      <x:c r="M283" s="117" t="str">
        <x:v>Not visually reviewed</x:v>
      </x:c>
      <x:c r="N283" s="117" t="str">
        <x:v>2026-09-08</x:v>
      </x:c>
    </x:row>
    <x:row r="284" ht="48" customHeight="1">
      <x:c r="A284" s="117" t="str">
        <x:v>MC0285</x:v>
      </x:c>
      <x:c r="B284" s="117" t="str">
        <x:v>Kubah National Park</x:v>
      </x:c>
      <x:c r="C284" s="117" t="n">
        <x:v>2</x:v>
      </x:c>
      <x:c r="D284" s="117" t="str">
        <x:v>https://thumb.wikimedia.org/wikipedia/commons/thumb/0/03/Kubah_National_Park%2C_Kuching_4.jpg/1280px-Kubah_National_Park%2C_Kuching_4.jpg?utm_source=commons.wikimedia.org&amp;utm_campaign=imageinfo&amp;utm_content=thumbnail</x:v>
      </x:c>
      <x:c r="E284" s="117" t="str">
        <x:v>https://commons.wikimedia.org/wiki/File:Kubah_National_Park,_Kuching_4.jpg</x:v>
      </x:c>
      <x:c r="F284" s="117" t="str">
        <x:v>File:Kubah National Park, Kuching 4.jpg</x:v>
      </x:c>
      <x:c r="G284" s="117" t="str">
        <x:v>Angeline Ting</x:v>
      </x:c>
      <x:c r="H284" s="117" t="str">
        <x:v>CC BY-SA 4.0</x:v>
      </x:c>
      <x:c r="I284" s="117" t="str">
        <x:v>https://creativecommons.org/licenses/by-sa/4.0</x:v>
      </x:c>
      <x:c r="J284" s="117" t="str">
        <x:v>true</x:v>
      </x:c>
      <x:c r="K284" s="117" t="str">
        <x:v>Own work</x:v>
      </x:c>
      <x:c r="L284" s="117" t="str">
        <x:v>Exact name or all distinctive place-name tokens in file metadata</x:v>
      </x:c>
      <x:c r="M284" s="117" t="str">
        <x:v>Not visually reviewed</x:v>
      </x:c>
      <x:c r="N284" s="117" t="str">
        <x:v>2026-09-08</x:v>
      </x:c>
    </x:row>
    <x:row r="285" ht="48" customHeight="1">
      <x:c r="A285" s="117" t="str">
        <x:v>MC0286</x:v>
      </x:c>
      <x:c r="B285" s="117" t="str">
        <x:v>Fairy Cave</x:v>
      </x:c>
      <x:c r="C285" s="117" t="n">
        <x:v>1</x:v>
      </x:c>
      <x:c r="D285" s="117" t="str">
        <x:v>https://upload.wikimedia.org/wikipedia/commons/7/7d/Fairycavequarry.jpg?utm_source=commons.wikimedia.org&amp;utm_campaign=imageinfo&amp;utm_content=thumbnail_unscaled</x:v>
      </x:c>
      <x:c r="E285" s="117" t="str">
        <x:v>https://commons.wikimedia.org/wiki/File:Fairycavequarry.jpg</x:v>
      </x:c>
      <x:c r="F285" s="117" t="str">
        <x:v>File:Fairycavequarry.jpg</x:v>
      </x:c>
      <x:c r="G285" s="117" t="str">
        <x:v>Doug Lee</x:v>
      </x:c>
      <x:c r="H285" s="117" t="str">
        <x:v>CC BY-SA 2.0</x:v>
      </x:c>
      <x:c r="I285" s="117" t="str">
        <x:v>https://creativecommons.org/licenses/by-sa/2.0</x:v>
      </x:c>
      <x:c r="J285" s="117" t="str">
        <x:v>true</x:v>
      </x:c>
      <x:c r="K285" s="117" t="str">
        <x:v>From geograph.org.uk</x:v>
      </x:c>
      <x:c r="L285" s="117" t="str">
        <x:v>Exact name or all distinctive place-name tokens in file metadata</x:v>
      </x:c>
      <x:c r="M285" s="117" t="str">
        <x:v>Not visually reviewed</x:v>
      </x:c>
      <x:c r="N285" s="117" t="str">
        <x:v>2026-09-08</x:v>
      </x:c>
    </x:row>
    <x:row r="286" ht="48" customHeight="1">
      <x:c r="A286" s="117" t="str">
        <x:v>MC0286</x:v>
      </x:c>
      <x:c r="B286" s="117" t="str">
        <x:v>Fairy Cave</x:v>
      </x:c>
      <x:c r="C286" s="117" t="n">
        <x:v>2</x:v>
      </x:c>
      <x:c r="D286" s="117" t="str">
        <x:v>https://thumb.wikimedia.org/wikipedia/commons/thumb/5/59/2022_Keelung_Fairy_Cave_TAIWAN.jpg/1280px-2022_Keelung_Fairy_Cave_TAIWAN.jpg?utm_source=commons.wikimedia.org&amp;utm_campaign=imageinfo&amp;utm_content=thumbnail</x:v>
      </x:c>
      <x:c r="E286" s="117" t="str">
        <x:v>https://commons.wikimedia.org/wiki/File:2022_Keelung_Fairy_Cave_TAIWAN.jpg</x:v>
      </x:c>
      <x:c r="F286" s="117" t="str">
        <x:v>File:2022 Keelung Fairy Cave TAIWAN.jpg</x:v>
      </x:c>
      <x:c r="G286" s="117" t="str">
        <x:v>Taiwankengo</x:v>
      </x:c>
      <x:c r="H286" s="117" t="str">
        <x:v>CC BY-SA 4.0</x:v>
      </x:c>
      <x:c r="I286" s="117" t="str">
        <x:v>https://creativecommons.org/licenses/by-sa/4.0</x:v>
      </x:c>
      <x:c r="J286" s="117" t="str">
        <x:v>true</x:v>
      </x:c>
      <x:c r="K286" s="117" t="str">
        <x:v>Own work</x:v>
      </x:c>
      <x:c r="L286" s="117" t="str">
        <x:v>Exact name or all distinctive place-name tokens in file metadata</x:v>
      </x:c>
      <x:c r="M286" s="117" t="str">
        <x:v>Not visually reviewed</x:v>
      </x:c>
      <x:c r="N286" s="117" t="str">
        <x:v>2026-09-08</x:v>
      </x:c>
    </x:row>
    <x:row r="287" ht="48" customHeight="1">
      <x:c r="A287" s="117" t="str">
        <x:v>MC0287</x:v>
      </x:c>
      <x:c r="B287" s="117" t="str">
        <x:v>Cat Museum</x:v>
      </x:c>
      <x:c r="C287" s="117" t="n">
        <x:v>1</x:v>
      </x:c>
      <x:c r="D287" s="117" t="str">
        <x:v>https://thumb.wikimedia.org/wikipedia/commons/thumb/1/17/The_Cat_Museum%2C_Singapore_-_20150103-05.jpg/1280px-The_Cat_Museum%2C_Singapore_-_20150103-05.jpg?utm_source=commons.wikimedia.org&amp;utm_campaign=imageinfo&amp;utm_content=thumbnail</x:v>
      </x:c>
      <x:c r="E287" s="117" t="str">
        <x:v>https://commons.wikimedia.org/wiki/File:The_Cat_Museum,_Singapore_-_20150103-05.jpg</x:v>
      </x:c>
      <x:c r="F287" s="117" t="str">
        <x:v>File:The Cat Museum, Singapore - 20150103-05.jpg</x:v>
      </x:c>
      <x:c r="G287" s="117" t="str">
        <x:v>Jacklee</x:v>
      </x:c>
      <x:c r="H287" s="117" t="str">
        <x:v>CC BY-SA 4.0</x:v>
      </x:c>
      <x:c r="I287" s="117" t="str">
        <x:v>https://creativecommons.org/licenses/by-sa/4.0</x:v>
      </x:c>
      <x:c r="J287" s="117" t="str">
        <x:v>true</x:v>
      </x:c>
      <x:c r="K287" s="117" t="str">
        <x:v>Own work</x:v>
      </x:c>
      <x:c r="L287" s="117" t="str">
        <x:v>Exact name or all distinctive place-name tokens in file metadata</x:v>
      </x:c>
      <x:c r="M287" s="117" t="str">
        <x:v>Not visually reviewed</x:v>
      </x:c>
      <x:c r="N287" s="117" t="str">
        <x:v>2026-09-08</x:v>
      </x:c>
    </x:row>
    <x:row r="288" ht="48" customHeight="1">
      <x:c r="A288" s="117" t="str">
        <x:v>MC0287</x:v>
      </x:c>
      <x:c r="B288" s="117" t="str">
        <x:v>Cat Museum</x:v>
      </x:c>
      <x:c r="C288" s="117" t="n">
        <x:v>2</x:v>
      </x:c>
      <x:c r="D288" s="117" t="str">
        <x:v>https://thumb.wikimedia.org/wikipedia/commons/thumb/b/b7/The_Cat_Museum%2C_Singapore_-_20150103-09.jpg/1280px-The_Cat_Museum%2C_Singapore_-_20150103-09.jpg?utm_source=commons.wikimedia.org&amp;utm_campaign=imageinfo&amp;utm_content=thumbnail</x:v>
      </x:c>
      <x:c r="E288" s="117" t="str">
        <x:v>https://commons.wikimedia.org/wiki/File:The_Cat_Museum,_Singapore_-_20150103-09.jpg</x:v>
      </x:c>
      <x:c r="F288" s="117" t="str">
        <x:v>File:The Cat Museum, Singapore - 20150103-09.jpg</x:v>
      </x:c>
      <x:c r="G288" s="117" t="str">
        <x:v>Jacklee</x:v>
      </x:c>
      <x:c r="H288" s="117" t="str">
        <x:v>CC BY-SA 4.0</x:v>
      </x:c>
      <x:c r="I288" s="117" t="str">
        <x:v>https://creativecommons.org/licenses/by-sa/4.0</x:v>
      </x:c>
      <x:c r="J288" s="117" t="str">
        <x:v>true</x:v>
      </x:c>
      <x:c r="K288" s="117" t="str">
        <x:v>Own work</x:v>
      </x:c>
      <x:c r="L288" s="117" t="str">
        <x:v>Exact name or all distinctive place-name tokens in file metadata</x:v>
      </x:c>
      <x:c r="M288" s="117" t="str">
        <x:v>Not visually reviewed</x:v>
      </x:c>
      <x:c r="N288" s="117" t="str">
        <x:v>2026-09-08</x:v>
      </x:c>
    </x:row>
    <x:row r="289" ht="48" customHeight="1">
      <x:c r="A289" s="117" t="str">
        <x:v>MC0289</x:v>
      </x:c>
      <x:c r="B289" s="117" t="str">
        <x:v>Darul Hana Bridge</x:v>
      </x:c>
      <x:c r="C289" s="117" t="n">
        <x:v>1</x:v>
      </x:c>
      <x:c r="D289" s="117" t="str">
        <x:v>https://thumb.wikimedia.org/wikipedia/commons/thumb/f/fb/Darul_Hana_Bridge%2C_Kuching%2C_Sarawak.jpg/1280px-Darul_Hana_Bridge%2C_Kuching%2C_Sarawak.jpg?utm_source=commons.wikimedia.org&amp;utm_campaign=imageinfo&amp;utm_content=thumbnail</x:v>
      </x:c>
      <x:c r="E289" s="117" t="str">
        <x:v>https://commons.wikimedia.org/wiki/File:Darul_Hana_Bridge,_Kuching,_Sarawak.jpg</x:v>
      </x:c>
      <x:c r="F289" s="117" t="str">
        <x:v>File:Darul Hana Bridge, Kuching, Sarawak.jpg</x:v>
      </x:c>
      <x:c r="G289" s="117" t="str">
        <x:v>Fabio Achilli from Milano, Italy</x:v>
      </x:c>
      <x:c r="H289" s="117" t="str">
        <x:v>CC BY 2.0</x:v>
      </x:c>
      <x:c r="I289" s="117" t="str">
        <x:v>https://creativecommons.org/licenses/by/2.0</x:v>
      </x:c>
      <x:c r="J289" s="117" t="str">
        <x:v>true</x:v>
      </x:c>
      <x:c r="K289" s="117" t="str">
        <x:v>Darul Hana Bridge, Kuching, Sarawak</x:v>
      </x:c>
      <x:c r="L289" s="117" t="str">
        <x:v>Exact name or all distinctive place-name tokens in file metadata</x:v>
      </x:c>
      <x:c r="M289" s="117" t="str">
        <x:v>Not visually reviewed</x:v>
      </x:c>
      <x:c r="N289" s="117" t="str">
        <x:v>2026-09-08</x:v>
      </x:c>
    </x:row>
    <x:row r="290" ht="48" customHeight="1">
      <x:c r="A290" s="117" t="str">
        <x:v>MC0289</x:v>
      </x:c>
      <x:c r="B290" s="117" t="str">
        <x:v>Darul Hana Bridge</x:v>
      </x:c>
      <x:c r="C290" s="117" t="n">
        <x:v>2</x:v>
      </x:c>
      <x:c r="D290" s="117" t="str">
        <x:v>https://thumb.wikimedia.org/wikipedia/commons/thumb/e/e4/New_Sarawak_State_Legislative_Assembly_Building_from_Darul_Hana_Bridge%2C_Kuching%2C_Sarawak_%2843429289374%29.jpg/1280px-New_Sarawak_State_Legislative_Assembly_Building_from_Darul_Hana_Bridge%2C_Kuching%2C_Sarawak_%2843429289374%29.jpg?utm_source=commons.wikimedia.org&amp;utm_campaign=imageinfo&amp;utm_content=thumbnail</x:v>
      </x:c>
      <x:c r="E290" s="117" t="str">
        <x:v>https://commons.wikimedia.org/wiki/File:New_Sarawak_State_Legislative_Assembly_Building_from_Darul_Hana_Bridge,_Kuching,_Sarawak_(43429289374).jpg</x:v>
      </x:c>
      <x:c r="F290" s="117" t="str">
        <x:v>File:New Sarawak State Legislative Assembly Building from Darul Hana Bridge, Kuching, Sarawak (43429289374).jpg</x:v>
      </x:c>
      <x:c r="G290" s="117" t="str">
        <x:v>Fabio Achilli from Milano, Italy</x:v>
      </x:c>
      <x:c r="H290" s="117" t="str">
        <x:v>CC BY 2.0</x:v>
      </x:c>
      <x:c r="I290" s="117" t="str">
        <x:v>https://creativecommons.org/licenses/by/2.0</x:v>
      </x:c>
      <x:c r="J290" s="117" t="str">
        <x:v>true</x:v>
      </x:c>
      <x:c r="K290" s="117" t="str">
        <x:v>New Sarawak State Legislative Assembly Building from Darul Hana Bridge, Kuching, Sarawak</x:v>
      </x:c>
      <x:c r="L290" s="117" t="str">
        <x:v>Exact name or all distinctive place-name tokens in file metadata</x:v>
      </x:c>
      <x:c r="M290" s="117" t="str">
        <x:v>Not visually reviewed</x:v>
      </x:c>
      <x:c r="N290" s="117" t="str">
        <x:v>2026-09-08</x:v>
      </x:c>
    </x:row>
    <x:row r="291" ht="48" customHeight="1">
      <x:c r="A291" s="117" t="str">
        <x:v>MC0291</x:v>
      </x:c>
      <x:c r="B291" s="117" t="str">
        <x:v>Main Bazaar</x:v>
      </x:c>
      <x:c r="C291" s="117" t="n">
        <x:v>1</x:v>
      </x:c>
      <x:c r="D291" s="117" t="str">
        <x:v>https://thumb.wikimedia.org/wikipedia/commons/thumb/c/c4/Main_Bazaar%2C_Paharganj_2%2C_Delhi%2C_India.jpg/1280px-Main_Bazaar%2C_Paharganj_2%2C_Delhi%2C_India.jpg?utm_source=commons.wikimedia.org&amp;utm_campaign=imageinfo&amp;utm_content=thumbnail</x:v>
      </x:c>
      <x:c r="E291" s="117" t="str">
        <x:v>https://commons.wikimedia.org/wiki/File:Main_Bazaar,_Paharganj_2,_Delhi,_India.jpg</x:v>
      </x:c>
      <x:c r="F291" s="117" t="str">
        <x:v>File:Main Bazaar, Paharganj 2, Delhi, India.jpg</x:v>
      </x:c>
      <x:c r="G291" s="117" t="str">
        <x:v>Vyacheslav Argenberg</x:v>
      </x:c>
      <x:c r="H291" s="117" t="str">
        <x:v>CC BY 4.0</x:v>
      </x:c>
      <x:c r="I291" s="117" t="str">
        <x:v>https://creativecommons.org/licenses/by/4.0</x:v>
      </x:c>
      <x:c r="J291" s="117" t="str">
        <x:v>true</x:v>
      </x:c>
      <x:c r="K291" s="117" t="str">
        <x:v>Own work</x:v>
      </x:c>
      <x:c r="L291" s="117" t="str">
        <x:v>Exact name or all distinctive place-name tokens in file metadata</x:v>
      </x:c>
      <x:c r="M291" s="117" t="str">
        <x:v>Not visually reviewed</x:v>
      </x:c>
      <x:c r="N291" s="117" t="str">
        <x:v>2026-09-08</x:v>
      </x:c>
    </x:row>
    <x:row r="292" ht="48" customHeight="1">
      <x:c r="A292" s="117" t="str">
        <x:v>MC0291</x:v>
      </x:c>
      <x:c r="B292" s="117" t="str">
        <x:v>Main Bazaar</x:v>
      </x:c>
      <x:c r="C292" s="117" t="n">
        <x:v>2</x:v>
      </x:c>
      <x:c r="D292" s="117" t="str">
        <x:v>https://thumb.wikimedia.org/wikipedia/commons/thumb/3/3b/Main_Bazaar%2C_Paharganj%2C_Delhi%2C_India.jpg/1280px-Main_Bazaar%2C_Paharganj%2C_Delhi%2C_India.jpg?utm_source=commons.wikimedia.org&amp;utm_campaign=imageinfo&amp;utm_content=thumbnail</x:v>
      </x:c>
      <x:c r="E292" s="117" t="str">
        <x:v>https://commons.wikimedia.org/wiki/File:Main_Bazaar,_Paharganj,_Delhi,_India.jpg</x:v>
      </x:c>
      <x:c r="F292" s="117" t="str">
        <x:v>File:Main Bazaar, Paharganj, Delhi, India.jpg</x:v>
      </x:c>
      <x:c r="G292" s="117" t="str">
        <x:v>Vyacheslav Argenberg</x:v>
      </x:c>
      <x:c r="H292" s="117" t="str">
        <x:v>CC BY 4.0</x:v>
      </x:c>
      <x:c r="I292" s="117" t="str">
        <x:v>https://creativecommons.org/licenses/by/4.0</x:v>
      </x:c>
      <x:c r="J292" s="117" t="str">
        <x:v>true</x:v>
      </x:c>
      <x:c r="K292" s="117" t="str">
        <x:v>Own work</x:v>
      </x:c>
      <x:c r="L292" s="117" t="str">
        <x:v>Exact name or all distinctive place-name tokens in file metadata</x:v>
      </x:c>
      <x:c r="M292" s="117" t="str">
        <x:v>Not visually reviewed</x:v>
      </x:c>
      <x:c r="N292" s="117" t="str">
        <x:v>2026-09-08</x:v>
      </x:c>
    </x:row>
    <x:row r="293" ht="48" customHeight="1">
      <x:c r="A293" s="117" t="str">
        <x:v>MC0292</x:v>
      </x:c>
      <x:c r="B293" s="117" t="str">
        <x:v>Damai Beach</x:v>
      </x:c>
      <x:c r="C293" s="117" t="n">
        <x:v>1</x:v>
      </x:c>
      <x:c r="D293" s="117" t="str">
        <x:v>https://thumb.wikimedia.org/wikipedia/commons/thumb/6/66/Jumping_Spider_%28Hasarius_adansoni%29_male_%2823917485572%29.jpg/1280px-Jumping_Spider_%28Hasarius_adansoni%29_male_%2823917485572%29.jpg?utm_source=commons.wikimedia.org&amp;utm_campaign=imageinfo&amp;utm_content=thumbnail</x:v>
      </x:c>
      <x:c r="E293" s="117" t="str">
        <x:v>https://commons.wikimedia.org/wiki/File:Jumping_Spider_(Hasarius_adansoni)_male_(23917485572).jpg</x:v>
      </x:c>
      <x:c r="F293" s="117" t="str">
        <x:v>File:Jumping Spider (Hasarius adansoni) male (23917485572).jpg</x:v>
      </x:c>
      <x:c r="G293" s="117" t="str">
        <x:v>Bernard DUPONT from FRANCE</x:v>
      </x:c>
      <x:c r="H293" s="117" t="str">
        <x:v>CC BY-SA 2.0</x:v>
      </x:c>
      <x:c r="I293" s="117" t="str">
        <x:v>https://creativecommons.org/licenses/by-sa/2.0</x:v>
      </x:c>
      <x:c r="J293" s="117" t="str">
        <x:v>true</x:v>
      </x:c>
      <x:c r="K293" s="117" t="str">
        <x:v>Jumping Spider (Hasarius adansoni) male</x:v>
      </x:c>
      <x:c r="L293" s="117" t="str">
        <x:v>Exact name or all distinctive place-name tokens in file metadata</x:v>
      </x:c>
      <x:c r="M293" s="117" t="str">
        <x:v>Not visually reviewed</x:v>
      </x:c>
      <x:c r="N293" s="117" t="str">
        <x:v>2026-09-08</x:v>
      </x:c>
    </x:row>
    <x:row r="294" ht="48" customHeight="1">
      <x:c r="A294" s="117" t="str">
        <x:v>MC0292</x:v>
      </x:c>
      <x:c r="B294" s="117" t="str">
        <x:v>Damai Beach</x:v>
      </x:c>
      <x:c r="C294" s="117" t="n">
        <x:v>2</x:v>
      </x:c>
      <x:c r="D294" s="117" t="str">
        <x:v>https://thumb.wikimedia.org/wikipedia/commons/thumb/0/04/Cicada_%28Id_%3F%29_%2823578563499%29.jpg/1280px-Cicada_%28Id_%3F%29_%2823578563499%29.jpg?utm_source=commons.wikimedia.org&amp;utm_campaign=imageinfo&amp;utm_content=thumbnail</x:v>
      </x:c>
      <x:c r="E294" s="117" t="str">
        <x:v>https://commons.wikimedia.org/wiki/File:Cicada_(Id_%3F)_(23578563499).jpg</x:v>
      </x:c>
      <x:c r="F294" s="117" t="str">
        <x:v>File:Cicada (Id ?) (23578563499).jpg</x:v>
      </x:c>
      <x:c r="G294" s="117" t="str">
        <x:v>Bernard DUPONT from FRANCE</x:v>
      </x:c>
      <x:c r="H294" s="117" t="str">
        <x:v>CC BY-SA 2.0</x:v>
      </x:c>
      <x:c r="I294" s="117" t="str">
        <x:v>https://creativecommons.org/licenses/by-sa/2.0</x:v>
      </x:c>
      <x:c r="J294" s="117" t="str">
        <x:v>true</x:v>
      </x:c>
      <x:c r="K294" s="117" t="str">
        <x:v>Cicada (Id ?)</x:v>
      </x:c>
      <x:c r="L294" s="117" t="str">
        <x:v>Exact name or all distinctive place-name tokens in file metadata</x:v>
      </x:c>
      <x:c r="M294" s="117" t="str">
        <x:v>Not visually reviewed</x:v>
      </x:c>
      <x:c r="N294" s="117" t="str">
        <x:v>2026-09-08</x:v>
      </x:c>
    </x:row>
    <x:row r="295" ht="48" customHeight="1">
      <x:c r="A295" s="117" t="str">
        <x:v>MC0293</x:v>
      </x:c>
      <x:c r="B295" s="117" t="str">
        <x:v>Fairy Cave Nature Reserve</x:v>
      </x:c>
      <x:c r="C295" s="117" t="n">
        <x:v>1</x:v>
      </x:c>
      <x:c r="D295" s="117" t="str">
        <x:v>https://upload.wikimedia.org/wikipedia/commons/7/7d/Fairycavequarry.jpg?utm_source=commons.wikimedia.org&amp;utm_campaign=imageinfo&amp;utm_content=thumbnail_unscaled</x:v>
      </x:c>
      <x:c r="E295" s="117" t="str">
        <x:v>https://commons.wikimedia.org/wiki/File:Fairycavequarry.jpg</x:v>
      </x:c>
      <x:c r="F295" s="117" t="str">
        <x:v>File:Fairycavequarry.jpg</x:v>
      </x:c>
      <x:c r="G295" s="117" t="str">
        <x:v>Doug Lee</x:v>
      </x:c>
      <x:c r="H295" s="117" t="str">
        <x:v>CC BY-SA 2.0</x:v>
      </x:c>
      <x:c r="I295" s="117" t="str">
        <x:v>https://creativecommons.org/licenses/by-sa/2.0</x:v>
      </x:c>
      <x:c r="J295" s="117" t="str">
        <x:v>true</x:v>
      </x:c>
      <x:c r="K295" s="117" t="str">
        <x:v>From geograph.org.uk</x:v>
      </x:c>
      <x:c r="L295" s="117" t="str">
        <x:v>Exact name or all distinctive place-name tokens in file metadata</x:v>
      </x:c>
      <x:c r="M295" s="117" t="str">
        <x:v>Not visually reviewed</x:v>
      </x:c>
      <x:c r="N295" s="117" t="str">
        <x:v>2026-09-08</x:v>
      </x:c>
    </x:row>
    <x:row r="296" ht="48" customHeight="1">
      <x:c r="A296" s="117" t="str">
        <x:v>MC0293</x:v>
      </x:c>
      <x:c r="B296" s="117" t="str">
        <x:v>Fairy Cave Nature Reserve</x:v>
      </x:c>
      <x:c r="C296" s="117" t="n">
        <x:v>2</x:v>
      </x:c>
      <x:c r="D296" s="117" t="str">
        <x:v>https://thumb.wikimedia.org/wikipedia/commons/thumb/5/59/2022_Keelung_Fairy_Cave_TAIWAN.jpg/1280px-2022_Keelung_Fairy_Cave_TAIWAN.jpg?utm_source=commons.wikimedia.org&amp;utm_campaign=imageinfo&amp;utm_content=thumbnail</x:v>
      </x:c>
      <x:c r="E296" s="117" t="str">
        <x:v>https://commons.wikimedia.org/wiki/File:2022_Keelung_Fairy_Cave_TAIWAN.jpg</x:v>
      </x:c>
      <x:c r="F296" s="117" t="str">
        <x:v>File:2022 Keelung Fairy Cave TAIWAN.jpg</x:v>
      </x:c>
      <x:c r="G296" s="117" t="str">
        <x:v>Taiwankengo</x:v>
      </x:c>
      <x:c r="H296" s="117" t="str">
        <x:v>CC BY-SA 4.0</x:v>
      </x:c>
      <x:c r="I296" s="117" t="str">
        <x:v>https://creativecommons.org/licenses/by-sa/4.0</x:v>
      </x:c>
      <x:c r="J296" s="117" t="str">
        <x:v>true</x:v>
      </x:c>
      <x:c r="K296" s="117" t="str">
        <x:v>Own work</x:v>
      </x:c>
      <x:c r="L296" s="117" t="str">
        <x:v>Exact name or all distinctive place-name tokens in file metadata</x:v>
      </x:c>
      <x:c r="M296" s="117" t="str">
        <x:v>Not visually reviewed</x:v>
      </x:c>
      <x:c r="N296" s="117" t="str">
        <x:v>2026-09-08</x:v>
      </x:c>
    </x:row>
    <x:row r="297" ht="48" customHeight="1">
      <x:c r="A297" s="117" t="str">
        <x:v>MC0296</x:v>
      </x:c>
      <x:c r="B297" s="117" t="str">
        <x:v>Gunung Gading National Park</x:v>
      </x:c>
      <x:c r="C297" s="117" t="n">
        <x:v>1</x:v>
      </x:c>
      <x:c r="D297" s="117" t="str">
        <x:v>https://thumb.wikimedia.org/wikipedia/commons/thumb/1/14/Waterfall_in_Mt_Gading_NP_-_panoramio.jpg/1280px-Waterfall_in_Mt_Gading_NP_-_panoramio.jpg?utm_source=commons.wikimedia.org&amp;utm_campaign=imageinfo&amp;utm_content=thumbnail</x:v>
      </x:c>
      <x:c r="E297" s="117" t="str">
        <x:v>https://commons.wikimedia.org/wiki/File:Waterfall_in_Mt_Gading_NP_-_panoramio.jpg</x:v>
      </x:c>
      <x:c r="F297" s="117" t="str">
        <x:v>File:Waterfall in Mt Gading NP - panoramio.jpg</x:v>
      </x:c>
      <x:c r="G297" s="117" t="str">
        <x:v>Annette Teng</x:v>
      </x:c>
      <x:c r="H297" s="117" t="str">
        <x:v>CC BY 3.0</x:v>
      </x:c>
      <x:c r="I297" s="117" t="str">
        <x:v>https://creativecommons.org/licenses/by/3.0</x:v>
      </x:c>
      <x:c r="J297" s="117" t="str">
        <x:v>true</x:v>
      </x:c>
      <x:c r="K297" s="117" t="str">
        <x:v>https://www.panoramio.com/photo/97360844</x:v>
      </x:c>
      <x:c r="L297" s="117" t="str">
        <x:v>Exact name or all distinctive place-name tokens in file metadata</x:v>
      </x:c>
      <x:c r="M297" s="117" t="str">
        <x:v>Not visually reviewed</x:v>
      </x:c>
      <x:c r="N297" s="117" t="str">
        <x:v>2026-09-08</x:v>
      </x:c>
    </x:row>
    <x:row r="298" ht="48" customHeight="1">
      <x:c r="A298" s="117" t="str">
        <x:v>MC0296</x:v>
      </x:c>
      <x:c r="B298" s="117" t="str">
        <x:v>Gunung Gading National Park</x:v>
      </x:c>
      <x:c r="C298" s="117" t="n">
        <x:v>2</x:v>
      </x:c>
      <x:c r="D298" s="117" t="str">
        <x:v>https://thumb.wikimedia.org/wikipedia/commons/thumb/7/7c/Tree_on_a_rock_during_the_waterfall_trail.jpg/1280px-Tree_on_a_rock_during_the_waterfall_trail.jpg?utm_source=commons.wikimedia.org&amp;utm_campaign=imageinfo&amp;utm_content=thumbnail</x:v>
      </x:c>
      <x:c r="E298" s="117" t="str">
        <x:v>https://commons.wikimedia.org/wiki/File:Tree_on_a_rock_during_the_waterfall_trail.jpg</x:v>
      </x:c>
      <x:c r="F298" s="117" t="str">
        <x:v>File:Tree on a rock during the waterfall trail.jpg</x:v>
      </x:c>
      <x:c r="G298" s="117" t="str">
        <x:v>Cerevisae</x:v>
      </x:c>
      <x:c r="H298" s="117" t="str">
        <x:v>CC BY-SA 4.0</x:v>
      </x:c>
      <x:c r="I298" s="117" t="str">
        <x:v>https://creativecommons.org/licenses/by-sa/4.0</x:v>
      </x:c>
      <x:c r="J298" s="117" t="str">
        <x:v>true</x:v>
      </x:c>
      <x:c r="K298" s="117" t="str">
        <x:v>Own work</x:v>
      </x:c>
      <x:c r="L298" s="117" t="str">
        <x:v>Exact name or all distinctive place-name tokens in file metadata</x:v>
      </x:c>
      <x:c r="M298" s="117" t="str">
        <x:v>Not visually reviewed</x:v>
      </x:c>
      <x:c r="N298" s="117" t="str">
        <x:v>2026-09-08</x:v>
      </x:c>
    </x:row>
    <x:row r="299" ht="48" customHeight="1">
      <x:c r="A299" s="117" t="str">
        <x:v>MC0298</x:v>
      </x:c>
      <x:c r="B299" s="117" t="str">
        <x:v>Batang Ai National Park</x:v>
      </x:c>
      <x:c r="C299" s="117" t="n">
        <x:v>1</x:v>
      </x:c>
      <x:c r="D299" s="117" t="str">
        <x:v>https://thumb.wikimedia.org/wikipedia/commons/thumb/c/cf/011173_00001_Langboote_der_Iban.jpg/1280px-011173_00001_Langboote_der_Iban.jpg?utm_source=commons.wikimedia.org&amp;utm_campaign=imageinfo&amp;utm_content=thumbnail</x:v>
      </x:c>
      <x:c r="E299" s="117" t="str">
        <x:v>https://commons.wikimedia.org/wiki/File:011173_00001_Langboote_der_Iban.jpg</x:v>
      </x:c>
      <x:c r="F299" s="117" t="str">
        <x:v>File:011173 00001 Langboote der Iban.jpg</x:v>
      </x:c>
      <x:c r="G299" s="117" t="str">
        <x:v>Matthias Bethke</x:v>
      </x:c>
      <x:c r="H299" s="117" t="str">
        <x:v>CC BY-SA 4.0</x:v>
      </x:c>
      <x:c r="I299" s="117" t="str">
        <x:v>https://creativecommons.org/licenses/by-sa/4.0</x:v>
      </x:c>
      <x:c r="J299" s="117" t="str">
        <x:v>true</x:v>
      </x:c>
      <x:c r="K299" s="117" t="str">
        <x:v>Own work</x:v>
      </x:c>
      <x:c r="L299" s="117" t="str">
        <x:v>Exact name or all distinctive place-name tokens in file metadata</x:v>
      </x:c>
      <x:c r="M299" s="117" t="str">
        <x:v>Not visually reviewed</x:v>
      </x:c>
      <x:c r="N299" s="117" t="str">
        <x:v>2026-09-08</x:v>
      </x:c>
    </x:row>
    <x:row r="300" ht="48" customHeight="1">
      <x:c r="A300" s="117" t="str">
        <x:v>MC0298</x:v>
      </x:c>
      <x:c r="B300" s="117" t="str">
        <x:v>Batang Ai National Park</x:v>
      </x:c>
      <x:c r="C300" s="117" t="n">
        <x:v>2</x:v>
      </x:c>
      <x:c r="D300" s="117" t="str">
        <x:v>https://thumb.wikimedia.org/wikipedia/commons/thumb/0/00/011118_Langhouse_der_Iban_im_Batang_Ai_National_Park_%28Borneo%29.jpg/1280px-011118_Langhouse_der_Iban_im_Batang_Ai_National_Park_%28Borneo%29.jpg?utm_source=commons.wikimedia.org&amp;utm_campaign=imageinfo&amp;utm_content=thumbnail</x:v>
      </x:c>
      <x:c r="E300" s="117" t="str">
        <x:v>https://commons.wikimedia.org/wiki/File:011118_Langhouse_der_Iban_im_Batang_Ai_National_Park_(Borneo).jpg</x:v>
      </x:c>
      <x:c r="F300" s="117" t="str">
        <x:v>File:011118 Langhouse der Iban im Batang Ai National Park (Borneo).jpg</x:v>
      </x:c>
      <x:c r="G300" s="117" t="str">
        <x:v>Matthias Bethke</x:v>
      </x:c>
      <x:c r="H300" s="117" t="str">
        <x:v>CC BY-SA 4.0</x:v>
      </x:c>
      <x:c r="I300" s="117" t="str">
        <x:v>https://creativecommons.org/licenses/by-sa/4.0</x:v>
      </x:c>
      <x:c r="J300" s="117" t="str">
        <x:v>true</x:v>
      </x:c>
      <x:c r="K300" s="117" t="str">
        <x:v>Own work</x:v>
      </x:c>
      <x:c r="L300" s="117" t="str">
        <x:v>Exact name or all distinctive place-name tokens in file metadata</x:v>
      </x:c>
      <x:c r="M300" s="117" t="str">
        <x:v>Not visually reviewed</x:v>
      </x:c>
      <x:c r="N300" s="117" t="str">
        <x:v>2026-09-08</x:v>
      </x:c>
    </x:row>
    <x:row r="301" ht="48" customHeight="1">
      <x:c r="A301" s="117" t="str">
        <x:v>MC0299</x:v>
      </x:c>
      <x:c r="B301" s="117" t="str">
        <x:v>Fort Alice</x:v>
      </x:c>
      <x:c r="C301" s="117" t="n">
        <x:v>1</x:v>
      </x:c>
      <x:c r="D301" s="117" t="str">
        <x:v>https://upload.wikimedia.org/wikipedia/commons/6/62/Fort_Alice.jpg?utm_source=commons.wikimedia.org&amp;utm_campaign=imageinfo&amp;utm_content=thumbnail_unscaled</x:v>
      </x:c>
      <x:c r="E301" s="117" t="str">
        <x:v>https://commons.wikimedia.org/wiki/File:Fort_Alice.jpg</x:v>
      </x:c>
      <x:c r="F301" s="117" t="str">
        <x:v>File:Fort Alice.jpg</x:v>
      </x:c>
      <x:c r="G301" s="117" t="str">
        <x:v>Woodosan</x:v>
      </x:c>
      <x:c r="H301" s="117" t="str">
        <x:v>Public domain</x:v>
      </x:c>
      <x:c r="I301" s="117" t="str"/>
      <x:c r="J301" s="117" t="str">
        <x:v>false</x:v>
      </x:c>
      <x:c r="K301" s="117" t="str">
        <x:v>Own work</x:v>
      </x:c>
      <x:c r="L301" s="117" t="str">
        <x:v>Exact name or all distinctive place-name tokens in file metadata</x:v>
      </x:c>
      <x:c r="M301" s="117" t="str">
        <x:v>Not visually reviewed</x:v>
      </x:c>
      <x:c r="N301" s="117" t="str">
        <x:v>2026-09-08</x:v>
      </x:c>
    </x:row>
    <x:row r="302" ht="48" customHeight="1">
      <x:c r="A302" s="117" t="str">
        <x:v>MC0299</x:v>
      </x:c>
      <x:c r="B302" s="117" t="str">
        <x:v>Fort Alice</x:v>
      </x:c>
      <x:c r="C302" s="117" t="n">
        <x:v>2</x:v>
      </x:c>
      <x:c r="D302" s="117" t="str">
        <x:v>https://thumb.wikimedia.org/wikipedia/commons/thumb/4/4a/The_newly_restored_Fort_Alice.jpg/1280px-The_newly_restored_Fort_Alice.jpg?utm_source=commons.wikimedia.org&amp;utm_campaign=imageinfo&amp;utm_content=thumbnail</x:v>
      </x:c>
      <x:c r="E302" s="117" t="str">
        <x:v>https://commons.wikimedia.org/wiki/File:The_newly_restored_Fort_Alice.jpg</x:v>
      </x:c>
      <x:c r="F302" s="117" t="str">
        <x:v>File:The newly restored Fort Alice.jpg</x:v>
      </x:c>
      <x:c r="G302" s="117" t="str">
        <x:v>Akml5599</x:v>
      </x:c>
      <x:c r="H302" s="117" t="str">
        <x:v>CC BY-SA 4.0</x:v>
      </x:c>
      <x:c r="I302" s="117" t="str">
        <x:v>https://creativecommons.org/licenses/by-sa/4.0</x:v>
      </x:c>
      <x:c r="J302" s="117" t="str">
        <x:v>true</x:v>
      </x:c>
      <x:c r="K302" s="117" t="str">
        <x:v>Own work</x:v>
      </x:c>
      <x:c r="L302" s="117" t="str">
        <x:v>Exact name or all distinctive place-name tokens in file metadata</x:v>
      </x:c>
      <x:c r="M302" s="117" t="str">
        <x:v>Not visually reviewed</x:v>
      </x:c>
      <x:c r="N302" s="117" t="str">
        <x:v>2026-09-08</x:v>
      </x:c>
    </x:row>
    <x:row r="303" ht="48" customHeight="1">
      <x:c r="A303" s="117" t="str">
        <x:v>MC0300</x:v>
      </x:c>
      <x:c r="B303" s="117" t="str">
        <x:v>Sibu Central Market</x:v>
      </x:c>
      <x:c r="C303" s="117" t="n">
        <x:v>1</x:v>
      </x:c>
      <x:c r="D303" s="117" t="str">
        <x:v>https://thumb.wikimedia.org/wikipedia/commons/thumb/5/5b/Sibu_Central_Market_%28230924-0816%29.jpg/1280px-Sibu_Central_Market_%28230924-0816%29.jpg?utm_source=commons.wikimedia.org&amp;utm_campaign=imageinfo&amp;utm_content=thumbnail</x:v>
      </x:c>
      <x:c r="E303" s="117" t="str">
        <x:v>https://commons.wikimedia.org/wiki/File:Sibu_Central_Market_(230924-0816).jpg</x:v>
      </x:c>
      <x:c r="F303" s="117" t="str">
        <x:v>File:Sibu Central Market (230924-0816).jpg</x:v>
      </x:c>
      <x:c r="G303" s="117" t="str">
        <x:v>Wee Hong</x:v>
      </x:c>
      <x:c r="H303" s="117" t="str">
        <x:v>CC BY-SA 4.0</x:v>
      </x:c>
      <x:c r="I303" s="117" t="str">
        <x:v>https://creativecommons.org/licenses/by-sa/4.0</x:v>
      </x:c>
      <x:c r="J303" s="117" t="str">
        <x:v>true</x:v>
      </x:c>
      <x:c r="K303" s="117" t="str">
        <x:v>Own work</x:v>
      </x:c>
      <x:c r="L303" s="117" t="str">
        <x:v>Exact name or all distinctive place-name tokens in file metadata</x:v>
      </x:c>
      <x:c r="M303" s="117" t="str">
        <x:v>Not visually reviewed</x:v>
      </x:c>
      <x:c r="N303" s="117" t="str">
        <x:v>2026-09-08</x:v>
      </x:c>
    </x:row>
    <x:row r="304" ht="48" customHeight="1">
      <x:c r="A304" s="117" t="str">
        <x:v>MC0300</x:v>
      </x:c>
      <x:c r="B304" s="117" t="str">
        <x:v>Sibu Central Market</x:v>
      </x:c>
      <x:c r="C304" s="117" t="n">
        <x:v>2</x:v>
      </x:c>
      <x:c r="D304" s="117" t="str">
        <x:v>https://thumb.wikimedia.org/wikipedia/commons/thumb/f/f0/Sibu_Market_-_panoramio.jpg/1280px-Sibu_Market_-_panoramio.jpg?utm_source=commons.wikimedia.org&amp;utm_campaign=imageinfo&amp;utm_content=thumbnail</x:v>
      </x:c>
      <x:c r="E304" s="117" t="str">
        <x:v>https://commons.wikimedia.org/wiki/File:Sibu_Market_-_panoramio.jpg</x:v>
      </x:c>
      <x:c r="F304" s="117" t="str">
        <x:v>File:Sibu Market - panoramio.jpg</x:v>
      </x:c>
      <x:c r="G304" s="117" t="str">
        <x:v>Annette Teng</x:v>
      </x:c>
      <x:c r="H304" s="117" t="str">
        <x:v>CC BY 3.0</x:v>
      </x:c>
      <x:c r="I304" s="117" t="str">
        <x:v>https://creativecommons.org/licenses/by/3.0</x:v>
      </x:c>
      <x:c r="J304" s="117" t="str">
        <x:v>true</x:v>
      </x:c>
      <x:c r="K304" s="117" t="str">
        <x:v>https://web.archive.org/web/20161030041306/http://www.panoramio.com/photo/97594193</x:v>
      </x:c>
      <x:c r="L304" s="117" t="str">
        <x:v>Exact name or all distinctive place-name tokens in file metadata</x:v>
      </x:c>
      <x:c r="M304" s="117" t="str">
        <x:v>Not visually reviewed</x:v>
      </x:c>
      <x:c r="N304" s="117" t="str">
        <x:v>2026-09-08</x:v>
      </x:c>
    </x:row>
    <x:row r="305" ht="48" customHeight="1">
      <x:c r="A305" s="117" t="str">
        <x:v>MC0301</x:v>
      </x:c>
      <x:c r="B305" s="117" t="str">
        <x:v>Sibu Heritage Centre</x:v>
      </x:c>
      <x:c r="C305" s="117" t="n">
        <x:v>1</x:v>
      </x:c>
      <x:c r="D305" s="117" t="str">
        <x:v>https://thumb.wikimedia.org/wikipedia/commons/thumb/d/de/Sibu_Heritage_Centre.JPG/1280px-Sibu_Heritage_Centre.JPG?utm_source=commons.wikimedia.org&amp;utm_campaign=imageinfo&amp;utm_content=thumbnail</x:v>
      </x:c>
      <x:c r="E305" s="117" t="str">
        <x:v>https://commons.wikimedia.org/wiki/File:Sibu_Heritage_Centre.JPG</x:v>
      </x:c>
      <x:c r="F305" s="117" t="str">
        <x:v>File:Sibu Heritage Centre.JPG</x:v>
      </x:c>
      <x:c r="G305" s="117" t="str">
        <x:v>Cerevisae</x:v>
      </x:c>
      <x:c r="H305" s="117" t="str">
        <x:v>CC BY-SA 4.0</x:v>
      </x:c>
      <x:c r="I305" s="117" t="str">
        <x:v>https://creativecommons.org/licenses/by-sa/4.0</x:v>
      </x:c>
      <x:c r="J305" s="117" t="str">
        <x:v>true</x:v>
      </x:c>
      <x:c r="K305" s="117" t="str">
        <x:v>Own work</x:v>
      </x:c>
      <x:c r="L305" s="117" t="str">
        <x:v>Exact name or all distinctive place-name tokens in file metadata</x:v>
      </x:c>
      <x:c r="M305" s="117" t="str">
        <x:v>Not visually reviewed</x:v>
      </x:c>
      <x:c r="N305" s="117" t="str">
        <x:v>2026-09-08</x:v>
      </x:c>
    </x:row>
    <x:row r="306" ht="48" customHeight="1">
      <x:c r="A306" s="117" t="str">
        <x:v>MC0301</x:v>
      </x:c>
      <x:c r="B306" s="117" t="str">
        <x:v>Sibu Heritage Centre</x:v>
      </x:c>
      <x:c r="C306" s="117" t="n">
        <x:v>2</x:v>
      </x:c>
      <x:c r="D306" s="117" t="str">
        <x:v>https://thumb.wikimedia.org/wikipedia/commons/thumb/0/03/Sibu_Cultural_Heritage_Museum.jpg/1280px-Sibu_Cultural_Heritage_Museum.jpg?utm_source=commons.wikimedia.org&amp;utm_campaign=imageinfo&amp;utm_content=thumbnail</x:v>
      </x:c>
      <x:c r="E306" s="117" t="str">
        <x:v>https://commons.wikimedia.org/wiki/File:Sibu_Cultural_Heritage_Museum.jpg</x:v>
      </x:c>
      <x:c r="F306" s="117" t="str">
        <x:v>File:Sibu Cultural Heritage Museum.jpg</x:v>
      </x:c>
      <x:c r="G306" s="117" t="str">
        <x:v>Wee Hong</x:v>
      </x:c>
      <x:c r="H306" s="117" t="str">
        <x:v>CC BY-SA 4.0</x:v>
      </x:c>
      <x:c r="I306" s="117" t="str">
        <x:v>https://creativecommons.org/licenses/by-sa/4.0</x:v>
      </x:c>
      <x:c r="J306" s="117" t="str">
        <x:v>true</x:v>
      </x:c>
      <x:c r="K306" s="117" t="str">
        <x:v>Own work</x:v>
      </x:c>
      <x:c r="L306" s="117" t="str">
        <x:v>Exact name or all distinctive place-name tokens in file metadata</x:v>
      </x:c>
      <x:c r="M306" s="117" t="str">
        <x:v>Not visually reviewed</x:v>
      </x:c>
      <x:c r="N306" s="117" t="str">
        <x:v>2026-09-08</x:v>
      </x:c>
    </x:row>
    <x:row r="307" ht="48" customHeight="1">
      <x:c r="A307" s="117" t="str">
        <x:v>MC0303</x:v>
      </x:c>
      <x:c r="B307" s="117" t="str">
        <x:v>Similajau National Park</x:v>
      </x:c>
      <x:c r="C307" s="117" t="n">
        <x:v>1</x:v>
      </x:c>
      <x:c r="D307" s="117" t="str">
        <x:v>https://thumb.wikimedia.org/wikipedia/commons/thumb/2/23/Long-legged_Centipede_%28Scutigeromorpha%29_%288440622595%29.jpg/1280px-Long-legged_Centipede_%28Scutigeromorpha%29_%288440622595%29.jpg?utm_source=commons.wikimedia.org&amp;utm_campaign=imageinfo&amp;utm_content=thumbnail</x:v>
      </x:c>
      <x:c r="E307" s="117" t="str">
        <x:v>https://commons.wikimedia.org/wiki/File:Long-legged_Centipede_(Scutigeromorpha)_(8440622595).jpg</x:v>
      </x:c>
      <x:c r="F307" s="117" t="str">
        <x:v>File:Long-legged Centipede (Scutigeromorpha) (8440622595).jpg</x:v>
      </x:c>
      <x:c r="G307" s="117" t="str">
        <x:v>Bernard DUPONT from FRANCE</x:v>
      </x:c>
      <x:c r="H307" s="117" t="str">
        <x:v>CC BY-SA 2.0</x:v>
      </x:c>
      <x:c r="I307" s="117" t="str">
        <x:v>https://creativecommons.org/licenses/by-sa/2.0</x:v>
      </x:c>
      <x:c r="J307" s="117" t="str">
        <x:v>true</x:v>
      </x:c>
      <x:c r="K307" s="117" t="str">
        <x:v>Long-legged Centipede (Scutigeromorpha)</x:v>
      </x:c>
      <x:c r="L307" s="117" t="str">
        <x:v>Exact name or all distinctive place-name tokens in file metadata</x:v>
      </x:c>
      <x:c r="M307" s="117" t="str">
        <x:v>Not visually reviewed</x:v>
      </x:c>
      <x:c r="N307" s="117" t="str">
        <x:v>2026-09-08</x:v>
      </x:c>
    </x:row>
    <x:row r="308" ht="48" customHeight="1">
      <x:c r="A308" s="117" t="str">
        <x:v>MC0303</x:v>
      </x:c>
      <x:c r="B308" s="117" t="str">
        <x:v>Similajau National Park</x:v>
      </x:c>
      <x:c r="C308" s="117" t="n">
        <x:v>2</x:v>
      </x:c>
      <x:c r="D308" s="117" t="str">
        <x:v>https://thumb.wikimedia.org/wikipedia/commons/thumb/6/60/Palm_Kings_%28Amathusia_phidippus%29_%286760963785%29.jpg/1280px-Palm_Kings_%28Amathusia_phidippus%29_%286760963785%29.jpg?utm_source=commons.wikimedia.org&amp;utm_campaign=imageinfo&amp;utm_content=thumbnail</x:v>
      </x:c>
      <x:c r="E308" s="117" t="str">
        <x:v>https://commons.wikimedia.org/wiki/File:Palm_Kings_(Amathusia_phidippus)_(6760963785).jpg</x:v>
      </x:c>
      <x:c r="F308" s="117" t="str">
        <x:v>File:Palm Kings (Amathusia phidippus) (6760963785).jpg</x:v>
      </x:c>
      <x:c r="G308" s="117" t="str">
        <x:v>Bernard DUPONT from FRANCE</x:v>
      </x:c>
      <x:c r="H308" s="117" t="str">
        <x:v>CC BY-SA 2.0</x:v>
      </x:c>
      <x:c r="I308" s="117" t="str">
        <x:v>https://creativecommons.org/licenses/by-sa/2.0</x:v>
      </x:c>
      <x:c r="J308" s="117" t="str">
        <x:v>true</x:v>
      </x:c>
      <x:c r="K308" s="117" t="str">
        <x:v>Palm Kings (Amathusia phidippus)</x:v>
      </x:c>
      <x:c r="L308" s="117" t="str">
        <x:v>Exact name or all distinctive place-name tokens in file metadata</x:v>
      </x:c>
      <x:c r="M308" s="117" t="str">
        <x:v>Not visually reviewed</x:v>
      </x:c>
      <x:c r="N308" s="117" t="str">
        <x:v>2026-09-08</x:v>
      </x:c>
    </x:row>
    <x:row r="309" ht="48" customHeight="1">
      <x:c r="A309" s="117" t="str">
        <x:v>MC0304</x:v>
      </x:c>
      <x:c r="B309" s="117" t="str">
        <x:v>Taman Tumbina</x:v>
      </x:c>
      <x:c r="C309" s="117" t="n">
        <x:v>1</x:v>
      </x:c>
      <x:c r="D309" s="117" t="str">
        <x:v>https://upload.wikimedia.org/wikipedia/commons/c/c0/Tmn_tumbina.jpg?utm_source=commons.wikimedia.org&amp;utm_campaign=imageinfo&amp;utm_content=thumbnail_unscaled</x:v>
      </x:c>
      <x:c r="E309" s="117" t="str">
        <x:v>https://commons.wikimedia.org/wiki/File:Tmn_tumbina.jpg</x:v>
      </x:c>
      <x:c r="F309" s="117" t="str">
        <x:v>File:Tmn tumbina.jpg</x:v>
      </x:c>
      <x:c r="G309" s="117" t="str">
        <x:v>Calvinaj (talk)</x:v>
      </x:c>
      <x:c r="H309" s="117" t="str">
        <x:v>CC BY 3.0</x:v>
      </x:c>
      <x:c r="I309" s="117" t="str">
        <x:v>https://creativecommons.org/licenses/by/3.0</x:v>
      </x:c>
      <x:c r="J309" s="117" t="str">
        <x:v>true</x:v>
      </x:c>
      <x:c r="K309" s="117" t="str">
        <x:v>Own work</x:v>
      </x:c>
      <x:c r="L309" s="117" t="str">
        <x:v>Exact name or all distinctive place-name tokens in file metadata</x:v>
      </x:c>
      <x:c r="M309" s="117" t="str">
        <x:v>Not visually reviewed</x:v>
      </x:c>
      <x:c r="N309" s="117" t="str">
        <x:v>2026-09-08</x:v>
      </x:c>
    </x:row>
    <x:row r="310" ht="48" customHeight="1">
      <x:c r="A310" s="117" t="str">
        <x:v>MC0307</x:v>
      </x:c>
      <x:c r="B310" s="117" t="str">
        <x:v>Bukit Mas</x:v>
      </x:c>
      <x:c r="C310" s="117" t="n">
        <x:v>1</x:v>
      </x:c>
      <x:c r="D310" s="117" t="str">
        <x:v>https://thumb.wikimedia.org/wikipedia/commons/thumb/c/cb/Sekolah_Alam_Leuser%2C_Bukit_Mas.png/1280px-Sekolah_Alam_Leuser%2C_Bukit_Mas.png?utm_source=commons.wikimedia.org&amp;utm_campaign=imageinfo&amp;utm_content=thumbnail</x:v>
      </x:c>
      <x:c r="E310" s="117" t="str">
        <x:v>https://commons.wikimedia.org/wiki/File:Sekolah_Alam_Leuser,_Bukit_Mas.png</x:v>
      </x:c>
      <x:c r="F310" s="117" t="str">
        <x:v>File:Sekolah Alam Leuser, Bukit Mas.png</x:v>
      </x:c>
      <x:c r="G310" s="117" t="str">
        <x:v>Boesenbergia</x:v>
      </x:c>
      <x:c r="H310" s="117" t="str">
        <x:v>CC BY-SA 4.0</x:v>
      </x:c>
      <x:c r="I310" s="117" t="str">
        <x:v>https://creativecommons.org/licenses/by-sa/4.0</x:v>
      </x:c>
      <x:c r="J310" s="117" t="str">
        <x:v>true</x:v>
      </x:c>
      <x:c r="K310" s="117" t="str">
        <x:v>Own work</x:v>
      </x:c>
      <x:c r="L310" s="117" t="str">
        <x:v>Exact name or all distinctive place-name tokens in file metadata</x:v>
      </x:c>
      <x:c r="M310" s="117" t="str">
        <x:v>Not visually reviewed</x:v>
      </x:c>
      <x:c r="N310" s="117" t="str">
        <x:v>2026-09-08</x:v>
      </x:c>
    </x:row>
    <x:row r="311" ht="48" customHeight="1">
      <x:c r="A311" s="117" t="str">
        <x:v>MC0307</x:v>
      </x:c>
      <x:c r="B311" s="117" t="str">
        <x:v>Bukit Mas</x:v>
      </x:c>
      <x:c r="C311" s="117" t="n">
        <x:v>2</x:v>
      </x:c>
      <x:c r="D311" s="117" t="str">
        <x:v>https://thumb.wikimedia.org/wikipedia/commons/thumb/2/2b/Wisata_lampung_bukit_mas.jpg/1280px-Wisata_lampung_bukit_mas.jpg?utm_source=commons.wikimedia.org&amp;utm_campaign=imageinfo&amp;utm_content=thumbnail</x:v>
      </x:c>
      <x:c r="E311" s="117" t="str">
        <x:v>https://commons.wikimedia.org/wiki/File:Wisata_lampung_bukit_mas.jpg</x:v>
      </x:c>
      <x:c r="F311" s="117" t="str">
        <x:v>File:Wisata lampung bukit mas.jpg</x:v>
      </x:c>
      <x:c r="G311" s="117" t="str">
        <x:v>Toni robiansyah</x:v>
      </x:c>
      <x:c r="H311" s="117" t="str">
        <x:v>CC BY-SA 4.0</x:v>
      </x:c>
      <x:c r="I311" s="117" t="str">
        <x:v>https://creativecommons.org/licenses/by-sa/4.0</x:v>
      </x:c>
      <x:c r="J311" s="117" t="str">
        <x:v>true</x:v>
      </x:c>
      <x:c r="K311" s="117" t="str">
        <x:v>Own work</x:v>
      </x:c>
      <x:c r="L311" s="117" t="str">
        <x:v>Exact name or all distinctive place-name tokens in file metadata</x:v>
      </x:c>
      <x:c r="M311" s="117" t="str">
        <x:v>Not visually reviewed</x:v>
      </x:c>
      <x:c r="N311" s="117" t="str">
        <x:v>2026-09-08</x:v>
      </x:c>
    </x:row>
    <x:row r="312" ht="48" customHeight="1">
      <x:c r="A312" s="117" t="str">
        <x:v>MC0309</x:v>
      </x:c>
      <x:c r="B312" s="117" t="str">
        <x:v>Bario Highlands</x:v>
      </x:c>
      <x:c r="C312" s="117" t="n">
        <x:v>1</x:v>
      </x:c>
      <x:c r="D312" s="117" t="str">
        <x:v>https://thumb.wikimedia.org/wikipedia/commons/thumb/e/e5/Bario_2014.jpg/1280px-Bario_2014.jpg?utm_source=commons.wikimedia.org&amp;utm_campaign=imageinfo&amp;utm_content=thumbnail</x:v>
      </x:c>
      <x:c r="E312" s="117" t="str">
        <x:v>https://commons.wikimedia.org/wiki/File:Bario_2014.jpg</x:v>
      </x:c>
      <x:c r="F312" s="117" t="str">
        <x:v>File:Bario 2014.jpg</x:v>
      </x:c>
      <x:c r="G312" s="117" t="str">
        <x:v>Boez-itwiki</x:v>
      </x:c>
      <x:c r="H312" s="117" t="str">
        <x:v>CC BY-SA 4.0</x:v>
      </x:c>
      <x:c r="I312" s="117" t="str">
        <x:v>https://creativecommons.org/licenses/by-sa/4.0</x:v>
      </x:c>
      <x:c r="J312" s="117" t="str">
        <x:v>true</x:v>
      </x:c>
      <x:c r="K312" s="117" t="str">
        <x:v>Own work</x:v>
      </x:c>
      <x:c r="L312" s="117" t="str">
        <x:v>Exact name or all distinctive place-name tokens in file metadata</x:v>
      </x:c>
      <x:c r="M312" s="117" t="str">
        <x:v>Not visually reviewed</x:v>
      </x:c>
      <x:c r="N312" s="117" t="str">
        <x:v>2026-09-08</x:v>
      </x:c>
    </x:row>
    <x:row r="313" ht="48" customHeight="1">
      <x:c r="A313" s="117" t="str">
        <x:v>MC0310</x:v>
      </x:c>
      <x:c r="B313" s="117" t="str">
        <x:v>Bakun Lake</x:v>
      </x:c>
      <x:c r="C313" s="117" t="n">
        <x:v>1</x:v>
      </x:c>
      <x:c r="D313" s="117" t="str">
        <x:v>https://thumb.wikimedia.org/wikipedia/commons/thumb/e/e0/Bakun_Lake%2C_Sarawak.jpg/1280px-Bakun_Lake%2C_Sarawak.jpg?utm_source=commons.wikimedia.org&amp;utm_campaign=imageinfo&amp;utm_content=thumbnail</x:v>
      </x:c>
      <x:c r="E313" s="117" t="str">
        <x:v>https://commons.wikimedia.org/wiki/File:Bakun_Lake,_Sarawak.jpg</x:v>
      </x:c>
      <x:c r="F313" s="117" t="str">
        <x:v>File:Bakun Lake, Sarawak.jpg</x:v>
      </x:c>
      <x:c r="G313" s="117" t="str">
        <x:v>Rickyb8888</x:v>
      </x:c>
      <x:c r="H313" s="117" t="str">
        <x:v>CC BY-SA 4.0</x:v>
      </x:c>
      <x:c r="I313" s="117" t="str">
        <x:v>https://creativecommons.org/licenses/by-sa/4.0</x:v>
      </x:c>
      <x:c r="J313" s="117" t="str">
        <x:v>true</x:v>
      </x:c>
      <x:c r="K313" s="117" t="str">
        <x:v>Own work</x:v>
      </x:c>
      <x:c r="L313" s="117" t="str">
        <x:v>Exact name or all distinctive place-name tokens in file metadata</x:v>
      </x:c>
      <x:c r="M313" s="117" t="str">
        <x:v>Not visually reviewed</x:v>
      </x:c>
      <x:c r="N313" s="117" t="str">
        <x:v>2026-09-08</x:v>
      </x:c>
    </x:row>
    <x:row r="314" ht="48" customHeight="1">
      <x:c r="A314" s="117" t="str">
        <x:v>MC0311</x:v>
      </x:c>
      <x:c r="B314" s="117" t="str">
        <x:v>Pulau Ketam</x:v>
      </x:c>
      <x:c r="C314" s="117" t="n">
        <x:v>1</x:v>
      </x:c>
      <x:c r="D314" s="117" t="str">
        <x:v>https://thumb.wikimedia.org/wikipedia/commons/thumb/6/69/View_of_Sungai_Besar_Pulau_Ketam_%28220711%29_02.jpg/1280px-View_of_Sungai_Besar_Pulau_Ketam_%28220711%29_02.jpg?utm_source=commons.wikimedia.org&amp;utm_campaign=imageinfo&amp;utm_content=thumbnail</x:v>
      </x:c>
      <x:c r="E314" s="117" t="str">
        <x:v>https://commons.wikimedia.org/wiki/File:View_of_Sungai_Besar_Pulau_Ketam_(220711)_02.jpg</x:v>
      </x:c>
      <x:c r="F314" s="117" t="str">
        <x:v>File:View of Sungai Besar Pulau Ketam (220711) 02.jpg</x:v>
      </x:c>
      <x:c r="G314" s="117" t="str">
        <x:v>*angys*</x:v>
      </x:c>
      <x:c r="H314" s="117" t="str">
        <x:v>CC BY-SA 4.0</x:v>
      </x:c>
      <x:c r="I314" s="117" t="str">
        <x:v>https://creativecommons.org/licenses/by-sa/4.0</x:v>
      </x:c>
      <x:c r="J314" s="117" t="str">
        <x:v>true</x:v>
      </x:c>
      <x:c r="K314" s="117" t="str">
        <x:v>Own work</x:v>
      </x:c>
      <x:c r="L314" s="117" t="str">
        <x:v>Exact name or all distinctive place-name tokens in file metadata</x:v>
      </x:c>
      <x:c r="M314" s="117" t="str">
        <x:v>Not visually reviewed</x:v>
      </x:c>
      <x:c r="N314" s="117" t="str">
        <x:v>2026-09-08</x:v>
      </x:c>
    </x:row>
    <x:row r="315" ht="48" customHeight="1">
      <x:c r="A315" s="117" t="str">
        <x:v>MC0311</x:v>
      </x:c>
      <x:c r="B315" s="117" t="str">
        <x:v>Pulau Ketam</x:v>
      </x:c>
      <x:c r="C315" s="117" t="n">
        <x:v>2</x:v>
      </x:c>
      <x:c r="D315" s="117" t="str">
        <x:v>https://upload.wikimedia.org/wikipedia/commons/9/98/Golden_Memory.jpg?utm_source=commons.wikimedia.org&amp;utm_campaign=imageinfo&amp;utm_content=thumbnail_unscaled</x:v>
      </x:c>
      <x:c r="E315" s="117" t="str">
        <x:v>https://commons.wikimedia.org/wiki/File:Golden_Memory.jpg</x:v>
      </x:c>
      <x:c r="F315" s="117" t="str">
        <x:v>File:Golden Memory.jpg</x:v>
      </x:c>
      <x:c r="G315" s="117" t="str">
        <x:v>Lx Rei</x:v>
      </x:c>
      <x:c r="H315" s="117" t="str">
        <x:v>CC BY-SA 4.0</x:v>
      </x:c>
      <x:c r="I315" s="117" t="str">
        <x:v>https://creativecommons.org/licenses/by-sa/4.0</x:v>
      </x:c>
      <x:c r="J315" s="117" t="str">
        <x:v>true</x:v>
      </x:c>
      <x:c r="K315" s="117" t="str">
        <x:v>Own work</x:v>
      </x:c>
      <x:c r="L315" s="117" t="str">
        <x:v>Exact name or all distinctive place-name tokens in file metadata</x:v>
      </x:c>
      <x:c r="M315" s="117" t="str">
        <x:v>Not visually reviewed</x:v>
      </x:c>
      <x:c r="N315" s="117" t="str">
        <x:v>2026-09-08</x:v>
      </x:c>
    </x:row>
    <x:row r="316" ht="48" customHeight="1">
      <x:c r="A316" s="117" t="str">
        <x:v>MC0312</x:v>
      </x:c>
      <x:c r="B316" s="117" t="str">
        <x:v>Batu Caves</x:v>
      </x:c>
      <x:c r="C316" s="117" t="n">
        <x:v>1</x:v>
      </x:c>
      <x:c r="D316" s="117" t="str">
        <x:v>https://thumb.wikimedia.org/wikipedia/commons/thumb/8/80/Batu_Caves_3.jpg/1280px-Batu_Caves_3.jpg?utm_source=commons.wikimedia.org&amp;utm_campaign=imageinfo&amp;utm_content=thumbnail</x:v>
      </x:c>
      <x:c r="E316" s="117" t="str">
        <x:v>https://commons.wikimedia.org/wiki/File:Batu_Caves_3.jpg</x:v>
      </x:c>
      <x:c r="F316" s="117" t="str">
        <x:v>File:Batu Caves 3.jpg</x:v>
      </x:c>
      <x:c r="G316" s="117" t="str">
        <x:v>Wiki Farazi</x:v>
      </x:c>
      <x:c r="H316" s="117" t="str">
        <x:v>CC0</x:v>
      </x:c>
      <x:c r="I316" s="117" t="str">
        <x:v>http://creativecommons.org/publicdomain/zero/1.0/deed.en</x:v>
      </x:c>
      <x:c r="J316" s="117" t="str">
        <x:v>false</x:v>
      </x:c>
      <x:c r="K316" s="117" t="str">
        <x:v>Own work</x:v>
      </x:c>
      <x:c r="L316" s="117" t="str">
        <x:v>Exact name or all distinctive place-name tokens in file metadata</x:v>
      </x:c>
      <x:c r="M316" s="117" t="str">
        <x:v>Not visually reviewed</x:v>
      </x:c>
      <x:c r="N316" s="117" t="str">
        <x:v>2026-09-08</x:v>
      </x:c>
    </x:row>
    <x:row r="317" ht="48" customHeight="1">
      <x:c r="A317" s="117" t="str">
        <x:v>MC0312</x:v>
      </x:c>
      <x:c r="B317" s="117" t="str">
        <x:v>Batu Caves</x:v>
      </x:c>
      <x:c r="C317" s="117" t="n">
        <x:v>2</x:v>
      </x:c>
      <x:c r="D317" s="117" t="str">
        <x:v>https://thumb.wikimedia.org/wikipedia/commons/thumb/8/8f/Batu_Caves_stairs_2022-05.jpg/1280px-Batu_Caves_stairs_2022-05.jpg?utm_source=commons.wikimedia.org&amp;utm_campaign=imageinfo&amp;utm_content=thumbnail</x:v>
      </x:c>
      <x:c r="E317" s="117" t="str">
        <x:v>https://commons.wikimedia.org/wiki/File:Batu_Caves_stairs_2022-05.jpg</x:v>
      </x:c>
      <x:c r="F317" s="117" t="str">
        <x:v>File:Batu Caves stairs 2022-05.jpg</x:v>
      </x:c>
      <x:c r="G317" s="117" t="str">
        <x:v>Chainwit.</x:v>
      </x:c>
      <x:c r="H317" s="117" t="str">
        <x:v>CC BY-SA 4.0</x:v>
      </x:c>
      <x:c r="I317" s="117" t="str">
        <x:v>https://creativecommons.org/licenses/by-sa/4.0</x:v>
      </x:c>
      <x:c r="J317" s="117" t="str">
        <x:v>true</x:v>
      </x:c>
      <x:c r="K317" s="117" t="str">
        <x:v>Own work</x:v>
      </x:c>
      <x:c r="L317" s="117" t="str">
        <x:v>Exact name or all distinctive place-name tokens in file metadata</x:v>
      </x:c>
      <x:c r="M317" s="117" t="str">
        <x:v>Not visually reviewed</x:v>
      </x:c>
      <x:c r="N317" s="117" t="str">
        <x:v>2026-09-08</x:v>
      </x:c>
    </x:row>
    <x:row r="318" ht="48" customHeight="1">
      <x:c r="A318" s="117" t="str">
        <x:v>MC0313</x:v>
      </x:c>
      <x:c r="B318" s="117" t="str">
        <x:v>Sunway Lagoon</x:v>
      </x:c>
      <x:c r="C318" s="117" t="n">
        <x:v>1</x:v>
      </x:c>
      <x:c r="D318" s="117" t="str">
        <x:v>https://thumb.wikimedia.org/wikipedia/commons/thumb/7/7f/Sunway_Lagoon.jpg/1280px-Sunway_Lagoon.jpg?utm_source=commons.wikimedia.org&amp;utm_campaign=imageinfo&amp;utm_content=thumbnail</x:v>
      </x:c>
      <x:c r="E318" s="117" t="str">
        <x:v>https://commons.wikimedia.org/wiki/File:Sunway_Lagoon.jpg</x:v>
      </x:c>
      <x:c r="F318" s="117" t="str">
        <x:v>File:Sunway Lagoon.jpg</x:v>
      </x:c>
      <x:c r="G318" s="117" t="str">
        <x:v>Img by Calvin Teo</x:v>
      </x:c>
      <x:c r="H318" s="117" t="str">
        <x:v>CC BY-SA 3.0</x:v>
      </x:c>
      <x:c r="I318" s="117" t="str">
        <x:v>http://creativecommons.org/licenses/by-sa/3.0/</x:v>
      </x:c>
      <x:c r="J318" s="117" t="str">
        <x:v>true</x:v>
      </x:c>
      <x:c r="K318" s="117" t="str">
        <x:v>Own work</x:v>
      </x:c>
      <x:c r="L318" s="117" t="str">
        <x:v>Exact name or all distinctive place-name tokens in file metadata</x:v>
      </x:c>
      <x:c r="M318" s="117" t="str">
        <x:v>Not visually reviewed</x:v>
      </x:c>
      <x:c r="N318" s="117" t="str">
        <x:v>2026-09-08</x:v>
      </x:c>
    </x:row>
    <x:row r="319" ht="48" customHeight="1">
      <x:c r="A319" s="117" t="str">
        <x:v>MC0313</x:v>
      </x:c>
      <x:c r="B319" s="117" t="str">
        <x:v>Sunway Lagoon</x:v>
      </x:c>
      <x:c r="C319" s="117" t="n">
        <x:v>2</x:v>
      </x:c>
      <x:c r="D319" s="117" t="str">
        <x:v>https://thumb.wikimedia.org/wikipedia/commons/thumb/9/9e/Sunway_Lagoon_%28220711%29.jpg/1280px-Sunway_Lagoon_%28220711%29.jpg?utm_source=commons.wikimedia.org&amp;utm_campaign=imageinfo&amp;utm_content=thumbnail</x:v>
      </x:c>
      <x:c r="E319" s="117" t="str">
        <x:v>https://commons.wikimedia.org/wiki/File:Sunway_Lagoon_(220711).jpg</x:v>
      </x:c>
      <x:c r="F319" s="117" t="str">
        <x:v>File:Sunway Lagoon (220711).jpg</x:v>
      </x:c>
      <x:c r="G319" s="117" t="str">
        <x:v>*angys*</x:v>
      </x:c>
      <x:c r="H319" s="117" t="str">
        <x:v>CC BY-SA 4.0</x:v>
      </x:c>
      <x:c r="I319" s="117" t="str">
        <x:v>https://creativecommons.org/licenses/by-sa/4.0</x:v>
      </x:c>
      <x:c r="J319" s="117" t="str">
        <x:v>true</x:v>
      </x:c>
      <x:c r="K319" s="117" t="str">
        <x:v>Own work</x:v>
      </x:c>
      <x:c r="L319" s="117" t="str">
        <x:v>Exact name or all distinctive place-name tokens in file metadata</x:v>
      </x:c>
      <x:c r="M319" s="117" t="str">
        <x:v>Not visually reviewed</x:v>
      </x:c>
      <x:c r="N319" s="117" t="str">
        <x:v>2026-09-08</x:v>
      </x:c>
    </x:row>
    <x:row r="320" ht="48" customHeight="1">
      <x:c r="A320" s="117" t="str">
        <x:v>MC0316</x:v>
      </x:c>
      <x:c r="B320" s="117" t="str">
        <x:v>Kuala Selangor Nature Park</x:v>
      </x:c>
      <x:c r="C320" s="117" t="n">
        <x:v>1</x:v>
      </x:c>
      <x:c r="D320" s="117" t="str">
        <x:v>https://thumb.wikimedia.org/wikipedia/commons/thumb/9/9c/Kuala_Selangor_Nature_Park_%28230319%29_01.jpg/1280px-Kuala_Selangor_Nature_Park_%28230319%29_01.jpg?utm_source=commons.wikimedia.org&amp;utm_campaign=imageinfo&amp;utm_content=thumbnail</x:v>
      </x:c>
      <x:c r="E320" s="117" t="str">
        <x:v>https://commons.wikimedia.org/wiki/File:Kuala_Selangor_Nature_Park_(230319)_01.jpg</x:v>
      </x:c>
      <x:c r="F320" s="117" t="str">
        <x:v>File:Kuala Selangor Nature Park (230319) 01.jpg</x:v>
      </x:c>
      <x:c r="G320" s="117" t="str">
        <x:v>*angys*</x:v>
      </x:c>
      <x:c r="H320" s="117" t="str">
        <x:v>CC BY-SA 4.0</x:v>
      </x:c>
      <x:c r="I320" s="117" t="str">
        <x:v>https://creativecommons.org/licenses/by-sa/4.0</x:v>
      </x:c>
      <x:c r="J320" s="117" t="str">
        <x:v>true</x:v>
      </x:c>
      <x:c r="K320" s="117" t="str">
        <x:v>Own work</x:v>
      </x:c>
      <x:c r="L320" s="117" t="str">
        <x:v>Exact name or all distinctive place-name tokens in file metadata</x:v>
      </x:c>
      <x:c r="M320" s="117" t="str">
        <x:v>Not visually reviewed</x:v>
      </x:c>
      <x:c r="N320" s="117" t="str">
        <x:v>2026-09-08</x:v>
      </x:c>
    </x:row>
    <x:row r="321" ht="48" customHeight="1">
      <x:c r="A321" s="117" t="str">
        <x:v>MC0316</x:v>
      </x:c>
      <x:c r="B321" s="117" t="str">
        <x:v>Kuala Selangor Nature Park</x:v>
      </x:c>
      <x:c r="C321" s="117" t="n">
        <x:v>2</x:v>
      </x:c>
      <x:c r="D321" s="117" t="str">
        <x:v>https://thumb.wikimedia.org/wikipedia/commons/thumb/2/20/Kuala_Selangor_Nature_Park_mangrove_sapling.jpg/1280px-Kuala_Selangor_Nature_Park_mangrove_sapling.jpg?utm_source=commons.wikimedia.org&amp;utm_campaign=imageinfo&amp;utm_content=thumbnail</x:v>
      </x:c>
      <x:c r="E321" s="117" t="str">
        <x:v>https://commons.wikimedia.org/wiki/File:Kuala_Selangor_Nature_Park_mangrove_sapling.jpg</x:v>
      </x:c>
      <x:c r="F321" s="117" t="str">
        <x:v>File:Kuala Selangor Nature Park mangrove sapling.jpg</x:v>
      </x:c>
      <x:c r="G321" s="117" t="str">
        <x:v>Stress 043</x:v>
      </x:c>
      <x:c r="H321" s="117" t="str">
        <x:v>CC BY-SA 4.0</x:v>
      </x:c>
      <x:c r="I321" s="117" t="str">
        <x:v>https://creativecommons.org/licenses/by-sa/4.0</x:v>
      </x:c>
      <x:c r="J321" s="117" t="str">
        <x:v>true</x:v>
      </x:c>
      <x:c r="K321" s="117" t="str">
        <x:v>Own work</x:v>
      </x:c>
      <x:c r="L321" s="117" t="str">
        <x:v>Exact name or all distinctive place-name tokens in file metadata</x:v>
      </x:c>
      <x:c r="M321" s="117" t="str">
        <x:v>Not visually reviewed</x:v>
      </x:c>
      <x:c r="N321" s="117" t="str">
        <x:v>2026-09-08</x:v>
      </x:c>
    </x:row>
    <x:row r="322" ht="48" customHeight="1">
      <x:c r="A322" s="117" t="str">
        <x:v>MC0318</x:v>
      </x:c>
      <x:c r="B322" s="117" t="str">
        <x:v>Sultan Salahuddin Abdul Aziz Shah Mosque</x:v>
      </x:c>
      <x:c r="C322" s="117" t="n">
        <x:v>1</x:v>
      </x:c>
      <x:c r="D322" s="117" t="str">
        <x:v>https://upload.wikimedia.org/wikipedia/commons/4/4b/SA_Blue_Mosque.jpg?utm_source=commons.wikimedia.org&amp;utm_campaign=imageinfo&amp;utm_content=thumbnail_unscaled</x:v>
      </x:c>
      <x:c r="E322" s="117" t="str">
        <x:v>https://commons.wikimedia.org/wiki/File:SA_Blue_Mosque.jpg</x:v>
      </x:c>
      <x:c r="F322" s="117" t="str">
        <x:v>File:SA Blue Mosque.jpg</x:v>
      </x:c>
      <x:c r="G322" s="117" t="str">
        <x:v>Lerdsuwa</x:v>
      </x:c>
      <x:c r="H322" s="117" t="str">
        <x:v>CC BY-SA 3.0</x:v>
      </x:c>
      <x:c r="I322" s="117" t="str">
        <x:v>http://creativecommons.org/licenses/by-sa/3.0/</x:v>
      </x:c>
      <x:c r="J322" s="117" t="str">
        <x:v>true</x:v>
      </x:c>
      <x:c r="K322" s="117" t="str">
        <x:v>Own work</x:v>
      </x:c>
      <x:c r="L322" s="117" t="str">
        <x:v>Exact name or all distinctive place-name tokens in file metadata</x:v>
      </x:c>
      <x:c r="M322" s="117" t="str">
        <x:v>Not visually reviewed</x:v>
      </x:c>
      <x:c r="N322" s="117" t="str">
        <x:v>2026-09-08</x:v>
      </x:c>
    </x:row>
    <x:row r="323" ht="48" customHeight="1">
      <x:c r="A323" s="117" t="str">
        <x:v>MC0318</x:v>
      </x:c>
      <x:c r="B323" s="117" t="str">
        <x:v>Sultan Salahuddin Abdul Aziz Shah Mosque</x:v>
      </x:c>
      <x:c r="C323" s="117" t="n">
        <x:v>2</x:v>
      </x:c>
      <x:c r="D323" s="117" t="str">
        <x:v>https://thumb.wikimedia.org/wikipedia/commons/thumb/b/bf/Shah_Alam_Blue_mosque_at_night.jpg/1280px-Shah_Alam_Blue_mosque_at_night.jpg?utm_source=commons.wikimedia.org&amp;utm_campaign=imageinfo&amp;utm_content=thumbnail</x:v>
      </x:c>
      <x:c r="E323" s="117" t="str">
        <x:v>https://commons.wikimedia.org/wiki/File:Shah_Alam_Blue_mosque_at_night.jpg</x:v>
      </x:c>
      <x:c r="F323" s="117" t="str">
        <x:v>File:Shah Alam Blue mosque at night.jpg</x:v>
      </x:c>
      <x:c r="G323" s="117" t="str">
        <x:v>Ezry Abdul Rahman from Petaling Jaya, Selangor, Malaysia</x:v>
      </x:c>
      <x:c r="H323" s="117" t="str">
        <x:v>CC BY 2.0</x:v>
      </x:c>
      <x:c r="I323" s="117" t="str">
        <x:v>https://creativecommons.org/licenses/by/2.0</x:v>
      </x:c>
      <x:c r="J323" s="117" t="str">
        <x:v>true</x:v>
      </x:c>
      <x:c r="K323" s="117" t="str">
        <x:v>https://www.flickr.com/photos/ezryrahman/5064971087/in/photostream/</x:v>
      </x:c>
      <x:c r="L323" s="117" t="str">
        <x:v>Exact name or all distinctive place-name tokens in file metadata</x:v>
      </x:c>
      <x:c r="M323" s="117" t="str">
        <x:v>Not visually reviewed</x:v>
      </x:c>
      <x:c r="N323" s="117" t="str">
        <x:v>2026-09-08</x:v>
      </x:c>
    </x:row>
    <x:row r="324" ht="48" customHeight="1">
      <x:c r="A324" s="117" t="str">
        <x:v>MC0320</x:v>
      </x:c>
      <x:c r="B324" s="117" t="str">
        <x:v>National Botanical Garden Shah Alam</x:v>
      </x:c>
      <x:c r="C324" s="117" t="n">
        <x:v>1</x:v>
      </x:c>
      <x:c r="D324" s="117" t="str">
        <x:v>https://thumb.wikimedia.org/wikipedia/commons/thumb/5/58/Shah_Alam_National_Botanical_Park%2C_the_sculpture_of_Titan_Arum.jpg/1280px-Shah_Alam_National_Botanical_Park%2C_the_sculpture_of_Titan_Arum.jpg?utm_source=commons.wikimedia.org&amp;utm_campaign=imageinfo&amp;utm_content=thumbnail</x:v>
      </x:c>
      <x:c r="E324" s="117" t="str">
        <x:v>https://commons.wikimedia.org/wiki/File:Shah_Alam_National_Botanical_Park,_the_sculpture_of_Titan_Arum.jpg</x:v>
      </x:c>
      <x:c r="F324" s="117" t="str">
        <x:v>File:Shah Alam National Botanical Park, the sculpture of Titan Arum.jpg</x:v>
      </x:c>
      <x:c r="G324" s="117" t="str">
        <x:v>Wee Hong</x:v>
      </x:c>
      <x:c r="H324" s="117" t="str">
        <x:v>CC BY-SA 4.0</x:v>
      </x:c>
      <x:c r="I324" s="117" t="str">
        <x:v>https://creativecommons.org/licenses/by-sa/4.0</x:v>
      </x:c>
      <x:c r="J324" s="117" t="str">
        <x:v>true</x:v>
      </x:c>
      <x:c r="K324" s="117" t="str">
        <x:v>Own work
Previously published: https://www.instagram.com/p/B2_Xly_H4in/</x:v>
      </x:c>
      <x:c r="L324" s="117" t="str">
        <x:v>Exact name or all distinctive place-name tokens in file metadata</x:v>
      </x:c>
      <x:c r="M324" s="117" t="str">
        <x:v>Not visually reviewed</x:v>
      </x:c>
      <x:c r="N324" s="117" t="str">
        <x:v>2026-09-08</x:v>
      </x:c>
    </x:row>
    <x:row r="325" ht="48" customHeight="1">
      <x:c r="A325" s="117" t="str">
        <x:v>MC0320</x:v>
      </x:c>
      <x:c r="B325" s="117" t="str">
        <x:v>National Botanical Garden Shah Alam</x:v>
      </x:c>
      <x:c r="C325" s="117" t="n">
        <x:v>2</x:v>
      </x:c>
      <x:c r="D325" s="117" t="str">
        <x:v>https://thumb.wikimedia.org/wikipedia/commons/thumb/2/2d/Yellow_cosmos_at_National_Botanic_Gardens_Shah_Alam_%28TBNSA%29%2C_Malaysia.jpg/1280px-Yellow_cosmos_at_National_Botanic_Gardens_Shah_Alam_%28TBNSA%29%2C_Malaysia.jpg?utm_source=commons.wikimedia.org&amp;utm_campaign=imageinfo&amp;utm_content=thumbnail</x:v>
      </x:c>
      <x:c r="E325" s="117" t="str">
        <x:v>https://commons.wikimedia.org/wiki/File:Yellow_cosmos_at_National_Botanic_Gardens_Shah_Alam_(TBNSA),_Malaysia.jpg</x:v>
      </x:c>
      <x:c r="F325" s="117" t="str">
        <x:v>File:Yellow cosmos at National Botanic Gardens Shah Alam (TBNSA), Malaysia.jpg</x:v>
      </x:c>
      <x:c r="G325" s="117" t="str">
        <x:v>Wee Hong</x:v>
      </x:c>
      <x:c r="H325" s="117" t="str">
        <x:v>CC BY-SA 4.0</x:v>
      </x:c>
      <x:c r="I325" s="117" t="str">
        <x:v>https://creativecommons.org/licenses/by-sa/4.0</x:v>
      </x:c>
      <x:c r="J325" s="117" t="str">
        <x:v>true</x:v>
      </x:c>
      <x:c r="K325" s="117" t="str">
        <x:v>Own work</x:v>
      </x:c>
      <x:c r="L325" s="117" t="str">
        <x:v>Exact name or all distinctive place-name tokens in file metadata</x:v>
      </x:c>
      <x:c r="M325" s="117" t="str">
        <x:v>Not visually reviewed</x:v>
      </x:c>
      <x:c r="N325" s="117" t="str">
        <x:v>2026-09-08</x:v>
      </x:c>
    </x:row>
    <x:row r="326" ht="48" customHeight="1">
      <x:c r="A326" s="117" t="str">
        <x:v>MC0321</x:v>
      </x:c>
      <x:c r="B326" s="117" t="str">
        <x:v>Sultan Salahuddin Abdul Aziz Mosque</x:v>
      </x:c>
      <x:c r="C326" s="117" t="n">
        <x:v>1</x:v>
      </x:c>
      <x:c r="D326" s="117" t="str">
        <x:v>https://upload.wikimedia.org/wikipedia/commons/4/4b/SA_Blue_Mosque.jpg?utm_source=commons.wikimedia.org&amp;utm_campaign=imageinfo&amp;utm_content=thumbnail_unscaled</x:v>
      </x:c>
      <x:c r="E326" s="117" t="str">
        <x:v>https://commons.wikimedia.org/wiki/File:SA_Blue_Mosque.jpg</x:v>
      </x:c>
      <x:c r="F326" s="117" t="str">
        <x:v>File:SA Blue Mosque.jpg</x:v>
      </x:c>
      <x:c r="G326" s="117" t="str">
        <x:v>Lerdsuwa</x:v>
      </x:c>
      <x:c r="H326" s="117" t="str">
        <x:v>CC BY-SA 3.0</x:v>
      </x:c>
      <x:c r="I326" s="117" t="str">
        <x:v>http://creativecommons.org/licenses/by-sa/3.0/</x:v>
      </x:c>
      <x:c r="J326" s="117" t="str">
        <x:v>true</x:v>
      </x:c>
      <x:c r="K326" s="117" t="str">
        <x:v>Own work</x:v>
      </x:c>
      <x:c r="L326" s="117" t="str">
        <x:v>Exact name or all distinctive place-name tokens in file metadata</x:v>
      </x:c>
      <x:c r="M326" s="117" t="str">
        <x:v>Not visually reviewed</x:v>
      </x:c>
      <x:c r="N326" s="117" t="str">
        <x:v>2026-09-08</x:v>
      </x:c>
    </x:row>
    <x:row r="327" ht="48" customHeight="1">
      <x:c r="A327" s="117" t="str">
        <x:v>MC0321</x:v>
      </x:c>
      <x:c r="B327" s="117" t="str">
        <x:v>Sultan Salahuddin Abdul Aziz Mosque</x:v>
      </x:c>
      <x:c r="C327" s="117" t="n">
        <x:v>2</x:v>
      </x:c>
      <x:c r="D327" s="117" t="str">
        <x:v>https://thumb.wikimedia.org/wikipedia/commons/thumb/b/bf/Shah_Alam_Blue_mosque_at_night.jpg/1280px-Shah_Alam_Blue_mosque_at_night.jpg?utm_source=commons.wikimedia.org&amp;utm_campaign=imageinfo&amp;utm_content=thumbnail</x:v>
      </x:c>
      <x:c r="E327" s="117" t="str">
        <x:v>https://commons.wikimedia.org/wiki/File:Shah_Alam_Blue_mosque_at_night.jpg</x:v>
      </x:c>
      <x:c r="F327" s="117" t="str">
        <x:v>File:Shah Alam Blue mosque at night.jpg</x:v>
      </x:c>
      <x:c r="G327" s="117" t="str">
        <x:v>Ezry Abdul Rahman from Petaling Jaya, Selangor, Malaysia</x:v>
      </x:c>
      <x:c r="H327" s="117" t="str">
        <x:v>CC BY 2.0</x:v>
      </x:c>
      <x:c r="I327" s="117" t="str">
        <x:v>https://creativecommons.org/licenses/by/2.0</x:v>
      </x:c>
      <x:c r="J327" s="117" t="str">
        <x:v>true</x:v>
      </x:c>
      <x:c r="K327" s="117" t="str">
        <x:v>https://www.flickr.com/photos/ezryrahman/5064971087/in/photostream/</x:v>
      </x:c>
      <x:c r="L327" s="117" t="str">
        <x:v>Exact name or all distinctive place-name tokens in file metadata</x:v>
      </x:c>
      <x:c r="M327" s="117" t="str">
        <x:v>Not visually reviewed</x:v>
      </x:c>
      <x:c r="N327" s="117" t="str">
        <x:v>2026-09-08</x:v>
      </x:c>
    </x:row>
    <x:row r="328" ht="48" customHeight="1">
      <x:c r="A328" s="117" t="str">
        <x:v>MC0323</x:v>
      </x:c>
      <x:c r="B328" s="117" t="str">
        <x:v>National Botanic Gardens Shah Alam</x:v>
      </x:c>
      <x:c r="C328" s="117" t="n">
        <x:v>1</x:v>
      </x:c>
      <x:c r="D328" s="117" t="str">
        <x:v>https://thumb.wikimedia.org/wikipedia/commons/thumb/5/58/Shah_Alam_National_Botanical_Park%2C_the_sculpture_of_Titan_Arum.jpg/1280px-Shah_Alam_National_Botanical_Park%2C_the_sculpture_of_Titan_Arum.jpg?utm_source=commons.wikimedia.org&amp;utm_campaign=imageinfo&amp;utm_content=thumbnail</x:v>
      </x:c>
      <x:c r="E328" s="117" t="str">
        <x:v>https://commons.wikimedia.org/wiki/File:Shah_Alam_National_Botanical_Park,_the_sculpture_of_Titan_Arum.jpg</x:v>
      </x:c>
      <x:c r="F328" s="117" t="str">
        <x:v>File:Shah Alam National Botanical Park, the sculpture of Titan Arum.jpg</x:v>
      </x:c>
      <x:c r="G328" s="117" t="str">
        <x:v>Wee Hong</x:v>
      </x:c>
      <x:c r="H328" s="117" t="str">
        <x:v>CC BY-SA 4.0</x:v>
      </x:c>
      <x:c r="I328" s="117" t="str">
        <x:v>https://creativecommons.org/licenses/by-sa/4.0</x:v>
      </x:c>
      <x:c r="J328" s="117" t="str">
        <x:v>true</x:v>
      </x:c>
      <x:c r="K328" s="117" t="str">
        <x:v>Own work
Previously published: https://www.instagram.com/p/B2_Xly_H4in/</x:v>
      </x:c>
      <x:c r="L328" s="117" t="str">
        <x:v>Exact name or all distinctive place-name tokens in file metadata</x:v>
      </x:c>
      <x:c r="M328" s="117" t="str">
        <x:v>Not visually reviewed</x:v>
      </x:c>
      <x:c r="N328" s="117" t="str">
        <x:v>2026-09-08</x:v>
      </x:c>
    </x:row>
    <x:row r="329" ht="48" customHeight="1">
      <x:c r="A329" s="117" t="str">
        <x:v>MC0323</x:v>
      </x:c>
      <x:c r="B329" s="117" t="str">
        <x:v>National Botanic Gardens Shah Alam</x:v>
      </x:c>
      <x:c r="C329" s="117" t="n">
        <x:v>2</x:v>
      </x:c>
      <x:c r="D329" s="117" t="str">
        <x:v>https://thumb.wikimedia.org/wikipedia/commons/thumb/2/2d/Yellow_cosmos_at_National_Botanic_Gardens_Shah_Alam_%28TBNSA%29%2C_Malaysia.jpg/1280px-Yellow_cosmos_at_National_Botanic_Gardens_Shah_Alam_%28TBNSA%29%2C_Malaysia.jpg?utm_source=commons.wikimedia.org&amp;utm_campaign=imageinfo&amp;utm_content=thumbnail</x:v>
      </x:c>
      <x:c r="E329" s="117" t="str">
        <x:v>https://commons.wikimedia.org/wiki/File:Yellow_cosmos_at_National_Botanic_Gardens_Shah_Alam_(TBNSA),_Malaysia.jpg</x:v>
      </x:c>
      <x:c r="F329" s="117" t="str">
        <x:v>File:Yellow cosmos at National Botanic Gardens Shah Alam (TBNSA), Malaysia.jpg</x:v>
      </x:c>
      <x:c r="G329" s="117" t="str">
        <x:v>Wee Hong</x:v>
      </x:c>
      <x:c r="H329" s="117" t="str">
        <x:v>CC BY-SA 4.0</x:v>
      </x:c>
      <x:c r="I329" s="117" t="str">
        <x:v>https://creativecommons.org/licenses/by-sa/4.0</x:v>
      </x:c>
      <x:c r="J329" s="117" t="str">
        <x:v>true</x:v>
      </x:c>
      <x:c r="K329" s="117" t="str">
        <x:v>Own work</x:v>
      </x:c>
      <x:c r="L329" s="117" t="str">
        <x:v>Exact name or all distinctive place-name tokens in file metadata</x:v>
      </x:c>
      <x:c r="M329" s="117" t="str">
        <x:v>Not visually reviewed</x:v>
      </x:c>
      <x:c r="N329" s="117" t="str">
        <x:v>2026-09-08</x:v>
      </x:c>
    </x:row>
    <x:row r="330" ht="48" customHeight="1">
      <x:c r="A330" s="117" t="str">
        <x:v>MC0325</x:v>
      </x:c>
      <x:c r="B330" s="117" t="str">
        <x:v>Sultan Abdul Aziz Royal Gallery</x:v>
      </x:c>
      <x:c r="C330" s="117" t="n">
        <x:v>1</x:v>
      </x:c>
      <x:c r="D330" s="117" t="str">
        <x:v>https://thumb.wikimedia.org/wikipedia/commons/thumb/e/ed/Sultan_Abdul_Aziz_Royal_Gallery_%28211027%29.jpg/1280px-Sultan_Abdul_Aziz_Royal_Gallery_%28211027%29.jpg?utm_source=commons.wikimedia.org&amp;utm_campaign=imageinfo&amp;utm_content=thumbnail</x:v>
      </x:c>
      <x:c r="E330" s="117" t="str">
        <x:v>https://commons.wikimedia.org/wiki/File:Sultan_Abdul_Aziz_Royal_Gallery_(211027).jpg</x:v>
      </x:c>
      <x:c r="F330" s="117" t="str">
        <x:v>File:Sultan Abdul Aziz Royal Gallery (211027).jpg</x:v>
      </x:c>
      <x:c r="G330" s="117" t="str">
        <x:v>*angys*</x:v>
      </x:c>
      <x:c r="H330" s="117" t="str">
        <x:v>CC BY-SA 4.0</x:v>
      </x:c>
      <x:c r="I330" s="117" t="str">
        <x:v>https://creativecommons.org/licenses/by-sa/4.0</x:v>
      </x:c>
      <x:c r="J330" s="117" t="str">
        <x:v>true</x:v>
      </x:c>
      <x:c r="K330" s="117" t="str">
        <x:v>Own work</x:v>
      </x:c>
      <x:c r="L330" s="117" t="str">
        <x:v>Exact name or all distinctive place-name tokens in file metadata</x:v>
      </x:c>
      <x:c r="M330" s="117" t="str">
        <x:v>Not visually reviewed</x:v>
      </x:c>
      <x:c r="N330" s="117" t="str">
        <x:v>2026-09-08</x:v>
      </x:c>
    </x:row>
    <x:row r="331" ht="48" customHeight="1">
      <x:c r="A331" s="117" t="str">
        <x:v>MC0325</x:v>
      </x:c>
      <x:c r="B331" s="117" t="str">
        <x:v>Sultan Abdul Aziz Royal Gallery</x:v>
      </x:c>
      <x:c r="C331" s="117" t="n">
        <x:v>2</x:v>
      </x:c>
      <x:c r="D331" s="117" t="str">
        <x:v>https://thumb.wikimedia.org/wikipedia/commons/thumb/d/d9/SA_Sultan_Alam_Shah_Museum.jpg/1280px-SA_Sultan_Alam_Shah_Museum.jpg?utm_source=commons.wikimedia.org&amp;utm_campaign=imageinfo&amp;utm_content=thumbnail</x:v>
      </x:c>
      <x:c r="E331" s="117" t="str">
        <x:v>https://commons.wikimedia.org/wiki/File:SA_Sultan_Alam_Shah_Museum.jpg</x:v>
      </x:c>
      <x:c r="F331" s="117" t="str">
        <x:v>File:SA Sultan Alam Shah Museum.jpg</x:v>
      </x:c>
      <x:c r="G331" s="117" t="str">
        <x:v>Lerdsuwa</x:v>
      </x:c>
      <x:c r="H331" s="117" t="str">
        <x:v>CC BY-SA 3.0</x:v>
      </x:c>
      <x:c r="I331" s="117" t="str">
        <x:v>http://creativecommons.org/licenses/by-sa/3.0/</x:v>
      </x:c>
      <x:c r="J331" s="117" t="str">
        <x:v>true</x:v>
      </x:c>
      <x:c r="K331" s="117" t="str">
        <x:v>Own work</x:v>
      </x:c>
      <x:c r="L331" s="117" t="str">
        <x:v>Exact name or all distinctive place-name tokens in file metadata</x:v>
      </x:c>
      <x:c r="M331" s="117" t="str">
        <x:v>Not visually reviewed</x:v>
      </x:c>
      <x:c r="N331" s="117" t="str">
        <x:v>2026-09-08</x:v>
      </x:c>
    </x:row>
    <x:row r="332" ht="48" customHeight="1">
      <x:c r="A332" s="117" t="str">
        <x:v>MC0327</x:v>
      </x:c>
      <x:c r="B332" s="117" t="str">
        <x:v>Bukit Melawati</x:v>
      </x:c>
      <x:c r="C332" s="117" t="n">
        <x:v>1</x:v>
      </x:c>
      <x:c r="D332" s="117" t="str">
        <x:v>https://thumb.wikimedia.org/wikipedia/commons/thumb/d/de/Bukit_Melawati_cannons.jpg/1280px-Bukit_Melawati_cannons.jpg?utm_source=commons.wikimedia.org&amp;utm_campaign=imageinfo&amp;utm_content=thumbnail</x:v>
      </x:c>
      <x:c r="E332" s="117" t="str">
        <x:v>https://commons.wikimedia.org/wiki/File:Bukit_Melawati_cannons.jpg</x:v>
      </x:c>
      <x:c r="F332" s="117" t="str">
        <x:v>File:Bukit Melawati cannons.jpg</x:v>
      </x:c>
      <x:c r="G332" s="117" t="str">
        <x:v>Leonard Reback</x:v>
      </x:c>
      <x:c r="H332" s="117" t="str">
        <x:v>CC BY-SA 4.0</x:v>
      </x:c>
      <x:c r="I332" s="117" t="str">
        <x:v>https://creativecommons.org/licenses/by-sa/4.0</x:v>
      </x:c>
      <x:c r="J332" s="117" t="str">
        <x:v>true</x:v>
      </x:c>
      <x:c r="K332" s="117" t="str">
        <x:v>Own work</x:v>
      </x:c>
      <x:c r="L332" s="117" t="str">
        <x:v>Exact name or all distinctive place-name tokens in file metadata</x:v>
      </x:c>
      <x:c r="M332" s="117" t="str">
        <x:v>Not visually reviewed</x:v>
      </x:c>
      <x:c r="N332" s="117" t="str">
        <x:v>2026-09-08</x:v>
      </x:c>
    </x:row>
    <x:row r="333" ht="48" customHeight="1">
      <x:c r="A333" s="117" t="str">
        <x:v>MC0327</x:v>
      </x:c>
      <x:c r="B333" s="117" t="str">
        <x:v>Bukit Melawati</x:v>
      </x:c>
      <x:c r="C333" s="117" t="n">
        <x:v>2</x:v>
      </x:c>
      <x:c r="D333" s="117" t="str">
        <x:v>https://thumb.wikimedia.org/wikipedia/commons/thumb/8/84/Nature_%C2%B1_Bukit_Melawati_%C2%B1_Malaysia.jpg/1280px-Nature_%C2%B1_Bukit_Melawati_%C2%B1_Malaysia.jpg?utm_source=commons.wikimedia.org&amp;utm_campaign=imageinfo&amp;utm_content=thumbnail</x:v>
      </x:c>
      <x:c r="E333" s="117" t="str">
        <x:v>https://commons.wikimedia.org/wiki/File:Nature_%C2%B1_Bukit_Melawati_%C2%B1_Malaysia.jpg</x:v>
      </x:c>
      <x:c r="F333" s="117" t="str">
        <x:v>File:Nature ± Bukit Melawati ± Malaysia.jpg</x:v>
      </x:c>
      <x:c r="G333" s="117" t="str">
        <x:v>Jenyfer Joseph</x:v>
      </x:c>
      <x:c r="H333" s="117" t="str">
        <x:v>CC BY-SA 4.0</x:v>
      </x:c>
      <x:c r="I333" s="117" t="str">
        <x:v>https://creativecommons.org/licenses/by-sa/4.0</x:v>
      </x:c>
      <x:c r="J333" s="117" t="str">
        <x:v>true</x:v>
      </x:c>
      <x:c r="K333" s="117" t="str">
        <x:v>Own work</x:v>
      </x:c>
      <x:c r="L333" s="117" t="str">
        <x:v>Exact name or all distinctive place-name tokens in file metadata</x:v>
      </x:c>
      <x:c r="M333" s="117" t="str">
        <x:v>Not visually reviewed</x:v>
      </x:c>
      <x:c r="N333" s="117" t="str">
        <x:v>2026-09-08</x:v>
      </x:c>
    </x:row>
    <x:row r="334" ht="48" customHeight="1">
      <x:c r="A334" s="117" t="str">
        <x:v>MC0332</x:v>
      </x:c>
      <x:c r="B334" s="117" t="str">
        <x:v>Sungai Chiling Waterfall</x:v>
      </x:c>
      <x:c r="C334" s="117" t="n">
        <x:v>1</x:v>
      </x:c>
      <x:c r="D334" s="117" t="str">
        <x:v>https://upload.wikimedia.org/wikipedia/commons/4/4e/PITCHER_PLANT_1_0334.jpg?utm_source=commons.wikimedia.org&amp;utm_campaign=imageinfo&amp;utm_content=thumbnail_unscaled</x:v>
      </x:c>
      <x:c r="E334" s="117" t="str">
        <x:v>https://commons.wikimedia.org/wiki/File:PITCHER_PLANT_1_0334.jpg</x:v>
      </x:c>
      <x:c r="F334" s="117" t="str">
        <x:v>File:PITCHER PLANT 1 0334.jpg</x:v>
      </x:c>
      <x:c r="G334" s="117" t="str">
        <x:v>Hannah 50</x:v>
      </x:c>
      <x:c r="H334" s="117" t="str">
        <x:v>CC BY-SA 3.0</x:v>
      </x:c>
      <x:c r="I334" s="117" t="str">
        <x:v>https://creativecommons.org/licenses/by-sa/3.0</x:v>
      </x:c>
      <x:c r="J334" s="117" t="str">
        <x:v>true</x:v>
      </x:c>
      <x:c r="K334" s="117" t="str">
        <x:v>Own work by uploader - LOKE SENG HON</x:v>
      </x:c>
      <x:c r="L334" s="117" t="str">
        <x:v>Exact name or all distinctive place-name tokens in file metadata</x:v>
      </x:c>
      <x:c r="M334" s="117" t="str">
        <x:v>Not visually reviewed</x:v>
      </x:c>
      <x:c r="N334" s="117" t="str">
        <x:v>2026-09-08</x:v>
      </x:c>
    </x:row>
    <x:row r="335" ht="48" customHeight="1">
      <x:c r="A335" s="117" t="str">
        <x:v>MC0332</x:v>
      </x:c>
      <x:c r="B335" s="117" t="str">
        <x:v>Sungai Chiling Waterfall</x:v>
      </x:c>
      <x:c r="C335" s="117" t="n">
        <x:v>2</x:v>
      </x:c>
      <x:c r="D335" s="117" t="str">
        <x:v>https://upload.wikimedia.org/wikipedia/commons/9/98/PITCHER_PLANT_2_0020.jpg?utm_source=commons.wikimedia.org&amp;utm_campaign=imageinfo&amp;utm_content=thumbnail_unscaled</x:v>
      </x:c>
      <x:c r="E335" s="117" t="str">
        <x:v>https://commons.wikimedia.org/wiki/File:PITCHER_PLANT_2_0020.jpg</x:v>
      </x:c>
      <x:c r="F335" s="117" t="str">
        <x:v>File:PITCHER PLANT 2 0020.jpg</x:v>
      </x:c>
      <x:c r="G335" s="117" t="str">
        <x:v>Hannah 50</x:v>
      </x:c>
      <x:c r="H335" s="117" t="str">
        <x:v>CC BY-SA 3.0</x:v>
      </x:c>
      <x:c r="I335" s="117" t="str">
        <x:v>https://creativecommons.org/licenses/by-sa/3.0</x:v>
      </x:c>
      <x:c r="J335" s="117" t="str">
        <x:v>true</x:v>
      </x:c>
      <x:c r="K335" s="117" t="str">
        <x:v>Own work by uploader - LOKE SENG HON</x:v>
      </x:c>
      <x:c r="L335" s="117" t="str">
        <x:v>Exact name or all distinctive place-name tokens in file metadata</x:v>
      </x:c>
      <x:c r="M335" s="117" t="str">
        <x:v>Not visually reviewed</x:v>
      </x:c>
      <x:c r="N335" s="117" t="str">
        <x:v>2026-09-08</x:v>
      </x:c>
    </x:row>
    <x:row r="336" ht="48" customHeight="1">
      <x:c r="A336" s="117" t="str">
        <x:v>MC0335</x:v>
      </x:c>
      <x:c r="B336" s="117" t="str">
        <x:v>Taman Jaya</x:v>
      </x:c>
      <x:c r="C336" s="117" t="n">
        <x:v>1</x:v>
      </x:c>
      <x:c r="D336" s="117" t="str">
        <x:v>https://thumb.wikimedia.org/wikipedia/commons/thumb/d/da/Taman_Jaya_northbound_with_train_89.jpg/1280px-Taman_Jaya_northbound_with_train_89.jpg?utm_source=commons.wikimedia.org&amp;utm_campaign=imageinfo&amp;utm_content=thumbnail</x:v>
      </x:c>
      <x:c r="E336" s="117" t="str">
        <x:v>https://commons.wikimedia.org/wiki/File:Taman_Jaya_northbound_with_train_89.jpg</x:v>
      </x:c>
      <x:c r="F336" s="117" t="str">
        <x:v>File:Taman Jaya northbound with train 89.jpg</x:v>
      </x:c>
      <x:c r="G336" s="117" t="str">
        <x:v>Vincent60030</x:v>
      </x:c>
      <x:c r="H336" s="117" t="str">
        <x:v>CC BY-SA 4.0</x:v>
      </x:c>
      <x:c r="I336" s="117" t="str">
        <x:v>https://creativecommons.org/licenses/by-sa/4.0</x:v>
      </x:c>
      <x:c r="J336" s="117" t="str">
        <x:v>true</x:v>
      </x:c>
      <x:c r="K336" s="117" t="str">
        <x:v>Own work</x:v>
      </x:c>
      <x:c r="L336" s="117" t="str">
        <x:v>Exact name or all distinctive place-name tokens in file metadata</x:v>
      </x:c>
      <x:c r="M336" s="117" t="str">
        <x:v>Not visually reviewed</x:v>
      </x:c>
      <x:c r="N336" s="117" t="str">
        <x:v>2026-09-08</x:v>
      </x:c>
    </x:row>
    <x:row r="337" ht="48" customHeight="1">
      <x:c r="A337" s="117" t="str">
        <x:v>MC0335</x:v>
      </x:c>
      <x:c r="B337" s="117" t="str">
        <x:v>Taman Jaya</x:v>
      </x:c>
      <x:c r="C337" s="117" t="n">
        <x:v>2</x:v>
      </x:c>
      <x:c r="D337" s="117" t="str">
        <x:v>https://thumb.wikimedia.org/wikipedia/commons/thumb/6/62/Taman_Jaya_Bus_Bay_with_LRT_feeder_bus.jpg/1280px-Taman_Jaya_Bus_Bay_with_LRT_feeder_bus.jpg?utm_source=commons.wikimedia.org&amp;utm_campaign=imageinfo&amp;utm_content=thumbnail</x:v>
      </x:c>
      <x:c r="E337" s="117" t="str">
        <x:v>https://commons.wikimedia.org/wiki/File:Taman_Jaya_Bus_Bay_with_LRT_feeder_bus.jpg</x:v>
      </x:c>
      <x:c r="F337" s="117" t="str">
        <x:v>File:Taman Jaya Bus Bay with LRT feeder bus.jpg</x:v>
      </x:c>
      <x:c r="G337" s="117" t="str">
        <x:v>Vincent60030</x:v>
      </x:c>
      <x:c r="H337" s="117" t="str">
        <x:v>CC BY-SA 4.0</x:v>
      </x:c>
      <x:c r="I337" s="117" t="str">
        <x:v>https://creativecommons.org/licenses/by-sa/4.0</x:v>
      </x:c>
      <x:c r="J337" s="117" t="str">
        <x:v>true</x:v>
      </x:c>
      <x:c r="K337" s="117" t="str">
        <x:v>Own work</x:v>
      </x:c>
      <x:c r="L337" s="117" t="str">
        <x:v>Exact name or all distinctive place-name tokens in file metadata</x:v>
      </x:c>
      <x:c r="M337" s="117" t="str">
        <x:v>Not visually reviewed</x:v>
      </x:c>
      <x:c r="N337" s="117" t="str">
        <x:v>2026-09-08</x:v>
      </x:c>
    </x:row>
    <x:row r="338" ht="48" customHeight="1">
      <x:c r="A338" s="117" t="str">
        <x:v>MC0337</x:v>
      </x:c>
      <x:c r="B338" s="117" t="str">
        <x:v>Sepang International Circuit</x:v>
      </x:c>
      <x:c r="C338" s="117" t="n">
        <x:v>1</x:v>
      </x:c>
      <x:c r="D338" s="117" t="str">
        <x:v>https://thumb.wikimedia.org/wikipedia/commons/thumb/0/04/Sepang_tribune.jpg/1280px-Sepang_tribune.jpg?utm_source=commons.wikimedia.org&amp;utm_campaign=imageinfo&amp;utm_content=thumbnail</x:v>
      </x:c>
      <x:c r="E338" s="117" t="str">
        <x:v>https://commons.wikimedia.org/wiki/File:Sepang_tribune.jpg</x:v>
      </x:c>
      <x:c r="F338" s="117" t="str">
        <x:v>File:Sepang tribune.jpg</x:v>
      </x:c>
      <x:c r="G338" s="117" t="str">
        <x:v>Postmortem at Russian Wikipedia</x:v>
      </x:c>
      <x:c r="H338" s="117" t="str">
        <x:v>Public domain</x:v>
      </x:c>
      <x:c r="I338" s="117" t="str"/>
      <x:c r="J338" s="117" t="str">
        <x:v>false</x:v>
      </x:c>
      <x:c r="K338" s="117" t="str">
        <x:v>Transferred from ru.wikipedia to Commons by Sk using CommonsHelper.</x:v>
      </x:c>
      <x:c r="L338" s="117" t="str">
        <x:v>Exact name or all distinctive place-name tokens in file metadata</x:v>
      </x:c>
      <x:c r="M338" s="117" t="str">
        <x:v>Not visually reviewed</x:v>
      </x:c>
      <x:c r="N338" s="117" t="str">
        <x:v>2026-09-08</x:v>
      </x:c>
    </x:row>
    <x:row r="339" ht="48" customHeight="1">
      <x:c r="A339" s="117" t="str">
        <x:v>MC0337</x:v>
      </x:c>
      <x:c r="B339" s="117" t="str">
        <x:v>Sepang International Circuit</x:v>
      </x:c>
      <x:c r="C339" s="117" t="n">
        <x:v>2</x:v>
      </x:c>
      <x:c r="D339" s="117" t="str">
        <x:v>https://upload.wikimedia.org/wikipedia/commons/9/91/Petronas_Sepang_International_Circuit_Logo_%282023-now%29.png?utm_source=commons.wikimedia.org&amp;utm_campaign=imageinfo&amp;utm_content=thumbnail_unscaled</x:v>
      </x:c>
      <x:c r="E339" s="117" t="str">
        <x:v>https://commons.wikimedia.org/wiki/File:Petronas_Sepang_International_Circuit_Logo_(2023-now).png</x:v>
      </x:c>
      <x:c r="F339" s="117" t="str">
        <x:v>File:Petronas Sepang International Circuit Logo (2023-now).png</x:v>
      </x:c>
      <x:c r="G339" s="117" t="str"/>
      <x:c r="H339" s="117" t="str">
        <x:v>CC BY-SA 4.0</x:v>
      </x:c>
      <x:c r="I339" s="117" t="str">
        <x:v>https://creativecommons.org/licenses/by-sa/4.0</x:v>
      </x:c>
      <x:c r="J339" s="117" t="str">
        <x:v>true</x:v>
      </x:c>
      <x:c r="K339" s="117" t="str">
        <x:v>Petronas Sepang International Circuit Facebook</x:v>
      </x:c>
      <x:c r="L339" s="117" t="str">
        <x:v>Exact name or all distinctive place-name tokens in file metadata</x:v>
      </x:c>
      <x:c r="M339" s="117" t="str">
        <x:v>Not visually reviewed</x:v>
      </x:c>
      <x:c r="N339" s="117" t="str">
        <x:v>2026-09-08</x:v>
      </x:c>
    </x:row>
    <x:row r="340" ht="48" customHeight="1">
      <x:c r="A340" s="117" t="str">
        <x:v>MC0338</x:v>
      </x:c>
      <x:c r="B340" s="117" t="str">
        <x:v>Bagan Lalang Beach</x:v>
      </x:c>
      <x:c r="C340" s="117" t="n">
        <x:v>1</x:v>
      </x:c>
      <x:c r="D340" s="117" t="str">
        <x:v>https://thumb.wikimedia.org/wikipedia/commons/thumb/f/fc/Menara_Penyelamat_Pantai_APM_Pantai_Bagan_Lalang_%28220731%29_2.jpg/1280px-Menara_Penyelamat_Pantai_APM_Pantai_Bagan_Lalang_%28220731%29_2.jpg?utm_source=commons.wikimedia.org&amp;utm_campaign=imageinfo&amp;utm_content=thumbnail</x:v>
      </x:c>
      <x:c r="E340" s="117" t="str">
        <x:v>https://commons.wikimedia.org/wiki/File:Menara_Penyelamat_Pantai_APM_Pantai_Bagan_Lalang_(220731)_2.jpg</x:v>
      </x:c>
      <x:c r="F340" s="117" t="str">
        <x:v>File:Menara Penyelamat Pantai APM Pantai Bagan Lalang (220731) 2.jpg</x:v>
      </x:c>
      <x:c r="G340" s="117" t="str">
        <x:v>Wiki Farazi</x:v>
      </x:c>
      <x:c r="H340" s="117" t="str">
        <x:v>CC0</x:v>
      </x:c>
      <x:c r="I340" s="117" t="str">
        <x:v>http://creativecommons.org/publicdomain/zero/1.0/deed.en</x:v>
      </x:c>
      <x:c r="J340" s="117" t="str">
        <x:v>false</x:v>
      </x:c>
      <x:c r="K340" s="117" t="str">
        <x:v>Own work</x:v>
      </x:c>
      <x:c r="L340" s="117" t="str">
        <x:v>Exact name or all distinctive place-name tokens in file metadata</x:v>
      </x:c>
      <x:c r="M340" s="117" t="str">
        <x:v>Not visually reviewed</x:v>
      </x:c>
      <x:c r="N340" s="117" t="str">
        <x:v>2026-09-08</x:v>
      </x:c>
    </x:row>
    <x:row r="341" ht="48" customHeight="1">
      <x:c r="A341" s="117" t="str">
        <x:v>MC0342</x:v>
      </x:c>
      <x:c r="B341" s="117" t="str">
        <x:v>Redang Island</x:v>
      </x:c>
      <x:c r="C341" s="117" t="n">
        <x:v>1</x:v>
      </x:c>
      <x:c r="D341" s="117" t="str">
        <x:v>https://thumb.wikimedia.org/wikipedia/commons/thumb/2/27/Pasir_Panjang.JPG/1280px-Pasir_Panjang.JPG?utm_source=commons.wikimedia.org&amp;utm_campaign=imageinfo&amp;utm_content=thumbnail</x:v>
      </x:c>
      <x:c r="E341" s="117" t="str">
        <x:v>https://commons.wikimedia.org/wiki/File:Pasir_Panjang.JPG</x:v>
      </x:c>
      <x:c r="F341" s="117" t="str">
        <x:v>File:Pasir Panjang.JPG</x:v>
      </x:c>
      <x:c r="G341" s="117" t="str">
        <x:v>Singaporean</x:v>
      </x:c>
      <x:c r="H341" s="117" t="str">
        <x:v>Public domain</x:v>
      </x:c>
      <x:c r="I341" s="117" t="str"/>
      <x:c r="J341" s="117" t="str">
        <x:v>false</x:v>
      </x:c>
      <x:c r="K341" s="117" t="str">
        <x:v>Own work</x:v>
      </x:c>
      <x:c r="L341" s="117" t="str">
        <x:v>Exact name or all distinctive place-name tokens in file metadata</x:v>
      </x:c>
      <x:c r="M341" s="117" t="str">
        <x:v>Not visually reviewed</x:v>
      </x:c>
      <x:c r="N341" s="117" t="str">
        <x:v>2026-09-08</x:v>
      </x:c>
    </x:row>
    <x:row r="342" ht="48" customHeight="1">
      <x:c r="A342" s="117" t="str">
        <x:v>MC0342</x:v>
      </x:c>
      <x:c r="B342" s="117" t="str">
        <x:v>Redang Island</x:v>
      </x:c>
      <x:c r="C342" s="117" t="n">
        <x:v>2</x:v>
      </x:c>
      <x:c r="D342" s="117" t="str">
        <x:v>https://thumb.wikimedia.org/wikipedia/commons/thumb/7/78/Pulau_Redang_-_White_sandy_beach.jpg/1280px-Pulau_Redang_-_White_sandy_beach.jpg?utm_source=commons.wikimedia.org&amp;utm_campaign=imageinfo&amp;utm_content=thumbnail</x:v>
      </x:c>
      <x:c r="E342" s="117" t="str">
        <x:v>https://commons.wikimedia.org/wiki/File:Pulau_Redang_-_White_sandy_beach.jpg</x:v>
      </x:c>
      <x:c r="F342" s="117" t="str">
        <x:v>File:Pulau Redang - White sandy beach.jpg</x:v>
      </x:c>
      <x:c r="G342" s="117" t="str">
        <x:v>Azreey</x:v>
      </x:c>
      <x:c r="H342" s="117" t="str">
        <x:v>CC BY-SA 4.0</x:v>
      </x:c>
      <x:c r="I342" s="117" t="str">
        <x:v>https://creativecommons.org/licenses/by-sa/4.0</x:v>
      </x:c>
      <x:c r="J342" s="117" t="str">
        <x:v>true</x:v>
      </x:c>
      <x:c r="K342" s="117" t="str">
        <x:v>Own work</x:v>
      </x:c>
      <x:c r="L342" s="117" t="str">
        <x:v>Exact name or all distinctive place-name tokens in file metadata</x:v>
      </x:c>
      <x:c r="M342" s="117" t="str">
        <x:v>Not visually reviewed</x:v>
      </x:c>
      <x:c r="N342" s="117" t="str">
        <x:v>2026-09-08</x:v>
      </x:c>
    </x:row>
    <x:row r="343" ht="48" customHeight="1">
      <x:c r="A343" s="117" t="str">
        <x:v>MC0343</x:v>
      </x:c>
      <x:c r="B343" s="117" t="str">
        <x:v>Perhentian Islands</x:v>
      </x:c>
      <x:c r="C343" s="117" t="n">
        <x:v>1</x:v>
      </x:c>
      <x:c r="D343" s="117" t="str">
        <x:v>https://thumb.wikimedia.org/wikipedia/commons/thumb/e/ee/Perhentian_Besar%2C_Malaysia%2C_West_beach_2.jpg/1280px-Perhentian_Besar%2C_Malaysia%2C_West_beach_2.jpg?utm_source=commons.wikimedia.org&amp;utm_campaign=imageinfo&amp;utm_content=thumbnail</x:v>
      </x:c>
      <x:c r="E343" s="117" t="str">
        <x:v>https://commons.wikimedia.org/wiki/File:Perhentian_Besar,_Malaysia,_West_beach_2.jpg</x:v>
      </x:c>
      <x:c r="F343" s="117" t="str">
        <x:v>File:Perhentian Besar, Malaysia, West beach 2.jpg</x:v>
      </x:c>
      <x:c r="G343" s="117" t="str">
        <x:v>Vyacheslav Argenberg</x:v>
      </x:c>
      <x:c r="H343" s="117" t="str">
        <x:v>CC BY 4.0</x:v>
      </x:c>
      <x:c r="I343" s="117" t="str">
        <x:v>https://creativecommons.org/licenses/by/4.0</x:v>
      </x:c>
      <x:c r="J343" s="117" t="str">
        <x:v>true</x:v>
      </x:c>
      <x:c r="K343" s="117" t="str">
        <x:v>Own work</x:v>
      </x:c>
      <x:c r="L343" s="117" t="str">
        <x:v>Exact name or all distinctive place-name tokens in file metadata</x:v>
      </x:c>
      <x:c r="M343" s="117" t="str">
        <x:v>Not visually reviewed</x:v>
      </x:c>
      <x:c r="N343" s="117" t="str">
        <x:v>2026-09-08</x:v>
      </x:c>
    </x:row>
    <x:row r="344" ht="48" customHeight="1">
      <x:c r="A344" s="117" t="str">
        <x:v>MC0343</x:v>
      </x:c>
      <x:c r="B344" s="117" t="str">
        <x:v>Perhentian Islands</x:v>
      </x:c>
      <x:c r="C344" s="117" t="n">
        <x:v>2</x:v>
      </x:c>
      <x:c r="D344" s="117" t="str">
        <x:v>https://thumb.wikimedia.org/wikipedia/commons/thumb/f/fa/Perhentian_Islands%2C_Coastline%2C_Malaysia.jpg/1280px-Perhentian_Islands%2C_Coastline%2C_Malaysia.jpg?utm_source=commons.wikimedia.org&amp;utm_campaign=imageinfo&amp;utm_content=thumbnail</x:v>
      </x:c>
      <x:c r="E344" s="117" t="str">
        <x:v>https://commons.wikimedia.org/wiki/File:Perhentian_Islands,_Coastline,_Malaysia.jpg</x:v>
      </x:c>
      <x:c r="F344" s="117" t="str">
        <x:v>File:Perhentian Islands, Coastline, Malaysia.jpg</x:v>
      </x:c>
      <x:c r="G344" s="117" t="str">
        <x:v>Vyacheslav Argenberg</x:v>
      </x:c>
      <x:c r="H344" s="117" t="str">
        <x:v>CC BY 4.0</x:v>
      </x:c>
      <x:c r="I344" s="117" t="str">
        <x:v>https://creativecommons.org/licenses/by/4.0</x:v>
      </x:c>
      <x:c r="J344" s="117" t="str">
        <x:v>true</x:v>
      </x:c>
      <x:c r="K344" s="117" t="str">
        <x:v>Own work</x:v>
      </x:c>
      <x:c r="L344" s="117" t="str">
        <x:v>Exact name or all distinctive place-name tokens in file metadata</x:v>
      </x:c>
      <x:c r="M344" s="117" t="str">
        <x:v>Not visually reviewed</x:v>
      </x:c>
      <x:c r="N344" s="117" t="str">
        <x:v>2026-09-08</x:v>
      </x:c>
    </x:row>
    <x:row r="345" ht="48" customHeight="1">
      <x:c r="A345" s="117" t="str">
        <x:v>MC0345</x:v>
      </x:c>
      <x:c r="B345" s="117" t="str">
        <x:v>Terengganu State Museum</x:v>
      </x:c>
      <x:c r="C345" s="117" t="n">
        <x:v>1</x:v>
      </x:c>
      <x:c r="D345" s="117" t="str">
        <x:v>https://thumb.wikimedia.org/wikipedia/commons/thumb/9/96/Muzium_Negeri_Terengganu%2C_Kampung_Bukit_Losong_20240227_095051.jpg/1280px-Muzium_Negeri_Terengganu%2C_Kampung_Bukit_Losong_20240227_095051.jpg?utm_source=commons.wikimedia.org&amp;utm_campaign=imageinfo&amp;utm_content=thumbnail</x:v>
      </x:c>
      <x:c r="E345" s="117" t="str">
        <x:v>https://commons.wikimedia.org/wiki/File:Muzium_Negeri_Terengganu,_Kampung_Bukit_Losong_20240227_095051.jpg</x:v>
      </x:c>
      <x:c r="F345" s="117" t="str">
        <x:v>File:Muzium Negeri Terengganu, Kampung Bukit Losong 20240227 095051.jpg</x:v>
      </x:c>
      <x:c r="G345" s="117" t="str">
        <x:v>Wiki Farazi</x:v>
      </x:c>
      <x:c r="H345" s="117" t="str">
        <x:v>CC0</x:v>
      </x:c>
      <x:c r="I345" s="117" t="str">
        <x:v>http://creativecommons.org/publicdomain/zero/1.0/deed.en</x:v>
      </x:c>
      <x:c r="J345" s="117" t="str">
        <x:v>false</x:v>
      </x:c>
      <x:c r="K345" s="117" t="str">
        <x:v>Own work</x:v>
      </x:c>
      <x:c r="L345" s="117" t="str">
        <x:v>Exact name or all distinctive place-name tokens in file metadata</x:v>
      </x:c>
      <x:c r="M345" s="117" t="str">
        <x:v>Not visually reviewed</x:v>
      </x:c>
      <x:c r="N345" s="117" t="str">
        <x:v>2026-09-08</x:v>
      </x:c>
    </x:row>
    <x:row r="346" ht="48" customHeight="1">
      <x:c r="A346" s="117" t="str">
        <x:v>MC0346</x:v>
      </x:c>
      <x:c r="B346" s="117" t="str">
        <x:v>Crystal Mosque</x:v>
      </x:c>
      <x:c r="C346" s="117" t="n">
        <x:v>1</x:v>
      </x:c>
      <x:c r="D346" s="117" t="str">
        <x:v>https://thumb.wikimedia.org/wikipedia/commons/thumb/b/b5/Masjid_Kristal_%28Mei_2011%29.jpg/1280px-Masjid_Kristal_%28Mei_2011%29.jpg?utm_source=commons.wikimedia.org&amp;utm_campaign=imageinfo&amp;utm_content=thumbnail</x:v>
      </x:c>
      <x:c r="E346" s="117" t="str">
        <x:v>https://commons.wikimedia.org/wiki/File:Masjid_Kristal_(Mei_2011).jpg</x:v>
      </x:c>
      <x:c r="F346" s="117" t="str">
        <x:v>File:Masjid Kristal (Mei 2011).jpg</x:v>
      </x:c>
      <x:c r="G346" s="117" t="str">
        <x:v>Ikhwan Salleh</x:v>
      </x:c>
      <x:c r="H346" s="117" t="str">
        <x:v>CC BY-SA 4.0</x:v>
      </x:c>
      <x:c r="I346" s="117" t="str">
        <x:v>https://creativecommons.org/licenses/by-sa/4.0</x:v>
      </x:c>
      <x:c r="J346" s="117" t="str">
        <x:v>true</x:v>
      </x:c>
      <x:c r="K346" s="117" t="str">
        <x:v>Own work</x:v>
      </x:c>
      <x:c r="L346" s="117" t="str">
        <x:v>Exact name or all distinctive place-name tokens in file metadata</x:v>
      </x:c>
      <x:c r="M346" s="117" t="str">
        <x:v>Not visually reviewed</x:v>
      </x:c>
      <x:c r="N346" s="117" t="str">
        <x:v>2026-09-08</x:v>
      </x:c>
    </x:row>
    <x:row r="347" ht="48" customHeight="1">
      <x:c r="A347" s="117" t="str">
        <x:v>MC0346</x:v>
      </x:c>
      <x:c r="B347" s="117" t="str">
        <x:v>Crystal Mosque</x:v>
      </x:c>
      <x:c r="C347" s="117" t="n">
        <x:v>2</x:v>
      </x:c>
      <x:c r="D347" s="117" t="str">
        <x:v>https://thumb.wikimedia.org/wikipedia/commons/thumb/f/fa/Crystal_Mosque_Aerial_Shot_1.jpg/1280px-Crystal_Mosque_Aerial_Shot_1.jpg?utm_source=commons.wikimedia.org&amp;utm_campaign=imageinfo&amp;utm_content=thumbnail</x:v>
      </x:c>
      <x:c r="E347" s="117" t="str">
        <x:v>https://commons.wikimedia.org/wiki/File:Crystal_Mosque_Aerial_Shot_1.jpg</x:v>
      </x:c>
      <x:c r="F347" s="117" t="str">
        <x:v>File:Crystal Mosque Aerial Shot 1.jpg</x:v>
      </x:c>
      <x:c r="G347" s="117" t="str">
        <x:v>Saha 165</x:v>
      </x:c>
      <x:c r="H347" s="117" t="str">
        <x:v>CC BY 3.0</x:v>
      </x:c>
      <x:c r="I347" s="117" t="str">
        <x:v>https://creativecommons.org/licenses/by/3.0</x:v>
      </x:c>
      <x:c r="J347" s="117" t="str">
        <x:v>true</x:v>
      </x:c>
      <x:c r="K347" s="117" t="str">
        <x:v>YouTube: https://www.youtube.com/watch?v=8T9RD1QqHVM – View/save archived versions on archive.org</x:v>
      </x:c>
      <x:c r="L347" s="117" t="str">
        <x:v>Exact name or all distinctive place-name tokens in file metadata</x:v>
      </x:c>
      <x:c r="M347" s="117" t="str">
        <x:v>Not visually reviewed</x:v>
      </x:c>
      <x:c r="N347" s="117" t="str">
        <x:v>2026-09-08</x:v>
      </x:c>
    </x:row>
    <x:row r="348" ht="48" customHeight="1">
      <x:c r="A348" s="117" t="str">
        <x:v>MC0347</x:v>
      </x:c>
      <x:c r="B348" s="117" t="str">
        <x:v>Kenyir Lake</x:v>
      </x:c>
      <x:c r="C348" s="117" t="n">
        <x:v>1</x:v>
      </x:c>
      <x:c r="D348" s="117" t="str">
        <x:v>https://thumb.wikimedia.org/wikipedia/commons/thumb/b/b1/Kenyir_Lake_1.JPG/1280px-Kenyir_Lake_1.JPG?utm_source=commons.wikimedia.org&amp;utm_campaign=imageinfo&amp;utm_content=thumbnail</x:v>
      </x:c>
      <x:c r="E348" s="117" t="str">
        <x:v>https://commons.wikimedia.org/wiki/File:Kenyir_Lake_1.JPG</x:v>
      </x:c>
      <x:c r="F348" s="117" t="str">
        <x:v>File:Kenyir Lake 1.JPG</x:v>
      </x:c>
      <x:c r="G348" s="117" t="str">
        <x:v>RoB</x:v>
      </x:c>
      <x:c r="H348" s="117" t="str">
        <x:v>CC BY-SA 3.0</x:v>
      </x:c>
      <x:c r="I348" s="117" t="str">
        <x:v>https://creativecommons.org/licenses/by-sa/3.0</x:v>
      </x:c>
      <x:c r="J348" s="117" t="str">
        <x:v>true</x:v>
      </x:c>
      <x:c r="K348" s="117" t="str">
        <x:v>Own work</x:v>
      </x:c>
      <x:c r="L348" s="117" t="str">
        <x:v>Exact name or all distinctive place-name tokens in file metadata</x:v>
      </x:c>
      <x:c r="M348" s="117" t="str">
        <x:v>Not visually reviewed</x:v>
      </x:c>
      <x:c r="N348" s="117" t="str">
        <x:v>2026-09-08</x:v>
      </x:c>
    </x:row>
    <x:row r="349" ht="48" customHeight="1">
      <x:c r="A349" s="117" t="str">
        <x:v>MC0347</x:v>
      </x:c>
      <x:c r="B349" s="117" t="str">
        <x:v>Kenyir Lake</x:v>
      </x:c>
      <x:c r="C349" s="117" t="n">
        <x:v>2</x:v>
      </x:c>
      <x:c r="D349" s="117" t="str">
        <x:v>https://thumb.wikimedia.org/wikipedia/commons/thumb/d/d1/Kenyir_Lake_2.JPG/1280px-Kenyir_Lake_2.JPG?utm_source=commons.wikimedia.org&amp;utm_campaign=imageinfo&amp;utm_content=thumbnail</x:v>
      </x:c>
      <x:c r="E349" s="117" t="str">
        <x:v>https://commons.wikimedia.org/wiki/File:Kenyir_Lake_2.JPG</x:v>
      </x:c>
      <x:c r="F349" s="117" t="str">
        <x:v>File:Kenyir Lake 2.JPG</x:v>
      </x:c>
      <x:c r="G349" s="117" t="str">
        <x:v>RoB</x:v>
      </x:c>
      <x:c r="H349" s="117" t="str">
        <x:v>CC BY-SA 3.0</x:v>
      </x:c>
      <x:c r="I349" s="117" t="str">
        <x:v>https://creativecommons.org/licenses/by-sa/3.0</x:v>
      </x:c>
      <x:c r="J349" s="117" t="str">
        <x:v>true</x:v>
      </x:c>
      <x:c r="K349" s="117" t="str">
        <x:v>Own work</x:v>
      </x:c>
      <x:c r="L349" s="117" t="str">
        <x:v>Exact name or all distinctive place-name tokens in file metadata</x:v>
      </x:c>
      <x:c r="M349" s="117" t="str">
        <x:v>Not visually reviewed</x:v>
      </x:c>
      <x:c r="N349" s="117" t="str">
        <x:v>2026-09-08</x:v>
      </x:c>
    </x:row>
    <x:row r="350" ht="48" customHeight="1">
      <x:c r="A350" s="117" t="str">
        <x:v>MC0349</x:v>
      </x:c>
      <x:c r="B350" s="117" t="str">
        <x:v>Kampung Cina Kuala Terengganu</x:v>
      </x:c>
      <x:c r="C350" s="117" t="n">
        <x:v>1</x:v>
      </x:c>
      <x:c r="D350" s="117" t="str">
        <x:v>https://thumb.wikimedia.org/wikipedia/commons/thumb/9/9c/My_hometown%2C_Kuala_Terengganu.jpg/1280px-My_hometown%2C_Kuala_Terengganu.jpg?utm_source=commons.wikimedia.org&amp;utm_campaign=imageinfo&amp;utm_content=thumbnail</x:v>
      </x:c>
      <x:c r="E350" s="117" t="str">
        <x:v>https://commons.wikimedia.org/wiki/File:My_hometown,_Kuala_Terengganu.jpg</x:v>
      </x:c>
      <x:c r="F350" s="117" t="str">
        <x:v>File:My hometown, Kuala Terengganu.jpg</x:v>
      </x:c>
      <x:c r="G350" s="117" t="str">
        <x:v>Chan Ching Yee</x:v>
      </x:c>
      <x:c r="H350" s="117" t="str">
        <x:v>CC BY-SA 4.0</x:v>
      </x:c>
      <x:c r="I350" s="117" t="str">
        <x:v>https://creativecommons.org/licenses/by-sa/4.0</x:v>
      </x:c>
      <x:c r="J350" s="117" t="str">
        <x:v>true</x:v>
      </x:c>
      <x:c r="K350" s="117" t="str">
        <x:v>Own work</x:v>
      </x:c>
      <x:c r="L350" s="117" t="str">
        <x:v>Exact name or all distinctive place-name tokens in file metadata</x:v>
      </x:c>
      <x:c r="M350" s="117" t="str">
        <x:v>Not visually reviewed</x:v>
      </x:c>
      <x:c r="N350" s="117" t="str">
        <x:v>2026-09-08</x:v>
      </x:c>
    </x:row>
    <x:row r="351" ht="48" customHeight="1">
      <x:c r="A351" s="117" t="str">
        <x:v>MC0351</x:v>
      </x:c>
      <x:c r="B351" s="117" t="str">
        <x:v>Kampung Cina</x:v>
      </x:c>
      <x:c r="C351" s="117" t="n">
        <x:v>1</x:v>
      </x:c>
      <x:c r="D351" s="117" t="str">
        <x:v>https://thumb.wikimedia.org/wikipedia/commons/thumb/9/9c/My_hometown%2C_Kuala_Terengganu.jpg/1280px-My_hometown%2C_Kuala_Terengganu.jpg?utm_source=commons.wikimedia.org&amp;utm_campaign=imageinfo&amp;utm_content=thumbnail</x:v>
      </x:c>
      <x:c r="E351" s="117" t="str">
        <x:v>https://commons.wikimedia.org/wiki/File:My_hometown,_Kuala_Terengganu.jpg</x:v>
      </x:c>
      <x:c r="F351" s="117" t="str">
        <x:v>File:My hometown, Kuala Terengganu.jpg</x:v>
      </x:c>
      <x:c r="G351" s="117" t="str">
        <x:v>Chan Ching Yee</x:v>
      </x:c>
      <x:c r="H351" s="117" t="str">
        <x:v>CC BY-SA 4.0</x:v>
      </x:c>
      <x:c r="I351" s="117" t="str">
        <x:v>https://creativecommons.org/licenses/by-sa/4.0</x:v>
      </x:c>
      <x:c r="J351" s="117" t="str">
        <x:v>true</x:v>
      </x:c>
      <x:c r="K351" s="117" t="str">
        <x:v>Own work</x:v>
      </x:c>
      <x:c r="L351" s="117" t="str">
        <x:v>Exact name or all distinctive place-name tokens in file metadata</x:v>
      </x:c>
      <x:c r="M351" s="117" t="str">
        <x:v>Not visually reviewed</x:v>
      </x:c>
      <x:c r="N351" s="117" t="str">
        <x:v>2026-09-08</x:v>
      </x:c>
    </x:row>
    <x:row r="352" ht="48" customHeight="1">
      <x:c r="A352" s="117" t="str">
        <x:v>MC0352</x:v>
      </x:c>
      <x:c r="B352" s="117" t="str">
        <x:v>Pulau Duyong</x:v>
      </x:c>
      <x:c r="C352" s="117" t="n">
        <x:v>1</x:v>
      </x:c>
      <x:c r="D352" s="117" t="str">
        <x:v>https://upload.wikimedia.org/wikipedia/commons/5/50/Kuala_terengganu_harbour.jpg?utm_source=commons.wikimedia.org&amp;utm_campaign=imageinfo&amp;utm_content=thumbnail_unscaled</x:v>
      </x:c>
      <x:c r="E352" s="117" t="str">
        <x:v>https://commons.wikimedia.org/wiki/File:Kuala_terengganu_harbour.jpg</x:v>
      </x:c>
      <x:c r="F352" s="117" t="str">
        <x:v>File:Kuala terengganu harbour.jpg</x:v>
      </x:c>
      <x:c r="G352" s="117" t="str">
        <x:v>No machine-readable author provided. Nfika98 assumed (based on copyright claims).</x:v>
      </x:c>
      <x:c r="H352" s="117" t="str">
        <x:v>CC BY-SA 3.0</x:v>
      </x:c>
      <x:c r="I352" s="117" t="str">
        <x:v>https://creativecommons.org/licenses/by-sa/3.0</x:v>
      </x:c>
      <x:c r="J352" s="117" t="str">
        <x:v>true</x:v>
      </x:c>
      <x:c r="K352" s="117" t="str">
        <x:v>No machine-readable source provided. Own work assumed (based on copyright claims).</x:v>
      </x:c>
      <x:c r="L352" s="117" t="str">
        <x:v>Exact name or all distinctive place-name tokens in file metadata</x:v>
      </x:c>
      <x:c r="M352" s="117" t="str">
        <x:v>Not visually reviewed</x:v>
      </x:c>
      <x:c r="N352" s="117" t="str">
        <x:v>2026-09-08</x:v>
      </x:c>
    </x:row>
    <x:row r="353" ht="48" customHeight="1">
      <x:c r="A353" s="117" t="str">
        <x:v>MC0353</x:v>
      </x:c>
      <x:c r="B353" s="117" t="str">
        <x:v>Tengku Tengah Zaharah Mosque</x:v>
      </x:c>
      <x:c r="C353" s="117" t="n">
        <x:v>1</x:v>
      </x:c>
      <x:c r="D353" s="117" t="str">
        <x:v>https://upload.wikimedia.org/wikipedia/commons/3/3f/Floating_Mosque.jpg?utm_source=commons.wikimedia.org&amp;utm_campaign=imageinfo&amp;utm_content=thumbnail_unscaled</x:v>
      </x:c>
      <x:c r="E353" s="117" t="str">
        <x:v>https://commons.wikimedia.org/wiki/File:Floating_Mosque.jpg</x:v>
      </x:c>
      <x:c r="F353" s="117" t="str">
        <x:v>File:Floating Mosque.jpg</x:v>
      </x:c>
      <x:c r="G353" s="117" t="str">
        <x:v>bbbsheep from singa-po</x:v>
      </x:c>
      <x:c r="H353" s="117" t="str">
        <x:v>CC BY 2.0</x:v>
      </x:c>
      <x:c r="I353" s="117" t="str">
        <x:v>https://creativecommons.org/licenses/by/2.0</x:v>
      </x:c>
      <x:c r="J353" s="117" t="str">
        <x:v>true</x:v>
      </x:c>
      <x:c r="K353" s="117" t="str">
        <x:v>Floating Mosque</x:v>
      </x:c>
      <x:c r="L353" s="117" t="str">
        <x:v>Exact name or all distinctive place-name tokens in file metadata</x:v>
      </x:c>
      <x:c r="M353" s="117" t="str">
        <x:v>Not visually reviewed</x:v>
      </x:c>
      <x:c r="N353" s="117" t="str">
        <x:v>2026-09-08</x:v>
      </x:c>
    </x:row>
    <x:row r="354" ht="48" customHeight="1">
      <x:c r="A354" s="117" t="str">
        <x:v>MC0353</x:v>
      </x:c>
      <x:c r="B354" s="117" t="str">
        <x:v>Tengku Tengah Zaharah Mosque</x:v>
      </x:c>
      <x:c r="C354" s="117" t="n">
        <x:v>2</x:v>
      </x:c>
      <x:c r="D354" s="117" t="str">
        <x:v>https://thumb.wikimedia.org/wikipedia/commons/thumb/b/bd/Tengku_Tengah_Zaharah_Mosque_by_Fairus_Khafiz_Photo.jpg/1280px-Tengku_Tengah_Zaharah_Mosque_by_Fairus_Khafiz_Photo.jpg?utm_source=commons.wikimedia.org&amp;utm_campaign=imageinfo&amp;utm_content=thumbnail</x:v>
      </x:c>
      <x:c r="E354" s="117" t="str">
        <x:v>https://commons.wikimedia.org/wiki/File:Tengku_Tengah_Zaharah_Mosque_by_Fairus_Khafiz_Photo.jpg</x:v>
      </x:c>
      <x:c r="F354" s="117" t="str">
        <x:v>File:Tengku Tengah Zaharah Mosque by Fairus Khafiz Photo.jpg</x:v>
      </x:c>
      <x:c r="G354" s="117" t="str">
        <x:v>Fairuskhafiz</x:v>
      </x:c>
      <x:c r="H354" s="117" t="str">
        <x:v>CC BY-SA 4.0</x:v>
      </x:c>
      <x:c r="I354" s="117" t="str">
        <x:v>https://creativecommons.org/licenses/by-sa/4.0</x:v>
      </x:c>
      <x:c r="J354" s="117" t="str">
        <x:v>true</x:v>
      </x:c>
      <x:c r="K354" s="117" t="str">
        <x:v>Own work</x:v>
      </x:c>
      <x:c r="L354" s="117" t="str">
        <x:v>Exact name or all distinctive place-name tokens in file metadata</x:v>
      </x:c>
      <x:c r="M354" s="117" t="str">
        <x:v>Not visually reviewed</x:v>
      </x:c>
      <x:c r="N354" s="117" t="str">
        <x:v>2026-09-08</x:v>
      </x:c>
    </x:row>
    <x:row r="355" ht="48" customHeight="1">
      <x:c r="A355" s="117" t="str">
        <x:v>MC0354</x:v>
      </x:c>
      <x:c r="B355" s="117" t="str">
        <x:v>Setiu Wetlands</x:v>
      </x:c>
      <x:c r="C355" s="117" t="n">
        <x:v>1</x:v>
      </x:c>
      <x:c r="D355" s="117" t="str">
        <x:v>https://thumb.wikimedia.org/wikipedia/commons/thumb/6/6c/The_boardwalk_of_Setiu_Wetlands_State_Park.jpg/1280px-The_boardwalk_of_Setiu_Wetlands_State_Park.jpg?utm_source=commons.wikimedia.org&amp;utm_campaign=imageinfo&amp;utm_content=thumbnail</x:v>
      </x:c>
      <x:c r="E355" s="117" t="str">
        <x:v>https://commons.wikimedia.org/wiki/File:The_boardwalk_of_Setiu_Wetlands_State_Park.jpg</x:v>
      </x:c>
      <x:c r="F355" s="117" t="str">
        <x:v>File:The boardwalk of Setiu Wetlands State Park.jpg</x:v>
      </x:c>
      <x:c r="G355" s="117" t="str">
        <x:v>Fikku fiq</x:v>
      </x:c>
      <x:c r="H355" s="117" t="str">
        <x:v>CC BY 4.0</x:v>
      </x:c>
      <x:c r="I355" s="117" t="str">
        <x:v>https://creativecommons.org/licenses/by/4.0</x:v>
      </x:c>
      <x:c r="J355" s="117" t="str">
        <x:v>true</x:v>
      </x:c>
      <x:c r="K355" s="117" t="str">
        <x:v>Own work</x:v>
      </x:c>
      <x:c r="L355" s="117" t="str">
        <x:v>Exact name or all distinctive place-name tokens in file metadata</x:v>
      </x:c>
      <x:c r="M355" s="117" t="str">
        <x:v>Not visually reviewed</x:v>
      </x:c>
      <x:c r="N355" s="117" t="str">
        <x:v>2026-09-08</x:v>
      </x:c>
    </x:row>
    <x:row r="356" ht="48" customHeight="1">
      <x:c r="A356" s="117" t="str">
        <x:v>MC0354</x:v>
      </x:c>
      <x:c r="B356" s="117" t="str">
        <x:v>Setiu Wetlands</x:v>
      </x:c>
      <x:c r="C356" s="117" t="n">
        <x:v>2</x:v>
      </x:c>
      <x:c r="D356" s="117" t="str">
        <x:v>https://thumb.wikimedia.org/wikipedia/commons/thumb/f/fd/Panorama_of_Setiu_Wetlands_State_Park.jpg/1280px-Panorama_of_Setiu_Wetlands_State_Park.jpg?utm_source=commons.wikimedia.org&amp;utm_campaign=imageinfo&amp;utm_content=thumbnail</x:v>
      </x:c>
      <x:c r="E356" s="117" t="str">
        <x:v>https://commons.wikimedia.org/wiki/File:Panorama_of_Setiu_Wetlands_State_Park.jpg</x:v>
      </x:c>
      <x:c r="F356" s="117" t="str">
        <x:v>File:Panorama of Setiu Wetlands State Park.jpg</x:v>
      </x:c>
      <x:c r="G356" s="117" t="str">
        <x:v>Fikku fiq</x:v>
      </x:c>
      <x:c r="H356" s="117" t="str">
        <x:v>CC BY 4.0</x:v>
      </x:c>
      <x:c r="I356" s="117" t="str">
        <x:v>https://creativecommons.org/licenses/by/4.0</x:v>
      </x:c>
      <x:c r="J356" s="117" t="str">
        <x:v>true</x:v>
      </x:c>
      <x:c r="K356" s="117" t="str">
        <x:v>Own work</x:v>
      </x:c>
      <x:c r="L356" s="117" t="str">
        <x:v>Exact name or all distinctive place-name tokens in file metadata</x:v>
      </x:c>
      <x:c r="M356" s="117" t="str">
        <x:v>Not visually reviewed</x:v>
      </x:c>
      <x:c r="N356" s="117" t="str">
        <x:v>2026-09-08</x:v>
      </x:c>
    </x:row>
    <x:row r="357" ht="48" customHeight="1">
      <x:c r="A357" s="117" t="str">
        <x:v>MC0356</x:v>
      </x:c>
      <x:c r="B357" s="117" t="str">
        <x:v>Lang Tengah Island</x:v>
      </x:c>
      <x:c r="C357" s="117" t="n">
        <x:v>1</x:v>
      </x:c>
      <x:c r="D357" s="117" t="str">
        <x:v>https://upload.wikimedia.org/wikipedia/commons/e/e1/Lang_Tengah_-_panoramio.jpg?utm_source=commons.wikimedia.org&amp;utm_campaign=imageinfo&amp;utm_content=thumbnail_unscaled</x:v>
      </x:c>
      <x:c r="E357" s="117" t="str">
        <x:v>https://commons.wikimedia.org/wiki/File:Lang_Tengah_-_panoramio.jpg</x:v>
      </x:c>
      <x:c r="F357" s="117" t="str">
        <x:v>File:Lang Tengah - panoramio.jpg</x:v>
      </x:c>
      <x:c r="G357" s="117" t="str">
        <x:v>Rossano Bibalo</x:v>
      </x:c>
      <x:c r="H357" s="117" t="str">
        <x:v>CC BY-SA 3.0</x:v>
      </x:c>
      <x:c r="I357" s="117" t="str">
        <x:v>https://creativecommons.org/licenses/by-sa/3.0</x:v>
      </x:c>
      <x:c r="J357" s="117" t="str">
        <x:v>true</x:v>
      </x:c>
      <x:c r="K357" s="117" t="str">
        <x:v>https://web.archive.org/web/20161011043838/http://www.panoramio.com/photo/291625</x:v>
      </x:c>
      <x:c r="L357" s="117" t="str">
        <x:v>Exact name or all distinctive place-name tokens in file metadata</x:v>
      </x:c>
      <x:c r="M357" s="117" t="str">
        <x:v>Not visually reviewed</x:v>
      </x:c>
      <x:c r="N357" s="117" t="str">
        <x:v>2026-09-08</x:v>
      </x:c>
    </x:row>
    <x:row r="358" ht="48" customHeight="1">
      <x:c r="A358" s="117" t="str">
        <x:v>MC0356</x:v>
      </x:c>
      <x:c r="B358" s="117" t="str">
        <x:v>Lang Tengah Island</x:v>
      </x:c>
      <x:c r="C358" s="117" t="n">
        <x:v>2</x:v>
      </x:c>
      <x:c r="D358" s="117" t="str">
        <x:v>https://thumb.wikimedia.org/wikipedia/commons/thumb/e/ec/Lang_Tengah_Island_-_Beach_with_palm.jpg/1280px-Lang_Tengah_Island_-_Beach_with_palm.jpg?utm_source=commons.wikimedia.org&amp;utm_campaign=imageinfo&amp;utm_content=thumbnail</x:v>
      </x:c>
      <x:c r="E358" s="117" t="str">
        <x:v>https://commons.wikimedia.org/wiki/File:Lang_Tengah_Island_-_Beach_with_palm.jpg</x:v>
      </x:c>
      <x:c r="F358" s="117" t="str">
        <x:v>File:Lang Tengah Island - Beach with palm.jpg</x:v>
      </x:c>
      <x:c r="G358" s="117" t="str">
        <x:v>chee.hong</x:v>
      </x:c>
      <x:c r="H358" s="117" t="str">
        <x:v>CC BY 2.0</x:v>
      </x:c>
      <x:c r="I358" s="117" t="str">
        <x:v>https://creativecommons.org/licenses/by/2.0</x:v>
      </x:c>
      <x:c r="J358" s="117" t="str">
        <x:v>true</x:v>
      </x:c>
      <x:c r="K358" s="117" t="str">
        <x:v>https://www.flickr.com/photos/chleong/3899756469</x:v>
      </x:c>
      <x:c r="L358" s="117" t="str">
        <x:v>Exact name or all distinctive place-name tokens in file metadata</x:v>
      </x:c>
      <x:c r="M358" s="117" t="str">
        <x:v>Not visually reviewed</x:v>
      </x:c>
      <x:c r="N358" s="117" t="str">
        <x:v>2026-09-08</x:v>
      </x:c>
    </x:row>
    <x:row r="359" ht="48" customHeight="1">
      <x:c r="A359" s="117" t="str">
        <x:v>MC0357</x:v>
      </x:c>
      <x:c r="B359" s="117" t="str">
        <x:v>Perhentian Besar Island</x:v>
      </x:c>
      <x:c r="C359" s="117" t="n">
        <x:v>1</x:v>
      </x:c>
      <x:c r="D359" s="117" t="str">
        <x:v>https://thumb.wikimedia.org/wikipedia/commons/thumb/8/8c/Perhentian_Besar%2C_Malaysia%2C_Sunset_afterglow.jpg/1280px-Perhentian_Besar%2C_Malaysia%2C_Sunset_afterglow.jpg?utm_source=commons.wikimedia.org&amp;utm_campaign=imageinfo&amp;utm_content=thumbnail</x:v>
      </x:c>
      <x:c r="E359" s="117" t="str">
        <x:v>https://commons.wikimedia.org/wiki/File:Perhentian_Besar,_Malaysia,_Sunset_afterglow.jpg</x:v>
      </x:c>
      <x:c r="F359" s="117" t="str">
        <x:v>File:Perhentian Besar, Malaysia, Sunset afterglow.jpg</x:v>
      </x:c>
      <x:c r="G359" s="117" t="str">
        <x:v>Vyacheslav Argenberg</x:v>
      </x:c>
      <x:c r="H359" s="117" t="str">
        <x:v>CC BY 4.0</x:v>
      </x:c>
      <x:c r="I359" s="117" t="str">
        <x:v>https://creativecommons.org/licenses/by/4.0</x:v>
      </x:c>
      <x:c r="J359" s="117" t="str">
        <x:v>true</x:v>
      </x:c>
      <x:c r="K359" s="117" t="str">
        <x:v>Own work</x:v>
      </x:c>
      <x:c r="L359" s="117" t="str">
        <x:v>Exact name or all distinctive place-name tokens in file metadata</x:v>
      </x:c>
      <x:c r="M359" s="117" t="str">
        <x:v>Not visually reviewed</x:v>
      </x:c>
      <x:c r="N359" s="117" t="str">
        <x:v>2026-09-08</x:v>
      </x:c>
    </x:row>
    <x:row r="360" ht="48" customHeight="1">
      <x:c r="A360" s="117" t="str">
        <x:v>MC0357</x:v>
      </x:c>
      <x:c r="B360" s="117" t="str">
        <x:v>Perhentian Besar Island</x:v>
      </x:c>
      <x:c r="C360" s="117" t="n">
        <x:v>2</x:v>
      </x:c>
      <x:c r="D360" s="117" t="str">
        <x:v>https://thumb.wikimedia.org/wikipedia/commons/thumb/0/01/Perhentian_Islands%2C_Malaysia%2C_Trees_on_the_beach.jpg/1280px-Perhentian_Islands%2C_Malaysia%2C_Trees_on_the_beach.jpg?utm_source=commons.wikimedia.org&amp;utm_campaign=imageinfo&amp;utm_content=thumbnail</x:v>
      </x:c>
      <x:c r="E360" s="117" t="str">
        <x:v>https://commons.wikimedia.org/wiki/File:Perhentian_Islands,_Malaysia,_Trees_on_the_beach.jpg</x:v>
      </x:c>
      <x:c r="F360" s="117" t="str">
        <x:v>File:Perhentian Islands, Malaysia, Trees on the beach.jpg</x:v>
      </x:c>
      <x:c r="G360" s="117" t="str">
        <x:v>Vyacheslav Argenberg</x:v>
      </x:c>
      <x:c r="H360" s="117" t="str">
        <x:v>CC BY 4.0</x:v>
      </x:c>
      <x:c r="I360" s="117" t="str">
        <x:v>https://creativecommons.org/licenses/by/4.0</x:v>
      </x:c>
      <x:c r="J360" s="117" t="str">
        <x:v>true</x:v>
      </x:c>
      <x:c r="K360" s="117" t="str">
        <x:v>Own work</x:v>
      </x:c>
      <x:c r="L360" s="117" t="str">
        <x:v>Exact name or all distinctive place-name tokens in file metadata</x:v>
      </x:c>
      <x:c r="M360" s="117" t="str">
        <x:v>Not visually reviewed</x:v>
      </x:c>
      <x:c r="N360" s="117" t="str">
        <x:v>2026-09-08</x:v>
      </x:c>
    </x:row>
    <x:row r="361" ht="48" customHeight="1">
      <x:c r="A361" s="117" t="str">
        <x:v>MC0360</x:v>
      </x:c>
      <x:c r="B361" s="117" t="str">
        <x:v>Kapas Island</x:v>
      </x:c>
      <x:c r="C361" s="117" t="n">
        <x:v>1</x:v>
      </x:c>
      <x:c r="D361" s="117" t="str">
        <x:v>https://thumb.wikimedia.org/wikipedia/commons/thumb/2/2f/Kapas_Island%2C_Marang_District%2C_Terengganu%2C_Malaysia_trees.jpg/1280px-Kapas_Island%2C_Marang_District%2C_Terengganu%2C_Malaysia_trees.jpg?utm_source=commons.wikimedia.org&amp;utm_campaign=imageinfo&amp;utm_content=thumbnail</x:v>
      </x:c>
      <x:c r="E361" s="117" t="str">
        <x:v>https://commons.wikimedia.org/wiki/File:Kapas_Island,_Marang_District,_Terengganu,_Malaysia_trees.jpg</x:v>
      </x:c>
      <x:c r="F361" s="117" t="str">
        <x:v>File:Kapas Island, Marang District, Terengganu, Malaysia trees.jpg</x:v>
      </x:c>
      <x:c r="G361" s="117" t="str">
        <x:v>WorldTravleerAndPhotoTaker</x:v>
      </x:c>
      <x:c r="H361" s="117" t="str">
        <x:v>CC BY-SA 4.0</x:v>
      </x:c>
      <x:c r="I361" s="117" t="str">
        <x:v>https://creativecommons.org/licenses/by-sa/4.0</x:v>
      </x:c>
      <x:c r="J361" s="117" t="str">
        <x:v>true</x:v>
      </x:c>
      <x:c r="K361" s="117" t="str">
        <x:v>Own work</x:v>
      </x:c>
      <x:c r="L361" s="117" t="str">
        <x:v>Exact name or all distinctive place-name tokens in file metadata</x:v>
      </x:c>
      <x:c r="M361" s="117" t="str">
        <x:v>Not visually reviewed</x:v>
      </x:c>
      <x:c r="N361" s="117" t="str">
        <x:v>2026-09-08</x:v>
      </x:c>
    </x:row>
    <x:row r="362" ht="48" customHeight="1">
      <x:c r="A362" s="117" t="str">
        <x:v>MC0360</x:v>
      </x:c>
      <x:c r="B362" s="117" t="str">
        <x:v>Kapas Island</x:v>
      </x:c>
      <x:c r="C362" s="117" t="n">
        <x:v>2</x:v>
      </x:c>
      <x:c r="D362" s="117" t="str">
        <x:v>https://thumb.wikimedia.org/wikipedia/commons/thumb/2/25/View_of_Kapas_Island_from_far.jpg/1280px-View_of_Kapas_Island_from_far.jpg?utm_source=commons.wikimedia.org&amp;utm_campaign=imageinfo&amp;utm_content=thumbnail</x:v>
      </x:c>
      <x:c r="E362" s="117" t="str">
        <x:v>https://commons.wikimedia.org/wiki/File:View_of_Kapas_Island_from_far.jpg</x:v>
      </x:c>
      <x:c r="F362" s="117" t="str">
        <x:v>File:View of Kapas Island from far.jpg</x:v>
      </x:c>
      <x:c r="G362" s="117" t="str">
        <x:v>Pro QueeNia</x:v>
      </x:c>
      <x:c r="H362" s="117" t="str">
        <x:v>CC BY-SA 4.0</x:v>
      </x:c>
      <x:c r="I362" s="117" t="str">
        <x:v>https://creativecommons.org/licenses/by-sa/4.0</x:v>
      </x:c>
      <x:c r="J362" s="117" t="str">
        <x:v>true</x:v>
      </x:c>
      <x:c r="K362" s="117" t="str">
        <x:v>Own work</x:v>
      </x:c>
      <x:c r="L362" s="117" t="str">
        <x:v>Exact name or all distinctive place-name tokens in file metadata</x:v>
      </x:c>
      <x:c r="M362" s="117" t="str">
        <x:v>Not visually reviewed</x:v>
      </x:c>
      <x:c r="N362" s="117" t="str">
        <x:v>2026-09-08</x:v>
      </x:c>
    </x:row>
    <x:row r="363" ht="48" customHeight="1">
      <x:c r="A363" s="117" t="str">
        <x:v>MC0363</x:v>
      </x:c>
      <x:c r="B363" s="117" t="str">
        <x:v>Chemerong Waterfall</x:v>
      </x:c>
      <x:c r="C363" s="117" t="n">
        <x:v>1</x:v>
      </x:c>
      <x:c r="D363" s="117" t="str">
        <x:v>https://upload.wikimedia.org/wikipedia/commons/2/27/Jambatan_gantung_Hutan_Lipur_Chemerong.jpg?utm_source=commons.wikimedia.org&amp;utm_campaign=imageinfo&amp;utm_content=thumbnail_unscaled</x:v>
      </x:c>
      <x:c r="E363" s="117" t="str">
        <x:v>https://commons.wikimedia.org/wiki/File:Jambatan_gantung_Hutan_Lipur_Chemerong.jpg</x:v>
      </x:c>
      <x:c r="F363" s="117" t="str">
        <x:v>File:Jambatan gantung Hutan Lipur Chemerong.jpg</x:v>
      </x:c>
      <x:c r="G363" s="117" t="str">
        <x:v>NiaaPKTV</x:v>
      </x:c>
      <x:c r="H363" s="117" t="str">
        <x:v>CC BY-SA 4.0</x:v>
      </x:c>
      <x:c r="I363" s="117" t="str">
        <x:v>https://creativecommons.org/licenses/by-sa/4.0</x:v>
      </x:c>
      <x:c r="J363" s="117" t="str">
        <x:v>true</x:v>
      </x:c>
      <x:c r="K363" s="117" t="str">
        <x:v>Own work</x:v>
      </x:c>
      <x:c r="L363" s="117" t="str">
        <x:v>Exact name or all distinctive place-name tokens in file metadata</x:v>
      </x:c>
      <x:c r="M363" s="117" t="str">
        <x:v>Not visually reviewed</x:v>
      </x:c>
      <x:c r="N363" s="117" t="str">
        <x:v>2026-09-08</x:v>
      </x:c>
    </x:row>
    <x:row r="364" ht="48" customHeight="1">
      <x:c r="A364" s="117" t="str">
        <x:v>MC0363</x:v>
      </x:c>
      <x:c r="B364" s="117" t="str">
        <x:v>Chemerong Waterfall</x:v>
      </x:c>
      <x:c r="C364" s="117" t="n">
        <x:v>2</x:v>
      </x:c>
      <x:c r="D364" s="117" t="str">
        <x:v>https://upload.wikimedia.org/wikipedia/commons/f/f1/Nikmat_dapat_merasai_ketenangan_di_ait_terjun_Taman_Eko_Rimba_Chemerong.jpg?utm_source=commons.wikimedia.org&amp;utm_campaign=imageinfo&amp;utm_content=thumbnail_unscaled</x:v>
      </x:c>
      <x:c r="E364" s="117" t="str">
        <x:v>https://commons.wikimedia.org/wiki/File:Nikmat_dapat_merasai_ketenangan_di_ait_terjun_Taman_Eko_Rimba_Chemerong.jpg</x:v>
      </x:c>
      <x:c r="F364" s="117" t="str">
        <x:v>File:Nikmat dapat merasai ketenangan di ait terjun Taman Eko Rimba Chemerong.jpg</x:v>
      </x:c>
      <x:c r="G364" s="117" t="str">
        <x:v>CikgiMaddy</x:v>
      </x:c>
      <x:c r="H364" s="117" t="str">
        <x:v>CC BY-SA 4.0</x:v>
      </x:c>
      <x:c r="I364" s="117" t="str">
        <x:v>https://creativecommons.org/licenses/by-sa/4.0</x:v>
      </x:c>
      <x:c r="J364" s="117" t="str">
        <x:v>true</x:v>
      </x:c>
      <x:c r="K364" s="117" t="str">
        <x:v>Own work</x:v>
      </x:c>
      <x:c r="L364" s="117" t="str">
        <x:v>Exact name or all distinctive place-name tokens in file metadata</x:v>
      </x:c>
      <x:c r="M364" s="117" t="str">
        <x:v>Not visually reviewed</x:v>
      </x:c>
      <x:c r="N364" s="117" t="str">
        <x:v>2026-09-08</x:v>
      </x:c>
    </x:row>
    <x:row r="365" ht="48" customHeight="1">
      <x:c r="A365" s="117" t="str">
        <x:v>MC0365</x:v>
      </x:c>
      <x:c r="B365" s="117" t="str">
        <x:v>Kemasik Beach</x:v>
      </x:c>
      <x:c r="C365" s="117" t="n">
        <x:v>1</x:v>
      </x:c>
      <x:c r="D365" s="117" t="str">
        <x:v>https://thumb.wikimedia.org/wikipedia/commons/thumb/0/0d/Golden_hour_by_the_sea.jpg/1280px-Golden_hour_by_the_sea.jpg?utm_source=commons.wikimedia.org&amp;utm_campaign=imageinfo&amp;utm_content=thumbnail</x:v>
      </x:c>
      <x:c r="E365" s="117" t="str">
        <x:v>https://commons.wikimedia.org/wiki/File:Golden_hour_by_the_sea.jpg</x:v>
      </x:c>
      <x:c r="F365" s="117" t="str">
        <x:v>File:Golden hour by the sea.jpg</x:v>
      </x:c>
      <x:c r="G365" s="117" t="str">
        <x:v>Fahmi Rosli</x:v>
      </x:c>
      <x:c r="H365" s="117" t="str">
        <x:v>CC BY-SA 4.0</x:v>
      </x:c>
      <x:c r="I365" s="117" t="str">
        <x:v>https://creativecommons.org/licenses/by-sa/4.0</x:v>
      </x:c>
      <x:c r="J365" s="117" t="str">
        <x:v>true</x:v>
      </x:c>
      <x:c r="K365" s="117" t="str">
        <x:v>Own work</x:v>
      </x:c>
      <x:c r="L365" s="117" t="str">
        <x:v>Exact name or all distinctive place-name tokens in file metadata</x:v>
      </x:c>
      <x:c r="M365" s="117" t="str">
        <x:v>Not visually reviewed</x:v>
      </x:c>
      <x:c r="N365" s="117" t="str">
        <x:v>2026-09-08</x:v>
      </x:c>
    </x:row>
    <x:row r="366" ht="48" customHeight="1">
      <x:c r="A366" s="117" t="str">
        <x:v>MC0365</x:v>
      </x:c>
      <x:c r="B366" s="117" t="str">
        <x:v>Kemasik Beach</x:v>
      </x:c>
      <x:c r="C366" s="117" t="n">
        <x:v>2</x:v>
      </x:c>
      <x:c r="D366" s="117" t="str">
        <x:v>https://thumb.wikimedia.org/wikipedia/commons/thumb/e/e6/YosriPantaiKemasik1.jpg/1280px-YosriPantaiKemasik1.jpg?utm_source=commons.wikimedia.org&amp;utm_campaign=imageinfo&amp;utm_content=thumbnail</x:v>
      </x:c>
      <x:c r="E366" s="117" t="str">
        <x:v>https://commons.wikimedia.org/wiki/File:YosriPantaiKemasik1.jpg</x:v>
      </x:c>
      <x:c r="F366" s="117" t="str">
        <x:v>File:YosriPantaiKemasik1.jpg</x:v>
      </x:c>
      <x:c r="G366" s="117" t="str">
        <x:v>Yosri at ms.wikipedia</x:v>
      </x:c>
      <x:c r="H366" s="117" t="str">
        <x:v>GFDL</x:v>
      </x:c>
      <x:c r="I366" s="117" t="str">
        <x:v>http://www.gnu.org/copyleft/fdl.html</x:v>
      </x:c>
      <x:c r="J366" s="117" t="str">
        <x:v>true</x:v>
      </x:c>
      <x:c r="K366" s="117" t="str">
        <x:v>Own work
Transferred from ms.wikipedia</x:v>
      </x:c>
      <x:c r="L366" s="117" t="str">
        <x:v>Exact name or all distinctive place-name tokens in file metadata</x:v>
      </x:c>
      <x:c r="M366" s="117" t="str">
        <x:v>Not visually reviewed</x:v>
      </x:c>
      <x:c r="N366" s="117" t="str">
        <x:v>2026-09-08</x:v>
      </x:c>
    </x:row>
    <x:row r="367" ht="48" customHeight="1">
      <x:c r="A367" s="117" t="str">
        <x:v>MC0367</x:v>
      </x:c>
      <x:c r="B367" s="117" t="str">
        <x:v>Lake Kenyir</x:v>
      </x:c>
      <x:c r="C367" s="117" t="n">
        <x:v>1</x:v>
      </x:c>
      <x:c r="D367" s="117" t="str">
        <x:v>https://thumb.wikimedia.org/wikipedia/commons/thumb/b/b1/Kenyir_Lake_1.JPG/1280px-Kenyir_Lake_1.JPG?utm_source=commons.wikimedia.org&amp;utm_campaign=imageinfo&amp;utm_content=thumbnail</x:v>
      </x:c>
      <x:c r="E367" s="117" t="str">
        <x:v>https://commons.wikimedia.org/wiki/File:Kenyir_Lake_1.JPG</x:v>
      </x:c>
      <x:c r="F367" s="117" t="str">
        <x:v>File:Kenyir Lake 1.JPG</x:v>
      </x:c>
      <x:c r="G367" s="117" t="str">
        <x:v>RoB</x:v>
      </x:c>
      <x:c r="H367" s="117" t="str">
        <x:v>CC BY-SA 3.0</x:v>
      </x:c>
      <x:c r="I367" s="117" t="str">
        <x:v>https://creativecommons.org/licenses/by-sa/3.0</x:v>
      </x:c>
      <x:c r="J367" s="117" t="str">
        <x:v>true</x:v>
      </x:c>
      <x:c r="K367" s="117" t="str">
        <x:v>Own work</x:v>
      </x:c>
      <x:c r="L367" s="117" t="str">
        <x:v>Exact name or all distinctive place-name tokens in file metadata</x:v>
      </x:c>
      <x:c r="M367" s="117" t="str">
        <x:v>Not visually reviewed</x:v>
      </x:c>
      <x:c r="N367" s="117" t="str">
        <x:v>2026-09-08</x:v>
      </x:c>
    </x:row>
    <x:row r="368" ht="48" customHeight="1">
      <x:c r="A368" s="117" t="str">
        <x:v>MC0367</x:v>
      </x:c>
      <x:c r="B368" s="117" t="str">
        <x:v>Lake Kenyir</x:v>
      </x:c>
      <x:c r="C368" s="117" t="n">
        <x:v>2</x:v>
      </x:c>
      <x:c r="D368" s="117" t="str">
        <x:v>https://thumb.wikimedia.org/wikipedia/commons/thumb/d/d1/Kenyir_Lake_2.JPG/1280px-Kenyir_Lake_2.JPG?utm_source=commons.wikimedia.org&amp;utm_campaign=imageinfo&amp;utm_content=thumbnail</x:v>
      </x:c>
      <x:c r="E368" s="117" t="str">
        <x:v>https://commons.wikimedia.org/wiki/File:Kenyir_Lake_2.JPG</x:v>
      </x:c>
      <x:c r="F368" s="117" t="str">
        <x:v>File:Kenyir Lake 2.JPG</x:v>
      </x:c>
      <x:c r="G368" s="117" t="str">
        <x:v>RoB</x:v>
      </x:c>
      <x:c r="H368" s="117" t="str">
        <x:v>CC BY-SA 3.0</x:v>
      </x:c>
      <x:c r="I368" s="117" t="str">
        <x:v>https://creativecommons.org/licenses/by-sa/3.0</x:v>
      </x:c>
      <x:c r="J368" s="117" t="str">
        <x:v>true</x:v>
      </x:c>
      <x:c r="K368" s="117" t="str">
        <x:v>Own work</x:v>
      </x:c>
      <x:c r="L368" s="117" t="str">
        <x:v>Exact name or all distinctive place-name tokens in file metadata</x:v>
      </x:c>
      <x:c r="M368" s="117" t="str">
        <x:v>Not visually reviewed</x:v>
      </x:c>
      <x:c r="N368" s="117" t="str">
        <x:v>2026-09-08</x:v>
      </x:c>
    </x:row>
    <x:row r="369" ht="48" customHeight="1">
      <x:c r="A369" s="117" t="str">
        <x:v>MC0373</x:v>
      </x:c>
      <x:c r="B369" s="117" t="str">
        <x:v>Petronas Twin Towers</x:v>
      </x:c>
      <x:c r="C369" s="117" t="n">
        <x:v>1</x:v>
      </x:c>
      <x:c r="D369" s="117" t="str">
        <x:v>https://thumb.wikimedia.org/wikipedia/commons/thumb/5/5a/Petronas_Twin_Towera_from_KLCC_Park.jpg/1280px-Petronas_Twin_Towera_from_KLCC_Park.jpg?utm_source=commons.wikimedia.org&amp;utm_campaign=imageinfo&amp;utm_content=thumbnail</x:v>
      </x:c>
      <x:c r="E369" s="117" t="str">
        <x:v>https://commons.wikimedia.org/wiki/File:Petronas_Twin_Towera_from_KLCC_Park.jpg</x:v>
      </x:c>
      <x:c r="F369" s="117" t="str">
        <x:v>File:Petronas Twin Towera from KLCC Park.jpg</x:v>
      </x:c>
      <x:c r="G369" s="117" t="str">
        <x:v>Azreey</x:v>
      </x:c>
      <x:c r="H369" s="117" t="str">
        <x:v>CC BY-SA 4.0</x:v>
      </x:c>
      <x:c r="I369" s="117" t="str">
        <x:v>https://creativecommons.org/licenses/by-sa/4.0</x:v>
      </x:c>
      <x:c r="J369" s="117" t="str">
        <x:v>true</x:v>
      </x:c>
      <x:c r="K369" s="117" t="str">
        <x:v>Own work</x:v>
      </x:c>
      <x:c r="L369" s="117" t="str">
        <x:v>Exact name or all distinctive place-name tokens in file metadata</x:v>
      </x:c>
      <x:c r="M369" s="117" t="str">
        <x:v>Not visually reviewed</x:v>
      </x:c>
      <x:c r="N369" s="117" t="str">
        <x:v>2026-09-08</x:v>
      </x:c>
    </x:row>
    <x:row r="370" ht="48" customHeight="1">
      <x:c r="A370" s="117" t="str">
        <x:v>MC0373</x:v>
      </x:c>
      <x:c r="B370" s="117" t="str">
        <x:v>Petronas Twin Towers</x:v>
      </x:c>
      <x:c r="C370" s="117" t="n">
        <x:v>2</x:v>
      </x:c>
      <x:c r="D370" s="117" t="str">
        <x:v>https://thumb.wikimedia.org/wikipedia/commons/thumb/6/6d/Petronas_Twin_Towers_2010_April.jpg/1280px-Petronas_Twin_Towers_2010_April.jpg?utm_source=commons.wikimedia.org&amp;utm_campaign=imageinfo&amp;utm_content=thumbnail</x:v>
      </x:c>
      <x:c r="E370" s="117" t="str">
        <x:v>https://commons.wikimedia.org/wiki/File:Petronas_Twin_Towers_2010_April.jpg</x:v>
      </x:c>
      <x:c r="F370" s="117" t="str">
        <x:v>File:Petronas Twin Towers 2010 April.jpg</x:v>
      </x:c>
      <x:c r="G370" s="117" t="str">
        <x:v>Morio</x:v>
      </x:c>
      <x:c r="H370" s="117" t="str">
        <x:v>CC BY-SA 3.0</x:v>
      </x:c>
      <x:c r="I370" s="117" t="str">
        <x:v>http://creativecommons.org/licenses/by-sa/3.0/</x:v>
      </x:c>
      <x:c r="J370" s="117" t="str">
        <x:v>true</x:v>
      </x:c>
      <x:c r="K370" s="117" t="str">
        <x:v>Own work</x:v>
      </x:c>
      <x:c r="L370" s="117" t="str">
        <x:v>Exact name or all distinctive place-name tokens in file metadata</x:v>
      </x:c>
      <x:c r="M370" s="117" t="str">
        <x:v>Not visually reviewed</x:v>
      </x:c>
      <x:c r="N370" s="117" t="str">
        <x:v>2026-09-08</x:v>
      </x:c>
    </x:row>
    <x:row r="371" ht="48" customHeight="1">
      <x:c r="A371" s="117" t="str">
        <x:v>MC0374</x:v>
      </x:c>
      <x:c r="B371" s="117" t="str">
        <x:v>KLCC Park</x:v>
      </x:c>
      <x:c r="C371" s="117" t="n">
        <x:v>1</x:v>
      </x:c>
      <x:c r="D371" s="117" t="str">
        <x:v>https://thumb.wikimedia.org/wikipedia/commons/thumb/5/5a/Petronas_Twin_Towera_from_KLCC_Park.jpg/1280px-Petronas_Twin_Towera_from_KLCC_Park.jpg?utm_source=commons.wikimedia.org&amp;utm_campaign=imageinfo&amp;utm_content=thumbnail</x:v>
      </x:c>
      <x:c r="E371" s="117" t="str">
        <x:v>https://commons.wikimedia.org/wiki/File:Petronas_Twin_Towera_from_KLCC_Park.jpg</x:v>
      </x:c>
      <x:c r="F371" s="117" t="str">
        <x:v>File:Petronas Twin Towera from KLCC Park.jpg</x:v>
      </x:c>
      <x:c r="G371" s="117" t="str">
        <x:v>Azreey</x:v>
      </x:c>
      <x:c r="H371" s="117" t="str">
        <x:v>CC BY-SA 4.0</x:v>
      </x:c>
      <x:c r="I371" s="117" t="str">
        <x:v>https://creativecommons.org/licenses/by-sa/4.0</x:v>
      </x:c>
      <x:c r="J371" s="117" t="str">
        <x:v>true</x:v>
      </x:c>
      <x:c r="K371" s="117" t="str">
        <x:v>Own work</x:v>
      </x:c>
      <x:c r="L371" s="117" t="str">
        <x:v>Exact name or all distinctive place-name tokens in file metadata</x:v>
      </x:c>
      <x:c r="M371" s="117" t="str">
        <x:v>Not visually reviewed</x:v>
      </x:c>
      <x:c r="N371" s="117" t="str">
        <x:v>2026-09-08</x:v>
      </x:c>
    </x:row>
    <x:row r="372" ht="48" customHeight="1">
      <x:c r="A372" s="117" t="str">
        <x:v>MC0374</x:v>
      </x:c>
      <x:c r="B372" s="117" t="str">
        <x:v>KLCC Park</x:v>
      </x:c>
      <x:c r="C372" s="117" t="n">
        <x:v>2</x:v>
      </x:c>
      <x:c r="D372" s="117" t="str">
        <x:v>https://thumb.wikimedia.org/wikipedia/commons/thumb/2/24/Kuala_Lumpur._KLCC_Park._2019-12-09_22-22-58.jpg/1280px-Kuala_Lumpur._KLCC_Park._2019-12-09_22-22-58.jpg?utm_source=commons.wikimedia.org&amp;utm_campaign=imageinfo&amp;utm_content=thumbnail</x:v>
      </x:c>
      <x:c r="E372" s="117" t="str">
        <x:v>https://commons.wikimedia.org/wiki/File:Kuala_Lumpur._KLCC_Park._2019-12-09_22-22-58.jpg</x:v>
      </x:c>
      <x:c r="F372" s="117" t="str">
        <x:v>File:Kuala Lumpur. KLCC Park. 2019-12-09 22-22-58.jpg</x:v>
      </x:c>
      <x:c r="G372" s="117" t="str">
        <x:v>Shesmax</x:v>
      </x:c>
      <x:c r="H372" s="117" t="str">
        <x:v>CC BY-SA 4.0</x:v>
      </x:c>
      <x:c r="I372" s="117" t="str">
        <x:v>https://creativecommons.org/licenses/by-sa/4.0</x:v>
      </x:c>
      <x:c r="J372" s="117" t="str">
        <x:v>true</x:v>
      </x:c>
      <x:c r="K372" s="117" t="str">
        <x:v>Own work</x:v>
      </x:c>
      <x:c r="L372" s="117" t="str">
        <x:v>Exact name or all distinctive place-name tokens in file metadata</x:v>
      </x:c>
      <x:c r="M372" s="117" t="str">
        <x:v>Not visually reviewed</x:v>
      </x:c>
      <x:c r="N372" s="117" t="str">
        <x:v>2026-09-08</x:v>
      </x:c>
    </x:row>
    <x:row r="373" ht="48" customHeight="1">
      <x:c r="A373" s="117" t="str">
        <x:v>MC0375</x:v>
      </x:c>
      <x:c r="B373" s="117" t="str">
        <x:v>Aquaria KLCC</x:v>
      </x:c>
      <x:c r="C373" s="117" t="n">
        <x:v>1</x:v>
      </x:c>
      <x:c r="D373" s="117" t="str">
        <x:v>https://thumb.wikimedia.org/wikipedia/commons/thumb/8/8c/Underwater_tunnel_in_Aquaria_KLCC.jpg/1280px-Underwater_tunnel_in_Aquaria_KLCC.jpg?utm_source=commons.wikimedia.org&amp;utm_campaign=imageinfo&amp;utm_content=thumbnail</x:v>
      </x:c>
      <x:c r="E373" s="117" t="str">
        <x:v>https://commons.wikimedia.org/wiki/File:Underwater_tunnel_in_Aquaria_KLCC.jpg</x:v>
      </x:c>
      <x:c r="F373" s="117" t="str">
        <x:v>File:Underwater tunnel in Aquaria KLCC.jpg</x:v>
      </x:c>
      <x:c r="G373" s="117" t="str">
        <x:v>Phalinn Ooi from Kuala Lumpur, Malaysia</x:v>
      </x:c>
      <x:c r="H373" s="117" t="str">
        <x:v>CC BY 2.0</x:v>
      </x:c>
      <x:c r="I373" s="117" t="str">
        <x:v>https://creativecommons.org/licenses/by/2.0</x:v>
      </x:c>
      <x:c r="J373" s="117" t="str">
        <x:v>true</x:v>
      </x:c>
      <x:c r="K373" s="117" t="str">
        <x:v>Aquaria</x:v>
      </x:c>
      <x:c r="L373" s="117" t="str">
        <x:v>Exact name or all distinctive place-name tokens in file metadata</x:v>
      </x:c>
      <x:c r="M373" s="117" t="str">
        <x:v>Not visually reviewed</x:v>
      </x:c>
      <x:c r="N373" s="117" t="str">
        <x:v>2026-09-08</x:v>
      </x:c>
    </x:row>
    <x:row r="374" ht="48" customHeight="1">
      <x:c r="A374" s="117" t="str">
        <x:v>MC0377</x:v>
      </x:c>
      <x:c r="B374" s="117" t="str">
        <x:v>Perdana Botanical Gardens</x:v>
      </x:c>
      <x:c r="C374" s="117" t="n">
        <x:v>1</x:v>
      </x:c>
      <x:c r="D374" s="117" t="str">
        <x:v>https://thumb.wikimedia.org/wikipedia/commons/thumb/d/df/Perdana_Botanical_Garden_in_May_2020_01.jpg/1280px-Perdana_Botanical_Garden_in_May_2020_01.jpg?utm_source=commons.wikimedia.org&amp;utm_campaign=imageinfo&amp;utm_content=thumbnail</x:v>
      </x:c>
      <x:c r="E374" s="117" t="str">
        <x:v>https://commons.wikimedia.org/wiki/File:Perdana_Botanical_Garden_in_May_2020_01.jpg</x:v>
      </x:c>
      <x:c r="F374" s="117" t="str">
        <x:v>File:Perdana Botanical Garden in May 2020 01.jpg</x:v>
      </x:c>
      <x:c r="G374" s="117" t="str">
        <x:v>Renek78</x:v>
      </x:c>
      <x:c r="H374" s="117" t="str">
        <x:v>CC BY-SA 4.0</x:v>
      </x:c>
      <x:c r="I374" s="117" t="str">
        <x:v>https://creativecommons.org/licenses/by-sa/4.0</x:v>
      </x:c>
      <x:c r="J374" s="117" t="str">
        <x:v>true</x:v>
      </x:c>
      <x:c r="K374" s="117" t="str">
        <x:v>Own work</x:v>
      </x:c>
      <x:c r="L374" s="117" t="str">
        <x:v>Exact name or all distinctive place-name tokens in file metadata</x:v>
      </x:c>
      <x:c r="M374" s="117" t="str">
        <x:v>Not visually reviewed</x:v>
      </x:c>
      <x:c r="N374" s="117" t="str">
        <x:v>2026-09-08</x:v>
      </x:c>
    </x:row>
    <x:row r="375" ht="48" customHeight="1">
      <x:c r="A375" s="117" t="str">
        <x:v>MC0377</x:v>
      </x:c>
      <x:c r="B375" s="117" t="str">
        <x:v>Perdana Botanical Gardens</x:v>
      </x:c>
      <x:c r="C375" s="117" t="n">
        <x:v>2</x:v>
      </x:c>
      <x:c r="D375" s="117" t="str">
        <x:v>https://thumb.wikimedia.org/wikipedia/commons/thumb/2/20/KL_Sentral_from_Perdana_Botanical_Gardens..jpg/1280px-KL_Sentral_from_Perdana_Botanical_Gardens..jpg?utm_source=commons.wikimedia.org&amp;utm_campaign=imageinfo&amp;utm_content=thumbnail</x:v>
      </x:c>
      <x:c r="E375" s="117" t="str">
        <x:v>https://commons.wikimedia.org/wiki/File:KL_Sentral_from_Perdana_Botanical_Gardens..jpg</x:v>
      </x:c>
      <x:c r="F375" s="117" t="str">
        <x:v>File:KL Sentral from Perdana Botanical Gardens..jpg</x:v>
      </x:c>
      <x:c r="G375" s="117" t="str">
        <x:v>Azreey</x:v>
      </x:c>
      <x:c r="H375" s="117" t="str">
        <x:v>CC BY-SA 4.0</x:v>
      </x:c>
      <x:c r="I375" s="117" t="str">
        <x:v>https://creativecommons.org/licenses/by-sa/4.0</x:v>
      </x:c>
      <x:c r="J375" s="117" t="str">
        <x:v>true</x:v>
      </x:c>
      <x:c r="K375" s="117" t="str">
        <x:v>Own work</x:v>
      </x:c>
      <x:c r="L375" s="117" t="str">
        <x:v>Exact name or all distinctive place-name tokens in file metadata</x:v>
      </x:c>
      <x:c r="M375" s="117" t="str">
        <x:v>Not visually reviewed</x:v>
      </x:c>
      <x:c r="N375" s="117" t="str">
        <x:v>2026-09-08</x:v>
      </x:c>
    </x:row>
    <x:row r="376" ht="48" customHeight="1">
      <x:c r="A376" s="117" t="str">
        <x:v>MC0378</x:v>
      </x:c>
      <x:c r="B376" s="117" t="str">
        <x:v>Islamic Arts Museum Malaysia</x:v>
      </x:c>
      <x:c r="C376" s="117" t="n">
        <x:v>1</x:v>
      </x:c>
      <x:c r="D376" s="117" t="str">
        <x:v>https://thumb.wikimedia.org/wikipedia/commons/thumb/8/88/Islamic_Arts_Museum_Malaysia_Exterior_%28May_2022%29_-_img_02.jpg/1280px-Islamic_Arts_Museum_Malaysia_Exterior_%28May_2022%29_-_img_02.jpg?utm_source=commons.wikimedia.org&amp;utm_campaign=imageinfo&amp;utm_content=thumbnail</x:v>
      </x:c>
      <x:c r="E376" s="117" t="str">
        <x:v>https://commons.wikimedia.org/wiki/File:Islamic_Arts_Museum_Malaysia_Exterior_(May_2022)_-_img_02.jpg</x:v>
      </x:c>
      <x:c r="F376" s="117" t="str">
        <x:v>File:Islamic Arts Museum Malaysia Exterior (May 2022) - img 02.jpg</x:v>
      </x:c>
      <x:c r="G376" s="117" t="str">
        <x:v>Chainwit.</x:v>
      </x:c>
      <x:c r="H376" s="117" t="str">
        <x:v>CC BY-SA 4.0</x:v>
      </x:c>
      <x:c r="I376" s="117" t="str">
        <x:v>https://creativecommons.org/licenses/by-sa/4.0</x:v>
      </x:c>
      <x:c r="J376" s="117" t="str">
        <x:v>true</x:v>
      </x:c>
      <x:c r="K376" s="117" t="str">
        <x:v>Own work</x:v>
      </x:c>
      <x:c r="L376" s="117" t="str">
        <x:v>Exact name or all distinctive place-name tokens in file metadata</x:v>
      </x:c>
      <x:c r="M376" s="117" t="str">
        <x:v>Not visually reviewed</x:v>
      </x:c>
      <x:c r="N376" s="117" t="str">
        <x:v>2026-09-08</x:v>
      </x:c>
    </x:row>
    <x:row r="377" ht="48" customHeight="1">
      <x:c r="A377" s="117" t="str">
        <x:v>MC0379</x:v>
      </x:c>
      <x:c r="B377" s="117" t="str">
        <x:v>National Museum of Malaysia</x:v>
      </x:c>
      <x:c r="C377" s="117" t="n">
        <x:v>1</x:v>
      </x:c>
      <x:c r="D377" s="117" t="str">
        <x:v>https://thumb.wikimedia.org/wikipedia/commons/thumb/b/b6/Muzium_Negara%2C_2023_%2801%29.jpg/1280px-Muzium_Negara%2C_2023_%2801%29.jpg?utm_source=commons.wikimedia.org&amp;utm_campaign=imageinfo&amp;utm_content=thumbnail</x:v>
      </x:c>
      <x:c r="E377" s="117" t="str">
        <x:v>https://commons.wikimedia.org/wiki/File:Muzium_Negara,_2023_(01).jpg</x:v>
      </x:c>
      <x:c r="F377" s="117" t="str">
        <x:v>File:Muzium Negara, 2023 (01).jpg</x:v>
      </x:c>
      <x:c r="G377" s="117" t="str">
        <x:v>Bahnfrend</x:v>
      </x:c>
      <x:c r="H377" s="117" t="str">
        <x:v>CC BY-SA 4.0</x:v>
      </x:c>
      <x:c r="I377" s="117" t="str">
        <x:v>https://creativecommons.org/licenses/by-sa/4.0</x:v>
      </x:c>
      <x:c r="J377" s="117" t="str">
        <x:v>true</x:v>
      </x:c>
      <x:c r="K377" s="117" t="str">
        <x:v>Own work</x:v>
      </x:c>
      <x:c r="L377" s="117" t="str">
        <x:v>Exact name or all distinctive place-name tokens in file metadata</x:v>
      </x:c>
      <x:c r="M377" s="117" t="str">
        <x:v>Not visually reviewed</x:v>
      </x:c>
      <x:c r="N377" s="117" t="str">
        <x:v>2026-09-08</x:v>
      </x:c>
    </x:row>
    <x:row r="378" ht="48" customHeight="1">
      <x:c r="A378" s="117" t="str">
        <x:v>MC0380</x:v>
      </x:c>
      <x:c r="B378" s="117" t="str">
        <x:v>Thean Hou Temple</x:v>
      </x:c>
      <x:c r="C378" s="117" t="n">
        <x:v>1</x:v>
      </x:c>
      <x:c r="D378" s="117" t="str">
        <x:v>https://thumb.wikimedia.org/wikipedia/commons/thumb/7/75/Thean_Hou_Temple_outview_%28220116%29.jpg/1280px-Thean_Hou_Temple_outview_%28220116%29.jpg?utm_source=commons.wikimedia.org&amp;utm_campaign=imageinfo&amp;utm_content=thumbnail</x:v>
      </x:c>
      <x:c r="E378" s="117" t="str">
        <x:v>https://commons.wikimedia.org/wiki/File:Thean_Hou_Temple_outview_(220116).jpg</x:v>
      </x:c>
      <x:c r="F378" s="117" t="str">
        <x:v>File:Thean Hou Temple outview (220116).jpg</x:v>
      </x:c>
      <x:c r="G378" s="117" t="str">
        <x:v>*angys*</x:v>
      </x:c>
      <x:c r="H378" s="117" t="str">
        <x:v>CC BY-SA 4.0</x:v>
      </x:c>
      <x:c r="I378" s="117" t="str">
        <x:v>https://creativecommons.org/licenses/by-sa/4.0</x:v>
      </x:c>
      <x:c r="J378" s="117" t="str">
        <x:v>true</x:v>
      </x:c>
      <x:c r="K378" s="117" t="str">
        <x:v>Own work</x:v>
      </x:c>
      <x:c r="L378" s="117" t="str">
        <x:v>Exact name or all distinctive place-name tokens in file metadata</x:v>
      </x:c>
      <x:c r="M378" s="117" t="str">
        <x:v>Not visually reviewed</x:v>
      </x:c>
      <x:c r="N378" s="117" t="str">
        <x:v>2026-09-08</x:v>
      </x:c>
    </x:row>
    <x:row r="379" ht="48" customHeight="1">
      <x:c r="A379" s="117" t="str">
        <x:v>MC0380</x:v>
      </x:c>
      <x:c r="B379" s="117" t="str">
        <x:v>Thean Hou Temple</x:v>
      </x:c>
      <x:c r="C379" s="117" t="n">
        <x:v>2</x:v>
      </x:c>
      <x:c r="D379" s="117" t="str">
        <x:v>https://thumb.wikimedia.org/wikipedia/commons/thumb/0/05/Thean_How_Temple%2C_KL._Upper_gateway._2019-12-08_13-19-22_%28side-by-side%29.jpg/1280px-Thean_How_Temple%2C_KL._Upper_gateway._2019-12-08_13-19-22_%28side-by-side%29.jpg?utm_source=commons.wikimedia.org&amp;utm_campaign=imageinfo&amp;utm_content=thumbnail</x:v>
      </x:c>
      <x:c r="E379" s="117" t="str">
        <x:v>https://commons.wikimedia.org/wiki/File:Thean_How_Temple,_KL._Upper_gateway._2019-12-08_13-19-22_(side-by-side).jpg</x:v>
      </x:c>
      <x:c r="F379" s="117" t="str">
        <x:v>File:Thean How Temple, KL. Upper gateway. 2019-12-08 13-19-22 (side-by-side).jpg</x:v>
      </x:c>
      <x:c r="G379" s="117" t="str">
        <x:v>Shesmax</x:v>
      </x:c>
      <x:c r="H379" s="117" t="str">
        <x:v>CC BY-SA 4.0</x:v>
      </x:c>
      <x:c r="I379" s="117" t="str">
        <x:v>https://creativecommons.org/licenses/by-sa/4.0</x:v>
      </x:c>
      <x:c r="J379" s="117" t="str">
        <x:v>true</x:v>
      </x:c>
      <x:c r="K379" s="117" t="str">
        <x:v>Own work</x:v>
      </x:c>
      <x:c r="L379" s="117" t="str">
        <x:v>Exact name or all distinctive place-name tokens in file metadata</x:v>
      </x:c>
      <x:c r="M379" s="117" t="str">
        <x:v>Not visually reviewed</x:v>
      </x:c>
      <x:c r="N379" s="117" t="str">
        <x:v>2026-09-08</x:v>
      </x:c>
    </x:row>
    <x:row r="380" ht="48" customHeight="1">
      <x:c r="A380" s="117" t="str">
        <x:v>MC0382</x:v>
      </x:c>
      <x:c r="B380" s="117" t="str">
        <x:v>Pavilion Kuala Lumpur</x:v>
      </x:c>
      <x:c r="C380" s="117" t="n">
        <x:v>1</x:v>
      </x:c>
      <x:c r="D380" s="117" t="str">
        <x:v>https://thumb.wikimedia.org/wikipedia/commons/thumb/9/95/Pavilion_KL_outview_2_%28211030%29.jpg/1280px-Pavilion_KL_outview_2_%28211030%29.jpg?utm_source=commons.wikimedia.org&amp;utm_campaign=imageinfo&amp;utm_content=thumbnail</x:v>
      </x:c>
      <x:c r="E380" s="117" t="str">
        <x:v>https://commons.wikimedia.org/wiki/File:Pavilion_KL_outview_2_(211030).jpg</x:v>
      </x:c>
      <x:c r="F380" s="117" t="str">
        <x:v>File:Pavilion KL outview 2 (211030).jpg</x:v>
      </x:c>
      <x:c r="G380" s="117" t="str">
        <x:v>*angys*</x:v>
      </x:c>
      <x:c r="H380" s="117" t="str">
        <x:v>CC BY-SA 4.0</x:v>
      </x:c>
      <x:c r="I380" s="117" t="str">
        <x:v>https://creativecommons.org/licenses/by-sa/4.0</x:v>
      </x:c>
      <x:c r="J380" s="117" t="str">
        <x:v>true</x:v>
      </x:c>
      <x:c r="K380" s="117" t="str">
        <x:v>Own work</x:v>
      </x:c>
      <x:c r="L380" s="117" t="str">
        <x:v>Exact name or all distinctive place-name tokens in file metadata</x:v>
      </x:c>
      <x:c r="M380" s="117" t="str">
        <x:v>Not visually reviewed</x:v>
      </x:c>
      <x:c r="N380" s="117" t="str">
        <x:v>2026-09-08</x:v>
      </x:c>
    </x:row>
    <x:row r="381" ht="48" customHeight="1">
      <x:c r="A381" s="117" t="str">
        <x:v>MC0382</x:v>
      </x:c>
      <x:c r="B381" s="117" t="str">
        <x:v>Pavilion Kuala Lumpur</x:v>
      </x:c>
      <x:c r="C381" s="117" t="n">
        <x:v>2</x:v>
      </x:c>
      <x:c r="D381" s="117" t="str">
        <x:v>https://thumb.wikimedia.org/wikipedia/commons/thumb/9/9a/Pavilion_KL_-_Jalan_Bukit_Bintang_frontage.jpg/1280px-Pavilion_KL_-_Jalan_Bukit_Bintang_frontage.jpg?utm_source=commons.wikimedia.org&amp;utm_campaign=imageinfo&amp;utm_content=thumbnail</x:v>
      </x:c>
      <x:c r="E381" s="117" t="str">
        <x:v>https://commons.wikimedia.org/wiki/File:Pavilion_KL_-_Jalan_Bukit_Bintang_frontage.jpg</x:v>
      </x:c>
      <x:c r="F381" s="117" t="str">
        <x:v>File:Pavilion KL - Jalan Bukit Bintang frontage.jpg</x:v>
      </x:c>
      <x:c r="G381" s="117" t="str">
        <x:v>Azreey</x:v>
      </x:c>
      <x:c r="H381" s="117" t="str">
        <x:v>CC BY-SA 4.0</x:v>
      </x:c>
      <x:c r="I381" s="117" t="str">
        <x:v>https://creativecommons.org/licenses/by-sa/4.0</x:v>
      </x:c>
      <x:c r="J381" s="117" t="str">
        <x:v>true</x:v>
      </x:c>
      <x:c r="K381" s="117" t="str">
        <x:v>Own work</x:v>
      </x:c>
      <x:c r="L381" s="117" t="str">
        <x:v>Exact name or all distinctive place-name tokens in file metadata</x:v>
      </x:c>
      <x:c r="M381" s="117" t="str">
        <x:v>Not visually reviewed</x:v>
      </x:c>
      <x:c r="N381" s="117" t="str">
        <x:v>2026-09-08</x:v>
      </x:c>
    </x:row>
    <x:row r="382" ht="48" customHeight="1">
      <x:c r="A382" s="117" t="str">
        <x:v>MC0383</x:v>
      </x:c>
      <x:c r="B382" s="117" t="str">
        <x:v>Petaling Street</x:v>
      </x:c>
      <x:c r="C382" s="117" t="n">
        <x:v>1</x:v>
      </x:c>
      <x:c r="D382" s="117" t="str">
        <x:v>https://thumb.wikimedia.org/wikipedia/commons/thumb/0/06/Petaling_Street_Green_Dragon.jpg/1280px-Petaling_Street_Green_Dragon.jpg?utm_source=commons.wikimedia.org&amp;utm_campaign=imageinfo&amp;utm_content=thumbnail</x:v>
      </x:c>
      <x:c r="E382" s="117" t="str">
        <x:v>https://commons.wikimedia.org/wiki/File:Petaling_Street_Green_Dragon.jpg</x:v>
      </x:c>
      <x:c r="F382" s="117" t="str">
        <x:v>File:Petaling Street Green Dragon.jpg</x:v>
      </x:c>
      <x:c r="G382" s="117" t="str">
        <x:v>Goosmurft</x:v>
      </x:c>
      <x:c r="H382" s="117" t="str">
        <x:v>CC BY-SA 2.0</x:v>
      </x:c>
      <x:c r="I382" s="117" t="str">
        <x:v>https://creativecommons.org/licenses/by-sa/2.0</x:v>
      </x:c>
      <x:c r="J382" s="117" t="str">
        <x:v>true</x:v>
      </x:c>
      <x:c r="K382" s="117" t="str">
        <x:v>https://www.flickr.com/photos/goosmurf/2138087930/sizes/l/</x:v>
      </x:c>
      <x:c r="L382" s="117" t="str">
        <x:v>Exact name or all distinctive place-name tokens in file metadata</x:v>
      </x:c>
      <x:c r="M382" s="117" t="str">
        <x:v>Not visually reviewed</x:v>
      </x:c>
      <x:c r="N382" s="117" t="str">
        <x:v>2026-09-08</x:v>
      </x:c>
    </x:row>
    <x:row r="383" ht="48" customHeight="1">
      <x:c r="A383" s="117" t="str">
        <x:v>MC0383</x:v>
      </x:c>
      <x:c r="B383" s="117" t="str">
        <x:v>Petaling Street</x:v>
      </x:c>
      <x:c r="C383" s="117" t="n">
        <x:v>2</x:v>
      </x:c>
      <x:c r="D383" s="117" t="str">
        <x:v>https://thumb.wikimedia.org/wikipedia/commons/thumb/0/02/Kuala_Lumpur._Jalan_Petaling._2019-12-07_15-24-49.jpg/1280px-Kuala_Lumpur._Jalan_Petaling._2019-12-07_15-24-49.jpg?utm_source=commons.wikimedia.org&amp;utm_campaign=imageinfo&amp;utm_content=thumbnail</x:v>
      </x:c>
      <x:c r="E383" s="117" t="str">
        <x:v>https://commons.wikimedia.org/wiki/File:Kuala_Lumpur._Jalan_Petaling._2019-12-07_15-24-49.jpg</x:v>
      </x:c>
      <x:c r="F383" s="117" t="str">
        <x:v>File:Kuala Lumpur. Jalan Petaling. 2019-12-07 15-24-49.jpg</x:v>
      </x:c>
      <x:c r="G383" s="117" t="str">
        <x:v>Shesmax</x:v>
      </x:c>
      <x:c r="H383" s="117" t="str">
        <x:v>CC BY-SA 4.0</x:v>
      </x:c>
      <x:c r="I383" s="117" t="str">
        <x:v>https://creativecommons.org/licenses/by-sa/4.0</x:v>
      </x:c>
      <x:c r="J383" s="117" t="str">
        <x:v>true</x:v>
      </x:c>
      <x:c r="K383" s="117" t="str">
        <x:v>Own work</x:v>
      </x:c>
      <x:c r="L383" s="117" t="str">
        <x:v>Exact name or all distinctive place-name tokens in file metadata</x:v>
      </x:c>
      <x:c r="M383" s="117" t="str">
        <x:v>Not visually reviewed</x:v>
      </x:c>
      <x:c r="N383" s="117" t="str">
        <x:v>2026-09-08</x:v>
      </x:c>
    </x:row>
    <x:row r="384" ht="48" customHeight="1">
      <x:c r="A384" s="117" t="str">
        <x:v>MC0385</x:v>
      </x:c>
      <x:c r="B384" s="117" t="str">
        <x:v>Kwai Chai Hong</x:v>
      </x:c>
      <x:c r="C384" s="117" t="n">
        <x:v>1</x:v>
      </x:c>
      <x:c r="D384" s="117" t="str">
        <x:v>https://thumb.wikimedia.org/wikipedia/commons/thumb/9/91/Kuala_Lumpur_-_Kwai_Chai_Hong_%28Petaling_Street%29.jpg/1280px-Kuala_Lumpur_-_Kwai_Chai_Hong_%28Petaling_Street%29.jpg?utm_source=commons.wikimedia.org&amp;utm_campaign=imageinfo&amp;utm_content=thumbnail</x:v>
      </x:c>
      <x:c r="E384" s="117" t="str">
        <x:v>https://commons.wikimedia.org/wiki/File:Kuala_Lumpur_-_Kwai_Chai_Hong_(Petaling_Street).jpg</x:v>
      </x:c>
      <x:c r="F384" s="117" t="str">
        <x:v>File:Kuala Lumpur - Kwai Chai Hong (Petaling Street).jpg</x:v>
      </x:c>
      <x:c r="G384" s="117" t="str">
        <x:v>Azreey</x:v>
      </x:c>
      <x:c r="H384" s="117" t="str">
        <x:v>CC BY-SA 4.0</x:v>
      </x:c>
      <x:c r="I384" s="117" t="str">
        <x:v>https://creativecommons.org/licenses/by-sa/4.0</x:v>
      </x:c>
      <x:c r="J384" s="117" t="str">
        <x:v>true</x:v>
      </x:c>
      <x:c r="K384" s="117" t="str">
        <x:v>Own work</x:v>
      </x:c>
      <x:c r="L384" s="117" t="str">
        <x:v>Exact name or all distinctive place-name tokens in file metadata</x:v>
      </x:c>
      <x:c r="M384" s="117" t="str">
        <x:v>Not visually reviewed</x:v>
      </x:c>
      <x:c r="N384" s="117" t="str">
        <x:v>2026-09-08</x:v>
      </x:c>
    </x:row>
    <x:row r="385" ht="48" customHeight="1">
      <x:c r="A385" s="117" t="str">
        <x:v>MC0385</x:v>
      </x:c>
      <x:c r="B385" s="117" t="str">
        <x:v>Kwai Chai Hong</x:v>
      </x:c>
      <x:c r="C385" s="117" t="n">
        <x:v>2</x:v>
      </x:c>
      <x:c r="D385" s="117" t="str">
        <x:v>https://thumb.wikimedia.org/wikipedia/commons/thumb/c/c9/Kwai_Chai_Hong%2C_Kuala_Lumpur_in_May_2020_04.jpg/1280px-Kwai_Chai_Hong%2C_Kuala_Lumpur_in_May_2020_04.jpg?utm_source=commons.wikimedia.org&amp;utm_campaign=imageinfo&amp;utm_content=thumbnail</x:v>
      </x:c>
      <x:c r="E385" s="117" t="str">
        <x:v>https://commons.wikimedia.org/wiki/File:Kwai_Chai_Hong,_Kuala_Lumpur_in_May_2020_04.jpg</x:v>
      </x:c>
      <x:c r="F385" s="117" t="str">
        <x:v>File:Kwai Chai Hong, Kuala Lumpur in May 2020 04.jpg</x:v>
      </x:c>
      <x:c r="G385" s="117" t="str">
        <x:v>Renek78</x:v>
      </x:c>
      <x:c r="H385" s="117" t="str">
        <x:v>CC BY-SA 4.0</x:v>
      </x:c>
      <x:c r="I385" s="117" t="str">
        <x:v>https://creativecommons.org/licenses/by-sa/4.0</x:v>
      </x:c>
      <x:c r="J385" s="117" t="str">
        <x:v>true</x:v>
      </x:c>
      <x:c r="K385" s="117" t="str">
        <x:v>Own work</x:v>
      </x:c>
      <x:c r="L385" s="117" t="str">
        <x:v>Exact name or all distinctive place-name tokens in file metadata</x:v>
      </x:c>
      <x:c r="M385" s="117" t="str">
        <x:v>Not visually reviewed</x:v>
      </x:c>
      <x:c r="N385" s="117" t="str">
        <x:v>2026-09-08</x:v>
      </x:c>
    </x:row>
    <x:row r="386" ht="48" customHeight="1">
      <x:c r="A386" s="117" t="str">
        <x:v>MC0386</x:v>
      </x:c>
      <x:c r="B386" s="117" t="str">
        <x:v>Sultan Abdul Samad Building</x:v>
      </x:c>
      <x:c r="C386" s="117" t="n">
        <x:v>1</x:v>
      </x:c>
      <x:c r="D386" s="117" t="str">
        <x:v>https://thumb.wikimedia.org/wikipedia/commons/thumb/d/d9/20190822_Sultan_Abdul_Samad_Building-10.jpg/1280px-20190822_Sultan_Abdul_Samad_Building-10.jpg?utm_source=commons.wikimedia.org&amp;utm_campaign=imageinfo&amp;utm_content=thumbnail</x:v>
      </x:c>
      <x:c r="E386" s="117" t="str">
        <x:v>https://commons.wikimedia.org/wiki/File:20190822_Sultan_Abdul_Samad_Building-10.jpg</x:v>
      </x:c>
      <x:c r="F386" s="117" t="str">
        <x:v>File:20190822 Sultan Abdul Samad Building-10.jpg</x:v>
      </x:c>
      <x:c r="G386" s="117" t="str"/>
      <x:c r="H386" s="117" t="str">
        <x:v>CC0</x:v>
      </x:c>
      <x:c r="I386" s="117" t="str">
        <x:v>http://creativecommons.org/publicdomain/zero/1.0/deed.en</x:v>
      </x:c>
      <x:c r="J386" s="117" t="str">
        <x:v>false</x:v>
      </x:c>
      <x:c r="K386" s="117" t="str">
        <x:v>Own work</x:v>
      </x:c>
      <x:c r="L386" s="117" t="str">
        <x:v>Exact name or all distinctive place-name tokens in file metadata</x:v>
      </x:c>
      <x:c r="M386" s="117" t="str">
        <x:v>Not visually reviewed</x:v>
      </x:c>
      <x:c r="N386" s="117" t="str">
        <x:v>2026-09-08</x:v>
      </x:c>
    </x:row>
    <x:row r="387" ht="48" customHeight="1">
      <x:c r="A387" s="117" t="str">
        <x:v>MC0386</x:v>
      </x:c>
      <x:c r="B387" s="117" t="str">
        <x:v>Sultan Abdul Samad Building</x:v>
      </x:c>
      <x:c r="C387" s="117" t="n">
        <x:v>2</x:v>
      </x:c>
      <x:c r="D387" s="117" t="str">
        <x:v>https://thumb.wikimedia.org/wikipedia/commons/thumb/a/a4/Kuala_Lumpur_Sultan_Abdul_Building.jpg/1280px-Kuala_Lumpur_Sultan_Abdul_Building.jpg?utm_source=commons.wikimedia.org&amp;utm_campaign=imageinfo&amp;utm_content=thumbnail</x:v>
      </x:c>
      <x:c r="E387" s="117" t="str">
        <x:v>https://commons.wikimedia.org/wiki/File:Kuala_Lumpur_Sultan_Abdul_Building.jpg</x:v>
      </x:c>
      <x:c r="F387" s="117" t="str">
        <x:v>File:Kuala Lumpur Sultan Abdul Building.jpg</x:v>
      </x:c>
      <x:c r="G387" s="117" t="str">
        <x:v>Gerold Kogler</x:v>
      </x:c>
      <x:c r="H387" s="117" t="str">
        <x:v>CC BY-SA 3.0</x:v>
      </x:c>
      <x:c r="I387" s="117" t="str">
        <x:v>http://creativecommons.org/licenses/by-sa/3.0/</x:v>
      </x:c>
      <x:c r="J387" s="117" t="str">
        <x:v>true</x:v>
      </x:c>
      <x:c r="K387" s="117" t="str">
        <x:v>Own work</x:v>
      </x:c>
      <x:c r="L387" s="117" t="str">
        <x:v>Exact name or all distinctive place-name tokens in file metadata</x:v>
      </x:c>
      <x:c r="M387" s="117" t="str">
        <x:v>Not visually reviewed</x:v>
      </x:c>
      <x:c r="N387" s="117" t="str">
        <x:v>2026-09-08</x:v>
      </x:c>
    </x:row>
    <x:row r="388" ht="48" customHeight="1">
      <x:c r="A388" s="117" t="str">
        <x:v>MC0387</x:v>
      </x:c>
      <x:c r="B388" s="117" t="str">
        <x:v>Kuala Lumpur City Gallery</x:v>
      </x:c>
      <x:c r="C388" s="117" t="n">
        <x:v>1</x:v>
      </x:c>
      <x:c r="D388" s="117" t="str">
        <x:v>https://thumb.wikimedia.org/wikipedia/commons/thumb/1/14/2016_Kuala_Lumpur%2C_Galeria_Miejska.jpg/1280px-2016_Kuala_Lumpur%2C_Galeria_Miejska.jpg?utm_source=commons.wikimedia.org&amp;utm_campaign=imageinfo&amp;utm_content=thumbnail</x:v>
      </x:c>
      <x:c r="E388" s="117" t="str">
        <x:v>https://commons.wikimedia.org/wiki/File:2016_Kuala_Lumpur,_Galeria_Miejska.jpg</x:v>
      </x:c>
      <x:c r="F388" s="117" t="str">
        <x:v>File:2016 Kuala Lumpur, Galeria Miejska.jpg</x:v>
      </x:c>
      <x:c r="G388" s="117" t="str">
        <x:v>Marcin Konsek</x:v>
      </x:c>
      <x:c r="H388" s="117" t="str">
        <x:v>CC BY-SA 4.0</x:v>
      </x:c>
      <x:c r="I388" s="117" t="str">
        <x:v>https://creativecommons.org/licenses/by-sa/4.0</x:v>
      </x:c>
      <x:c r="J388" s="117" t="str">
        <x:v>true</x:v>
      </x:c>
      <x:c r="K388" s="117" t="str">
        <x:v>Own work</x:v>
      </x:c>
      <x:c r="L388" s="117" t="str">
        <x:v>Exact name or all distinctive place-name tokens in file metadata</x:v>
      </x:c>
      <x:c r="M388" s="117" t="str">
        <x:v>Not visually reviewed</x:v>
      </x:c>
      <x:c r="N388" s="117" t="str">
        <x:v>2026-09-08</x:v>
      </x:c>
    </x:row>
    <x:row r="389" ht="48" customHeight="1">
      <x:c r="A389" s="117" t="str">
        <x:v>MC0387</x:v>
      </x:c>
      <x:c r="B389" s="117" t="str">
        <x:v>Kuala Lumpur City Gallery</x:v>
      </x:c>
      <x:c r="C389" s="117" t="n">
        <x:v>2</x:v>
      </x:c>
      <x:c r="D389" s="117" t="str">
        <x:v>https://thumb.wikimedia.org/wikipedia/commons/thumb/7/74/KLCG_Confectionery_Pastries_March_2022_perspective.jpg/1280px-KLCG_Confectionery_Pastries_March_2022_perspective.jpg?utm_source=commons.wikimedia.org&amp;utm_campaign=imageinfo&amp;utm_content=thumbnail</x:v>
      </x:c>
      <x:c r="E389" s="117" t="str">
        <x:v>https://commons.wikimedia.org/wiki/File:KLCG_Confectionery_Pastries_March_2022_perspective.jpg</x:v>
      </x:c>
      <x:c r="F389" s="117" t="str">
        <x:v>File:KLCG Confectionery Pastries March 2022 perspective.jpg</x:v>
      </x:c>
      <x:c r="G389" s="117" t="str">
        <x:v>Vincent60030</x:v>
      </x:c>
      <x:c r="H389" s="117" t="str">
        <x:v>CC BY-SA 4.0</x:v>
      </x:c>
      <x:c r="I389" s="117" t="str">
        <x:v>https://creativecommons.org/licenses/by-sa/4.0</x:v>
      </x:c>
      <x:c r="J389" s="117" t="str">
        <x:v>true</x:v>
      </x:c>
      <x:c r="K389" s="117" t="str">
        <x:v>Own work</x:v>
      </x:c>
      <x:c r="L389" s="117" t="str">
        <x:v>Exact name or all distinctive place-name tokens in file metadata</x:v>
      </x:c>
      <x:c r="M389" s="117" t="str">
        <x:v>Not visually reviewed</x:v>
      </x:c>
      <x:c r="N389" s="117" t="str">
        <x:v>2026-09-08</x:v>
      </x:c>
    </x:row>
    <x:row r="390" ht="48" customHeight="1">
      <x:c r="A390" s="117" t="str">
        <x:v>MC0388</x:v>
      </x:c>
      <x:c r="B390" s="117" t="str">
        <x:v>Kuala Lumpur Bird Park</x:v>
      </x:c>
      <x:c r="C390" s="117" t="n">
        <x:v>1</x:v>
      </x:c>
      <x:c r="D390" s="117" t="str">
        <x:v>https://upload.wikimedia.org/wikipedia/commons/b/ba/KL_Bird_park_net.jpg?utm_source=commons.wikimedia.org&amp;utm_campaign=imageinfo&amp;utm_content=thumbnail_unscaled</x:v>
      </x:c>
      <x:c r="E390" s="117" t="str">
        <x:v>https://commons.wikimedia.org/wiki/File:KL_Bird_park_net.jpg</x:v>
      </x:c>
      <x:c r="F390" s="117" t="str">
        <x:v>File:KL Bird park net.jpg</x:v>
      </x:c>
      <x:c r="G390" s="117" t="str">
        <x:v>Ural Anonymous</x:v>
      </x:c>
      <x:c r="H390" s="117" t="str">
        <x:v>Public domain</x:v>
      </x:c>
      <x:c r="I390" s="117" t="str"/>
      <x:c r="J390" s="117" t="str">
        <x:v>false</x:v>
      </x:c>
      <x:c r="K390" s="117" t="str">
        <x:v>Own work</x:v>
      </x:c>
      <x:c r="L390" s="117" t="str">
        <x:v>Exact name or all distinctive place-name tokens in file metadata</x:v>
      </x:c>
      <x:c r="M390" s="117" t="str">
        <x:v>Not visually reviewed</x:v>
      </x:c>
      <x:c r="N390" s="117" t="str">
        <x:v>2026-09-08</x:v>
      </x:c>
    </x:row>
    <x:row r="391" ht="48" customHeight="1">
      <x:c r="A391" s="117" t="str">
        <x:v>MC0388</x:v>
      </x:c>
      <x:c r="B391" s="117" t="str">
        <x:v>Kuala Lumpur Bird Park</x:v>
      </x:c>
      <x:c r="C391" s="117" t="n">
        <x:v>2</x:v>
      </x:c>
      <x:c r="D391" s="117" t="str">
        <x:v>https://thumb.wikimedia.org/wikipedia/commons/thumb/a/a7/Bird_Park_in_Kuala_Lumpur_%28Malaysia%29_%283%29.jpg/1280px-Bird_Park_in_Kuala_Lumpur_%28Malaysia%29_%283%29.jpg?utm_source=commons.wikimedia.org&amp;utm_campaign=imageinfo&amp;utm_content=thumbnail</x:v>
      </x:c>
      <x:c r="E391" s="117" t="str">
        <x:v>https://commons.wikimedia.org/wiki/File:Bird_Park_in_Kuala_Lumpur_(Malaysia)_(3).jpg</x:v>
      </x:c>
      <x:c r="F391" s="117" t="str">
        <x:v>File:Bird Park in Kuala Lumpur (Malaysia) (3).jpg</x:v>
      </x:c>
      <x:c r="G391" s="117" t="str">
        <x:v>Frostpolar</x:v>
      </x:c>
      <x:c r="H391" s="117" t="str">
        <x:v>CC BY-SA 4.0</x:v>
      </x:c>
      <x:c r="I391" s="117" t="str">
        <x:v>https://creativecommons.org/licenses/by-sa/4.0</x:v>
      </x:c>
      <x:c r="J391" s="117" t="str">
        <x:v>true</x:v>
      </x:c>
      <x:c r="K391" s="117" t="str">
        <x:v>Own work</x:v>
      </x:c>
      <x:c r="L391" s="117" t="str">
        <x:v>Exact name or all distinctive place-name tokens in file metadata</x:v>
      </x:c>
      <x:c r="M391" s="117" t="str">
        <x:v>Not visually reviewed</x:v>
      </x:c>
      <x:c r="N391" s="117" t="str">
        <x:v>2026-09-08</x:v>
      </x:c>
    </x:row>
    <x:row r="392" ht="48" customHeight="1">
      <x:c r="A392" s="117" t="str">
        <x:v>MC0393</x:v>
      </x:c>
      <x:c r="B392" s="117" t="str">
        <x:v>Royal Selangor Visitor Centre</x:v>
      </x:c>
      <x:c r="C392" s="117" t="n">
        <x:v>1</x:v>
      </x:c>
      <x:c r="D392" s="117" t="str">
        <x:v>https://thumb.wikimedia.org/wikipedia/commons/thumb/c/cc/Production_area_at_the_Royal_Selangor_Visitor_Centre.jpg/1280px-Production_area_at_the_Royal_Selangor_Visitor_Centre.jpg?utm_source=commons.wikimedia.org&amp;utm_campaign=imageinfo&amp;utm_content=thumbnail</x:v>
      </x:c>
      <x:c r="E392" s="117" t="str">
        <x:v>https://commons.wikimedia.org/wiki/File:Production_area_at_the_Royal_Selangor_Visitor_Centre.jpg</x:v>
      </x:c>
      <x:c r="F392" s="117" t="str">
        <x:v>File:Production area at the Royal Selangor Visitor Centre.jpg</x:v>
      </x:c>
      <x:c r="G392" s="117" t="str">
        <x:v>Chlod</x:v>
      </x:c>
      <x:c r="H392" s="117" t="str">
        <x:v>CC BY-SA 4.0</x:v>
      </x:c>
      <x:c r="I392" s="117" t="str">
        <x:v>https://creativecommons.org/licenses/by-sa/4.0</x:v>
      </x:c>
      <x:c r="J392" s="117" t="str">
        <x:v>true</x:v>
      </x:c>
      <x:c r="K392" s="117" t="str">
        <x:v>Own work</x:v>
      </x:c>
      <x:c r="L392" s="117" t="str">
        <x:v>Exact name or all distinctive place-name tokens in file metadata</x:v>
      </x:c>
      <x:c r="M392" s="117" t="str">
        <x:v>Not visually reviewed</x:v>
      </x:c>
      <x:c r="N392" s="117" t="str">
        <x:v>2026-09-08</x:v>
      </x:c>
    </x:row>
    <x:row r="393" ht="48" customHeight="1">
      <x:c r="A393" s="117" t="str">
        <x:v>MC0393</x:v>
      </x:c>
      <x:c r="B393" s="117" t="str">
        <x:v>Royal Selangor Visitor Centre</x:v>
      </x:c>
      <x:c r="C393" s="117" t="n">
        <x:v>2</x:v>
      </x:c>
      <x:c r="D393" s="117" t="str">
        <x:v>https://thumb.wikimedia.org/wikipedia/commons/thumb/b/b1/World%27s_Largest_Pewter_Tankard_at_the_Royal_Selangor_Visitor_Centre.jpg/1280px-World%27s_Largest_Pewter_Tankard_at_the_Royal_Selangor_Visitor_Centre.jpg?utm_source=commons.wikimedia.org&amp;utm_campaign=imageinfo&amp;utm_content=thumbnail</x:v>
      </x:c>
      <x:c r="E393" s="117" t="str">
        <x:v>https://commons.wikimedia.org/wiki/File:World%27s_Largest_Pewter_Tankard_at_the_Royal_Selangor_Visitor_Centre.jpg</x:v>
      </x:c>
      <x:c r="F393" s="117" t="str">
        <x:v>File:World's Largest Pewter Tankard at the Royal Selangor Visitor Centre.jpg</x:v>
      </x:c>
      <x:c r="G393" s="117" t="str">
        <x:v>Chlod</x:v>
      </x:c>
      <x:c r="H393" s="117" t="str">
        <x:v>CC BY-SA 4.0</x:v>
      </x:c>
      <x:c r="I393" s="117" t="str">
        <x:v>https://creativecommons.org/licenses/by-sa/4.0</x:v>
      </x:c>
      <x:c r="J393" s="117" t="str">
        <x:v>true</x:v>
      </x:c>
      <x:c r="K393" s="117" t="str">
        <x:v>Own work</x:v>
      </x:c>
      <x:c r="L393" s="117" t="str">
        <x:v>Exact name or all distinctive place-name tokens in file metadata</x:v>
      </x:c>
      <x:c r="M393" s="117" t="str">
        <x:v>Not visually reviewed</x:v>
      </x:c>
      <x:c r="N393" s="117" t="str">
        <x:v>2026-09-08</x:v>
      </x:c>
    </x:row>
    <x:row r="394" ht="48" customHeight="1">
      <x:c r="A394" s="117" t="str">
        <x:v>MC0398</x:v>
      </x:c>
      <x:c r="B394" s="117" t="str">
        <x:v>Putra Mosque</x:v>
      </x:c>
      <x:c r="C394" s="117" t="n">
        <x:v>1</x:v>
      </x:c>
      <x:c r="D394" s="117" t="str">
        <x:v>https://thumb.wikimedia.org/wikipedia/commons/thumb/9/9b/Putra_Mosque_being_reflected_in_the_lake_%28crop%29.jpg/1280px-Putra_Mosque_being_reflected_in_the_lake_%28crop%29.jpg?utm_source=commons.wikimedia.org&amp;utm_campaign=imageinfo&amp;utm_content=thumbnail</x:v>
      </x:c>
      <x:c r="E394" s="117" t="str">
        <x:v>https://commons.wikimedia.org/wiki/File:Putra_Mosque_being_reflected_in_the_lake_(crop).jpg</x:v>
      </x:c>
      <x:c r="F394" s="117" t="str">
        <x:v>File:Putra Mosque being reflected in the lake (crop).jpg</x:v>
      </x:c>
      <x:c r="G394" s="117" t="str">
        <x:v>Azuladnan</x:v>
      </x:c>
      <x:c r="H394" s="117" t="str">
        <x:v>CC BY-SA 4.0</x:v>
      </x:c>
      <x:c r="I394" s="117" t="str">
        <x:v>https://creativecommons.org/licenses/by-sa/4.0</x:v>
      </x:c>
      <x:c r="J394" s="117" t="str">
        <x:v>true</x:v>
      </x:c>
      <x:c r="K394" s="117" t="str">
        <x:v>Crop from File:Putra Mosque being reflected in the lake.jpg</x:v>
      </x:c>
      <x:c r="L394" s="117" t="str">
        <x:v>Exact name or all distinctive place-name tokens in file metadata</x:v>
      </x:c>
      <x:c r="M394" s="117" t="str">
        <x:v>Not visually reviewed</x:v>
      </x:c>
      <x:c r="N394" s="117" t="str">
        <x:v>2026-09-08</x:v>
      </x:c>
    </x:row>
    <x:row r="395" ht="48" customHeight="1">
      <x:c r="A395" s="117" t="str">
        <x:v>MC0398</x:v>
      </x:c>
      <x:c r="B395" s="117" t="str">
        <x:v>Putra Mosque</x:v>
      </x:c>
      <x:c r="C395" s="117" t="n">
        <x:v>2</x:v>
      </x:c>
      <x:c r="D395" s="117" t="str">
        <x:v>https://thumb.wikimedia.org/wikipedia/commons/thumb/d/d3/Putrajaya_Malaysia_Putra-Mosque-09.jpg/1280px-Putrajaya_Malaysia_Putra-Mosque-09.jpg?utm_source=commons.wikimedia.org&amp;utm_campaign=imageinfo&amp;utm_content=thumbnail</x:v>
      </x:c>
      <x:c r="E395" s="117" t="str">
        <x:v>https://commons.wikimedia.org/wiki/File:Putrajaya_Malaysia_Putra-Mosque-09.jpg</x:v>
      </x:c>
      <x:c r="F395" s="117" t="str">
        <x:v>File:Putrajaya Malaysia Putra-Mosque-09.jpg</x:v>
      </x:c>
      <x:c r="G395" s="117" t="str">
        <x:v>CEphoto, Uwe Aranas</x:v>
      </x:c>
      <x:c r="H395" s="117" t="str">
        <x:v>CC BY-SA 3.0</x:v>
      </x:c>
      <x:c r="I395" s="117" t="str">
        <x:v>https://creativecommons.org/licenses/by-sa/3.0</x:v>
      </x:c>
      <x:c r="J395" s="117" t="str">
        <x:v>true</x:v>
      </x:c>
      <x:c r="K395" s="117" t="str">
        <x:v>Own work</x:v>
      </x:c>
      <x:c r="L395" s="117" t="str">
        <x:v>Exact name or all distinctive place-name tokens in file metadata</x:v>
      </x:c>
      <x:c r="M395" s="117" t="str">
        <x:v>Not visually reviewed</x:v>
      </x:c>
      <x:c r="N395" s="117" t="str">
        <x:v>2026-09-08</x:v>
      </x:c>
    </x:row>
    <x:row r="396" ht="48" customHeight="1">
      <x:c r="A396" s="117" t="str">
        <x:v>MC0399</x:v>
      </x:c>
      <x:c r="B396" s="117" t="str">
        <x:v>Putrajaya Botanical Garden</x:v>
      </x:c>
      <x:c r="C396" s="117" t="n">
        <x:v>1</x:v>
      </x:c>
      <x:c r="D396" s="117" t="str">
        <x:v>https://upload.wikimedia.org/wikipedia/commons/e/eb/Pandangan_dari_jambatan_kayu_dalam_Taman_Botani._%28L-R%29_Pejabat_Taman_Botani%2C_Perdana_Putra_%28Pejabat_Perdana_Menteri%29%2C_Masjid_Putrajaya_-_panoramio.jpg?utm_source=commons.wikimedia.org&amp;utm_campaign=imageinfo&amp;utm_content=thumbnail_unscaled</x:v>
      </x:c>
      <x:c r="E396" s="117" t="str">
        <x:v>https://commons.wikimedia.org/wiki/File:Pandangan_dari_jambatan_kayu_dalam_Taman_Botani._(L-R)_Pejabat_Taman_Botani,_Perdana_Putra_(Pejabat_Perdana_Menteri),_Masjid_Putrajaya_-_panoramio.jpg</x:v>
      </x:c>
      <x:c r="F396" s="117" t="str">
        <x:v>File:Pandangan dari jambatan kayu dalam Taman Botani. (L-R) Pejabat Taman Botani, Perdana Putra (Pejabat Perdana Menteri), Masjid Putrajaya - panoramio.jpg</x:v>
      </x:c>
      <x:c r="G396" s="117" t="str">
        <x:v>Gula Kapas</x:v>
      </x:c>
      <x:c r="H396" s="117" t="str">
        <x:v>CC BY 3.0</x:v>
      </x:c>
      <x:c r="I396" s="117" t="str">
        <x:v>https://creativecommons.org/licenses/by/3.0</x:v>
      </x:c>
      <x:c r="J396" s="117" t="str">
        <x:v>true</x:v>
      </x:c>
      <x:c r="K396" s="117" t="str">
        <x:v>https://web.archive.org/web/20161015004245/http://www.panoramio.com/photo/37422981</x:v>
      </x:c>
      <x:c r="L396" s="117" t="str">
        <x:v>Exact name or all distinctive place-name tokens in file metadata</x:v>
      </x:c>
      <x:c r="M396" s="117" t="str">
        <x:v>Not visually reviewed</x:v>
      </x:c>
      <x:c r="N396" s="117" t="str">
        <x:v>2026-09-08</x:v>
      </x:c>
    </x:row>
    <x:row r="397" ht="48" customHeight="1">
      <x:c r="A397" s="117" t="str">
        <x:v>MC0399</x:v>
      </x:c>
      <x:c r="B397" s="117" t="str">
        <x:v>Putrajaya Botanical Garden</x:v>
      </x:c>
      <x:c r="C397" s="117" t="n">
        <x:v>2</x:v>
      </x:c>
      <x:c r="D397" s="117" t="str">
        <x:v>https://thumb.wikimedia.org/wikipedia/commons/thumb/c/cb/Putrajaya_-_ethnobotany_pavilion_in_Taman_Botani_-_Jul_2024.jpg/1280px-Putrajaya_-_ethnobotany_pavilion_in_Taman_Botani_-_Jul_2024.jpg?utm_source=commons.wikimedia.org&amp;utm_campaign=imageinfo&amp;utm_content=thumbnail</x:v>
      </x:c>
      <x:c r="E397" s="117" t="str">
        <x:v>https://commons.wikimedia.org/wiki/File:Putrajaya_-_ethnobotany_pavilion_in_Taman_Botani_-_Jul_2024.jpg</x:v>
      </x:c>
      <x:c r="F397" s="117" t="str">
        <x:v>File:Putrajaya - ethnobotany pavilion in Taman Botani - Jul 2024.jpg</x:v>
      </x:c>
      <x:c r="G397" s="117" t="str">
        <x:v>Dominic Nelson</x:v>
      </x:c>
      <x:c r="H397" s="117" t="str">
        <x:v>CC BY-SA 4.0</x:v>
      </x:c>
      <x:c r="I397" s="117" t="str">
        <x:v>https://creativecommons.org/licenses/by-sa/4.0</x:v>
      </x:c>
      <x:c r="J397" s="117" t="str">
        <x:v>true</x:v>
      </x:c>
      <x:c r="K397" s="117" t="str">
        <x:v>Own work</x:v>
      </x:c>
      <x:c r="L397" s="117" t="str">
        <x:v>Exact name or all distinctive place-name tokens in file metadata</x:v>
      </x:c>
      <x:c r="M397" s="117" t="str">
        <x:v>Not visually reviewed</x:v>
      </x:c>
      <x:c r="N397" s="117" t="str">
        <x:v>2026-09-08</x:v>
      </x:c>
    </x:row>
    <x:row r="398" ht="48" customHeight="1">
      <x:c r="A398" s="117" t="str">
        <x:v>MC0400</x:v>
      </x:c>
      <x:c r="B398" s="117" t="str">
        <x:v>Putrajaya Lake</x:v>
      </x:c>
      <x:c r="C398" s="117" t="n">
        <x:v>1</x:v>
      </x:c>
      <x:c r="D398" s="117" t="str">
        <x:v>https://thumb.wikimedia.org/wikipedia/commons/thumb/0/06/Putrajaya_panorama_Jan_2007_b.JPG/1280px-Putrajaya_panorama_Jan_2007_b.JPG?utm_source=commons.wikimedia.org&amp;utm_campaign=imageinfo&amp;utm_content=thumbnail</x:v>
      </x:c>
      <x:c r="E398" s="117" t="str">
        <x:v>https://commons.wikimedia.org/wiki/File:Putrajaya_panorama_Jan_2007_b.JPG</x:v>
      </x:c>
      <x:c r="F398" s="117" t="str">
        <x:v>File:Putrajaya panorama Jan 2007 b.JPG</x:v>
      </x:c>
      <x:c r="G398" s="117" t="str">
        <x:v>Marku1988 based on photos of Gryffindor</x:v>
      </x:c>
      <x:c r="H398" s="117" t="str">
        <x:v>CC BY 2.5</x:v>
      </x:c>
      <x:c r="I398" s="117" t="str">
        <x:v>https://creativecommons.org/licenses/by/2.5</x:v>
      </x:c>
      <x:c r="J398" s="117" t="str">
        <x:v>true</x:v>
      </x:c>
      <x:c r="K398" s="117" t="str">
        <x:v>Own work  This  panoramic image was created with Autostitch (stitched images may differ from reality).</x:v>
      </x:c>
      <x:c r="L398" s="117" t="str">
        <x:v>Exact name or all distinctive place-name tokens in file metadata</x:v>
      </x:c>
      <x:c r="M398" s="117" t="str">
        <x:v>Not visually reviewed</x:v>
      </x:c>
      <x:c r="N398" s="117" t="str">
        <x:v>2026-09-08</x:v>
      </x:c>
    </x:row>
    <x:row r="399" ht="48" customHeight="1">
      <x:c r="A399" s="117" t="str">
        <x:v>MC0400</x:v>
      </x:c>
      <x:c r="B399" s="117" t="str">
        <x:v>Putrajaya Lake</x:v>
      </x:c>
      <x:c r="C399" s="117" t="n">
        <x:v>2</x:v>
      </x:c>
      <x:c r="D399" s="117" t="str">
        <x:v>https://thumb.wikimedia.org/wikipedia/commons/thumb/3/3e/Taman_tasik_-_panoramio.jpg/1280px-Taman_tasik_-_panoramio.jpg?utm_source=commons.wikimedia.org&amp;utm_campaign=imageinfo&amp;utm_content=thumbnail</x:v>
      </x:c>
      <x:c r="E399" s="117" t="str">
        <x:v>https://commons.wikimedia.org/wiki/File:Taman_tasik_-_panoramio.jpg</x:v>
      </x:c>
      <x:c r="F399" s="117" t="str">
        <x:v>File:Taman tasik - panoramio.jpg</x:v>
      </x:c>
      <x:c r="G399" s="117" t="str">
        <x:v>nenek kebayan</x:v>
      </x:c>
      <x:c r="H399" s="117" t="str">
        <x:v>CC BY 3.0</x:v>
      </x:c>
      <x:c r="I399" s="117" t="str">
        <x:v>https://creativecommons.org/licenses/by/3.0</x:v>
      </x:c>
      <x:c r="J399" s="117" t="str">
        <x:v>true</x:v>
      </x:c>
      <x:c r="K399" s="117" t="str">
        <x:v>https://web.archive.org/web/20161011150751/http://www.panoramio.com/photo/8155915</x:v>
      </x:c>
      <x:c r="L399" s="117" t="str">
        <x:v>Exact name or all distinctive place-name tokens in file metadata</x:v>
      </x:c>
      <x:c r="M399" s="117" t="str">
        <x:v>Not visually reviewed</x:v>
      </x:c>
      <x:c r="N399" s="117" t="str">
        <x:v>2026-09-08</x:v>
      </x:c>
    </x:row>
    <x:row r="400" ht="48" customHeight="1">
      <x:c r="A400" s="117" t="str">
        <x:v>MC0404</x:v>
      </x:c>
      <x:c r="B400" s="117" t="str">
        <x:v>Seri Wawasan Bridge</x:v>
      </x:c>
      <x:c r="C400" s="117" t="n">
        <x:v>1</x:v>
      </x:c>
      <x:c r="D400" s="117" t="str">
        <x:v>https://thumb.wikimedia.org/wikipedia/commons/thumb/1/19/Jambatan_Seri_Wawasan_4493633704_3cbff54de1.jpg/1280px-Jambatan_Seri_Wawasan_4493633704_3cbff54de1.jpg?utm_source=commons.wikimedia.org&amp;utm_campaign=imageinfo&amp;utm_content=thumbnail</x:v>
      </x:c>
      <x:c r="E400" s="117" t="str">
        <x:v>https://commons.wikimedia.org/wiki/File:Jambatan_Seri_Wawasan_4493633704_3cbff54de1.jpg</x:v>
      </x:c>
      <x:c r="F400" s="117" t="str">
        <x:v>File:Jambatan Seri Wawasan 4493633704 3cbff54de1.jpg</x:v>
      </x:c>
      <x:c r="G400" s="117" t="str">
        <x:v>notsogoodphotography</x:v>
      </x:c>
      <x:c r="H400" s="117" t="str">
        <x:v>CC BY 2.0</x:v>
      </x:c>
      <x:c r="I400" s="117" t="str">
        <x:v>https://creativecommons.org/licenses/by/2.0</x:v>
      </x:c>
      <x:c r="J400" s="117" t="str">
        <x:v>true</x:v>
      </x:c>
      <x:c r="K400" s="117" t="str">
        <x:v>https://www.flickr.com/photos/notsogoodphotography/4493633704/in/photostream/</x:v>
      </x:c>
      <x:c r="L400" s="117" t="str">
        <x:v>Exact name or all distinctive place-name tokens in file metadata</x:v>
      </x:c>
      <x:c r="M400" s="117" t="str">
        <x:v>Not visually reviewed</x:v>
      </x:c>
      <x:c r="N400" s="117" t="str">
        <x:v>2026-09-08</x:v>
      </x:c>
    </x:row>
    <x:row r="401" ht="48" customHeight="1">
      <x:c r="A401" s="117" t="str">
        <x:v>MC0404</x:v>
      </x:c>
      <x:c r="B401" s="117" t="str">
        <x:v>Seri Wawasan Bridge</x:v>
      </x:c>
      <x:c r="C401" s="117" t="n">
        <x:v>2</x:v>
      </x:c>
      <x:c r="D401" s="117" t="str">
        <x:v>https://thumb.wikimedia.org/wikipedia/commons/thumb/c/c0/Seri_Wawasan_Bridge_Putrajaya.jpg/1280px-Seri_Wawasan_Bridge_Putrajaya.jpg?utm_source=commons.wikimedia.org&amp;utm_campaign=imageinfo&amp;utm_content=thumbnail</x:v>
      </x:c>
      <x:c r="E401" s="117" t="str">
        <x:v>https://commons.wikimedia.org/wiki/File:Seri_Wawasan_Bridge_Putrajaya.jpg</x:v>
      </x:c>
      <x:c r="F401" s="117" t="str">
        <x:v>File:Seri Wawasan Bridge Putrajaya.jpg</x:v>
      </x:c>
      <x:c r="G401" s="117" t="str">
        <x:v>Philip Nalangan</x:v>
      </x:c>
      <x:c r="H401" s="117" t="str">
        <x:v>CC BY 4.0</x:v>
      </x:c>
      <x:c r="I401" s="117" t="str">
        <x:v>https://creativecommons.org/licenses/by/4.0</x:v>
      </x:c>
      <x:c r="J401" s="117" t="str">
        <x:v>true</x:v>
      </x:c>
      <x:c r="K401" s="117" t="str">
        <x:v>Own work</x:v>
      </x:c>
      <x:c r="L401" s="117" t="str">
        <x:v>Exact name or all distinctive place-name tokens in file metadata</x:v>
      </x:c>
      <x:c r="M401" s="117" t="str">
        <x:v>Not visually reviewed</x:v>
      </x:c>
      <x:c r="N401" s="117" t="str">
        <x:v>2026-09-08</x:v>
      </x:c>
    </x:row>
    <x:row r="402" ht="48" customHeight="1">
      <x:c r="A402" s="117" t="str">
        <x:v>MC0406</x:v>
      </x:c>
      <x:c r="B402" s="117" t="str">
        <x:v>Perdana Putra</x:v>
      </x:c>
      <x:c r="C402" s="117" t="n">
        <x:v>1</x:v>
      </x:c>
      <x:c r="D402" s="117" t="str">
        <x:v>https://thumb.wikimedia.org/wikipedia/commons/thumb/a/a9/Perdana_Putra_building_2005.jpg/1280px-Perdana_Putra_building_2005.jpg?utm_source=commons.wikimedia.org&amp;utm_campaign=imageinfo&amp;utm_content=thumbnail</x:v>
      </x:c>
      <x:c r="E402" s="117" t="str">
        <x:v>https://commons.wikimedia.org/wiki/File:Perdana_Putra_building_2005.jpg</x:v>
      </x:c>
      <x:c r="F402" s="117" t="str">
        <x:v>File:Perdana Putra building 2005.jpg</x:v>
      </x:c>
      <x:c r="G402" s="117" t="str">
        <x:v>JaseMan</x:v>
      </x:c>
      <x:c r="H402" s="117" t="str">
        <x:v>CC BY 2.0</x:v>
      </x:c>
      <x:c r="I402" s="117" t="str">
        <x:v>https://creativecommons.org/licenses/by/2.0</x:v>
      </x:c>
      <x:c r="J402" s="117" t="str">
        <x:v>true</x:v>
      </x:c>
      <x:c r="K402" s="117" t="str">
        <x:v>https://www.flickr.com/photos/bargas/95162881/</x:v>
      </x:c>
      <x:c r="L402" s="117" t="str">
        <x:v>Exact name or all distinctive place-name tokens in file metadata</x:v>
      </x:c>
      <x:c r="M402" s="117" t="str">
        <x:v>Not visually reviewed</x:v>
      </x:c>
      <x:c r="N402" s="117" t="str">
        <x:v>2026-09-08</x:v>
      </x:c>
    </x:row>
    <x:row r="403" ht="48" customHeight="1">
      <x:c r="A403" s="117" t="str">
        <x:v>MC0406</x:v>
      </x:c>
      <x:c r="B403" s="117" t="str">
        <x:v>Perdana Putra</x:v>
      </x:c>
      <x:c r="C403" s="117" t="n">
        <x:v>2</x:v>
      </x:c>
      <x:c r="D403" s="117" t="str">
        <x:v>https://upload.wikimedia.org/wikipedia/commons/7/78/Pb6-080701.jpg?utm_source=commons.wikimedia.org&amp;utm_campaign=imageinfo&amp;utm_content=thumbnail_unscaled</x:v>
      </x:c>
      <x:c r="E403" s="117" t="str">
        <x:v>https://commons.wikimedia.org/wiki/File:Pb6-080701.jpg</x:v>
      </x:c>
      <x:c r="F403" s="117" t="str">
        <x:v>File:Pb6-080701.jpg</x:v>
      </x:c>
      <x:c r="G403" s="117" t="str">
        <x:v>Malacanang Photo</x:v>
      </x:c>
      <x:c r="H403" s="117" t="str">
        <x:v>Public domain</x:v>
      </x:c>
      <x:c r="I403" s="117" t="str"/>
      <x:c r="J403" s="117" t="str">
        <x:v>false</x:v>
      </x:c>
      <x:c r="K403" s="117" t="str">
        <x:v>Office of the Press Secretary</x:v>
      </x:c>
      <x:c r="L403" s="117" t="str">
        <x:v>Exact name or all distinctive place-name tokens in file metadata</x:v>
      </x:c>
      <x:c r="M403" s="117" t="str">
        <x:v>Not visually reviewed</x:v>
      </x:c>
      <x:c r="N403" s="117" t="str">
        <x:v>2026-09-08</x:v>
      </x:c>
    </x:row>
    <x:row r="404" ht="48" customHeight="1">
      <x:c r="A404" s="117" t="str">
        <x:v>MC0407</x:v>
      </x:c>
      <x:c r="B404" s="117" t="str">
        <x:v>Tuanku Mizan Zainal Abidin Mosque</x:v>
      </x:c>
      <x:c r="C404" s="117" t="n">
        <x:v>1</x:v>
      </x:c>
      <x:c r="D404" s="117" t="str">
        <x:v>https://thumb.wikimedia.org/wikipedia/commons/thumb/9/9b/Putrajaya_4064988738_64bfcde3a9.jpg/1280px-Putrajaya_4064988738_64bfcde3a9.jpg?utm_source=commons.wikimedia.org&amp;utm_campaign=imageinfo&amp;utm_content=thumbnail</x:v>
      </x:c>
      <x:c r="E404" s="117" t="str">
        <x:v>https://commons.wikimedia.org/wiki/File:Putrajaya_4064988738_64bfcde3a9.jpg</x:v>
      </x:c>
      <x:c r="F404" s="117" t="str">
        <x:v>File:Putrajaya 4064988738 64bfcde3a9.jpg</x:v>
      </x:c>
      <x:c r="G404" s="117" t="str">
        <x:v>Trebz</x:v>
      </x:c>
      <x:c r="H404" s="117" t="str">
        <x:v>CC BY 2.0</x:v>
      </x:c>
      <x:c r="I404" s="117" t="str">
        <x:v>https://creativecommons.org/licenses/by/2.0</x:v>
      </x:c>
      <x:c r="J404" s="117" t="str">
        <x:v>true</x:v>
      </x:c>
      <x:c r="K404" s="117" t="str">
        <x:v>https://www.flickr.com/photos/trebz/4064988738/in/set-72157622585626957/</x:v>
      </x:c>
      <x:c r="L404" s="117" t="str">
        <x:v>Exact name or all distinctive place-name tokens in file metadata</x:v>
      </x:c>
      <x:c r="M404" s="117" t="str">
        <x:v>Not visually reviewed</x:v>
      </x:c>
      <x:c r="N404" s="117" t="str">
        <x:v>2026-09-08</x:v>
      </x:c>
    </x:row>
    <x:row r="405" ht="48" customHeight="1">
      <x:c r="A405" s="117" t="str">
        <x:v>MC0407</x:v>
      </x:c>
      <x:c r="B405" s="117" t="str">
        <x:v>Tuanku Mizan Zainal Abidin Mosque</x:v>
      </x:c>
      <x:c r="C405" s="117" t="n">
        <x:v>2</x:v>
      </x:c>
      <x:c r="D405" s="117" t="str">
        <x:v>https://thumb.wikimedia.org/wikipedia/commons/thumb/e/eb/MasjidTuankuMizanZainalAbidin.jpg/1280px-MasjidTuankuMizanZainalAbidin.jpg?utm_source=commons.wikimedia.org&amp;utm_campaign=imageinfo&amp;utm_content=thumbnail</x:v>
      </x:c>
      <x:c r="E405" s="117" t="str">
        <x:v>https://commons.wikimedia.org/wiki/File:MasjidTuankuMizanZainalAbidin.jpg</x:v>
      </x:c>
      <x:c r="F405" s="117" t="str">
        <x:v>File:MasjidTuankuMizanZainalAbidin.jpg</x:v>
      </x:c>
      <x:c r="G405" s="117" t="str">
        <x:v>Gaodanielbo</x:v>
      </x:c>
      <x:c r="H405" s="117" t="str">
        <x:v>CC0</x:v>
      </x:c>
      <x:c r="I405" s="117" t="str">
        <x:v>http://creativecommons.org/publicdomain/zero/1.0/deed.en</x:v>
      </x:c>
      <x:c r="J405" s="117" t="str">
        <x:v>false</x:v>
      </x:c>
      <x:c r="K405" s="117" t="str">
        <x:v>Own work</x:v>
      </x:c>
      <x:c r="L405" s="117" t="str">
        <x:v>Exact name or all distinctive place-name tokens in file metadata</x:v>
      </x:c>
      <x:c r="M405" s="117" t="str">
        <x:v>Not visually reviewed</x:v>
      </x:c>
      <x:c r="N405" s="117" t="str">
        <x:v>2026-09-08</x:v>
      </x:c>
    </x:row>
    <x:row r="406" ht="48" customHeight="1">
      <x:c r="A406" s="117" t="str">
        <x:v>MC0408</x:v>
      </x:c>
      <x:c r="B406" s="117" t="str">
        <x:v>Seri Gemilang Bridge</x:v>
      </x:c>
      <x:c r="C406" s="117" t="n">
        <x:v>1</x:v>
      </x:c>
      <x:c r="D406" s="117" t="str">
        <x:v>https://thumb.wikimedia.org/wikipedia/commons/thumb/6/69/Putrajaya_Malaysia_Seri-Gemilang-Bridge-03.jpg/1280px-Putrajaya_Malaysia_Seri-Gemilang-Bridge-03.jpg?utm_source=commons.wikimedia.org&amp;utm_campaign=imageinfo&amp;utm_content=thumbnail</x:v>
      </x:c>
      <x:c r="E406" s="117" t="str">
        <x:v>https://commons.wikimedia.org/wiki/File:Putrajaya_Malaysia_Seri-Gemilang-Bridge-03.jpg</x:v>
      </x:c>
      <x:c r="F406" s="117" t="str">
        <x:v>File:Putrajaya Malaysia Seri-Gemilang-Bridge-03.jpg</x:v>
      </x:c>
      <x:c r="G406" s="117" t="str">
        <x:v>CEphoto, Uwe Aranas</x:v>
      </x:c>
      <x:c r="H406" s="117" t="str">
        <x:v>CC BY-SA 3.0</x:v>
      </x:c>
      <x:c r="I406" s="117" t="str">
        <x:v>https://creativecommons.org/licenses/by-sa/3.0</x:v>
      </x:c>
      <x:c r="J406" s="117" t="str">
        <x:v>true</x:v>
      </x:c>
      <x:c r="K406" s="117" t="str">
        <x:v>Own work</x:v>
      </x:c>
      <x:c r="L406" s="117" t="str">
        <x:v>Exact name or all distinctive place-name tokens in file metadata</x:v>
      </x:c>
      <x:c r="M406" s="117" t="str">
        <x:v>Not visually reviewed</x:v>
      </x:c>
      <x:c r="N406" s="117" t="str">
        <x:v>2026-09-08</x:v>
      </x:c>
    </x:row>
    <x:row r="407" ht="48" customHeight="1">
      <x:c r="A407" s="117" t="str">
        <x:v>MC0408</x:v>
      </x:c>
      <x:c r="B407" s="117" t="str">
        <x:v>Seri Gemilang Bridge</x:v>
      </x:c>
      <x:c r="C407" s="117" t="n">
        <x:v>2</x:v>
      </x:c>
      <x:c r="D407" s="117" t="str">
        <x:v>https://thumb.wikimedia.org/wikipedia/commons/thumb/8/86/Putrajaya_Malaysia_Seri-Gemilang-Bridge-02.jpg/1280px-Putrajaya_Malaysia_Seri-Gemilang-Bridge-02.jpg?utm_source=commons.wikimedia.org&amp;utm_campaign=imageinfo&amp;utm_content=thumbnail</x:v>
      </x:c>
      <x:c r="E407" s="117" t="str">
        <x:v>https://commons.wikimedia.org/wiki/File:Putrajaya_Malaysia_Seri-Gemilang-Bridge-02.jpg</x:v>
      </x:c>
      <x:c r="F407" s="117" t="str">
        <x:v>File:Putrajaya Malaysia Seri-Gemilang-Bridge-02.jpg</x:v>
      </x:c>
      <x:c r="G407" s="117" t="str">
        <x:v>CEphoto, Uwe Aranas</x:v>
      </x:c>
      <x:c r="H407" s="117" t="str">
        <x:v>CC BY-SA 3.0</x:v>
      </x:c>
      <x:c r="I407" s="117" t="str">
        <x:v>https://creativecommons.org/licenses/by-sa/3.0</x:v>
      </x:c>
      <x:c r="J407" s="117" t="str">
        <x:v>true</x:v>
      </x:c>
      <x:c r="K407" s="117" t="str">
        <x:v>Own work</x:v>
      </x:c>
      <x:c r="L407" s="117" t="str">
        <x:v>Exact name or all distinctive place-name tokens in file metadata</x:v>
      </x:c>
      <x:c r="M407" s="117" t="str">
        <x:v>Not visually reviewed</x:v>
      </x:c>
      <x:c r="N407" s="117" t="str">
        <x:v>2026-09-08</x:v>
      </x:c>
    </x:row>
    <x:row r="408" ht="48" customHeight="1">
      <x:c r="A408" s="117" t="str">
        <x:v>MC0411</x:v>
      </x:c>
      <x:c r="B408" s="117" t="str">
        <x:v>Putrajaya Steps</x:v>
      </x:c>
      <x:c r="C408" s="117" t="n">
        <x:v>1</x:v>
      </x:c>
      <x:c r="D408" s="117" t="str">
        <x:v>https://thumb.wikimedia.org/wikipedia/commons/thumb/4/4a/Putrajaya_Steps_%28221115%29_05.jpg/1280px-Putrajaya_Steps_%28221115%29_05.jpg?utm_source=commons.wikimedia.org&amp;utm_campaign=imageinfo&amp;utm_content=thumbnail</x:v>
      </x:c>
      <x:c r="E408" s="117" t="str">
        <x:v>https://commons.wikimedia.org/wiki/File:Putrajaya_Steps_(221115)_05.jpg</x:v>
      </x:c>
      <x:c r="F408" s="117" t="str">
        <x:v>File:Putrajaya Steps (221115) 05.jpg</x:v>
      </x:c>
      <x:c r="G408" s="117" t="str">
        <x:v>*angys*</x:v>
      </x:c>
      <x:c r="H408" s="117" t="str">
        <x:v>CC BY-SA 4.0</x:v>
      </x:c>
      <x:c r="I408" s="117" t="str">
        <x:v>https://creativecommons.org/licenses/by-sa/4.0</x:v>
      </x:c>
      <x:c r="J408" s="117" t="str">
        <x:v>true</x:v>
      </x:c>
      <x:c r="K408" s="117" t="str">
        <x:v>Own work</x:v>
      </x:c>
      <x:c r="L408" s="117" t="str">
        <x:v>Exact name or all distinctive place-name tokens in file metadata</x:v>
      </x:c>
      <x:c r="M408" s="117" t="str">
        <x:v>Not visually reviewed</x:v>
      </x:c>
      <x:c r="N408" s="117" t="str">
        <x:v>2026-09-08</x:v>
      </x:c>
    </x:row>
    <x:row r="409" ht="48" customHeight="1">
      <x:c r="A409" s="117" t="str">
        <x:v>MC0411</x:v>
      </x:c>
      <x:c r="B409" s="117" t="str">
        <x:v>Putrajaya Steps</x:v>
      </x:c>
      <x:c r="C409" s="117" t="n">
        <x:v>2</x:v>
      </x:c>
      <x:c r="D409" s="117" t="str">
        <x:v>https://thumb.wikimedia.org/wikipedia/commons/thumb/5/52/Putrajaya_Steps_%28221115%29_03.jpg/1280px-Putrajaya_Steps_%28221115%29_03.jpg?utm_source=commons.wikimedia.org&amp;utm_campaign=imageinfo&amp;utm_content=thumbnail</x:v>
      </x:c>
      <x:c r="E409" s="117" t="str">
        <x:v>https://commons.wikimedia.org/wiki/File:Putrajaya_Steps_(221115)_03.jpg</x:v>
      </x:c>
      <x:c r="F409" s="117" t="str">
        <x:v>File:Putrajaya Steps (221115) 03.jpg</x:v>
      </x:c>
      <x:c r="G409" s="117" t="str">
        <x:v>*angys*</x:v>
      </x:c>
      <x:c r="H409" s="117" t="str">
        <x:v>CC BY-SA 4.0</x:v>
      </x:c>
      <x:c r="I409" s="117" t="str">
        <x:v>https://creativecommons.org/licenses/by-sa/4.0</x:v>
      </x:c>
      <x:c r="J409" s="117" t="str">
        <x:v>true</x:v>
      </x:c>
      <x:c r="K409" s="117" t="str">
        <x:v>Own work</x:v>
      </x:c>
      <x:c r="L409" s="117" t="str">
        <x:v>Exact name or all distinctive place-name tokens in file metadata</x:v>
      </x:c>
      <x:c r="M409" s="117" t="str">
        <x:v>Not visually reviewed</x:v>
      </x:c>
      <x:c r="N409" s="117" t="str">
        <x:v>2026-09-08</x:v>
      </x:c>
    </x:row>
    <x:row r="410" ht="48" customHeight="1">
      <x:c r="A410" s="117" t="str">
        <x:v>MC0413</x:v>
      </x:c>
      <x:c r="B410" s="117" t="str">
        <x:v>Labuan War Cemetery</x:v>
      </x:c>
      <x:c r="C410" s="117" t="n">
        <x:v>1</x:v>
      </x:c>
      <x:c r="D410" s="117" t="str">
        <x:v>https://thumb.wikimedia.org/wikipedia/commons/thumb/8/87/Labuan_WWII-Memorial.jpg/1280px-Labuan_WWII-Memorial.jpg?utm_source=commons.wikimedia.org&amp;utm_campaign=imageinfo&amp;utm_content=thumbnail</x:v>
      </x:c>
      <x:c r="E410" s="117" t="str">
        <x:v>https://commons.wikimedia.org/wiki/File:Labuan_WWII-Memorial.jpg</x:v>
      </x:c>
      <x:c r="F410" s="117" t="str">
        <x:v>File:Labuan WWII-Memorial.jpg</x:v>
      </x:c>
      <x:c r="G410" s="117" t="str">
        <x:v>CEphoto, Uwe Aranas</x:v>
      </x:c>
      <x:c r="H410" s="117" t="str">
        <x:v>CC BY-SA 3.0</x:v>
      </x:c>
      <x:c r="I410" s="117" t="str">
        <x:v>https://creativecommons.org/licenses/by-sa/3.0</x:v>
      </x:c>
      <x:c r="J410" s="117" t="str">
        <x:v>true</x:v>
      </x:c>
      <x:c r="K410" s="117" t="str">
        <x:v>Own work</x:v>
      </x:c>
      <x:c r="L410" s="117" t="str">
        <x:v>Exact name or all distinctive place-name tokens in file metadata</x:v>
      </x:c>
      <x:c r="M410" s="117" t="str">
        <x:v>Not visually reviewed</x:v>
      </x:c>
      <x:c r="N410" s="117" t="str">
        <x:v>2026-09-08</x:v>
      </x:c>
    </x:row>
    <x:row r="411" ht="48" customHeight="1">
      <x:c r="A411" s="117" t="str">
        <x:v>MC0413</x:v>
      </x:c>
      <x:c r="B411" s="117" t="str">
        <x:v>Labuan War Cemetery</x:v>
      </x:c>
      <x:c r="C411" s="117" t="n">
        <x:v>2</x:v>
      </x:c>
      <x:c r="D411" s="117" t="str">
        <x:v>https://thumb.wikimedia.org/wikipedia/commons/thumb/3/33/Labuan_Malaysia_War-Cemetery-03.jpg/1280px-Labuan_Malaysia_War-Cemetery-03.jpg?utm_source=commons.wikimedia.org&amp;utm_campaign=imageinfo&amp;utm_content=thumbnail</x:v>
      </x:c>
      <x:c r="E411" s="117" t="str">
        <x:v>https://commons.wikimedia.org/wiki/File:Labuan_Malaysia_War-Cemetery-03.jpg</x:v>
      </x:c>
      <x:c r="F411" s="117" t="str">
        <x:v>File:Labuan Malaysia War-Cemetery-03.jpg</x:v>
      </x:c>
      <x:c r="G411" s="117" t="str">
        <x:v>CEphoto, Uwe Aranas</x:v>
      </x:c>
      <x:c r="H411" s="117" t="str">
        <x:v>CC BY-SA 3.0</x:v>
      </x:c>
      <x:c r="I411" s="117" t="str">
        <x:v>https://creativecommons.org/licenses/by-sa/3.0</x:v>
      </x:c>
      <x:c r="J411" s="117" t="str">
        <x:v>true</x:v>
      </x:c>
      <x:c r="K411" s="117" t="str">
        <x:v>Own work</x:v>
      </x:c>
      <x:c r="L411" s="117" t="str">
        <x:v>Exact name or all distinctive place-name tokens in file metadata</x:v>
      </x:c>
      <x:c r="M411" s="117" t="str">
        <x:v>Not visually reviewed</x:v>
      </x:c>
      <x:c r="N411" s="117" t="str">
        <x:v>2026-09-08</x:v>
      </x:c>
    </x:row>
    <x:row r="412" ht="48" customHeight="1">
      <x:c r="A412" s="117" t="str">
        <x:v>MC0416</x:v>
      </x:c>
      <x:c r="B412" s="117" t="str">
        <x:v>Chimney Museum</x:v>
      </x:c>
      <x:c r="C412" s="117" t="n">
        <x:v>1</x:v>
      </x:c>
      <x:c r="D412" s="117" t="str">
        <x:v>https://thumb.wikimedia.org/wikipedia/commons/thumb/b/b7/Labuan_Malaysia_Chimney-Museum-01.jpg/1280px-Labuan_Malaysia_Chimney-Museum-01.jpg?utm_source=commons.wikimedia.org&amp;utm_campaign=imageinfo&amp;utm_content=thumbnail</x:v>
      </x:c>
      <x:c r="E412" s="117" t="str">
        <x:v>https://commons.wikimedia.org/wiki/File:Labuan_Malaysia_Chimney-Museum-01.jpg</x:v>
      </x:c>
      <x:c r="F412" s="117" t="str">
        <x:v>File:Labuan Malaysia Chimney-Museum-01.jpg</x:v>
      </x:c>
      <x:c r="G412" s="117" t="str">
        <x:v>CEphoto, Uwe Aranas</x:v>
      </x:c>
      <x:c r="H412" s="117" t="str">
        <x:v>CC BY-SA 3.0</x:v>
      </x:c>
      <x:c r="I412" s="117" t="str">
        <x:v>https://creativecommons.org/licenses/by-sa/3.0</x:v>
      </x:c>
      <x:c r="J412" s="117" t="str">
        <x:v>true</x:v>
      </x:c>
      <x:c r="K412" s="117" t="str">
        <x:v>Own work</x:v>
      </x:c>
      <x:c r="L412" s="117" t="str">
        <x:v>Exact name or all distinctive place-name tokens in file metadata</x:v>
      </x:c>
      <x:c r="M412" s="117" t="str">
        <x:v>Not visually reviewed</x:v>
      </x:c>
      <x:c r="N412" s="117" t="str">
        <x:v>2026-09-08</x:v>
      </x:c>
    </x:row>
    <x:row r="413" ht="48" customHeight="1">
      <x:c r="A413" s="117" t="str">
        <x:v>MC0418</x:v>
      </x:c>
      <x:c r="B413" s="117" t="str">
        <x:v>Peace Park</x:v>
      </x:c>
      <x:c r="C413" s="117" t="n">
        <x:v>1</x:v>
      </x:c>
      <x:c r="D413" s="117" t="str">
        <x:v>https://upload.wikimedia.org/wikipedia/commons/5/5c/GlacierNP_L7_20010701.jpg?utm_source=commons.wikimedia.org&amp;utm_campaign=imageinfo&amp;utm_content=thumbnail_unscaled</x:v>
      </x:c>
      <x:c r="E413" s="117" t="str">
        <x:v>https://commons.wikimedia.org/wiki/File:GlacierNP_L7_20010701.jpg</x:v>
      </x:c>
      <x:c r="F413" s="117" t="str">
        <x:v>File:GlacierNP L7 20010701.jpg</x:v>
      </x:c>
      <x:c r="G413" s="117" t="str">
        <x:v>Jesse Allen, NASA Earth Observatory, using data obtained courtesy of the University of Maryland’s Global Land Cover Facility.</x:v>
      </x:c>
      <x:c r="H413" s="117" t="str">
        <x:v>Public domain</x:v>
      </x:c>
      <x:c r="I413" s="117" t="str"/>
      <x:c r="J413" s="117" t="str">
        <x:v>false</x:v>
      </x:c>
      <x:c r="K413" s="117" t="str">
        <x:v>http://earthobservatory.nasa.gov/Newsroom/NewImages/images.php3?img_id=17224</x:v>
      </x:c>
      <x:c r="L413" s="117" t="str">
        <x:v>Exact name or all distinctive place-name tokens in file metadata</x:v>
      </x:c>
      <x:c r="M413" s="117" t="str">
        <x:v>Not visually reviewed</x:v>
      </x:c>
      <x:c r="N413" s="117" t="str">
        <x:v>2026-09-08</x:v>
      </x:c>
    </x:row>
    <x:row r="414" ht="48" customHeight="1">
      <x:c r="A414" s="117" t="str">
        <x:v>MC0418</x:v>
      </x:c>
      <x:c r="B414" s="117" t="str">
        <x:v>Peace Park</x:v>
      </x:c>
      <x:c r="C414" s="117" t="n">
        <x:v>2</x:v>
      </x:c>
      <x:c r="D414" s="117" t="str">
        <x:v>https://thumb.wikimedia.org/wikipedia/commons/thumb/e/e6/Carthew-Alderson_Trail.jpg/1280px-Carthew-Alderson_Trail.jpg?utm_source=commons.wikimedia.org&amp;utm_campaign=imageinfo&amp;utm_content=thumbnail</x:v>
      </x:c>
      <x:c r="E414" s="117" t="str">
        <x:v>https://commons.wikimedia.org/wiki/File:Carthew-Alderson_Trail.jpg</x:v>
      </x:c>
      <x:c r="F414" s="117" t="str">
        <x:v>File:Carthew-Alderson Trail.jpg</x:v>
      </x:c>
      <x:c r="G414" s="117" t="str">
        <x:v>Stephen Hui</x:v>
      </x:c>
      <x:c r="H414" s="117" t="str">
        <x:v>CC BY-SA 4.0</x:v>
      </x:c>
      <x:c r="I414" s="117" t="str">
        <x:v>https://creativecommons.org/licenses/by-sa/4.0</x:v>
      </x:c>
      <x:c r="J414" s="117" t="str">
        <x:v>true</x:v>
      </x:c>
      <x:c r="K414" s="117" t="str">
        <x:v>Own work</x:v>
      </x:c>
      <x:c r="L414" s="117" t="str">
        <x:v>Exact name or all distinctive place-name tokens in file metadata</x:v>
      </x:c>
      <x:c r="M414" s="117" t="str">
        <x:v>Not visually reviewed</x:v>
      </x:c>
      <x:c r="N414" s="117" t="str">
        <x:v>2026-09-08</x:v>
      </x:c>
    </x:row>
    <x:row r="415" ht="48" customHeight="1">
      <x:c r="A415" s="117" t="str">
        <x:v>MC0423</x:v>
      </x:c>
      <x:c r="B415" s="117" t="str">
        <x:v>Labuan Museum</x:v>
      </x:c>
      <x:c r="C415" s="117" t="n">
        <x:v>1</x:v>
      </x:c>
      <x:c r="D415" s="117" t="str">
        <x:v>https://thumb.wikimedia.org/wikipedia/commons/thumb/b/bd/Labuan_Museum%2C_April_2025_03.jpg/1280px-Labuan_Museum%2C_April_2025_03.jpg?utm_source=commons.wikimedia.org&amp;utm_campaign=imageinfo&amp;utm_content=thumbnail</x:v>
      </x:c>
      <x:c r="E415" s="117" t="str">
        <x:v>https://commons.wikimedia.org/wiki/File:Labuan_Museum,_April_2025_03.jpg</x:v>
      </x:c>
      <x:c r="F415" s="117" t="str">
        <x:v>File:Labuan Museum, April 2025 03.jpg</x:v>
      </x:c>
      <x:c r="G415" s="117" t="str">
        <x:v>Calistemon</x:v>
      </x:c>
      <x:c r="H415" s="117" t="str">
        <x:v>CC BY-SA 4.0</x:v>
      </x:c>
      <x:c r="I415" s="117" t="str">
        <x:v>https://creativecommons.org/licenses/by-sa/4.0</x:v>
      </x:c>
      <x:c r="J415" s="117" t="str">
        <x:v>true</x:v>
      </x:c>
      <x:c r="K415" s="117" t="str">
        <x:v>Own work</x:v>
      </x:c>
      <x:c r="L415" s="117" t="str">
        <x:v>Exact name or all distinctive place-name tokens in file metadata</x:v>
      </x:c>
      <x:c r="M415" s="117" t="str">
        <x:v>Not visually reviewed</x:v>
      </x:c>
      <x:c r="N415" s="117" t="str">
        <x:v>2026-09-08</x:v>
      </x:c>
    </x:row>
    <x:row r="416" ht="48" customHeight="1">
      <x:c r="A416" s="117" t="str">
        <x:v>MC0423</x:v>
      </x:c>
      <x:c r="B416" s="117" t="str">
        <x:v>Labuan Museum</x:v>
      </x:c>
      <x:c r="C416" s="117" t="n">
        <x:v>2</x:v>
      </x:c>
      <x:c r="D416" s="117" t="str">
        <x:v>https://thumb.wikimedia.org/wikipedia/commons/thumb/a/a1/Labuan_Museum%2C_April_2025_02.jpg/1280px-Labuan_Museum%2C_April_2025_02.jpg?utm_source=commons.wikimedia.org&amp;utm_campaign=imageinfo&amp;utm_content=thumbnail</x:v>
      </x:c>
      <x:c r="E416" s="117" t="str">
        <x:v>https://commons.wikimedia.org/wiki/File:Labuan_Museum,_April_2025_02.jpg</x:v>
      </x:c>
      <x:c r="F416" s="117" t="str">
        <x:v>File:Labuan Museum, April 2025 02.jpg</x:v>
      </x:c>
      <x:c r="G416" s="117" t="str">
        <x:v>Calistemon</x:v>
      </x:c>
      <x:c r="H416" s="117" t="str">
        <x:v>CC BY-SA 4.0</x:v>
      </x:c>
      <x:c r="I416" s="117" t="str">
        <x:v>https://creativecommons.org/licenses/by-sa/4.0</x:v>
      </x:c>
      <x:c r="J416" s="117" t="str">
        <x:v>true</x:v>
      </x:c>
      <x:c r="K416" s="117" t="str">
        <x:v>Own work</x:v>
      </x:c>
      <x:c r="L416" s="117" t="str">
        <x:v>Exact name or all distinctive place-name tokens in file metadata</x:v>
      </x:c>
      <x:c r="M416" s="117" t="str">
        <x:v>Not visually reviewed</x:v>
      </x:c>
      <x:c r="N416" s="117" t="str">
        <x:v>2026-09-08</x:v>
      </x:c>
    </x:row>
    <x:row r="417" ht="48" customHeight="1">
      <x:c r="A417" s="117" t="str">
        <x:v>MC0432</x:v>
      </x:c>
      <x:c r="B417" s="117" t="str">
        <x:v>Sultan Iskandar Marine Park</x:v>
      </x:c>
      <x:c r="C417" s="117" t="n">
        <x:v>1</x:v>
      </x:c>
      <x:c r="D417" s="117" t="str">
        <x:v>https://thumb.wikimedia.org/wikipedia/commons/thumb/9/9b/Sultan_Iskandar_Marine_Park_Mailbox.jpg/1280px-Sultan_Iskandar_Marine_Park_Mailbox.jpg?utm_source=commons.wikimedia.org&amp;utm_campaign=imageinfo&amp;utm_content=thumbnail</x:v>
      </x:c>
      <x:c r="E417" s="117" t="str">
        <x:v>https://commons.wikimedia.org/wiki/File:Sultan_Iskandar_Marine_Park_Mailbox.jpg</x:v>
      </x:c>
      <x:c r="F417" s="117" t="str">
        <x:v>File:Sultan Iskandar Marine Park Mailbox.jpg</x:v>
      </x:c>
      <x:c r="G417" s="117" t="str">
        <x:v>Chongkian</x:v>
      </x:c>
      <x:c r="H417" s="117" t="str">
        <x:v>CC BY-SA 4.0</x:v>
      </x:c>
      <x:c r="I417" s="117" t="str">
        <x:v>https://creativecommons.org/licenses/by-sa/4.0</x:v>
      </x:c>
      <x:c r="J417" s="117" t="str">
        <x:v>true</x:v>
      </x:c>
      <x:c r="K417" s="117" t="str">
        <x:v>Own work</x:v>
      </x:c>
      <x:c r="L417" s="117" t="str">
        <x:v>Exact name or all distinctive place-name tokens in file metadata</x:v>
      </x:c>
      <x:c r="M417" s="117" t="str">
        <x:v>Not visually reviewed</x:v>
      </x:c>
      <x:c r="N417" s="117" t="str">
        <x:v>2026-09-08</x:v>
      </x:c>
    </x:row>
    <x:row r="418" ht="48" customHeight="1">
      <x:c r="A418" s="117" t="str">
        <x:v>MC0433</x:v>
      </x:c>
      <x:c r="B418" s="117" t="str">
        <x:v>Pantai Penyabong</x:v>
      </x:c>
      <x:c r="C418" s="117" t="n">
        <x:v>1</x:v>
      </x:c>
      <x:c r="D418" s="117" t="str">
        <x:v>https://thumb.wikimedia.org/wikipedia/commons/thumb/7/77/Bertengger_Manis_di_Pantai_Penyabong%2C_Belitung.jpg/1280px-Bertengger_Manis_di_Pantai_Penyabong%2C_Belitung.jpg?utm_source=commons.wikimedia.org&amp;utm_campaign=imageinfo&amp;utm_content=thumbnail</x:v>
      </x:c>
      <x:c r="E418" s="117" t="str">
        <x:v>https://commons.wikimedia.org/wiki/File:Bertengger_Manis_di_Pantai_Penyabong,_Belitung.jpg</x:v>
      </x:c>
      <x:c r="F418" s="117" t="str">
        <x:v>File:Bertengger Manis di Pantai Penyabong, Belitung.jpg</x:v>
      </x:c>
      <x:c r="G418" s="117" t="str">
        <x:v>Stella Nostra G. A</x:v>
      </x:c>
      <x:c r="H418" s="117" t="str">
        <x:v>CC BY-SA 4.0</x:v>
      </x:c>
      <x:c r="I418" s="117" t="str">
        <x:v>https://creativecommons.org/licenses/by-sa/4.0</x:v>
      </x:c>
      <x:c r="J418" s="117" t="str">
        <x:v>true</x:v>
      </x:c>
      <x:c r="K418" s="117" t="str">
        <x:v>Own work</x:v>
      </x:c>
      <x:c r="L418" s="117" t="str">
        <x:v>Exact name or all distinctive place-name tokens in file metadata</x:v>
      </x:c>
      <x:c r="M418" s="117" t="str">
        <x:v>Not visually reviewed</x:v>
      </x:c>
      <x:c r="N418" s="117" t="str">
        <x:v>2026-09-08</x:v>
      </x:c>
    </x:row>
    <x:row r="419" ht="48" customHeight="1">
      <x:c r="A419" s="117" t="str">
        <x:v>MC0436</x:v>
      </x:c>
      <x:c r="B419" s="117" t="str">
        <x:v>Muar River Cruise</x:v>
      </x:c>
      <x:c r="C419" s="117" t="n">
        <x:v>1</x:v>
      </x:c>
      <x:c r="D419" s="117" t="str">
        <x:v>https://thumb.wikimedia.org/wikipedia/commons/thumb/8/8f/Muar_River_Cruise_Terminal.jpg/1280px-Muar_River_Cruise_Terminal.jpg?utm_source=commons.wikimedia.org&amp;utm_campaign=imageinfo&amp;utm_content=thumbnail</x:v>
      </x:c>
      <x:c r="E419" s="117" t="str">
        <x:v>https://commons.wikimedia.org/wiki/File:Muar_River_Cruise_Terminal.jpg</x:v>
      </x:c>
      <x:c r="F419" s="117" t="str">
        <x:v>File:Muar River Cruise Terminal.jpg</x:v>
      </x:c>
      <x:c r="G419" s="117" t="str">
        <x:v>Chongkian</x:v>
      </x:c>
      <x:c r="H419" s="117" t="str">
        <x:v>CC BY-SA 4.0</x:v>
      </x:c>
      <x:c r="I419" s="117" t="str">
        <x:v>https://creativecommons.org/licenses/by-sa/4.0</x:v>
      </x:c>
      <x:c r="J419" s="117" t="str">
        <x:v>true</x:v>
      </x:c>
      <x:c r="K419" s="117" t="str">
        <x:v>Own work</x:v>
      </x:c>
      <x:c r="L419" s="117" t="str">
        <x:v>Exact name or all distinctive place-name tokens in file metadata</x:v>
      </x:c>
      <x:c r="M419" s="117" t="str">
        <x:v>Not visually reviewed</x:v>
      </x:c>
      <x:c r="N419" s="117" t="str">
        <x:v>2026-09-08</x:v>
      </x:c>
    </x:row>
    <x:row r="420" ht="48" customHeight="1">
      <x:c r="A420" s="117" t="str">
        <x:v>MC0438</x:v>
      </x:c>
      <x:c r="B420" s="117" t="str">
        <x:v>UK Farm</x:v>
      </x:c>
      <x:c r="C420" s="117" t="n">
        <x:v>1</x:v>
      </x:c>
      <x:c r="D420" s="117" t="str">
        <x:v>https://thumb.wikimedia.org/wikipedia/commons/thumb/0/04/UK_Farm_Agro_Resort.jpg/1280px-UK_Farm_Agro_Resort.jpg?utm_source=commons.wikimedia.org&amp;utm_campaign=imageinfo&amp;utm_content=thumbnail</x:v>
      </x:c>
      <x:c r="E420" s="117" t="str">
        <x:v>https://commons.wikimedia.org/wiki/File:UK_Farm_Agro_Resort.jpg</x:v>
      </x:c>
      <x:c r="F420" s="117" t="str">
        <x:v>File:UK Farm Agro Resort.jpg</x:v>
      </x:c>
      <x:c r="G420" s="117" t="str">
        <x:v>Chongkian</x:v>
      </x:c>
      <x:c r="H420" s="117" t="str">
        <x:v>CC BY-SA 4.0</x:v>
      </x:c>
      <x:c r="I420" s="117" t="str">
        <x:v>https://creativecommons.org/licenses/by-sa/4.0</x:v>
      </x:c>
      <x:c r="J420" s="117" t="str">
        <x:v>true</x:v>
      </x:c>
      <x:c r="K420" s="117" t="str">
        <x:v>Own work</x:v>
      </x:c>
      <x:c r="L420" s="117" t="str">
        <x:v>Exact name or all distinctive place-name tokens in file metadata</x:v>
      </x:c>
      <x:c r="M420" s="117" t="str">
        <x:v>Not visually reviewed</x:v>
      </x:c>
      <x:c r="N420" s="117" t="str">
        <x:v>2026-09-08</x:v>
      </x:c>
    </x:row>
    <x:row r="421" ht="48" customHeight="1">
      <x:c r="A421" s="117" t="str">
        <x:v>MC0438</x:v>
      </x:c>
      <x:c r="B421" s="117" t="str">
        <x:v>UK Farm</x:v>
      </x:c>
      <x:c r="C421" s="117" t="n">
        <x:v>2</x:v>
      </x:c>
      <x:c r="D421" s="117" t="str">
        <x:v>https://upload.wikimedia.org/wikipedia/commons/c/c4/Cheshire_West_and_Chester_-_Farm_building_immediately_to_east_of_Pickerton_Cottage_-_20210331093045.jpg?utm_source=commons.wikimedia.org&amp;utm_campaign=imageinfo&amp;utm_content=thumbnail_unscaled</x:v>
      </x:c>
      <x:c r="E421" s="117" t="str">
        <x:v>https://commons.wikimedia.org/wiki/File:Cheshire_West_and_Chester_-_Farm_building_immediately_to_east_of_Pickerton_Cottage_-_20210331093045.jpg</x:v>
      </x:c>
      <x:c r="F421" s="117" t="str">
        <x:v>File:Cheshire West and Chester - Farm building immediately to east of Pickerton Cottage - 20210331093045.jpg</x:v>
      </x:c>
      <x:c r="G421" s="117" t="str">
        <x:v>GingerBeast</x:v>
      </x:c>
      <x:c r="H421" s="117" t="str">
        <x:v>CC BY-SA 4.0</x:v>
      </x:c>
      <x:c r="I421" s="117" t="str">
        <x:v>https://creativecommons.org/licenses/by-sa/4.0</x:v>
      </x:c>
      <x:c r="J421" s="117" t="str">
        <x:v>true</x:v>
      </x:c>
      <x:c r="K421" s="117" t="str">
        <x:v>Own work</x:v>
      </x:c>
      <x:c r="L421" s="117" t="str">
        <x:v>Exact name or all distinctive place-name tokens in file metadata</x:v>
      </x:c>
      <x:c r="M421" s="117" t="str">
        <x:v>Not visually reviewed</x:v>
      </x:c>
      <x:c r="N421" s="117" t="str">
        <x:v>2026-09-08</x:v>
      </x:c>
    </x:row>
    <x:row r="422" ht="48" customHeight="1">
      <x:c r="A422" s="117" t="str">
        <x:v>MC0439</x:v>
      </x:c>
      <x:c r="B422" s="117" t="str">
        <x:v>Zenxin Organic Park</x:v>
      </x:c>
      <x:c r="C422" s="117" t="n">
        <x:v>1</x:v>
      </x:c>
      <x:c r="D422" s="117" t="str">
        <x:v>https://thumb.wikimedia.org/wikipedia/commons/thumb/2/2f/Zenxin_Organic_Park.jpg/1280px-Zenxin_Organic_Park.jpg?utm_source=commons.wikimedia.org&amp;utm_campaign=imageinfo&amp;utm_content=thumbnail</x:v>
      </x:c>
      <x:c r="E422" s="117" t="str">
        <x:v>https://commons.wikimedia.org/wiki/File:Zenxin_Organic_Park.jpg</x:v>
      </x:c>
      <x:c r="F422" s="117" t="str">
        <x:v>File:Zenxin Organic Park.jpg</x:v>
      </x:c>
      <x:c r="G422" s="117" t="str">
        <x:v>Chongkian</x:v>
      </x:c>
      <x:c r="H422" s="117" t="str">
        <x:v>CC BY-SA 4.0</x:v>
      </x:c>
      <x:c r="I422" s="117" t="str">
        <x:v>https://creativecommons.org/licenses/by-sa/4.0</x:v>
      </x:c>
      <x:c r="J422" s="117" t="str">
        <x:v>true</x:v>
      </x:c>
      <x:c r="K422" s="117" t="str">
        <x:v>Own work</x:v>
      </x:c>
      <x:c r="L422" s="117" t="str">
        <x:v>Exact name or all distinctive place-name tokens in file metadata</x:v>
      </x:c>
      <x:c r="M422" s="117" t="str">
        <x:v>Not visually reviewed</x:v>
      </x:c>
      <x:c r="N422" s="117" t="str">
        <x:v>2026-09-08</x:v>
      </x:c>
    </x:row>
    <x:row r="423" ht="48" customHeight="1">
      <x:c r="A423" s="117" t="str">
        <x:v>MC0439</x:v>
      </x:c>
      <x:c r="B423" s="117" t="str">
        <x:v>Zenxin Organic Park</x:v>
      </x:c>
      <x:c r="C423" s="117" t="n">
        <x:v>2</x:v>
      </x:c>
      <x:c r="D423" s="117" t="str">
        <x:v>https://thumb.wikimedia.org/wikipedia/commons/thumb/6/62/Zenxin_Organic_Park_%28240406-0942%29.jpg/1280px-Zenxin_Organic_Park_%28240406-0942%29.jpg?utm_source=commons.wikimedia.org&amp;utm_campaign=imageinfo&amp;utm_content=thumbnail</x:v>
      </x:c>
      <x:c r="E423" s="117" t="str">
        <x:v>https://commons.wikimedia.org/wiki/File:Zenxin_Organic_Park_(240406-0942).jpg</x:v>
      </x:c>
      <x:c r="F423" s="117" t="str">
        <x:v>File:Zenxin Organic Park (240406-0942).jpg</x:v>
      </x:c>
      <x:c r="G423" s="117" t="str">
        <x:v>Wee Hong</x:v>
      </x:c>
      <x:c r="H423" s="117" t="str">
        <x:v>CC BY-SA 4.0</x:v>
      </x:c>
      <x:c r="I423" s="117" t="str">
        <x:v>https://creativecommons.org/licenses/by-sa/4.0</x:v>
      </x:c>
      <x:c r="J423" s="117" t="str">
        <x:v>true</x:v>
      </x:c>
      <x:c r="K423" s="117" t="str">
        <x:v>Own work</x:v>
      </x:c>
      <x:c r="L423" s="117" t="str">
        <x:v>Exact name or all distinctive place-name tokens in file metadata</x:v>
      </x:c>
      <x:c r="M423" s="117" t="str">
        <x:v>Not visually reviewed</x:v>
      </x:c>
      <x:c r="N423" s="117" t="str">
        <x:v>2026-09-08</x:v>
      </x:c>
    </x:row>
    <x:row r="424" ht="48" customHeight="1">
      <x:c r="A424" s="117" t="str">
        <x:v>MC0441</x:v>
      </x:c>
      <x:c r="B424" s="117" t="str">
        <x:v>Gunung Belumut</x:v>
      </x:c>
      <x:c r="C424" s="117" t="n">
        <x:v>1</x:v>
      </x:c>
      <x:c r="D424" s="117" t="str">
        <x:v>https://thumb.wikimedia.org/wikipedia/commons/thumb/8/86/20140817T180028_Lat_2_4_8.13000000_N_Long_103_30_53.68320000_E.jpg/1280px-20140817T180028_Lat_2_4_8.13000000_N_Long_103_30_53.68320000_E.jpg?utm_source=commons.wikimedia.org&amp;utm_campaign=imageinfo&amp;utm_content=thumbnail</x:v>
      </x:c>
      <x:c r="E424" s="117" t="str">
        <x:v>https://commons.wikimedia.org/wiki/File:20140817T180028_Lat_2_4_8.13000000_N_Long_103_30_53.68320000_E.jpg</x:v>
      </x:c>
      <x:c r="F424" s="117" t="str">
        <x:v>File:20140817T180028 Lat 2 4 8.13000000 N Long 103 30 53.68320000 E.jpg</x:v>
      </x:c>
      <x:c r="G424" s="117" t="str">
        <x:v>Toni Wöhrl</x:v>
      </x:c>
      <x:c r="H424" s="117" t="str">
        <x:v>CC BY-SA 4.0</x:v>
      </x:c>
      <x:c r="I424" s="117" t="str">
        <x:v>https://creativecommons.org/licenses/by-sa/4.0</x:v>
      </x:c>
      <x:c r="J424" s="117" t="str">
        <x:v>true</x:v>
      </x:c>
      <x:c r="K424" s="117" t="str">
        <x:v>Own work</x:v>
      </x:c>
      <x:c r="L424" s="117" t="str">
        <x:v>Exact name or all distinctive place-name tokens in file metadata</x:v>
      </x:c>
      <x:c r="M424" s="117" t="str">
        <x:v>Not visually reviewed</x:v>
      </x:c>
      <x:c r="N424" s="117" t="str">
        <x:v>2026-09-08</x:v>
      </x:c>
    </x:row>
    <x:row r="425" ht="48" customHeight="1">
      <x:c r="A425" s="117" t="str">
        <x:v>MC0441</x:v>
      </x:c>
      <x:c r="B425" s="117" t="str">
        <x:v>Gunung Belumut</x:v>
      </x:c>
      <x:c r="C425" s="117" t="n">
        <x:v>2</x:v>
      </x:c>
      <x:c r="D425" s="117" t="str">
        <x:v>https://upload.wikimedia.org/wikipedia/commons/7/75/Perfectly_Shape_Leaf_found_at_Mount_Belumut%2C_Kluang%2C_Malaysia.png?utm_source=commons.wikimedia.org&amp;utm_campaign=imageinfo&amp;utm_content=thumbnail_unscaled</x:v>
      </x:c>
      <x:c r="E425" s="117" t="str">
        <x:v>https://commons.wikimedia.org/wiki/File:Perfectly_Shape_Leaf_found_at_Mount_Belumut,_Kluang,_Malaysia.png</x:v>
      </x:c>
      <x:c r="F425" s="117" t="str">
        <x:v>File:Perfectly Shape Leaf found at Mount Belumut, Kluang, Malaysia.png</x:v>
      </x:c>
      <x:c r="G425" s="117" t="str">
        <x:v>Ayiedfarith</x:v>
      </x:c>
      <x:c r="H425" s="117" t="str">
        <x:v>CC BY-SA 4.0</x:v>
      </x:c>
      <x:c r="I425" s="117" t="str">
        <x:v>https://creativecommons.org/licenses/by-sa/4.0</x:v>
      </x:c>
      <x:c r="J425" s="117" t="str">
        <x:v>true</x:v>
      </x:c>
      <x:c r="K425" s="117" t="str">
        <x:v>Own work</x:v>
      </x:c>
      <x:c r="L425" s="117" t="str">
        <x:v>Exact name or all distinctive place-name tokens in file metadata</x:v>
      </x:c>
      <x:c r="M425" s="117" t="str">
        <x:v>Not visually reviewed</x:v>
      </x:c>
      <x:c r="N425" s="117" t="str">
        <x:v>2026-09-08</x:v>
      </x:c>
    </x:row>
    <x:row r="426" ht="48" customHeight="1">
      <x:c r="A426" s="117" t="str">
        <x:v>MC0442</x:v>
      </x:c>
      <x:c r="B426" s="117" t="str">
        <x:v>Johor Bahru Chinese Heritage Museum</x:v>
      </x:c>
      <x:c r="C426" s="117" t="n">
        <x:v>1</x:v>
      </x:c>
      <x:c r="D426" s="117" t="str">
        <x:v>https://thumb.wikimedia.org/wikipedia/commons/thumb/e/e7/Johor_Bahru_Chinese_Heritage_Museum.JPG/1280px-Johor_Bahru_Chinese_Heritage_Museum.JPG?utm_source=commons.wikimedia.org&amp;utm_campaign=imageinfo&amp;utm_content=thumbnail</x:v>
      </x:c>
      <x:c r="E426" s="117" t="str">
        <x:v>https://commons.wikimedia.org/wiki/File:Johor_Bahru_Chinese_Heritage_Museum.JPG</x:v>
      </x:c>
      <x:c r="F426" s="117" t="str">
        <x:v>File:Johor Bahru Chinese Heritage Museum.JPG</x:v>
      </x:c>
      <x:c r="G426" s="117" t="str">
        <x:v>Chongkian</x:v>
      </x:c>
      <x:c r="H426" s="117" t="str">
        <x:v>CC BY-SA 4.0</x:v>
      </x:c>
      <x:c r="I426" s="117" t="str">
        <x:v>https://creativecommons.org/licenses/by-sa/4.0</x:v>
      </x:c>
      <x:c r="J426" s="117" t="str">
        <x:v>true</x:v>
      </x:c>
      <x:c r="K426" s="117" t="str">
        <x:v>Own work</x:v>
      </x:c>
      <x:c r="L426" s="117" t="str">
        <x:v>Exact name or all distinctive place-name tokens in file metadata</x:v>
      </x:c>
      <x:c r="M426" s="117" t="str">
        <x:v>Not visually reviewed</x:v>
      </x:c>
      <x:c r="N426" s="117" t="str">
        <x:v>2026-09-08</x:v>
      </x:c>
    </x:row>
    <x:row r="427" ht="48" customHeight="1">
      <x:c r="A427" s="117" t="str">
        <x:v>MC0442</x:v>
      </x:c>
      <x:c r="B427" s="117" t="str">
        <x:v>Johor Bahru Chinese Heritage Museum</x:v>
      </x:c>
      <x:c r="C427" s="117" t="n">
        <x:v>2</x:v>
      </x:c>
      <x:c r="D427" s="117" t="str">
        <x:v>https://thumb.wikimedia.org/wikipedia/commons/thumb/9/99/Chinese_Heritage_Museum%2C_Johor_Bahru_%28P1110132%29.jpg/1280px-Chinese_Heritage_Museum%2C_Johor_Bahru_%28P1110132%29.jpg?utm_source=commons.wikimedia.org&amp;utm_campaign=imageinfo&amp;utm_content=thumbnail</x:v>
      </x:c>
      <x:c r="E427" s="117" t="str">
        <x:v>https://commons.wikimedia.org/wiki/File:Chinese_Heritage_Museum,_Johor_Bahru_(P1110132).jpg</x:v>
      </x:c>
      <x:c r="F427" s="117" t="str">
        <x:v>File:Chinese Heritage Museum, Johor Bahru (P1110132).jpg</x:v>
      </x:c>
      <x:c r="G427" s="117" t="str">
        <x:v>Matti Blume</x:v>
      </x:c>
      <x:c r="H427" s="117" t="str">
        <x:v>CC BY-SA 4.0</x:v>
      </x:c>
      <x:c r="I427" s="117" t="str">
        <x:v>https://creativecommons.org/licenses/by-sa/4.0/deed.en</x:v>
      </x:c>
      <x:c r="J427" s="117" t="str">
        <x:v>true</x:v>
      </x:c>
      <x:c r="K427" s="117" t="str">
        <x:v>Own work</x:v>
      </x:c>
      <x:c r="L427" s="117" t="str">
        <x:v>Exact name or all distinctive place-name tokens in file metadata</x:v>
      </x:c>
      <x:c r="M427" s="117" t="str">
        <x:v>Not visually reviewed</x:v>
      </x:c>
      <x:c r="N427" s="117" t="str">
        <x:v>2026-09-08</x:v>
      </x:c>
    </x:row>
    <x:row r="428" ht="48" customHeight="1">
      <x:c r="A428" s="117" t="str">
        <x:v>MC0443</x:v>
      </x:c>
      <x:c r="B428" s="117" t="str">
        <x:v>Dataran Bandaraya Johor Bahru</x:v>
      </x:c>
      <x:c r="C428" s="117" t="n">
        <x:v>1</x:v>
      </x:c>
      <x:c r="D428" s="117" t="str">
        <x:v>https://thumb.wikimedia.org/wikipedia/commons/thumb/5/57/City_in_a_Forest.jpg/1280px-City_in_a_Forest.jpg?utm_source=commons.wikimedia.org&amp;utm_campaign=imageinfo&amp;utm_content=thumbnail</x:v>
      </x:c>
      <x:c r="E428" s="117" t="str">
        <x:v>https://commons.wikimedia.org/wiki/File:City_in_a_Forest.jpg</x:v>
      </x:c>
      <x:c r="F428" s="117" t="str">
        <x:v>File:City in a Forest.jpg</x:v>
      </x:c>
      <x:c r="G428" s="117" t="str">
        <x:v>LokHK99</x:v>
      </x:c>
      <x:c r="H428" s="117" t="str">
        <x:v>CC BY-SA 4.0</x:v>
      </x:c>
      <x:c r="I428" s="117" t="str">
        <x:v>https://creativecommons.org/licenses/by-sa/4.0</x:v>
      </x:c>
      <x:c r="J428" s="117" t="str">
        <x:v>true</x:v>
      </x:c>
      <x:c r="K428" s="117" t="str">
        <x:v>Own work</x:v>
      </x:c>
      <x:c r="L428" s="117" t="str">
        <x:v>Exact name or all distinctive place-name tokens in file metadata</x:v>
      </x:c>
      <x:c r="M428" s="117" t="str">
        <x:v>Not visually reviewed</x:v>
      </x:c>
      <x:c r="N428" s="117" t="str">
        <x:v>2026-09-08</x:v>
      </x:c>
    </x:row>
    <x:row r="429" ht="48" customHeight="1">
      <x:c r="A429" s="117" t="str">
        <x:v>MC0445</x:v>
      </x:c>
      <x:c r="B429" s="117" t="str">
        <x:v>Church of the Immaculate Conception</x:v>
      </x:c>
      <x:c r="C429" s="117" t="n">
        <x:v>1</x:v>
      </x:c>
      <x:c r="D429" s="117" t="str">
        <x:v>https://upload.wikimedia.org/wikipedia/commons/8/85/Imcch.jpg?utm_source=commons.wikimedia.org&amp;utm_campaign=imageinfo&amp;utm_content=thumbnail_unscaled</x:v>
      </x:c>
      <x:c r="E429" s="117" t="str">
        <x:v>https://commons.wikimedia.org/wiki/File:Imcch.jpg</x:v>
      </x:c>
      <x:c r="F429" s="117" t="str">
        <x:v>File:Imcch.jpg</x:v>
      </x:c>
      <x:c r="G429" s="117" t="str">
        <x:v>Willthacheerleader18 at English Wikipedia</x:v>
      </x:c>
      <x:c r="H429" s="117" t="str">
        <x:v>CC0</x:v>
      </x:c>
      <x:c r="I429" s="117" t="str">
        <x:v>http://creativecommons.org/publicdomain/zero/1.0/deed.en</x:v>
      </x:c>
      <x:c r="J429" s="117" t="str">
        <x:v>false</x:v>
      </x:c>
      <x:c r="K429" s="117" t="str">
        <x:v>Transferred from en.wikipedia to Commons by ТимофейЛееСуда using CommonsHelper.</x:v>
      </x:c>
      <x:c r="L429" s="117" t="str">
        <x:v>Exact name or all distinctive place-name tokens in file metadata</x:v>
      </x:c>
      <x:c r="M429" s="117" t="str">
        <x:v>Not visually reviewed</x:v>
      </x:c>
      <x:c r="N429" s="117" t="str">
        <x:v>2026-09-08</x:v>
      </x:c>
    </x:row>
    <x:row r="430" ht="48" customHeight="1">
      <x:c r="A430" s="117" t="str">
        <x:v>MC0445</x:v>
      </x:c>
      <x:c r="B430" s="117" t="str">
        <x:v>Church of the Immaculate Conception</x:v>
      </x:c>
      <x:c r="C430" s="117" t="n">
        <x:v>2</x:v>
      </x:c>
      <x:c r="D430" s="117" t="str">
        <x:v>https://thumb.wikimedia.org/wikipedia/commons/thumb/5/5f/Immaculate_Conception_Church%2C_Ithaca%2C_New_York.jpg/1280px-Immaculate_Conception_Church%2C_Ithaca%2C_New_York.jpg?utm_source=commons.wikimedia.org&amp;utm_campaign=imageinfo&amp;utm_content=thumbnail</x:v>
      </x:c>
      <x:c r="E430" s="117" t="str">
        <x:v>https://commons.wikimedia.org/wiki/File:Immaculate_Conception_Church,_Ithaca,_New_York.jpg</x:v>
      </x:c>
      <x:c r="F430" s="117" t="str">
        <x:v>File:Immaculate Conception Church, Ithaca, New York.jpg</x:v>
      </x:c>
      <x:c r="G430" s="117" t="str">
        <x:v>Kenneth C. Zirkel</x:v>
      </x:c>
      <x:c r="H430" s="117" t="str">
        <x:v>CC BY-SA 4.0</x:v>
      </x:c>
      <x:c r="I430" s="117" t="str">
        <x:v>https://creativecommons.org/licenses/by-sa/4.0</x:v>
      </x:c>
      <x:c r="J430" s="117" t="str">
        <x:v>true</x:v>
      </x:c>
      <x:c r="K430" s="117" t="str">
        <x:v>Own work</x:v>
      </x:c>
      <x:c r="L430" s="117" t="str">
        <x:v>Exact name or all distinctive place-name tokens in file metadata</x:v>
      </x:c>
      <x:c r="M430" s="117" t="str">
        <x:v>Not visually reviewed</x:v>
      </x:c>
      <x:c r="N430" s="117" t="str">
        <x:v>2026-09-08</x:v>
      </x:c>
    </x:row>
    <x:row r="431" ht="48" customHeight="1">
      <x:c r="A431" s="117" t="str">
        <x:v>MC0446</x:v>
      </x:c>
      <x:c r="B431" s="117" t="str">
        <x:v>Austin Heights Water and Adventure Park</x:v>
      </x:c>
      <x:c r="C431" s="117" t="n">
        <x:v>1</x:v>
      </x:c>
      <x:c r="D431" s="117" t="str">
        <x:v>https://thumb.wikimedia.org/wikipedia/commons/thumb/4/4c/Austin_Heights_Water_and_Adventure_Park.JPG/1280px-Austin_Heights_Water_and_Adventure_Park.JPG?utm_source=commons.wikimedia.org&amp;utm_campaign=imageinfo&amp;utm_content=thumbnail</x:v>
      </x:c>
      <x:c r="E431" s="117" t="str">
        <x:v>https://commons.wikimedia.org/wiki/File:Austin_Heights_Water_and_Adventure_Park.JPG</x:v>
      </x:c>
      <x:c r="F431" s="117" t="str">
        <x:v>File:Austin Heights Water and Adventure Park.JPG</x:v>
      </x:c>
      <x:c r="G431" s="117" t="str">
        <x:v>Chongkian</x:v>
      </x:c>
      <x:c r="H431" s="117" t="str">
        <x:v>CC BY-SA 4.0</x:v>
      </x:c>
      <x:c r="I431" s="117" t="str">
        <x:v>https://creativecommons.org/licenses/by-sa/4.0</x:v>
      </x:c>
      <x:c r="J431" s="117" t="str">
        <x:v>true</x:v>
      </x:c>
      <x:c r="K431" s="117" t="str">
        <x:v>Own work</x:v>
      </x:c>
      <x:c r="L431" s="117" t="str">
        <x:v>Exact name or all distinctive place-name tokens in file metadata</x:v>
      </x:c>
      <x:c r="M431" s="117" t="str">
        <x:v>Not visually reviewed</x:v>
      </x:c>
      <x:c r="N431" s="117" t="str">
        <x:v>2026-09-08</x:v>
      </x:c>
    </x:row>
    <x:row r="432" ht="48" customHeight="1">
      <x:c r="A432" s="117" t="str">
        <x:v>MC0448</x:v>
      </x:c>
      <x:c r="B432" s="117" t="str">
        <x:v>Tanjung Balau Fishermen Museum</x:v>
      </x:c>
      <x:c r="C432" s="117" t="n">
        <x:v>1</x:v>
      </x:c>
      <x:c r="D432" s="117" t="str">
        <x:v>https://thumb.wikimedia.org/wikipedia/commons/thumb/f/f0/Tanjung_Balau_Fishermen_Museum.JPG/1280px-Tanjung_Balau_Fishermen_Museum.JPG?utm_source=commons.wikimedia.org&amp;utm_campaign=imageinfo&amp;utm_content=thumbnail</x:v>
      </x:c>
      <x:c r="E432" s="117" t="str">
        <x:v>https://commons.wikimedia.org/wiki/File:Tanjung_Balau_Fishermen_Museum.JPG</x:v>
      </x:c>
      <x:c r="F432" s="117" t="str">
        <x:v>File:Tanjung Balau Fishermen Museum.JPG</x:v>
      </x:c>
      <x:c r="G432" s="117" t="str">
        <x:v>Chongkian</x:v>
      </x:c>
      <x:c r="H432" s="117" t="str">
        <x:v>CC BY-SA 4.0</x:v>
      </x:c>
      <x:c r="I432" s="117" t="str">
        <x:v>https://creativecommons.org/licenses/by-sa/4.0</x:v>
      </x:c>
      <x:c r="J432" s="117" t="str">
        <x:v>true</x:v>
      </x:c>
      <x:c r="K432" s="117" t="str">
        <x:v>Own work</x:v>
      </x:c>
      <x:c r="L432" s="117" t="str">
        <x:v>Exact name or all distinctive place-name tokens in file metadata</x:v>
      </x:c>
      <x:c r="M432" s="117" t="str">
        <x:v>Not visually reviewed</x:v>
      </x:c>
      <x:c r="N432" s="117" t="str">
        <x:v>2026-09-08</x:v>
      </x:c>
    </x:row>
    <x:row r="433" ht="48" customHeight="1">
      <x:c r="A433" s="117" t="str">
        <x:v>MC0449</x:v>
      </x:c>
      <x:c r="B433" s="117" t="str">
        <x:v>Johor Lama Museum</x:v>
      </x:c>
      <x:c r="C433" s="117" t="n">
        <x:v>1</x:v>
      </x:c>
      <x:c r="D433" s="117" t="str">
        <x:v>https://thumb.wikimedia.org/wikipedia/commons/thumb/7/70/Kota_Johor_Lama_Museum.JPG/1280px-Kota_Johor_Lama_Museum.JPG?utm_source=commons.wikimedia.org&amp;utm_campaign=imageinfo&amp;utm_content=thumbnail</x:v>
      </x:c>
      <x:c r="E433" s="117" t="str">
        <x:v>https://commons.wikimedia.org/wiki/File:Kota_Johor_Lama_Museum.JPG</x:v>
      </x:c>
      <x:c r="F433" s="117" t="str">
        <x:v>File:Kota Johor Lama Museum.JPG</x:v>
      </x:c>
      <x:c r="G433" s="117" t="str">
        <x:v>Chongkian</x:v>
      </x:c>
      <x:c r="H433" s="117" t="str">
        <x:v>CC BY-SA 4.0</x:v>
      </x:c>
      <x:c r="I433" s="117" t="str">
        <x:v>https://creativecommons.org/licenses/by-sa/4.0</x:v>
      </x:c>
      <x:c r="J433" s="117" t="str">
        <x:v>true</x:v>
      </x:c>
      <x:c r="K433" s="117" t="str">
        <x:v>Own work</x:v>
      </x:c>
      <x:c r="L433" s="117" t="str">
        <x:v>Exact name or all distinctive place-name tokens in file metadata</x:v>
      </x:c>
      <x:c r="M433" s="117" t="str">
        <x:v>Not visually reviewed</x:v>
      </x:c>
      <x:c r="N433" s="117" t="str">
        <x:v>2026-09-08</x:v>
      </x:c>
    </x:row>
    <x:row r="434" ht="48" customHeight="1">
      <x:c r="A434" s="117" t="str">
        <x:v>MC0449</x:v>
      </x:c>
      <x:c r="B434" s="117" t="str">
        <x:v>Johor Lama Museum</x:v>
      </x:c>
      <x:c r="C434" s="117" t="n">
        <x:v>2</x:v>
      </x:c>
      <x:c r="D434" s="117" t="str">
        <x:v>https://thumb.wikimedia.org/wikipedia/commons/thumb/e/e1/Kota_Johor_Lama_Museum_-_Exhibition_Hall.JPG/1280px-Kota_Johor_Lama_Museum_-_Exhibition_Hall.JPG?utm_source=commons.wikimedia.org&amp;utm_campaign=imageinfo&amp;utm_content=thumbnail</x:v>
      </x:c>
      <x:c r="E434" s="117" t="str">
        <x:v>https://commons.wikimedia.org/wiki/File:Kota_Johor_Lama_Museum_-_Exhibition_Hall.JPG</x:v>
      </x:c>
      <x:c r="F434" s="117" t="str">
        <x:v>File:Kota Johor Lama Museum - Exhibition Hall.JPG</x:v>
      </x:c>
      <x:c r="G434" s="117" t="str">
        <x:v>Chongkian</x:v>
      </x:c>
      <x:c r="H434" s="117" t="str">
        <x:v>CC BY-SA 4.0</x:v>
      </x:c>
      <x:c r="I434" s="117" t="str">
        <x:v>https://creativecommons.org/licenses/by-sa/4.0</x:v>
      </x:c>
      <x:c r="J434" s="117" t="str">
        <x:v>true</x:v>
      </x:c>
      <x:c r="K434" s="117" t="str">
        <x:v>Own work</x:v>
      </x:c>
      <x:c r="L434" s="117" t="str">
        <x:v>Exact name or all distinctive place-name tokens in file metadata</x:v>
      </x:c>
      <x:c r="M434" s="117" t="str">
        <x:v>Not visually reviewed</x:v>
      </x:c>
      <x:c r="N434" s="117" t="str">
        <x:v>2026-09-08</x:v>
      </x:c>
    </x:row>
    <x:row r="435" ht="48" customHeight="1">
      <x:c r="A435" s="117" t="str">
        <x:v>MC0450</x:v>
      </x:c>
      <x:c r="B435" s="117" t="str">
        <x:v>Kota Tinggi Museum</x:v>
      </x:c>
      <x:c r="C435" s="117" t="n">
        <x:v>1</x:v>
      </x:c>
      <x:c r="D435" s="117" t="str">
        <x:v>https://thumb.wikimedia.org/wikipedia/commons/thumb/4/4e/Kota_Tinggi_Museum.JPG/1280px-Kota_Tinggi_Museum.JPG?utm_source=commons.wikimedia.org&amp;utm_campaign=imageinfo&amp;utm_content=thumbnail</x:v>
      </x:c>
      <x:c r="E435" s="117" t="str">
        <x:v>https://commons.wikimedia.org/wiki/File:Kota_Tinggi_Museum.JPG</x:v>
      </x:c>
      <x:c r="F435" s="117" t="str">
        <x:v>File:Kota Tinggi Museum.JPG</x:v>
      </x:c>
      <x:c r="G435" s="117" t="str">
        <x:v>Chongkian</x:v>
      </x:c>
      <x:c r="H435" s="117" t="str">
        <x:v>CC BY-SA 4.0</x:v>
      </x:c>
      <x:c r="I435" s="117" t="str">
        <x:v>https://creativecommons.org/licenses/by-sa/4.0</x:v>
      </x:c>
      <x:c r="J435" s="117" t="str">
        <x:v>true</x:v>
      </x:c>
      <x:c r="K435" s="117" t="str">
        <x:v>Own work</x:v>
      </x:c>
      <x:c r="L435" s="117" t="str">
        <x:v>Exact name or all distinctive place-name tokens in file metadata</x:v>
      </x:c>
      <x:c r="M435" s="117" t="str">
        <x:v>Not visually reviewed</x:v>
      </x:c>
      <x:c r="N435" s="117" t="str">
        <x:v>2026-09-08</x:v>
      </x:c>
    </x:row>
    <x:row r="436" ht="48" customHeight="1">
      <x:c r="A436" s="117" t="str">
        <x:v>MC0450</x:v>
      </x:c>
      <x:c r="B436" s="117" t="str">
        <x:v>Kota Tinggi Museum</x:v>
      </x:c>
      <x:c r="C436" s="117" t="n">
        <x:v>2</x:v>
      </x:c>
      <x:c r="D436" s="117" t="str">
        <x:v>https://thumb.wikimedia.org/wikipedia/commons/thumb/7/70/Kota_Johor_Lama_Museum.JPG/1280px-Kota_Johor_Lama_Museum.JPG?utm_source=commons.wikimedia.org&amp;utm_campaign=imageinfo&amp;utm_content=thumbnail</x:v>
      </x:c>
      <x:c r="E436" s="117" t="str">
        <x:v>https://commons.wikimedia.org/wiki/File:Kota_Johor_Lama_Museum.JPG</x:v>
      </x:c>
      <x:c r="F436" s="117" t="str">
        <x:v>File:Kota Johor Lama Museum.JPG</x:v>
      </x:c>
      <x:c r="G436" s="117" t="str">
        <x:v>Chongkian</x:v>
      </x:c>
      <x:c r="H436" s="117" t="str">
        <x:v>CC BY-SA 4.0</x:v>
      </x:c>
      <x:c r="I436" s="117" t="str">
        <x:v>https://creativecommons.org/licenses/by-sa/4.0</x:v>
      </x:c>
      <x:c r="J436" s="117" t="str">
        <x:v>true</x:v>
      </x:c>
      <x:c r="K436" s="117" t="str">
        <x:v>Own work</x:v>
      </x:c>
      <x:c r="L436" s="117" t="str">
        <x:v>Exact name or all distinctive place-name tokens in file metadata</x:v>
      </x:c>
      <x:c r="M436" s="117" t="str">
        <x:v>Not visually reviewed</x:v>
      </x:c>
      <x:c r="N436" s="117" t="str">
        <x:v>2026-09-08</x:v>
      </x:c>
    </x:row>
    <x:row r="437" ht="48" customHeight="1">
      <x:c r="A437" s="117" t="str">
        <x:v>MC0451</x:v>
      </x:c>
      <x:c r="B437" s="117" t="str">
        <x:v>Pantai Tanjung Balau</x:v>
      </x:c>
      <x:c r="C437" s="117" t="n">
        <x:v>1</x:v>
      </x:c>
      <x:c r="D437" s="117" t="str">
        <x:v>https://thumb.wikimedia.org/wikipedia/commons/thumb/5/59/Tanjung_Balau_Beach.JPG/1280px-Tanjung_Balau_Beach.JPG?utm_source=commons.wikimedia.org&amp;utm_campaign=imageinfo&amp;utm_content=thumbnail</x:v>
      </x:c>
      <x:c r="E437" s="117" t="str">
        <x:v>https://commons.wikimedia.org/wiki/File:Tanjung_Balau_Beach.JPG</x:v>
      </x:c>
      <x:c r="F437" s="117" t="str">
        <x:v>File:Tanjung Balau Beach.JPG</x:v>
      </x:c>
      <x:c r="G437" s="117" t="str">
        <x:v>Chongkian</x:v>
      </x:c>
      <x:c r="H437" s="117" t="str">
        <x:v>CC BY-SA 4.0</x:v>
      </x:c>
      <x:c r="I437" s="117" t="str">
        <x:v>https://creativecommons.org/licenses/by-sa/4.0</x:v>
      </x:c>
      <x:c r="J437" s="117" t="str">
        <x:v>true</x:v>
      </x:c>
      <x:c r="K437" s="117" t="str">
        <x:v>Own work</x:v>
      </x:c>
      <x:c r="L437" s="117" t="str">
        <x:v>Exact name or all distinctive place-name tokens in file metadata</x:v>
      </x:c>
      <x:c r="M437" s="117" t="str">
        <x:v>Not visually reviewed</x:v>
      </x:c>
      <x:c r="N437" s="117" t="str">
        <x:v>2026-09-08</x:v>
      </x:c>
    </x:row>
    <x:row r="438" ht="48" customHeight="1">
      <x:c r="A438" s="117" t="str">
        <x:v>MC0451</x:v>
      </x:c>
      <x:c r="B438" s="117" t="str">
        <x:v>Pantai Tanjung Balau</x:v>
      </x:c>
      <x:c r="C438" s="117" t="n">
        <x:v>2</x:v>
      </x:c>
      <x:c r="D438" s="117" t="str">
        <x:v>https://thumb.wikimedia.org/wikipedia/commons/thumb/8/89/Rocks_at_Tanjong_Balau_-_panoramio.jpg/1280px-Rocks_at_Tanjong_Balau_-_panoramio.jpg?utm_source=commons.wikimedia.org&amp;utm_campaign=imageinfo&amp;utm_content=thumbnail</x:v>
      </x:c>
      <x:c r="E438" s="117" t="str">
        <x:v>https://commons.wikimedia.org/wiki/File:Rocks_at_Tanjong_Balau_-_panoramio.jpg</x:v>
      </x:c>
      <x:c r="F438" s="117" t="str">
        <x:v>File:Rocks at Tanjong Balau - panoramio.jpg</x:v>
      </x:c>
      <x:c r="G438" s="117" t="str">
        <x:v>jcko81</x:v>
      </x:c>
      <x:c r="H438" s="117" t="str">
        <x:v>CC BY 3.0</x:v>
      </x:c>
      <x:c r="I438" s="117" t="str">
        <x:v>https://creativecommons.org/licenses/by/3.0</x:v>
      </x:c>
      <x:c r="J438" s="117" t="str">
        <x:v>true</x:v>
      </x:c>
      <x:c r="K438" s="117" t="str">
        <x:v>https://web.archive.org/web/20161024022719/http://www.panoramio.com/photo/56314306</x:v>
      </x:c>
      <x:c r="L438" s="117" t="str">
        <x:v>Exact name or all distinctive place-name tokens in file metadata</x:v>
      </x:c>
      <x:c r="M438" s="117" t="str">
        <x:v>Not visually reviewed</x:v>
      </x:c>
      <x:c r="N438" s="117" t="str">
        <x:v>2026-09-08</x:v>
      </x:c>
    </x:row>
    <x:row r="439" ht="48" customHeight="1">
      <x:c r="A439" s="117" t="str">
        <x:v>MC0452</x:v>
      </x:c>
      <x:c r="B439" s="117" t="str">
        <x:v>Teluk Sengat Crocodile Farm</x:v>
      </x:c>
      <x:c r="C439" s="117" t="n">
        <x:v>1</x:v>
      </x:c>
      <x:c r="D439" s="117" t="str">
        <x:v>https://thumb.wikimedia.org/wikipedia/commons/thumb/d/df/Teluk_Sengat_Crocodile_Farm.JPG/1280px-Teluk_Sengat_Crocodile_Farm.JPG?utm_source=commons.wikimedia.org&amp;utm_campaign=imageinfo&amp;utm_content=thumbnail</x:v>
      </x:c>
      <x:c r="E439" s="117" t="str">
        <x:v>https://commons.wikimedia.org/wiki/File:Teluk_Sengat_Crocodile_Farm.JPG</x:v>
      </x:c>
      <x:c r="F439" s="117" t="str">
        <x:v>File:Teluk Sengat Crocodile Farm.JPG</x:v>
      </x:c>
      <x:c r="G439" s="117" t="str">
        <x:v>Chongkian</x:v>
      </x:c>
      <x:c r="H439" s="117" t="str">
        <x:v>CC BY-SA 4.0</x:v>
      </x:c>
      <x:c r="I439" s="117" t="str">
        <x:v>https://creativecommons.org/licenses/by-sa/4.0</x:v>
      </x:c>
      <x:c r="J439" s="117" t="str">
        <x:v>true</x:v>
      </x:c>
      <x:c r="K439" s="117" t="str">
        <x:v>Own work</x:v>
      </x:c>
      <x:c r="L439" s="117" t="str">
        <x:v>Exact name or all distinctive place-name tokens in file metadata</x:v>
      </x:c>
      <x:c r="M439" s="117" t="str">
        <x:v>Not visually reviewed</x:v>
      </x:c>
      <x:c r="N439" s="117" t="str">
        <x:v>2026-09-08</x:v>
      </x:c>
    </x:row>
    <x:row r="440" ht="48" customHeight="1">
      <x:c r="A440" s="117" t="str">
        <x:v>MC0452</x:v>
      </x:c>
      <x:c r="B440" s="117" t="str">
        <x:v>Teluk Sengat Crocodile Farm</x:v>
      </x:c>
      <x:c r="C440" s="117" t="n">
        <x:v>2</x:v>
      </x:c>
      <x:c r="D440" s="117" t="str">
        <x:v>https://thumb.wikimedia.org/wikipedia/commons/thumb/3/31/Teluk_Sengat%2C_81900_Ayer_Tawar%2C_Johor%2C_Malaysia_-_panoramio_%281%29.jpg/1280px-Teluk_Sengat%2C_81900_Ayer_Tawar%2C_Johor%2C_Malaysia_-_panoramio_%281%29.jpg?utm_source=commons.wikimedia.org&amp;utm_campaign=imageinfo&amp;utm_content=thumbnail</x:v>
      </x:c>
      <x:c r="E440" s="117" t="str">
        <x:v>https://commons.wikimedia.org/wiki/File:Teluk_Sengat,_81900_Ayer_Tawar,_Johor,_Malaysia_-_panoramio_(1).jpg</x:v>
      </x:c>
      <x:c r="F440" s="117" t="str">
        <x:v>File:Teluk Sengat, 81900 Ayer Tawar, Johor, Malaysia - panoramio (1).jpg</x:v>
      </x:c>
      <x:c r="G440" s="117" t="str">
        <x:v>laymong</x:v>
      </x:c>
      <x:c r="H440" s="117" t="str">
        <x:v>CC BY 3.0</x:v>
      </x:c>
      <x:c r="I440" s="117" t="str">
        <x:v>https://creativecommons.org/licenses/by/3.0</x:v>
      </x:c>
      <x:c r="J440" s="117" t="str">
        <x:v>true</x:v>
      </x:c>
      <x:c r="K440" s="117" t="str">
        <x:v>https://web.archive.org/web/20161030115806/http://www.panoramio.com/photo/95602825</x:v>
      </x:c>
      <x:c r="L440" s="117" t="str">
        <x:v>Exact name or all distinctive place-name tokens in file metadata</x:v>
      </x:c>
      <x:c r="M440" s="117" t="str">
        <x:v>Not visually reviewed</x:v>
      </x:c>
      <x:c r="N440" s="117" t="str">
        <x:v>2026-09-08</x:v>
      </x:c>
    </x:row>
    <x:row r="441" ht="48" customHeight="1">
      <x:c r="A441" s="117" t="str">
        <x:v>MC0455</x:v>
      </x:c>
      <x:c r="B441" s="117" t="str">
        <x:v>Pineapple Museum</x:v>
      </x:c>
      <x:c r="C441" s="117" t="n">
        <x:v>1</x:v>
      </x:c>
      <x:c r="D441" s="117" t="str">
        <x:v>https://thumb.wikimedia.org/wikipedia/commons/thumb/e/ec/Pineapple_Museum.jpg/1280px-Pineapple_Museum.jpg?utm_source=commons.wikimedia.org&amp;utm_campaign=imageinfo&amp;utm_content=thumbnail</x:v>
      </x:c>
      <x:c r="E441" s="117" t="str">
        <x:v>https://commons.wikimedia.org/wiki/File:Pineapple_Museum.jpg</x:v>
      </x:c>
      <x:c r="F441" s="117" t="str">
        <x:v>File:Pineapple Museum.jpg</x:v>
      </x:c>
      <x:c r="G441" s="117" t="str">
        <x:v>Chongkian</x:v>
      </x:c>
      <x:c r="H441" s="117" t="str">
        <x:v>CC BY-SA 4.0</x:v>
      </x:c>
      <x:c r="I441" s="117" t="str">
        <x:v>https://creativecommons.org/licenses/by-sa/4.0</x:v>
      </x:c>
      <x:c r="J441" s="117" t="str">
        <x:v>true</x:v>
      </x:c>
      <x:c r="K441" s="117" t="str">
        <x:v>Own work</x:v>
      </x:c>
      <x:c r="L441" s="117" t="str">
        <x:v>Exact name or all distinctive place-name tokens in file metadata</x:v>
      </x:c>
      <x:c r="M441" s="117" t="str">
        <x:v>Not visually reviewed</x:v>
      </x:c>
      <x:c r="N441" s="117" t="str">
        <x:v>2026-09-08</x:v>
      </x:c>
    </x:row>
    <x:row r="442" ht="48" customHeight="1">
      <x:c r="A442" s="117" t="str">
        <x:v>MC0455</x:v>
      </x:c>
      <x:c r="B442" s="117" t="str">
        <x:v>Pineapple Museum</x:v>
      </x:c>
      <x:c r="C442" s="117" t="n">
        <x:v>2</x:v>
      </x:c>
      <x:c r="D442" s="117" t="str">
        <x:v>https://thumb.wikimedia.org/wikipedia/commons/thumb/1/1a/%E4%B9%9D%E6%9B%B2%E5%A0%82%E6%B3%B0%E8%8A%B3%E5%95%86%E6%9C%83%E9%B3%B3%E6%A2%A8%E7%BD%90%E8%A9%B0%E5%B7%A5%E5%A0%B4.JPG/1280px-%E4%B9%9D%E6%9B%B2%E5%A0%82%E6%B3%B0%E8%8A%B3%E5%95%86%E6%9C%83%E9%B3%B3%E6%A2%A8%E7%BD%90%E8%A9%B0%E5%B7%A5%E5%A0%B4.JPG?utm_source=commons.wikimedia.org&amp;utm_campaign=imageinfo&amp;utm_content=thumbnail</x:v>
      </x:c>
      <x:c r="E442" s="117" t="str">
        <x:v>https://commons.wikimedia.org/wiki/File:%E4%B9%9D%E6%9B%B2%E5%A0%82%E6%B3%B0%E8%8A%B3%E5%95%86%E6%9C%83%E9%B3%B3%E6%A2%A8%E7%BD%90%E8%A9%B0%E5%B7%A5%E5%A0%B4.JPG</x:v>
      </x:c>
      <x:c r="F442" s="117" t="str">
        <x:v>File:九曲堂泰芳商會鳳梨罐詰工場.JPG</x:v>
      </x:c>
      <x:c r="G442" s="117" t="str">
        <x:v>Pbdragonwang This   file was uploaded  with Commonist.</x:v>
      </x:c>
      <x:c r="H442" s="117" t="str">
        <x:v>CC BY 3.0</x:v>
      </x:c>
      <x:c r="I442" s="117" t="str">
        <x:v>https://creativecommons.org/licenses/by/3.0</x:v>
      </x:c>
      <x:c r="J442" s="117" t="str">
        <x:v>true</x:v>
      </x:c>
      <x:c r="K442" s="117" t="str">
        <x:v>Own work</x:v>
      </x:c>
      <x:c r="L442" s="117" t="str">
        <x:v>Exact name or all distinctive place-name tokens in file metadata</x:v>
      </x:c>
      <x:c r="M442" s="117" t="str">
        <x:v>Not visually reviewed</x:v>
      </x:c>
      <x:c r="N442" s="117" t="str">
        <x:v>2026-09-08</x:v>
      </x:c>
    </x:row>
    <x:row r="443" ht="48" customHeight="1">
      <x:c r="A443" s="117" t="str">
        <x:v>MC0457</x:v>
      </x:c>
      <x:c r="B443" s="117" t="str">
        <x:v>Langkawi SkyCab</x:v>
      </x:c>
      <x:c r="C443" s="117" t="n">
        <x:v>1</x:v>
      </x:c>
      <x:c r="D443" s="117" t="str">
        <x:v>https://thumb.wikimedia.org/wikipedia/commons/thumb/6/68/Langkawi_Cable_Car.JPG/1280px-Langkawi_Cable_Car.JPG?utm_source=commons.wikimedia.org&amp;utm_campaign=imageinfo&amp;utm_content=thumbnail</x:v>
      </x:c>
      <x:c r="E443" s="117" t="str">
        <x:v>https://commons.wikimedia.org/wiki/File:Langkawi_Cable_Car.JPG</x:v>
      </x:c>
      <x:c r="F443" s="117" t="str">
        <x:v>File:Langkawi Cable Car.JPG</x:v>
      </x:c>
      <x:c r="G443" s="117" t="str">
        <x:v>RoB</x:v>
      </x:c>
      <x:c r="H443" s="117" t="str">
        <x:v>CC BY-SA 3.0</x:v>
      </x:c>
      <x:c r="I443" s="117" t="str">
        <x:v>https://creativecommons.org/licenses/by-sa/3.0</x:v>
      </x:c>
      <x:c r="J443" s="117" t="str">
        <x:v>true</x:v>
      </x:c>
      <x:c r="K443" s="117" t="str">
        <x:v>Own work</x:v>
      </x:c>
      <x:c r="L443" s="117" t="str">
        <x:v>Exact name or all distinctive place-name tokens in file metadata</x:v>
      </x:c>
      <x:c r="M443" s="117" t="str">
        <x:v>Not visually reviewed</x:v>
      </x:c>
      <x:c r="N443" s="117" t="str">
        <x:v>2026-09-08</x:v>
      </x:c>
    </x:row>
    <x:row r="444" ht="48" customHeight="1">
      <x:c r="A444" s="117" t="str">
        <x:v>MC0457</x:v>
      </x:c>
      <x:c r="B444" s="117" t="str">
        <x:v>Langkawi SkyCab</x:v>
      </x:c>
      <x:c r="C444" s="117" t="n">
        <x:v>2</x:v>
      </x:c>
      <x:c r="D444" s="117" t="str">
        <x:v>https://thumb.wikimedia.org/wikipedia/commons/thumb/7/7e/Langkawi_Malaysia_Langkawi-Cable-Car-01.jpg/1280px-Langkawi_Malaysia_Langkawi-Cable-Car-01.jpg?utm_source=commons.wikimedia.org&amp;utm_campaign=imageinfo&amp;utm_content=thumbnail</x:v>
      </x:c>
      <x:c r="E444" s="117" t="str">
        <x:v>https://commons.wikimedia.org/wiki/File:Langkawi_Malaysia_Langkawi-Cable-Car-01.jpg</x:v>
      </x:c>
      <x:c r="F444" s="117" t="str">
        <x:v>File:Langkawi Malaysia Langkawi-Cable-Car-01.jpg</x:v>
      </x:c>
      <x:c r="G444" s="117" t="str">
        <x:v>CEphoto, Uwe Aranas</x:v>
      </x:c>
      <x:c r="H444" s="117" t="str">
        <x:v>CC BY-SA 3.0</x:v>
      </x:c>
      <x:c r="I444" s="117" t="str">
        <x:v>https://creativecommons.org/licenses/by-sa/3.0</x:v>
      </x:c>
      <x:c r="J444" s="117" t="str">
        <x:v>true</x:v>
      </x:c>
      <x:c r="K444" s="117" t="str">
        <x:v>Own work</x:v>
      </x:c>
      <x:c r="L444" s="117" t="str">
        <x:v>Exact name or all distinctive place-name tokens in file metadata</x:v>
      </x:c>
      <x:c r="M444" s="117" t="str">
        <x:v>Not visually reviewed</x:v>
      </x:c>
      <x:c r="N444" s="117" t="str">
        <x:v>2026-09-08</x:v>
      </x:c>
    </x:row>
    <x:row r="445" ht="48" customHeight="1">
      <x:c r="A445" s="117" t="str">
        <x:v>MC0458</x:v>
      </x:c>
      <x:c r="B445" s="117" t="str">
        <x:v>Oriental Village</x:v>
      </x:c>
      <x:c r="C445" s="117" t="n">
        <x:v>1</x:v>
      </x:c>
      <x:c r="D445" s="117" t="str">
        <x:v>https://thumb.wikimedia.org/wikipedia/commons/thumb/a/aa/Lagnkawi_cable_car_base_station_view.jpg/1280px-Lagnkawi_cable_car_base_station_view.jpg?utm_source=commons.wikimedia.org&amp;utm_campaign=imageinfo&amp;utm_content=thumbnail</x:v>
      </x:c>
      <x:c r="E445" s="117" t="str">
        <x:v>https://commons.wikimedia.org/wiki/File:Lagnkawi_cable_car_base_station_view.jpg</x:v>
      </x:c>
      <x:c r="F445" s="117" t="str">
        <x:v>File:Lagnkawi cable car base station view.jpg</x:v>
      </x:c>
      <x:c r="G445" s="117" t="str">
        <x:v>Hzh</x:v>
      </x:c>
      <x:c r="H445" s="117" t="str">
        <x:v>CC BY-SA 4.0</x:v>
      </x:c>
      <x:c r="I445" s="117" t="str">
        <x:v>https://creativecommons.org/licenses/by-sa/4.0</x:v>
      </x:c>
      <x:c r="J445" s="117" t="str">
        <x:v>true</x:v>
      </x:c>
      <x:c r="K445" s="117" t="str">
        <x:v>Own work</x:v>
      </x:c>
      <x:c r="L445" s="117" t="str">
        <x:v>Exact name or all distinctive place-name tokens in file metadata</x:v>
      </x:c>
      <x:c r="M445" s="117" t="str">
        <x:v>Not visually reviewed</x:v>
      </x:c>
      <x:c r="N445" s="117" t="str">
        <x:v>2026-09-08</x:v>
      </x:c>
    </x:row>
    <x:row r="446" ht="48" customHeight="1">
      <x:c r="A446" s="117" t="str">
        <x:v>MC0460</x:v>
      </x:c>
      <x:c r="B446" s="117" t="str">
        <x:v>Galeria Perdana</x:v>
      </x:c>
      <x:c r="C446" s="117" t="n">
        <x:v>1</x:v>
      </x:c>
      <x:c r="D446" s="117" t="str">
        <x:v>https://thumb.wikimedia.org/wikipedia/commons/thumb/f/f2/MY-Langkawi-perdana-1.jpg/1280px-MY-Langkawi-perdana-1.jpg?utm_source=commons.wikimedia.org&amp;utm_campaign=imageinfo&amp;utm_content=thumbnail</x:v>
      </x:c>
      <x:c r="E446" s="117" t="str">
        <x:v>https://commons.wikimedia.org/wiki/File:MY-Langkawi-perdana-1.jpg</x:v>
      </x:c>
      <x:c r="F446" s="117" t="str">
        <x:v>File:MY-Langkawi-perdana-1.jpg</x:v>
      </x:c>
      <x:c r="G446" s="117" t="str">
        <x:v>Balou46</x:v>
      </x:c>
      <x:c r="H446" s="117" t="str">
        <x:v>CC BY-SA 4.0</x:v>
      </x:c>
      <x:c r="I446" s="117" t="str">
        <x:v>https://creativecommons.org/licenses/by-sa/4.0</x:v>
      </x:c>
      <x:c r="J446" s="117" t="str">
        <x:v>true</x:v>
      </x:c>
      <x:c r="K446" s="117" t="str">
        <x:v>Own work</x:v>
      </x:c>
      <x:c r="L446" s="117" t="str">
        <x:v>Exact name or all distinctive place-name tokens in file metadata</x:v>
      </x:c>
      <x:c r="M446" s="117" t="str">
        <x:v>Not visually reviewed</x:v>
      </x:c>
      <x:c r="N446" s="117" t="str">
        <x:v>2026-09-08</x:v>
      </x:c>
    </x:row>
    <x:row r="447" ht="48" customHeight="1">
      <x:c r="A447" s="117" t="str">
        <x:v>MC0460</x:v>
      </x:c>
      <x:c r="B447" s="117" t="str">
        <x:v>Galeria Perdana</x:v>
      </x:c>
      <x:c r="C447" s="117" t="n">
        <x:v>2</x:v>
      </x:c>
      <x:c r="D447" s="117" t="str">
        <x:v>https://thumb.wikimedia.org/wikipedia/commons/thumb/9/95/MY-Langkawi-perdana-3.jpg/1280px-MY-Langkawi-perdana-3.jpg?utm_source=commons.wikimedia.org&amp;utm_campaign=imageinfo&amp;utm_content=thumbnail</x:v>
      </x:c>
      <x:c r="E447" s="117" t="str">
        <x:v>https://commons.wikimedia.org/wiki/File:MY-Langkawi-perdana-3.jpg</x:v>
      </x:c>
      <x:c r="F447" s="117" t="str">
        <x:v>File:MY-Langkawi-perdana-3.jpg</x:v>
      </x:c>
      <x:c r="G447" s="117" t="str">
        <x:v>Balou46</x:v>
      </x:c>
      <x:c r="H447" s="117" t="str">
        <x:v>CC BY-SA 4.0</x:v>
      </x:c>
      <x:c r="I447" s="117" t="str">
        <x:v>https://creativecommons.org/licenses/by-sa/4.0</x:v>
      </x:c>
      <x:c r="J447" s="117" t="str">
        <x:v>true</x:v>
      </x:c>
      <x:c r="K447" s="117" t="str">
        <x:v>Own work</x:v>
      </x:c>
      <x:c r="L447" s="117" t="str">
        <x:v>Exact name or all distinctive place-name tokens in file metadata</x:v>
      </x:c>
      <x:c r="M447" s="117" t="str">
        <x:v>Not visually reviewed</x:v>
      </x:c>
      <x:c r="N447" s="117" t="str">
        <x:v>2026-09-08</x:v>
      </x:c>
    </x:row>
    <x:row r="448" ht="48" customHeight="1">
      <x:c r="A448" s="117" t="str">
        <x:v>MC0461</x:v>
      </x:c>
      <x:c r="B448" s="117" t="str">
        <x:v>Langkawi Craft Complex</x:v>
      </x:c>
      <x:c r="C448" s="117" t="n">
        <x:v>1</x:v>
      </x:c>
      <x:c r="D448" s="117" t="str">
        <x:v>https://thumb.wikimedia.org/wikipedia/commons/thumb/0/05/MY-Langkawi-peta-komplex-3.jpg/1280px-MY-Langkawi-peta-komplex-3.jpg?utm_source=commons.wikimedia.org&amp;utm_campaign=imageinfo&amp;utm_content=thumbnail</x:v>
      </x:c>
      <x:c r="E448" s="117" t="str">
        <x:v>https://commons.wikimedia.org/wiki/File:MY-Langkawi-peta-komplex-3.jpg</x:v>
      </x:c>
      <x:c r="F448" s="117" t="str">
        <x:v>File:MY-Langkawi-peta-komplex-3.jpg</x:v>
      </x:c>
      <x:c r="G448" s="117" t="str">
        <x:v>Balou46</x:v>
      </x:c>
      <x:c r="H448" s="117" t="str">
        <x:v>CC BY-SA 4.0</x:v>
      </x:c>
      <x:c r="I448" s="117" t="str">
        <x:v>https://creativecommons.org/licenses/by-sa/4.0</x:v>
      </x:c>
      <x:c r="J448" s="117" t="str">
        <x:v>true</x:v>
      </x:c>
      <x:c r="K448" s="117" t="str">
        <x:v>Own work</x:v>
      </x:c>
      <x:c r="L448" s="117" t="str">
        <x:v>Exact name or all distinctive place-name tokens in file metadata</x:v>
      </x:c>
      <x:c r="M448" s="117" t="str">
        <x:v>Not visually reviewed</x:v>
      </x:c>
      <x:c r="N448" s="117" t="str">
        <x:v>2026-09-08</x:v>
      </x:c>
    </x:row>
    <x:row r="449" ht="48" customHeight="1">
      <x:c r="A449" s="117" t="str">
        <x:v>MC0461</x:v>
      </x:c>
      <x:c r="B449" s="117" t="str">
        <x:v>Langkawi Craft Complex</x:v>
      </x:c>
      <x:c r="C449" s="117" t="n">
        <x:v>2</x:v>
      </x:c>
      <x:c r="D449" s="117" t="str">
        <x:v>https://thumb.wikimedia.org/wikipedia/commons/thumb/d/da/MY-Langkawi-peta-komplex-6.jpg/1280px-MY-Langkawi-peta-komplex-6.jpg?utm_source=commons.wikimedia.org&amp;utm_campaign=imageinfo&amp;utm_content=thumbnail</x:v>
      </x:c>
      <x:c r="E449" s="117" t="str">
        <x:v>https://commons.wikimedia.org/wiki/File:MY-Langkawi-peta-komplex-6.jpg</x:v>
      </x:c>
      <x:c r="F449" s="117" t="str">
        <x:v>File:MY-Langkawi-peta-komplex-6.jpg</x:v>
      </x:c>
      <x:c r="G449" s="117" t="str">
        <x:v>Balou46</x:v>
      </x:c>
      <x:c r="H449" s="117" t="str">
        <x:v>CC BY-SA 4.0</x:v>
      </x:c>
      <x:c r="I449" s="117" t="str">
        <x:v>https://creativecommons.org/licenses/by-sa/4.0</x:v>
      </x:c>
      <x:c r="J449" s="117" t="str">
        <x:v>true</x:v>
      </x:c>
      <x:c r="K449" s="117" t="str">
        <x:v>Own work</x:v>
      </x:c>
      <x:c r="L449" s="117" t="str">
        <x:v>Exact name or all distinctive place-name tokens in file metadata</x:v>
      </x:c>
      <x:c r="M449" s="117" t="str">
        <x:v>Not visually reviewed</x:v>
      </x:c>
      <x:c r="N449" s="117" t="str">
        <x:v>2026-09-08</x:v>
      </x:c>
    </x:row>
    <x:row r="450" ht="48" customHeight="1">
      <x:c r="A450" s="117" t="str">
        <x:v>MC0463</x:v>
      </x:c>
      <x:c r="B450" s="117" t="str">
        <x:v>Temurun Waterfall</x:v>
      </x:c>
      <x:c r="C450" s="117" t="n">
        <x:v>1</x:v>
      </x:c>
      <x:c r="D450" s="117" t="str">
        <x:v>https://thumb.wikimedia.org/wikipedia/commons/thumb/f/fb/Tight_knit_community.jpg/1280px-Tight_knit_community.jpg?utm_source=commons.wikimedia.org&amp;utm_campaign=imageinfo&amp;utm_content=thumbnail</x:v>
      </x:c>
      <x:c r="E450" s="117" t="str">
        <x:v>https://commons.wikimedia.org/wiki/File:Tight_knit_community.jpg</x:v>
      </x:c>
      <x:c r="F450" s="117" t="str">
        <x:v>File:Tight knit community.jpg</x:v>
      </x:c>
      <x:c r="G450" s="117" t="str">
        <x:v>Josiah Prince Gomez</x:v>
      </x:c>
      <x:c r="H450" s="117" t="str">
        <x:v>CC BY-SA 4.0</x:v>
      </x:c>
      <x:c r="I450" s="117" t="str">
        <x:v>https://creativecommons.org/licenses/by-sa/4.0</x:v>
      </x:c>
      <x:c r="J450" s="117" t="str">
        <x:v>true</x:v>
      </x:c>
      <x:c r="K450" s="117" t="str">
        <x:v>Own work</x:v>
      </x:c>
      <x:c r="L450" s="117" t="str">
        <x:v>Exact name or all distinctive place-name tokens in file metadata</x:v>
      </x:c>
      <x:c r="M450" s="117" t="str">
        <x:v>Not visually reviewed</x:v>
      </x:c>
      <x:c r="N450" s="117" t="str">
        <x:v>2026-09-08</x:v>
      </x:c>
    </x:row>
    <x:row r="451" ht="48" customHeight="1">
      <x:c r="A451" s="117" t="str">
        <x:v>MC0463</x:v>
      </x:c>
      <x:c r="B451" s="117" t="str">
        <x:v>Temurun Waterfall</x:v>
      </x:c>
      <x:c r="C451" s="117" t="n">
        <x:v>2</x:v>
      </x:c>
      <x:c r="D451" s="117" t="str">
        <x:v>https://thumb.wikimedia.org/wikipedia/commons/thumb/d/d5/A_peak_at_nature%27s_beauty.jpg/1280px-A_peak_at_nature%27s_beauty.jpg?utm_source=commons.wikimedia.org&amp;utm_campaign=imageinfo&amp;utm_content=thumbnail</x:v>
      </x:c>
      <x:c r="E451" s="117" t="str">
        <x:v>https://commons.wikimedia.org/wiki/File:A_peak_at_nature%27s_beauty.jpg</x:v>
      </x:c>
      <x:c r="F451" s="117" t="str">
        <x:v>File:A peak at nature's beauty.jpg</x:v>
      </x:c>
      <x:c r="G451" s="117" t="str">
        <x:v>Josiah Prince Gomez</x:v>
      </x:c>
      <x:c r="H451" s="117" t="str">
        <x:v>CC BY-SA 4.0</x:v>
      </x:c>
      <x:c r="I451" s="117" t="str">
        <x:v>https://creativecommons.org/licenses/by-sa/4.0</x:v>
      </x:c>
      <x:c r="J451" s="117" t="str">
        <x:v>true</x:v>
      </x:c>
      <x:c r="K451" s="117" t="str">
        <x:v>Own work</x:v>
      </x:c>
      <x:c r="L451" s="117" t="str">
        <x:v>Exact name or all distinctive place-name tokens in file metadata</x:v>
      </x:c>
      <x:c r="M451" s="117" t="str">
        <x:v>Not visually reviewed</x:v>
      </x:c>
      <x:c r="N451" s="117" t="str">
        <x:v>2026-09-08</x:v>
      </x:c>
    </x:row>
    <x:row r="452" ht="48" customHeight="1">
      <x:c r="A452" s="117" t="str">
        <x:v>MC0464</x:v>
      </x:c>
      <x:c r="B452" s="117" t="str">
        <x:v>Beras Basah Island</x:v>
      </x:c>
      <x:c r="C452" s="117" t="n">
        <x:v>1</x:v>
      </x:c>
      <x:c r="D452" s="117" t="str">
        <x:v>https://thumb.wikimedia.org/wikipedia/commons/thumb/8/84/Pulau_Beras_Basah_March_2018.jpg/1280px-Pulau_Beras_Basah_March_2018.jpg?utm_source=commons.wikimedia.org&amp;utm_campaign=imageinfo&amp;utm_content=thumbnail</x:v>
      </x:c>
      <x:c r="E452" s="117" t="str">
        <x:v>https://commons.wikimedia.org/wiki/File:Pulau_Beras_Basah_March_2018.jpg</x:v>
      </x:c>
      <x:c r="F452" s="117" t="str">
        <x:v>File:Pulau Beras Basah March 2018.jpg</x:v>
      </x:c>
      <x:c r="G452" s="117" t="str">
        <x:v>consigliere ivan from Bontang, Indonesia</x:v>
      </x:c>
      <x:c r="H452" s="117" t="str">
        <x:v>CC0</x:v>
      </x:c>
      <x:c r="I452" s="117" t="str">
        <x:v>http://creativecommons.org/publicdomain/zero/1.0/deed.en</x:v>
      </x:c>
      <x:c r="J452" s="117" t="str">
        <x:v>false</x:v>
      </x:c>
      <x:c r="K452" s="117" t="str">
        <x:v>Pulau Beras Basah March 2018</x:v>
      </x:c>
      <x:c r="L452" s="117" t="str">
        <x:v>Exact name or all distinctive place-name tokens in file metadata</x:v>
      </x:c>
      <x:c r="M452" s="117" t="str">
        <x:v>Not visually reviewed</x:v>
      </x:c>
      <x:c r="N452" s="117" t="str">
        <x:v>2026-09-08</x:v>
      </x:c>
    </x:row>
    <x:row r="453" ht="48" customHeight="1">
      <x:c r="A453" s="117" t="str">
        <x:v>MC0464</x:v>
      </x:c>
      <x:c r="B453" s="117" t="str">
        <x:v>Beras Basah Island</x:v>
      </x:c>
      <x:c r="C453" s="117" t="n">
        <x:v>2</x:v>
      </x:c>
      <x:c r="D453" s="117" t="str">
        <x:v>https://thumb.wikimedia.org/wikipedia/commons/thumb/3/3c/Pulau_Beras_Basah.jpg/1280px-Pulau_Beras_Basah.jpg?utm_source=commons.wikimedia.org&amp;utm_campaign=imageinfo&amp;utm_content=thumbnail</x:v>
      </x:c>
      <x:c r="E453" s="117" t="str">
        <x:v>https://commons.wikimedia.org/wiki/File:Pulau_Beras_Basah.jpg</x:v>
      </x:c>
      <x:c r="F453" s="117" t="str">
        <x:v>File:Pulau Beras Basah.jpg</x:v>
      </x:c>
      <x:c r="G453" s="117" t="str">
        <x:v>Hendrojkson</x:v>
      </x:c>
      <x:c r="H453" s="117" t="str">
        <x:v>CC BY-SA 4.0</x:v>
      </x:c>
      <x:c r="I453" s="117" t="str">
        <x:v>https://creativecommons.org/licenses/by-sa/4.0</x:v>
      </x:c>
      <x:c r="J453" s="117" t="str">
        <x:v>true</x:v>
      </x:c>
      <x:c r="K453" s="117" t="str">
        <x:v>Own work</x:v>
      </x:c>
      <x:c r="L453" s="117" t="str">
        <x:v>Exact name or all distinctive place-name tokens in file metadata</x:v>
      </x:c>
      <x:c r="M453" s="117" t="str">
        <x:v>Not visually reviewed</x:v>
      </x:c>
      <x:c r="N453" s="117" t="str">
        <x:v>2026-09-08</x:v>
      </x:c>
    </x:row>
    <x:row r="454" ht="48" customHeight="1">
      <x:c r="A454" s="117" t="str">
        <x:v>MC0468</x:v>
      </x:c>
      <x:c r="B454" s="117" t="str">
        <x:v>Durian Perangin Waterfall</x:v>
      </x:c>
      <x:c r="C454" s="117" t="n">
        <x:v>1</x:v>
      </x:c>
      <x:c r="D454" s="117" t="str">
        <x:v>https://thumb.wikimedia.org/wikipedia/commons/thumb/a/ac/Durian_Perangin_Waterfall%2C_Langkawi%2C_Kedah%2C_Malaysia_%2823964618865%29.jpg/1280px-Durian_Perangin_Waterfall%2C_Langkawi%2C_Kedah%2C_Malaysia_%2823964618865%29.jpg?utm_source=commons.wikimedia.org&amp;utm_campaign=imageinfo&amp;utm_content=thumbnail</x:v>
      </x:c>
      <x:c r="E454" s="117" t="str">
        <x:v>https://commons.wikimedia.org/wiki/File:Durian_Perangin_Waterfall,_Langkawi,_Kedah,_Malaysia_(23964618865).jpg</x:v>
      </x:c>
      <x:c r="F454" s="117" t="str">
        <x:v>File:Durian Perangin Waterfall, Langkawi, Kedah, Malaysia (23964618865).jpg</x:v>
      </x:c>
      <x:c r="G454" s="117" t="str">
        <x:v>Zleng</x:v>
      </x:c>
      <x:c r="H454" s="117" t="str">
        <x:v>CC BY 2.0</x:v>
      </x:c>
      <x:c r="I454" s="117" t="str">
        <x:v>https://creativecommons.org/licenses/by/2.0</x:v>
      </x:c>
      <x:c r="J454" s="117" t="str">
        <x:v>true</x:v>
      </x:c>
      <x:c r="K454" s="117" t="str">
        <x:v>Durian Perangin Waterfall, Langkawi, Kedah, Malaysia</x:v>
      </x:c>
      <x:c r="L454" s="117" t="str">
        <x:v>Exact name or all distinctive place-name tokens in file metadata</x:v>
      </x:c>
      <x:c r="M454" s="117" t="str">
        <x:v>Not visually reviewed</x:v>
      </x:c>
      <x:c r="N454" s="117" t="str">
        <x:v>2026-09-08</x:v>
      </x:c>
    </x:row>
    <x:row r="455" ht="48" customHeight="1">
      <x:c r="A455" s="117" t="str">
        <x:v>MC0469</x:v>
      </x:c>
      <x:c r="B455" s="117" t="str">
        <x:v>Beras Terbakar</x:v>
      </x:c>
      <x:c r="C455" s="117" t="n">
        <x:v>1</x:v>
      </x:c>
      <x:c r="D455" s="117" t="str">
        <x:v>https://thumb.wikimedia.org/wikipedia/commons/thumb/a/ab/Tapak_beras_terbakar.JPG/1280px-Tapak_beras_terbakar.JPG?utm_source=commons.wikimedia.org&amp;utm_campaign=imageinfo&amp;utm_content=thumbnail</x:v>
      </x:c>
      <x:c r="E455" s="117" t="str">
        <x:v>https://commons.wikimedia.org/wiki/File:Tapak_beras_terbakar.JPG</x:v>
      </x:c>
      <x:c r="F455" s="117" t="str">
        <x:v>File:Tapak beras terbakar.JPG</x:v>
      </x:c>
      <x:c r="G455" s="117" t="str">
        <x:v>D.W. Fisher-Freberg</x:v>
      </x:c>
      <x:c r="H455" s="117" t="str">
        <x:v>CC BY-SA 3.0</x:v>
      </x:c>
      <x:c r="I455" s="117" t="str">
        <x:v>https://creativecommons.org/licenses/by-sa/3.0</x:v>
      </x:c>
      <x:c r="J455" s="117" t="str">
        <x:v>true</x:v>
      </x:c>
      <x:c r="K455" s="117" t="str">
        <x:v>Own work</x:v>
      </x:c>
      <x:c r="L455" s="117" t="str">
        <x:v>Exact name or all distinctive place-name tokens in file metadata</x:v>
      </x:c>
      <x:c r="M455" s="117" t="str">
        <x:v>Not visually reviewed</x:v>
      </x:c>
      <x:c r="N455" s="117" t="str">
        <x:v>2026-09-08</x:v>
      </x:c>
    </x:row>
    <x:row r="456" ht="48" customHeight="1">
      <x:c r="A456" s="117" t="str">
        <x:v>MC0469</x:v>
      </x:c>
      <x:c r="B456" s="117" t="str">
        <x:v>Beras Terbakar</x:v>
      </x:c>
      <x:c r="C456" s="117" t="n">
        <x:v>2</x:v>
      </x:c>
      <x:c r="D456" s="117" t="str">
        <x:v>https://thumb.wikimedia.org/wikipedia/commons/thumb/d/dc/Beras_terbakar.JPG/1280px-Beras_terbakar.JPG?utm_source=commons.wikimedia.org&amp;utm_campaign=imageinfo&amp;utm_content=thumbnail</x:v>
      </x:c>
      <x:c r="E456" s="117" t="str">
        <x:v>https://commons.wikimedia.org/wiki/File:Beras_terbakar.JPG</x:v>
      </x:c>
      <x:c r="F456" s="117" t="str">
        <x:v>File:Beras terbakar.JPG</x:v>
      </x:c>
      <x:c r="G456" s="117" t="str">
        <x:v>D.W. Fisher-Freberg</x:v>
      </x:c>
      <x:c r="H456" s="117" t="str">
        <x:v>CC BY-SA 3.0</x:v>
      </x:c>
      <x:c r="I456" s="117" t="str">
        <x:v>https://creativecommons.org/licenses/by-sa/3.0</x:v>
      </x:c>
      <x:c r="J456" s="117" t="str">
        <x:v>true</x:v>
      </x:c>
      <x:c r="K456" s="117" t="str">
        <x:v>Own work</x:v>
      </x:c>
      <x:c r="L456" s="117" t="str">
        <x:v>Exact name or all distinctive place-name tokens in file metadata</x:v>
      </x:c>
      <x:c r="M456" s="117" t="str">
        <x:v>Not visually reviewed</x:v>
      </x:c>
      <x:c r="N456" s="117" t="str">
        <x:v>2026-09-08</x:v>
      </x:c>
    </x:row>
    <x:row r="457" ht="48" customHeight="1">
      <x:c r="A457" s="117" t="str">
        <x:v>MC0471</x:v>
      </x:c>
      <x:c r="B457" s="117" t="str">
        <x:v>CHOGM Park</x:v>
      </x:c>
      <x:c r="C457" s="117" t="n">
        <x:v>1</x:v>
      </x:c>
      <x:c r="D457" s="117" t="str">
        <x:v>https://thumb.wikimedia.org/wikipedia/commons/thumb/a/af/CHOGM_park_in_Langkawi.jpg/1280px-CHOGM_park_in_Langkawi.jpg?utm_source=commons.wikimedia.org&amp;utm_campaign=imageinfo&amp;utm_content=thumbnail</x:v>
      </x:c>
      <x:c r="E457" s="117" t="str">
        <x:v>https://commons.wikimedia.org/wiki/File:CHOGM_park_in_Langkawi.jpg</x:v>
      </x:c>
      <x:c r="F457" s="117" t="str">
        <x:v>File:CHOGM park in Langkawi.jpg</x:v>
      </x:c>
      <x:c r="G457" s="117" t="str">
        <x:v>Hzh</x:v>
      </x:c>
      <x:c r="H457" s="117" t="str">
        <x:v>CC BY-SA 4.0</x:v>
      </x:c>
      <x:c r="I457" s="117" t="str">
        <x:v>https://creativecommons.org/licenses/by-sa/4.0</x:v>
      </x:c>
      <x:c r="J457" s="117" t="str">
        <x:v>true</x:v>
      </x:c>
      <x:c r="K457" s="117" t="str">
        <x:v>Own work</x:v>
      </x:c>
      <x:c r="L457" s="117" t="str">
        <x:v>Exact name or all distinctive place-name tokens in file metadata</x:v>
      </x:c>
      <x:c r="M457" s="117" t="str">
        <x:v>Not visually reviewed</x:v>
      </x:c>
      <x:c r="N457" s="117" t="str">
        <x:v>2026-09-08</x:v>
      </x:c>
    </x:row>
    <x:row r="458" ht="48" customHeight="1">
      <x:c r="A458" s="117" t="str">
        <x:v>MC0476</x:v>
      </x:c>
      <x:c r="B458" s="117" t="str">
        <x:v>Paddy Museum</x:v>
      </x:c>
      <x:c r="C458" s="117" t="n">
        <x:v>1</x:v>
      </x:c>
      <x:c r="D458" s="117" t="str">
        <x:v>https://upload.wikimedia.org/wikipedia/commons/3/3c/DaniAsh_Muzium%2BPadi.jpg?utm_source=commons.wikimedia.org&amp;utm_campaign=imageinfo&amp;utm_content=thumbnail_unscaled</x:v>
      </x:c>
      <x:c r="E458" s="117" t="str">
        <x:v>https://commons.wikimedia.org/wiki/File:DaniAsh_Muzium%2BPadi.jpg</x:v>
      </x:c>
      <x:c r="F458" s="117" t="str">
        <x:v>File:DaniAsh Muzium+Padi.jpg</x:v>
      </x:c>
      <x:c r="G458" s="117" t="str">
        <x:v>Putera Luqman Tunku Andre at ms.wikipedia</x:v>
      </x:c>
      <x:c r="H458" s="117" t="str">
        <x:v>GFDL</x:v>
      </x:c>
      <x:c r="I458" s="117" t="str">
        <x:v>http://www.gnu.org/copyleft/fdl.html</x:v>
      </x:c>
      <x:c r="J458" s="117" t="str">
        <x:v>true</x:v>
      </x:c>
      <x:c r="K458" s="117" t="str">
        <x:v>Own workTransferred from ms.wikipedia</x:v>
      </x:c>
      <x:c r="L458" s="117" t="str">
        <x:v>Exact name or all distinctive place-name tokens in file metadata</x:v>
      </x:c>
      <x:c r="M458" s="117" t="str">
        <x:v>Not visually reviewed</x:v>
      </x:c>
      <x:c r="N458" s="117" t="str">
        <x:v>2026-09-08</x:v>
      </x:c>
    </x:row>
    <x:row r="459" ht="48" customHeight="1">
      <x:c r="A459" s="117" t="str">
        <x:v>MC0476</x:v>
      </x:c>
      <x:c r="B459" s="117" t="str">
        <x:v>Paddy Museum</x:v>
      </x:c>
      <x:c r="C459" s="117" t="n">
        <x:v>2</x:v>
      </x:c>
      <x:c r="D459" s="117" t="str">
        <x:v>https://thumb.wikimedia.org/wikipedia/commons/thumb/3/39/A_Visit_to_the_Paddy_Museum.jpg/1280px-A_Visit_to_the_Paddy_Museum.jpg?utm_source=commons.wikimedia.org&amp;utm_campaign=imageinfo&amp;utm_content=thumbnail</x:v>
      </x:c>
      <x:c r="E459" s="117" t="str">
        <x:v>https://commons.wikimedia.org/wiki/File:A_Visit_to_the_Paddy_Museum.jpg</x:v>
      </x:c>
      <x:c r="F459" s="117" t="str">
        <x:v>File:A Visit to the Paddy Museum.jpg</x:v>
      </x:c>
      <x:c r="G459" s="117" t="str">
        <x:v>Adeline G Khaw</x:v>
      </x:c>
      <x:c r="H459" s="117" t="str">
        <x:v>CC BY-SA 4.0</x:v>
      </x:c>
      <x:c r="I459" s="117" t="str">
        <x:v>https://creativecommons.org/licenses/by-sa/4.0</x:v>
      </x:c>
      <x:c r="J459" s="117" t="str">
        <x:v>true</x:v>
      </x:c>
      <x:c r="K459" s="117" t="str">
        <x:v>Own work</x:v>
      </x:c>
      <x:c r="L459" s="117" t="str">
        <x:v>Exact name or all distinctive place-name tokens in file metadata</x:v>
      </x:c>
      <x:c r="M459" s="117" t="str">
        <x:v>Not visually reviewed</x:v>
      </x:c>
      <x:c r="N459" s="117" t="str">
        <x:v>2026-09-08</x:v>
      </x:c>
    </x:row>
    <x:row r="460" ht="48" customHeight="1">
      <x:c r="A460" s="117" t="str">
        <x:v>MC0478</x:v>
      </x:c>
      <x:c r="B460" s="117" t="str">
        <x:v>Alor Setar Tower</x:v>
      </x:c>
      <x:c r="C460" s="117" t="n">
        <x:v>1</x:v>
      </x:c>
      <x:c r="D460" s="117" t="str">
        <x:v>https://upload.wikimedia.org/wikipedia/commons/c/cc/Menara_as.jpg?utm_source=commons.wikimedia.org&amp;utm_campaign=imageinfo&amp;utm_content=thumbnail_unscaled</x:v>
      </x:c>
      <x:c r="E460" s="117" t="str">
        <x:v>https://commons.wikimedia.org/wiki/File:Menara_as.jpg</x:v>
      </x:c>
      <x:c r="F460" s="117" t="str">
        <x:v>File:Menara as.jpg</x:v>
      </x:c>
      <x:c r="G460" s="117" t="str">
        <x:v>Johnsonooijunsheng at English Wikipedia</x:v>
      </x:c>
      <x:c r="H460" s="117" t="str">
        <x:v>CC BY-SA 3.0</x:v>
      </x:c>
      <x:c r="I460" s="117" t="str">
        <x:v>http://creativecommons.org/licenses/by-sa/3.0/</x:v>
      </x:c>
      <x:c r="J460" s="117" t="str">
        <x:v>true</x:v>
      </x:c>
      <x:c r="K460" s="117" t="str">
        <x:v>Own work</x:v>
      </x:c>
      <x:c r="L460" s="117" t="str">
        <x:v>Exact name or all distinctive place-name tokens in file metadata</x:v>
      </x:c>
      <x:c r="M460" s="117" t="str">
        <x:v>Not visually reviewed</x:v>
      </x:c>
      <x:c r="N460" s="117" t="str">
        <x:v>2026-09-08</x:v>
      </x:c>
    </x:row>
    <x:row r="461" ht="48" customHeight="1">
      <x:c r="A461" s="117" t="str">
        <x:v>MC0478</x:v>
      </x:c>
      <x:c r="B461" s="117" t="str">
        <x:v>Alor Setar Tower</x:v>
      </x:c>
      <x:c r="C461" s="117" t="n">
        <x:v>2</x:v>
      </x:c>
      <x:c r="D461" s="117" t="str">
        <x:v>https://upload.wikimedia.org/wikipedia/commons/5/56/AlorSetarTower2023.jpg?utm_source=commons.wikimedia.org&amp;utm_campaign=imageinfo&amp;utm_content=thumbnail_unscaled</x:v>
      </x:c>
      <x:c r="E461" s="117" t="str">
        <x:v>https://commons.wikimedia.org/wiki/File:AlorSetarTower2023.jpg</x:v>
      </x:c>
      <x:c r="F461" s="117" t="str">
        <x:v>File:AlorSetarTower2023.jpg</x:v>
      </x:c>
      <x:c r="G461" s="117" t="str">
        <x:v>NR182</x:v>
      </x:c>
      <x:c r="H461" s="117" t="str">
        <x:v>CC BY-SA 4.0</x:v>
      </x:c>
      <x:c r="I461" s="117" t="str">
        <x:v>https://creativecommons.org/licenses/by-sa/4.0</x:v>
      </x:c>
      <x:c r="J461" s="117" t="str">
        <x:v>true</x:v>
      </x:c>
      <x:c r="K461" s="117" t="str">
        <x:v>Own work</x:v>
      </x:c>
      <x:c r="L461" s="117" t="str">
        <x:v>Exact name or all distinctive place-name tokens in file metadata</x:v>
      </x:c>
      <x:c r="M461" s="117" t="str">
        <x:v>Not visually reviewed</x:v>
      </x:c>
      <x:c r="N461" s="117" t="str">
        <x:v>2026-09-08</x:v>
      </x:c>
    </x:row>
    <x:row r="462" ht="48" customHeight="1">
      <x:c r="A462" s="117" t="str">
        <x:v>MC0481</x:v>
      </x:c>
      <x:c r="B462" s="117" t="str">
        <x:v>Balai Nobat</x:v>
      </x:c>
      <x:c r="C462" s="117" t="n">
        <x:v>1</x:v>
      </x:c>
      <x:c r="D462" s="117" t="str">
        <x:v>https://upload.wikimedia.org/wikipedia/commons/5/53/Balai_nobat_kedah.jpg?utm_source=commons.wikimedia.org&amp;utm_campaign=imageinfo&amp;utm_content=thumbnail_unscaled</x:v>
      </x:c>
      <x:c r="E462" s="117" t="str">
        <x:v>https://commons.wikimedia.org/wiki/File:Balai_nobat_kedah.jpg</x:v>
      </x:c>
      <x:c r="F462" s="117" t="str">
        <x:v>File:Balai nobat kedah.jpg</x:v>
      </x:c>
      <x:c r="G462" s="117" t="str">
        <x:v>No machine-readable author provided. Lunofabo assumed (based on copyright claims).</x:v>
      </x:c>
      <x:c r="H462" s="117" t="str">
        <x:v>Public domain</x:v>
      </x:c>
      <x:c r="I462" s="117" t="str"/>
      <x:c r="J462" s="117" t="str">
        <x:v>false</x:v>
      </x:c>
      <x:c r="K462" s="117" t="str">
        <x:v>No machine-readable source provided. Own work assumed (based on copyright claims).</x:v>
      </x:c>
      <x:c r="L462" s="117" t="str">
        <x:v>Exact name or all distinctive place-name tokens in file metadata</x:v>
      </x:c>
      <x:c r="M462" s="117" t="str">
        <x:v>Not visually reviewed</x:v>
      </x:c>
      <x:c r="N462" s="117" t="str">
        <x:v>2026-09-08</x:v>
      </x:c>
    </x:row>
    <x:row r="463" ht="48" customHeight="1">
      <x:c r="A463" s="117" t="str">
        <x:v>MC0481</x:v>
      </x:c>
      <x:c r="B463" s="117" t="str">
        <x:v>Balai Nobat</x:v>
      </x:c>
      <x:c r="C463" s="117" t="n">
        <x:v>2</x:v>
      </x:c>
      <x:c r="D463" s="117" t="str">
        <x:v>https://thumb.wikimedia.org/wikipedia/commons/thumb/3/34/Alor_Setar_%2829133137025%29.jpg/1280px-Alor_Setar_%2829133137025%29.jpg?utm_source=commons.wikimedia.org&amp;utm_campaign=imageinfo&amp;utm_content=thumbnail</x:v>
      </x:c>
      <x:c r="E463" s="117" t="str">
        <x:v>https://commons.wikimedia.org/wiki/File:Alor_Setar_(29133137025).jpg</x:v>
      </x:c>
      <x:c r="F463" s="117" t="str">
        <x:v>File:Alor Setar (29133137025).jpg</x:v>
      </x:c>
      <x:c r="G463" s="117" t="str">
        <x:v>Marufish from Alor Setar, Malaysia</x:v>
      </x:c>
      <x:c r="H463" s="117" t="str">
        <x:v>CC BY-SA 2.0</x:v>
      </x:c>
      <x:c r="I463" s="117" t="str">
        <x:v>https://creativecommons.org/licenses/by-sa/2.0</x:v>
      </x:c>
      <x:c r="J463" s="117" t="str">
        <x:v>true</x:v>
      </x:c>
      <x:c r="K463" s="117" t="str">
        <x:v>Alor Setar</x:v>
      </x:c>
      <x:c r="L463" s="117" t="str">
        <x:v>Exact name or all distinctive place-name tokens in file metadata</x:v>
      </x:c>
      <x:c r="M463" s="117" t="str">
        <x:v>Not visually reviewed</x:v>
      </x:c>
      <x:c r="N463" s="117" t="str">
        <x:v>2026-09-08</x:v>
      </x:c>
    </x:row>
    <x:row r="464" ht="48" customHeight="1">
      <x:c r="A464" s="117" t="str">
        <x:v>MC0483</x:v>
      </x:c>
      <x:c r="B464" s="117" t="str">
        <x:v>Taman Jubli Emas</x:v>
      </x:c>
      <x:c r="C464" s="117" t="n">
        <x:v>1</x:v>
      </x:c>
      <x:c r="D464" s="117" t="str">
        <x:v>https://thumb.wikimedia.org/wikipedia/commons/thumb/b/b5/Music_Fountain_at_Taman_Jubli_Emas_%2817768047745%29.jpg/1280px-Music_Fountain_at_Taman_Jubli_Emas_%2817768047745%29.jpg?utm_source=commons.wikimedia.org&amp;utm_campaign=imageinfo&amp;utm_content=thumbnail</x:v>
      </x:c>
      <x:c r="E464" s="117" t="str">
        <x:v>https://commons.wikimedia.org/wiki/File:Music_Fountain_at_Taman_Jubli_Emas_(17768047745).jpg</x:v>
      </x:c>
      <x:c r="F464" s="117" t="str">
        <x:v>File:Music Fountain at Taman Jubli Emas (17768047745).jpg</x:v>
      </x:c>
      <x:c r="G464" s="117" t="str">
        <x:v>Marufish from Alor Setar, Malaysia</x:v>
      </x:c>
      <x:c r="H464" s="117" t="str">
        <x:v>CC BY-SA 2.0</x:v>
      </x:c>
      <x:c r="I464" s="117" t="str">
        <x:v>https://creativecommons.org/licenses/by-sa/2.0</x:v>
      </x:c>
      <x:c r="J464" s="117" t="str">
        <x:v>true</x:v>
      </x:c>
      <x:c r="K464" s="117" t="str">
        <x:v>Music Fountain at Taman Jubli Emas</x:v>
      </x:c>
      <x:c r="L464" s="117" t="str">
        <x:v>Exact name or all distinctive place-name tokens in file metadata</x:v>
      </x:c>
      <x:c r="M464" s="117" t="str">
        <x:v>Not visually reviewed</x:v>
      </x:c>
      <x:c r="N464" s="117" t="str">
        <x:v>2026-09-08</x:v>
      </x:c>
    </x:row>
    <x:row r="465" ht="48" customHeight="1">
      <x:c r="A465" s="117" t="str">
        <x:v>MC0483</x:v>
      </x:c>
      <x:c r="B465" s="117" t="str">
        <x:v>Taman Jubli Emas</x:v>
      </x:c>
      <x:c r="C465" s="117" t="n">
        <x:v>2</x:v>
      </x:c>
      <x:c r="D465" s="117" t="str">
        <x:v>https://thumb.wikimedia.org/wikipedia/commons/thumb/a/a2/Music_Fountain_at_Taman_Jubli_Emas_%2817765770612%29.jpg/1280px-Music_Fountain_at_Taman_Jubli_Emas_%2817765770612%29.jpg?utm_source=commons.wikimedia.org&amp;utm_campaign=imageinfo&amp;utm_content=thumbnail</x:v>
      </x:c>
      <x:c r="E465" s="117" t="str">
        <x:v>https://commons.wikimedia.org/wiki/File:Music_Fountain_at_Taman_Jubli_Emas_(17765770612).jpg</x:v>
      </x:c>
      <x:c r="F465" s="117" t="str">
        <x:v>File:Music Fountain at Taman Jubli Emas (17765770612).jpg</x:v>
      </x:c>
      <x:c r="G465" s="117" t="str">
        <x:v>Marufish from Alor Setar, Malaysia</x:v>
      </x:c>
      <x:c r="H465" s="117" t="str">
        <x:v>CC BY-SA 2.0</x:v>
      </x:c>
      <x:c r="I465" s="117" t="str">
        <x:v>https://creativecommons.org/licenses/by-sa/2.0</x:v>
      </x:c>
      <x:c r="J465" s="117" t="str">
        <x:v>true</x:v>
      </x:c>
      <x:c r="K465" s="117" t="str">
        <x:v>Music Fountain at Taman Jubli Emas</x:v>
      </x:c>
      <x:c r="L465" s="117" t="str">
        <x:v>Exact name or all distinctive place-name tokens in file metadata</x:v>
      </x:c>
      <x:c r="M465" s="117" t="str">
        <x:v>Not visually reviewed</x:v>
      </x:c>
      <x:c r="N465" s="117" t="str">
        <x:v>2026-09-08</x:v>
      </x:c>
    </x:row>
    <x:row r="466" ht="48" customHeight="1">
      <x:c r="A466" s="117" t="str">
        <x:v>MC0489</x:v>
      </x:c>
      <x:c r="B466" s="117" t="str">
        <x:v>Seri Perigi Waterfall</x:v>
      </x:c>
      <x:c r="C466" s="117" t="n">
        <x:v>1</x:v>
      </x:c>
      <x:c r="D466" s="117" t="str">
        <x:v>https://thumb.wikimedia.org/wikipedia/commons/thumb/2/2f/Air_Terjun_Seri_Perigi_.jpg/1280px-Air_Terjun_Seri_Perigi_.jpg?utm_source=commons.wikimedia.org&amp;utm_campaign=imageinfo&amp;utm_content=thumbnail</x:v>
      </x:c>
      <x:c r="E466" s="117" t="str">
        <x:v>https://commons.wikimedia.org/wiki/File:Air_Terjun_Seri_Perigi_.jpg</x:v>
      </x:c>
      <x:c r="F466" s="117" t="str">
        <x:v>File:Air Terjun Seri Perigi .jpg</x:v>
      </x:c>
      <x:c r="G466" s="117" t="str">
        <x:v>Puterakahaku</x:v>
      </x:c>
      <x:c r="H466" s="117" t="str">
        <x:v>CC BY-SA 4.0</x:v>
      </x:c>
      <x:c r="I466" s="117" t="str">
        <x:v>https://creativecommons.org/licenses/by-sa/4.0</x:v>
      </x:c>
      <x:c r="J466" s="117" t="str">
        <x:v>true</x:v>
      </x:c>
      <x:c r="K466" s="117" t="str">
        <x:v>Own work</x:v>
      </x:c>
      <x:c r="L466" s="117" t="str">
        <x:v>Exact name or all distinctive place-name tokens in file metadata</x:v>
      </x:c>
      <x:c r="M466" s="117" t="str">
        <x:v>Not visually reviewed</x:v>
      </x:c>
      <x:c r="N466" s="117" t="str">
        <x:v>2026-09-08</x:v>
      </x:c>
    </x:row>
    <x:row r="467" ht="48" customHeight="1">
      <x:c r="A467" s="117" t="str">
        <x:v>MC0489</x:v>
      </x:c>
      <x:c r="B467" s="117" t="str">
        <x:v>Seri Perigi Waterfall</x:v>
      </x:c>
      <x:c r="C467" s="117" t="n">
        <x:v>2</x:v>
      </x:c>
      <x:c r="D467" s="117" t="str">
        <x:v>https://thumb.wikimedia.org/wikipedia/commons/thumb/a/ad/Seri_Perigi.jpg/1280px-Seri_Perigi.jpg?utm_source=commons.wikimedia.org&amp;utm_campaign=imageinfo&amp;utm_content=thumbnail</x:v>
      </x:c>
      <x:c r="E467" s="117" t="str">
        <x:v>https://commons.wikimedia.org/wiki/File:Seri_Perigi.jpg</x:v>
      </x:c>
      <x:c r="F467" s="117" t="str">
        <x:v>File:Seri Perigi.jpg</x:v>
      </x:c>
      <x:c r="G467" s="117" t="str">
        <x:v>Puterakahaku</x:v>
      </x:c>
      <x:c r="H467" s="117" t="str">
        <x:v>CC BY-SA 4.0</x:v>
      </x:c>
      <x:c r="I467" s="117" t="str">
        <x:v>https://creativecommons.org/licenses/by-sa/4.0</x:v>
      </x:c>
      <x:c r="J467" s="117" t="str">
        <x:v>true</x:v>
      </x:c>
      <x:c r="K467" s="117" t="str">
        <x:v>Own work</x:v>
      </x:c>
      <x:c r="L467" s="117" t="str">
        <x:v>Exact name or all distinctive place-name tokens in file metadata</x:v>
      </x:c>
      <x:c r="M467" s="117" t="str">
        <x:v>Not visually reviewed</x:v>
      </x:c>
      <x:c r="N467" s="117" t="str">
        <x:v>2026-09-08</x:v>
      </x:c>
    </x:row>
    <x:row r="468" ht="48" customHeight="1">
      <x:c r="A468" s="117" t="str">
        <x:v>MC0491</x:v>
      </x:c>
      <x:c r="B468" s="117" t="str">
        <x:v>Pantai Merdeka</x:v>
      </x:c>
      <x:c r="C468" s="117" t="n">
        <x:v>1</x:v>
      </x:c>
      <x:c r="D468" s="117" t="str">
        <x:v>https://thumb.wikimedia.org/wikipedia/commons/thumb/4/45/Landmark_of_Pantai_Merdeka.jpg/1280px-Landmark_of_Pantai_Merdeka.jpg?utm_source=commons.wikimedia.org&amp;utm_campaign=imageinfo&amp;utm_content=thumbnail</x:v>
      </x:c>
      <x:c r="E468" s="117" t="str">
        <x:v>https://commons.wikimedia.org/wiki/File:Landmark_of_Pantai_Merdeka.jpg</x:v>
      </x:c>
      <x:c r="F468" s="117" t="str">
        <x:v>File:Landmark of Pantai Merdeka.jpg</x:v>
      </x:c>
      <x:c r="G468" s="117" t="str">
        <x:v>MNH48</x:v>
      </x:c>
      <x:c r="H468" s="117" t="str">
        <x:v>CC BY 4.0</x:v>
      </x:c>
      <x:c r="I468" s="117" t="str">
        <x:v>https://creativecommons.org/licenses/by/4.0</x:v>
      </x:c>
      <x:c r="J468" s="117" t="str">
        <x:v>true</x:v>
      </x:c>
      <x:c r="K468" s="117" t="str">
        <x:v>Own work</x:v>
      </x:c>
      <x:c r="L468" s="117" t="str">
        <x:v>Exact name or all distinctive place-name tokens in file metadata</x:v>
      </x:c>
      <x:c r="M468" s="117" t="str">
        <x:v>Not visually reviewed</x:v>
      </x:c>
      <x:c r="N468" s="117" t="str">
        <x:v>2026-09-08</x:v>
      </x:c>
    </x:row>
    <x:row r="469" ht="48" customHeight="1">
      <x:c r="A469" s="117" t="str">
        <x:v>MC0491</x:v>
      </x:c>
      <x:c r="B469" s="117" t="str">
        <x:v>Pantai Merdeka</x:v>
      </x:c>
      <x:c r="C469" s="117" t="n">
        <x:v>2</x:v>
      </x:c>
      <x:c r="D469" s="117" t="str">
        <x:v>https://thumb.wikimedia.org/wikipedia/commons/thumb/6/6a/Pantai_Merdeka_%2812185357735%29.jpg/1280px-Pantai_Merdeka_%2812185357735%29.jpg?utm_source=commons.wikimedia.org&amp;utm_campaign=imageinfo&amp;utm_content=thumbnail</x:v>
      </x:c>
      <x:c r="E469" s="117" t="str">
        <x:v>https://commons.wikimedia.org/wiki/File:Pantai_Merdeka_(12185357735).jpg</x:v>
      </x:c>
      <x:c r="F469" s="117" t="str">
        <x:v>File:Pantai Merdeka (12185357735).jpg</x:v>
      </x:c>
      <x:c r="G469" s="117" t="str">
        <x:v>Marufish from Alor Setar, Malaysia</x:v>
      </x:c>
      <x:c r="H469" s="117" t="str">
        <x:v>CC BY-SA 2.0</x:v>
      </x:c>
      <x:c r="I469" s="117" t="str">
        <x:v>https://creativecommons.org/licenses/by-sa/2.0</x:v>
      </x:c>
      <x:c r="J469" s="117" t="str">
        <x:v>true</x:v>
      </x:c>
      <x:c r="K469" s="117" t="str">
        <x:v>Pantai Merdeka</x:v>
      </x:c>
      <x:c r="L469" s="117" t="str">
        <x:v>Exact name or all distinctive place-name tokens in file metadata</x:v>
      </x:c>
      <x:c r="M469" s="117" t="str">
        <x:v>Not visually reviewed</x:v>
      </x:c>
      <x:c r="N469" s="117" t="str">
        <x:v>2026-09-08</x:v>
      </x:c>
    </x:row>
    <x:row r="470" ht="48" customHeight="1">
      <x:c r="A470" s="117" t="str">
        <x:v>MC0492</x:v>
      </x:c>
      <x:c r="B470" s="117" t="str">
        <x:v>Tanjung Dawai</x:v>
      </x:c>
      <x:c r="C470" s="117" t="n">
        <x:v>1</x:v>
      </x:c>
      <x:c r="D470" s="117" t="str">
        <x:v>https://thumb.wikimedia.org/wikipedia/commons/thumb/f/fa/Jetty_Tanjung_Dawai_%2812300742444%29.jpg/1280px-Jetty_Tanjung_Dawai_%2812300742444%29.jpg?utm_source=commons.wikimedia.org&amp;utm_campaign=imageinfo&amp;utm_content=thumbnail</x:v>
      </x:c>
      <x:c r="E470" s="117" t="str">
        <x:v>https://commons.wikimedia.org/wiki/File:Jetty_Tanjung_Dawai_(12300742444).jpg</x:v>
      </x:c>
      <x:c r="F470" s="117" t="str">
        <x:v>File:Jetty Tanjung Dawai (12300742444).jpg</x:v>
      </x:c>
      <x:c r="G470" s="117" t="str">
        <x:v>Marufish from Alor Setar, Malaysia</x:v>
      </x:c>
      <x:c r="H470" s="117" t="str">
        <x:v>CC BY-SA 2.0</x:v>
      </x:c>
      <x:c r="I470" s="117" t="str">
        <x:v>https://creativecommons.org/licenses/by-sa/2.0</x:v>
      </x:c>
      <x:c r="J470" s="117" t="str">
        <x:v>true</x:v>
      </x:c>
      <x:c r="K470" s="117" t="str">
        <x:v>Jetty Tanjung Dawai</x:v>
      </x:c>
      <x:c r="L470" s="117" t="str">
        <x:v>Exact name or all distinctive place-name tokens in file metadata</x:v>
      </x:c>
      <x:c r="M470" s="117" t="str">
        <x:v>Not visually reviewed</x:v>
      </x:c>
      <x:c r="N470" s="117" t="str">
        <x:v>2026-09-08</x:v>
      </x:c>
    </x:row>
    <x:row r="471" ht="48" customHeight="1">
      <x:c r="A471" s="117" t="str">
        <x:v>MC0492</x:v>
      </x:c>
      <x:c r="B471" s="117" t="str">
        <x:v>Tanjung Dawai</x:v>
      </x:c>
      <x:c r="C471" s="117" t="n">
        <x:v>2</x:v>
      </x:c>
      <x:c r="D471" s="117" t="str">
        <x:v>https://thumb.wikimedia.org/wikipedia/commons/thumb/a/a8/Tanjung_Dawai_%2812184883876%29.jpg/1280px-Tanjung_Dawai_%2812184883876%29.jpg?utm_source=commons.wikimedia.org&amp;utm_campaign=imageinfo&amp;utm_content=thumbnail</x:v>
      </x:c>
      <x:c r="E471" s="117" t="str">
        <x:v>https://commons.wikimedia.org/wiki/File:Tanjung_Dawai_(12184883876).jpg</x:v>
      </x:c>
      <x:c r="F471" s="117" t="str">
        <x:v>File:Tanjung Dawai (12184883876).jpg</x:v>
      </x:c>
      <x:c r="G471" s="117" t="str">
        <x:v>Marufish from Alor Setar, Malaysia</x:v>
      </x:c>
      <x:c r="H471" s="117" t="str">
        <x:v>CC BY-SA 2.0</x:v>
      </x:c>
      <x:c r="I471" s="117" t="str">
        <x:v>https://creativecommons.org/licenses/by-sa/2.0</x:v>
      </x:c>
      <x:c r="J471" s="117" t="str">
        <x:v>true</x:v>
      </x:c>
      <x:c r="K471" s="117" t="str">
        <x:v>Tanjung Dawai</x:v>
      </x:c>
      <x:c r="L471" s="117" t="str">
        <x:v>Exact name or all distinctive place-name tokens in file metadata</x:v>
      </x:c>
      <x:c r="M471" s="117" t="str">
        <x:v>Not visually reviewed</x:v>
      </x:c>
      <x:c r="N471" s="117" t="str">
        <x:v>2026-09-08</x:v>
      </x:c>
    </x:row>
    <x:row r="472" ht="48" customHeight="1">
      <x:c r="A472" s="117" t="str">
        <x:v>MC0499</x:v>
      </x:c>
      <x:c r="B472" s="117" t="str">
        <x:v>Langgar Mosque</x:v>
      </x:c>
      <x:c r="C472" s="117" t="n">
        <x:v>1</x:v>
      </x:c>
      <x:c r="D472" s="117" t="str">
        <x:v>https://thumb.wikimedia.org/wikipedia/commons/thumb/1/1e/Masjid_Langgar%2C_Jalan_Langgar%2C_Kota_Bharu%2C_Kelantan_%28gambar_dari_dalam_perkarangan_Makam_Diraja_Langgar%29_-_panoramio.jpg/1280px-Masjid_Langgar%2C_Jalan_Langgar%2C_Kota_Bharu%2C_Kelantan_%28gambar_dari_dalam_perkarangan_Makam_Diraja_Langgar%29_-_panoramio.jpg?utm_source=commons.wikimedia.org&amp;utm_campaign=imageinfo&amp;utm_content=thumbnail</x:v>
      </x:c>
      <x:c r="E472" s="117" t="str">
        <x:v>https://commons.wikimedia.org/wiki/File:Masjid_Langgar,_Jalan_Langgar,_Kota_Bharu,_Kelantan_(gambar_dari_dalam_perkarangan_Makam_Diraja_Langgar)_-_panoramio.jpg</x:v>
      </x:c>
      <x:c r="F472" s="117" t="str">
        <x:v>File:Masjid Langgar, Jalan Langgar, Kota Bharu, Kelantan (gambar dari dalam perkarangan Makam Diraja Langgar) - panoramio.jpg</x:v>
      </x:c>
      <x:c r="G472" s="117" t="str">
        <x:v>Gula Kapas</x:v>
      </x:c>
      <x:c r="H472" s="117" t="str">
        <x:v>CC BY 3.0</x:v>
      </x:c>
      <x:c r="I472" s="117" t="str">
        <x:v>https://creativecommons.org/licenses/by/3.0</x:v>
      </x:c>
      <x:c r="J472" s="117" t="str">
        <x:v>true</x:v>
      </x:c>
      <x:c r="K472" s="117" t="str">
        <x:v>https://web.archive.org/web/20161112102253/http://www.panoramio.com/photo/48204186</x:v>
      </x:c>
      <x:c r="L472" s="117" t="str">
        <x:v>Exact name or all distinctive place-name tokens in file metadata</x:v>
      </x:c>
      <x:c r="M472" s="117" t="str">
        <x:v>Not visually reviewed</x:v>
      </x:c>
      <x:c r="N472" s="117" t="str">
        <x:v>2026-09-08</x:v>
      </x:c>
    </x:row>
    <x:row r="473" ht="48" customHeight="1">
      <x:c r="A473" s="117" t="str">
        <x:v>MC0499</x:v>
      </x:c>
      <x:c r="B473" s="117" t="str">
        <x:v>Langgar Mosque</x:v>
      </x:c>
      <x:c r="C473" s="117" t="n">
        <x:v>2</x:v>
      </x:c>
      <x:c r="D473" s="117" t="str">
        <x:v>https://thumb.wikimedia.org/wikipedia/commons/thumb/e/e8/Masjid_Langgar%2C_Jalan_Langgar%2C_Kota_Bharu%2C_Kelantan_-_panoramio.jpg/1280px-Masjid_Langgar%2C_Jalan_Langgar%2C_Kota_Bharu%2C_Kelantan_-_panoramio.jpg?utm_source=commons.wikimedia.org&amp;utm_campaign=imageinfo&amp;utm_content=thumbnail</x:v>
      </x:c>
      <x:c r="E473" s="117" t="str">
        <x:v>https://commons.wikimedia.org/wiki/File:Masjid_Langgar,_Jalan_Langgar,_Kota_Bharu,_Kelantan_-_panoramio.jpg</x:v>
      </x:c>
      <x:c r="F473" s="117" t="str">
        <x:v>File:Masjid Langgar, Jalan Langgar, Kota Bharu, Kelantan - panoramio.jpg</x:v>
      </x:c>
      <x:c r="G473" s="117" t="str">
        <x:v>Gula Kapas</x:v>
      </x:c>
      <x:c r="H473" s="117" t="str">
        <x:v>CC BY 3.0</x:v>
      </x:c>
      <x:c r="I473" s="117" t="str">
        <x:v>https://creativecommons.org/licenses/by/3.0</x:v>
      </x:c>
      <x:c r="J473" s="117" t="str">
        <x:v>true</x:v>
      </x:c>
      <x:c r="K473" s="117" t="str">
        <x:v>https://web.archive.org/web/20161112095906/http://www.panoramio.com/photo/48196669</x:v>
      </x:c>
      <x:c r="L473" s="117" t="str">
        <x:v>Exact name or all distinctive place-name tokens in file metadata</x:v>
      </x:c>
      <x:c r="M473" s="117" t="str">
        <x:v>Not visually reviewed</x:v>
      </x:c>
      <x:c r="N473" s="117" t="str">
        <x:v>2026-09-08</x:v>
      </x:c>
    </x:row>
    <x:row r="474" ht="48" customHeight="1">
      <x:c r="A474" s="117" t="str">
        <x:v>MC0501</x:v>
      </x:c>
      <x:c r="B474" s="117" t="str">
        <x:v>Gerbang Sultan Ismail Petra</x:v>
      </x:c>
      <x:c r="C474" s="117" t="n">
        <x:v>1</x:v>
      </x:c>
      <x:c r="D474" s="117" t="str">
        <x:v>https://thumb.wikimedia.org/wikipedia/commons/thumb/e/eb/Gerbang_Sultan_Ismail_Petra.JPG/1280px-Gerbang_Sultan_Ismail_Petra.JPG?utm_source=commons.wikimedia.org&amp;utm_campaign=imageinfo&amp;utm_content=thumbnail</x:v>
      </x:c>
      <x:c r="E474" s="117" t="str">
        <x:v>https://commons.wikimedia.org/wiki/File:Gerbang_Sultan_Ismail_Petra.JPG</x:v>
      </x:c>
      <x:c r="F474" s="117" t="str">
        <x:v>File:Gerbang Sultan Ismail Petra.JPG</x:v>
      </x:c>
      <x:c r="G474" s="117" t="str">
        <x:v>Zaireey</x:v>
      </x:c>
      <x:c r="H474" s="117" t="str">
        <x:v>CC BY-SA 4.0</x:v>
      </x:c>
      <x:c r="I474" s="117" t="str">
        <x:v>https://creativecommons.org/licenses/by-sa/4.0</x:v>
      </x:c>
      <x:c r="J474" s="117" t="str">
        <x:v>true</x:v>
      </x:c>
      <x:c r="K474" s="117" t="str">
        <x:v>Own work</x:v>
      </x:c>
      <x:c r="L474" s="117" t="str">
        <x:v>Exact name or all distinctive place-name tokens in file metadata</x:v>
      </x:c>
      <x:c r="M474" s="117" t="str">
        <x:v>Not visually reviewed</x:v>
      </x:c>
      <x:c r="N474" s="117" t="str">
        <x:v>2026-09-08</x:v>
      </x:c>
    </x:row>
    <x:row r="475" ht="48" customHeight="1">
      <x:c r="A475" s="117" t="str">
        <x:v>MC0504</x:v>
      </x:c>
      <x:c r="B475" s="117" t="str">
        <x:v>Pulau Suri Floating Market</x:v>
      </x:c>
      <x:c r="C475" s="117" t="n">
        <x:v>1</x:v>
      </x:c>
      <x:c r="D475" s="117" t="str">
        <x:v>https://upload.wikimedia.org/wikipedia/commons/b/b1/Floating_Market_Pulau_Suri.jpg?utm_source=commons.wikimedia.org&amp;utm_campaign=imageinfo&amp;utm_content=thumbnail_unscaled</x:v>
      </x:c>
      <x:c r="E475" s="117" t="str">
        <x:v>https://commons.wikimedia.org/wiki/File:Floating_Market_Pulau_Suri.jpg</x:v>
      </x:c>
      <x:c r="F475" s="117" t="str">
        <x:v>File:Floating Market Pulau Suri.jpg</x:v>
      </x:c>
      <x:c r="G475" s="117" t="str">
        <x:v>AdemCapture</x:v>
      </x:c>
      <x:c r="H475" s="117" t="str">
        <x:v>CC0</x:v>
      </x:c>
      <x:c r="I475" s="117" t="str">
        <x:v>http://creativecommons.org/publicdomain/zero/1.0/deed.en</x:v>
      </x:c>
      <x:c r="J475" s="117" t="str">
        <x:v>false</x:v>
      </x:c>
      <x:c r="K475" s="117" t="str">
        <x:v>Own work</x:v>
      </x:c>
      <x:c r="L475" s="117" t="str">
        <x:v>Exact name or all distinctive place-name tokens in file metadata</x:v>
      </x:c>
      <x:c r="M475" s="117" t="str">
        <x:v>Not visually reviewed</x:v>
      </x:c>
      <x:c r="N475" s="117" t="str">
        <x:v>2026-09-08</x:v>
      </x:c>
    </x:row>
    <x:row r="476" ht="48" customHeight="1">
      <x:c r="A476" s="117" t="str">
        <x:v>MC0505</x:v>
      </x:c>
      <x:c r="B476" s="117" t="str">
        <x:v>Kampung Laut</x:v>
      </x:c>
      <x:c r="C476" s="117" t="n">
        <x:v>1</x:v>
      </x:c>
      <x:c r="D476" s="117" t="str">
        <x:v>https://thumb.wikimedia.org/wikipedia/commons/thumb/a/ab/Kolak_Sekancil_2.jpg/1280px-Kolak_Sekancil_2.jpg?utm_source=commons.wikimedia.org&amp;utm_campaign=imageinfo&amp;utm_content=thumbnail</x:v>
      </x:c>
      <x:c r="E476" s="117" t="str">
        <x:v>https://commons.wikimedia.org/wiki/File:Kolak_Sekancil_2.jpg</x:v>
      </x:c>
      <x:c r="F476" s="117" t="str">
        <x:v>File:Kolak Sekancil 2.jpg</x:v>
      </x:c>
      <x:c r="G476" s="117" t="str">
        <x:v>Kalacarita</x:v>
      </x:c>
      <x:c r="H476" s="117" t="str">
        <x:v>CC BY-SA 4.0</x:v>
      </x:c>
      <x:c r="I476" s="117" t="str">
        <x:v>https://creativecommons.org/licenses/by-sa/4.0</x:v>
      </x:c>
      <x:c r="J476" s="117" t="str">
        <x:v>true</x:v>
      </x:c>
      <x:c r="K476" s="117" t="str">
        <x:v>Own work</x:v>
      </x:c>
      <x:c r="L476" s="117" t="str">
        <x:v>Exact name or all distinctive place-name tokens in file metadata</x:v>
      </x:c>
      <x:c r="M476" s="117" t="str">
        <x:v>Not visually reviewed</x:v>
      </x:c>
      <x:c r="N476" s="117" t="str">
        <x:v>2026-09-08</x:v>
      </x:c>
    </x:row>
    <x:row r="477" ht="48" customHeight="1">
      <x:c r="A477" s="117" t="str">
        <x:v>MC0505</x:v>
      </x:c>
      <x:c r="B477" s="117" t="str">
        <x:v>Kampung Laut</x:v>
      </x:c>
      <x:c r="C477" s="117" t="n">
        <x:v>2</x:v>
      </x:c>
      <x:c r="D477" s="117" t="str">
        <x:v>https://thumb.wikimedia.org/wikipedia/commons/thumb/2/22/Peta_Batas_Wilayah_Klaces.jpg/1280px-Peta_Batas_Wilayah_Klaces.jpg?utm_source=commons.wikimedia.org&amp;utm_campaign=imageinfo&amp;utm_content=thumbnail</x:v>
      </x:c>
      <x:c r="E477" s="117" t="str">
        <x:v>https://commons.wikimedia.org/wiki/File:Peta_Batas_Wilayah_Klaces.jpg</x:v>
      </x:c>
      <x:c r="F477" s="117" t="str">
        <x:v>File:Peta Batas Wilayah Klaces.jpg</x:v>
      </x:c>
      <x:c r="G477" s="117" t="str">
        <x:v>Kalacarita</x:v>
      </x:c>
      <x:c r="H477" s="117" t="str">
        <x:v>CC BY-SA 4.0</x:v>
      </x:c>
      <x:c r="I477" s="117" t="str">
        <x:v>https://creativecommons.org/licenses/by-sa/4.0</x:v>
      </x:c>
      <x:c r="J477" s="117" t="str">
        <x:v>true</x:v>
      </x:c>
      <x:c r="K477" s="117" t="str">
        <x:v>Own work</x:v>
      </x:c>
      <x:c r="L477" s="117" t="str">
        <x:v>Exact name or all distinctive place-name tokens in file metadata</x:v>
      </x:c>
      <x:c r="M477" s="117" t="str">
        <x:v>Not visually reviewed</x:v>
      </x:c>
      <x:c r="N477" s="117" t="str">
        <x:v>2026-09-08</x:v>
      </x:c>
    </x:row>
    <x:row r="478" ht="48" customHeight="1">
      <x:c r="A478" s="117" t="str">
        <x:v>MC0511</x:v>
      </x:c>
      <x:c r="B478" s="117" t="str">
        <x:v>Gua Gelap</x:v>
      </x:c>
      <x:c r="C478" s="117" t="n">
        <x:v>1</x:v>
      </x:c>
      <x:c r="D478" s="117" t="str">
        <x:v>https://upload.wikimedia.org/wikipedia/commons/5/59/Gua_Ikan_3.jpg?utm_source=commons.wikimedia.org&amp;utm_campaign=imageinfo&amp;utm_content=thumbnail_unscaled</x:v>
      </x:c>
      <x:c r="E478" s="117" t="str">
        <x:v>https://commons.wikimedia.org/wiki/File:Gua_Ikan_3.jpg</x:v>
      </x:c>
      <x:c r="F478" s="117" t="str">
        <x:v>File:Gua Ikan 3.jpg</x:v>
      </x:c>
      <x:c r="G478" s="117" t="str">
        <x:v>WAqil</x:v>
      </x:c>
      <x:c r="H478" s="117" t="str">
        <x:v>CC BY-SA 4.0</x:v>
      </x:c>
      <x:c r="I478" s="117" t="str">
        <x:v>https://creativecommons.org/licenses/by-sa/4.0</x:v>
      </x:c>
      <x:c r="J478" s="117" t="str">
        <x:v>true</x:v>
      </x:c>
      <x:c r="K478" s="117" t="str">
        <x:v>Own work</x:v>
      </x:c>
      <x:c r="L478" s="117" t="str">
        <x:v>Exact name or all distinctive place-name tokens in file metadata</x:v>
      </x:c>
      <x:c r="M478" s="117" t="str">
        <x:v>Not visually reviewed</x:v>
      </x:c>
      <x:c r="N478" s="117" t="str">
        <x:v>2026-09-08</x:v>
      </x:c>
    </x:row>
    <x:row r="479" ht="48" customHeight="1">
      <x:c r="A479" s="117" t="str">
        <x:v>MC0511</x:v>
      </x:c>
      <x:c r="B479" s="117" t="str">
        <x:v>Gua Gelap</x:v>
      </x:c>
      <x:c r="C479" s="117" t="n">
        <x:v>2</x:v>
      </x:c>
      <x:c r="D479" s="117" t="str">
        <x:v>https://upload.wikimedia.org/wikipedia/commons/1/18/Gua_Ikan_entrance.jpg?utm_source=commons.wikimedia.org&amp;utm_campaign=imageinfo&amp;utm_content=thumbnail_unscaled</x:v>
      </x:c>
      <x:c r="E479" s="117" t="str">
        <x:v>https://commons.wikimedia.org/wiki/File:Gua_Ikan_entrance.jpg</x:v>
      </x:c>
      <x:c r="F479" s="117" t="str">
        <x:v>File:Gua Ikan entrance.jpg</x:v>
      </x:c>
      <x:c r="G479" s="117" t="str">
        <x:v>WAqil</x:v>
      </x:c>
      <x:c r="H479" s="117" t="str">
        <x:v>CC BY-SA 4.0</x:v>
      </x:c>
      <x:c r="I479" s="117" t="str">
        <x:v>https://creativecommons.org/licenses/by-sa/4.0</x:v>
      </x:c>
      <x:c r="J479" s="117" t="str">
        <x:v>true</x:v>
      </x:c>
      <x:c r="K479" s="117" t="str">
        <x:v>Own work</x:v>
      </x:c>
      <x:c r="L479" s="117" t="str">
        <x:v>Exact name or all distinctive place-name tokens in file metadata</x:v>
      </x:c>
      <x:c r="M479" s="117" t="str">
        <x:v>Not visually reviewed</x:v>
      </x:c>
      <x:c r="N479" s="117" t="str">
        <x:v>2026-09-08</x:v>
      </x:c>
    </x:row>
    <x:row r="480" ht="48" customHeight="1">
      <x:c r="A480" s="117" t="str">
        <x:v>MC0516</x:v>
      </x:c>
      <x:c r="B480" s="117" t="str">
        <x:v>Pantai Bisikan Bayu</x:v>
      </x:c>
      <x:c r="C480" s="117" t="n">
        <x:v>1</x:v>
      </x:c>
      <x:c r="D480" s="117" t="str">
        <x:v>https://thumb.wikimedia.org/wikipedia/commons/thumb/d/d7/Pantai_Bisikan_Bayu_04.jpg/1280px-Pantai_Bisikan_Bayu_04.jpg?utm_source=commons.wikimedia.org&amp;utm_campaign=imageinfo&amp;utm_content=thumbnail</x:v>
      </x:c>
      <x:c r="E480" s="117" t="str">
        <x:v>https://commons.wikimedia.org/wiki/File:Pantai_Bisikan_Bayu_04.jpg</x:v>
      </x:c>
      <x:c r="F480" s="117" t="str">
        <x:v>File:Pantai Bisikan Bayu 04.jpg</x:v>
      </x:c>
      <x:c r="G480" s="117" t="str">
        <x:v>CyberTroopers</x:v>
      </x:c>
      <x:c r="H480" s="117" t="str">
        <x:v>CC BY-SA 4.0</x:v>
      </x:c>
      <x:c r="I480" s="117" t="str">
        <x:v>https://creativecommons.org/licenses/by-sa/4.0</x:v>
      </x:c>
      <x:c r="J480" s="117" t="str">
        <x:v>true</x:v>
      </x:c>
      <x:c r="K480" s="117" t="str">
        <x:v>Own work</x:v>
      </x:c>
      <x:c r="L480" s="117" t="str">
        <x:v>Exact name or all distinctive place-name tokens in file metadata</x:v>
      </x:c>
      <x:c r="M480" s="117" t="str">
        <x:v>Not visually reviewed</x:v>
      </x:c>
      <x:c r="N480" s="117" t="str">
        <x:v>2026-09-08</x:v>
      </x:c>
    </x:row>
    <x:row r="481" ht="48" customHeight="1">
      <x:c r="A481" s="117" t="str">
        <x:v>MC0516</x:v>
      </x:c>
      <x:c r="B481" s="117" t="str">
        <x:v>Pantai Bisikan Bayu</x:v>
      </x:c>
      <x:c r="C481" s="117" t="n">
        <x:v>2</x:v>
      </x:c>
      <x:c r="D481" s="117" t="str">
        <x:v>https://thumb.wikimedia.org/wikipedia/commons/thumb/a/a8/Pantai_Bisikan_Bayu_09.jpg/1280px-Pantai_Bisikan_Bayu_09.jpg?utm_source=commons.wikimedia.org&amp;utm_campaign=imageinfo&amp;utm_content=thumbnail</x:v>
      </x:c>
      <x:c r="E481" s="117" t="str">
        <x:v>https://commons.wikimedia.org/wiki/File:Pantai_Bisikan_Bayu_09.jpg</x:v>
      </x:c>
      <x:c r="F481" s="117" t="str">
        <x:v>File:Pantai Bisikan Bayu 09.jpg</x:v>
      </x:c>
      <x:c r="G481" s="117" t="str">
        <x:v>CyberTroopers</x:v>
      </x:c>
      <x:c r="H481" s="117" t="str">
        <x:v>CC BY-SA 4.0</x:v>
      </x:c>
      <x:c r="I481" s="117" t="str">
        <x:v>https://creativecommons.org/licenses/by-sa/4.0</x:v>
      </x:c>
      <x:c r="J481" s="117" t="str">
        <x:v>true</x:v>
      </x:c>
      <x:c r="K481" s="117" t="str">
        <x:v>Own work</x:v>
      </x:c>
      <x:c r="L481" s="117" t="str">
        <x:v>Exact name or all distinctive place-name tokens in file metadata</x:v>
      </x:c>
      <x:c r="M481" s="117" t="str">
        <x:v>Not visually reviewed</x:v>
      </x:c>
      <x:c r="N481" s="117" t="str">
        <x:v>2026-09-08</x:v>
      </x:c>
    </x:row>
    <x:row r="482" ht="48" customHeight="1">
      <x:c r="A482" s="117" t="str">
        <x:v>MC0518</x:v>
      </x:c>
      <x:c r="B482" s="117" t="str">
        <x:v>Guillemard Bridge</x:v>
      </x:c>
      <x:c r="C482" s="117" t="n">
        <x:v>1</x:v>
      </x:c>
      <x:c r="D482" s="117" t="str">
        <x:v>https://thumb.wikimedia.org/wikipedia/commons/thumb/0/06/Guillemard_Bridge_from_Machang_side.jpg/1280px-Guillemard_Bridge_from_Machang_side.jpg?utm_source=commons.wikimedia.org&amp;utm_campaign=imageinfo&amp;utm_content=thumbnail</x:v>
      </x:c>
      <x:c r="E482" s="117" t="str">
        <x:v>https://commons.wikimedia.org/wiki/File:Guillemard_Bridge_from_Machang_side.jpg</x:v>
      </x:c>
      <x:c r="F482" s="117" t="str">
        <x:v>File:Guillemard Bridge from Machang side.jpg</x:v>
      </x:c>
      <x:c r="G482" s="117" t="str">
        <x:v>Akml5599</x:v>
      </x:c>
      <x:c r="H482" s="117" t="str">
        <x:v>CC BY-SA 4.0</x:v>
      </x:c>
      <x:c r="I482" s="117" t="str">
        <x:v>https://creativecommons.org/licenses/by-sa/4.0</x:v>
      </x:c>
      <x:c r="J482" s="117" t="str">
        <x:v>true</x:v>
      </x:c>
      <x:c r="K482" s="117" t="str">
        <x:v>Own work</x:v>
      </x:c>
      <x:c r="L482" s="117" t="str">
        <x:v>Exact name or all distinctive place-name tokens in file metadata</x:v>
      </x:c>
      <x:c r="M482" s="117" t="str">
        <x:v>Not visually reviewed</x:v>
      </x:c>
      <x:c r="N482" s="117" t="str">
        <x:v>2026-09-08</x:v>
      </x:c>
    </x:row>
    <x:row r="483" ht="48" customHeight="1">
      <x:c r="A483" s="117" t="str">
        <x:v>MC0518</x:v>
      </x:c>
      <x:c r="B483" s="117" t="str">
        <x:v>Guillemard Bridge</x:v>
      </x:c>
      <x:c r="C483" s="117" t="n">
        <x:v>2</x:v>
      </x:c>
      <x:c r="D483" s="117" t="str">
        <x:v>https://thumb.wikimedia.org/wikipedia/commons/thumb/3/3a/Bridgehead_from_Machang_side.jpg/1280px-Bridgehead_from_Machang_side.jpg?utm_source=commons.wikimedia.org&amp;utm_campaign=imageinfo&amp;utm_content=thumbnail</x:v>
      </x:c>
      <x:c r="E483" s="117" t="str">
        <x:v>https://commons.wikimedia.org/wiki/File:Bridgehead_from_Machang_side.jpg</x:v>
      </x:c>
      <x:c r="F483" s="117" t="str">
        <x:v>File:Bridgehead from Machang side.jpg</x:v>
      </x:c>
      <x:c r="G483" s="117" t="str">
        <x:v>Akml5599</x:v>
      </x:c>
      <x:c r="H483" s="117" t="str">
        <x:v>CC BY-SA 4.0</x:v>
      </x:c>
      <x:c r="I483" s="117" t="str">
        <x:v>https://creativecommons.org/licenses/by-sa/4.0</x:v>
      </x:c>
      <x:c r="J483" s="117" t="str">
        <x:v>true</x:v>
      </x:c>
      <x:c r="K483" s="117" t="str">
        <x:v>Own work</x:v>
      </x:c>
      <x:c r="L483" s="117" t="str">
        <x:v>Exact name or all distinctive place-name tokens in file metadata</x:v>
      </x:c>
      <x:c r="M483" s="117" t="str">
        <x:v>Not visually reviewed</x:v>
      </x:c>
      <x:c r="N483" s="117" t="str">
        <x:v>2026-09-08</x:v>
      </x:c>
    </x:row>
    <x:row r="484" ht="48" customHeight="1">
      <x:c r="A484" s="117" t="str">
        <x:v>MC0519</x:v>
      </x:c>
      <x:c r="B484" s="117" t="str">
        <x:v>Gunung Reng</x:v>
      </x:c>
      <x:c r="C484" s="117" t="n">
        <x:v>1</x:v>
      </x:c>
      <x:c r="D484" s="117" t="str">
        <x:v>https://upload.wikimedia.org/wikipedia/commons/b/b8/Gunung_Reng%2C_Batu_Melintang.jpg?utm_source=commons.wikimedia.org&amp;utm_campaign=imageinfo&amp;utm_content=thumbnail_unscaled</x:v>
      </x:c>
      <x:c r="E484" s="117" t="str">
        <x:v>https://commons.wikimedia.org/wiki/File:Gunung_Reng,_Batu_Melintang.jpg</x:v>
      </x:c>
      <x:c r="F484" s="117" t="str">
        <x:v>File:Gunung Reng, Batu Melintang.jpg</x:v>
      </x:c>
      <x:c r="G484" s="117" t="str">
        <x:v>Hanani Jahari</x:v>
      </x:c>
      <x:c r="H484" s="117" t="str">
        <x:v>CC BY-SA 4.0</x:v>
      </x:c>
      <x:c r="I484" s="117" t="str">
        <x:v>https://creativecommons.org/licenses/by-sa/4.0</x:v>
      </x:c>
      <x:c r="J484" s="117" t="str">
        <x:v>true</x:v>
      </x:c>
      <x:c r="K484" s="117" t="str">
        <x:v>Own work</x:v>
      </x:c>
      <x:c r="L484" s="117" t="str">
        <x:v>Exact name or all distinctive place-name tokens in file metadata</x:v>
      </x:c>
      <x:c r="M484" s="117" t="str">
        <x:v>Not visually reviewed</x:v>
      </x:c>
      <x:c r="N484" s="117" t="str">
        <x:v>2026-09-08</x:v>
      </x:c>
    </x:row>
    <x:row r="485" ht="48" customHeight="1">
      <x:c r="A485" s="117" t="str">
        <x:v>MC0519</x:v>
      </x:c>
      <x:c r="B485" s="117" t="str">
        <x:v>Gunung Reng</x:v>
      </x:c>
      <x:c r="C485" s="117" t="n">
        <x:v>2</x:v>
      </x:c>
      <x:c r="D485" s="117" t="str">
        <x:v>https://upload.wikimedia.org/wikipedia/commons/2/21/Gunung_Reng_Ecopark.jpg?utm_source=commons.wikimedia.org&amp;utm_campaign=imageinfo&amp;utm_content=thumbnail_unscaled</x:v>
      </x:c>
      <x:c r="E485" s="117" t="str">
        <x:v>https://commons.wikimedia.org/wiki/File:Gunung_Reng_Ecopark.jpg</x:v>
      </x:c>
      <x:c r="F485" s="117" t="str">
        <x:v>File:Gunung Reng Ecopark.jpg</x:v>
      </x:c>
      <x:c r="G485" s="117" t="str">
        <x:v>Ziqrul06</x:v>
      </x:c>
      <x:c r="H485" s="117" t="str">
        <x:v>CC0</x:v>
      </x:c>
      <x:c r="I485" s="117" t="str">
        <x:v>http://creativecommons.org/publicdomain/zero/1.0/deed.en</x:v>
      </x:c>
      <x:c r="J485" s="117" t="str">
        <x:v>false</x:v>
      </x:c>
      <x:c r="K485" s="117" t="str">
        <x:v>Own work</x:v>
      </x:c>
      <x:c r="L485" s="117" t="str">
        <x:v>Exact name or all distinctive place-name tokens in file metadata</x:v>
      </x:c>
      <x:c r="M485" s="117" t="str">
        <x:v>Not visually reviewed</x:v>
      </x:c>
      <x:c r="N485" s="117" t="str">
        <x:v>2026-09-08</x:v>
      </x:c>
    </x:row>
    <x:row r="486" ht="48" customHeight="1">
      <x:c r="A486" s="117" t="str">
        <x:v>MC0522</x:v>
      </x:c>
      <x:c r="B486" s="117" t="str">
        <x:v>Gua Cha</x:v>
      </x:c>
      <x:c r="C486" s="117" t="n">
        <x:v>1</x:v>
      </x:c>
      <x:c r="D486" s="117" t="str">
        <x:v>https://thumb.wikimedia.org/wikipedia/commons/thumb/c/c6/Skeleton_of_an_infant_from_Gua_Cha%2C_Kelantan_at_Muzium_Negara_%28DSCF0852%29.jpg/1280px-Skeleton_of_an_infant_from_Gua_Cha%2C_Kelantan_at_Muzium_Negara_%28DSCF0852%29.jpg?utm_source=commons.wikimedia.org&amp;utm_campaign=imageinfo&amp;utm_content=thumbnail</x:v>
      </x:c>
      <x:c r="E486" s="117" t="str">
        <x:v>https://commons.wikimedia.org/wiki/File:Skeleton_of_an_infant_from_Gua_Cha,_Kelantan_at_Muzium_Negara_(DSCF0852).jpg</x:v>
      </x:c>
      <x:c r="F486" s="117" t="str">
        <x:v>File:Skeleton of an infant from Gua Cha, Kelantan at Muzium Negara (DSCF0852).jpg</x:v>
      </x:c>
      <x:c r="G486" s="117" t="str">
        <x:v>Yu Chu Chin</x:v>
      </x:c>
      <x:c r="H486" s="117" t="str">
        <x:v>CC BY-SA 4.0</x:v>
      </x:c>
      <x:c r="I486" s="117" t="str">
        <x:v>https://creativecommons.org/licenses/by-sa/4.0</x:v>
      </x:c>
      <x:c r="J486" s="117" t="str">
        <x:v>true</x:v>
      </x:c>
      <x:c r="K486" s="117" t="str">
        <x:v>Own work</x:v>
      </x:c>
      <x:c r="L486" s="117" t="str">
        <x:v>Exact name or all distinctive place-name tokens in file metadata</x:v>
      </x:c>
      <x:c r="M486" s="117" t="str">
        <x:v>Not visually reviewed</x:v>
      </x:c>
      <x:c r="N486" s="117" t="str">
        <x:v>2026-09-08</x:v>
      </x:c>
    </x:row>
    <x:row r="487" ht="48" customHeight="1">
      <x:c r="A487" s="117" t="str">
        <x:v>MC0522</x:v>
      </x:c>
      <x:c r="B487" s="117" t="str">
        <x:v>Gua Cha</x:v>
      </x:c>
      <x:c r="C487" s="117" t="n">
        <x:v>2</x:v>
      </x:c>
      <x:c r="D487" s="117" t="str">
        <x:v>https://thumb.wikimedia.org/wikipedia/commons/thumb/2/26/Nauclea_subdita_Steud._nmnhbotany_13715134_NMNH-02370647.jpg/1280px-Nauclea_subdita_Steud._nmnhbotany_13715134_NMNH-02370647.jpg?utm_source=commons.wikimedia.org&amp;utm_campaign=imageinfo&amp;utm_content=thumbnail</x:v>
      </x:c>
      <x:c r="E487" s="117" t="str">
        <x:v>https://commons.wikimedia.org/wiki/File:Nauclea_subdita_Steud._nmnhbotany_13715134_NMNH-02370647.jpg</x:v>
      </x:c>
      <x:c r="F487" s="117" t="str">
        <x:v>File:Nauclea subdita Steud. nmnhbotany 13715134 NMNH-02370647.jpg</x:v>
      </x:c>
      <x:c r="G487" s="117" t="str">
        <x:v>National Museum of Natural History</x:v>
      </x:c>
      <x:c r="H487" s="117" t="str">
        <x:v>CC0</x:v>
      </x:c>
      <x:c r="I487" s="117" t="str">
        <x:v>http://creativecommons.org/publicdomain/zero/1.0/deed.en</x:v>
      </x:c>
      <x:c r="J487" s="117" t="str">
        <x:v>false</x:v>
      </x:c>
      <x:c r="K487" s="117" t="str">
        <x:v>This file is part of the Smithsonian Institution's Open Access collection.Their website states: "We have released these images and data into the Public Domain as Creative Commons Zero (CC0), meaning you can use, transform, and share our open access assets without asking permission from the Smithsonian."</x:v>
      </x:c>
      <x:c r="L487" s="117" t="str">
        <x:v>Exact name or all distinctive place-name tokens in file metadata</x:v>
      </x:c>
      <x:c r="M487" s="117" t="str">
        <x:v>Not visually reviewed</x:v>
      </x:c>
      <x:c r="N487" s="117" t="str">
        <x:v>2026-09-08</x:v>
      </x:c>
    </x:row>
    <x:row r="488" ht="48" customHeight="1">
      <x:c r="A488" s="117" t="str">
        <x:v>MC0523</x:v>
      </x:c>
      <x:c r="B488" s="117" t="str">
        <x:v>Gunung Rabong</x:v>
      </x:c>
      <x:c r="C488" s="117" t="n">
        <x:v>1</x:v>
      </x:c>
      <x:c r="D488" s="117" t="str">
        <x:v>https://thumb.wikimedia.org/wikipedia/commons/thumb/1/14/Daphniphyllum_glaucescens_Blume_nmnhbotany_11590878_NMNH-01282984.jpg/1280px-Daphniphyllum_glaucescens_Blume_nmnhbotany_11590878_NMNH-01282984.jpg?utm_source=commons.wikimedia.org&amp;utm_campaign=imageinfo&amp;utm_content=thumbnail</x:v>
      </x:c>
      <x:c r="E488" s="117" t="str">
        <x:v>https://commons.wikimedia.org/wiki/File:Daphniphyllum_glaucescens_Blume_nmnhbotany_11590878_NMNH-01282984.jpg</x:v>
      </x:c>
      <x:c r="F488" s="117" t="str">
        <x:v>File:Daphniphyllum glaucescens Blume nmnhbotany 11590878 NMNH-01282984.jpg</x:v>
      </x:c>
      <x:c r="G488" s="117" t="str">
        <x:v>National Museum of Natural History</x:v>
      </x:c>
      <x:c r="H488" s="117" t="str">
        <x:v>CC0</x:v>
      </x:c>
      <x:c r="I488" s="117" t="str">
        <x:v>http://creativecommons.org/publicdomain/zero/1.0/deed.en</x:v>
      </x:c>
      <x:c r="J488" s="117" t="str">
        <x:v>false</x:v>
      </x:c>
      <x:c r="K488" s="117" t="str">
        <x:v>This file is part of the Smithsonian Institution's Open Access collection.Their website states: "We have released these images and data into the Public Domain as Creative Commons Zero (CC0), meaning you can use, transform, and share our open access assets without asking permission from the Smithsonian."</x:v>
      </x:c>
      <x:c r="L488" s="117" t="str">
        <x:v>Exact name or all distinctive place-name tokens in file metadata</x:v>
      </x:c>
      <x:c r="M488" s="117" t="str">
        <x:v>Not visually reviewed</x:v>
      </x:c>
      <x:c r="N488" s="117" t="str">
        <x:v>2026-09-08</x:v>
      </x:c>
    </x:row>
    <x:row r="489" ht="48" customHeight="1">
      <x:c r="A489" s="117" t="str">
        <x:v>MC0524</x:v>
      </x:c>
      <x:c r="B489" s="117" t="str">
        <x:v>Lojing Highlands</x:v>
      </x:c>
      <x:c r="C489" s="117" t="n">
        <x:v>1</x:v>
      </x:c>
      <x:c r="D489" s="117" t="str">
        <x:v>https://thumb.wikimedia.org/wikipedia/commons/thumb/0/06/Lojing_3.jpg/1280px-Lojing_3.jpg?utm_source=commons.wikimedia.org&amp;utm_campaign=imageinfo&amp;utm_content=thumbnail</x:v>
      </x:c>
      <x:c r="E489" s="117" t="str">
        <x:v>https://commons.wikimedia.org/wiki/File:Lojing_3.jpg</x:v>
      </x:c>
      <x:c r="F489" s="117" t="str">
        <x:v>File:Lojing 3.jpg</x:v>
      </x:c>
      <x:c r="G489" s="117" t="str">
        <x:v>Slleong</x:v>
      </x:c>
      <x:c r="H489" s="117" t="str">
        <x:v>CC0</x:v>
      </x:c>
      <x:c r="I489" s="117" t="str">
        <x:v>http://creativecommons.org/publicdomain/zero/1.0/deed.en</x:v>
      </x:c>
      <x:c r="J489" s="117" t="str">
        <x:v>false</x:v>
      </x:c>
      <x:c r="K489" s="117" t="str">
        <x:v>Own work</x:v>
      </x:c>
      <x:c r="L489" s="117" t="str">
        <x:v>Exact name or all distinctive place-name tokens in file metadata</x:v>
      </x:c>
      <x:c r="M489" s="117" t="str">
        <x:v>Not visually reviewed</x:v>
      </x:c>
      <x:c r="N489" s="117" t="str">
        <x:v>2026-09-08</x:v>
      </x:c>
    </x:row>
    <x:row r="490" ht="48" customHeight="1">
      <x:c r="A490" s="117" t="str">
        <x:v>MC0524</x:v>
      </x:c>
      <x:c r="B490" s="117" t="str">
        <x:v>Lojing Highlands</x:v>
      </x:c>
      <x:c r="C490" s="117" t="n">
        <x:v>2</x:v>
      </x:c>
      <x:c r="D490" s="117" t="str">
        <x:v>https://thumb.wikimedia.org/wikipedia/commons/thumb/e/e3/Lojing_4.jpg/1280px-Lojing_4.jpg?utm_source=commons.wikimedia.org&amp;utm_campaign=imageinfo&amp;utm_content=thumbnail</x:v>
      </x:c>
      <x:c r="E490" s="117" t="str">
        <x:v>https://commons.wikimedia.org/wiki/File:Lojing_4.jpg</x:v>
      </x:c>
      <x:c r="F490" s="117" t="str">
        <x:v>File:Lojing 4.jpg</x:v>
      </x:c>
      <x:c r="G490" s="117" t="str">
        <x:v>Slleong</x:v>
      </x:c>
      <x:c r="H490" s="117" t="str">
        <x:v>CC0</x:v>
      </x:c>
      <x:c r="I490" s="117" t="str">
        <x:v>http://creativecommons.org/publicdomain/zero/1.0/deed.en</x:v>
      </x:c>
      <x:c r="J490" s="117" t="str">
        <x:v>false</x:v>
      </x:c>
      <x:c r="K490" s="117" t="str">
        <x:v>Own work</x:v>
      </x:c>
      <x:c r="L490" s="117" t="str">
        <x:v>Exact name or all distinctive place-name tokens in file metadata</x:v>
      </x:c>
      <x:c r="M490" s="117" t="str">
        <x:v>Not visually reviewed</x:v>
      </x:c>
      <x:c r="N490" s="117" t="str">
        <x:v>2026-09-08</x:v>
      </x:c>
    </x:row>
    <x:row r="491" ht="48" customHeight="1">
      <x:c r="A491" s="117" t="str">
        <x:v>MC0526</x:v>
      </x:c>
      <x:c r="B491" s="117" t="str">
        <x:v>Encore Melaka</x:v>
      </x:c>
      <x:c r="C491" s="117" t="n">
        <x:v>1</x:v>
      </x:c>
      <x:c r="D491" s="117" t="str">
        <x:v>https://thumb.wikimedia.org/wikipedia/commons/thumb/0/02/201906_Encore_Melaka_03.jpg/1280px-201906_Encore_Melaka_03.jpg?utm_source=commons.wikimedia.org&amp;utm_campaign=imageinfo&amp;utm_content=thumbnail</x:v>
      </x:c>
      <x:c r="E491" s="117" t="str">
        <x:v>https://commons.wikimedia.org/wiki/File:201906_Encore_Melaka_03.jpg</x:v>
      </x:c>
      <x:c r="F491" s="117" t="str">
        <x:v>File:201906 Encore Melaka 03.jpg</x:v>
      </x:c>
      <x:c r="G491" s="117" t="str">
        <x:v>Jonashtand</x:v>
      </x:c>
      <x:c r="H491" s="117" t="str">
        <x:v>CC BY-SA 4.0</x:v>
      </x:c>
      <x:c r="I491" s="117" t="str">
        <x:v>https://creativecommons.org/licenses/by-sa/4.0</x:v>
      </x:c>
      <x:c r="J491" s="117" t="str">
        <x:v>true</x:v>
      </x:c>
      <x:c r="K491" s="117" t="str">
        <x:v>Own work</x:v>
      </x:c>
      <x:c r="L491" s="117" t="str">
        <x:v>Exact name or all distinctive place-name tokens in file metadata</x:v>
      </x:c>
      <x:c r="M491" s="117" t="str">
        <x:v>Not visually reviewed</x:v>
      </x:c>
      <x:c r="N491" s="117" t="str">
        <x:v>2026-09-08</x:v>
      </x:c>
    </x:row>
    <x:row r="492" ht="48" customHeight="1">
      <x:c r="A492" s="117" t="str">
        <x:v>MC0526</x:v>
      </x:c>
      <x:c r="B492" s="117" t="str">
        <x:v>Encore Melaka</x:v>
      </x:c>
      <x:c r="C492" s="117" t="n">
        <x:v>2</x:v>
      </x:c>
      <x:c r="D492" s="117" t="str">
        <x:v>https://thumb.wikimedia.org/wikipedia/commons/thumb/7/72/Encore_Melaka.jpg/1280px-Encore_Melaka.jpg?utm_source=commons.wikimedia.org&amp;utm_campaign=imageinfo&amp;utm_content=thumbnail</x:v>
      </x:c>
      <x:c r="E492" s="117" t="str">
        <x:v>https://commons.wikimedia.org/wiki/File:Encore_Melaka.jpg</x:v>
      </x:c>
      <x:c r="F492" s="117" t="str">
        <x:v>File:Encore Melaka.jpg</x:v>
      </x:c>
      <x:c r="G492" s="117" t="str">
        <x:v>Choomengfoo</x:v>
      </x:c>
      <x:c r="H492" s="117" t="str">
        <x:v>CC BY-SA 4.0</x:v>
      </x:c>
      <x:c r="I492" s="117" t="str">
        <x:v>https://creativecommons.org/licenses/by-sa/4.0</x:v>
      </x:c>
      <x:c r="J492" s="117" t="str">
        <x:v>true</x:v>
      </x:c>
      <x:c r="K492" s="117" t="str">
        <x:v>Own work</x:v>
      </x:c>
      <x:c r="L492" s="117" t="str">
        <x:v>Exact name or all distinctive place-name tokens in file metadata</x:v>
      </x:c>
      <x:c r="M492" s="117" t="str">
        <x:v>Not visually reviewed</x:v>
      </x:c>
      <x:c r="N492" s="117" t="str">
        <x:v>2026-09-08</x:v>
      </x:c>
    </x:row>
    <x:row r="493" ht="48" customHeight="1">
      <x:c r="A493" s="117" t="str">
        <x:v>MC0527</x:v>
      </x:c>
      <x:c r="B493" s="117" t="str">
        <x:v>Taming Sari Tower</x:v>
      </x:c>
      <x:c r="C493" s="117" t="n">
        <x:v>1</x:v>
      </x:c>
      <x:c r="D493" s="117" t="str">
        <x:v>https://thumb.wikimedia.org/wikipedia/commons/thumb/d/de/Taming_Sari_Tower.JPG/1280px-Taming_Sari_Tower.JPG?utm_source=commons.wikimedia.org&amp;utm_campaign=imageinfo&amp;utm_content=thumbnail</x:v>
      </x:c>
      <x:c r="E493" s="117" t="str">
        <x:v>https://commons.wikimedia.org/wiki/File:Taming_Sari_Tower.JPG</x:v>
      </x:c>
      <x:c r="F493" s="117" t="str">
        <x:v>File:Taming Sari Tower.JPG</x:v>
      </x:c>
      <x:c r="G493" s="117" t="str">
        <x:v>Chongkian</x:v>
      </x:c>
      <x:c r="H493" s="117" t="str">
        <x:v>CC BY-SA 4.0</x:v>
      </x:c>
      <x:c r="I493" s="117" t="str">
        <x:v>https://creativecommons.org/licenses/by-sa/4.0</x:v>
      </x:c>
      <x:c r="J493" s="117" t="str">
        <x:v>true</x:v>
      </x:c>
      <x:c r="K493" s="117" t="str">
        <x:v>Own work</x:v>
      </x:c>
      <x:c r="L493" s="117" t="str">
        <x:v>Exact name or all distinctive place-name tokens in file metadata</x:v>
      </x:c>
      <x:c r="M493" s="117" t="str">
        <x:v>Not visually reviewed</x:v>
      </x:c>
      <x:c r="N493" s="117" t="str">
        <x:v>2026-09-08</x:v>
      </x:c>
    </x:row>
    <x:row r="494" ht="48" customHeight="1">
      <x:c r="A494" s="117" t="str">
        <x:v>MC0527</x:v>
      </x:c>
      <x:c r="B494" s="117" t="str">
        <x:v>Taming Sari Tower</x:v>
      </x:c>
      <x:c r="C494" s="117" t="n">
        <x:v>2</x:v>
      </x:c>
      <x:c r="D494" s="117" t="str">
        <x:v>https://thumb.wikimedia.org/wikipedia/commons/thumb/f/f1/2016_Malakka%2C_Wie%C5%BCa_Taming_Sari_%2801%29.jpg/1280px-2016_Malakka%2C_Wie%C5%BCa_Taming_Sari_%2801%29.jpg?utm_source=commons.wikimedia.org&amp;utm_campaign=imageinfo&amp;utm_content=thumbnail</x:v>
      </x:c>
      <x:c r="E494" s="117" t="str">
        <x:v>https://commons.wikimedia.org/wiki/File:2016_Malakka,_Wie%C5%BCa_Taming_Sari_(01).jpg</x:v>
      </x:c>
      <x:c r="F494" s="117" t="str">
        <x:v>File:2016 Malakka, Wieża Taming Sari (01).jpg</x:v>
      </x:c>
      <x:c r="G494" s="117" t="str">
        <x:v>Marcin Konsek</x:v>
      </x:c>
      <x:c r="H494" s="117" t="str">
        <x:v>CC BY-SA 4.0</x:v>
      </x:c>
      <x:c r="I494" s="117" t="str">
        <x:v>https://creativecommons.org/licenses/by-sa/4.0</x:v>
      </x:c>
      <x:c r="J494" s="117" t="str">
        <x:v>true</x:v>
      </x:c>
      <x:c r="K494" s="117" t="str">
        <x:v>Own work</x:v>
      </x:c>
      <x:c r="L494" s="117" t="str">
        <x:v>Exact name or all distinctive place-name tokens in file metadata</x:v>
      </x:c>
      <x:c r="M494" s="117" t="str">
        <x:v>Not visually reviewed</x:v>
      </x:c>
      <x:c r="N494" s="117" t="str">
        <x:v>2026-09-08</x:v>
      </x:c>
    </x:row>
    <x:row r="495" ht="48" customHeight="1">
      <x:c r="A495" s="117" t="str">
        <x:v>MC0528</x:v>
      </x:c>
      <x:c r="B495" s="117" t="str">
        <x:v>Kampung Morten</x:v>
      </x:c>
      <x:c r="C495" s="117" t="n">
        <x:v>1</x:v>
      </x:c>
      <x:c r="D495" s="117" t="str">
        <x:v>https://thumb.wikimedia.org/wikipedia/commons/thumb/6/69/Lorong_Tun_Mamat_3_Kampung_Morten_sign.jpg/1280px-Lorong_Tun_Mamat_3_Kampung_Morten_sign.jpg?utm_source=commons.wikimedia.org&amp;utm_campaign=imageinfo&amp;utm_content=thumbnail</x:v>
      </x:c>
      <x:c r="E495" s="117" t="str">
        <x:v>https://commons.wikimedia.org/wiki/File:Lorong_Tun_Mamat_3_Kampung_Morten_sign.jpg</x:v>
      </x:c>
      <x:c r="F495" s="117" t="str">
        <x:v>File:Lorong Tun Mamat 3 Kampung Morten sign.jpg</x:v>
      </x:c>
      <x:c r="G495" s="117" t="str">
        <x:v>*angys*</x:v>
      </x:c>
      <x:c r="H495" s="117" t="str">
        <x:v>CC BY-SA 4.0</x:v>
      </x:c>
      <x:c r="I495" s="117" t="str">
        <x:v>https://creativecommons.org/licenses/by-sa/4.0</x:v>
      </x:c>
      <x:c r="J495" s="117" t="str">
        <x:v>true</x:v>
      </x:c>
      <x:c r="K495" s="117" t="str">
        <x:v>Own work</x:v>
      </x:c>
      <x:c r="L495" s="117" t="str">
        <x:v>Exact name or all distinctive place-name tokens in file metadata</x:v>
      </x:c>
      <x:c r="M495" s="117" t="str">
        <x:v>Not visually reviewed</x:v>
      </x:c>
      <x:c r="N495" s="117" t="str">
        <x:v>2026-09-08</x:v>
      </x:c>
    </x:row>
    <x:row r="496" ht="48" customHeight="1">
      <x:c r="A496" s="117" t="str">
        <x:v>MC0528</x:v>
      </x:c>
      <x:c r="B496" s="117" t="str">
        <x:v>Kampung Morten</x:v>
      </x:c>
      <x:c r="C496" s="117" t="n">
        <x:v>2</x:v>
      </x:c>
      <x:c r="D496" s="117" t="str">
        <x:v>https://thumb.wikimedia.org/wikipedia/commons/thumb/1/16/Lorong_Tun_Mamat_3_Kampung_Morten.jpg/1280px-Lorong_Tun_Mamat_3_Kampung_Morten.jpg?utm_source=commons.wikimedia.org&amp;utm_campaign=imageinfo&amp;utm_content=thumbnail</x:v>
      </x:c>
      <x:c r="E496" s="117" t="str">
        <x:v>https://commons.wikimedia.org/wiki/File:Lorong_Tun_Mamat_3_Kampung_Morten.jpg</x:v>
      </x:c>
      <x:c r="F496" s="117" t="str">
        <x:v>File:Lorong Tun Mamat 3 Kampung Morten.jpg</x:v>
      </x:c>
      <x:c r="G496" s="117" t="str">
        <x:v>*angys*</x:v>
      </x:c>
      <x:c r="H496" s="117" t="str">
        <x:v>CC BY-SA 4.0</x:v>
      </x:c>
      <x:c r="I496" s="117" t="str">
        <x:v>https://creativecommons.org/licenses/by-sa/4.0</x:v>
      </x:c>
      <x:c r="J496" s="117" t="str">
        <x:v>true</x:v>
      </x:c>
      <x:c r="K496" s="117" t="str">
        <x:v>Own work</x:v>
      </x:c>
      <x:c r="L496" s="117" t="str">
        <x:v>Exact name or all distinctive place-name tokens in file metadata</x:v>
      </x:c>
      <x:c r="M496" s="117" t="str">
        <x:v>Not visually reviewed</x:v>
      </x:c>
      <x:c r="N496" s="117" t="str">
        <x:v>2026-09-08</x:v>
      </x:c>
    </x:row>
    <x:row r="497" ht="48" customHeight="1">
      <x:c r="A497" s="117" t="str">
        <x:v>MC0532</x:v>
      </x:c>
      <x:c r="B497" s="117" t="str">
        <x:v>Melaka Zoo</x:v>
      </x:c>
      <x:c r="C497" s="117" t="n">
        <x:v>1</x:v>
      </x:c>
      <x:c r="D497" s="117" t="str">
        <x:v>https://thumb.wikimedia.org/wikipedia/commons/thumb/2/25/Malacca_Zoo_and_Bird_Farm.jpg/1280px-Malacca_Zoo_and_Bird_Farm.jpg?utm_source=commons.wikimedia.org&amp;utm_campaign=imageinfo&amp;utm_content=thumbnail</x:v>
      </x:c>
      <x:c r="E497" s="117" t="str">
        <x:v>https://commons.wikimedia.org/wiki/File:Malacca_Zoo_and_Bird_Farm.jpg</x:v>
      </x:c>
      <x:c r="F497" s="117" t="str">
        <x:v>File:Malacca Zoo and Bird Farm.jpg</x:v>
      </x:c>
      <x:c r="G497" s="117" t="str">
        <x:v>Stress 043</x:v>
      </x:c>
      <x:c r="H497" s="117" t="str">
        <x:v>CC BY-SA 4.0</x:v>
      </x:c>
      <x:c r="I497" s="117" t="str">
        <x:v>https://creativecommons.org/licenses/by-sa/4.0</x:v>
      </x:c>
      <x:c r="J497" s="117" t="str">
        <x:v>true</x:v>
      </x:c>
      <x:c r="K497" s="117" t="str">
        <x:v>Own work</x:v>
      </x:c>
      <x:c r="L497" s="117" t="str">
        <x:v>Exact name or all distinctive place-name tokens in file metadata</x:v>
      </x:c>
      <x:c r="M497" s="117" t="str">
        <x:v>Not visually reviewed</x:v>
      </x:c>
      <x:c r="N497" s="117" t="str">
        <x:v>2026-09-08</x:v>
      </x:c>
    </x:row>
    <x:row r="498" ht="48" customHeight="1">
      <x:c r="A498" s="117" t="str">
        <x:v>MC0532</x:v>
      </x:c>
      <x:c r="B498" s="117" t="str">
        <x:v>Melaka Zoo</x:v>
      </x:c>
      <x:c r="C498" s="117" t="n">
        <x:v>2</x:v>
      </x:c>
      <x:c r="D498" s="117" t="str">
        <x:v>https://thumb.wikimedia.org/wikipedia/commons/thumb/6/6b/Melaka_Zoo_and_Night_Safari.jpg/1280px-Melaka_Zoo_and_Night_Safari.jpg?utm_source=commons.wikimedia.org&amp;utm_campaign=imageinfo&amp;utm_content=thumbnail</x:v>
      </x:c>
      <x:c r="E498" s="117" t="str">
        <x:v>https://commons.wikimedia.org/wiki/File:Melaka_Zoo_and_Night_Safari.jpg</x:v>
      </x:c>
      <x:c r="F498" s="117" t="str">
        <x:v>File:Melaka Zoo and Night Safari.jpg</x:v>
      </x:c>
      <x:c r="G498" s="117" t="str">
        <x:v>Chongkian</x:v>
      </x:c>
      <x:c r="H498" s="117" t="str">
        <x:v>CC BY-SA 4.0</x:v>
      </x:c>
      <x:c r="I498" s="117" t="str">
        <x:v>https://creativecommons.org/licenses/by-sa/4.0</x:v>
      </x:c>
      <x:c r="J498" s="117" t="str">
        <x:v>true</x:v>
      </x:c>
      <x:c r="K498" s="117" t="str">
        <x:v>Own work</x:v>
      </x:c>
      <x:c r="L498" s="117" t="str">
        <x:v>Exact name or all distinctive place-name tokens in file metadata</x:v>
      </x:c>
      <x:c r="M498" s="117" t="str">
        <x:v>Not visually reviewed</x:v>
      </x:c>
      <x:c r="N498" s="117" t="str">
        <x:v>2026-09-08</x:v>
      </x:c>
    </x:row>
    <x:row r="499" ht="48" customHeight="1">
      <x:c r="A499" s="117" t="str">
        <x:v>MC0533</x:v>
      </x:c>
      <x:c r="B499" s="117" t="str">
        <x:v>Taman Seribu Bunga</x:v>
      </x:c>
      <x:c r="C499" s="117" t="n">
        <x:v>1</x:v>
      </x:c>
      <x:c r="D499" s="117" t="str">
        <x:v>https://thumb.wikimedia.org/wikipedia/commons/thumb/e/ea/Taman_seribu_bunga_green_paradise.jpg/1280px-Taman_seribu_bunga_green_paradise.jpg?utm_source=commons.wikimedia.org&amp;utm_campaign=imageinfo&amp;utm_content=thumbnail</x:v>
      </x:c>
      <x:c r="E499" s="117" t="str">
        <x:v>https://commons.wikimedia.org/wiki/File:Taman_seribu_bunga_green_paradise.jpg</x:v>
      </x:c>
      <x:c r="F499" s="117" t="str">
        <x:v>File:Taman seribu bunga green paradise.jpg</x:v>
      </x:c>
      <x:c r="G499" s="117" t="str">
        <x:v>Cendy00</x:v>
      </x:c>
      <x:c r="H499" s="117" t="str">
        <x:v>CC BY 4.0</x:v>
      </x:c>
      <x:c r="I499" s="117" t="str">
        <x:v>https://creativecommons.org/licenses/by/4.0</x:v>
      </x:c>
      <x:c r="J499" s="117" t="str">
        <x:v>true</x:v>
      </x:c>
      <x:c r="K499" s="117" t="str">
        <x:v>Own work</x:v>
      </x:c>
      <x:c r="L499" s="117" t="str">
        <x:v>Exact name or all distinctive place-name tokens in file metadata</x:v>
      </x:c>
      <x:c r="M499" s="117" t="str">
        <x:v>Not visually reviewed</x:v>
      </x:c>
      <x:c r="N499" s="117" t="str">
        <x:v>2026-09-08</x:v>
      </x:c>
    </x:row>
    <x:row r="500" ht="48" customHeight="1">
      <x:c r="A500" s="117" t="str">
        <x:v>MC0534</x:v>
      </x:c>
      <x:c r="B500" s="117" t="str">
        <x:v>Melaka Tropical Fruit Farm</x:v>
      </x:c>
      <x:c r="C500" s="117" t="n">
        <x:v>1</x:v>
      </x:c>
      <x:c r="D500" s="117" t="str">
        <x:v>https://thumb.wikimedia.org/wikipedia/commons/thumb/f/f1/Melaka_Tropical_Fruit_Farm.jpg/1280px-Melaka_Tropical_Fruit_Farm.jpg?utm_source=commons.wikimedia.org&amp;utm_campaign=imageinfo&amp;utm_content=thumbnail</x:v>
      </x:c>
      <x:c r="E500" s="117" t="str">
        <x:v>https://commons.wikimedia.org/wiki/File:Melaka_Tropical_Fruit_Farm.jpg</x:v>
      </x:c>
      <x:c r="F500" s="117" t="str">
        <x:v>File:Melaka Tropical Fruit Farm.jpg</x:v>
      </x:c>
      <x:c r="G500" s="117" t="str">
        <x:v>Chongkian</x:v>
      </x:c>
      <x:c r="H500" s="117" t="str">
        <x:v>CC BY-SA 4.0</x:v>
      </x:c>
      <x:c r="I500" s="117" t="str">
        <x:v>https://creativecommons.org/licenses/by-sa/4.0</x:v>
      </x:c>
      <x:c r="J500" s="117" t="str">
        <x:v>true</x:v>
      </x:c>
      <x:c r="K500" s="117" t="str">
        <x:v>Own work</x:v>
      </x:c>
      <x:c r="L500" s="117" t="str">
        <x:v>Exact name or all distinctive place-name tokens in file metadata</x:v>
      </x:c>
      <x:c r="M500" s="117" t="str">
        <x:v>Not visually reviewed</x:v>
      </x:c>
      <x:c r="N500" s="117" t="str">
        <x:v>2026-09-08</x:v>
      </x:c>
    </x:row>
    <x:row r="501" ht="48" customHeight="1">
      <x:c r="A501" s="117" t="str">
        <x:v>MC0534</x:v>
      </x:c>
      <x:c r="B501" s="117" t="str">
        <x:v>Melaka Tropical Fruit Farm</x:v>
      </x:c>
      <x:c r="C501" s="117" t="n">
        <x:v>2</x:v>
      </x:c>
      <x:c r="D501" s="117" t="str">
        <x:v>https://thumb.wikimedia.org/wikipedia/commons/thumb/d/dc/Melaka_Tropical_Fruit_Farm_-_Interior.jpg/1280px-Melaka_Tropical_Fruit_Farm_-_Interior.jpg?utm_source=commons.wikimedia.org&amp;utm_campaign=imageinfo&amp;utm_content=thumbnail</x:v>
      </x:c>
      <x:c r="E501" s="117" t="str">
        <x:v>https://commons.wikimedia.org/wiki/File:Melaka_Tropical_Fruit_Farm_-_Interior.jpg</x:v>
      </x:c>
      <x:c r="F501" s="117" t="str">
        <x:v>File:Melaka Tropical Fruit Farm - Interior.jpg</x:v>
      </x:c>
      <x:c r="G501" s="117" t="str">
        <x:v>Chongkian</x:v>
      </x:c>
      <x:c r="H501" s="117" t="str">
        <x:v>CC BY-SA 4.0</x:v>
      </x:c>
      <x:c r="I501" s="117" t="str">
        <x:v>https://creativecommons.org/licenses/by-sa/4.0</x:v>
      </x:c>
      <x:c r="J501" s="117" t="str">
        <x:v>true</x:v>
      </x:c>
      <x:c r="K501" s="117" t="str">
        <x:v>Own work</x:v>
      </x:c>
      <x:c r="L501" s="117" t="str">
        <x:v>Exact name or all distinctive place-name tokens in file metadata</x:v>
      </x:c>
      <x:c r="M501" s="117" t="str">
        <x:v>Not visually reviewed</x:v>
      </x:c>
      <x:c r="N501" s="117" t="str">
        <x:v>2026-09-08</x:v>
      </x:c>
    </x:row>
    <x:row r="502" ht="48" customHeight="1">
      <x:c r="A502" s="117" t="str">
        <x:v>MC0535</x:v>
      </x:c>
      <x:c r="B502" s="117" t="str">
        <x:v>Sungai Udang Recreational Forest</x:v>
      </x:c>
      <x:c r="C502" s="117" t="n">
        <x:v>1</x:v>
      </x:c>
      <x:c r="D502" s="117" t="str">
        <x:v>https://thumb.wikimedia.org/wikipedia/commons/thumb/4/4c/Sungai_Udang_Recreational_Forest.JPG/1280px-Sungai_Udang_Recreational_Forest.JPG?utm_source=commons.wikimedia.org&amp;utm_campaign=imageinfo&amp;utm_content=thumbnail</x:v>
      </x:c>
      <x:c r="E502" s="117" t="str">
        <x:v>https://commons.wikimedia.org/wiki/File:Sungai_Udang_Recreational_Forest.JPG</x:v>
      </x:c>
      <x:c r="F502" s="117" t="str">
        <x:v>File:Sungai Udang Recreational Forest.JPG</x:v>
      </x:c>
      <x:c r="G502" s="117" t="str">
        <x:v>Chongkian</x:v>
      </x:c>
      <x:c r="H502" s="117" t="str">
        <x:v>CC BY-SA 4.0</x:v>
      </x:c>
      <x:c r="I502" s="117" t="str">
        <x:v>https://creativecommons.org/licenses/by-sa/4.0</x:v>
      </x:c>
      <x:c r="J502" s="117" t="str">
        <x:v>true</x:v>
      </x:c>
      <x:c r="K502" s="117" t="str">
        <x:v>Own work</x:v>
      </x:c>
      <x:c r="L502" s="117" t="str">
        <x:v>Exact name or all distinctive place-name tokens in file metadata</x:v>
      </x:c>
      <x:c r="M502" s="117" t="str">
        <x:v>Not visually reviewed</x:v>
      </x:c>
      <x:c r="N502" s="117" t="str">
        <x:v>2026-09-08</x:v>
      </x:c>
    </x:row>
    <x:row r="503" ht="48" customHeight="1">
      <x:c r="A503" s="117" t="str">
        <x:v>MC0535</x:v>
      </x:c>
      <x:c r="B503" s="117" t="str">
        <x:v>Sungai Udang Recreational Forest</x:v>
      </x:c>
      <x:c r="C503" s="117" t="n">
        <x:v>2</x:v>
      </x:c>
      <x:c r="D503" s="117" t="str">
        <x:v>https://thumb.wikimedia.org/wikipedia/commons/thumb/c/c9/Hutan_Rekreasi_Sg_Udang.jpg/1280px-Hutan_Rekreasi_Sg_Udang.jpg?utm_source=commons.wikimedia.org&amp;utm_campaign=imageinfo&amp;utm_content=thumbnail</x:v>
      </x:c>
      <x:c r="E503" s="117" t="str">
        <x:v>https://commons.wikimedia.org/wiki/File:Hutan_Rekreasi_Sg_Udang.jpg</x:v>
      </x:c>
      <x:c r="F503" s="117" t="str">
        <x:v>File:Hutan Rekreasi Sg Udang.jpg</x:v>
      </x:c>
      <x:c r="G503" s="117" t="str">
        <x:v>Melbourney at ms.wikipedia</x:v>
      </x:c>
      <x:c r="H503" s="117" t="str">
        <x:v>Public domain</x:v>
      </x:c>
      <x:c r="I503" s="117" t="str"/>
      <x:c r="J503" s="117" t="str">
        <x:v>false</x:v>
      </x:c>
      <x:c r="K503" s="117" t="str">
        <x:v>Own workTransferred from ms.wikipedia</x:v>
      </x:c>
      <x:c r="L503" s="117" t="str">
        <x:v>Exact name or all distinctive place-name tokens in file metadata</x:v>
      </x:c>
      <x:c r="M503" s="117" t="str">
        <x:v>Not visually reviewed</x:v>
      </x:c>
      <x:c r="N503" s="117" t="str">
        <x:v>2026-09-08</x:v>
      </x:c>
    </x:row>
    <x:row r="504" ht="48" customHeight="1">
      <x:c r="A504" s="117" t="str">
        <x:v>MC0536</x:v>
      </x:c>
      <x:c r="B504" s="117" t="str">
        <x:v>Al-Khawarizmi Astronomy Complex</x:v>
      </x:c>
      <x:c r="C504" s="117" t="n">
        <x:v>1</x:v>
      </x:c>
      <x:c r="D504" s="117" t="str">
        <x:v>https://thumb.wikimedia.org/wikipedia/commons/thumb/c/c2/Al-Khawarizmi_Astronomy_Complex.JPG/1280px-Al-Khawarizmi_Astronomy_Complex.JPG?utm_source=commons.wikimedia.org&amp;utm_campaign=imageinfo&amp;utm_content=thumbnail</x:v>
      </x:c>
      <x:c r="E504" s="117" t="str">
        <x:v>https://commons.wikimedia.org/wiki/File:Al-Khawarizmi_Astronomy_Complex.JPG</x:v>
      </x:c>
      <x:c r="F504" s="117" t="str">
        <x:v>File:Al-Khawarizmi Astronomy Complex.JPG</x:v>
      </x:c>
      <x:c r="G504" s="117" t="str">
        <x:v>Chongkian</x:v>
      </x:c>
      <x:c r="H504" s="117" t="str">
        <x:v>CC BY-SA 4.0</x:v>
      </x:c>
      <x:c r="I504" s="117" t="str">
        <x:v>https://creativecommons.org/licenses/by-sa/4.0</x:v>
      </x:c>
      <x:c r="J504" s="117" t="str">
        <x:v>true</x:v>
      </x:c>
      <x:c r="K504" s="117" t="str">
        <x:v>Own work</x:v>
      </x:c>
      <x:c r="L504" s="117" t="str">
        <x:v>Exact name or all distinctive place-name tokens in file metadata</x:v>
      </x:c>
      <x:c r="M504" s="117" t="str">
        <x:v>Not visually reviewed</x:v>
      </x:c>
      <x:c r="N504" s="117" t="str">
        <x:v>2026-09-08</x:v>
      </x:c>
    </x:row>
    <x:row r="505" ht="48" customHeight="1">
      <x:c r="A505" s="117" t="str">
        <x:v>MC0542</x:v>
      </x:c>
      <x:c r="B505" s="117" t="str">
        <x:v>Pulau Besar Melaka</x:v>
      </x:c>
      <x:c r="C505" s="117" t="n">
        <x:v>1</x:v>
      </x:c>
      <x:c r="D505" s="117" t="str">
        <x:v>https://upload.wikimedia.org/wikipedia/commons/5/58/Mohd_Islam_Abdul_Amin_At_Pulau_Besar_Melaka.png?utm_source=commons.wikimedia.org&amp;utm_campaign=imageinfo&amp;utm_content=thumbnail_unscaled</x:v>
      </x:c>
      <x:c r="E505" s="117" t="str">
        <x:v>https://commons.wikimedia.org/wiki/File:Mohd_Islam_Abdul_Amin_At_Pulau_Besar_Melaka.png</x:v>
      </x:c>
      <x:c r="F505" s="117" t="str">
        <x:v>File:Mohd Islam Abdul Amin At Pulau Besar Melaka.png</x:v>
      </x:c>
      <x:c r="G505" s="117" t="str">
        <x:v>Islamic.michael</x:v>
      </x:c>
      <x:c r="H505" s="117" t="str">
        <x:v>CC0</x:v>
      </x:c>
      <x:c r="I505" s="117" t="str">
        <x:v>http://creativecommons.org/publicdomain/zero/1.0/deed.en</x:v>
      </x:c>
      <x:c r="J505" s="117" t="str">
        <x:v>false</x:v>
      </x:c>
      <x:c r="K505" s="117" t="str">
        <x:v>Own work</x:v>
      </x:c>
      <x:c r="L505" s="117" t="str">
        <x:v>Exact name or all distinctive place-name tokens in file metadata</x:v>
      </x:c>
      <x:c r="M505" s="117" t="str">
        <x:v>Not visually reviewed</x:v>
      </x:c>
      <x:c r="N505" s="117" t="str">
        <x:v>2026-09-08</x:v>
      </x:c>
    </x:row>
    <x:row r="506" ht="48" customHeight="1">
      <x:c r="A506" s="117" t="str">
        <x:v>MC0544</x:v>
      </x:c>
      <x:c r="B506" s="117" t="str">
        <x:v>Bukit Batu Lebah Recreational Forest</x:v>
      </x:c>
      <x:c r="C506" s="117" t="n">
        <x:v>1</x:v>
      </x:c>
      <x:c r="D506" s="117" t="str">
        <x:v>https://thumb.wikimedia.org/wikipedia/commons/thumb/4/44/Bukit_Batu_Lebah_Recreational_Forest.JPG/1280px-Bukit_Batu_Lebah_Recreational_Forest.JPG?utm_source=commons.wikimedia.org&amp;utm_campaign=imageinfo&amp;utm_content=thumbnail</x:v>
      </x:c>
      <x:c r="E506" s="117" t="str">
        <x:v>https://commons.wikimedia.org/wiki/File:Bukit_Batu_Lebah_Recreational_Forest.JPG</x:v>
      </x:c>
      <x:c r="F506" s="117" t="str">
        <x:v>File:Bukit Batu Lebah Recreational Forest.JPG</x:v>
      </x:c>
      <x:c r="G506" s="117" t="str">
        <x:v>Chongkian</x:v>
      </x:c>
      <x:c r="H506" s="117" t="str">
        <x:v>CC BY-SA 4.0</x:v>
      </x:c>
      <x:c r="I506" s="117" t="str">
        <x:v>https://creativecommons.org/licenses/by-sa/4.0</x:v>
      </x:c>
      <x:c r="J506" s="117" t="str">
        <x:v>true</x:v>
      </x:c>
      <x:c r="K506" s="117" t="str">
        <x:v>Own work</x:v>
      </x:c>
      <x:c r="L506" s="117" t="str">
        <x:v>Exact name or all distinctive place-name tokens in file metadata</x:v>
      </x:c>
      <x:c r="M506" s="117" t="str">
        <x:v>Not visually reviewed</x:v>
      </x:c>
      <x:c r="N506" s="117" t="str">
        <x:v>2026-09-08</x:v>
      </x:c>
    </x:row>
    <x:row r="507" ht="48" customHeight="1">
      <x:c r="A507" s="117" t="str">
        <x:v>MC0545</x:v>
      </x:c>
      <x:c r="B507" s="117" t="str">
        <x:v>Tun Teja Mausoleum</x:v>
      </x:c>
      <x:c r="C507" s="117" t="n">
        <x:v>1</x:v>
      </x:c>
      <x:c r="D507" s="117" t="str">
        <x:v>https://thumb.wikimedia.org/wikipedia/commons/thumb/8/81/Tun_Teja_Mausoleum_-_Entrance_Gate.JPG/1280px-Tun_Teja_Mausoleum_-_Entrance_Gate.JPG?utm_source=commons.wikimedia.org&amp;utm_campaign=imageinfo&amp;utm_content=thumbnail</x:v>
      </x:c>
      <x:c r="E507" s="117" t="str">
        <x:v>https://commons.wikimedia.org/wiki/File:Tun_Teja_Mausoleum_-_Entrance_Gate.JPG</x:v>
      </x:c>
      <x:c r="F507" s="117" t="str">
        <x:v>File:Tun Teja Mausoleum - Entrance Gate.JPG</x:v>
      </x:c>
      <x:c r="G507" s="117" t="str">
        <x:v>Chongkian</x:v>
      </x:c>
      <x:c r="H507" s="117" t="str">
        <x:v>CC BY-SA 4.0</x:v>
      </x:c>
      <x:c r="I507" s="117" t="str">
        <x:v>https://creativecommons.org/licenses/by-sa/4.0</x:v>
      </x:c>
      <x:c r="J507" s="117" t="str">
        <x:v>true</x:v>
      </x:c>
      <x:c r="K507" s="117" t="str">
        <x:v>Own work</x:v>
      </x:c>
      <x:c r="L507" s="117" t="str">
        <x:v>Exact name or all distinctive place-name tokens in file metadata</x:v>
      </x:c>
      <x:c r="M507" s="117" t="str">
        <x:v>Not visually reviewed</x:v>
      </x:c>
      <x:c r="N507" s="117" t="str">
        <x:v>2026-09-08</x:v>
      </x:c>
    </x:row>
    <x:row r="508" ht="48" customHeight="1">
      <x:c r="A508" s="117" t="str">
        <x:v>MC0545</x:v>
      </x:c>
      <x:c r="B508" s="117" t="str">
        <x:v>Tun Teja Mausoleum</x:v>
      </x:c>
      <x:c r="C508" s="117" t="n">
        <x:v>2</x:v>
      </x:c>
      <x:c r="D508" s="117" t="str">
        <x:v>https://thumb.wikimedia.org/wikipedia/commons/thumb/a/ab/Tun_Teja_Mausoleum.jpg/1280px-Tun_Teja_Mausoleum.jpg?utm_source=commons.wikimedia.org&amp;utm_campaign=imageinfo&amp;utm_content=thumbnail</x:v>
      </x:c>
      <x:c r="E508" s="117" t="str">
        <x:v>https://commons.wikimedia.org/wiki/File:Tun_Teja_Mausoleum.jpg</x:v>
      </x:c>
      <x:c r="F508" s="117" t="str">
        <x:v>File:Tun Teja Mausoleum.jpg</x:v>
      </x:c>
      <x:c r="G508" s="117" t="str">
        <x:v>Chongkian</x:v>
      </x:c>
      <x:c r="H508" s="117" t="str">
        <x:v>CC BY-SA 4.0</x:v>
      </x:c>
      <x:c r="I508" s="117" t="str">
        <x:v>https://creativecommons.org/licenses/by-sa/4.0</x:v>
      </x:c>
      <x:c r="J508" s="117" t="str">
        <x:v>true</x:v>
      </x:c>
      <x:c r="K508" s="117" t="str">
        <x:v>Own work</x:v>
      </x:c>
      <x:c r="L508" s="117" t="str">
        <x:v>Exact name or all distinctive place-name tokens in file metadata</x:v>
      </x:c>
      <x:c r="M508" s="117" t="str">
        <x:v>Not visually reviewed</x:v>
      </x:c>
      <x:c r="N508" s="117" t="str">
        <x:v>2026-09-08</x:v>
      </x:c>
    </x:row>
    <x:row r="509" ht="48" customHeight="1">
      <x:c r="A509" s="117" t="str">
        <x:v>MC0546</x:v>
      </x:c>
      <x:c r="B509" s="117" t="str">
        <x:v>Portuguese Well Merlimau</x:v>
      </x:c>
      <x:c r="C509" s="117" t="n">
        <x:v>1</x:v>
      </x:c>
      <x:c r="D509" s="117" t="str">
        <x:v>https://thumb.wikimedia.org/wikipedia/commons/thumb/2/2e/Portuguese_Well_-_Entrance_Gate.JPG/1280px-Portuguese_Well_-_Entrance_Gate.JPG?utm_source=commons.wikimedia.org&amp;utm_campaign=imageinfo&amp;utm_content=thumbnail</x:v>
      </x:c>
      <x:c r="E509" s="117" t="str">
        <x:v>https://commons.wikimedia.org/wiki/File:Portuguese_Well_-_Entrance_Gate.JPG</x:v>
      </x:c>
      <x:c r="F509" s="117" t="str">
        <x:v>File:Portuguese Well - Entrance Gate.JPG</x:v>
      </x:c>
      <x:c r="G509" s="117" t="str">
        <x:v>Chongkian</x:v>
      </x:c>
      <x:c r="H509" s="117" t="str">
        <x:v>CC BY-SA 4.0</x:v>
      </x:c>
      <x:c r="I509" s="117" t="str">
        <x:v>https://creativecommons.org/licenses/by-sa/4.0</x:v>
      </x:c>
      <x:c r="J509" s="117" t="str">
        <x:v>true</x:v>
      </x:c>
      <x:c r="K509" s="117" t="str">
        <x:v>Own work</x:v>
      </x:c>
      <x:c r="L509" s="117" t="str">
        <x:v>Exact name or all distinctive place-name tokens in file metadata</x:v>
      </x:c>
      <x:c r="M509" s="117" t="str">
        <x:v>Not visually reviewed</x:v>
      </x:c>
      <x:c r="N509" s="117" t="str">
        <x:v>2026-09-08</x:v>
      </x:c>
    </x:row>
    <x:row r="510" ht="48" customHeight="1">
      <x:c r="A510" s="117" t="str">
        <x:v>MC0546</x:v>
      </x:c>
      <x:c r="B510" s="117" t="str">
        <x:v>Portuguese Well Merlimau</x:v>
      </x:c>
      <x:c r="C510" s="117" t="n">
        <x:v>2</x:v>
      </x:c>
      <x:c r="D510" s="117" t="str">
        <x:v>https://thumb.wikimedia.org/wikipedia/commons/thumb/0/05/Portuguese_Well.JPG/1280px-Portuguese_Well.JPG?utm_source=commons.wikimedia.org&amp;utm_campaign=imageinfo&amp;utm_content=thumbnail</x:v>
      </x:c>
      <x:c r="E510" s="117" t="str">
        <x:v>https://commons.wikimedia.org/wiki/File:Portuguese_Well.JPG</x:v>
      </x:c>
      <x:c r="F510" s="117" t="str">
        <x:v>File:Portuguese Well.JPG</x:v>
      </x:c>
      <x:c r="G510" s="117" t="str">
        <x:v>Chongkian</x:v>
      </x:c>
      <x:c r="H510" s="117" t="str">
        <x:v>CC BY-SA 4.0</x:v>
      </x:c>
      <x:c r="I510" s="117" t="str">
        <x:v>https://creativecommons.org/licenses/by-sa/4.0</x:v>
      </x:c>
      <x:c r="J510" s="117" t="str">
        <x:v>true</x:v>
      </x:c>
      <x:c r="K510" s="117" t="str">
        <x:v>Own work</x:v>
      </x:c>
      <x:c r="L510" s="117" t="str">
        <x:v>Exact name or all distinctive place-name tokens in file metadata</x:v>
      </x:c>
      <x:c r="M510" s="117" t="str">
        <x:v>Not visually reviewed</x:v>
      </x:c>
      <x:c r="N510" s="117" t="str">
        <x:v>2026-09-08</x:v>
      </x:c>
    </x:row>
    <x:row r="511" ht="48" customHeight="1">
      <x:c r="A511" s="117" t="str">
        <x:v>MC0551</x:v>
      </x:c>
      <x:c r="B511" s="117" t="str">
        <x:v>PD Waterfront</x:v>
      </x:c>
      <x:c r="C511" s="117" t="n">
        <x:v>1</x:v>
      </x:c>
      <x:c r="D511" s="117" t="str">
        <x:v>https://thumb.wikimedia.org/wikipedia/commons/thumb/a/aa/PD_Waterfront_City_%28220709%29_06.jpg/1280px-PD_Waterfront_City_%28220709%29_06.jpg?utm_source=commons.wikimedia.org&amp;utm_campaign=imageinfo&amp;utm_content=thumbnail</x:v>
      </x:c>
      <x:c r="E511" s="117" t="str">
        <x:v>https://commons.wikimedia.org/wiki/File:PD_Waterfront_City_(220709)_06.jpg</x:v>
      </x:c>
      <x:c r="F511" s="117" t="str">
        <x:v>File:PD Waterfront City (220709) 06.jpg</x:v>
      </x:c>
      <x:c r="G511" s="117" t="str">
        <x:v>*angys*</x:v>
      </x:c>
      <x:c r="H511" s="117" t="str">
        <x:v>CC BY-SA 4.0</x:v>
      </x:c>
      <x:c r="I511" s="117" t="str">
        <x:v>https://creativecommons.org/licenses/by-sa/4.0</x:v>
      </x:c>
      <x:c r="J511" s="117" t="str">
        <x:v>true</x:v>
      </x:c>
      <x:c r="K511" s="117" t="str">
        <x:v>Own work</x:v>
      </x:c>
      <x:c r="L511" s="117" t="str">
        <x:v>Exact name or all distinctive place-name tokens in file metadata</x:v>
      </x:c>
      <x:c r="M511" s="117" t="str">
        <x:v>Not visually reviewed</x:v>
      </x:c>
      <x:c r="N511" s="117" t="str">
        <x:v>2026-09-08</x:v>
      </x:c>
    </x:row>
    <x:row r="512" ht="48" customHeight="1">
      <x:c r="A512" s="117" t="str">
        <x:v>MC0551</x:v>
      </x:c>
      <x:c r="B512" s="117" t="str">
        <x:v>PD Waterfront</x:v>
      </x:c>
      <x:c r="C512" s="117" t="n">
        <x:v>2</x:v>
      </x:c>
      <x:c r="D512" s="117" t="str">
        <x:v>https://thumb.wikimedia.org/wikipedia/commons/thumb/6/66/PD_Waterfront_City_%28220709%29_03.jpg/1280px-PD_Waterfront_City_%28220709%29_03.jpg?utm_source=commons.wikimedia.org&amp;utm_campaign=imageinfo&amp;utm_content=thumbnail</x:v>
      </x:c>
      <x:c r="E512" s="117" t="str">
        <x:v>https://commons.wikimedia.org/wiki/File:PD_Waterfront_City_(220709)_03.jpg</x:v>
      </x:c>
      <x:c r="F512" s="117" t="str">
        <x:v>File:PD Waterfront City (220709) 03.jpg</x:v>
      </x:c>
      <x:c r="G512" s="117" t="str">
        <x:v>*angys*</x:v>
      </x:c>
      <x:c r="H512" s="117" t="str">
        <x:v>CC BY-SA 4.0</x:v>
      </x:c>
      <x:c r="I512" s="117" t="str">
        <x:v>https://creativecommons.org/licenses/by-sa/4.0</x:v>
      </x:c>
      <x:c r="J512" s="117" t="str">
        <x:v>true</x:v>
      </x:c>
      <x:c r="K512" s="117" t="str">
        <x:v>Own work</x:v>
      </x:c>
      <x:c r="L512" s="117" t="str">
        <x:v>Exact name or all distinctive place-name tokens in file metadata</x:v>
      </x:c>
      <x:c r="M512" s="117" t="str">
        <x:v>Not visually reviewed</x:v>
      </x:c>
      <x:c r="N512" s="117" t="str">
        <x:v>2026-09-08</x:v>
      </x:c>
    </x:row>
    <x:row r="513" ht="48" customHeight="1">
      <x:c r="A513" s="117" t="str">
        <x:v>MC0557</x:v>
      </x:c>
      <x:c r="B513" s="117" t="str">
        <x:v>Negeri Sembilan State Mosque</x:v>
      </x:c>
      <x:c r="C513" s="117" t="n">
        <x:v>1</x:v>
      </x:c>
      <x:c r="D513" s="117" t="str">
        <x:v>https://thumb.wikimedia.org/wikipedia/commons/thumb/b/b7/Negeri_Sembilan_State_Mosque.JPG/1280px-Negeri_Sembilan_State_Mosque.JPG?utm_source=commons.wikimedia.org&amp;utm_campaign=imageinfo&amp;utm_content=thumbnail</x:v>
      </x:c>
      <x:c r="E513" s="117" t="str">
        <x:v>https://commons.wikimedia.org/wiki/File:Negeri_Sembilan_State_Mosque.JPG</x:v>
      </x:c>
      <x:c r="F513" s="117" t="str">
        <x:v>File:Negeri Sembilan State Mosque.JPG</x:v>
      </x:c>
      <x:c r="G513" s="117" t="str">
        <x:v>Chongkian</x:v>
      </x:c>
      <x:c r="H513" s="117" t="str">
        <x:v>CC BY-SA 3.0</x:v>
      </x:c>
      <x:c r="I513" s="117" t="str">
        <x:v>https://creativecommons.org/licenses/by-sa/3.0</x:v>
      </x:c>
      <x:c r="J513" s="117" t="str">
        <x:v>true</x:v>
      </x:c>
      <x:c r="K513" s="117" t="str">
        <x:v>Own work</x:v>
      </x:c>
      <x:c r="L513" s="117" t="str">
        <x:v>Exact name or all distinctive place-name tokens in file metadata</x:v>
      </x:c>
      <x:c r="M513" s="117" t="str">
        <x:v>Not visually reviewed</x:v>
      </x:c>
      <x:c r="N513" s="117" t="str">
        <x:v>2026-09-08</x:v>
      </x:c>
    </x:row>
    <x:row r="514" ht="48" customHeight="1">
      <x:c r="A514" s="117" t="str">
        <x:v>MC0557</x:v>
      </x:c>
      <x:c r="B514" s="117" t="str">
        <x:v>Negeri Sembilan State Mosque</x:v>
      </x:c>
      <x:c r="C514" s="117" t="n">
        <x:v>2</x:v>
      </x:c>
      <x:c r="D514" s="117" t="str">
        <x:v>https://thumb.wikimedia.org/wikipedia/commons/thumb/1/12/State_Mosque%2C_Seremban.jpg/1280px-State_Mosque%2C_Seremban.jpg?utm_source=commons.wikimedia.org&amp;utm_campaign=imageinfo&amp;utm_content=thumbnail</x:v>
      </x:c>
      <x:c r="E514" s="117" t="str">
        <x:v>https://commons.wikimedia.org/wiki/File:State_Mosque,_Seremban.jpg</x:v>
      </x:c>
      <x:c r="F514" s="117" t="str">
        <x:v>File:State Mosque, Seremban.jpg</x:v>
      </x:c>
      <x:c r="G514" s="117" t="str">
        <x:v>AyyanD</x:v>
      </x:c>
      <x:c r="H514" s="117" t="str">
        <x:v>CC BY-SA 4.0</x:v>
      </x:c>
      <x:c r="I514" s="117" t="str">
        <x:v>https://creativecommons.org/licenses/by-sa/4.0</x:v>
      </x:c>
      <x:c r="J514" s="117" t="str">
        <x:v>true</x:v>
      </x:c>
      <x:c r="K514" s="117" t="str">
        <x:v>Own work</x:v>
      </x:c>
      <x:c r="L514" s="117" t="str">
        <x:v>Exact name or all distinctive place-name tokens in file metadata</x:v>
      </x:c>
      <x:c r="M514" s="117" t="str">
        <x:v>Not visually reviewed</x:v>
      </x:c>
      <x:c r="N514" s="117" t="str">
        <x:v>2026-09-08</x:v>
      </x:c>
    </x:row>
    <x:row r="515" ht="48" customHeight="1">
      <x:c r="A515" s="117" t="str">
        <x:v>MC0558</x:v>
      </x:c>
      <x:c r="B515" s="117" t="str">
        <x:v>Sri Bala Thandayuthapani Temple</x:v>
      </x:c>
      <x:c r="C515" s="117" t="n">
        <x:v>1</x:v>
      </x:c>
      <x:c r="D515" s="117" t="str">
        <x:v>https://thumb.wikimedia.org/wikipedia/commons/thumb/c/ca/Sri_Balathandayuthapani_Temple_seen_from_Mosque.jpg/1280px-Sri_Balathandayuthapani_Temple_seen_from_Mosque.jpg?utm_source=commons.wikimedia.org&amp;utm_campaign=imageinfo&amp;utm_content=thumbnail</x:v>
      </x:c>
      <x:c r="E515" s="117" t="str">
        <x:v>https://commons.wikimedia.org/wiki/File:Sri_Balathandayuthapani_Temple_seen_from_Mosque.jpg</x:v>
      </x:c>
      <x:c r="F515" s="117" t="str">
        <x:v>File:Sri Balathandayuthapani Temple seen from Mosque.jpg</x:v>
      </x:c>
      <x:c r="G515" s="117" t="str">
        <x:v>Ardzun</x:v>
      </x:c>
      <x:c r="H515" s="117" t="str">
        <x:v>CC BY-SA 4.0</x:v>
      </x:c>
      <x:c r="I515" s="117" t="str">
        <x:v>https://creativecommons.org/licenses/by-sa/4.0</x:v>
      </x:c>
      <x:c r="J515" s="117" t="str">
        <x:v>true</x:v>
      </x:c>
      <x:c r="K515" s="117" t="str">
        <x:v>Own work</x:v>
      </x:c>
      <x:c r="L515" s="117" t="str">
        <x:v>Exact name or all distinctive place-name tokens in file metadata</x:v>
      </x:c>
      <x:c r="M515" s="117" t="str">
        <x:v>Not visually reviewed</x:v>
      </x:c>
      <x:c r="N515" s="117" t="str">
        <x:v>2026-09-08</x:v>
      </x:c>
    </x:row>
    <x:row r="516" ht="48" customHeight="1">
      <x:c r="A516" s="117" t="str">
        <x:v>MC0566</x:v>
      </x:c>
      <x:c r="B516" s="117" t="str">
        <x:v>Tioman Island</x:v>
      </x:c>
      <x:c r="C516" s="117" t="n">
        <x:v>1</x:v>
      </x:c>
      <x:c r="D516" s="117" t="str">
        <x:v>https://upload.wikimedia.org/wikipedia/commons/0/0b/Tioman_island.jpg?utm_source=commons.wikimedia.org&amp;utm_campaign=imageinfo&amp;utm_content=thumbnail_unscaled</x:v>
      </x:c>
      <x:c r="E516" s="117" t="str">
        <x:v>https://commons.wikimedia.org/wiki/File:Tioman_island.jpg</x:v>
      </x:c>
      <x:c r="F516" s="117" t="str">
        <x:v>File:Tioman island.jpg</x:v>
      </x:c>
      <x:c r="G516" s="117" t="str">
        <x:v>The original uploader was Fuzheado at English Wikipedia.</x:v>
      </x:c>
      <x:c r="H516" s="117" t="str">
        <x:v>CC BY-SA 2.0</x:v>
      </x:c>
      <x:c r="I516" s="117" t="str">
        <x:v>https://creativecommons.org/licenses/by-sa/2.0</x:v>
      </x:c>
      <x:c r="J516" s="117" t="str">
        <x:v>true</x:v>
      </x:c>
      <x:c r="K516" s="117" t="str">
        <x:v>Transferred from en.wikipedia to Commons by Sfan00_IMG using CommonsHelper.</x:v>
      </x:c>
      <x:c r="L516" s="117" t="str">
        <x:v>Exact name or all distinctive place-name tokens in file metadata</x:v>
      </x:c>
      <x:c r="M516" s="117" t="str">
        <x:v>Not visually reviewed</x:v>
      </x:c>
      <x:c r="N516" s="117" t="str">
        <x:v>2026-09-08</x:v>
      </x:c>
    </x:row>
    <x:row r="517" ht="48" customHeight="1">
      <x:c r="A517" s="117" t="str">
        <x:v>MC0566</x:v>
      </x:c>
      <x:c r="B517" s="117" t="str">
        <x:v>Tioman Island</x:v>
      </x:c>
      <x:c r="C517" s="117" t="n">
        <x:v>2</x:v>
      </x:c>
      <x:c r="D517" s="117" t="str">
        <x:v>https://thumb.wikimedia.org/wikipedia/commons/thumb/4/42/Tioman_island_%283678625249%29.jpg/1280px-Tioman_island_%283678625249%29.jpg?utm_source=commons.wikimedia.org&amp;utm_campaign=imageinfo&amp;utm_content=thumbnail</x:v>
      </x:c>
      <x:c r="E517" s="117" t="str">
        <x:v>https://commons.wikimedia.org/wiki/File:Tioman_island_(3678625249).jpg</x:v>
      </x:c>
      <x:c r="F517" s="117" t="str">
        <x:v>File:Tioman island (3678625249).jpg</x:v>
      </x:c>
      <x:c r="G517" s="117" t="str">
        <x:v>Peter Gronemann from Switzerland</x:v>
      </x:c>
      <x:c r="H517" s="117" t="str">
        <x:v>CC BY 2.0</x:v>
      </x:c>
      <x:c r="I517" s="117" t="str">
        <x:v>https://creativecommons.org/licenses/by/2.0</x:v>
      </x:c>
      <x:c r="J517" s="117" t="str">
        <x:v>true</x:v>
      </x:c>
      <x:c r="K517" s="117" t="str">
        <x:v>Tioman island</x:v>
      </x:c>
      <x:c r="L517" s="117" t="str">
        <x:v>Exact name or all distinctive place-name tokens in file metadata</x:v>
      </x:c>
      <x:c r="M517" s="117" t="str">
        <x:v>Not visually reviewed</x:v>
      </x:c>
      <x:c r="N517" s="117" t="str">
        <x:v>2026-09-08</x:v>
      </x:c>
    </x:row>
    <x:row r="518" ht="48" customHeight="1">
      <x:c r="A518" s="117" t="str">
        <x:v>MC0571</x:v>
      </x:c>
      <x:c r="B518" s="117" t="str">
        <x:v>Rainbow Waterfall</x:v>
      </x:c>
      <x:c r="C518" s="117" t="n">
        <x:v>1</x:v>
      </x:c>
      <x:c r="D518" s="117" t="str">
        <x:v>https://thumb.wikimedia.org/wikipedia/commons/thumb/3/3b/Sungai_Lembing_Waterfall_%28220503-1028%29.jpg/1280px-Sungai_Lembing_Waterfall_%28220503-1028%29.jpg?utm_source=commons.wikimedia.org&amp;utm_campaign=imageinfo&amp;utm_content=thumbnail</x:v>
      </x:c>
      <x:c r="E518" s="117" t="str">
        <x:v>https://commons.wikimedia.org/wiki/File:Sungai_Lembing_Waterfall_(220503-1028).jpg</x:v>
      </x:c>
      <x:c r="F518" s="117" t="str">
        <x:v>File:Sungai Lembing Waterfall (220503-1028).jpg</x:v>
      </x:c>
      <x:c r="G518" s="117" t="str">
        <x:v>Wee Hong</x:v>
      </x:c>
      <x:c r="H518" s="117" t="str">
        <x:v>CC BY-SA 4.0</x:v>
      </x:c>
      <x:c r="I518" s="117" t="str">
        <x:v>https://creativecommons.org/licenses/by-sa/4.0</x:v>
      </x:c>
      <x:c r="J518" s="117" t="str">
        <x:v>true</x:v>
      </x:c>
      <x:c r="K518" s="117" t="str">
        <x:v>Own work</x:v>
      </x:c>
      <x:c r="L518" s="117" t="str">
        <x:v>Exact name or all distinctive place-name tokens in file metadata</x:v>
      </x:c>
      <x:c r="M518" s="117" t="str">
        <x:v>Not visually reviewed</x:v>
      </x:c>
      <x:c r="N518" s="117" t="str">
        <x:v>2026-09-08</x:v>
      </x:c>
    </x:row>
    <x:row r="519" ht="48" customHeight="1">
      <x:c r="A519" s="117" t="str">
        <x:v>MC0571</x:v>
      </x:c>
      <x:c r="B519" s="117" t="str">
        <x:v>Rainbow Waterfall</x:v>
      </x:c>
      <x:c r="C519" s="117" t="n">
        <x:v>2</x:v>
      </x:c>
      <x:c r="D519" s="117" t="str">
        <x:v>https://thumb.wikimedia.org/wikipedia/commons/thumb/8/8c/Sungai_Lembing_Waterfall.jpg/1280px-Sungai_Lembing_Waterfall.jpg?utm_source=commons.wikimedia.org&amp;utm_campaign=imageinfo&amp;utm_content=thumbnail</x:v>
      </x:c>
      <x:c r="E519" s="117" t="str">
        <x:v>https://commons.wikimedia.org/wiki/File:Sungai_Lembing_Waterfall.jpg</x:v>
      </x:c>
      <x:c r="F519" s="117" t="str">
        <x:v>File:Sungai Lembing Waterfall.jpg</x:v>
      </x:c>
      <x:c r="G519" s="117" t="str">
        <x:v>Wee Hong</x:v>
      </x:c>
      <x:c r="H519" s="117" t="str">
        <x:v>CC BY-SA 4.0</x:v>
      </x:c>
      <x:c r="I519" s="117" t="str">
        <x:v>https://creativecommons.org/licenses/by-sa/4.0</x:v>
      </x:c>
      <x:c r="J519" s="117" t="str">
        <x:v>true</x:v>
      </x:c>
      <x:c r="K519" s="117" t="str">
        <x:v>Own work</x:v>
      </x:c>
      <x:c r="L519" s="117" t="str">
        <x:v>Exact name or all distinctive place-name tokens in file metadata</x:v>
      </x:c>
      <x:c r="M519" s="117" t="str">
        <x:v>Not visually reviewed</x:v>
      </x:c>
      <x:c r="N519" s="117" t="str">
        <x:v>2026-09-08</x:v>
      </x:c>
    </x:row>
    <x:row r="520" ht="48" customHeight="1">
      <x:c r="A520" s="117" t="str">
        <x:v>MC0578</x:v>
      </x:c>
      <x:c r="B520" s="117" t="str">
        <x:v>Batu Hitam Beach</x:v>
      </x:c>
      <x:c r="C520" s="117" t="n">
        <x:v>1</x:v>
      </x:c>
      <x:c r="D520" s="117" t="str">
        <x:v>https://thumb.wikimedia.org/wikipedia/commons/thumb/7/7f/Batu_Hitam_beach%2C_Kuantan.jpg/1280px-Batu_Hitam_beach%2C_Kuantan.jpg?utm_source=commons.wikimedia.org&amp;utm_campaign=imageinfo&amp;utm_content=thumbnail</x:v>
      </x:c>
      <x:c r="E520" s="117" t="str">
        <x:v>https://commons.wikimedia.org/wiki/File:Batu_Hitam_beach,_Kuantan.jpg</x:v>
      </x:c>
      <x:c r="F520" s="117" t="str">
        <x:v>File:Batu Hitam beach, Kuantan.jpg</x:v>
      </x:c>
      <x:c r="G520" s="117" t="str">
        <x:v>Kistara</x:v>
      </x:c>
      <x:c r="H520" s="117" t="str">
        <x:v>CC0</x:v>
      </x:c>
      <x:c r="I520" s="117" t="str">
        <x:v>http://creativecommons.org/publicdomain/zero/1.0/deed.en</x:v>
      </x:c>
      <x:c r="J520" s="117" t="str">
        <x:v>false</x:v>
      </x:c>
      <x:c r="K520" s="117" t="str">
        <x:v>Own work</x:v>
      </x:c>
      <x:c r="L520" s="117" t="str">
        <x:v>Exact name or all distinctive place-name tokens in file metadata</x:v>
      </x:c>
      <x:c r="M520" s="117" t="str">
        <x:v>Not visually reviewed</x:v>
      </x:c>
      <x:c r="N520" s="117" t="str">
        <x:v>2026-09-08</x:v>
      </x:c>
    </x:row>
    <x:row r="521" ht="48" customHeight="1">
      <x:c r="A521" s="117" t="str">
        <x:v>MC0583</x:v>
      </x:c>
      <x:c r="B521" s="117" t="str">
        <x:v>Lata Lembik</x:v>
      </x:c>
      <x:c r="C521" s="117" t="n">
        <x:v>1</x:v>
      </x:c>
      <x:c r="D521" s="117" t="str">
        <x:v>https://thumb.wikimedia.org/wikipedia/commons/thumb/a/ab/Agatasa_calydonia_-_Cheongweei_Gan_-_314932127.jpeg/1280px-Agatasa_calydonia_-_Cheongweei_Gan_-_314932127.jpeg?utm_source=commons.wikimedia.org&amp;utm_campaign=imageinfo&amp;utm_content=thumbnail</x:v>
      </x:c>
      <x:c r="E521" s="117" t="str">
        <x:v>https://commons.wikimedia.org/wiki/File:Agatasa_calydonia_-_Cheongweei_Gan_-_314932127.jpeg</x:v>
      </x:c>
      <x:c r="F521" s="117" t="str">
        <x:v>File:Agatasa calydonia - Cheongweei Gan - 314932127.jpeg</x:v>
      </x:c>
      <x:c r="G521" s="117" t="str">
        <x:v>Cheongweei Gan</x:v>
      </x:c>
      <x:c r="H521" s="117" t="str">
        <x:v>CC BY 4.0</x:v>
      </x:c>
      <x:c r="I521" s="117" t="str">
        <x:v>https://creativecommons.org/licenses/by/4.0</x:v>
      </x:c>
      <x:c r="J521" s="117" t="str">
        <x:v>true</x:v>
      </x:c>
      <x:c r="K521" s="117" t="str">
        <x:v>https://www.inaturalist.org/photos/314932127</x:v>
      </x:c>
      <x:c r="L521" s="117" t="str">
        <x:v>Exact name or all distinctive place-name tokens in file metadata</x:v>
      </x:c>
      <x:c r="M521" s="117" t="str">
        <x:v>Not visually reviewed</x:v>
      </x:c>
      <x:c r="N521" s="117" t="str">
        <x:v>2026-09-08</x:v>
      </x:c>
    </x:row>
    <x:row r="522" ht="48" customHeight="1">
      <x:c r="A522" s="117" t="str">
        <x:v>MC0587</x:v>
      </x:c>
      <x:c r="B522" s="117" t="str">
        <x:v>Sultan Abdullah Mosque Museum</x:v>
      </x:c>
      <x:c r="C522" s="117" t="n">
        <x:v>1</x:v>
      </x:c>
      <x:c r="D522" s="117" t="str">
        <x:v>https://thumb.wikimedia.org/wikipedia/commons/thumb/4/43/Pekan_13.jpg/1280px-Pekan_13.jpg?utm_source=commons.wikimedia.org&amp;utm_campaign=imageinfo&amp;utm_content=thumbnail</x:v>
      </x:c>
      <x:c r="E522" s="117" t="str">
        <x:v>https://commons.wikimedia.org/wiki/File:Pekan_13.jpg</x:v>
      </x:c>
      <x:c r="F522" s="117" t="str">
        <x:v>File:Pekan 13.jpg</x:v>
      </x:c>
      <x:c r="G522" s="117" t="str">
        <x:v>Slleong</x:v>
      </x:c>
      <x:c r="H522" s="117" t="str">
        <x:v>CC0</x:v>
      </x:c>
      <x:c r="I522" s="117" t="str">
        <x:v>http://creativecommons.org/publicdomain/zero/1.0/deed.en</x:v>
      </x:c>
      <x:c r="J522" s="117" t="str">
        <x:v>false</x:v>
      </x:c>
      <x:c r="K522" s="117" t="str">
        <x:v>Own work</x:v>
      </x:c>
      <x:c r="L522" s="117" t="str">
        <x:v>Exact name or all distinctive place-name tokens in file metadata</x:v>
      </x:c>
      <x:c r="M522" s="117" t="str">
        <x:v>Not visually reviewed</x:v>
      </x:c>
      <x:c r="N522" s="117" t="str">
        <x:v>2026-09-08</x:v>
      </x:c>
    </x:row>
    <x:row r="523" ht="48" customHeight="1">
      <x:c r="A523" s="117" t="str">
        <x:v>MC0587</x:v>
      </x:c>
      <x:c r="B523" s="117" t="str">
        <x:v>Sultan Abdullah Mosque Museum</x:v>
      </x:c>
      <x:c r="C523" s="117" t="n">
        <x:v>2</x:v>
      </x:c>
      <x:c r="D523" s="117" t="str">
        <x:v>https://thumb.wikimedia.org/wikipedia/commons/thumb/2/2e/Pekan_14.jpg/1280px-Pekan_14.jpg?utm_source=commons.wikimedia.org&amp;utm_campaign=imageinfo&amp;utm_content=thumbnail</x:v>
      </x:c>
      <x:c r="E523" s="117" t="str">
        <x:v>https://commons.wikimedia.org/wiki/File:Pekan_14.jpg</x:v>
      </x:c>
      <x:c r="F523" s="117" t="str">
        <x:v>File:Pekan 14.jpg</x:v>
      </x:c>
      <x:c r="G523" s="117" t="str">
        <x:v>Slleong</x:v>
      </x:c>
      <x:c r="H523" s="117" t="str">
        <x:v>CC0</x:v>
      </x:c>
      <x:c r="I523" s="117" t="str">
        <x:v>http://creativecommons.org/publicdomain/zero/1.0/deed.en</x:v>
      </x:c>
      <x:c r="J523" s="117" t="str">
        <x:v>false</x:v>
      </x:c>
      <x:c r="K523" s="117" t="str">
        <x:v>Own work</x:v>
      </x:c>
      <x:c r="L523" s="117" t="str">
        <x:v>Exact name or all distinctive place-name tokens in file metadata</x:v>
      </x:c>
      <x:c r="M523" s="117" t="str">
        <x:v>Not visually reviewed</x:v>
      </x:c>
      <x:c r="N523" s="117" t="str">
        <x:v>2026-09-08</x:v>
      </x:c>
    </x:row>
    <x:row r="524" ht="48" customHeight="1">
      <x:c r="A524" s="117" t="str">
        <x:v>MC0588</x:v>
      </x:c>
      <x:c r="B524" s="117" t="str">
        <x:v>Tasik Chini</x:v>
      </x:c>
      <x:c r="C524" s="117" t="n">
        <x:v>1</x:v>
      </x:c>
      <x:c r="D524" s="117" t="str">
        <x:v>https://thumb.wikimedia.org/wikipedia/commons/thumb/8/88/Tasik_chini_05.JPG/1280px-Tasik_chini_05.JPG?utm_source=commons.wikimedia.org&amp;utm_campaign=imageinfo&amp;utm_content=thumbnail</x:v>
      </x:c>
      <x:c r="E524" s="117" t="str">
        <x:v>https://commons.wikimedia.org/wiki/File:Tasik_chini_05.JPG</x:v>
      </x:c>
      <x:c r="F524" s="117" t="str">
        <x:v>File:Tasik chini 05.JPG</x:v>
      </x:c>
      <x:c r="G524" s="117" t="str">
        <x:v>Rubenjoker</x:v>
      </x:c>
      <x:c r="H524" s="117" t="str">
        <x:v>CC BY-SA 4.0</x:v>
      </x:c>
      <x:c r="I524" s="117" t="str">
        <x:v>https://creativecommons.org/licenses/by-sa/4.0</x:v>
      </x:c>
      <x:c r="J524" s="117" t="str">
        <x:v>true</x:v>
      </x:c>
      <x:c r="K524" s="117" t="str">
        <x:v>Own work</x:v>
      </x:c>
      <x:c r="L524" s="117" t="str">
        <x:v>Exact name or all distinctive place-name tokens in file metadata</x:v>
      </x:c>
      <x:c r="M524" s="117" t="str">
        <x:v>Not visually reviewed</x:v>
      </x:c>
      <x:c r="N524" s="117" t="str">
        <x:v>2026-09-08</x:v>
      </x:c>
    </x:row>
    <x:row r="525" ht="48" customHeight="1">
      <x:c r="A525" s="117" t="str">
        <x:v>MC0588</x:v>
      </x:c>
      <x:c r="B525" s="117" t="str">
        <x:v>Tasik Chini</x:v>
      </x:c>
      <x:c r="C525" s="117" t="n">
        <x:v>2</x:v>
      </x:c>
      <x:c r="D525" s="117" t="str">
        <x:v>https://thumb.wikimedia.org/wikipedia/commons/thumb/0/05/Tasik_chini_02.jpg/1280px-Tasik_chini_02.jpg?utm_source=commons.wikimedia.org&amp;utm_campaign=imageinfo&amp;utm_content=thumbnail</x:v>
      </x:c>
      <x:c r="E525" s="117" t="str">
        <x:v>https://commons.wikimedia.org/wiki/File:Tasik_chini_02.jpg</x:v>
      </x:c>
      <x:c r="F525" s="117" t="str">
        <x:v>File:Tasik chini 02.jpg</x:v>
      </x:c>
      <x:c r="G525" s="117" t="str">
        <x:v>Rubenjoker</x:v>
      </x:c>
      <x:c r="H525" s="117" t="str">
        <x:v>CC BY-SA 4.0</x:v>
      </x:c>
      <x:c r="I525" s="117" t="str">
        <x:v>https://creativecommons.org/licenses/by-sa/4.0</x:v>
      </x:c>
      <x:c r="J525" s="117" t="str">
        <x:v>true</x:v>
      </x:c>
      <x:c r="K525" s="117" t="str">
        <x:v>Own work</x:v>
      </x:c>
      <x:c r="L525" s="117" t="str">
        <x:v>Exact name or all distinctive place-name tokens in file metadata</x:v>
      </x:c>
      <x:c r="M525" s="117" t="str">
        <x:v>Not visually reviewed</x:v>
      </x:c>
      <x:c r="N525" s="117" t="str">
        <x:v>2026-09-08</x:v>
      </x:c>
    </x:row>
    <x:row r="526" ht="48" customHeight="1">
      <x:c r="A526" s="117" t="str">
        <x:v>MC0592</x:v>
      </x:c>
      <x:c r="B526" s="117" t="str">
        <x:v>The TOP Komtar</x:v>
      </x:c>
      <x:c r="C526" s="117" t="n">
        <x:v>1</x:v>
      </x:c>
      <x:c r="D526" s="117" t="str">
        <x:v>https://thumb.wikimedia.org/wikipedia/commons/thumb/d/d7/Komtar_at_dusk%2C_George_Town%2C_Penang.jpg/1280px-Komtar_at_dusk%2C_George_Town%2C_Penang.jpg?utm_source=commons.wikimedia.org&amp;utm_campaign=imageinfo&amp;utm_content=thumbnail</x:v>
      </x:c>
      <x:c r="E526" s="117" t="str">
        <x:v>https://commons.wikimedia.org/wiki/File:Komtar_at_dusk,_George_Town,_Penang.jpg</x:v>
      </x:c>
      <x:c r="F526" s="117" t="str">
        <x:v>File:Komtar at dusk, George Town, Penang.jpg</x:v>
      </x:c>
      <x:c r="G526" s="117" t="str">
        <x:v>HundenvonPenang</x:v>
      </x:c>
      <x:c r="H526" s="117" t="str">
        <x:v>CC BY-SA 4.0</x:v>
      </x:c>
      <x:c r="I526" s="117" t="str">
        <x:v>https://creativecommons.org/licenses/by-sa/4.0</x:v>
      </x:c>
      <x:c r="J526" s="117" t="str">
        <x:v>true</x:v>
      </x:c>
      <x:c r="K526" s="117" t="str">
        <x:v>Own work</x:v>
      </x:c>
      <x:c r="L526" s="117" t="str">
        <x:v>Exact name or all distinctive place-name tokens in file metadata</x:v>
      </x:c>
      <x:c r="M526" s="117" t="str">
        <x:v>Not visually reviewed</x:v>
      </x:c>
      <x:c r="N526" s="117" t="str">
        <x:v>2026-09-08</x:v>
      </x:c>
    </x:row>
    <x:row r="527" ht="48" customHeight="1">
      <x:c r="A527" s="117" t="str">
        <x:v>MC0592</x:v>
      </x:c>
      <x:c r="B527" s="117" t="str">
        <x:v>The TOP Komtar</x:v>
      </x:c>
      <x:c r="C527" s="117" t="n">
        <x:v>2</x:v>
      </x:c>
      <x:c r="D527" s="117" t="str">
        <x:v>https://thumb.wikimedia.org/wikipedia/commons/thumb/9/9c/Komtar%2C_2024_%28retouched%2C_3to4_portrait%29.jpg/1280px-Komtar%2C_2024_%28retouched%2C_3to4_portrait%29.jpg?utm_source=commons.wikimedia.org&amp;utm_campaign=imageinfo&amp;utm_content=thumbnail</x:v>
      </x:c>
      <x:c r="E527" s="117" t="str">
        <x:v>https://commons.wikimedia.org/wiki/File:Komtar,_2024_(retouched,_3to4_portrait).jpg</x:v>
      </x:c>
      <x:c r="F527" s="117" t="str">
        <x:v>File:Komtar, 2024 (retouched, 3to4 portrait).jpg</x:v>
      </x:c>
      <x:c r="G527" s="117" t="str">
        <x:v>HundenvonPenang at English Wikipedia</x:v>
      </x:c>
      <x:c r="H527" s="117" t="str">
        <x:v>CC BY-SA 4.0</x:v>
      </x:c>
      <x:c r="I527" s="117" t="str">
        <x:v>https://creativecommons.org/licenses/by-sa/4.0</x:v>
      </x:c>
      <x:c r="J527" s="117" t="str">
        <x:v>true</x:v>
      </x:c>
      <x:c r="K527" s="117" t="str">
        <x:v>Own work</x:v>
      </x:c>
      <x:c r="L527" s="117" t="str">
        <x:v>Exact name or all distinctive place-name tokens in file metadata</x:v>
      </x:c>
      <x:c r="M527" s="117" t="str">
        <x:v>Not visually reviewed</x:v>
      </x:c>
      <x:c r="N527" s="117" t="str">
        <x:v>2026-09-08</x:v>
      </x:c>
    </x:row>
    <x:row r="528" ht="48" customHeight="1">
      <x:c r="A528" s="117" t="str">
        <x:v>MC0593</x:v>
      </x:c>
      <x:c r="B528" s="117" t="str">
        <x:v>Dhammikarama Burmese Temple</x:v>
      </x:c>
      <x:c r="C528" s="117" t="n">
        <x:v>1</x:v>
      </x:c>
      <x:c r="D528" s="117" t="str">
        <x:v>https://thumb.wikimedia.org/wikipedia/commons/thumb/e/e8/Penang_Malaysia_Dhammikarama-Burmese-Buddhist-Temple-02.jpg/1280px-Penang_Malaysia_Dhammikarama-Burmese-Buddhist-Temple-02.jpg?utm_source=commons.wikimedia.org&amp;utm_campaign=imageinfo&amp;utm_content=thumbnail</x:v>
      </x:c>
      <x:c r="E528" s="117" t="str">
        <x:v>https://commons.wikimedia.org/wiki/File:Penang_Malaysia_Dhammikarama-Burmese-Buddhist-Temple-02.jpg</x:v>
      </x:c>
      <x:c r="F528" s="117" t="str">
        <x:v>File:Penang Malaysia Dhammikarama-Burmese-Buddhist-Temple-02.jpg</x:v>
      </x:c>
      <x:c r="G528" s="117" t="str">
        <x:v>CEphoto, Uwe Aranas</x:v>
      </x:c>
      <x:c r="H528" s="117" t="str">
        <x:v>CC BY-SA 3.0</x:v>
      </x:c>
      <x:c r="I528" s="117" t="str">
        <x:v>https://creativecommons.org/licenses/by-sa/3.0</x:v>
      </x:c>
      <x:c r="J528" s="117" t="str">
        <x:v>true</x:v>
      </x:c>
      <x:c r="K528" s="117" t="str">
        <x:v>Own work</x:v>
      </x:c>
      <x:c r="L528" s="117" t="str">
        <x:v>Exact name or all distinctive place-name tokens in file metadata</x:v>
      </x:c>
      <x:c r="M528" s="117" t="str">
        <x:v>Not visually reviewed</x:v>
      </x:c>
      <x:c r="N528" s="117" t="str">
        <x:v>2026-09-08</x:v>
      </x:c>
    </x:row>
    <x:row r="529" ht="48" customHeight="1">
      <x:c r="A529" s="117" t="str">
        <x:v>MC0593</x:v>
      </x:c>
      <x:c r="B529" s="117" t="str">
        <x:v>Dhammikarama Burmese Temple</x:v>
      </x:c>
      <x:c r="C529" s="117" t="n">
        <x:v>2</x:v>
      </x:c>
      <x:c r="D529" s="117" t="str">
        <x:v>https://thumb.wikimedia.org/wikipedia/commons/thumb/9/91/Penang_-_large_Buddha_statue_at_Burmese_Temple_-_May_2024.jpg/1280px-Penang_-_large_Buddha_statue_at_Burmese_Temple_-_May_2024.jpg?utm_source=commons.wikimedia.org&amp;utm_campaign=imageinfo&amp;utm_content=thumbnail</x:v>
      </x:c>
      <x:c r="E529" s="117" t="str">
        <x:v>https://commons.wikimedia.org/wiki/File:Penang_-_large_Buddha_statue_at_Burmese_Temple_-_May_2024.jpg</x:v>
      </x:c>
      <x:c r="F529" s="117" t="str">
        <x:v>File:Penang - large Buddha statue at Burmese Temple - May 2024.jpg</x:v>
      </x:c>
      <x:c r="G529" s="117" t="str">
        <x:v>Dominic Nelson</x:v>
      </x:c>
      <x:c r="H529" s="117" t="str">
        <x:v>CC BY-SA 4.0</x:v>
      </x:c>
      <x:c r="I529" s="117" t="str">
        <x:v>https://creativecommons.org/licenses/by-sa/4.0</x:v>
      </x:c>
      <x:c r="J529" s="117" t="str">
        <x:v>true</x:v>
      </x:c>
      <x:c r="K529" s="117" t="str">
        <x:v>Own work</x:v>
      </x:c>
      <x:c r="L529" s="117" t="str">
        <x:v>Exact name or all distinctive place-name tokens in file metadata</x:v>
      </x:c>
      <x:c r="M529" s="117" t="str">
        <x:v>Not visually reviewed</x:v>
      </x:c>
      <x:c r="N529" s="117" t="str">
        <x:v>2026-09-08</x:v>
      </x:c>
    </x:row>
    <x:row r="530" ht="48" customHeight="1">
      <x:c r="A530" s="117" t="str">
        <x:v>MC0594</x:v>
      </x:c>
      <x:c r="B530" s="117" t="str">
        <x:v>Goddess of Mercy Temple</x:v>
      </x:c>
      <x:c r="C530" s="117" t="n">
        <x:v>1</x:v>
      </x:c>
      <x:c r="D530" s="117" t="str">
        <x:v>https://thumb.wikimedia.org/wikipedia/commons/thumb/d/d6/Goddess_of_Mercy_Temple%2C_Georgetown%2C_Penang%2C_Malaysia_%285257646542%29.jpg/1280px-Goddess_of_Mercy_Temple%2C_Georgetown%2C_Penang%2C_Malaysia_%285257646542%29.jpg?utm_source=commons.wikimedia.org&amp;utm_campaign=imageinfo&amp;utm_content=thumbnail</x:v>
      </x:c>
      <x:c r="E530" s="117" t="str">
        <x:v>https://commons.wikimedia.org/wiki/File:Goddess_of_Mercy_Temple,_Georgetown,_Penang,_Malaysia_(5257646542).jpg</x:v>
      </x:c>
      <x:c r="F530" s="117" t="str">
        <x:v>File:Goddess of Mercy Temple, Georgetown, Penang, Malaysia (5257646542).jpg</x:v>
      </x:c>
      <x:c r="G530" s="117" t="str">
        <x:v>yeowatzup</x:v>
      </x:c>
      <x:c r="H530" s="117" t="str">
        <x:v>CC BY 2.0</x:v>
      </x:c>
      <x:c r="I530" s="117" t="str">
        <x:v>https://creativecommons.org/licenses/by/2.0</x:v>
      </x:c>
      <x:c r="J530" s="117" t="str">
        <x:v>true</x:v>
      </x:c>
      <x:c r="K530" s="117" t="str">
        <x:v>Goddess of Mercy Temple, Georgetown, Penang, Malaysia</x:v>
      </x:c>
      <x:c r="L530" s="117" t="str">
        <x:v>Exact name or all distinctive place-name tokens in file metadata</x:v>
      </x:c>
      <x:c r="M530" s="117" t="str">
        <x:v>Not visually reviewed</x:v>
      </x:c>
      <x:c r="N530" s="117" t="str">
        <x:v>2026-09-08</x:v>
      </x:c>
    </x:row>
    <x:row r="531" ht="48" customHeight="1">
      <x:c r="A531" s="117" t="str">
        <x:v>MC0594</x:v>
      </x:c>
      <x:c r="B531" s="117" t="str">
        <x:v>Goddess of Mercy Temple</x:v>
      </x:c>
      <x:c r="C531" s="117" t="n">
        <x:v>2</x:v>
      </x:c>
      <x:c r="D531" s="117" t="str">
        <x:v>https://thumb.wikimedia.org/wikipedia/commons/thumb/a/ae/Goddess_Of_Mercy_Temple_2.jpg/1280px-Goddess_Of_Mercy_Temple_2.jpg?utm_source=commons.wikimedia.org&amp;utm_campaign=imageinfo&amp;utm_content=thumbnail</x:v>
      </x:c>
      <x:c r="E531" s="117" t="str">
        <x:v>https://commons.wikimedia.org/wiki/File:Goddess_Of_Mercy_Temple_2.jpg</x:v>
      </x:c>
      <x:c r="F531" s="117" t="str">
        <x:v>File:Goddess Of Mercy Temple 2.jpg</x:v>
      </x:c>
      <x:c r="G531" s="117" t="str">
        <x:v>Christophe95</x:v>
      </x:c>
      <x:c r="H531" s="117" t="str">
        <x:v>CC BY-SA 4.0</x:v>
      </x:c>
      <x:c r="I531" s="117" t="str">
        <x:v>https://creativecommons.org/licenses/by-sa/4.0</x:v>
      </x:c>
      <x:c r="J531" s="117" t="str">
        <x:v>true</x:v>
      </x:c>
      <x:c r="K531" s="117" t="str">
        <x:v>Own work</x:v>
      </x:c>
      <x:c r="L531" s="117" t="str">
        <x:v>Exact name or all distinctive place-name tokens in file metadata</x:v>
      </x:c>
      <x:c r="M531" s="117" t="str">
        <x:v>Not visually reviewed</x:v>
      </x:c>
      <x:c r="N531" s="117" t="str">
        <x:v>2026-09-08</x:v>
      </x:c>
    </x:row>
    <x:row r="532" ht="48" customHeight="1">
      <x:c r="A532" s="117" t="str">
        <x:v>MC0595</x:v>
      </x:c>
      <x:c r="B532" s="117" t="str">
        <x:v>Kapitan Keling Mosque</x:v>
      </x:c>
      <x:c r="C532" s="117" t="n">
        <x:v>1</x:v>
      </x:c>
      <x:c r="D532" s="117" t="str">
        <x:v>https://thumb.wikimedia.org/wikipedia/commons/thumb/a/ac/Kapitan_Keling_Mosque.jpg/1280px-Kapitan_Keling_Mosque.jpg?utm_source=commons.wikimedia.org&amp;utm_campaign=imageinfo&amp;utm_content=thumbnail</x:v>
      </x:c>
      <x:c r="E532" s="117" t="str">
        <x:v>https://commons.wikimedia.org/wiki/File:Kapitan_Keling_Mosque.jpg</x:v>
      </x:c>
      <x:c r="F532" s="117" t="str">
        <x:v>File:Kapitan Keling Mosque.jpg</x:v>
      </x:c>
      <x:c r="G532" s="117" t="str">
        <x:v>Mohammed Al-Naser</x:v>
      </x:c>
      <x:c r="H532" s="117" t="str">
        <x:v>CC BY 2.0</x:v>
      </x:c>
      <x:c r="I532" s="117" t="str">
        <x:v>https://creativecommons.org/licenses/by/2.0</x:v>
      </x:c>
      <x:c r="J532" s="117" t="str">
        <x:v>true</x:v>
      </x:c>
      <x:c r="K532" s="117" t="str">
        <x:v>originally posted to Flickr as ~ Penang ~</x:v>
      </x:c>
      <x:c r="L532" s="117" t="str">
        <x:v>Exact name or all distinctive place-name tokens in file metadata</x:v>
      </x:c>
      <x:c r="M532" s="117" t="str">
        <x:v>Not visually reviewed</x:v>
      </x:c>
      <x:c r="N532" s="117" t="str">
        <x:v>2026-09-08</x:v>
      </x:c>
    </x:row>
    <x:row r="533" ht="48" customHeight="1">
      <x:c r="A533" s="117" t="str">
        <x:v>MC0595</x:v>
      </x:c>
      <x:c r="B533" s="117" t="str">
        <x:v>Kapitan Keling Mosque</x:v>
      </x:c>
      <x:c r="C533" s="117" t="n">
        <x:v>2</x:v>
      </x:c>
      <x:c r="D533" s="117" t="str">
        <x:v>https://thumb.wikimedia.org/wikipedia/commons/thumb/0/07/Kapitan_Keling_Mosque_during_the_1867_Penang_Riots.jpg/1280px-Kapitan_Keling_Mosque_during_the_1867_Penang_Riots.jpg?utm_source=commons.wikimedia.org&amp;utm_campaign=imageinfo&amp;utm_content=thumbnail</x:v>
      </x:c>
      <x:c r="E533" s="117" t="str">
        <x:v>https://commons.wikimedia.org/wiki/File:Kapitan_Keling_Mosque_during_the_1867_Penang_Riots.jpg</x:v>
      </x:c>
      <x:c r="F533" s="117" t="str">
        <x:v>File:Kapitan Keling Mosque during the 1867 Penang Riots.jpg</x:v>
      </x:c>
      <x:c r="G533" s="117" t="str">
        <x:v>Kristen Feilberg</x:v>
      </x:c>
      <x:c r="H533" s="117" t="str">
        <x:v>Public domain</x:v>
      </x:c>
      <x:c r="I533" s="117" t="str"/>
      <x:c r="J533" s="117" t="str">
        <x:v>false</x:v>
      </x:c>
      <x:c r="K533" s="117" t="str">
        <x:v>Royal Collection Trust</x:v>
      </x:c>
      <x:c r="L533" s="117" t="str">
        <x:v>Exact name or all distinctive place-name tokens in file metadata</x:v>
      </x:c>
      <x:c r="M533" s="117" t="str">
        <x:v>Not visually reviewed</x:v>
      </x:c>
      <x:c r="N533" s="117" t="str">
        <x:v>2026-09-08</x:v>
      </x:c>
    </x:row>
    <x:row r="534" ht="48" customHeight="1">
      <x:c r="A534" s="117" t="str">
        <x:v>MC0596</x:v>
      </x:c>
      <x:c r="B534" s="117" t="str">
        <x:v>Little India Penang</x:v>
      </x:c>
      <x:c r="C534" s="117" t="n">
        <x:v>1</x:v>
      </x:c>
      <x:c r="D534" s="117" t="str">
        <x:v>https://thumb.wikimedia.org/wikipedia/commons/thumb/c/cb/Penang_Malaysia_Nagore-Durgha-Sheriff-01.jpg/1280px-Penang_Malaysia_Nagore-Durgha-Sheriff-01.jpg?utm_source=commons.wikimedia.org&amp;utm_campaign=imageinfo&amp;utm_content=thumbnail</x:v>
      </x:c>
      <x:c r="E534" s="117" t="str">
        <x:v>https://commons.wikimedia.org/wiki/File:Penang_Malaysia_Nagore-Durgha-Sheriff-01.jpg</x:v>
      </x:c>
      <x:c r="F534" s="117" t="str">
        <x:v>File:Penang Malaysia Nagore-Durgha-Sheriff-01.jpg</x:v>
      </x:c>
      <x:c r="G534" s="117" t="str">
        <x:v>CEphoto, Uwe Aranas</x:v>
      </x:c>
      <x:c r="H534" s="117" t="str">
        <x:v>CC BY-SA 3.0</x:v>
      </x:c>
      <x:c r="I534" s="117" t="str">
        <x:v>https://creativecommons.org/licenses/by-sa/3.0</x:v>
      </x:c>
      <x:c r="J534" s="117" t="str">
        <x:v>true</x:v>
      </x:c>
      <x:c r="K534" s="117" t="str">
        <x:v>Own work</x:v>
      </x:c>
      <x:c r="L534" s="117" t="str">
        <x:v>Exact name or all distinctive place-name tokens in file metadata</x:v>
      </x:c>
      <x:c r="M534" s="117" t="str">
        <x:v>Not visually reviewed</x:v>
      </x:c>
      <x:c r="N534" s="117" t="str">
        <x:v>2026-09-08</x:v>
      </x:c>
    </x:row>
    <x:row r="535" ht="48" customHeight="1">
      <x:c r="A535" s="117" t="str">
        <x:v>MC0596</x:v>
      </x:c>
      <x:c r="B535" s="117" t="str">
        <x:v>Little India Penang</x:v>
      </x:c>
      <x:c r="C535" s="117" t="n">
        <x:v>2</x:v>
      </x:c>
      <x:c r="D535" s="117" t="str">
        <x:v>https://thumb.wikimedia.org/wikipedia/commons/thumb/1/1b/Penanglittleindia8.jpeg/1280px-Penanglittleindia8.jpeg?utm_source=commons.wikimedia.org&amp;utm_campaign=imageinfo&amp;utm_content=thumbnail</x:v>
      </x:c>
      <x:c r="E535" s="117" t="str">
        <x:v>https://commons.wikimedia.org/wiki/File:Penanglittleindia8.jpeg</x:v>
      </x:c>
      <x:c r="F535" s="117" t="str">
        <x:v>File:Penanglittleindia8.jpeg</x:v>
      </x:c>
      <x:c r="G535" s="117" t="str">
        <x:v>Visnu92 (talk) (Uploads)</x:v>
      </x:c>
      <x:c r="H535" s="117" t="str">
        <x:v>CC0</x:v>
      </x:c>
      <x:c r="I535" s="117" t="str">
        <x:v>http://creativecommons.org/publicdomain/zero/1.0/deed.en</x:v>
      </x:c>
      <x:c r="J535" s="117" t="str">
        <x:v>false</x:v>
      </x:c>
      <x:c r="K535" s="117" t="str">
        <x:v>Own work</x:v>
      </x:c>
      <x:c r="L535" s="117" t="str">
        <x:v>Exact name or all distinctive place-name tokens in file metadata</x:v>
      </x:c>
      <x:c r="M535" s="117" t="str">
        <x:v>Not visually reviewed</x:v>
      </x:c>
      <x:c r="N535" s="117" t="str">
        <x:v>2026-09-08</x:v>
      </x:c>
    </x:row>
    <x:row r="536" ht="48" customHeight="1">
      <x:c r="A536" s="117" t="str">
        <x:v>MC0598</x:v>
      </x:c>
      <x:c r="B536" s="117" t="str">
        <x:v>Sri Mahamariamman Temple</x:v>
      </x:c>
      <x:c r="C536" s="117" t="n">
        <x:v>1</x:v>
      </x:c>
      <x:c r="D536" s="117" t="str">
        <x:v>https://thumb.wikimedia.org/wikipedia/commons/thumb/b/b4/Sri_Mahamariamman_Temple_Kuala_Lumpur.jpg/1280px-Sri_Mahamariamman_Temple_Kuala_Lumpur.jpg?utm_source=commons.wikimedia.org&amp;utm_campaign=imageinfo&amp;utm_content=thumbnail</x:v>
      </x:c>
      <x:c r="E536" s="117" t="str">
        <x:v>https://commons.wikimedia.org/wiki/File:Sri_Mahamariamman_Temple_Kuala_Lumpur.jpg</x:v>
      </x:c>
      <x:c r="F536" s="117" t="str">
        <x:v>File:Sri Mahamariamman Temple Kuala Lumpur.jpg</x:v>
      </x:c>
      <x:c r="G536" s="117" t="str">
        <x:v>Philip Nalangan</x:v>
      </x:c>
      <x:c r="H536" s="117" t="str">
        <x:v>CC BY 4.0</x:v>
      </x:c>
      <x:c r="I536" s="117" t="str">
        <x:v>https://creativecommons.org/licenses/by/4.0</x:v>
      </x:c>
      <x:c r="J536" s="117" t="str">
        <x:v>true</x:v>
      </x:c>
      <x:c r="K536" s="117" t="str">
        <x:v>Own work</x:v>
      </x:c>
      <x:c r="L536" s="117" t="str">
        <x:v>Exact name or all distinctive place-name tokens in file metadata</x:v>
      </x:c>
      <x:c r="M536" s="117" t="str">
        <x:v>Not visually reviewed</x:v>
      </x:c>
      <x:c r="N536" s="117" t="str">
        <x:v>2026-09-08</x:v>
      </x:c>
    </x:row>
    <x:row r="537" ht="48" customHeight="1">
      <x:c r="A537" s="117" t="str">
        <x:v>MC0598</x:v>
      </x:c>
      <x:c r="B537" s="117" t="str">
        <x:v>Sri Mahamariamman Temple</x:v>
      </x:c>
      <x:c r="C537" s="117" t="n">
        <x:v>2</x:v>
      </x:c>
      <x:c r="D537" s="117" t="str">
        <x:v>https://thumb.wikimedia.org/wikipedia/commons/thumb/6/67/Sri_Mahamariamman_Temple_3.jpg/1280px-Sri_Mahamariamman_Temple_3.jpg?utm_source=commons.wikimedia.org&amp;utm_campaign=imageinfo&amp;utm_content=thumbnail</x:v>
      </x:c>
      <x:c r="E537" s="117" t="str">
        <x:v>https://commons.wikimedia.org/wiki/File:Sri_Mahamariamman_Temple_3.jpg</x:v>
      </x:c>
      <x:c r="F537" s="117" t="str">
        <x:v>File:Sri Mahamariamman Temple 3.jpg</x:v>
      </x:c>
      <x:c r="G537" s="117" t="str">
        <x:v>Georift</x:v>
      </x:c>
      <x:c r="H537" s="117" t="str">
        <x:v>CC BY-SA 4.0</x:v>
      </x:c>
      <x:c r="I537" s="117" t="str">
        <x:v>https://creativecommons.org/licenses/by-sa/4.0</x:v>
      </x:c>
      <x:c r="J537" s="117" t="str">
        <x:v>true</x:v>
      </x:c>
      <x:c r="K537" s="117" t="str">
        <x:v>Own work</x:v>
      </x:c>
      <x:c r="L537" s="117" t="str">
        <x:v>Exact name or all distinctive place-name tokens in file metadata</x:v>
      </x:c>
      <x:c r="M537" s="117" t="str">
        <x:v>Not visually reviewed</x:v>
      </x:c>
      <x:c r="N537" s="117" t="str">
        <x:v>2026-09-08</x:v>
      </x:c>
    </x:row>
    <x:row r="538" ht="48" customHeight="1">
      <x:c r="A538" s="117" t="str">
        <x:v>MC0599</x:v>
      </x:c>
      <x:c r="B538" s="117" t="str">
        <x:v>St George Church</x:v>
      </x:c>
      <x:c r="C538" s="117" t="n">
        <x:v>1</x:v>
      </x:c>
      <x:c r="D538" s="117" t="str">
        <x:v>https://thumb.wikimedia.org/wikipedia/commons/thumb/6/69/Kirche_St._Georg%2C_Insel_Reichenau.jpg/1280px-Kirche_St._Georg%2C_Insel_Reichenau.jpg?utm_source=commons.wikimedia.org&amp;utm_campaign=imageinfo&amp;utm_content=thumbnail</x:v>
      </x:c>
      <x:c r="E538" s="117" t="str">
        <x:v>https://commons.wikimedia.org/wiki/File:Kirche_St._Georg,_Insel_Reichenau.jpg</x:v>
      </x:c>
      <x:c r="F538" s="117" t="str">
        <x:v>File:Kirche St. Georg, Insel Reichenau.jpg</x:v>
      </x:c>
      <x:c r="G538" s="117" t="str">
        <x:v>JoachimKohler-HB</x:v>
      </x:c>
      <x:c r="H538" s="117" t="str">
        <x:v>CC BY-SA 4.0</x:v>
      </x:c>
      <x:c r="I538" s="117" t="str">
        <x:v>https://creativecommons.org/licenses/by-sa/4.0</x:v>
      </x:c>
      <x:c r="J538" s="117" t="str">
        <x:v>true</x:v>
      </x:c>
      <x:c r="K538" s="117" t="str">
        <x:v>Own work</x:v>
      </x:c>
      <x:c r="L538" s="117" t="str">
        <x:v>Exact name or all distinctive place-name tokens in file metadata</x:v>
      </x:c>
      <x:c r="M538" s="117" t="str">
        <x:v>Not visually reviewed</x:v>
      </x:c>
      <x:c r="N538" s="117" t="str">
        <x:v>2026-09-08</x:v>
      </x:c>
    </x:row>
    <x:row r="539" ht="48" customHeight="1">
      <x:c r="A539" s="117" t="str">
        <x:v>MC0599</x:v>
      </x:c>
      <x:c r="B539" s="117" t="str">
        <x:v>St George Church</x:v>
      </x:c>
      <x:c r="C539" s="117" t="n">
        <x:v>2</x:v>
      </x:c>
      <x:c r="D539" s="117" t="str">
        <x:v>https://upload.wikimedia.org/wikipedia/commons/5/5f/St._George%27s_Church%2C_Clun_-_geograph.org.uk_-_1247416.jpg?utm_source=commons.wikimedia.org&amp;utm_campaign=imageinfo&amp;utm_content=thumbnail_unscaled</x:v>
      </x:c>
      <x:c r="E539" s="117" t="str">
        <x:v>https://commons.wikimedia.org/wiki/File:St._George%27s_Church,_Clun_-_geograph.org.uk_-_1247416.jpg</x:v>
      </x:c>
      <x:c r="F539" s="117" t="str">
        <x:v>File:St. George's Church, Clun - geograph.org.uk - 1247416.jpg</x:v>
      </x:c>
      <x:c r="G539" s="117" t="str">
        <x:v>Row17</x:v>
      </x:c>
      <x:c r="H539" s="117" t="str">
        <x:v>CC BY-SA 2.0</x:v>
      </x:c>
      <x:c r="I539" s="117" t="str">
        <x:v>https://creativecommons.org/licenses/by-sa/2.0</x:v>
      </x:c>
      <x:c r="J539" s="117" t="str">
        <x:v>true</x:v>
      </x:c>
      <x:c r="K539" s="117" t="str">
        <x:v>From geograph.org.uk; transferred by User:Kurpfalzbilder.de using geograph_org2commons.</x:v>
      </x:c>
      <x:c r="L539" s="117" t="str">
        <x:v>Exact name or all distinctive place-name tokens in file metadata</x:v>
      </x:c>
      <x:c r="M539" s="117" t="str">
        <x:v>Not visually reviewed</x:v>
      </x:c>
      <x:c r="N539" s="117" t="str">
        <x:v>2026-09-08</x:v>
      </x:c>
    </x:row>
    <x:row r="540" ht="48" customHeight="1">
      <x:c r="A540" s="117" t="str">
        <x:v>MC0602</x:v>
      </x:c>
      <x:c r="B540" s="117" t="str">
        <x:v>Sun Yat Sen Museum</x:v>
      </x:c>
      <x:c r="C540" s="117" t="n">
        <x:v>1</x:v>
      </x:c>
      <x:c r="D540" s="117" t="str">
        <x:v>https://thumb.wikimedia.org/wikipedia/commons/thumb/d/dc/Sun_Yat-sen_Penang_Base.JPG/1280px-Sun_Yat-sen_Penang_Base.JPG?utm_source=commons.wikimedia.org&amp;utm_campaign=imageinfo&amp;utm_content=thumbnail</x:v>
      </x:c>
      <x:c r="E540" s="117" t="str">
        <x:v>https://commons.wikimedia.org/wiki/File:Sun_Yat-sen_Penang_Base.JPG</x:v>
      </x:c>
      <x:c r="F540" s="117" t="str">
        <x:v>File:Sun Yat-sen Penang Base.JPG</x:v>
      </x:c>
      <x:c r="G540" s="117" t="str">
        <x:v>Chongkian</x:v>
      </x:c>
      <x:c r="H540" s="117" t="str">
        <x:v>CC BY-SA 3.0</x:v>
      </x:c>
      <x:c r="I540" s="117" t="str">
        <x:v>https://creativecommons.org/licenses/by-sa/3.0</x:v>
      </x:c>
      <x:c r="J540" s="117" t="str">
        <x:v>true</x:v>
      </x:c>
      <x:c r="K540" s="117" t="str">
        <x:v>Own work</x:v>
      </x:c>
      <x:c r="L540" s="117" t="str">
        <x:v>Exact name or all distinctive place-name tokens in file metadata</x:v>
      </x:c>
      <x:c r="M540" s="117" t="str">
        <x:v>Not visually reviewed</x:v>
      </x:c>
      <x:c r="N540" s="117" t="str">
        <x:v>2026-09-08</x:v>
      </x:c>
    </x:row>
    <x:row r="541" ht="48" customHeight="1">
      <x:c r="A541" s="117" t="str">
        <x:v>MC0602</x:v>
      </x:c>
      <x:c r="B541" s="117" t="str">
        <x:v>Sun Yat Sen Museum</x:v>
      </x:c>
      <x:c r="C541" s="117" t="n">
        <x:v>2</x:v>
      </x:c>
      <x:c r="D541" s="117" t="str">
        <x:v>https://thumb.wikimedia.org/wikipedia/commons/thumb/d/d6/Sun_Yat-sen_Museum_Penang_%28I%29.jpg/1280px-Sun_Yat-sen_Museum_Penang_%28I%29.jpg?utm_source=commons.wikimedia.org&amp;utm_campaign=imageinfo&amp;utm_content=thumbnail</x:v>
      </x:c>
      <x:c r="E541" s="117" t="str">
        <x:v>https://commons.wikimedia.org/wiki/File:Sun_Yat-sen_Museum_Penang_(I).jpg</x:v>
      </x:c>
      <x:c r="F541" s="117" t="str">
        <x:v>File:Sun Yat-sen Museum Penang (I).jpg</x:v>
      </x:c>
      <x:c r="G541" s="117" t="str">
        <x:v>This Photo was taken by Supanut Arunoprayote.
Feel free to use any of my images, but please mention me as the author and may send me a message.  (สามารถใช้ภาพได้อิสระ แต่กรุณาใส่เครดิตผู้ถ่ายและอาจส่งข้อความบอกกล่าวด้วย) 
Please do not upload an updated image here without consultation with the Author. The author would like to make corrections only at his own source. This ensures that the changes are preserved.Please if you think that any changes should be required, please inform the author.Otherwise you can upload a new image with a new name. Please use one of the templates derivative or extract.</x:v>
      </x:c>
      <x:c r="H541" s="117" t="str">
        <x:v>CC BY 4.0</x:v>
      </x:c>
      <x:c r="I541" s="117" t="str">
        <x:v>https://creativecommons.org/licenses/by/4.0</x:v>
      </x:c>
      <x:c r="J541" s="117" t="str">
        <x:v>true</x:v>
      </x:c>
      <x:c r="K541" s="117" t="str">
        <x:v>Own work</x:v>
      </x:c>
      <x:c r="L541" s="117" t="str">
        <x:v>Exact name or all distinctive place-name tokens in file metadata</x:v>
      </x:c>
      <x:c r="M541" s="117" t="str">
        <x:v>Not visually reviewed</x:v>
      </x:c>
      <x:c r="N541" s="117" t="str">
        <x:v>2026-09-08</x:v>
      </x:c>
    </x:row>
    <x:row r="542" ht="48" customHeight="1">
      <x:c r="A542" s="117" t="str">
        <x:v>MC0604</x:v>
      </x:c>
      <x:c r="B542" s="117" t="str">
        <x:v>Wat Chayamangkalaram</x:v>
      </x:c>
      <x:c r="C542" s="117" t="n">
        <x:v>1</x:v>
      </x:c>
      <x:c r="D542" s="117" t="str">
        <x:v>https://thumb.wikimedia.org/wikipedia/commons/thumb/4/4d/Wat_Chaiyamangkalaram_stupa.jpg/1280px-Wat_Chaiyamangkalaram_stupa.jpg?utm_source=commons.wikimedia.org&amp;utm_campaign=imageinfo&amp;utm_content=thumbnail</x:v>
      </x:c>
      <x:c r="E542" s="117" t="str">
        <x:v>https://commons.wikimedia.org/wiki/File:Wat_Chaiyamangkalaram_stupa.jpg</x:v>
      </x:c>
      <x:c r="F542" s="117" t="str">
        <x:v>File:Wat Chaiyamangkalaram stupa.jpg</x:v>
      </x:c>
      <x:c r="G542" s="117" t="str">
        <x:v>HundenvonPenang</x:v>
      </x:c>
      <x:c r="H542" s="117" t="str">
        <x:v>CC BY-SA 4.0</x:v>
      </x:c>
      <x:c r="I542" s="117" t="str">
        <x:v>https://creativecommons.org/licenses/by-sa/4.0</x:v>
      </x:c>
      <x:c r="J542" s="117" t="str">
        <x:v>true</x:v>
      </x:c>
      <x:c r="K542" s="117" t="str">
        <x:v>Own work</x:v>
      </x:c>
      <x:c r="L542" s="117" t="str">
        <x:v>Exact name or all distinctive place-name tokens in file metadata</x:v>
      </x:c>
      <x:c r="M542" s="117" t="str">
        <x:v>Not visually reviewed</x:v>
      </x:c>
      <x:c r="N542" s="117" t="str">
        <x:v>2026-09-08</x:v>
      </x:c>
    </x:row>
    <x:row r="543" ht="48" customHeight="1">
      <x:c r="A543" s="117" t="str">
        <x:v>MC0604</x:v>
      </x:c>
      <x:c r="B543" s="117" t="str">
        <x:v>Wat Chayamangkalaram</x:v>
      </x:c>
      <x:c r="C543" s="117" t="n">
        <x:v>2</x:v>
      </x:c>
      <x:c r="D543" s="117" t="str">
        <x:v>https://thumb.wikimedia.org/wikipedia/commons/thumb/8/81/Wat_Chayamangkalaram-_overview_%2812290318285%29.jpg/1280px-Wat_Chayamangkalaram-_overview_%2812290318285%29.jpg?utm_source=commons.wikimedia.org&amp;utm_campaign=imageinfo&amp;utm_content=thumbnail</x:v>
      </x:c>
      <x:c r="E543" s="117" t="str">
        <x:v>https://commons.wikimedia.org/wiki/File:Wat_Chayamangkalaram-_overview_(12290318285).jpg</x:v>
      </x:c>
      <x:c r="F543" s="117" t="str">
        <x:v>File:Wat Chayamangkalaram- overview (12290318285).jpg</x:v>
      </x:c>
      <x:c r="G543" s="117" t="str">
        <x:v>shankar s. from Dubai, united arab emirates</x:v>
      </x:c>
      <x:c r="H543" s="117" t="str">
        <x:v>CC BY 2.0</x:v>
      </x:c>
      <x:c r="I543" s="117" t="str">
        <x:v>https://creativecommons.org/licenses/by/2.0</x:v>
      </x:c>
      <x:c r="J543" s="117" t="str">
        <x:v>true</x:v>
      </x:c>
      <x:c r="K543" s="117" t="str">
        <x:v>Wat Chayamangkalaram- overview</x:v>
      </x:c>
      <x:c r="L543" s="117" t="str">
        <x:v>Exact name or all distinctive place-name tokens in file metadata</x:v>
      </x:c>
      <x:c r="M543" s="117" t="str">
        <x:v>Not visually reviewed</x:v>
      </x:c>
      <x:c r="N543" s="117" t="str">
        <x:v>2026-09-08</x:v>
      </x:c>
    </x:row>
    <x:row r="544" ht="48" customHeight="1">
      <x:c r="A544" s="117" t="str">
        <x:v>MC0607</x:v>
      </x:c>
      <x:c r="B544" s="117" t="str">
        <x:v>Cheah Kongsi</x:v>
      </x:c>
      <x:c r="C544" s="117" t="n">
        <x:v>1</x:v>
      </x:c>
      <x:c r="D544" s="117" t="str">
        <x:v>https://thumb.wikimedia.org/wikipedia/commons/thumb/e/e0/Cheah_Kongsi_temple_at_night%2C_George_Town.jpg/1280px-Cheah_Kongsi_temple_at_night%2C_George_Town.jpg?utm_source=commons.wikimedia.org&amp;utm_campaign=imageinfo&amp;utm_content=thumbnail</x:v>
      </x:c>
      <x:c r="E544" s="117" t="str">
        <x:v>https://commons.wikimedia.org/wiki/File:Cheah_Kongsi_temple_at_night,_George_Town.jpg</x:v>
      </x:c>
      <x:c r="F544" s="117" t="str">
        <x:v>File:Cheah Kongsi temple at night, George Town.jpg</x:v>
      </x:c>
      <x:c r="G544" s="117" t="str">
        <x:v>Deepak-nsk</x:v>
      </x:c>
      <x:c r="H544" s="117" t="str">
        <x:v>CC0</x:v>
      </x:c>
      <x:c r="I544" s="117" t="str">
        <x:v>http://creativecommons.org/publicdomain/zero/1.0/deed.en</x:v>
      </x:c>
      <x:c r="J544" s="117" t="str">
        <x:v>false</x:v>
      </x:c>
      <x:c r="K544" s="117" t="str">
        <x:v>Own work</x:v>
      </x:c>
      <x:c r="L544" s="117" t="str">
        <x:v>Exact name or all distinctive place-name tokens in file metadata</x:v>
      </x:c>
      <x:c r="M544" s="117" t="str">
        <x:v>Not visually reviewed</x:v>
      </x:c>
      <x:c r="N544" s="117" t="str">
        <x:v>2026-09-08</x:v>
      </x:c>
    </x:row>
    <x:row r="545" ht="48" customHeight="1">
      <x:c r="A545" s="117" t="str">
        <x:v>MC0607</x:v>
      </x:c>
      <x:c r="B545" s="117" t="str">
        <x:v>Cheah Kongsi</x:v>
      </x:c>
      <x:c r="C545" s="117" t="n">
        <x:v>2</x:v>
      </x:c>
      <x:c r="D545" s="117" t="str">
        <x:v>https://thumb.wikimedia.org/wikipedia/commons/thumb/a/a7/George_Town_-_Seh_Tek_Tong_Cheah_Kongsi.JPG/1280px-George_Town_-_Seh_Tek_Tong_Cheah_Kongsi.JPG?utm_source=commons.wikimedia.org&amp;utm_campaign=imageinfo&amp;utm_content=thumbnail</x:v>
      </x:c>
      <x:c r="E545" s="117" t="str">
        <x:v>https://commons.wikimedia.org/wiki/File:George_Town_-_Seh_Tek_Tong_Cheah_Kongsi.JPG</x:v>
      </x:c>
      <x:c r="F545" s="117" t="str">
        <x:v>File:George Town - Seh Tek Tong Cheah Kongsi.JPG</x:v>
      </x:c>
      <x:c r="G545" s="117" t="str">
        <x:v>Azreey</x:v>
      </x:c>
      <x:c r="H545" s="117" t="str">
        <x:v>CC BY-SA 3.0</x:v>
      </x:c>
      <x:c r="I545" s="117" t="str">
        <x:v>https://creativecommons.org/licenses/by-sa/3.0</x:v>
      </x:c>
      <x:c r="J545" s="117" t="str">
        <x:v>true</x:v>
      </x:c>
      <x:c r="K545" s="117" t="str">
        <x:v>Own work</x:v>
      </x:c>
      <x:c r="L545" s="117" t="str">
        <x:v>Exact name or all distinctive place-name tokens in file metadata</x:v>
      </x:c>
      <x:c r="M545" s="117" t="str">
        <x:v>Not visually reviewed</x:v>
      </x:c>
      <x:c r="N545" s="117" t="str">
        <x:v>2026-09-08</x:v>
      </x:c>
    </x:row>
    <x:row r="546" ht="48" customHeight="1">
      <x:c r="A546" s="117" t="str">
        <x:v>MC0608</x:v>
      </x:c>
      <x:c r="B546" s="117" t="str">
        <x:v>Tropical Fruit Farm</x:v>
      </x:c>
      <x:c r="C546" s="117" t="n">
        <x:v>1</x:v>
      </x:c>
      <x:c r="D546" s="117" t="str">
        <x:v>https://thumb.wikimedia.org/wikipedia/commons/thumb/f/f1/Melaka_Tropical_Fruit_Farm.jpg/1280px-Melaka_Tropical_Fruit_Farm.jpg?utm_source=commons.wikimedia.org&amp;utm_campaign=imageinfo&amp;utm_content=thumbnail</x:v>
      </x:c>
      <x:c r="E546" s="117" t="str">
        <x:v>https://commons.wikimedia.org/wiki/File:Melaka_Tropical_Fruit_Farm.jpg</x:v>
      </x:c>
      <x:c r="F546" s="117" t="str">
        <x:v>File:Melaka Tropical Fruit Farm.jpg</x:v>
      </x:c>
      <x:c r="G546" s="117" t="str">
        <x:v>Chongkian</x:v>
      </x:c>
      <x:c r="H546" s="117" t="str">
        <x:v>CC BY-SA 4.0</x:v>
      </x:c>
      <x:c r="I546" s="117" t="str">
        <x:v>https://creativecommons.org/licenses/by-sa/4.0</x:v>
      </x:c>
      <x:c r="J546" s="117" t="str">
        <x:v>true</x:v>
      </x:c>
      <x:c r="K546" s="117" t="str">
        <x:v>Own work</x:v>
      </x:c>
      <x:c r="L546" s="117" t="str">
        <x:v>Exact name or all distinctive place-name tokens in file metadata</x:v>
      </x:c>
      <x:c r="M546" s="117" t="str">
        <x:v>Not visually reviewed</x:v>
      </x:c>
      <x:c r="N546" s="117" t="str">
        <x:v>2026-09-08</x:v>
      </x:c>
    </x:row>
    <x:row r="547" ht="48" customHeight="1">
      <x:c r="A547" s="117" t="str">
        <x:v>MC0608</x:v>
      </x:c>
      <x:c r="B547" s="117" t="str">
        <x:v>Tropical Fruit Farm</x:v>
      </x:c>
      <x:c r="C547" s="117" t="n">
        <x:v>2</x:v>
      </x:c>
      <x:c r="D547" s="117" t="str">
        <x:v>https://thumb.wikimedia.org/wikipedia/commons/thumb/d/dc/Melaka_Tropical_Fruit_Farm_-_Interior.jpg/1280px-Melaka_Tropical_Fruit_Farm_-_Interior.jpg?utm_source=commons.wikimedia.org&amp;utm_campaign=imageinfo&amp;utm_content=thumbnail</x:v>
      </x:c>
      <x:c r="E547" s="117" t="str">
        <x:v>https://commons.wikimedia.org/wiki/File:Melaka_Tropical_Fruit_Farm_-_Interior.jpg</x:v>
      </x:c>
      <x:c r="F547" s="117" t="str">
        <x:v>File:Melaka Tropical Fruit Farm - Interior.jpg</x:v>
      </x:c>
      <x:c r="G547" s="117" t="str">
        <x:v>Chongkian</x:v>
      </x:c>
      <x:c r="H547" s="117" t="str">
        <x:v>CC BY-SA 4.0</x:v>
      </x:c>
      <x:c r="I547" s="117" t="str">
        <x:v>https://creativecommons.org/licenses/by-sa/4.0</x:v>
      </x:c>
      <x:c r="J547" s="117" t="str">
        <x:v>true</x:v>
      </x:c>
      <x:c r="K547" s="117" t="str">
        <x:v>Own work</x:v>
      </x:c>
      <x:c r="L547" s="117" t="str">
        <x:v>Exact name or all distinctive place-name tokens in file metadata</x:v>
      </x:c>
      <x:c r="M547" s="117" t="str">
        <x:v>Not visually reviewed</x:v>
      </x:c>
      <x:c r="N547" s="117" t="str">
        <x:v>2026-09-08</x:v>
      </x:c>
    </x:row>
    <x:row r="548" ht="48" customHeight="1">
      <x:c r="A548" s="117" t="str">
        <x:v>MC0615</x:v>
      </x:c>
      <x:c r="B548" s="117" t="str">
        <x:v>Pulau Aman</x:v>
      </x:c>
      <x:c r="C548" s="117" t="n">
        <x:v>1</x:v>
      </x:c>
      <x:c r="D548" s="117" t="str">
        <x:v>https://thumb.wikimedia.org/wikipedia/commons/thumb/a/a0/Sekolah_Kebangsaan_Pulau_Aman%2C_Pulau_Aman_%28220904%29_1.jpg/1280px-Sekolah_Kebangsaan_Pulau_Aman%2C_Pulau_Aman_%28220904%29_1.jpg?utm_source=commons.wikimedia.org&amp;utm_campaign=imageinfo&amp;utm_content=thumbnail</x:v>
      </x:c>
      <x:c r="E548" s="117" t="str">
        <x:v>https://commons.wikimedia.org/wiki/File:Sekolah_Kebangsaan_Pulau_Aman,_Pulau_Aman_(220904)_1.jpg</x:v>
      </x:c>
      <x:c r="F548" s="117" t="str">
        <x:v>File:Sekolah Kebangsaan Pulau Aman, Pulau Aman (220904) 1.jpg</x:v>
      </x:c>
      <x:c r="G548" s="117" t="str">
        <x:v>Wiki Farazi</x:v>
      </x:c>
      <x:c r="H548" s="117" t="str">
        <x:v>CC0</x:v>
      </x:c>
      <x:c r="I548" s="117" t="str">
        <x:v>http://creativecommons.org/publicdomain/zero/1.0/deed.en</x:v>
      </x:c>
      <x:c r="J548" s="117" t="str">
        <x:v>false</x:v>
      </x:c>
      <x:c r="K548" s="117" t="str">
        <x:v>Own work</x:v>
      </x:c>
      <x:c r="L548" s="117" t="str">
        <x:v>Exact name or all distinctive place-name tokens in file metadata</x:v>
      </x:c>
      <x:c r="M548" s="117" t="str">
        <x:v>Not visually reviewed</x:v>
      </x:c>
      <x:c r="N548" s="117" t="str">
        <x:v>2026-09-08</x:v>
      </x:c>
    </x:row>
    <x:row r="549" ht="48" customHeight="1">
      <x:c r="A549" s="117" t="str">
        <x:v>MC0615</x:v>
      </x:c>
      <x:c r="B549" s="117" t="str">
        <x:v>Pulau Aman</x:v>
      </x:c>
      <x:c r="C549" s="117" t="n">
        <x:v>2</x:v>
      </x:c>
      <x:c r="D549" s="117" t="str">
        <x:v>https://thumb.wikimedia.org/wikipedia/commons/thumb/5/5b/Pulau_Aman.JPG/1280px-Pulau_Aman.JPG?utm_source=commons.wikimedia.org&amp;utm_campaign=imageinfo&amp;utm_content=thumbnail</x:v>
      </x:c>
      <x:c r="E549" s="117" t="str">
        <x:v>https://commons.wikimedia.org/wiki/File:Pulau_Aman.JPG</x:v>
      </x:c>
      <x:c r="F549" s="117" t="str">
        <x:v>File:Pulau Aman.JPG</x:v>
      </x:c>
      <x:c r="G549" s="117" t="str">
        <x:v>Dreamtrooper</x:v>
      </x:c>
      <x:c r="H549" s="117" t="str">
        <x:v>CC BY-SA 3.0</x:v>
      </x:c>
      <x:c r="I549" s="117" t="str">
        <x:v>https://creativecommons.org/licenses/by-sa/3.0</x:v>
      </x:c>
      <x:c r="J549" s="117" t="str">
        <x:v>true</x:v>
      </x:c>
      <x:c r="K549" s="117" t="str">
        <x:v>Own work</x:v>
      </x:c>
      <x:c r="L549" s="117" t="str">
        <x:v>Exact name or all distinctive place-name tokens in file metadata</x:v>
      </x:c>
      <x:c r="M549" s="117" t="str">
        <x:v>Not visually reviewed</x:v>
      </x:c>
      <x:c r="N549" s="117" t="str">
        <x:v>2026-09-08</x:v>
      </x:c>
    </x:row>
    <x:row r="550" ht="48" customHeight="1">
      <x:c r="A550" s="117" t="str">
        <x:v>MC0621</x:v>
      </x:c>
      <x:c r="B550" s="117" t="str">
        <x:v>Birch Memorial Clock Tower</x:v>
      </x:c>
      <x:c r="C550" s="117" t="n">
        <x:v>1</x:v>
      </x:c>
      <x:c r="D550" s="117" t="str">
        <x:v>https://upload.wikimedia.org/wikipedia/commons/1/14/Birch_Memorial_Clocktower.JPG?utm_source=commons.wikimedia.org&amp;utm_campaign=imageinfo&amp;utm_content=thumbnail_unscaled</x:v>
      </x:c>
      <x:c r="E550" s="117" t="str">
        <x:v>https://commons.wikimedia.org/wiki/File:Birch_Memorial_Clocktower.JPG</x:v>
      </x:c>
      <x:c r="F550" s="117" t="str">
        <x:v>File:Birch Memorial Clocktower.JPG</x:v>
      </x:c>
      <x:c r="G550" s="117" t="str">
        <x:v>User: (WT-shared) Travelpleb at  wts wikivoyage</x:v>
      </x:c>
      <x:c r="H550" s="117" t="str">
        <x:v>Public domain</x:v>
      </x:c>
      <x:c r="I550" s="117" t="str"/>
      <x:c r="J550" s="117" t="str">
        <x:v>false</x:v>
      </x:c>
      <x:c r="K550" s="117" t="str">
        <x:v>Own work</x:v>
      </x:c>
      <x:c r="L550" s="117" t="str">
        <x:v>Exact name or all distinctive place-name tokens in file metadata</x:v>
      </x:c>
      <x:c r="M550" s="117" t="str">
        <x:v>Not visually reviewed</x:v>
      </x:c>
      <x:c r="N550" s="117" t="str">
        <x:v>2026-09-08</x:v>
      </x:c>
    </x:row>
    <x:row r="551" ht="48" customHeight="1">
      <x:c r="A551" s="117" t="str">
        <x:v>MC0621</x:v>
      </x:c>
      <x:c r="B551" s="117" t="str">
        <x:v>Birch Memorial Clock Tower</x:v>
      </x:c>
      <x:c r="C551" s="117" t="n">
        <x:v>2</x:v>
      </x:c>
      <x:c r="D551" s="117" t="str">
        <x:v>https://thumb.wikimedia.org/wikipedia/commons/thumb/a/ad/Birch_Memorial_Clock_Tower_2.png/1280px-Birch_Memorial_Clock_Tower_2.png?utm_source=commons.wikimedia.org&amp;utm_campaign=imageinfo&amp;utm_content=thumbnail</x:v>
      </x:c>
      <x:c r="E551" s="117" t="str">
        <x:v>https://commons.wikimedia.org/wiki/File:Birch_Memorial_Clock_Tower_2.png</x:v>
      </x:c>
      <x:c r="F551" s="117" t="str">
        <x:v>File:Birch Memorial Clock Tower 2.png</x:v>
      </x:c>
      <x:c r="G551" s="117" t="str">
        <x:v>Pooventhan Supramaniam</x:v>
      </x:c>
      <x:c r="H551" s="117" t="str">
        <x:v>CC BY-SA 4.0</x:v>
      </x:c>
      <x:c r="I551" s="117" t="str">
        <x:v>https://creativecommons.org/licenses/by-sa/4.0</x:v>
      </x:c>
      <x:c r="J551" s="117" t="str">
        <x:v>true</x:v>
      </x:c>
      <x:c r="K551" s="117" t="str">
        <x:v>Own work</x:v>
      </x:c>
      <x:c r="L551" s="117" t="str">
        <x:v>Exact name or all distinctive place-name tokens in file metadata</x:v>
      </x:c>
      <x:c r="M551" s="117" t="str">
        <x:v>Not visually reviewed</x:v>
      </x:c>
      <x:c r="N551" s="117" t="str">
        <x:v>2026-09-08</x:v>
      </x:c>
    </x:row>
    <x:row r="552" ht="48" customHeight="1">
      <x:c r="A552" s="117" t="str">
        <x:v>MC0622</x:v>
      </x:c>
      <x:c r="B552" s="117" t="str">
        <x:v>Darul Ridzuan Museum</x:v>
      </x:c>
      <x:c r="C552" s="117" t="n">
        <x:v>1</x:v>
      </x:c>
      <x:c r="D552" s="117" t="str">
        <x:v>https://thumb.wikimedia.org/wikipedia/commons/thumb/b/b5/Muzium_Darul_Ridzuan.jpg/1280px-Muzium_Darul_Ridzuan.jpg?utm_source=commons.wikimedia.org&amp;utm_campaign=imageinfo&amp;utm_content=thumbnail</x:v>
      </x:c>
      <x:c r="E552" s="117" t="str">
        <x:v>https://commons.wikimedia.org/wiki/File:Muzium_Darul_Ridzuan.jpg</x:v>
      </x:c>
      <x:c r="F552" s="117" t="str">
        <x:v>File:Muzium Darul Ridzuan.jpg</x:v>
      </x:c>
      <x:c r="G552" s="117" t="str">
        <x:v>Lembaga Muzium Negeri Perak</x:v>
      </x:c>
      <x:c r="H552" s="117" t="str">
        <x:v>CC BY-SA 4.0</x:v>
      </x:c>
      <x:c r="I552" s="117" t="str">
        <x:v>https://creativecommons.org/licenses/by-sa/4.0</x:v>
      </x:c>
      <x:c r="J552" s="117" t="str">
        <x:v>true</x:v>
      </x:c>
      <x:c r="K552" s="117" t="str">
        <x:v>Own work</x:v>
      </x:c>
      <x:c r="L552" s="117" t="str">
        <x:v>Exact name or all distinctive place-name tokens in file metadata</x:v>
      </x:c>
      <x:c r="M552" s="117" t="str">
        <x:v>Not visually reviewed</x:v>
      </x:c>
      <x:c r="N552" s="117" t="str">
        <x:v>2026-09-08</x:v>
      </x:c>
    </x:row>
    <x:row r="553" ht="48" customHeight="1">
      <x:c r="A553" s="117" t="str">
        <x:v>MC0622</x:v>
      </x:c>
      <x:c r="B553" s="117" t="str">
        <x:v>Darul Ridzuan Museum</x:v>
      </x:c>
      <x:c r="C553" s="117" t="n">
        <x:v>2</x:v>
      </x:c>
      <x:c r="D553" s="117" t="str">
        <x:v>https://thumb.wikimedia.org/wikipedia/commons/thumb/e/e8/Darul_Ridzuan_Museum_2.jpg/1280px-Darul_Ridzuan_Museum_2.jpg?utm_source=commons.wikimedia.org&amp;utm_campaign=imageinfo&amp;utm_content=thumbnail</x:v>
      </x:c>
      <x:c r="E553" s="117" t="str">
        <x:v>https://commons.wikimedia.org/wiki/File:Darul_Ridzuan_Museum_2.jpg</x:v>
      </x:c>
      <x:c r="F553" s="117" t="str">
        <x:v>File:Darul Ridzuan Museum 2.jpg</x:v>
      </x:c>
      <x:c r="G553" s="117" t="str">
        <x:v>Zahirulnukman</x:v>
      </x:c>
      <x:c r="H553" s="117" t="str">
        <x:v>CC BY-SA 3.0</x:v>
      </x:c>
      <x:c r="I553" s="117" t="str">
        <x:v>https://creativecommons.org/licenses/by-sa/3.0</x:v>
      </x:c>
      <x:c r="J553" s="117" t="str">
        <x:v>true</x:v>
      </x:c>
      <x:c r="K553" s="117" t="str">
        <x:v>Own work</x:v>
      </x:c>
      <x:c r="L553" s="117" t="str">
        <x:v>Exact name or all distinctive place-name tokens in file metadata</x:v>
      </x:c>
      <x:c r="M553" s="117" t="str">
        <x:v>Not visually reviewed</x:v>
      </x:c>
      <x:c r="N553" s="117" t="str">
        <x:v>2026-09-08</x:v>
      </x:c>
    </x:row>
    <x:row r="554" ht="48" customHeight="1">
      <x:c r="A554" s="117" t="str">
        <x:v>MC0623</x:v>
      </x:c>
      <x:c r="B554" s="117" t="str">
        <x:v>Geological Museum</x:v>
      </x:c>
      <x:c r="C554" s="117" t="n">
        <x:v>1</x:v>
      </x:c>
      <x:c r="D554" s="117" t="str">
        <x:v>https://upload.wikimedia.org/wikipedia/commons/1/16/Natural_History_Museum%2C_Exhibition_Road%2C_London_SW7_-_geograph.org.uk_-_1128801.jpg?utm_source=commons.wikimedia.org&amp;utm_campaign=imageinfo&amp;utm_content=thumbnail_unscaled</x:v>
      </x:c>
      <x:c r="E554" s="117" t="str">
        <x:v>https://commons.wikimedia.org/wiki/File:Natural_History_Museum,_Exhibition_Road,_London_SW7_-_geograph.org.uk_-_1128801.jpg</x:v>
      </x:c>
      <x:c r="F554" s="117" t="str">
        <x:v>File:Natural History Museum, Exhibition Road, London SW7 - geograph.org.uk - 1128801.jpg</x:v>
      </x:c>
      <x:c r="G554" s="117" t="str">
        <x:v>Christine Matthews</x:v>
      </x:c>
      <x:c r="H554" s="117" t="str">
        <x:v>CC BY-SA 2.0</x:v>
      </x:c>
      <x:c r="I554" s="117" t="str">
        <x:v>https://creativecommons.org/licenses/by-sa/2.0</x:v>
      </x:c>
      <x:c r="J554" s="117" t="str">
        <x:v>true</x:v>
      </x:c>
      <x:c r="K554" s="117" t="str">
        <x:v>From geograph.org.uk</x:v>
      </x:c>
      <x:c r="L554" s="117" t="str">
        <x:v>Exact name or all distinctive place-name tokens in file metadata</x:v>
      </x:c>
      <x:c r="M554" s="117" t="str">
        <x:v>Not visually reviewed</x:v>
      </x:c>
      <x:c r="N554" s="117" t="str">
        <x:v>2026-09-08</x:v>
      </x:c>
    </x:row>
    <x:row r="555" ht="48" customHeight="1">
      <x:c r="A555" s="117" t="str">
        <x:v>MC0623</x:v>
      </x:c>
      <x:c r="B555" s="117" t="str">
        <x:v>Geological Museum</x:v>
      </x:c>
      <x:c r="C555" s="117" t="n">
        <x:v>2</x:v>
      </x:c>
      <x:c r="D555" s="117" t="str">
        <x:v>https://thumb.wikimedia.org/wikipedia/commons/thumb/6/67/Museo_de_Geolog%C3%ADa%2C_Londres%2C_Inglaterra%2C_2022-11-25%2C_DD_36.jpg/1280px-Museo_de_Geolog%C3%ADa%2C_Londres%2C_Inglaterra%2C_2022-11-25%2C_DD_36.jpg?utm_source=commons.wikimedia.org&amp;utm_campaign=imageinfo&amp;utm_content=thumbnail</x:v>
      </x:c>
      <x:c r="E555" s="117" t="str">
        <x:v>https://commons.wikimedia.org/wiki/File:Museo_de_Geolog%C3%ADa,_Londres,_Inglaterra,_2022-11-25,_DD_36.jpg</x:v>
      </x:c>
      <x:c r="F555" s="117" t="str">
        <x:v>File:Museo de Geología, Londres, Inglaterra, 2022-11-25, DD 36.jpg</x:v>
      </x:c>
      <x:c r="G555" s="117" t="str">
        <x:v>Diego Delso</x:v>
      </x:c>
      <x:c r="H555" s="117" t="str">
        <x:v>CC BY-SA 4.0</x:v>
      </x:c>
      <x:c r="I555" s="117" t="str">
        <x:v>https://creativecommons.org/licenses/by-sa/4.0</x:v>
      </x:c>
      <x:c r="J555" s="117" t="str">
        <x:v>true</x:v>
      </x:c>
      <x:c r="K555" s="117" t="str">
        <x:v>Own work</x:v>
      </x:c>
      <x:c r="L555" s="117" t="str">
        <x:v>Exact name or all distinctive place-name tokens in file metadata</x:v>
      </x:c>
      <x:c r="M555" s="117" t="str">
        <x:v>Not visually reviewed</x:v>
      </x:c>
      <x:c r="N555" s="117" t="str">
        <x:v>2026-09-08</x:v>
      </x:c>
    </x:row>
    <x:row r="556" ht="48" customHeight="1">
      <x:c r="A556" s="117" t="str">
        <x:v>MC0624</x:v>
      </x:c>
      <x:c r="B556" s="117" t="str">
        <x:v>Ipoh Railway Station</x:v>
      </x:c>
      <x:c r="C556" s="117" t="n">
        <x:v>1</x:v>
      </x:c>
      <x:c r="D556" s="117" t="str">
        <x:v>https://thumb.wikimedia.org/wikipedia/commons/thumb/7/76/Ipoh_railway_station_2024%2C_Perak_Malaysia_02.jpg/1280px-Ipoh_railway_station_2024%2C_Perak_Malaysia_02.jpg?utm_source=commons.wikimedia.org&amp;utm_campaign=imageinfo&amp;utm_content=thumbnail</x:v>
      </x:c>
      <x:c r="E556" s="117" t="str">
        <x:v>https://commons.wikimedia.org/wiki/File:Ipoh_railway_station_2024,_Perak_Malaysia_02.jpg</x:v>
      </x:c>
      <x:c r="F556" s="117" t="str">
        <x:v>File:Ipoh railway station 2024, Perak Malaysia 02.jpg</x:v>
      </x:c>
      <x:c r="G556" s="117" t="str">
        <x:v>FBilula</x:v>
      </x:c>
      <x:c r="H556" s="117" t="str">
        <x:v>CC BY-SA 4.0</x:v>
      </x:c>
      <x:c r="I556" s="117" t="str">
        <x:v>https://creativecommons.org/licenses/by-sa/4.0</x:v>
      </x:c>
      <x:c r="J556" s="117" t="str">
        <x:v>true</x:v>
      </x:c>
      <x:c r="K556" s="117" t="str">
        <x:v>Own work</x:v>
      </x:c>
      <x:c r="L556" s="117" t="str">
        <x:v>Exact name or all distinctive place-name tokens in file metadata</x:v>
      </x:c>
      <x:c r="M556" s="117" t="str">
        <x:v>Not visually reviewed</x:v>
      </x:c>
      <x:c r="N556" s="117" t="str">
        <x:v>2026-09-08</x:v>
      </x:c>
    </x:row>
    <x:row r="557" ht="48" customHeight="1">
      <x:c r="A557" s="117" t="str">
        <x:v>MC0624</x:v>
      </x:c>
      <x:c r="B557" s="117" t="str">
        <x:v>Ipoh Railway Station</x:v>
      </x:c>
      <x:c r="C557" s="117" t="n">
        <x:v>2</x:v>
      </x:c>
      <x:c r="D557" s="117" t="str">
        <x:v>https://thumb.wikimedia.org/wikipedia/commons/thumb/2/2f/Stesen_Keretapi_Ipoh_12_Julai_2023_6.jpg/1280px-Stesen_Keretapi_Ipoh_12_Julai_2023_6.jpg?utm_source=commons.wikimedia.org&amp;utm_campaign=imageinfo&amp;utm_content=thumbnail</x:v>
      </x:c>
      <x:c r="E557" s="117" t="str">
        <x:v>https://commons.wikimedia.org/wiki/File:Stesen_Keretapi_Ipoh_12_Julai_2023_6.jpg</x:v>
      </x:c>
      <x:c r="F557" s="117" t="str">
        <x:v>File:Stesen Keretapi Ipoh 12 Julai 2023 6.jpg</x:v>
      </x:c>
      <x:c r="G557" s="117" t="str">
        <x:v>Zahirulnukman</x:v>
      </x:c>
      <x:c r="H557" s="117" t="str">
        <x:v>CC BY-SA 3.0</x:v>
      </x:c>
      <x:c r="I557" s="117" t="str">
        <x:v>https://creativecommons.org/licenses/by-sa/3.0</x:v>
      </x:c>
      <x:c r="J557" s="117" t="str">
        <x:v>true</x:v>
      </x:c>
      <x:c r="K557" s="117" t="str">
        <x:v>Own work</x:v>
      </x:c>
      <x:c r="L557" s="117" t="str">
        <x:v>Exact name or all distinctive place-name tokens in file metadata</x:v>
      </x:c>
      <x:c r="M557" s="117" t="str">
        <x:v>Not visually reviewed</x:v>
      </x:c>
      <x:c r="N557" s="117" t="str">
        <x:v>2026-09-08</x:v>
      </x:c>
    </x:row>
    <x:row r="558" ht="48" customHeight="1">
      <x:c r="A558" s="117" t="str">
        <x:v>MC0626</x:v>
      </x:c>
      <x:c r="B558" s="117" t="str">
        <x:v>Kinta Riverwalk</x:v>
      </x:c>
      <x:c r="C558" s="117" t="n">
        <x:v>1</x:v>
      </x:c>
      <x:c r="D558" s="117" t="str">
        <x:v>https://thumb.wikimedia.org/wikipedia/commons/thumb/8/8a/Kinta_River_2.jpg/1280px-Kinta_River_2.jpg?utm_source=commons.wikimedia.org&amp;utm_campaign=imageinfo&amp;utm_content=thumbnail</x:v>
      </x:c>
      <x:c r="E558" s="117" t="str">
        <x:v>https://commons.wikimedia.org/wiki/File:Kinta_River_2.jpg</x:v>
      </x:c>
      <x:c r="F558" s="117" t="str">
        <x:v>File:Kinta River 2.jpg</x:v>
      </x:c>
      <x:c r="G558" s="117" t="str">
        <x:v>Slleong</x:v>
      </x:c>
      <x:c r="H558" s="117" t="str">
        <x:v>CC0</x:v>
      </x:c>
      <x:c r="I558" s="117" t="str">
        <x:v>http://creativecommons.org/publicdomain/zero/1.0/deed.en</x:v>
      </x:c>
      <x:c r="J558" s="117" t="str">
        <x:v>false</x:v>
      </x:c>
      <x:c r="K558" s="117" t="str">
        <x:v>Own work</x:v>
      </x:c>
      <x:c r="L558" s="117" t="str">
        <x:v>Exact name or all distinctive place-name tokens in file metadata</x:v>
      </x:c>
      <x:c r="M558" s="117" t="str">
        <x:v>Not visually reviewed</x:v>
      </x:c>
      <x:c r="N558" s="117" t="str">
        <x:v>2026-09-08</x:v>
      </x:c>
    </x:row>
    <x:row r="559" ht="48" customHeight="1">
      <x:c r="A559" s="117" t="str">
        <x:v>MC0626</x:v>
      </x:c>
      <x:c r="B559" s="117" t="str">
        <x:v>Kinta Riverwalk</x:v>
      </x:c>
      <x:c r="C559" s="117" t="n">
        <x:v>2</x:v>
      </x:c>
      <x:c r="D559" s="117" t="str">
        <x:v>https://thumb.wikimedia.org/wikipedia/commons/thumb/c/c2/Kinta_River_1.jpg/1280px-Kinta_River_1.jpg?utm_source=commons.wikimedia.org&amp;utm_campaign=imageinfo&amp;utm_content=thumbnail</x:v>
      </x:c>
      <x:c r="E559" s="117" t="str">
        <x:v>https://commons.wikimedia.org/wiki/File:Kinta_River_1.jpg</x:v>
      </x:c>
      <x:c r="F559" s="117" t="str">
        <x:v>File:Kinta River 1.jpg</x:v>
      </x:c>
      <x:c r="G559" s="117" t="str">
        <x:v>Slleong</x:v>
      </x:c>
      <x:c r="H559" s="117" t="str">
        <x:v>CC0</x:v>
      </x:c>
      <x:c r="I559" s="117" t="str">
        <x:v>http://creativecommons.org/publicdomain/zero/1.0/deed.en</x:v>
      </x:c>
      <x:c r="J559" s="117" t="str">
        <x:v>false</x:v>
      </x:c>
      <x:c r="K559" s="117" t="str">
        <x:v>Own work</x:v>
      </x:c>
      <x:c r="L559" s="117" t="str">
        <x:v>Exact name or all distinctive place-name tokens in file metadata</x:v>
      </x:c>
      <x:c r="M559" s="117" t="str">
        <x:v>Not visually reviewed</x:v>
      </x:c>
      <x:c r="N559" s="117" t="str">
        <x:v>2026-09-08</x:v>
      </x:c>
    </x:row>
    <x:row r="560" ht="48" customHeight="1">
      <x:c r="A560" s="117" t="str">
        <x:v>MC0627</x:v>
      </x:c>
      <x:c r="B560" s="117" t="str">
        <x:v>Sultan Azlan Shah Gallery</x:v>
      </x:c>
      <x:c r="C560" s="117" t="n">
        <x:v>1</x:v>
      </x:c>
      <x:c r="D560" s="117" t="str">
        <x:v>https://thumb.wikimedia.org/wikipedia/commons/thumb/b/b0/Istana_Ulu_Kuala_Kangsar.jpg/1280px-Istana_Ulu_Kuala_Kangsar.jpg?utm_source=commons.wikimedia.org&amp;utm_campaign=imageinfo&amp;utm_content=thumbnail</x:v>
      </x:c>
      <x:c r="E560" s="117" t="str">
        <x:v>https://commons.wikimedia.org/wiki/File:Istana_Ulu_Kuala_Kangsar.jpg</x:v>
      </x:c>
      <x:c r="F560" s="117" t="str">
        <x:v>File:Istana Ulu Kuala Kangsar.jpg</x:v>
      </x:c>
      <x:c r="G560" s="117" t="str">
        <x:v>Miss Prema Darshini</x:v>
      </x:c>
      <x:c r="H560" s="117" t="str">
        <x:v>CC BY-SA 4.0</x:v>
      </x:c>
      <x:c r="I560" s="117" t="str">
        <x:v>https://creativecommons.org/licenses/by-sa/4.0</x:v>
      </x:c>
      <x:c r="J560" s="117" t="str">
        <x:v>true</x:v>
      </x:c>
      <x:c r="K560" s="117" t="str">
        <x:v>Own work</x:v>
      </x:c>
      <x:c r="L560" s="117" t="str">
        <x:v>Exact name or all distinctive place-name tokens in file metadata</x:v>
      </x:c>
      <x:c r="M560" s="117" t="str">
        <x:v>Not visually reviewed</x:v>
      </x:c>
      <x:c r="N560" s="117" t="str">
        <x:v>2026-09-08</x:v>
      </x:c>
    </x:row>
    <x:row r="561" ht="48" customHeight="1">
      <x:c r="A561" s="117" t="str">
        <x:v>MC0627</x:v>
      </x:c>
      <x:c r="B561" s="117" t="str">
        <x:v>Sultan Azlan Shah Gallery</x:v>
      </x:c>
      <x:c r="C561" s="117" t="n">
        <x:v>2</x:v>
      </x:c>
      <x:c r="D561" s="117" t="str">
        <x:v>https://thumb.wikimedia.org/wikipedia/commons/thumb/4/44/Istana_Ulu%2CKuala_Kangsar.jpg/1280px-Istana_Ulu%2CKuala_Kangsar.jpg?utm_source=commons.wikimedia.org&amp;utm_campaign=imageinfo&amp;utm_content=thumbnail</x:v>
      </x:c>
      <x:c r="E561" s="117" t="str">
        <x:v>https://commons.wikimedia.org/wiki/File:Istana_Ulu,Kuala_Kangsar.jpg</x:v>
      </x:c>
      <x:c r="F561" s="117" t="str">
        <x:v>File:Istana Ulu,Kuala Kangsar.jpg</x:v>
      </x:c>
      <x:c r="G561" s="117" t="str">
        <x:v>Miss Prema Darshini</x:v>
      </x:c>
      <x:c r="H561" s="117" t="str">
        <x:v>CC BY-SA 4.0</x:v>
      </x:c>
      <x:c r="I561" s="117" t="str">
        <x:v>https://creativecommons.org/licenses/by-sa/4.0</x:v>
      </x:c>
      <x:c r="J561" s="117" t="str">
        <x:v>true</x:v>
      </x:c>
      <x:c r="K561" s="117" t="str">
        <x:v>Own work</x:v>
      </x:c>
      <x:c r="L561" s="117" t="str">
        <x:v>Exact name or all distinctive place-name tokens in file metadata</x:v>
      </x:c>
      <x:c r="M561" s="117" t="str">
        <x:v>Not visually reviewed</x:v>
      </x:c>
      <x:c r="N561" s="117" t="str">
        <x:v>2026-09-08</x:v>
      </x:c>
    </x:row>
    <x:row r="562" ht="48" customHeight="1">
      <x:c r="A562" s="117" t="str">
        <x:v>MC0628</x:v>
      </x:c>
      <x:c r="B562" s="117" t="str">
        <x:v>Kampung Sayong</x:v>
      </x:c>
      <x:c r="C562" s="117" t="n">
        <x:v>1</x:v>
      </x:c>
      <x:c r="D562" s="117" t="str">
        <x:v>https://thumb.wikimedia.org/wikipedia/commons/thumb/6/60/Kampung_Sayong_-_panoramio_%282%29.jpg/1280px-Kampung_Sayong_-_panoramio_%282%29.jpg?utm_source=commons.wikimedia.org&amp;utm_campaign=imageinfo&amp;utm_content=thumbnail</x:v>
      </x:c>
      <x:c r="E562" s="117" t="str">
        <x:v>https://commons.wikimedia.org/wiki/File:Kampung_Sayong_-_panoramio_(2).jpg</x:v>
      </x:c>
      <x:c r="F562" s="117" t="str">
        <x:v>File:Kampung Sayong - panoramio (2).jpg</x:v>
      </x:c>
      <x:c r="G562" s="117" t="str">
        <x:v>jtx1000 dotnet</x:v>
      </x:c>
      <x:c r="H562" s="117" t="str">
        <x:v>CC BY 3.0</x:v>
      </x:c>
      <x:c r="I562" s="117" t="str">
        <x:v>https://creativecommons.org/licenses/by/3.0</x:v>
      </x:c>
      <x:c r="J562" s="117" t="str">
        <x:v>true</x:v>
      </x:c>
      <x:c r="K562" s="117" t="str">
        <x:v>https://web.archive.org/web/20161028221805/http://www.panoramio.com/photo/105978473</x:v>
      </x:c>
      <x:c r="L562" s="117" t="str">
        <x:v>Exact name or all distinctive place-name tokens in file metadata</x:v>
      </x:c>
      <x:c r="M562" s="117" t="str">
        <x:v>Not visually reviewed</x:v>
      </x:c>
      <x:c r="N562" s="117" t="str">
        <x:v>2026-09-08</x:v>
      </x:c>
    </x:row>
    <x:row r="563" ht="48" customHeight="1">
      <x:c r="A563" s="117" t="str">
        <x:v>MC0628</x:v>
      </x:c>
      <x:c r="B563" s="117" t="str">
        <x:v>Kampung Sayong</x:v>
      </x:c>
      <x:c r="C563" s="117" t="n">
        <x:v>2</x:v>
      </x:c>
      <x:c r="D563" s="117" t="str">
        <x:v>https://thumb.wikimedia.org/wikipedia/commons/thumb/5/5b/Kampung_Sayong_-_panoramio.jpg/1280px-Kampung_Sayong_-_panoramio.jpg?utm_source=commons.wikimedia.org&amp;utm_campaign=imageinfo&amp;utm_content=thumbnail</x:v>
      </x:c>
      <x:c r="E563" s="117" t="str">
        <x:v>https://commons.wikimedia.org/wiki/File:Kampung_Sayong_-_panoramio.jpg</x:v>
      </x:c>
      <x:c r="F563" s="117" t="str">
        <x:v>File:Kampung Sayong - panoramio.jpg</x:v>
      </x:c>
      <x:c r="G563" s="117" t="str">
        <x:v>jtx1000 dotnet</x:v>
      </x:c>
      <x:c r="H563" s="117" t="str">
        <x:v>CC BY 3.0</x:v>
      </x:c>
      <x:c r="I563" s="117" t="str">
        <x:v>https://creativecommons.org/licenses/by/3.0</x:v>
      </x:c>
      <x:c r="J563" s="117" t="str">
        <x:v>true</x:v>
      </x:c>
      <x:c r="K563" s="117" t="str">
        <x:v>https://web.archive.org/web/20161030084039/http://www.panoramio.com/photo/105978388</x:v>
      </x:c>
      <x:c r="L563" s="117" t="str">
        <x:v>Exact name or all distinctive place-name tokens in file metadata</x:v>
      </x:c>
      <x:c r="M563" s="117" t="str">
        <x:v>Not visually reviewed</x:v>
      </x:c>
      <x:c r="N563" s="117" t="str">
        <x:v>2026-09-08</x:v>
      </x:c>
    </x:row>
    <x:row r="564" ht="48" customHeight="1">
      <x:c r="A564" s="117" t="str">
        <x:v>MC0630</x:v>
      </x:c>
      <x:c r="B564" s="117" t="str">
        <x:v>Pasir Salak Historical Complex</x:v>
      </x:c>
      <x:c r="C564" s="117" t="n">
        <x:v>1</x:v>
      </x:c>
      <x:c r="D564" s="117" t="str">
        <x:v>https://thumb.wikimedia.org/wikipedia/commons/thumb/2/21/Kompleks_Sejarah_Pasir_Salak%2C_Perak%2C_Malaysia_-_panoramio.jpg/1280px-Kompleks_Sejarah_Pasir_Salak%2C_Perak%2C_Malaysia_-_panoramio.jpg?utm_source=commons.wikimedia.org&amp;utm_campaign=imageinfo&amp;utm_content=thumbnail</x:v>
      </x:c>
      <x:c r="E564" s="117" t="str">
        <x:v>https://commons.wikimedia.org/wiki/File:Kompleks_Sejarah_Pasir_Salak,_Perak,_Malaysia_-_panoramio.jpg</x:v>
      </x:c>
      <x:c r="F564" s="117" t="str">
        <x:v>File:Kompleks Sejarah Pasir Salak, Perak, Malaysia - panoramio.jpg</x:v>
      </x:c>
      <x:c r="G564" s="117" t="str">
        <x:v>spicytropic</x:v>
      </x:c>
      <x:c r="H564" s="117" t="str">
        <x:v>CC BY-SA 3.0</x:v>
      </x:c>
      <x:c r="I564" s="117" t="str">
        <x:v>https://creativecommons.org/licenses/by-sa/3.0</x:v>
      </x:c>
      <x:c r="J564" s="117" t="str">
        <x:v>true</x:v>
      </x:c>
      <x:c r="K564" s="117" t="str">
        <x:v>https://web.archive.org/web/20161020095824/http://www.panoramio.com/photo/68684551</x:v>
      </x:c>
      <x:c r="L564" s="117" t="str">
        <x:v>Exact name or all distinctive place-name tokens in file metadata</x:v>
      </x:c>
      <x:c r="M564" s="117" t="str">
        <x:v>Not visually reviewed</x:v>
      </x:c>
      <x:c r="N564" s="117" t="str">
        <x:v>2026-09-08</x:v>
      </x:c>
    </x:row>
    <x:row r="565" ht="48" customHeight="1">
      <x:c r="A565" s="117" t="str">
        <x:v>MC0630</x:v>
      </x:c>
      <x:c r="B565" s="117" t="str">
        <x:v>Pasir Salak Historical Complex</x:v>
      </x:c>
      <x:c r="C565" s="117" t="n">
        <x:v>2</x:v>
      </x:c>
      <x:c r="D565" s="117" t="str">
        <x:v>https://thumb.wikimedia.org/wikipedia/commons/thumb/0/0f/Malay_Traditional_House%2C_Perak%2C_Malaysia_-_panoramio.jpg/1280px-Malay_Traditional_House%2C_Perak%2C_Malaysia_-_panoramio.jpg?utm_source=commons.wikimedia.org&amp;utm_campaign=imageinfo&amp;utm_content=thumbnail</x:v>
      </x:c>
      <x:c r="E565" s="117" t="str">
        <x:v>https://commons.wikimedia.org/wiki/File:Malay_Traditional_House,_Perak,_Malaysia_-_panoramio.jpg</x:v>
      </x:c>
      <x:c r="F565" s="117" t="str">
        <x:v>File:Malay Traditional House, Perak, Malaysia - panoramio.jpg</x:v>
      </x:c>
      <x:c r="G565" s="117" t="str">
        <x:v>spicytropic</x:v>
      </x:c>
      <x:c r="H565" s="117" t="str">
        <x:v>CC BY-SA 3.0</x:v>
      </x:c>
      <x:c r="I565" s="117" t="str">
        <x:v>https://creativecommons.org/licenses/by-sa/3.0</x:v>
      </x:c>
      <x:c r="J565" s="117" t="str">
        <x:v>true</x:v>
      </x:c>
      <x:c r="K565" s="117" t="str">
        <x:v>https://web.archive.org/web/20161022195754/http://www.panoramio.com/photo/68684419</x:v>
      </x:c>
      <x:c r="L565" s="117" t="str">
        <x:v>Exact name or all distinctive place-name tokens in file metadata</x:v>
      </x:c>
      <x:c r="M565" s="117" t="str">
        <x:v>Not visually reviewed</x:v>
      </x:c>
      <x:c r="N565" s="117" t="str">
        <x:v>2026-09-08</x:v>
      </x:c>
    </x:row>
    <x:row r="566" ht="48" customHeight="1">
      <x:c r="A566" s="117" t="str">
        <x:v>MC0633</x:v>
      </x:c>
      <x:c r="B566" s="117" t="str">
        <x:v>Teluk Nipah</x:v>
      </x:c>
      <x:c r="C566" s="117" t="n">
        <x:v>1</x:v>
      </x:c>
      <x:c r="D566" s="117" t="str">
        <x:v>https://thumb.wikimedia.org/wikipedia/commons/thumb/3/33/Teluk_Nipah.jpg/1280px-Teluk_Nipah.jpg?utm_source=commons.wikimedia.org&amp;utm_campaign=imageinfo&amp;utm_content=thumbnail</x:v>
      </x:c>
      <x:c r="E566" s="117" t="str">
        <x:v>https://commons.wikimedia.org/wiki/File:Teluk_Nipah.jpg</x:v>
      </x:c>
      <x:c r="F566" s="117" t="str">
        <x:v>File:Teluk Nipah.jpg</x:v>
      </x:c>
      <x:c r="G566" s="117" t="str">
        <x:v>Michael</x:v>
      </x:c>
      <x:c r="H566" s="117" t="str">
        <x:v>Public domain</x:v>
      </x:c>
      <x:c r="I566" s="117" t="str"/>
      <x:c r="J566" s="117" t="str">
        <x:v>false</x:v>
      </x:c>
      <x:c r="K566" s="117" t="str">
        <x:v>Own work</x:v>
      </x:c>
      <x:c r="L566" s="117" t="str">
        <x:v>Exact name or all distinctive place-name tokens in file metadata</x:v>
      </x:c>
      <x:c r="M566" s="117" t="str">
        <x:v>Not visually reviewed</x:v>
      </x:c>
      <x:c r="N566" s="117" t="str">
        <x:v>2026-09-08</x:v>
      </x:c>
    </x:row>
    <x:row r="567" ht="48" customHeight="1">
      <x:c r="A567" s="117" t="str">
        <x:v>MC0633</x:v>
      </x:c>
      <x:c r="B567" s="117" t="str">
        <x:v>Teluk Nipah</x:v>
      </x:c>
      <x:c r="C567" s="117" t="n">
        <x:v>2</x:v>
      </x:c>
      <x:c r="D567" s="117" t="str">
        <x:v>https://thumb.wikimedia.org/wikipedia/commons/thumb/0/0e/Teluk_Nipah_2004_-_panoramio.jpg/1280px-Teluk_Nipah_2004_-_panoramio.jpg?utm_source=commons.wikimedia.org&amp;utm_campaign=imageinfo&amp;utm_content=thumbnail</x:v>
      </x:c>
      <x:c r="E567" s="117" t="str">
        <x:v>https://commons.wikimedia.org/wiki/File:Teluk_Nipah_2004_-_panoramio.jpg</x:v>
      </x:c>
      <x:c r="F567" s="117" t="str">
        <x:v>File:Teluk Nipah 2004 - panoramio.jpg</x:v>
      </x:c>
      <x:c r="G567" s="117" t="str">
        <x:v>ogwen</x:v>
      </x:c>
      <x:c r="H567" s="117" t="str">
        <x:v>CC BY-SA 3.0</x:v>
      </x:c>
      <x:c r="I567" s="117" t="str">
        <x:v>https://creativecommons.org/licenses/by-sa/3.0</x:v>
      </x:c>
      <x:c r="J567" s="117" t="str">
        <x:v>true</x:v>
      </x:c>
      <x:c r="K567" s="117" t="str">
        <x:v>https://web.archive.org/web/20161020033048/http://www.panoramio.com/photo/69831998</x:v>
      </x:c>
      <x:c r="L567" s="117" t="str">
        <x:v>Exact name or all distinctive place-name tokens in file metadata</x:v>
      </x:c>
      <x:c r="M567" s="117" t="str">
        <x:v>Not visually reviewed</x:v>
      </x:c>
      <x:c r="N567" s="117" t="str">
        <x:v>2026-09-08</x:v>
      </x:c>
    </x:row>
    <x:row r="568" ht="48" customHeight="1">
      <x:c r="A568" s="117" t="str">
        <x:v>MC0635</x:v>
      </x:c>
      <x:c r="B568" s="117" t="str">
        <x:v>Teluk Batik</x:v>
      </x:c>
      <x:c r="C568" s="117" t="n">
        <x:v>1</x:v>
      </x:c>
      <x:c r="D568" s="117" t="str">
        <x:v>https://thumb.wikimedia.org/wikipedia/commons/thumb/c/c6/Pantai_Teluk_Batik_-_Perak%2C_Malaysia.jpg/1280px-Pantai_Teluk_Batik_-_Perak%2C_Malaysia.jpg?utm_source=commons.wikimedia.org&amp;utm_campaign=imageinfo&amp;utm_content=thumbnail</x:v>
      </x:c>
      <x:c r="E568" s="117" t="str">
        <x:v>https://commons.wikimedia.org/wiki/File:Pantai_Teluk_Batik_-_Perak,_Malaysia.jpg</x:v>
      </x:c>
      <x:c r="F568" s="117" t="str">
        <x:v>File:Pantai Teluk Batik - Perak, Malaysia.jpg</x:v>
      </x:c>
      <x:c r="G568" s="117" t="str">
        <x:v>Ryan Albrey from Perth, Australia</x:v>
      </x:c>
      <x:c r="H568" s="117" t="str">
        <x:v>CC BY 2.0</x:v>
      </x:c>
      <x:c r="I568" s="117" t="str">
        <x:v>https://creativecommons.org/licenses/by/2.0</x:v>
      </x:c>
      <x:c r="J568" s="117" t="str">
        <x:v>true</x:v>
      </x:c>
      <x:c r="K568" s="117" t="str">
        <x:v>Pantai Teluk Batik II</x:v>
      </x:c>
      <x:c r="L568" s="117" t="str">
        <x:v>Exact name or all distinctive place-name tokens in file metadata</x:v>
      </x:c>
      <x:c r="M568" s="117" t="str">
        <x:v>Not visually reviewed</x:v>
      </x:c>
      <x:c r="N568" s="117" t="str">
        <x:v>2026-09-08</x:v>
      </x:c>
    </x:row>
    <x:row r="569" ht="48" customHeight="1">
      <x:c r="A569" s="117" t="str">
        <x:v>MC0635</x:v>
      </x:c>
      <x:c r="B569" s="117" t="str">
        <x:v>Teluk Batik</x:v>
      </x:c>
      <x:c r="C569" s="117" t="n">
        <x:v>2</x:v>
      </x:c>
      <x:c r="D569" s="117" t="str">
        <x:v>https://upload.wikimedia.org/wikipedia/commons/d/d9/Teluk_batik_%285713542689%29.jpg?utm_source=commons.wikimedia.org&amp;utm_campaign=imageinfo&amp;utm_content=thumbnail_unscaled</x:v>
      </x:c>
      <x:c r="E569" s="117" t="str">
        <x:v>https://commons.wikimedia.org/wiki/File:Teluk_batik_(5713542689).jpg</x:v>
      </x:c>
      <x:c r="F569" s="117" t="str">
        <x:v>File:Teluk batik (5713542689).jpg</x:v>
      </x:c>
      <x:c r="G569" s="117" t="str">
        <x:v>Firdaus Latif</x:v>
      </x:c>
      <x:c r="H569" s="117" t="str">
        <x:v>CC BY-SA 2.0</x:v>
      </x:c>
      <x:c r="I569" s="117" t="str">
        <x:v>https://creativecommons.org/licenses/by-sa/2.0</x:v>
      </x:c>
      <x:c r="J569" s="117" t="str">
        <x:v>true</x:v>
      </x:c>
      <x:c r="K569" s="117" t="str">
        <x:v>teluk batik</x:v>
      </x:c>
      <x:c r="L569" s="117" t="str">
        <x:v>Exact name or all distinctive place-name tokens in file metadata</x:v>
      </x:c>
      <x:c r="M569" s="117" t="str">
        <x:v>Not visually reviewed</x:v>
      </x:c>
      <x:c r="N569" s="117" t="str">
        <x:v>2026-09-08</x:v>
      </x:c>
    </x:row>
    <x:row r="570" ht="48" customHeight="1">
      <x:c r="A570" s="117" t="str">
        <x:v>MC0636</x:v>
      </x:c>
      <x:c r="B570" s="117" t="str">
        <x:v>Teluk Senangin</x:v>
      </x:c>
      <x:c r="C570" s="117" t="n">
        <x:v>1</x:v>
      </x:c>
      <x:c r="D570" s="117" t="str">
        <x:v>https://thumb.wikimedia.org/wikipedia/commons/thumb/5/5b/Pantai_Teluk_Senangin%2C_Kampung_Teluk_Senangin_20231222_112343.jpg/1280px-Pantai_Teluk_Senangin%2C_Kampung_Teluk_Senangin_20231222_112343.jpg?utm_source=commons.wikimedia.org&amp;utm_campaign=imageinfo&amp;utm_content=thumbnail</x:v>
      </x:c>
      <x:c r="E570" s="117" t="str">
        <x:v>https://commons.wikimedia.org/wiki/File:Pantai_Teluk_Senangin,_Kampung_Teluk_Senangin_20231222_112343.jpg</x:v>
      </x:c>
      <x:c r="F570" s="117" t="str">
        <x:v>File:Pantai Teluk Senangin, Kampung Teluk Senangin 20231222 112343.jpg</x:v>
      </x:c>
      <x:c r="G570" s="117" t="str">
        <x:v>Wiki Farazi</x:v>
      </x:c>
      <x:c r="H570" s="117" t="str">
        <x:v>CC0</x:v>
      </x:c>
      <x:c r="I570" s="117" t="str">
        <x:v>http://creativecommons.org/publicdomain/zero/1.0/deed.en</x:v>
      </x:c>
      <x:c r="J570" s="117" t="str">
        <x:v>false</x:v>
      </x:c>
      <x:c r="K570" s="117" t="str">
        <x:v>Own work</x:v>
      </x:c>
      <x:c r="L570" s="117" t="str">
        <x:v>Exact name or all distinctive place-name tokens in file metadata</x:v>
      </x:c>
      <x:c r="M570" s="117" t="str">
        <x:v>Not visually reviewed</x:v>
      </x:c>
      <x:c r="N570" s="117" t="str">
        <x:v>2026-09-08</x:v>
      </x:c>
    </x:row>
    <x:row r="571" ht="48" customHeight="1">
      <x:c r="A571" s="117" t="str">
        <x:v>MC0636</x:v>
      </x:c>
      <x:c r="B571" s="117" t="str">
        <x:v>Teluk Senangin</x:v>
      </x:c>
      <x:c r="C571" s="117" t="n">
        <x:v>2</x:v>
      </x:c>
      <x:c r="D571" s="117" t="str">
        <x:v>https://thumb.wikimedia.org/wikipedia/commons/thumb/d/d0/Surau_Teluk_Senangin%2C_Kampung_Teluk_Senangin_20241224_195237.jpg/1280px-Surau_Teluk_Senangin%2C_Kampung_Teluk_Senangin_20241224_195237.jpg?utm_source=commons.wikimedia.org&amp;utm_campaign=imageinfo&amp;utm_content=thumbnail</x:v>
      </x:c>
      <x:c r="E571" s="117" t="str">
        <x:v>https://commons.wikimedia.org/wiki/File:Surau_Teluk_Senangin,_Kampung_Teluk_Senangin_20241224_195237.jpg</x:v>
      </x:c>
      <x:c r="F571" s="117" t="str">
        <x:v>File:Surau Teluk Senangin, Kampung Teluk Senangin 20241224 195237.jpg</x:v>
      </x:c>
      <x:c r="G571" s="117" t="str">
        <x:v>Wiki Farazi</x:v>
      </x:c>
      <x:c r="H571" s="117" t="str">
        <x:v>CC0</x:v>
      </x:c>
      <x:c r="I571" s="117" t="str">
        <x:v>http://creativecommons.org/publicdomain/zero/1.0/deed.en</x:v>
      </x:c>
      <x:c r="J571" s="117" t="str">
        <x:v>false</x:v>
      </x:c>
      <x:c r="K571" s="117" t="str">
        <x:v>Own work</x:v>
      </x:c>
      <x:c r="L571" s="117" t="str">
        <x:v>Exact name or all distinctive place-name tokens in file metadata</x:v>
      </x:c>
      <x:c r="M571" s="117" t="str">
        <x:v>Not visually reviewed</x:v>
      </x:c>
      <x:c r="N571" s="117" t="str">
        <x:v>2026-09-08</x:v>
      </x:c>
    </x:row>
    <x:row r="572" ht="48" customHeight="1">
      <x:c r="A572" s="117" t="str">
        <x:v>MC0640</x:v>
      </x:c>
      <x:c r="B572" s="117" t="str">
        <x:v>Lata Iskandar Waterfall</x:v>
      </x:c>
      <x:c r="C572" s="117" t="n">
        <x:v>1</x:v>
      </x:c>
      <x:c r="D572" s="117" t="str">
        <x:v>https://upload.wikimedia.org/wikipedia/commons/9/9a/Air_terjun_Lata_Iskandar.jpg?utm_source=commons.wikimedia.org&amp;utm_campaign=imageinfo&amp;utm_content=thumbnail_unscaled</x:v>
      </x:c>
      <x:c r="E572" s="117" t="str">
        <x:v>https://commons.wikimedia.org/wiki/File:Air_terjun_Lata_Iskandar.jpg</x:v>
      </x:c>
      <x:c r="F572" s="117" t="str">
        <x:v>File:Air terjun Lata Iskandar.jpg</x:v>
      </x:c>
      <x:c r="G572" s="117" t="str">
        <x:v>Malekhanif at ms.wikipedia</x:v>
      </x:c>
      <x:c r="H572" s="117" t="str">
        <x:v>GFDL</x:v>
      </x:c>
      <x:c r="I572" s="117" t="str">
        <x:v>http://www.gnu.org/copyleft/fdl.html</x:v>
      </x:c>
      <x:c r="J572" s="117" t="str">
        <x:v>true</x:v>
      </x:c>
      <x:c r="K572" s="117" t="str">
        <x:v>Own workTransferred from ms.wikipedia</x:v>
      </x:c>
      <x:c r="L572" s="117" t="str">
        <x:v>Exact name or all distinctive place-name tokens in file metadata</x:v>
      </x:c>
      <x:c r="M572" s="117" t="str">
        <x:v>Not visually reviewed</x:v>
      </x:c>
      <x:c r="N572" s="117" t="str">
        <x:v>2026-09-08</x:v>
      </x:c>
    </x:row>
    <x:row r="573" ht="48" customHeight="1">
      <x:c r="A573" s="117" t="str">
        <x:v>MC0640</x:v>
      </x:c>
      <x:c r="B573" s="117" t="str">
        <x:v>Lata Iskandar Waterfall</x:v>
      </x:c>
      <x:c r="C573" s="117" t="n">
        <x:v>2</x:v>
      </x:c>
      <x:c r="D573" s="117" t="str">
        <x:v>https://thumb.wikimedia.org/wikipedia/commons/thumb/7/7d/Near_waterfall_Lata_Iskandar_%2828054824645%29.jpg/1280px-Near_waterfall_Lata_Iskandar_%2828054824645%29.jpg?utm_source=commons.wikimedia.org&amp;utm_campaign=imageinfo&amp;utm_content=thumbnail</x:v>
      </x:c>
      <x:c r="E573" s="117" t="str">
        <x:v>https://commons.wikimedia.org/wiki/File:Near_waterfall_Lata_Iskandar_(28054824645).jpg</x:v>
      </x:c>
      <x:c r="F573" s="117" t="str">
        <x:v>File:Near waterfall Lata Iskandar (28054824645).jpg</x:v>
      </x:c>
      <x:c r="G573" s="117" t="str">
        <x:v>Sasha India</x:v>
      </x:c>
      <x:c r="H573" s="117" t="str">
        <x:v>CC BY 2.0</x:v>
      </x:c>
      <x:c r="I573" s="117" t="str">
        <x:v>https://creativecommons.org/licenses/by/2.0</x:v>
      </x:c>
      <x:c r="J573" s="117" t="str">
        <x:v>true</x:v>
      </x:c>
      <x:c r="K573" s="117" t="str">
        <x:v>near waterfall Lata Iskandar</x:v>
      </x:c>
      <x:c r="L573" s="117" t="str">
        <x:v>Exact name or all distinctive place-name tokens in file metadata</x:v>
      </x:c>
      <x:c r="M573" s="117" t="str">
        <x:v>Not visually reviewed</x:v>
      </x:c>
      <x:c r="N573" s="117" t="str">
        <x:v>2026-09-08</x:v>
      </x:c>
    </x:row>
    <x:row r="574" ht="48" customHeight="1">
      <x:c r="A574" s="117" t="str">
        <x:v>MC0641</x:v>
      </x:c>
      <x:c r="B574" s="117" t="str">
        <x:v>Lata Kinjang Waterfall</x:v>
      </x:c>
      <x:c r="C574" s="117" t="n">
        <x:v>1</x:v>
      </x:c>
      <x:c r="D574" s="117" t="str">
        <x:v>https://upload.wikimedia.org/wikipedia/commons/5/51/Kampar_lata_kinjang_waterfall.jpg?utm_source=commons.wikimedia.org&amp;utm_campaign=imageinfo&amp;utm_content=thumbnail_unscaled</x:v>
      </x:c>
      <x:c r="E574" s="117" t="str">
        <x:v>https://commons.wikimedia.org/wiki/File:Kampar_lata_kinjang_waterfall.jpg</x:v>
      </x:c>
      <x:c r="F574" s="117" t="str">
        <x:v>File:Kampar lata kinjang waterfall.jpg</x:v>
      </x:c>
      <x:c r="G574" s="117" t="str">
        <x:v>kamparian</x:v>
      </x:c>
      <x:c r="H574" s="117" t="str">
        <x:v>Public domain</x:v>
      </x:c>
      <x:c r="I574" s="117" t="str"/>
      <x:c r="J574" s="117" t="str">
        <x:v>false</x:v>
      </x:c>
      <x:c r="K574" s="117" t="str">
        <x:v>Own work</x:v>
      </x:c>
      <x:c r="L574" s="117" t="str">
        <x:v>Exact name or all distinctive place-name tokens in file metadata</x:v>
      </x:c>
      <x:c r="M574" s="117" t="str">
        <x:v>Not visually reviewed</x:v>
      </x:c>
      <x:c r="N574" s="117" t="str">
        <x:v>2026-09-08</x:v>
      </x:c>
    </x:row>
    <x:row r="575" ht="48" customHeight="1">
      <x:c r="A575" s="117" t="str">
        <x:v>MC0641</x:v>
      </x:c>
      <x:c r="B575" s="117" t="str">
        <x:v>Lata Kinjang Waterfall</x:v>
      </x:c>
      <x:c r="C575" s="117" t="n">
        <x:v>2</x:v>
      </x:c>
      <x:c r="D575" s="117" t="str">
        <x:v>https://upload.wikimedia.org/wikipedia/commons/a/a5/Lata_kinjang_waterfall_2025.jpg?utm_source=commons.wikimedia.org&amp;utm_campaign=imageinfo&amp;utm_content=thumbnail_unscaled</x:v>
      </x:c>
      <x:c r="E575" s="117" t="str">
        <x:v>https://commons.wikimedia.org/wiki/File:Lata_kinjang_waterfall_2025.jpg</x:v>
      </x:c>
      <x:c r="F575" s="117" t="str">
        <x:v>File:Lata kinjang waterfall 2025.jpg</x:v>
      </x:c>
      <x:c r="G575" s="117" t="str">
        <x:v>Kaveri08</x:v>
      </x:c>
      <x:c r="H575" s="117" t="str">
        <x:v>CC BY-SA 4.0</x:v>
      </x:c>
      <x:c r="I575" s="117" t="str">
        <x:v>https://creativecommons.org/licenses/by-sa/4.0</x:v>
      </x:c>
      <x:c r="J575" s="117" t="str">
        <x:v>true</x:v>
      </x:c>
      <x:c r="K575" s="117" t="str">
        <x:v>Own work</x:v>
      </x:c>
      <x:c r="L575" s="117" t="str">
        <x:v>Exact name or all distinctive place-name tokens in file metadata</x:v>
      </x:c>
      <x:c r="M575" s="117" t="str">
        <x:v>Not visually reviewed</x:v>
      </x:c>
      <x:c r="N575" s="117" t="str">
        <x:v>2026-09-08</x:v>
      </x:c>
    </x:row>
    <x:row r="576" ht="48" customHeight="1">
      <x:c r="A576" s="117" t="str">
        <x:v>MC0644</x:v>
      </x:c>
      <x:c r="B576" s="117" t="str">
        <x:v>Gaharu Tea Valley</x:v>
      </x:c>
      <x:c r="C576" s="117" t="n">
        <x:v>1</x:v>
      </x:c>
      <x:c r="D576" s="117" t="str">
        <x:v>https://thumb.wikimedia.org/wikipedia/commons/thumb/e/e5/Gaharu_Tea_Valley_Gopeng.jpg/1280px-Gaharu_Tea_Valley_Gopeng.jpg?utm_source=commons.wikimedia.org&amp;utm_campaign=imageinfo&amp;utm_content=thumbnail</x:v>
      </x:c>
      <x:c r="E576" s="117" t="str">
        <x:v>https://commons.wikimedia.org/wiki/File:Gaharu_Tea_Valley_Gopeng.jpg</x:v>
      </x:c>
      <x:c r="F576" s="117" t="str">
        <x:v>File:Gaharu Tea Valley Gopeng.jpg</x:v>
      </x:c>
      <x:c r="G576" s="117" t="str">
        <x:v>SybilatGaharuTeaValley</x:v>
      </x:c>
      <x:c r="H576" s="117" t="str">
        <x:v>CC BY-SA 3.0</x:v>
      </x:c>
      <x:c r="I576" s="117" t="str">
        <x:v>https://creativecommons.org/licenses/by-sa/3.0</x:v>
      </x:c>
      <x:c r="J576" s="117" t="str">
        <x:v>true</x:v>
      </x:c>
      <x:c r="K576" s="117" t="str">
        <x:v>Own work</x:v>
      </x:c>
      <x:c r="L576" s="117" t="str">
        <x:v>Exact name or all distinctive place-name tokens in file metadata</x:v>
      </x:c>
      <x:c r="M576" s="117" t="str">
        <x:v>Not visually reviewed</x:v>
      </x:c>
      <x:c r="N576" s="117" t="str">
        <x:v>2026-09-08</x:v>
      </x:c>
    </x:row>
    <x:row r="577" ht="48" customHeight="1">
      <x:c r="A577" s="117" t="str">
        <x:v>MC0649</x:v>
      </x:c>
      <x:c r="B577" s="117" t="str">
        <x:v>Banding Island</x:v>
      </x:c>
      <x:c r="C577" s="117" t="n">
        <x:v>1</x:v>
      </x:c>
      <x:c r="D577" s="117" t="str">
        <x:v>https://thumb.wikimedia.org/wikipedia/commons/thumb/d/d9/Belum_Rainforest_Resort_Outdoor_Walkway%2C_Perak%2C_Malaysia.jpg/1280px-Belum_Rainforest_Resort_Outdoor_Walkway%2C_Perak%2C_Malaysia.jpg?utm_source=commons.wikimedia.org&amp;utm_campaign=imageinfo&amp;utm_content=thumbnail</x:v>
      </x:c>
      <x:c r="E577" s="117" t="str">
        <x:v>https://commons.wikimedia.org/wiki/File:Belum_Rainforest_Resort_Outdoor_Walkway,_Perak,_Malaysia.jpg</x:v>
      </x:c>
      <x:c r="F577" s="117" t="str">
        <x:v>File:Belum Rainforest Resort Outdoor Walkway, Perak, Malaysia.jpg</x:v>
      </x:c>
      <x:c r="G577" s="117" t="str">
        <x:v>wdominic from Kuala Lumpur, Malaysia</x:v>
      </x:c>
      <x:c r="H577" s="117" t="str">
        <x:v>CC BY 2.0</x:v>
      </x:c>
      <x:c r="I577" s="117" t="str">
        <x:v>https://creativecommons.org/licenses/by/2.0</x:v>
      </x:c>
      <x:c r="J577" s="117" t="str">
        <x:v>true</x:v>
      </x:c>
      <x:c r="K577" s="117" t="str">
        <x:v>Belum Rainforest Resort Outdoor Walkway</x:v>
      </x:c>
      <x:c r="L577" s="117" t="str">
        <x:v>Exact name or all distinctive place-name tokens in file metadata</x:v>
      </x:c>
      <x:c r="M577" s="117" t="str">
        <x:v>Not visually reviewed</x:v>
      </x:c>
      <x:c r="N577" s="117" t="str">
        <x:v>2026-09-08</x:v>
      </x:c>
    </x:row>
    <x:row r="578" ht="48" customHeight="1">
      <x:c r="A578" s="117" t="str">
        <x:v>MC0649</x:v>
      </x:c>
      <x:c r="B578" s="117" t="str">
        <x:v>Banding Island</x:v>
      </x:c>
      <x:c r="C578" s="117" t="n">
        <x:v>2</x:v>
      </x:c>
      <x:c r="D578" s="117" t="str">
        <x:v>https://thumb.wikimedia.org/wikipedia/commons/thumb/6/66/Temenggor_Lake_West_Bridge_3.jpg/1280px-Temenggor_Lake_West_Bridge_3.jpg?utm_source=commons.wikimedia.org&amp;utm_campaign=imageinfo&amp;utm_content=thumbnail</x:v>
      </x:c>
      <x:c r="E578" s="117" t="str">
        <x:v>https://commons.wikimedia.org/wiki/File:Temenggor_Lake_West_Bridge_3.jpg</x:v>
      </x:c>
      <x:c r="F578" s="117" t="str">
        <x:v>File:Temenggor Lake West Bridge 3.jpg</x:v>
      </x:c>
      <x:c r="G578" s="117" t="str">
        <x:v>Slleong</x:v>
      </x:c>
      <x:c r="H578" s="117" t="str">
        <x:v>CC0</x:v>
      </x:c>
      <x:c r="I578" s="117" t="str">
        <x:v>http://creativecommons.org/publicdomain/zero/1.0/deed.en</x:v>
      </x:c>
      <x:c r="J578" s="117" t="str">
        <x:v>false</x:v>
      </x:c>
      <x:c r="K578" s="117" t="str">
        <x:v>Own work</x:v>
      </x:c>
      <x:c r="L578" s="117" t="str">
        <x:v>Exact name or all distinctive place-name tokens in file metadata</x:v>
      </x:c>
      <x:c r="M578" s="117" t="str">
        <x:v>Not visually reviewed</x:v>
      </x:c>
      <x:c r="N578" s="117" t="str">
        <x:v>2026-09-08</x:v>
      </x:c>
    </x:row>
    <x:row r="579" ht="48" customHeight="1">
      <x:c r="A579" s="117" t="str">
        <x:v>MC0653</x:v>
      </x:c>
      <x:c r="B579" s="117" t="str">
        <x:v>Bukit Temiang</x:v>
      </x:c>
      <x:c r="C579" s="117" t="n">
        <x:v>1</x:v>
      </x:c>
      <x:c r="D579" s="117" t="str">
        <x:v>https://thumb.wikimedia.org/wikipedia/commons/thumb/4/43/Deepavali_in_Negeri_Sembilan_Malaysia.jpg/1280px-Deepavali_in_Negeri_Sembilan_Malaysia.jpg?utm_source=commons.wikimedia.org&amp;utm_campaign=imageinfo&amp;utm_content=thumbnail</x:v>
      </x:c>
      <x:c r="E579" s="117" t="str">
        <x:v>https://commons.wikimedia.org/wiki/File:Deepavali_in_Negeri_Sembilan_Malaysia.jpg</x:v>
      </x:c>
      <x:c r="F579" s="117" t="str">
        <x:v>File:Deepavali in Negeri Sembilan Malaysia.jpg</x:v>
      </x:c>
      <x:c r="G579" s="117" t="str">
        <x:v>Phalinn Ooi from Kuala Lumpur, Malaysia</x:v>
      </x:c>
      <x:c r="H579" s="117" t="str">
        <x:v>CC BY 2.0</x:v>
      </x:c>
      <x:c r="I579" s="117" t="str">
        <x:v>https://creativecommons.org/licenses/by/2.0</x:v>
      </x:c>
      <x:c r="J579" s="117" t="str">
        <x:v>true</x:v>
      </x:c>
      <x:c r="K579" s="117" t="str">
        <x:v>Deepavali</x:v>
      </x:c>
      <x:c r="L579" s="117" t="str">
        <x:v>Exact name or all distinctive place-name tokens in file metadata</x:v>
      </x:c>
      <x:c r="M579" s="117" t="str">
        <x:v>Not visually reviewed</x:v>
      </x:c>
      <x:c r="N579" s="117" t="str">
        <x:v>2026-09-08</x:v>
      </x:c>
    </x:row>
    <x:row r="580" ht="48" customHeight="1">
      <x:c r="A580" s="117" t="str">
        <x:v>MC0654</x:v>
      </x:c>
      <x:c r="B580" s="117" t="str">
        <x:v>Crocker Range Park</x:v>
      </x:c>
      <x:c r="C580" s="117" t="n">
        <x:v>1</x:v>
      </x:c>
      <x:c r="D580" s="117" t="str">
        <x:v>https://upload.wikimedia.org/wikipedia/commons/7/72/Location_of_Kinabalu_Ecolinc_Project.jpg?utm_source=commons.wikimedia.org&amp;utm_campaign=imageinfo&amp;utm_content=thumbnail_unscaled</x:v>
      </x:c>
      <x:c r="E580" s="117" t="str">
        <x:v>https://commons.wikimedia.org/wiki/File:Location_of_Kinabalu_Ecolinc_Project.jpg</x:v>
      </x:c>
      <x:c r="F580" s="117" t="str">
        <x:v>File:Location of Kinabalu Ecolinc Project.jpg</x:v>
      </x:c>
      <x:c r="G580" s="117" t="str">
        <x:v>Charmila Flora Miuse
Kamlisa Uni Kamlun</x:v>
      </x:c>
      <x:c r="H580" s="117" t="str">
        <x:v>CC BY 3.0</x:v>
      </x:c>
      <x:c r="I580" s="117" t="str">
        <x:v>https://creativecommons.org/licenses/by/3.0</x:v>
      </x:c>
      <x:c r="J580" s="117" t="str">
        <x:v>true</x:v>
      </x:c>
      <x:c r="K580" s="117" t="str">
        <x:v>https://www.researchgate.net/figure/Location-of-Kinabalu-Park-Crocker-Range-Parks-and-KEL-area_fig1_337116249</x:v>
      </x:c>
      <x:c r="L580" s="117" t="str">
        <x:v>Exact name or all distinctive place-name tokens in file metadata</x:v>
      </x:c>
      <x:c r="M580" s="117" t="str">
        <x:v>Not visually reviewed</x:v>
      </x:c>
      <x:c r="N580" s="117" t="str">
        <x:v>2026-09-08</x:v>
      </x:c>
    </x:row>
    <x:row r="581" ht="48" customHeight="1">
      <x:c r="A581" s="117" t="str">
        <x:v>MC0654</x:v>
      </x:c>
      <x:c r="B581" s="117" t="str">
        <x:v>Crocker Range Park</x:v>
      </x:c>
      <x:c r="C581" s="117" t="n">
        <x:v>2</x:v>
      </x:c>
      <x:c r="D581" s="117" t="str">
        <x:v>https://thumb.wikimedia.org/wikipedia/commons/thumb/e/e9/Black-and-yellow_Broadbill_0A2A8552.jpg/1280px-Black-and-yellow_Broadbill_0A2A8552.jpg?utm_source=commons.wikimedia.org&amp;utm_campaign=imageinfo&amp;utm_content=thumbnail</x:v>
      </x:c>
      <x:c r="E581" s="117" t="str">
        <x:v>https://commons.wikimedia.org/wiki/File:Black-and-yellow_Broadbill_0A2A8552.jpg</x:v>
      </x:c>
      <x:c r="F581" s="117" t="str">
        <x:v>File:Black-and-yellow Broadbill 0A2A8552.jpg</x:v>
      </x:c>
      <x:c r="G581" s="117" t="str">
        <x:v>JJ Harrison</x:v>
      </x:c>
      <x:c r="H581" s="117" t="str">
        <x:v>CC BY-SA 3.0</x:v>
      </x:c>
      <x:c r="I581" s="117" t="str">
        <x:v>https://creativecommons.org/licenses/by-sa/3.0</x:v>
      </x:c>
      <x:c r="J581" s="117" t="str">
        <x:v>true</x:v>
      </x:c>
      <x:c r="K581" s="117" t="str">
        <x:v>Own work</x:v>
      </x:c>
      <x:c r="L581" s="117" t="str">
        <x:v>Exact name or all distinctive place-name tokens in file metadata</x:v>
      </x:c>
      <x:c r="M581" s="117" t="str">
        <x:v>Not visually reviewed</x:v>
      </x:c>
      <x:c r="N581" s="117" t="str">
        <x:v>2026-09-08</x:v>
      </x:c>
    </x:row>
    <x:row r="582" ht="48" customHeight="1">
      <x:c r="A582" s="117" t="str">
        <x:v>MC0655</x:v>
      </x:c>
      <x:c r="B582" s="117" t="str">
        <x:v>Sipadan Island</x:v>
      </x:c>
      <x:c r="C582" s="117" t="n">
        <x:v>1</x:v>
      </x:c>
      <x:c r="D582" s="117" t="str">
        <x:v>https://upload.wikimedia.org/wikipedia/commons/0/03/Sipadan2.JPG?utm_source=commons.wikimedia.org&amp;utm_campaign=imageinfo&amp;utm_content=thumbnail_unscaled</x:v>
      </x:c>
      <x:c r="E582" s="117" t="str">
        <x:v>https://commons.wikimedia.org/wiki/File:Sipadan2.JPG</x:v>
      </x:c>
      <x:c r="F582" s="117" t="str">
        <x:v>File:Sipadan2.JPG</x:v>
      </x:c>
      <x:c r="G582" s="117" t="str">
        <x:v>Albert Kok at Dutch Wikipedia</x:v>
      </x:c>
      <x:c r="H582" s="117" t="str">
        <x:v>Public domain</x:v>
      </x:c>
      <x:c r="I582" s="117" t="str"/>
      <x:c r="J582" s="117" t="str">
        <x:v>false</x:v>
      </x:c>
      <x:c r="K582" s="117" t="str">
        <x:v>Own work</x:v>
      </x:c>
      <x:c r="L582" s="117" t="str">
        <x:v>Exact name or all distinctive place-name tokens in file metadata</x:v>
      </x:c>
      <x:c r="M582" s="117" t="str">
        <x:v>Not visually reviewed</x:v>
      </x:c>
      <x:c r="N582" s="117" t="str">
        <x:v>2026-09-08</x:v>
      </x:c>
    </x:row>
    <x:row r="583" ht="48" customHeight="1">
      <x:c r="A583" s="117" t="str">
        <x:v>MC0655</x:v>
      </x:c>
      <x:c r="B583" s="117" t="str">
        <x:v>Sipadan Island</x:v>
      </x:c>
      <x:c r="C583" s="117" t="n">
        <x:v>2</x:v>
      </x:c>
      <x:c r="D583" s="117" t="str">
        <x:v>https://thumb.wikimedia.org/wikipedia/commons/thumb/0/02/Plectorhinchus_chaetodonoides.JPG/1280px-Plectorhinchus_chaetodonoides.JPG?utm_source=commons.wikimedia.org&amp;utm_campaign=imageinfo&amp;utm_content=thumbnail</x:v>
      </x:c>
      <x:c r="E583" s="117" t="str">
        <x:v>https://commons.wikimedia.org/wiki/File:Plectorhinchus_chaetodonoides.JPG</x:v>
      </x:c>
      <x:c r="F583" s="117" t="str">
        <x:v>File:Plectorhinchus chaetodonoides.JPG</x:v>
      </x:c>
      <x:c r="G583" s="117" t="str">
        <x:v>Jens Petersen</x:v>
      </x:c>
      <x:c r="H583" s="117" t="str">
        <x:v>CC BY 2.5</x:v>
      </x:c>
      <x:c r="I583" s="117" t="str">
        <x:v>https://creativecommons.org/licenses/by/2.5</x:v>
      </x:c>
      <x:c r="J583" s="117" t="str">
        <x:v>true</x:v>
      </x:c>
      <x:c r="K583" s="117" t="str">
        <x:v>Own work</x:v>
      </x:c>
      <x:c r="L583" s="117" t="str">
        <x:v>Exact name or all distinctive place-name tokens in file metadata</x:v>
      </x:c>
      <x:c r="M583" s="117" t="str">
        <x:v>Not visually reviewed</x:v>
      </x:c>
      <x:c r="N583" s="117" t="str">
        <x:v>2026-09-08</x:v>
      </x:c>
    </x:row>
    <x:row r="584" ht="48" customHeight="1">
      <x:c r="A584" s="117" t="str">
        <x:v>MC0656</x:v>
      </x:c>
      <x:c r="B584" s="117" t="str">
        <x:v>Mabul Island</x:v>
      </x:c>
      <x:c r="C584" s="117" t="n">
        <x:v>1</x:v>
      </x:c>
      <x:c r="D584" s="117" t="str">
        <x:v>https://thumb.wikimedia.org/wikipedia/commons/thumb/f/fd/Mabul_Island_-_Borneo.jpg/1280px-Mabul_Island_-_Borneo.jpg?utm_source=commons.wikimedia.org&amp;utm_campaign=imageinfo&amp;utm_content=thumbnail</x:v>
      </x:c>
      <x:c r="E584" s="117" t="str">
        <x:v>https://commons.wikimedia.org/wiki/File:Mabul_Island_-_Borneo.jpg</x:v>
      </x:c>
      <x:c r="F584" s="117" t="str">
        <x:v>File:Mabul Island - Borneo.jpg</x:v>
      </x:c>
      <x:c r="G584" s="117" t="str">
        <x:v>johnjodeery</x:v>
      </x:c>
      <x:c r="H584" s="117" t="str">
        <x:v>CC BY 2.0</x:v>
      </x:c>
      <x:c r="I584" s="117" t="str">
        <x:v>https://creativecommons.org/licenses/by/2.0</x:v>
      </x:c>
      <x:c r="J584" s="117" t="str">
        <x:v>true</x:v>
      </x:c>
      <x:c r="K584" s="117" t="str">
        <x:v>Mabul Island - Borneo</x:v>
      </x:c>
      <x:c r="L584" s="117" t="str">
        <x:v>Exact name or all distinctive place-name tokens in file metadata</x:v>
      </x:c>
      <x:c r="M584" s="117" t="str">
        <x:v>Not visually reviewed</x:v>
      </x:c>
      <x:c r="N584" s="117" t="str">
        <x:v>2026-09-08</x:v>
      </x:c>
    </x:row>
    <x:row r="585" ht="48" customHeight="1">
      <x:c r="A585" s="117" t="str">
        <x:v>MC0656</x:v>
      </x:c>
      <x:c r="B585" s="117" t="str">
        <x:v>Mabul Island</x:v>
      </x:c>
      <x:c r="C585" s="117" t="n">
        <x:v>2</x:v>
      </x:c>
      <x:c r="D585" s="117" t="str">
        <x:v>https://thumb.wikimedia.org/wikipedia/commons/thumb/d/d7/Mabul_Island.jpg/1280px-Mabul_Island.jpg?utm_source=commons.wikimedia.org&amp;utm_campaign=imageinfo&amp;utm_content=thumbnail</x:v>
      </x:c>
      <x:c r="E585" s="117" t="str">
        <x:v>https://commons.wikimedia.org/wiki/File:Mabul_Island.jpg</x:v>
      </x:c>
      <x:c r="F585" s="117" t="str">
        <x:v>File:Mabul Island.jpg</x:v>
      </x:c>
      <x:c r="G585" s="117" t="str">
        <x:v>Kevin85Sam</x:v>
      </x:c>
      <x:c r="H585" s="117" t="str">
        <x:v>CC BY-SA 4.0</x:v>
      </x:c>
      <x:c r="I585" s="117" t="str">
        <x:v>https://creativecommons.org/licenses/by-sa/4.0</x:v>
      </x:c>
      <x:c r="J585" s="117" t="str">
        <x:v>true</x:v>
      </x:c>
      <x:c r="K585" s="117" t="str">
        <x:v>Own work</x:v>
      </x:c>
      <x:c r="L585" s="117" t="str">
        <x:v>Exact name or all distinctive place-name tokens in file metadata</x:v>
      </x:c>
      <x:c r="M585" s="117" t="str">
        <x:v>Not visually reviewed</x:v>
      </x:c>
      <x:c r="N585" s="117" t="str">
        <x:v>2026-09-08</x:v>
      </x:c>
    </x:row>
    <x:row r="586" ht="48" customHeight="1">
      <x:c r="A586" s="117" t="str">
        <x:v>MC0657</x:v>
      </x:c>
      <x:c r="B586" s="117" t="str">
        <x:v>Kapalai</x:v>
      </x:c>
      <x:c r="C586" s="117" t="n">
        <x:v>1</x:v>
      </x:c>
      <x:c r="D586" s="117" t="str">
        <x:v>https://thumb.wikimedia.org/wikipedia/commons/thumb/f/f8/Kapalai_2.jpg/1280px-Kapalai_2.jpg?utm_source=commons.wikimedia.org&amp;utm_campaign=imageinfo&amp;utm_content=thumbnail</x:v>
      </x:c>
      <x:c r="E586" s="117" t="str">
        <x:v>https://commons.wikimedia.org/wiki/File:Kapalai_2.jpg</x:v>
      </x:c>
      <x:c r="F586" s="117" t="str">
        <x:v>File:Kapalai 2.jpg</x:v>
      </x:c>
      <x:c r="G586" s="117" t="str">
        <x:v>dboyfotopages</x:v>
      </x:c>
      <x:c r="H586" s="117" t="str">
        <x:v>CC BY 2.0</x:v>
      </x:c>
      <x:c r="I586" s="117" t="str">
        <x:v>https://creativecommons.org/licenses/by/2.0</x:v>
      </x:c>
      <x:c r="J586" s="117" t="str">
        <x:v>true</x:v>
      </x:c>
      <x:c r="K586" s="117" t="str">
        <x:v>sipadan 353</x:v>
      </x:c>
      <x:c r="L586" s="117" t="str">
        <x:v>Exact name or all distinctive place-name tokens in file metadata</x:v>
      </x:c>
      <x:c r="M586" s="117" t="str">
        <x:v>Not visually reviewed</x:v>
      </x:c>
      <x:c r="N586" s="117" t="str">
        <x:v>2026-09-08</x:v>
      </x:c>
    </x:row>
    <x:row r="587" ht="48" customHeight="1">
      <x:c r="A587" s="117" t="str">
        <x:v>MC0657</x:v>
      </x:c>
      <x:c r="B587" s="117" t="str">
        <x:v>Kapalai</x:v>
      </x:c>
      <x:c r="C587" s="117" t="n">
        <x:v>2</x:v>
      </x:c>
      <x:c r="D587" s="117" t="str">
        <x:v>https://thumb.wikimedia.org/wikipedia/commons/thumb/2/21/Sabah-Islands-DarvelBay_PulauKapalai-Pushpin.png/1280px-Sabah-Islands-DarvelBay_PulauKapalai-Pushpin.png?utm_source=commons.wikimedia.org&amp;utm_campaign=imageinfo&amp;utm_content=thumbnail</x:v>
      </x:c>
      <x:c r="E587" s="117" t="str">
        <x:v>https://commons.wikimedia.org/wiki/File:Sabah-Islands-DarvelBay_PulauKapalai-Pushpin.png</x:v>
      </x:c>
      <x:c r="F587" s="117" t="str">
        <x:v>File:Sabah-Islands-DarvelBay PulauKapalai-Pushpin.png</x:v>
      </x:c>
      <x:c r="G587" s="117" t="str">
        <x:v>Cccefalon; Pushpin: McSush</x:v>
      </x:c>
      <x:c r="H587" s="117" t="str">
        <x:v>CC BY-SA 3.0</x:v>
      </x:c>
      <x:c r="I587" s="117" t="str">
        <x:v>https://creativecommons.org/licenses/by-sa/3.0</x:v>
      </x:c>
      <x:c r="J587" s="117" t="str">
        <x:v>true</x:v>
      </x:c>
      <x:c r="K587" s="117" t="str">
        <x:v>Own work unter Verwendung von File:Map_symbol-pin.svg</x:v>
      </x:c>
      <x:c r="L587" s="117" t="str">
        <x:v>Exact name or all distinctive place-name tokens in file metadata</x:v>
      </x:c>
      <x:c r="M587" s="117" t="str">
        <x:v>Not visually reviewed</x:v>
      </x:c>
      <x:c r="N587" s="117" t="str">
        <x:v>2026-09-08</x:v>
      </x:c>
    </x:row>
    <x:row r="588" ht="48" customHeight="1">
      <x:c r="A588" s="117" t="str">
        <x:v>MC0658</x:v>
      </x:c>
      <x:c r="B588" s="117" t="str">
        <x:v>Mataking Island</x:v>
      </x:c>
      <x:c r="C588" s="117" t="n">
        <x:v>1</x:v>
      </x:c>
      <x:c r="D588" s="117" t="str">
        <x:v>https://thumb.wikimedia.org/wikipedia/commons/thumb/5/54/Mataking_Island.jpg/1280px-Mataking_Island.jpg?utm_source=commons.wikimedia.org&amp;utm_campaign=imageinfo&amp;utm_content=thumbnail</x:v>
      </x:c>
      <x:c r="E588" s="117" t="str">
        <x:v>https://commons.wikimedia.org/wiki/File:Mataking_Island.jpg</x:v>
      </x:c>
      <x:c r="F588" s="117" t="str">
        <x:v>File:Mataking Island.jpg</x:v>
      </x:c>
      <x:c r="G588" s="117" t="str">
        <x:v>arare</x:v>
      </x:c>
      <x:c r="H588" s="117" t="str">
        <x:v>CC BY-SA 2.5</x:v>
      </x:c>
      <x:c r="I588" s="117" t="str">
        <x:v>https://creativecommons.org/licenses/by-sa/2.5</x:v>
      </x:c>
      <x:c r="J588" s="117" t="str">
        <x:v>true</x:v>
      </x:c>
      <x:c r="K588" s="117" t="str">
        <x:v>http://photozou.jp/photo/photo_only/6244/658775</x:v>
      </x:c>
      <x:c r="L588" s="117" t="str">
        <x:v>Exact name or all distinctive place-name tokens in file metadata</x:v>
      </x:c>
      <x:c r="M588" s="117" t="str">
        <x:v>Not visually reviewed</x:v>
      </x:c>
      <x:c r="N588" s="117" t="str">
        <x:v>2026-09-08</x:v>
      </x:c>
    </x:row>
    <x:row r="589" ht="48" customHeight="1">
      <x:c r="A589" s="117" t="str">
        <x:v>MC0658</x:v>
      </x:c>
      <x:c r="B589" s="117" t="str">
        <x:v>Mataking Island</x:v>
      </x:c>
      <x:c r="C589" s="117" t="n">
        <x:v>2</x:v>
      </x:c>
      <x:c r="D589" s="117" t="str">
        <x:v>https://thumb.wikimedia.org/wikipedia/commons/thumb/3/30/Mataking_Island_Sabah.jpg/1280px-Mataking_Island_Sabah.jpg?utm_source=commons.wikimedia.org&amp;utm_campaign=imageinfo&amp;utm_content=thumbnail</x:v>
      </x:c>
      <x:c r="E589" s="117" t="str">
        <x:v>https://commons.wikimedia.org/wiki/File:Mataking_Island_Sabah.jpg</x:v>
      </x:c>
      <x:c r="F589" s="117" t="str">
        <x:v>File:Mataking Island Sabah.jpg</x:v>
      </x:c>
      <x:c r="G589" s="117" t="str">
        <x:v>Angah hfz</x:v>
      </x:c>
      <x:c r="H589" s="117" t="str">
        <x:v>CC BY-SA 4.0</x:v>
      </x:c>
      <x:c r="I589" s="117" t="str">
        <x:v>https://creativecommons.org/licenses/by-sa/4.0</x:v>
      </x:c>
      <x:c r="J589" s="117" t="str">
        <x:v>true</x:v>
      </x:c>
      <x:c r="K589" s="117" t="str">
        <x:v>Own work</x:v>
      </x:c>
      <x:c r="L589" s="117" t="str">
        <x:v>Exact name or all distinctive place-name tokens in file metadata</x:v>
      </x:c>
      <x:c r="M589" s="117" t="str">
        <x:v>Not visually reviewed</x:v>
      </x:c>
      <x:c r="N589" s="117" t="str">
        <x:v>2026-09-08</x:v>
      </x:c>
    </x:row>
    <x:row r="590" ht="48" customHeight="1">
      <x:c r="A590" s="117" t="str">
        <x:v>MC0661</x:v>
      </x:c>
      <x:c r="B590" s="117" t="str">
        <x:v>Turtle Islands Park</x:v>
      </x:c>
      <x:c r="C590" s="117" t="n">
        <x:v>1</x:v>
      </x:c>
      <x:c r="D590" s="117" t="str">
        <x:v>https://upload.wikimedia.org/wikipedia/commons/f/fa/Turtle_Islands_National_Park.jpg?utm_source=commons.wikimedia.org&amp;utm_campaign=imageinfo&amp;utm_content=thumbnail_unscaled</x:v>
      </x:c>
      <x:c r="E590" s="117" t="str">
        <x:v>https://commons.wikimedia.org/wiki/File:Turtle_Islands_National_Park.jpg</x:v>
      </x:c>
      <x:c r="F590" s="117" t="str">
        <x:v>File:Turtle Islands National Park.jpg</x:v>
      </x:c>
      <x:c r="G590" s="117" t="str">
        <x:v>PatrickVanM</x:v>
      </x:c>
      <x:c r="H590" s="117" t="str">
        <x:v>CC BY-SA 3.0</x:v>
      </x:c>
      <x:c r="I590" s="117" t="str">
        <x:v>https://creativecommons.org/licenses/by-sa/3.0</x:v>
      </x:c>
      <x:c r="J590" s="117" t="str">
        <x:v>true</x:v>
      </x:c>
      <x:c r="K590" s="117" t="str">
        <x:v>Own work</x:v>
      </x:c>
      <x:c r="L590" s="117" t="str">
        <x:v>Exact name or all distinctive place-name tokens in file metadata</x:v>
      </x:c>
      <x:c r="M590" s="117" t="str">
        <x:v>Not visually reviewed</x:v>
      </x:c>
      <x:c r="N590" s="117" t="str">
        <x:v>2026-09-08</x:v>
      </x:c>
    </x:row>
    <x:row r="591" ht="48" customHeight="1">
      <x:c r="A591" s="117" t="str">
        <x:v>MC0661</x:v>
      </x:c>
      <x:c r="B591" s="117" t="str">
        <x:v>Turtle Islands Park</x:v>
      </x:c>
      <x:c r="C591" s="117" t="n">
        <x:v>2</x:v>
      </x:c>
      <x:c r="D591" s="117" t="str">
        <x:v>https://thumb.wikimedia.org/wikipedia/commons/thumb/c/c7/Selingan_Island_Borneo.jpg/1280px-Selingan_Island_Borneo.jpg?utm_source=commons.wikimedia.org&amp;utm_campaign=imageinfo&amp;utm_content=thumbnail</x:v>
      </x:c>
      <x:c r="E591" s="117" t="str">
        <x:v>https://commons.wikimedia.org/wiki/File:Selingan_Island_Borneo.jpg</x:v>
      </x:c>
      <x:c r="F591" s="117" t="str">
        <x:v>File:Selingan Island Borneo.jpg</x:v>
      </x:c>
      <x:c r="G591" s="117" t="str">
        <x:v>stenley</x:v>
      </x:c>
      <x:c r="H591" s="117" t="str">
        <x:v>CC BY 2.0</x:v>
      </x:c>
      <x:c r="I591" s="117" t="str">
        <x:v>https://creativecommons.org/licenses/by/2.0</x:v>
      </x:c>
      <x:c r="J591" s="117" t="str">
        <x:v>true</x:v>
      </x:c>
      <x:c r="K591" s="117" t="str">
        <x:v>DSC01553</x:v>
      </x:c>
      <x:c r="L591" s="117" t="str">
        <x:v>Exact name or all distinctive place-name tokens in file metadata</x:v>
      </x:c>
      <x:c r="M591" s="117" t="str">
        <x:v>Not visually reviewed</x:v>
      </x:c>
      <x:c r="N591" s="117" t="str">
        <x:v>2026-09-08</x:v>
      </x:c>
    </x:row>
    <x:row r="592" ht="48" customHeight="1">
      <x:c r="A592" s="117" t="str">
        <x:v>MC0662</x:v>
      </x:c>
      <x:c r="B592" s="117" t="str">
        <x:v>Agnes Keith House</x:v>
      </x:c>
      <x:c r="C592" s="117" t="n">
        <x:v>1</x:v>
      </x:c>
      <x:c r="D592" s="117" t="str">
        <x:v>https://thumb.wikimedia.org/wikipedia/commons/thumb/a/ad/Sandakan_Sabah_AgnesKeithHouse-16.jpg/1280px-Sandakan_Sabah_AgnesKeithHouse-16.jpg?utm_source=commons.wikimedia.org&amp;utm_campaign=imageinfo&amp;utm_content=thumbnail</x:v>
      </x:c>
      <x:c r="E592" s="117" t="str">
        <x:v>https://commons.wikimedia.org/wiki/File:Sandakan_Sabah_AgnesKeithHouse-16.jpg</x:v>
      </x:c>
      <x:c r="F592" s="117" t="str">
        <x:v>File:Sandakan Sabah AgnesKeithHouse-16.jpg</x:v>
      </x:c>
      <x:c r="G592" s="117" t="str">
        <x:v>CEphoto, Uwe Aranas</x:v>
      </x:c>
      <x:c r="H592" s="117" t="str">
        <x:v>CC BY-SA 3.0</x:v>
      </x:c>
      <x:c r="I592" s="117" t="str">
        <x:v>https://creativecommons.org/licenses/by-sa/3.0</x:v>
      </x:c>
      <x:c r="J592" s="117" t="str">
        <x:v>true</x:v>
      </x:c>
      <x:c r="K592" s="117" t="str">
        <x:v>Own work</x:v>
      </x:c>
      <x:c r="L592" s="117" t="str">
        <x:v>Exact name or all distinctive place-name tokens in file metadata</x:v>
      </x:c>
      <x:c r="M592" s="117" t="str">
        <x:v>Not visually reviewed</x:v>
      </x:c>
      <x:c r="N592" s="117" t="str">
        <x:v>2026-09-08</x:v>
      </x:c>
    </x:row>
    <x:row r="593" ht="48" customHeight="1">
      <x:c r="A593" s="117" t="str">
        <x:v>MC0662</x:v>
      </x:c>
      <x:c r="B593" s="117" t="str">
        <x:v>Agnes Keith House</x:v>
      </x:c>
      <x:c r="C593" s="117" t="n">
        <x:v>2</x:v>
      </x:c>
      <x:c r="D593" s="117" t="str">
        <x:v>https://thumb.wikimedia.org/wikipedia/commons/thumb/4/44/Sandakan_Sabah_AgnesKeithHouse-12.jpg/1280px-Sandakan_Sabah_AgnesKeithHouse-12.jpg?utm_source=commons.wikimedia.org&amp;utm_campaign=imageinfo&amp;utm_content=thumbnail</x:v>
      </x:c>
      <x:c r="E593" s="117" t="str">
        <x:v>https://commons.wikimedia.org/wiki/File:Sandakan_Sabah_AgnesKeithHouse-12.jpg</x:v>
      </x:c>
      <x:c r="F593" s="117" t="str">
        <x:v>File:Sandakan Sabah AgnesKeithHouse-12.jpg</x:v>
      </x:c>
      <x:c r="G593" s="117" t="str">
        <x:v>CEphoto, Uwe Aranas</x:v>
      </x:c>
      <x:c r="H593" s="117" t="str">
        <x:v>CC BY-SA 3.0</x:v>
      </x:c>
      <x:c r="I593" s="117" t="str">
        <x:v>https://creativecommons.org/licenses/by-sa/3.0</x:v>
      </x:c>
      <x:c r="J593" s="117" t="str">
        <x:v>true</x:v>
      </x:c>
      <x:c r="K593" s="117" t="str">
        <x:v>Own work</x:v>
      </x:c>
      <x:c r="L593" s="117" t="str">
        <x:v>Exact name or all distinctive place-name tokens in file metadata</x:v>
      </x:c>
      <x:c r="M593" s="117" t="str">
        <x:v>Not visually reviewed</x:v>
      </x:c>
      <x:c r="N593" s="117" t="str">
        <x:v>2026-09-08</x:v>
      </x:c>
    </x:row>
    <x:row r="594" ht="48" customHeight="1">
      <x:c r="A594" s="117" t="str">
        <x:v>MC0664</x:v>
      </x:c>
      <x:c r="B594" s="117" t="str">
        <x:v>Gomantong Caves</x:v>
      </x:c>
      <x:c r="C594" s="117" t="n">
        <x:v>1</x:v>
      </x:c>
      <x:c r="D594" s="117" t="str">
        <x:v>https://upload.wikimedia.org/wikipedia/commons/c/cf/GomantongCaves.Lauras512.jpg?utm_source=commons.wikimedia.org&amp;utm_campaign=imageinfo&amp;utm_content=thumbnail_unscaled</x:v>
      </x:c>
      <x:c r="E594" s="117" t="str">
        <x:v>https://commons.wikimedia.org/wiki/File:GomantongCaves.Lauras512.jpg</x:v>
      </x:c>
      <x:c r="F594" s="117" t="str">
        <x:v>File:GomantongCaves.Lauras512.jpg</x:v>
      </x:c>
      <x:c r="G594" s="117" t="str">
        <x:v>Laura from Geneva, Switzerland</x:v>
      </x:c>
      <x:c r="H594" s="117" t="str">
        <x:v>CC BY 2.0</x:v>
      </x:c>
      <x:c r="I594" s="117" t="str">
        <x:v>https://creativecommons.org/licenses/by/2.0</x:v>
      </x:c>
      <x:c r="J594" s="117" t="str">
        <x:v>true</x:v>
      </x:c>
      <x:c r="K594" s="117" t="str">
        <x:v>Honeymoon 203</x:v>
      </x:c>
      <x:c r="L594" s="117" t="str">
        <x:v>Exact name or all distinctive place-name tokens in file metadata</x:v>
      </x:c>
      <x:c r="M594" s="117" t="str">
        <x:v>Not visually reviewed</x:v>
      </x:c>
      <x:c r="N594" s="117" t="str">
        <x:v>2026-09-08</x:v>
      </x:c>
    </x:row>
    <x:row r="595" ht="48" customHeight="1">
      <x:c r="A595" s="117" t="str">
        <x:v>MC0664</x:v>
      </x:c>
      <x:c r="B595" s="117" t="str">
        <x:v>Gomantong Caves</x:v>
      </x:c>
      <x:c r="C595" s="117" t="n">
        <x:v>2</x:v>
      </x:c>
      <x:c r="D595" s="117" t="str">
        <x:v>https://thumb.wikimedia.org/wikipedia/commons/thumb/e/ee/Gomantong_Caves_20190705_160937.jpg/1280px-Gomantong_Caves_20190705_160937.jpg?utm_source=commons.wikimedia.org&amp;utm_campaign=imageinfo&amp;utm_content=thumbnail</x:v>
      </x:c>
      <x:c r="E595" s="117" t="str">
        <x:v>https://commons.wikimedia.org/wiki/File:Gomantong_Caves_20190705_160937.jpg</x:v>
      </x:c>
      <x:c r="F595" s="117" t="str">
        <x:v>File:Gomantong Caves 20190705 160937.jpg</x:v>
      </x:c>
      <x:c r="G595" s="117" t="str">
        <x:v>Josefito123</x:v>
      </x:c>
      <x:c r="H595" s="117" t="str">
        <x:v>CC BY-SA 4.0</x:v>
      </x:c>
      <x:c r="I595" s="117" t="str">
        <x:v>https://creativecommons.org/licenses/by-sa/4.0</x:v>
      </x:c>
      <x:c r="J595" s="117" t="str">
        <x:v>true</x:v>
      </x:c>
      <x:c r="K595" s="117" t="str">
        <x:v>Own work</x:v>
      </x:c>
      <x:c r="L595" s="117" t="str">
        <x:v>Exact name or all distinctive place-name tokens in file metadata</x:v>
      </x:c>
      <x:c r="M595" s="117" t="str">
        <x:v>Not visually reviewed</x:v>
      </x:c>
      <x:c r="N595" s="117" t="str">
        <x:v>2026-09-08</x:v>
      </x:c>
    </x:row>
    <x:row r="596" ht="48" customHeight="1">
      <x:c r="A596" s="117" t="str">
        <x:v>MC0665</x:v>
      </x:c>
      <x:c r="B596" s="117" t="str">
        <x:v>Agop Batu Tulug</x:v>
      </x:c>
      <x:c r="C596" s="117" t="n">
        <x:v>1</x:v>
      </x:c>
      <x:c r="D596" s="117" t="str">
        <x:v>https://thumb.wikimedia.org/wikipedia/commons/thumb/1/1a/BatuPutih_Sabah_AgopBatuTulug-15.jpg/1280px-BatuPutih_Sabah_AgopBatuTulug-15.jpg?utm_source=commons.wikimedia.org&amp;utm_campaign=imageinfo&amp;utm_content=thumbnail</x:v>
      </x:c>
      <x:c r="E596" s="117" t="str">
        <x:v>https://commons.wikimedia.org/wiki/File:BatuPutih_Sabah_AgopBatuTulug-15.jpg</x:v>
      </x:c>
      <x:c r="F596" s="117" t="str">
        <x:v>File:BatuPutih Sabah AgopBatuTulug-15.jpg</x:v>
      </x:c>
      <x:c r="G596" s="117" t="str">
        <x:v>CEphoto, Uwe Aranas</x:v>
      </x:c>
      <x:c r="H596" s="117" t="str">
        <x:v>CC BY-SA 3.0</x:v>
      </x:c>
      <x:c r="I596" s="117" t="str">
        <x:v>https://creativecommons.org/licenses/by-sa/3.0</x:v>
      </x:c>
      <x:c r="J596" s="117" t="str">
        <x:v>true</x:v>
      </x:c>
      <x:c r="K596" s="117" t="str">
        <x:v>Own work</x:v>
      </x:c>
      <x:c r="L596" s="117" t="str">
        <x:v>Exact name or all distinctive place-name tokens in file metadata</x:v>
      </x:c>
      <x:c r="M596" s="117" t="str">
        <x:v>Not visually reviewed</x:v>
      </x:c>
      <x:c r="N596" s="117" t="str">
        <x:v>2026-09-08</x:v>
      </x:c>
    </x:row>
    <x:row r="597" ht="48" customHeight="1">
      <x:c r="A597" s="117" t="str">
        <x:v>MC0665</x:v>
      </x:c>
      <x:c r="B597" s="117" t="str">
        <x:v>Agop Batu Tulug</x:v>
      </x:c>
      <x:c r="C597" s="117" t="n">
        <x:v>2</x:v>
      </x:c>
      <x:c r="D597" s="117" t="str">
        <x:v>https://thumb.wikimedia.org/wikipedia/commons/thumb/9/9c/BatuPutih_Sabah_AgopBatuTulug-14.jpg/1280px-BatuPutih_Sabah_AgopBatuTulug-14.jpg?utm_source=commons.wikimedia.org&amp;utm_campaign=imageinfo&amp;utm_content=thumbnail</x:v>
      </x:c>
      <x:c r="E597" s="117" t="str">
        <x:v>https://commons.wikimedia.org/wiki/File:BatuPutih_Sabah_AgopBatuTulug-14.jpg</x:v>
      </x:c>
      <x:c r="F597" s="117" t="str">
        <x:v>File:BatuPutih Sabah AgopBatuTulug-14.jpg</x:v>
      </x:c>
      <x:c r="G597" s="117" t="str">
        <x:v>CEphoto, Uwe Aranas</x:v>
      </x:c>
      <x:c r="H597" s="117" t="str">
        <x:v>CC BY-SA 3.0</x:v>
      </x:c>
      <x:c r="I597" s="117" t="str">
        <x:v>https://creativecommons.org/licenses/by-sa/3.0</x:v>
      </x:c>
      <x:c r="J597" s="117" t="str">
        <x:v>true</x:v>
      </x:c>
      <x:c r="K597" s="117" t="str">
        <x:v>Own work</x:v>
      </x:c>
      <x:c r="L597" s="117" t="str">
        <x:v>Exact name or all distinctive place-name tokens in file metadata</x:v>
      </x:c>
      <x:c r="M597" s="117" t="str">
        <x:v>Not visually reviewed</x:v>
      </x:c>
      <x:c r="N597" s="117" t="str">
        <x:v>2026-09-08</x:v>
      </x:c>
    </x:row>
    <x:row r="598" ht="48" customHeight="1">
      <x:c r="A598" s="117" t="str">
        <x:v>MC0666</x:v>
      </x:c>
      <x:c r="B598" s="117" t="str">
        <x:v>Lankayan Island</x:v>
      </x:c>
      <x:c r="C598" s="117" t="n">
        <x:v>1</x:v>
      </x:c>
      <x:c r="D598" s="117" t="str">
        <x:v>https://upload.wikimedia.org/wikipedia/commons/7/7c/Pulau_Lankayan.jpg?utm_source=commons.wikimedia.org&amp;utm_campaign=imageinfo&amp;utm_content=thumbnail_unscaled</x:v>
      </x:c>
      <x:c r="E598" s="117" t="str">
        <x:v>https://commons.wikimedia.org/wiki/File:Pulau_Lankayan.jpg</x:v>
      </x:c>
      <x:c r="F598" s="117" t="str">
        <x:v>File:Pulau Lankayan.jpg</x:v>
      </x:c>
      <x:c r="G598" s="117" t="str">
        <x:v>The original uploader was Smim90 at Malay Wikipedia.</x:v>
      </x:c>
      <x:c r="H598" s="117" t="str">
        <x:v>GFDL</x:v>
      </x:c>
      <x:c r="I598" s="117" t="str">
        <x:v>http://www.gnu.org/copyleft/fdl.html</x:v>
      </x:c>
      <x:c r="J598" s="117" t="str">
        <x:v>true</x:v>
      </x:c>
      <x:c r="K598" s="117" t="str">
        <x:v>Transferred from ms.wikipedia to Commons by Cccefalon using CommonsHelper.</x:v>
      </x:c>
      <x:c r="L598" s="117" t="str">
        <x:v>Exact name or all distinctive place-name tokens in file metadata</x:v>
      </x:c>
      <x:c r="M598" s="117" t="str">
        <x:v>Not visually reviewed</x:v>
      </x:c>
      <x:c r="N598" s="117" t="str">
        <x:v>2026-09-08</x:v>
      </x:c>
    </x:row>
    <x:row r="599" ht="48" customHeight="1">
      <x:c r="A599" s="117" t="str">
        <x:v>MC0666</x:v>
      </x:c>
      <x:c r="B599" s="117" t="str">
        <x:v>Lankayan Island</x:v>
      </x:c>
      <x:c r="C599" s="117" t="n">
        <x:v>2</x:v>
      </x:c>
      <x:c r="D599" s="117" t="str">
        <x:v>https://thumb.wikimedia.org/wikipedia/commons/thumb/d/d6/LankayanIsland.JPG/1280px-LankayanIsland.JPG?utm_source=commons.wikimedia.org&amp;utm_campaign=imageinfo&amp;utm_content=thumbnail</x:v>
      </x:c>
      <x:c r="E599" s="117" t="str">
        <x:v>https://commons.wikimedia.org/wiki/File:LankayanIsland.JPG</x:v>
      </x:c>
      <x:c r="F599" s="117" t="str">
        <x:v>File:LankayanIsland.JPG</x:v>
      </x:c>
      <x:c r="G599" s="117" t="str">
        <x:v>Cemx86</x:v>
      </x:c>
      <x:c r="H599" s="117" t="str">
        <x:v>CC0</x:v>
      </x:c>
      <x:c r="I599" s="117" t="str">
        <x:v>http://creativecommons.org/publicdomain/zero/1.0/deed.en</x:v>
      </x:c>
      <x:c r="J599" s="117" t="str">
        <x:v>false</x:v>
      </x:c>
      <x:c r="K599" s="117" t="str">
        <x:v>Own work</x:v>
      </x:c>
      <x:c r="L599" s="117" t="str">
        <x:v>Exact name or all distinctive place-name tokens in file metadata</x:v>
      </x:c>
      <x:c r="M599" s="117" t="str">
        <x:v>Not visually reviewed</x:v>
      </x:c>
      <x:c r="N599" s="117" t="str">
        <x:v>2026-09-08</x:v>
      </x:c>
    </x:row>
    <x:row r="600" ht="48" customHeight="1">
      <x:c r="A600" s="117" t="str">
        <x:v>MC0670</x:v>
      </x:c>
      <x:c r="B600" s="117" t="str">
        <x:v>Sabah State Mosque</x:v>
      </x:c>
      <x:c r="C600" s="117" t="n">
        <x:v>1</x:v>
      </x:c>
      <x:c r="D600" s="117" t="str">
        <x:v>https://thumb.wikimedia.org/wikipedia/commons/thumb/9/98/KotaKinabalu_Sabah_SabahStateMosque-01.jpg/1280px-KotaKinabalu_Sabah_SabahStateMosque-01.jpg?utm_source=commons.wikimedia.org&amp;utm_campaign=imageinfo&amp;utm_content=thumbnail</x:v>
      </x:c>
      <x:c r="E600" s="117" t="str">
        <x:v>https://commons.wikimedia.org/wiki/File:KotaKinabalu_Sabah_SabahStateMosque-01.jpg</x:v>
      </x:c>
      <x:c r="F600" s="117" t="str">
        <x:v>File:KotaKinabalu Sabah SabahStateMosque-01.jpg</x:v>
      </x:c>
      <x:c r="G600" s="117" t="str">
        <x:v>CEphoto, Uwe Aranas</x:v>
      </x:c>
      <x:c r="H600" s="117" t="str">
        <x:v>CC BY-SA 3.0</x:v>
      </x:c>
      <x:c r="I600" s="117" t="str">
        <x:v>https://creativecommons.org/licenses/by-sa/3.0</x:v>
      </x:c>
      <x:c r="J600" s="117" t="str">
        <x:v>true</x:v>
      </x:c>
      <x:c r="K600" s="117" t="str">
        <x:v>Own work</x:v>
      </x:c>
      <x:c r="L600" s="117" t="str">
        <x:v>Exact name or all distinctive place-name tokens in file metadata</x:v>
      </x:c>
      <x:c r="M600" s="117" t="str">
        <x:v>Not visually reviewed</x:v>
      </x:c>
      <x:c r="N600" s="117" t="str">
        <x:v>2026-09-08</x:v>
      </x:c>
    </x:row>
    <x:row r="601" ht="48" customHeight="1">
      <x:c r="A601" s="117" t="str">
        <x:v>MC0670</x:v>
      </x:c>
      <x:c r="B601" s="117" t="str">
        <x:v>Sabah State Mosque</x:v>
      </x:c>
      <x:c r="C601" s="117" t="n">
        <x:v>2</x:v>
      </x:c>
      <x:c r="D601" s="117" t="str">
        <x:v>https://thumb.wikimedia.org/wikipedia/commons/thumb/9/96/KotaKinabalu_Sabah_SabahStateMausoleum-02.jpg/1280px-KotaKinabalu_Sabah_SabahStateMausoleum-02.jpg?utm_source=commons.wikimedia.org&amp;utm_campaign=imageinfo&amp;utm_content=thumbnail</x:v>
      </x:c>
      <x:c r="E601" s="117" t="str">
        <x:v>https://commons.wikimedia.org/wiki/File:KotaKinabalu_Sabah_SabahStateMausoleum-02.jpg</x:v>
      </x:c>
      <x:c r="F601" s="117" t="str">
        <x:v>File:KotaKinabalu Sabah SabahStateMausoleum-02.jpg</x:v>
      </x:c>
      <x:c r="G601" s="117" t="str">
        <x:v>CEphoto, Uwe Aranas</x:v>
      </x:c>
      <x:c r="H601" s="117" t="str">
        <x:v>CC BY-SA 3.0</x:v>
      </x:c>
      <x:c r="I601" s="117" t="str">
        <x:v>https://creativecommons.org/licenses/by-sa/3.0</x:v>
      </x:c>
      <x:c r="J601" s="117" t="str">
        <x:v>true</x:v>
      </x:c>
      <x:c r="K601" s="117" t="str">
        <x:v>Own work</x:v>
      </x:c>
      <x:c r="L601" s="117" t="str">
        <x:v>Exact name or all distinctive place-name tokens in file metadata</x:v>
      </x:c>
      <x:c r="M601" s="117" t="str">
        <x:v>Not visually reviewed</x:v>
      </x:c>
      <x:c r="N601" s="117" t="str">
        <x:v>2026-09-08</x:v>
      </x:c>
    </x:row>
    <x:row r="602" ht="48" customHeight="1">
      <x:c r="A602" s="117" t="str">
        <x:v>MC0671</x:v>
      </x:c>
      <x:c r="B602" s="117" t="str">
        <x:v>Tun Mustapha Gallery</x:v>
      </x:c>
      <x:c r="C602" s="117" t="n">
        <x:v>1</x:v>
      </x:c>
      <x:c r="D602" s="117" t="str">
        <x:v>https://thumb.wikimedia.org/wikipedia/commons/thumb/4/48/KotaKinabalu_Malaysia_Tun-Mustapha-Tower-01.jpg/1280px-KotaKinabalu_Malaysia_Tun-Mustapha-Tower-01.jpg?utm_source=commons.wikimedia.org&amp;utm_campaign=imageinfo&amp;utm_content=thumbnail</x:v>
      </x:c>
      <x:c r="E602" s="117" t="str">
        <x:v>https://commons.wikimedia.org/wiki/File:KotaKinabalu_Malaysia_Tun-Mustapha-Tower-01.jpg</x:v>
      </x:c>
      <x:c r="F602" s="117" t="str">
        <x:v>File:KotaKinabalu Malaysia Tun-Mustapha-Tower-01.jpg</x:v>
      </x:c>
      <x:c r="G602" s="117" t="str">
        <x:v>CEphoto, Uwe Aranas</x:v>
      </x:c>
      <x:c r="H602" s="117" t="str">
        <x:v>CC BY-SA 3.0</x:v>
      </x:c>
      <x:c r="I602" s="117" t="str">
        <x:v>https://creativecommons.org/licenses/by-sa/3.0</x:v>
      </x:c>
      <x:c r="J602" s="117" t="str">
        <x:v>true</x:v>
      </x:c>
      <x:c r="K602" s="117" t="str">
        <x:v>Own work</x:v>
      </x:c>
      <x:c r="L602" s="117" t="str">
        <x:v>Exact name or all distinctive place-name tokens in file metadata</x:v>
      </x:c>
      <x:c r="M602" s="117" t="str">
        <x:v>Not visually reviewed</x:v>
      </x:c>
      <x:c r="N602" s="117" t="str">
        <x:v>2026-09-08</x:v>
      </x:c>
    </x:row>
    <x:row r="603" ht="48" customHeight="1">
      <x:c r="A603" s="117" t="str">
        <x:v>MC0672</x:v>
      </x:c>
      <x:c r="B603" s="117" t="str">
        <x:v>Menara Tun Mustapha</x:v>
      </x:c>
      <x:c r="C603" s="117" t="n">
        <x:v>1</x:v>
      </x:c>
      <x:c r="D603" s="117" t="str">
        <x:v>https://thumb.wikimedia.org/wikipedia/commons/thumb/4/48/KotaKinabalu_Malaysia_Tun-Mustapha-Tower-01.jpg/1280px-KotaKinabalu_Malaysia_Tun-Mustapha-Tower-01.jpg?utm_source=commons.wikimedia.org&amp;utm_campaign=imageinfo&amp;utm_content=thumbnail</x:v>
      </x:c>
      <x:c r="E603" s="117" t="str">
        <x:v>https://commons.wikimedia.org/wiki/File:KotaKinabalu_Malaysia_Tun-Mustapha-Tower-01.jpg</x:v>
      </x:c>
      <x:c r="F603" s="117" t="str">
        <x:v>File:KotaKinabalu Malaysia Tun-Mustapha-Tower-01.jpg</x:v>
      </x:c>
      <x:c r="G603" s="117" t="str">
        <x:v>CEphoto, Uwe Aranas</x:v>
      </x:c>
      <x:c r="H603" s="117" t="str">
        <x:v>CC BY-SA 3.0</x:v>
      </x:c>
      <x:c r="I603" s="117" t="str">
        <x:v>https://creativecommons.org/licenses/by-sa/3.0</x:v>
      </x:c>
      <x:c r="J603" s="117" t="str">
        <x:v>true</x:v>
      </x:c>
      <x:c r="K603" s="117" t="str">
        <x:v>Own work</x:v>
      </x:c>
      <x:c r="L603" s="117" t="str">
        <x:v>Exact name or all distinctive place-name tokens in file metadata</x:v>
      </x:c>
      <x:c r="M603" s="117" t="str">
        <x:v>Not visually reviewed</x:v>
      </x:c>
      <x:c r="N603" s="117" t="str">
        <x:v>2026-09-08</x:v>
      </x:c>
    </x:row>
    <x:row r="604" ht="48" customHeight="1">
      <x:c r="A604" s="117" t="str">
        <x:v>MC0673</x:v>
      </x:c>
      <x:c r="B604" s="117" t="str">
        <x:v>Atkinson Clock Tower</x:v>
      </x:c>
      <x:c r="C604" s="117" t="n">
        <x:v>1</x:v>
      </x:c>
      <x:c r="D604" s="117" t="str">
        <x:v>https://thumb.wikimedia.org/wikipedia/commons/thumb/4/41/AtkinsonClockTower-KotaKinabalu.jpg/1280px-AtkinsonClockTower-KotaKinabalu.jpg?utm_source=commons.wikimedia.org&amp;utm_campaign=imageinfo&amp;utm_content=thumbnail</x:v>
      </x:c>
      <x:c r="E604" s="117" t="str">
        <x:v>https://commons.wikimedia.org/wiki/File:AtkinsonClockTower-KotaKinabalu.jpg</x:v>
      </x:c>
      <x:c r="F604" s="117" t="str">
        <x:v>File:AtkinsonClockTower-KotaKinabalu.jpg</x:v>
      </x:c>
      <x:c r="G604" s="117" t="str">
        <x:v>(WT-shared) Robert Biuk-Aghai</x:v>
      </x:c>
      <x:c r="H604" s="117" t="str">
        <x:v>CC BY-SA 1.0</x:v>
      </x:c>
      <x:c r="I604" s="117" t="str">
        <x:v>https://creativecommons.org/licenses/by-sa/1.0</x:v>
      </x:c>
      <x:c r="J604" s="117" t="str">
        <x:v>true</x:v>
      </x:c>
      <x:c r="K604" s="117" t="str">
        <x:v>Own work</x:v>
      </x:c>
      <x:c r="L604" s="117" t="str">
        <x:v>Exact name or all distinctive place-name tokens in file metadata</x:v>
      </x:c>
      <x:c r="M604" s="117" t="str">
        <x:v>Not visually reviewed</x:v>
      </x:c>
      <x:c r="N604" s="117" t="str">
        <x:v>2026-09-08</x:v>
      </x:c>
    </x:row>
    <x:row r="605" ht="48" customHeight="1">
      <x:c r="A605" s="117" t="str">
        <x:v>MC0673</x:v>
      </x:c>
      <x:c r="B605" s="117" t="str">
        <x:v>Atkinson Clock Tower</x:v>
      </x:c>
      <x:c r="C605" s="117" t="n">
        <x:v>2</x:v>
      </x:c>
      <x:c r="D605" s="117" t="str">
        <x:v>https://upload.wikimedia.org/wikipedia/commons/3/35/Kota_Kinabalu_Atkinson_Clocktower_0002.jpg?utm_source=commons.wikimedia.org&amp;utm_campaign=imageinfo&amp;utm_content=thumbnail_unscaled</x:v>
      </x:c>
      <x:c r="E605" s="117" t="str">
        <x:v>https://commons.wikimedia.org/wiki/File:Kota_Kinabalu_Atkinson_Clocktower_0002.jpg</x:v>
      </x:c>
      <x:c r="F605" s="117" t="str">
        <x:v>File:Kota Kinabalu Atkinson Clocktower 0002.jpg</x:v>
      </x:c>
      <x:c r="G605" s="117" t="str">
        <x:v>Stefan Fussan</x:v>
      </x:c>
      <x:c r="H605" s="117" t="str">
        <x:v>CC BY-SA 3.0</x:v>
      </x:c>
      <x:c r="I605" s="117" t="str">
        <x:v>https://creativecommons.org/licenses/by-sa/3.0</x:v>
      </x:c>
      <x:c r="J605" s="117" t="str">
        <x:v>true</x:v>
      </x:c>
      <x:c r="K605" s="117" t="str">
        <x:v>Own work - My images are also available on MyPortfolio</x:v>
      </x:c>
      <x:c r="L605" s="117" t="str">
        <x:v>Exact name or all distinctive place-name tokens in file metadata</x:v>
      </x:c>
      <x:c r="M605" s="117" t="str">
        <x:v>Not visually reviewed</x:v>
      </x:c>
      <x:c r="N605" s="117" t="str">
        <x:v>2026-09-08</x:v>
      </x:c>
    </x:row>
    <x:row r="606" ht="48" customHeight="1">
      <x:c r="A606" s="117" t="str">
        <x:v>MC0674</x:v>
      </x:c>
      <x:c r="B606" s="117" t="str">
        <x:v>Kota Kinabalu Wetland Centre</x:v>
      </x:c>
      <x:c r="C606" s="117" t="n">
        <x:v>1</x:v>
      </x:c>
      <x:c r="D606" s="117" t="str">
        <x:v>https://upload.wikimedia.org/wikipedia/commons/5/5a/Kota_Kinabalu_Wetlands_4636.jpg?utm_source=commons.wikimedia.org&amp;utm_campaign=imageinfo&amp;utm_content=thumbnail_unscaled</x:v>
      </x:c>
      <x:c r="E606" s="117" t="str">
        <x:v>https://commons.wikimedia.org/wiki/File:Kota_Kinabalu_Wetlands_4636.jpg</x:v>
      </x:c>
      <x:c r="F606" s="117" t="str">
        <x:v>File:Kota Kinabalu Wetlands 4636.jpg</x:v>
      </x:c>
      <x:c r="G606" s="117" t="str">
        <x:v>Stefan Fussan</x:v>
      </x:c>
      <x:c r="H606" s="117" t="str">
        <x:v>CC BY-SA 3.0</x:v>
      </x:c>
      <x:c r="I606" s="117" t="str">
        <x:v>https://creativecommons.org/licenses/by-sa/3.0</x:v>
      </x:c>
      <x:c r="J606" s="117" t="str">
        <x:v>true</x:v>
      </x:c>
      <x:c r="K606" s="117" t="str">
        <x:v>Own work - My images are also available on MyPortfolio</x:v>
      </x:c>
      <x:c r="L606" s="117" t="str">
        <x:v>Exact name or all distinctive place-name tokens in file metadata</x:v>
      </x:c>
      <x:c r="M606" s="117" t="str">
        <x:v>Not visually reviewed</x:v>
      </x:c>
      <x:c r="N606" s="117" t="str">
        <x:v>2026-09-08</x:v>
      </x:c>
    </x:row>
    <x:row r="607" ht="48" customHeight="1">
      <x:c r="A607" s="117" t="str">
        <x:v>MC0674</x:v>
      </x:c>
      <x:c r="B607" s="117" t="str">
        <x:v>Kota Kinabalu Wetland Centre</x:v>
      </x:c>
      <x:c r="C607" s="117" t="n">
        <x:v>2</x:v>
      </x:c>
      <x:c r="D607" s="117" t="str">
        <x:v>https://thumb.wikimedia.org/wikipedia/commons/thumb/a/a8/%E3%82%B3%E3%82%BF%E3%82%AD%E3%83%8A%E3%83%90%E3%83%AB%E3%82%A6%E3%82%A7%E3%83%83%E3%83%88%E3%83%A9%E3%83%B3%E3%83%89%E3%81%AE%E3%83%A9%E3%83%A0%E3%82%B5%E3%83%BC%E3%83%AB%E3%82%B5%E3%82%A4%E3%83%88%E7%99%BB%E9%8C%B2%E6%B9%BF%E5%9C%B0%E3%81%AE%E7%9C%8B%E6%9D%BF.jpg/1280px-%E3%82%B3%E3%82%BF%E3%82%AD%E3%83%8A%E3%83%90%E3%83%AB%E3%82%A6%E3%82%A7%E3%83%83%E3%83%88%E3%83%A9%E3%83%B3%E3%83%89%E3%81%AE%E3%83%A9%E3%83%A0%E3%82%B5%E3%83%BC%E3%83%AB%E3%82%B5%E3%82%A4%E3%83%88%E7%99%BB%E9%8C%B2%E6%B9%BF%E5%9C%B0%E3%81%AE%E7%9C%8B%E6%9D%BF.jpg?utm_source=commons.wikimedia.org&amp;utm_campaign=imageinfo&amp;utm_content=thumbnail</x:v>
      </x:c>
      <x:c r="E607" s="117" t="str">
        <x:v>https://commons.wikimedia.org/wiki/File:%E3%82%B3%E3%82%BF%E3%82%AD%E3%83%8A%E3%83%90%E3%83%AB%E3%82%A6%E3%82%A7%E3%83%83%E3%83%88%E3%83%A9%E3%83%B3%E3%83%89%E3%81%AE%E3%83%A9%E3%83%A0%E3%82%B5%E3%83%BC%E3%83%AB%E3%82%B5%E3%82%A4%E3%83%88%E7%99%BB%E9%8C%B2%E6%B9%BF%E5%9C%B0%E3%81%AE%E7%9C%8B%E6%9D%BF.jpg</x:v>
      </x:c>
      <x:c r="F607" s="117" t="str">
        <x:v>File:コタキナバルウェットランドのラムサールサイト登録湿地の看板.jpg</x:v>
      </x:c>
      <x:c r="G607" s="117" t="str">
        <x:v>Yujinw</x:v>
      </x:c>
      <x:c r="H607" s="117" t="str">
        <x:v>CC BY-SA 4.0</x:v>
      </x:c>
      <x:c r="I607" s="117" t="str">
        <x:v>https://creativecommons.org/licenses/by-sa/4.0</x:v>
      </x:c>
      <x:c r="J607" s="117" t="str">
        <x:v>true</x:v>
      </x:c>
      <x:c r="K607" s="117" t="str">
        <x:v>Own work</x:v>
      </x:c>
      <x:c r="L607" s="117" t="str">
        <x:v>Exact name or all distinctive place-name tokens in file metadata</x:v>
      </x:c>
      <x:c r="M607" s="117" t="str">
        <x:v>Not visually reviewed</x:v>
      </x:c>
      <x:c r="N607" s="117" t="str">
        <x:v>2026-09-08</x:v>
      </x:c>
    </x:row>
    <x:row r="608" ht="48" customHeight="1">
      <x:c r="A608" s="117" t="str">
        <x:v>MC0675</x:v>
      </x:c>
      <x:c r="B608" s="117" t="str">
        <x:v>Petagas War Memorial</x:v>
      </x:c>
      <x:c r="C608" s="117" t="n">
        <x:v>1</x:v>
      </x:c>
      <x:c r="D608" s="117" t="str">
        <x:v>https://thumb.wikimedia.org/wikipedia/commons/thumb/7/7d/Petagas_Sabah_PetagasWarMemorial-07.jpg/1280px-Petagas_Sabah_PetagasWarMemorial-07.jpg?utm_source=commons.wikimedia.org&amp;utm_campaign=imageinfo&amp;utm_content=thumbnail</x:v>
      </x:c>
      <x:c r="E608" s="117" t="str">
        <x:v>https://commons.wikimedia.org/wiki/File:Petagas_Sabah_PetagasWarMemorial-07.jpg</x:v>
      </x:c>
      <x:c r="F608" s="117" t="str">
        <x:v>File:Petagas Sabah PetagasWarMemorial-07.jpg</x:v>
      </x:c>
      <x:c r="G608" s="117" t="str">
        <x:v>CEphoto, Uwe Aranas</x:v>
      </x:c>
      <x:c r="H608" s="117" t="str">
        <x:v>CC BY-SA 3.0</x:v>
      </x:c>
      <x:c r="I608" s="117" t="str">
        <x:v>https://creativecommons.org/licenses/by-sa/3.0</x:v>
      </x:c>
      <x:c r="J608" s="117" t="str">
        <x:v>true</x:v>
      </x:c>
      <x:c r="K608" s="117" t="str">
        <x:v>Own work</x:v>
      </x:c>
      <x:c r="L608" s="117" t="str">
        <x:v>Exact name or all distinctive place-name tokens in file metadata</x:v>
      </x:c>
      <x:c r="M608" s="117" t="str">
        <x:v>Not visually reviewed</x:v>
      </x:c>
      <x:c r="N608" s="117" t="str">
        <x:v>2026-09-08</x:v>
      </x:c>
    </x:row>
    <x:row r="609" ht="48" customHeight="1">
      <x:c r="A609" s="117" t="str">
        <x:v>MC0675</x:v>
      </x:c>
      <x:c r="B609" s="117" t="str">
        <x:v>Petagas War Memorial</x:v>
      </x:c>
      <x:c r="C609" s="117" t="n">
        <x:v>2</x:v>
      </x:c>
      <x:c r="D609" s="117" t="str">
        <x:v>https://thumb.wikimedia.org/wikipedia/commons/thumb/2/29/Petagas_Sabah_PetagasWarMemorial-15.jpg/1280px-Petagas_Sabah_PetagasWarMemorial-15.jpg?utm_source=commons.wikimedia.org&amp;utm_campaign=imageinfo&amp;utm_content=thumbnail</x:v>
      </x:c>
      <x:c r="E609" s="117" t="str">
        <x:v>https://commons.wikimedia.org/wiki/File:Petagas_Sabah_PetagasWarMemorial-15.jpg</x:v>
      </x:c>
      <x:c r="F609" s="117" t="str">
        <x:v>File:Petagas Sabah PetagasWarMemorial-15.jpg</x:v>
      </x:c>
      <x:c r="G609" s="117" t="str">
        <x:v>CEphoto, Uwe Aranas</x:v>
      </x:c>
      <x:c r="H609" s="117" t="str">
        <x:v>CC BY-SA 3.0</x:v>
      </x:c>
      <x:c r="I609" s="117" t="str">
        <x:v>https://creativecommons.org/licenses/by-sa/3.0</x:v>
      </x:c>
      <x:c r="J609" s="117" t="str">
        <x:v>true</x:v>
      </x:c>
      <x:c r="K609" s="117" t="str">
        <x:v>Own work</x:v>
      </x:c>
      <x:c r="L609" s="117" t="str">
        <x:v>Exact name or all distinctive place-name tokens in file metadata</x:v>
      </x:c>
      <x:c r="M609" s="117" t="str">
        <x:v>Not visually reviewed</x:v>
      </x:c>
      <x:c r="N609" s="117" t="str">
        <x:v>2026-09-08</x:v>
      </x:c>
    </x:row>
    <x:row r="610" ht="48" customHeight="1">
      <x:c r="A610" s="117" t="str">
        <x:v>MC0676</x:v>
      </x:c>
      <x:c r="B610" s="117" t="str">
        <x:v>Double Six Monument</x:v>
      </x:c>
      <x:c r="C610" s="117" t="n">
        <x:v>1</x:v>
      </x:c>
      <x:c r="D610" s="117" t="str">
        <x:v>https://thumb.wikimedia.org/wikipedia/commons/thumb/f/f5/KotaKinabalu_Sabah_TuguPeringatan_DoubleSix-1.jpg/1280px-KotaKinabalu_Sabah_TuguPeringatan_DoubleSix-1.jpg?utm_source=commons.wikimedia.org&amp;utm_campaign=imageinfo&amp;utm_content=thumbnail</x:v>
      </x:c>
      <x:c r="E610" s="117" t="str">
        <x:v>https://commons.wikimedia.org/wiki/File:KotaKinabalu_Sabah_TuguPeringatan_DoubleSix-1.jpg</x:v>
      </x:c>
      <x:c r="F610" s="117" t="str">
        <x:v>File:KotaKinabalu Sabah TuguPeringatan DoubleSix-1.jpg</x:v>
      </x:c>
      <x:c r="G610" s="117" t="str">
        <x:v>CEphoto, Uwe Aranas</x:v>
      </x:c>
      <x:c r="H610" s="117" t="str">
        <x:v>CC BY-SA 3.0</x:v>
      </x:c>
      <x:c r="I610" s="117" t="str">
        <x:v>https://creativecommons.org/licenses/by-sa/3.0</x:v>
      </x:c>
      <x:c r="J610" s="117" t="str">
        <x:v>true</x:v>
      </x:c>
      <x:c r="K610" s="117" t="str">
        <x:v>Own work</x:v>
      </x:c>
      <x:c r="L610" s="117" t="str">
        <x:v>Exact name or all distinctive place-name tokens in file metadata</x:v>
      </x:c>
      <x:c r="M610" s="117" t="str">
        <x:v>Not visually reviewed</x:v>
      </x:c>
      <x:c r="N610" s="117" t="str">
        <x:v>2026-09-08</x:v>
      </x:c>
    </x:row>
    <x:row r="611" ht="48" customHeight="1">
      <x:c r="A611" s="117" t="str">
        <x:v>MC0676</x:v>
      </x:c>
      <x:c r="B611" s="117" t="str">
        <x:v>Double Six Monument</x:v>
      </x:c>
      <x:c r="C611" s="117" t="n">
        <x:v>2</x:v>
      </x:c>
      <x:c r="D611" s="117" t="str">
        <x:v>https://thumb.wikimedia.org/wikipedia/commons/thumb/b/b9/KotaKinabalu_Sabah_TuguPeringatan_DoubleSix-2.jpg/1280px-KotaKinabalu_Sabah_TuguPeringatan_DoubleSix-2.jpg?utm_source=commons.wikimedia.org&amp;utm_campaign=imageinfo&amp;utm_content=thumbnail</x:v>
      </x:c>
      <x:c r="E611" s="117" t="str">
        <x:v>https://commons.wikimedia.org/wiki/File:KotaKinabalu_Sabah_TuguPeringatan_DoubleSix-2.jpg</x:v>
      </x:c>
      <x:c r="F611" s="117" t="str">
        <x:v>File:KotaKinabalu Sabah TuguPeringatan DoubleSix-2.jpg</x:v>
      </x:c>
      <x:c r="G611" s="117" t="str">
        <x:v>CEphoto, Uwe Aranas</x:v>
      </x:c>
      <x:c r="H611" s="117" t="str">
        <x:v>CC BY-SA 3.0</x:v>
      </x:c>
      <x:c r="I611" s="117" t="str">
        <x:v>https://creativecommons.org/licenses/by-sa/3.0</x:v>
      </x:c>
      <x:c r="J611" s="117" t="str">
        <x:v>true</x:v>
      </x:c>
      <x:c r="K611" s="117" t="str">
        <x:v>Own work</x:v>
      </x:c>
      <x:c r="L611" s="117" t="str">
        <x:v>Exact name or all distinctive place-name tokens in file metadata</x:v>
      </x:c>
      <x:c r="M611" s="117" t="str">
        <x:v>Not visually reviewed</x:v>
      </x:c>
      <x:c r="N611" s="117" t="str">
        <x:v>2026-09-08</x:v>
      </x:c>
    </x:row>
    <x:row r="612" ht="48" customHeight="1">
      <x:c r="A612" s="117" t="str">
        <x:v>MC0682</x:v>
      </x:c>
      <x:c r="B612" s="117" t="str">
        <x:v>Pulau Tiga</x:v>
      </x:c>
      <x:c r="C612" s="117" t="n">
        <x:v>1</x:v>
      </x:c>
      <x:c r="D612" s="117" t="str">
        <x:v>https://thumb.wikimedia.org/wikipedia/commons/thumb/8/82/Tiga_Beach_Tree.jpg/1280px-Tiga_Beach_Tree.jpg?utm_source=commons.wikimedia.org&amp;utm_campaign=imageinfo&amp;utm_content=thumbnail</x:v>
      </x:c>
      <x:c r="E612" s="117" t="str">
        <x:v>https://commons.wikimedia.org/wiki/File:Tiga_Beach_Tree.jpg</x:v>
      </x:c>
      <x:c r="F612" s="117" t="str">
        <x:v>File:Tiga Beach Tree.jpg</x:v>
      </x:c>
      <x:c r="G612" s="117" t="str">
        <x:v>Dcubillas</x:v>
      </x:c>
      <x:c r="H612" s="117" t="str">
        <x:v>CC BY-SA 3.0</x:v>
      </x:c>
      <x:c r="I612" s="117" t="str">
        <x:v>https://creativecommons.org/licenses/by-sa/3.0</x:v>
      </x:c>
      <x:c r="J612" s="117" t="str">
        <x:v>true</x:v>
      </x:c>
      <x:c r="K612" s="117" t="str">
        <x:v>Own work</x:v>
      </x:c>
      <x:c r="L612" s="117" t="str">
        <x:v>Exact name or all distinctive place-name tokens in file metadata</x:v>
      </x:c>
      <x:c r="M612" s="117" t="str">
        <x:v>Not visually reviewed</x:v>
      </x:c>
      <x:c r="N612" s="117" t="str">
        <x:v>2026-09-08</x:v>
      </x:c>
    </x:row>
    <x:row r="613" ht="48" customHeight="1">
      <x:c r="A613" s="117" t="str">
        <x:v>MC0682</x:v>
      </x:c>
      <x:c r="B613" s="117" t="str">
        <x:v>Pulau Tiga</x:v>
      </x:c>
      <x:c r="C613" s="117" t="n">
        <x:v>2</x:v>
      </x:c>
      <x:c r="D613" s="117" t="str">
        <x:v>https://thumb.wikimedia.org/wikipedia/commons/thumb/a/a1/Desa_Setumuk_Pulau_Tiga%2C_Natuna.jpg/1280px-Desa_Setumuk_Pulau_Tiga%2C_Natuna.jpg?utm_source=commons.wikimedia.org&amp;utm_campaign=imageinfo&amp;utm_content=thumbnail</x:v>
      </x:c>
      <x:c r="E613" s="117" t="str">
        <x:v>https://commons.wikimedia.org/wiki/File:Desa_Setumuk_Pulau_Tiga,_Natuna.jpg</x:v>
      </x:c>
      <x:c r="F613" s="117" t="str">
        <x:v>File:Desa Setumuk Pulau Tiga, Natuna.jpg</x:v>
      </x:c>
      <x:c r="G613" s="117" t="str">
        <x:v>Wadaihangit</x:v>
      </x:c>
      <x:c r="H613" s="117" t="str">
        <x:v>CC BY-SA 4.0</x:v>
      </x:c>
      <x:c r="I613" s="117" t="str">
        <x:v>https://creativecommons.org/licenses/by-sa/4.0</x:v>
      </x:c>
      <x:c r="J613" s="117" t="str">
        <x:v>true</x:v>
      </x:c>
      <x:c r="K613" s="117" t="str">
        <x:v>Own work</x:v>
      </x:c>
      <x:c r="L613" s="117" t="str">
        <x:v>Exact name or all distinctive place-name tokens in file metadata</x:v>
      </x:c>
      <x:c r="M613" s="117" t="str">
        <x:v>Not visually reviewed</x:v>
      </x:c>
      <x:c r="N613" s="117" t="str">
        <x:v>2026-09-08</x:v>
      </x:c>
    </x:row>
    <x:row r="614" ht="48" customHeight="1">
      <x:c r="A614" s="117" t="str">
        <x:v>MC0683</x:v>
      </x:c>
      <x:c r="B614" s="117" t="str">
        <x:v>Darul Hana Musical Fountain</x:v>
      </x:c>
      <x:c r="C614" s="117" t="n">
        <x:v>1</x:v>
      </x:c>
      <x:c r="D614" s="117" t="str">
        <x:v>https://thumb.wikimedia.org/wikipedia/commons/thumb/e/e5/Darul_Hana_musical_fountain_in_front_of_the_state_assembly_building_projecting_a_picture_of_James_Brooke.jpg/1280px-Darul_Hana_musical_fountain_in_front_of_the_state_assembly_building_projecting_a_picture_of_James_Brooke.jpg?utm_source=commons.wikimedia.org&amp;utm_campaign=imageinfo&amp;utm_content=thumbnail</x:v>
      </x:c>
      <x:c r="E614" s="117" t="str">
        <x:v>https://commons.wikimedia.org/wiki/File:Darul_Hana_musical_fountain_in_front_of_the_state_assembly_building_projecting_a_picture_of_James_Brooke.jpg</x:v>
      </x:c>
      <x:c r="F614" s="117" t="str">
        <x:v>File:Darul Hana musical fountain in front of the state assembly building projecting a picture of James Brooke.jpg</x:v>
      </x:c>
      <x:c r="G614" s="117" t="str">
        <x:v>Cerevisae</x:v>
      </x:c>
      <x:c r="H614" s="117" t="str">
        <x:v>CC BY-SA 4.0</x:v>
      </x:c>
      <x:c r="I614" s="117" t="str">
        <x:v>https://creativecommons.org/licenses/by-sa/4.0</x:v>
      </x:c>
      <x:c r="J614" s="117" t="str">
        <x:v>true</x:v>
      </x:c>
      <x:c r="K614" s="117" t="str">
        <x:v>Own work</x:v>
      </x:c>
      <x:c r="L614" s="117" t="str">
        <x:v>Exact name or all distinctive place-name tokens in file metadata</x:v>
      </x:c>
      <x:c r="M614" s="117" t="str">
        <x:v>Not visually reviewed</x:v>
      </x:c>
      <x:c r="N614" s="117" t="str">
        <x:v>2026-09-08</x:v>
      </x:c>
    </x:row>
    <x:row r="615" ht="48" customHeight="1">
      <x:c r="A615" s="117" t="str">
        <x:v>MC0683</x:v>
      </x:c>
      <x:c r="B615" s="117" t="str">
        <x:v>Darul Hana Musical Fountain</x:v>
      </x:c>
      <x:c r="C615" s="117" t="n">
        <x:v>2</x:v>
      </x:c>
      <x:c r="D615" s="117" t="str">
        <x:v>https://thumb.wikimedia.org/wikipedia/commons/thumb/6/6c/Darul_Hana_musical_fountain_in_front_of_the_state_assembly_building2.jpg/1280px-Darul_Hana_musical_fountain_in_front_of_the_state_assembly_building2.jpg?utm_source=commons.wikimedia.org&amp;utm_campaign=imageinfo&amp;utm_content=thumbnail</x:v>
      </x:c>
      <x:c r="E615" s="117" t="str">
        <x:v>https://commons.wikimedia.org/wiki/File:Darul_Hana_musical_fountain_in_front_of_the_state_assembly_building2.jpg</x:v>
      </x:c>
      <x:c r="F615" s="117" t="str">
        <x:v>File:Darul Hana musical fountain in front of the state assembly building2.jpg</x:v>
      </x:c>
      <x:c r="G615" s="117" t="str">
        <x:v>Cerevisae</x:v>
      </x:c>
      <x:c r="H615" s="117" t="str">
        <x:v>CC BY-SA 4.0</x:v>
      </x:c>
      <x:c r="I615" s="117" t="str">
        <x:v>https://creativecommons.org/licenses/by-sa/4.0</x:v>
      </x:c>
      <x:c r="J615" s="117" t="str">
        <x:v>true</x:v>
      </x:c>
      <x:c r="K615" s="117" t="str">
        <x:v>Own work</x:v>
      </x:c>
      <x:c r="L615" s="117" t="str">
        <x:v>Exact name or all distinctive place-name tokens in file metadata</x:v>
      </x:c>
      <x:c r="M615" s="117" t="str">
        <x:v>Not visually reviewed</x:v>
      </x:c>
      <x:c r="N615" s="117" t="str">
        <x:v>2026-09-08</x:v>
      </x:c>
    </x:row>
    <x:row r="616" ht="48" customHeight="1">
      <x:c r="A616" s="117" t="str">
        <x:v>MC0685</x:v>
      </x:c>
      <x:c r="B616" s="117" t="str">
        <x:v>Sarawak River Cruise</x:v>
      </x:c>
      <x:c r="C616" s="117" t="n">
        <x:v>1</x:v>
      </x:c>
      <x:c r="D616" s="117" t="str">
        <x:v>https://thumb.wikimedia.org/wikipedia/commons/thumb/1/12/Abdul_Taib_Mahmud%27s_private_residence.jpg/1280px-Abdul_Taib_Mahmud%27s_private_residence.jpg?utm_source=commons.wikimedia.org&amp;utm_campaign=imageinfo&amp;utm_content=thumbnail</x:v>
      </x:c>
      <x:c r="E616" s="117" t="str">
        <x:v>https://commons.wikimedia.org/wiki/File:Abdul_Taib_Mahmud%27s_private_residence.jpg</x:v>
      </x:c>
      <x:c r="F616" s="117" t="str">
        <x:v>File:Abdul Taib Mahmud's private residence.jpg</x:v>
      </x:c>
      <x:c r="G616" s="117" t="str">
        <x:v>Ahmad Fuad Morad from Alor Setar, Kedah, Malaysia</x:v>
      </x:c>
      <x:c r="H616" s="117" t="str">
        <x:v>CC BY 2.0</x:v>
      </x:c>
      <x:c r="I616" s="117" t="str">
        <x:v>https://creativecommons.org/licenses/by/2.0</x:v>
      </x:c>
      <x:c r="J616" s="117" t="str">
        <x:v>true</x:v>
      </x:c>
      <x:c r="K616" s="117" t="str">
        <x:v>https://www.flickr.com/photos/adaduitokla/14399649830/in/photostream/</x:v>
      </x:c>
      <x:c r="L616" s="117" t="str">
        <x:v>Exact name or all distinctive place-name tokens in file metadata</x:v>
      </x:c>
      <x:c r="M616" s="117" t="str">
        <x:v>Not visually reviewed</x:v>
      </x:c>
      <x:c r="N616" s="117" t="str">
        <x:v>2026-09-08</x:v>
      </x:c>
    </x:row>
    <x:row r="617" ht="48" customHeight="1">
      <x:c r="A617" s="117" t="str">
        <x:v>MC0686</x:v>
      </x:c>
      <x:c r="B617" s="117" t="str">
        <x:v>Tua Pek Kong Temple Kuching</x:v>
      </x:c>
      <x:c r="C617" s="117" t="n">
        <x:v>1</x:v>
      </x:c>
      <x:c r="D617" s="117" t="str">
        <x:v>https://upload.wikimedia.org/wikipedia/commons/7/7b/Tua_Pek_Kong%2C_Kuching.jpg?utm_source=commons.wikimedia.org&amp;utm_campaign=imageinfo&amp;utm_content=thumbnail_unscaled</x:v>
      </x:c>
      <x:c r="E617" s="117" t="str">
        <x:v>https://commons.wikimedia.org/wiki/File:Tua_Pek_Kong,_Kuching.jpg</x:v>
      </x:c>
      <x:c r="F617" s="117" t="str">
        <x:v>File:Tua Pek Kong, Kuching.jpg</x:v>
      </x:c>
      <x:c r="G617" s="117" t="str"/>
      <x:c r="H617" s="117" t="str">
        <x:v>CC BY-SA 3.0</x:v>
      </x:c>
      <x:c r="I617" s="117" t="str">
        <x:v>http://creativecommons.org/licenses/by-sa/3.0/</x:v>
      </x:c>
      <x:c r="J617" s="117" t="str">
        <x:v>true</x:v>
      </x:c>
      <x:c r="K617" s="117" t="str"/>
      <x:c r="L617" s="117" t="str">
        <x:v>Exact name or all distinctive place-name tokens in file metadata</x:v>
      </x:c>
      <x:c r="M617" s="117" t="str">
        <x:v>Not visually reviewed</x:v>
      </x:c>
      <x:c r="N617" s="117" t="str">
        <x:v>2026-09-08</x:v>
      </x:c>
    </x:row>
    <x:row r="618" ht="48" customHeight="1">
      <x:c r="A618" s="117" t="str">
        <x:v>MC0687</x:v>
      </x:c>
      <x:c r="B618" s="117" t="str">
        <x:v>Chinese History Museum</x:v>
      </x:c>
      <x:c r="C618" s="117" t="n">
        <x:v>1</x:v>
      </x:c>
      <x:c r="D618" s="117" t="str">
        <x:v>https://thumb.wikimedia.org/wikipedia/commons/thumb/5/56/Chinese_History_Museum_-_Chinese_Chamber_of_Commerce_%28Old%29_02.jpg/1280px-Chinese_History_Museum_-_Chinese_Chamber_of_Commerce_%28Old%29_02.jpg?utm_source=commons.wikimedia.org&amp;utm_campaign=imageinfo&amp;utm_content=thumbnail</x:v>
      </x:c>
      <x:c r="E618" s="117" t="str">
        <x:v>https://commons.wikimedia.org/wiki/File:Chinese_History_Museum_-_Chinese_Chamber_of_Commerce_(Old)_02.jpg</x:v>
      </x:c>
      <x:c r="F618" s="117" t="str">
        <x:v>File:Chinese History Museum - Chinese Chamber of Commerce (Old) 02.jpg</x:v>
      </x:c>
      <x:c r="G618" s="117" t="str">
        <x:v>Yeo Jiun Tzen</x:v>
      </x:c>
      <x:c r="H618" s="117" t="str">
        <x:v>CC BY-SA 4.0</x:v>
      </x:c>
      <x:c r="I618" s="117" t="str">
        <x:v>https://creativecommons.org/licenses/by-sa/4.0</x:v>
      </x:c>
      <x:c r="J618" s="117" t="str">
        <x:v>true</x:v>
      </x:c>
      <x:c r="K618" s="117" t="str">
        <x:v>Own work</x:v>
      </x:c>
      <x:c r="L618" s="117" t="str">
        <x:v>Exact name or all distinctive place-name tokens in file metadata</x:v>
      </x:c>
      <x:c r="M618" s="117" t="str">
        <x:v>Not visually reviewed</x:v>
      </x:c>
      <x:c r="N618" s="117" t="str">
        <x:v>2026-09-08</x:v>
      </x:c>
    </x:row>
    <x:row r="619" ht="48" customHeight="1">
      <x:c r="A619" s="117" t="str">
        <x:v>MC0687</x:v>
      </x:c>
      <x:c r="B619" s="117" t="str">
        <x:v>Chinese History Museum</x:v>
      </x:c>
      <x:c r="C619" s="117" t="n">
        <x:v>2</x:v>
      </x:c>
      <x:c r="D619" s="117" t="str">
        <x:v>https://thumb.wikimedia.org/wikipedia/commons/thumb/4/4b/Overseas_Chinese_History_Museum_of_China_%2820201012123114%29.jpg/1280px-Overseas_Chinese_History_Museum_of_China_%2820201012123114%29.jpg?utm_source=commons.wikimedia.org&amp;utm_campaign=imageinfo&amp;utm_content=thumbnail</x:v>
      </x:c>
      <x:c r="E619" s="117" t="str">
        <x:v>https://commons.wikimedia.org/wiki/File:Overseas_Chinese_History_Museum_of_China_(20201012123114).jpg</x:v>
      </x:c>
      <x:c r="F619" s="117" t="str">
        <x:v>File:Overseas Chinese History Museum of China (20201012123114).jpg</x:v>
      </x:c>
      <x:c r="G619" s="117" t="str">
        <x:v>N509FZ</x:v>
      </x:c>
      <x:c r="H619" s="117" t="str">
        <x:v>CC BY-SA 4.0</x:v>
      </x:c>
      <x:c r="I619" s="117" t="str">
        <x:v>https://creativecommons.org/licenses/by-sa/4.0</x:v>
      </x:c>
      <x:c r="J619" s="117" t="str">
        <x:v>true</x:v>
      </x:c>
      <x:c r="K619" s="117" t="str">
        <x:v>Own work</x:v>
      </x:c>
      <x:c r="L619" s="117" t="str">
        <x:v>Exact name or all distinctive place-name tokens in file metadata</x:v>
      </x:c>
      <x:c r="M619" s="117" t="str">
        <x:v>Not visually reviewed</x:v>
      </x:c>
      <x:c r="N619" s="117" t="str">
        <x:v>2026-09-08</x:v>
      </x:c>
    </x:row>
    <x:row r="620" ht="48" customHeight="1">
      <x:c r="A620" s="117" t="str">
        <x:v>MC0688</x:v>
      </x:c>
      <x:c r="B620" s="117" t="str">
        <x:v>Textile Museum Sarawak</x:v>
      </x:c>
      <x:c r="C620" s="117" t="n">
        <x:v>1</x:v>
      </x:c>
      <x:c r="D620" s="117" t="str">
        <x:v>https://thumb.wikimedia.org/wikipedia/commons/thumb/d/df/Traditional_Malaysian_handicrafts_%2829630844205%29.jpg/1280px-Traditional_Malaysian_handicrafts_%2829630844205%29.jpg?utm_source=commons.wikimedia.org&amp;utm_campaign=imageinfo&amp;utm_content=thumbnail</x:v>
      </x:c>
      <x:c r="E620" s="117" t="str">
        <x:v>https://commons.wikimedia.org/wiki/File:Traditional_Malaysian_handicrafts_(29630844205).jpg</x:v>
      </x:c>
      <x:c r="F620" s="117" t="str">
        <x:v>File:Traditional Malaysian handicrafts (29630844205).jpg</x:v>
      </x:c>
      <x:c r="G620" s="117" t="str">
        <x:v>Thomas Quine</x:v>
      </x:c>
      <x:c r="H620" s="117" t="str">
        <x:v>CC BY 2.0</x:v>
      </x:c>
      <x:c r="I620" s="117" t="str">
        <x:v>https://creativecommons.org/licenses/by/2.0</x:v>
      </x:c>
      <x:c r="J620" s="117" t="str">
        <x:v>true</x:v>
      </x:c>
      <x:c r="K620" s="117" t="str">
        <x:v>Traditional Malaysian handicrafts</x:v>
      </x:c>
      <x:c r="L620" s="117" t="str">
        <x:v>Exact name or all distinctive place-name tokens in file metadata</x:v>
      </x:c>
      <x:c r="M620" s="117" t="str">
        <x:v>Not visually reviewed</x:v>
      </x:c>
      <x:c r="N620" s="117" t="str">
        <x:v>2026-09-08</x:v>
      </x:c>
    </x:row>
    <x:row r="621" ht="48" customHeight="1">
      <x:c r="A621" s="117" t="str">
        <x:v>MC0688</x:v>
      </x:c>
      <x:c r="B621" s="117" t="str">
        <x:v>Textile Museum Sarawak</x:v>
      </x:c>
      <x:c r="C621" s="117" t="n">
        <x:v>2</x:v>
      </x:c>
      <x:c r="D621" s="117" t="str">
        <x:v>https://thumb.wikimedia.org/wikipedia/commons/thumb/8/83/Sarawak_aboriginal_seashell_cloak_%2829145690743%29.jpg/1280px-Sarawak_aboriginal_seashell_cloak_%2829145690743%29.jpg?utm_source=commons.wikimedia.org&amp;utm_campaign=imageinfo&amp;utm_content=thumbnail</x:v>
      </x:c>
      <x:c r="E621" s="117" t="str">
        <x:v>https://commons.wikimedia.org/wiki/File:Sarawak_aboriginal_seashell_cloak_(29145690743).jpg</x:v>
      </x:c>
      <x:c r="F621" s="117" t="str">
        <x:v>File:Sarawak aboriginal seashell cloak (29145690743).jpg</x:v>
      </x:c>
      <x:c r="G621" s="117" t="str">
        <x:v>Thomas Quine</x:v>
      </x:c>
      <x:c r="H621" s="117" t="str">
        <x:v>CC BY 2.0</x:v>
      </x:c>
      <x:c r="I621" s="117" t="str">
        <x:v>https://creativecommons.org/licenses/by/2.0</x:v>
      </x:c>
      <x:c r="J621" s="117" t="str">
        <x:v>true</x:v>
      </x:c>
      <x:c r="K621" s="117" t="str">
        <x:v>Sarawak aboriginal seashell cloak</x:v>
      </x:c>
      <x:c r="L621" s="117" t="str">
        <x:v>Exact name or all distinctive place-name tokens in file metadata</x:v>
      </x:c>
      <x:c r="M621" s="117" t="str">
        <x:v>Not visually reviewed</x:v>
      </x:c>
      <x:c r="N621" s="117" t="str">
        <x:v>2026-09-08</x:v>
      </x:c>
    </x:row>
    <x:row r="622" ht="48" customHeight="1">
      <x:c r="A622" s="117" t="str">
        <x:v>MC0691</x:v>
      </x:c>
      <x:c r="B622" s="117" t="str">
        <x:v>Kuching Wetlands National Park</x:v>
      </x:c>
      <x:c r="C622" s="117" t="n">
        <x:v>1</x:v>
      </x:c>
      <x:c r="D622" s="117" t="str">
        <x:v>https://thumb.wikimedia.org/wikipedia/commons/thumb/e/ec/Kucking_wetlands_beach.JPG/1280px-Kucking_wetlands_beach.JPG?utm_source=commons.wikimedia.org&amp;utm_campaign=imageinfo&amp;utm_content=thumbnail</x:v>
      </x:c>
      <x:c r="E622" s="117" t="str">
        <x:v>https://commons.wikimedia.org/wiki/File:Kucking_wetlands_beach.JPG</x:v>
      </x:c>
      <x:c r="F622" s="117" t="str">
        <x:v>File:Kucking wetlands beach.JPG</x:v>
      </x:c>
      <x:c r="G622" s="117" t="str">
        <x:v>User:Beavittw</x:v>
      </x:c>
      <x:c r="H622" s="117" t="str">
        <x:v>CC BY-SA 3.0</x:v>
      </x:c>
      <x:c r="I622" s="117" t="str">
        <x:v>http://creativecommons.org/licenses/by-sa/3.0/</x:v>
      </x:c>
      <x:c r="J622" s="117" t="str">
        <x:v>true</x:v>
      </x:c>
      <x:c r="K622" s="117" t="str">
        <x:v>Own work by the original uploader</x:v>
      </x:c>
      <x:c r="L622" s="117" t="str">
        <x:v>Exact name or all distinctive place-name tokens in file metadata</x:v>
      </x:c>
      <x:c r="M622" s="117" t="str">
        <x:v>Not visually reviewed</x:v>
      </x:c>
      <x:c r="N622" s="117" t="str">
        <x:v>2026-09-08</x:v>
      </x:c>
    </x:row>
    <x:row r="623" ht="48" customHeight="1">
      <x:c r="A623" s="117" t="str">
        <x:v>MC0691</x:v>
      </x:c>
      <x:c r="B623" s="117" t="str">
        <x:v>Kuching Wetlands National Park</x:v>
      </x:c>
      <x:c r="C623" s="117" t="n">
        <x:v>2</x:v>
      </x:c>
      <x:c r="D623" s="117" t="str">
        <x:v>https://thumb.wikimedia.org/wikipedia/commons/thumb/4/46/Salak_River%2C_part_of_Kuching_Wetlands_National_Park%2C_and_Mount_Santubong.jpg/1280px-Salak_River%2C_part_of_Kuching_Wetlands_National_Park%2C_and_Mount_Santubong.jpg?utm_source=commons.wikimedia.org&amp;utm_campaign=imageinfo&amp;utm_content=thumbnail</x:v>
      </x:c>
      <x:c r="E623" s="117" t="str">
        <x:v>https://commons.wikimedia.org/wiki/File:Salak_River,_part_of_Kuching_Wetlands_National_Park,_and_Mount_Santubong.jpg</x:v>
      </x:c>
      <x:c r="F623" s="117" t="str">
        <x:v>File:Salak River, part of Kuching Wetlands National Park, and Mount Santubong.jpg</x:v>
      </x:c>
      <x:c r="G623" s="117" t="str">
        <x:v>Cerevisae</x:v>
      </x:c>
      <x:c r="H623" s="117" t="str">
        <x:v>CC BY-SA 4.0</x:v>
      </x:c>
      <x:c r="I623" s="117" t="str">
        <x:v>https://creativecommons.org/licenses/by-sa/4.0</x:v>
      </x:c>
      <x:c r="J623" s="117" t="str">
        <x:v>true</x:v>
      </x:c>
      <x:c r="K623" s="117" t="str">
        <x:v>Own work</x:v>
      </x:c>
      <x:c r="L623" s="117" t="str">
        <x:v>Exact name or all distinctive place-name tokens in file metadata</x:v>
      </x:c>
      <x:c r="M623" s="117" t="str">
        <x:v>Not visually reviewed</x:v>
      </x:c>
      <x:c r="N623" s="117" t="str">
        <x:v>2026-09-08</x:v>
      </x:c>
    </x:row>
    <x:row r="624" ht="48" customHeight="1">
      <x:c r="A624" s="117" t="str">
        <x:v>MC0693</x:v>
      </x:c>
      <x:c r="B624" s="117" t="str">
        <x:v>Santubong National Park</x:v>
      </x:c>
      <x:c r="C624" s="117" t="n">
        <x:v>1</x:v>
      </x:c>
      <x:c r="D624" s="117" t="str">
        <x:v>https://thumb.wikimedia.org/wikipedia/commons/thumb/8/86/Keruing_%28Dipterocarpus_crinitus%29_%2823962859405%29.jpg/1280px-Keruing_%28Dipterocarpus_crinitus%29_%2823962859405%29.jpg?utm_source=commons.wikimedia.org&amp;utm_campaign=imageinfo&amp;utm_content=thumbnail</x:v>
      </x:c>
      <x:c r="E624" s="117" t="str">
        <x:v>https://commons.wikimedia.org/wiki/File:Keruing_(Dipterocarpus_crinitus)_(23962859405).jpg</x:v>
      </x:c>
      <x:c r="F624" s="117" t="str">
        <x:v>File:Keruing (Dipterocarpus crinitus) (23962859405).jpg</x:v>
      </x:c>
      <x:c r="G624" s="117" t="str">
        <x:v>Bernard DUPONT from FRANCE</x:v>
      </x:c>
      <x:c r="H624" s="117" t="str">
        <x:v>CC BY-SA 2.0</x:v>
      </x:c>
      <x:c r="I624" s="117" t="str">
        <x:v>https://creativecommons.org/licenses/by-sa/2.0</x:v>
      </x:c>
      <x:c r="J624" s="117" t="str">
        <x:v>true</x:v>
      </x:c>
      <x:c r="K624" s="117" t="str">
        <x:v>Keruing (Dipterocarpus crinitus)</x:v>
      </x:c>
      <x:c r="L624" s="117" t="str">
        <x:v>Exact name or all distinctive place-name tokens in file metadata</x:v>
      </x:c>
      <x:c r="M624" s="117" t="str">
        <x:v>Not visually reviewed</x:v>
      </x:c>
      <x:c r="N624" s="117" t="str">
        <x:v>2026-09-08</x:v>
      </x:c>
    </x:row>
    <x:row r="625" ht="48" customHeight="1">
      <x:c r="A625" s="117" t="str">
        <x:v>MC0693</x:v>
      </x:c>
      <x:c r="B625" s="117" t="str">
        <x:v>Santubong National Park</x:v>
      </x:c>
      <x:c r="C625" s="117" t="n">
        <x:v>2</x:v>
      </x:c>
      <x:c r="D625" s="117" t="str">
        <x:v>https://thumb.wikimedia.org/wikipedia/commons/thumb/d/d4/Horsehair_Fungi_%28Marasmius_sp.%29_%2823962789145%29.jpg/1280px-Horsehair_Fungi_%28Marasmius_sp.%29_%2823962789145%29.jpg?utm_source=commons.wikimedia.org&amp;utm_campaign=imageinfo&amp;utm_content=thumbnail</x:v>
      </x:c>
      <x:c r="E625" s="117" t="str">
        <x:v>https://commons.wikimedia.org/wiki/File:Horsehair_Fungi_(Marasmius_sp.)_(23962789145).jpg</x:v>
      </x:c>
      <x:c r="F625" s="117" t="str">
        <x:v>File:Horsehair Fungi (Marasmius sp.) (23962789145).jpg</x:v>
      </x:c>
      <x:c r="G625" s="117" t="str">
        <x:v>Bernard DUPONT from FRANCE</x:v>
      </x:c>
      <x:c r="H625" s="117" t="str">
        <x:v>CC BY-SA 2.0</x:v>
      </x:c>
      <x:c r="I625" s="117" t="str">
        <x:v>https://creativecommons.org/licenses/by-sa/2.0</x:v>
      </x:c>
      <x:c r="J625" s="117" t="str">
        <x:v>true</x:v>
      </x:c>
      <x:c r="K625" s="117" t="str">
        <x:v>Horsehair Fungi (Marasmius sp.)</x:v>
      </x:c>
      <x:c r="L625" s="117" t="str">
        <x:v>Exact name or all distinctive place-name tokens in file metadata</x:v>
      </x:c>
      <x:c r="M625" s="117" t="str">
        <x:v>Not visually reviewed</x:v>
      </x:c>
      <x:c r="N625" s="117" t="str">
        <x:v>2026-09-08</x:v>
      </x:c>
    </x:row>
    <x:row r="626" ht="48" customHeight="1">
      <x:c r="A626" s="117" t="str">
        <x:v>MC0695</x:v>
      </x:c>
      <x:c r="B626" s="117" t="str">
        <x:v>Lambir Hills National Park</x:v>
      </x:c>
      <x:c r="C626" s="117" t="n">
        <x:v>1</x:v>
      </x:c>
      <x:c r="D626" s="117" t="str">
        <x:v>https://upload.wikimedia.org/wikipedia/commons/b/b8/Rainforest_understory_in_Lambir_Hills_National_Park.jpg?utm_source=commons.wikimedia.org&amp;utm_campaign=imageinfo&amp;utm_content=thumbnail_unscaled</x:v>
      </x:c>
      <x:c r="E626" s="117" t="str">
        <x:v>https://commons.wikimedia.org/wiki/File:Rainforest_understory_in_Lambir_Hills_National_Park.jpg</x:v>
      </x:c>
      <x:c r="F626" s="117" t="str">
        <x:v>File:Rainforest understory in Lambir Hills National Park.jpg</x:v>
      </x:c>
      <x:c r="G626" s="117" t="str">
        <x:v>Mike Shanahan</x:v>
      </x:c>
      <x:c r="H626" s="117" t="str">
        <x:v>CC BY-SA 3.0</x:v>
      </x:c>
      <x:c r="I626" s="117" t="str">
        <x:v>https://creativecommons.org/licenses/by-sa/3.0</x:v>
      </x:c>
      <x:c r="J626" s="117" t="str">
        <x:v>true</x:v>
      </x:c>
      <x:c r="K626" s="117" t="str">
        <x:v>Own work</x:v>
      </x:c>
      <x:c r="L626" s="117" t="str">
        <x:v>Exact name or all distinctive place-name tokens in file metadata</x:v>
      </x:c>
      <x:c r="M626" s="117" t="str">
        <x:v>Not visually reviewed</x:v>
      </x:c>
      <x:c r="N626" s="117" t="str">
        <x:v>2026-09-08</x:v>
      </x:c>
    </x:row>
    <x:row r="627" ht="48" customHeight="1">
      <x:c r="A627" s="117" t="str">
        <x:v>MC0695</x:v>
      </x:c>
      <x:c r="B627" s="117" t="str">
        <x:v>Lambir Hills National Park</x:v>
      </x:c>
      <x:c r="C627" s="117" t="n">
        <x:v>2</x:v>
      </x:c>
      <x:c r="D627" s="117" t="str">
        <x:v>https://thumb.wikimedia.org/wikipedia/commons/thumb/3/39/Lambir-Hills-Waterfall.jpg/1280px-Lambir-Hills-Waterfall.jpg?utm_source=commons.wikimedia.org&amp;utm_campaign=imageinfo&amp;utm_content=thumbnail</x:v>
      </x:c>
      <x:c r="E627" s="117" t="str">
        <x:v>https://commons.wikimedia.org/wiki/File:Lambir-Hills-Waterfall.jpg</x:v>
      </x:c>
      <x:c r="F627" s="117" t="str">
        <x:v>File:Lambir-Hills-Waterfall.jpg</x:v>
      </x:c>
      <x:c r="G627" s="117" t="str">
        <x:v>Nicolai Edgar Andersen</x:v>
      </x:c>
      <x:c r="H627" s="117" t="str">
        <x:v>CC BY-SA 4.0</x:v>
      </x:c>
      <x:c r="I627" s="117" t="str">
        <x:v>https://creativecommons.org/licenses/by-sa/4.0</x:v>
      </x:c>
      <x:c r="J627" s="117" t="str">
        <x:v>true</x:v>
      </x:c>
      <x:c r="K627" s="117" t="str">
        <x:v>Own work</x:v>
      </x:c>
      <x:c r="L627" s="117" t="str">
        <x:v>Exact name or all distinctive place-name tokens in file metadata</x:v>
      </x:c>
      <x:c r="M627" s="117" t="str">
        <x:v>Not visually reviewed</x:v>
      </x:c>
      <x:c r="N627" s="117" t="str">
        <x:v>2026-09-08</x:v>
      </x:c>
    </x:row>
    <x:row r="628" ht="48" customHeight="1">
      <x:c r="A628" s="117" t="str">
        <x:v>MC0696</x:v>
      </x:c>
      <x:c r="B628" s="117" t="str">
        <x:v>Miri Public Park</x:v>
      </x:c>
      <x:c r="C628" s="117" t="n">
        <x:v>1</x:v>
      </x:c>
      <x:c r="D628" s="117" t="str">
        <x:v>https://thumb.wikimedia.org/wikipedia/commons/thumb/3/38/Taman_Awam_Miri.JPG/1280px-Taman_Awam_Miri.JPG?utm_source=commons.wikimedia.org&amp;utm_campaign=imageinfo&amp;utm_content=thumbnail</x:v>
      </x:c>
      <x:c r="E628" s="117" t="str">
        <x:v>https://commons.wikimedia.org/wiki/File:Taman_Awam_Miri.JPG</x:v>
      </x:c>
      <x:c r="F628" s="117" t="str">
        <x:v>File:Taman Awam Miri.JPG</x:v>
      </x:c>
      <x:c r="G628" s="117" t="str">
        <x:v>Chongkian</x:v>
      </x:c>
      <x:c r="H628" s="117" t="str">
        <x:v>CC BY-SA 3.0</x:v>
      </x:c>
      <x:c r="I628" s="117" t="str">
        <x:v>https://creativecommons.org/licenses/by-sa/3.0</x:v>
      </x:c>
      <x:c r="J628" s="117" t="str">
        <x:v>true</x:v>
      </x:c>
      <x:c r="K628" s="117" t="str">
        <x:v>Own work</x:v>
      </x:c>
      <x:c r="L628" s="117" t="str">
        <x:v>Exact name or all distinctive place-name tokens in file metadata</x:v>
      </x:c>
      <x:c r="M628" s="117" t="str">
        <x:v>Not visually reviewed</x:v>
      </x:c>
      <x:c r="N628" s="117" t="str">
        <x:v>2026-09-08</x:v>
      </x:c>
    </x:row>
    <x:row r="629" ht="48" customHeight="1">
      <x:c r="A629" s="117" t="str">
        <x:v>MC0697</x:v>
      </x:c>
      <x:c r="B629" s="117" t="str">
        <x:v>Miri City Fan</x:v>
      </x:c>
      <x:c r="C629" s="117" t="n">
        <x:v>1</x:v>
      </x:c>
      <x:c r="D629" s="117" t="str">
        <x:v>https://thumb.wikimedia.org/wikipedia/commons/thumb/9/93/Miri_Unity_Tower.jpg/1280px-Miri_Unity_Tower.jpg?utm_source=commons.wikimedia.org&amp;utm_campaign=imageinfo&amp;utm_content=thumbnail</x:v>
      </x:c>
      <x:c r="E629" s="117" t="str">
        <x:v>https://commons.wikimedia.org/wiki/File:Miri_Unity_Tower.jpg</x:v>
      </x:c>
      <x:c r="F629" s="117" t="str">
        <x:v>File:Miri Unity Tower.jpg</x:v>
      </x:c>
      <x:c r="G629" s="117" t="str">
        <x:v>Pangalau</x:v>
      </x:c>
      <x:c r="H629" s="117" t="str">
        <x:v>CC BY-SA 4.0</x:v>
      </x:c>
      <x:c r="I629" s="117" t="str">
        <x:v>https://creativecommons.org/licenses/by-sa/4.0</x:v>
      </x:c>
      <x:c r="J629" s="117" t="str">
        <x:v>true</x:v>
      </x:c>
      <x:c r="K629" s="117" t="str">
        <x:v>Own work</x:v>
      </x:c>
      <x:c r="L629" s="117" t="str">
        <x:v>Exact name or all distinctive place-name tokens in file metadata</x:v>
      </x:c>
      <x:c r="M629" s="117" t="str">
        <x:v>Not visually reviewed</x:v>
      </x:c>
      <x:c r="N629" s="117" t="str">
        <x:v>2026-09-08</x:v>
      </x:c>
    </x:row>
    <x:row r="630" ht="48" customHeight="1">
      <x:c r="A630" s="117" t="str">
        <x:v>MC0697</x:v>
      </x:c>
      <x:c r="B630" s="117" t="str">
        <x:v>Miri City Fan</x:v>
      </x:c>
      <x:c r="C630" s="117" t="n">
        <x:v>2</x:v>
      </x:c>
      <x:c r="D630" s="117" t="str">
        <x:v>https://thumb.wikimedia.org/wikipedia/commons/thumb/3/38/Miri_Indoor_Stadium.jpg/1280px-Miri_Indoor_Stadium.jpg?utm_source=commons.wikimedia.org&amp;utm_campaign=imageinfo&amp;utm_content=thumbnail</x:v>
      </x:c>
      <x:c r="E630" s="117" t="str">
        <x:v>https://commons.wikimedia.org/wiki/File:Miri_Indoor_Stadium.jpg</x:v>
      </x:c>
      <x:c r="F630" s="117" t="str">
        <x:v>File:Miri Indoor Stadium.jpg</x:v>
      </x:c>
      <x:c r="G630" s="117" t="str">
        <x:v>Pangalau</x:v>
      </x:c>
      <x:c r="H630" s="117" t="str">
        <x:v>CC BY-SA 4.0</x:v>
      </x:c>
      <x:c r="I630" s="117" t="str">
        <x:v>https://creativecommons.org/licenses/by-sa/4.0</x:v>
      </x:c>
      <x:c r="J630" s="117" t="str">
        <x:v>true</x:v>
      </x:c>
      <x:c r="K630" s="117" t="str">
        <x:v>Own work</x:v>
      </x:c>
      <x:c r="L630" s="117" t="str">
        <x:v>Exact name or all distinctive place-name tokens in file metadata</x:v>
      </x:c>
      <x:c r="M630" s="117" t="str">
        <x:v>Not visually reviewed</x:v>
      </x:c>
      <x:c r="N630" s="117" t="str">
        <x:v>2026-09-08</x:v>
      </x:c>
    </x:row>
    <x:row r="631" ht="48" customHeight="1">
      <x:c r="A631" s="117" t="str">
        <x:v>MC0702</x:v>
      </x:c>
      <x:c r="B631" s="117" t="str">
        <x:v>Tua Pek Kong Temple Sibu</x:v>
      </x:c>
      <x:c r="C631" s="117" t="n">
        <x:v>1</x:v>
      </x:c>
      <x:c r="D631" s="117" t="str">
        <x:v>https://thumb.wikimedia.org/wikipedia/commons/thumb/2/23/Pagoda_of_Tua_Pek_Kong_Temple.JPG/1280px-Pagoda_of_Tua_Pek_Kong_Temple.JPG?utm_source=commons.wikimedia.org&amp;utm_campaign=imageinfo&amp;utm_content=thumbnail</x:v>
      </x:c>
      <x:c r="E631" s="117" t="str">
        <x:v>https://commons.wikimedia.org/wiki/File:Pagoda_of_Tua_Pek_Kong_Temple.JPG</x:v>
      </x:c>
      <x:c r="F631" s="117" t="str">
        <x:v>File:Pagoda of Tua Pek Kong Temple.JPG</x:v>
      </x:c>
      <x:c r="G631" s="117" t="str">
        <x:v>Cerevisae</x:v>
      </x:c>
      <x:c r="H631" s="117" t="str">
        <x:v>CC BY-SA 3.0</x:v>
      </x:c>
      <x:c r="I631" s="117" t="str">
        <x:v>https://creativecommons.org/licenses/by-sa/3.0</x:v>
      </x:c>
      <x:c r="J631" s="117" t="str">
        <x:v>true</x:v>
      </x:c>
      <x:c r="K631" s="117" t="str">
        <x:v>Own work</x:v>
      </x:c>
      <x:c r="L631" s="117" t="str">
        <x:v>Exact name or all distinctive place-name tokens in file metadata</x:v>
      </x:c>
      <x:c r="M631" s="117" t="str">
        <x:v>Not visually reviewed</x:v>
      </x:c>
      <x:c r="N631" s="117" t="str">
        <x:v>2026-09-08</x:v>
      </x:c>
    </x:row>
    <x:row r="632" ht="48" customHeight="1">
      <x:c r="A632" s="117" t="str">
        <x:v>MC0702</x:v>
      </x:c>
      <x:c r="B632" s="117" t="str">
        <x:v>Tua Pek Kong Temple Sibu</x:v>
      </x:c>
      <x:c r="C632" s="117" t="n">
        <x:v>2</x:v>
      </x:c>
      <x:c r="D632" s="117" t="str">
        <x:v>https://thumb.wikimedia.org/wikipedia/commons/thumb/2/22/Tua_Pek_Kong_Temple_-_February_2019.jpg/1280px-Tua_Pek_Kong_Temple_-_February_2019.jpg?utm_source=commons.wikimedia.org&amp;utm_campaign=imageinfo&amp;utm_content=thumbnail</x:v>
      </x:c>
      <x:c r="E632" s="117" t="str">
        <x:v>https://commons.wikimedia.org/wiki/File:Tua_Pek_Kong_Temple_-_February_2019.jpg</x:v>
      </x:c>
      <x:c r="F632" s="117" t="str">
        <x:v>File:Tua Pek Kong Temple - February 2019.jpg</x:v>
      </x:c>
      <x:c r="G632" s="117" t="str">
        <x:v>Mx. Granger</x:v>
      </x:c>
      <x:c r="H632" s="117" t="str">
        <x:v>CC0</x:v>
      </x:c>
      <x:c r="I632" s="117" t="str">
        <x:v>http://creativecommons.org/publicdomain/zero/1.0/deed.en</x:v>
      </x:c>
      <x:c r="J632" s="117" t="str">
        <x:v>false</x:v>
      </x:c>
      <x:c r="K632" s="117" t="str">
        <x:v>Own work</x:v>
      </x:c>
      <x:c r="L632" s="117" t="str">
        <x:v>Exact name or all distinctive place-name tokens in file metadata</x:v>
      </x:c>
      <x:c r="M632" s="117" t="str">
        <x:v>Not visually reviewed</x:v>
      </x:c>
      <x:c r="N632" s="117" t="str">
        <x:v>2026-09-08</x:v>
      </x:c>
    </x:row>
    <x:row r="633" ht="48" customHeight="1">
      <x:c r="A633" s="117" t="str">
        <x:v>MC0703</x:v>
      </x:c>
      <x:c r="B633" s="117" t="str">
        <x:v>Bukit Aup Jubilee Park</x:v>
      </x:c>
      <x:c r="C633" s="117" t="n">
        <x:v>1</x:v>
      </x:c>
      <x:c r="D633" s="117" t="str">
        <x:v>https://thumb.wikimedia.org/wikipedia/commons/thumb/2/2e/Bukit_Aup_Jubilee_park_3.jpg/1280px-Bukit_Aup_Jubilee_park_3.jpg?utm_source=commons.wikimedia.org&amp;utm_campaign=imageinfo&amp;utm_content=thumbnail</x:v>
      </x:c>
      <x:c r="E633" s="117" t="str">
        <x:v>https://commons.wikimedia.org/wiki/File:Bukit_Aup_Jubilee_park_3.jpg</x:v>
      </x:c>
      <x:c r="F633" s="117" t="str">
        <x:v>File:Bukit Aup Jubilee park 3.jpg</x:v>
      </x:c>
      <x:c r="G633" s="117" t="str">
        <x:v>Cerevisae</x:v>
      </x:c>
      <x:c r="H633" s="117" t="str">
        <x:v>CC BY-SA 4.0</x:v>
      </x:c>
      <x:c r="I633" s="117" t="str">
        <x:v>https://creativecommons.org/licenses/by-sa/4.0</x:v>
      </x:c>
      <x:c r="J633" s="117" t="str">
        <x:v>true</x:v>
      </x:c>
      <x:c r="K633" s="117" t="str">
        <x:v>Own work</x:v>
      </x:c>
      <x:c r="L633" s="117" t="str">
        <x:v>Exact name or all distinctive place-name tokens in file metadata</x:v>
      </x:c>
      <x:c r="M633" s="117" t="str">
        <x:v>Not visually reviewed</x:v>
      </x:c>
      <x:c r="N633" s="117" t="str">
        <x:v>2026-09-08</x:v>
      </x:c>
    </x:row>
    <x:row r="634" ht="48" customHeight="1">
      <x:c r="A634" s="117" t="str">
        <x:v>MC0703</x:v>
      </x:c>
      <x:c r="B634" s="117" t="str">
        <x:v>Bukit Aup Jubilee Park</x:v>
      </x:c>
      <x:c r="C634" s="117" t="n">
        <x:v>2</x:v>
      </x:c>
      <x:c r="D634" s="117" t="str">
        <x:v>https://thumb.wikimedia.org/wikipedia/commons/thumb/f/f6/Bukit_Aup_Jubilee_park_middle_of_the_hill.jpg/1280px-Bukit_Aup_Jubilee_park_middle_of_the_hill.jpg?utm_source=commons.wikimedia.org&amp;utm_campaign=imageinfo&amp;utm_content=thumbnail</x:v>
      </x:c>
      <x:c r="E634" s="117" t="str">
        <x:v>https://commons.wikimedia.org/wiki/File:Bukit_Aup_Jubilee_park_middle_of_the_hill.jpg</x:v>
      </x:c>
      <x:c r="F634" s="117" t="str">
        <x:v>File:Bukit Aup Jubilee park middle of the hill.jpg</x:v>
      </x:c>
      <x:c r="G634" s="117" t="str">
        <x:v>Cerevisae</x:v>
      </x:c>
      <x:c r="H634" s="117" t="str">
        <x:v>CC BY-SA 4.0</x:v>
      </x:c>
      <x:c r="I634" s="117" t="str">
        <x:v>https://creativecommons.org/licenses/by-sa/4.0</x:v>
      </x:c>
      <x:c r="J634" s="117" t="str">
        <x:v>true</x:v>
      </x:c>
      <x:c r="K634" s="117" t="str">
        <x:v>Own work</x:v>
      </x:c>
      <x:c r="L634" s="117" t="str">
        <x:v>Exact name or all distinctive place-name tokens in file metadata</x:v>
      </x:c>
      <x:c r="M634" s="117" t="str">
        <x:v>Not visually reviewed</x:v>
      </x:c>
      <x:c r="N634" s="117" t="str">
        <x:v>2026-09-08</x:v>
      </x:c>
    </x:row>
    <x:row r="635" ht="48" customHeight="1">
      <x:c r="A635" s="117" t="str">
        <x:v>MC0705</x:v>
      </x:c>
      <x:c r="B635" s="117" t="str">
        <x:v>Forest Research Institute Malaysia</x:v>
      </x:c>
      <x:c r="C635" s="117" t="n">
        <x:v>1</x:v>
      </x:c>
      <x:c r="D635" s="117" t="str">
        <x:v>https://upload.wikimedia.org/wikipedia/commons/0/0f/Tropical_Forest_Morning_at_FRIM%2C_Malaysia.jpg?utm_source=commons.wikimedia.org&amp;utm_campaign=imageinfo&amp;utm_content=thumbnail_unscaled</x:v>
      </x:c>
      <x:c r="E635" s="117" t="str">
        <x:v>https://commons.wikimedia.org/wiki/File:Tropical_Forest_Morning_at_FRIM,_Malaysia.jpg</x:v>
      </x:c>
      <x:c r="F635" s="117" t="str">
        <x:v>File:Tropical Forest Morning at FRIM, Malaysia.jpg</x:v>
      </x:c>
      <x:c r="G635" s="117" t="str">
        <x:v>Dini syawalya</x:v>
      </x:c>
      <x:c r="H635" s="117" t="str">
        <x:v>CC BY-SA 4.0</x:v>
      </x:c>
      <x:c r="I635" s="117" t="str">
        <x:v>https://creativecommons.org/licenses/by-sa/4.0</x:v>
      </x:c>
      <x:c r="J635" s="117" t="str">
        <x:v>true</x:v>
      </x:c>
      <x:c r="K635" s="117" t="str">
        <x:v>Own work</x:v>
      </x:c>
      <x:c r="L635" s="117" t="str">
        <x:v>Exact name or all distinctive place-name tokens in file metadata</x:v>
      </x:c>
      <x:c r="M635" s="117" t="str">
        <x:v>Not visually reviewed</x:v>
      </x:c>
      <x:c r="N635" s="117" t="str">
        <x:v>2026-09-08</x:v>
      </x:c>
    </x:row>
    <x:row r="636" ht="48" customHeight="1">
      <x:c r="A636" s="117" t="str">
        <x:v>MC0705</x:v>
      </x:c>
      <x:c r="B636" s="117" t="str">
        <x:v>Forest Research Institute Malaysia</x:v>
      </x:c>
      <x:c r="C636" s="117" t="n">
        <x:v>2</x:v>
      </x:c>
      <x:c r="D636" s="117" t="str">
        <x:v>https://upload.wikimedia.org/wikipedia/commons/5/5f/Orange_Oakleaf_Butterfly_in_FRIM.jpg?utm_source=commons.wikimedia.org&amp;utm_campaign=imageinfo&amp;utm_content=thumbnail_unscaled</x:v>
      </x:c>
      <x:c r="E636" s="117" t="str">
        <x:v>https://commons.wikimedia.org/wiki/File:Orange_Oakleaf_Butterfly_in_FRIM.jpg</x:v>
      </x:c>
      <x:c r="F636" s="117" t="str">
        <x:v>File:Orange Oakleaf Butterfly in FRIM.jpg</x:v>
      </x:c>
      <x:c r="G636" s="117" t="str">
        <x:v>Dini syawalya</x:v>
      </x:c>
      <x:c r="H636" s="117" t="str">
        <x:v>CC BY-SA 4.0</x:v>
      </x:c>
      <x:c r="I636" s="117" t="str">
        <x:v>https://creativecommons.org/licenses/by-sa/4.0</x:v>
      </x:c>
      <x:c r="J636" s="117" t="str">
        <x:v>true</x:v>
      </x:c>
      <x:c r="K636" s="117" t="str">
        <x:v>Own work</x:v>
      </x:c>
      <x:c r="L636" s="117" t="str">
        <x:v>Exact name or all distinctive place-name tokens in file metadata</x:v>
      </x:c>
      <x:c r="M636" s="117" t="str">
        <x:v>Not visually reviewed</x:v>
      </x:c>
      <x:c r="N636" s="117" t="str">
        <x:v>2026-09-08</x:v>
      </x:c>
    </x:row>
    <x:row r="637" ht="48" customHeight="1">
      <x:c r="A637" s="117" t="str">
        <x:v>MC0709</x:v>
      </x:c>
      <x:c r="B637" s="117" t="str">
        <x:v>MAEPS</x:v>
      </x:c>
      <x:c r="C637" s="117" t="n">
        <x:v>1</x:v>
      </x:c>
      <x:c r="D637" s="117" t="str">
        <x:v>https://thumb.wikimedia.org/wikipedia/commons/thumb/3/3e/Main_entrance_of_MAEPS.jpg/1280px-Main_entrance_of_MAEPS.jpg?utm_source=commons.wikimedia.org&amp;utm_campaign=imageinfo&amp;utm_content=thumbnail</x:v>
      </x:c>
      <x:c r="E637" s="117" t="str">
        <x:v>https://commons.wikimedia.org/wiki/File:Main_entrance_of_MAEPS.jpg</x:v>
      </x:c>
      <x:c r="F637" s="117" t="str">
        <x:v>File:Main entrance of MAEPS.jpg</x:v>
      </x:c>
      <x:c r="G637" s="117" t="str">
        <x:v>Wee Hong</x:v>
      </x:c>
      <x:c r="H637" s="117" t="str">
        <x:v>CC BY-SA 4.0</x:v>
      </x:c>
      <x:c r="I637" s="117" t="str">
        <x:v>https://creativecommons.org/licenses/by-sa/4.0</x:v>
      </x:c>
      <x:c r="J637" s="117" t="str">
        <x:v>true</x:v>
      </x:c>
      <x:c r="K637" s="117" t="str">
        <x:v>Own work</x:v>
      </x:c>
      <x:c r="L637" s="117" t="str">
        <x:v>Exact name or all distinctive place-name tokens in file metadata</x:v>
      </x:c>
      <x:c r="M637" s="117" t="str">
        <x:v>Not visually reviewed</x:v>
      </x:c>
      <x:c r="N637" s="117" t="str">
        <x:v>2026-09-08</x:v>
      </x:c>
    </x:row>
    <x:row r="638" ht="48" customHeight="1">
      <x:c r="A638" s="117" t="str">
        <x:v>MC0709</x:v>
      </x:c>
      <x:c r="B638" s="117" t="str">
        <x:v>MAEPS</x:v>
      </x:c>
      <x:c r="C638" s="117" t="n">
        <x:v>2</x:v>
      </x:c>
      <x:c r="D638" s="117" t="str">
        <x:v>https://thumb.wikimedia.org/wikipedia/commons/thumb/a/ab/MAEPS%2C_Dewan_A.jpg/1280px-MAEPS%2C_Dewan_A.jpg?utm_source=commons.wikimedia.org&amp;utm_campaign=imageinfo&amp;utm_content=thumbnail</x:v>
      </x:c>
      <x:c r="E638" s="117" t="str">
        <x:v>https://commons.wikimedia.org/wiki/File:MAEPS,_Dewan_A.jpg</x:v>
      </x:c>
      <x:c r="F638" s="117" t="str">
        <x:v>File:MAEPS, Dewan A.jpg</x:v>
      </x:c>
      <x:c r="G638" s="117" t="str">
        <x:v>Wee Hong</x:v>
      </x:c>
      <x:c r="H638" s="117" t="str">
        <x:v>CC BY-SA 4.0</x:v>
      </x:c>
      <x:c r="I638" s="117" t="str">
        <x:v>https://creativecommons.org/licenses/by-sa/4.0</x:v>
      </x:c>
      <x:c r="J638" s="117" t="str">
        <x:v>true</x:v>
      </x:c>
      <x:c r="K638" s="117" t="str">
        <x:v>Own work</x:v>
      </x:c>
      <x:c r="L638" s="117" t="str">
        <x:v>Exact name or all distinctive place-name tokens in file metadata</x:v>
      </x:c>
      <x:c r="M638" s="117" t="str">
        <x:v>Not visually reviewed</x:v>
      </x:c>
      <x:c r="N638" s="117" t="str">
        <x:v>2026-09-08</x:v>
      </x:c>
    </x:row>
    <x:row r="639" ht="48" customHeight="1">
      <x:c r="A639" s="117" t="str">
        <x:v>MC0710</x:v>
      </x:c>
      <x:c r="B639" s="117" t="str">
        <x:v>Laman Seni 7</x:v>
      </x:c>
      <x:c r="C639" s="117" t="n">
        <x:v>1</x:v>
      </x:c>
      <x:c r="D639" s="117" t="str">
        <x:v>https://thumb.wikimedia.org/wikipedia/commons/thumb/f/f0/P._Ramlee_mural_at_Laman_Seni_7%2C_Shah_Alam%2C_2025-04-13.jpg/1280px-P._Ramlee_mural_at_Laman_Seni_7%2C_Shah_Alam%2C_2025-04-13.jpg?utm_source=commons.wikimedia.org&amp;utm_campaign=imageinfo&amp;utm_content=thumbnail</x:v>
      </x:c>
      <x:c r="E639" s="117" t="str">
        <x:v>https://commons.wikimedia.org/wiki/File:P._Ramlee_mural_at_Laman_Seni_7,_Shah_Alam,_2025-04-13.jpg</x:v>
      </x:c>
      <x:c r="F639" s="117" t="str">
        <x:v>File:P. Ramlee mural at Laman Seni 7, Shah Alam, 2025-04-13.jpg</x:v>
      </x:c>
      <x:c r="G639" s="117" t="str">
        <x:v>Kluang 2026</x:v>
      </x:c>
      <x:c r="H639" s="117" t="str">
        <x:v>Public domain</x:v>
      </x:c>
      <x:c r="I639" s="117" t="str"/>
      <x:c r="J639" s="117" t="str">
        <x:v>false</x:v>
      </x:c>
      <x:c r="K639" s="117" t="str">
        <x:v>Own work</x:v>
      </x:c>
      <x:c r="L639" s="117" t="str">
        <x:v>Exact name or all distinctive place-name tokens in file metadata</x:v>
      </x:c>
      <x:c r="M639" s="117" t="str">
        <x:v>Not visually reviewed</x:v>
      </x:c>
      <x:c r="N639" s="117" t="str">
        <x:v>2026-09-08</x:v>
      </x:c>
    </x:row>
    <x:row r="640" ht="48" customHeight="1">
      <x:c r="A640" s="117" t="str">
        <x:v>MC0711</x:v>
      </x:c>
      <x:c r="B640" s="117" t="str">
        <x:v>Shah Alam Lake Gardens</x:v>
      </x:c>
      <x:c r="C640" s="117" t="n">
        <x:v>1</x:v>
      </x:c>
      <x:c r="D640" s="117" t="str">
        <x:v>https://upload.wikimedia.org/wikipedia/commons/3/3f/Shah_Alam_Mosque.jpg?utm_source=commons.wikimedia.org&amp;utm_campaign=imageinfo&amp;utm_content=thumbnail_unscaled</x:v>
      </x:c>
      <x:c r="E640" s="117" t="str">
        <x:v>https://commons.wikimedia.org/wiki/File:Shah_Alam_Mosque.jpg</x:v>
      </x:c>
      <x:c r="F640" s="117" t="str">
        <x:v>File:Shah Alam Mosque.jpg</x:v>
      </x:c>
      <x:c r="G640" s="117" t="str">
        <x:v>Sharkawi Che Din.
Egard89 at English Wikipedia</x:v>
      </x:c>
      <x:c r="H640" s="117" t="str">
        <x:v>CC BY 2.0</x:v>
      </x:c>
      <x:c r="I640" s="117" t="str">
        <x:v>https://creativecommons.org/licenses/by/2.0</x:v>
      </x:c>
      <x:c r="J640" s="117" t="str">
        <x:v>true</x:v>
      </x:c>
      <x:c r="K640" s="117" t="str">
        <x:v>Shah Alam Mosque</x:v>
      </x:c>
      <x:c r="L640" s="117" t="str">
        <x:v>Exact name or all distinctive place-name tokens in file metadata</x:v>
      </x:c>
      <x:c r="M640" s="117" t="str">
        <x:v>Not visually reviewed</x:v>
      </x:c>
      <x:c r="N640" s="117" t="str">
        <x:v>2026-09-08</x:v>
      </x:c>
    </x:row>
    <x:row r="641" ht="48" customHeight="1">
      <x:c r="A641" s="117" t="str">
        <x:v>MC0711</x:v>
      </x:c>
      <x:c r="B641" s="117" t="str">
        <x:v>Shah Alam Lake Gardens</x:v>
      </x:c>
      <x:c r="C641" s="117" t="n">
        <x:v>2</x:v>
      </x:c>
      <x:c r="D641" s="117" t="str">
        <x:v>https://thumb.wikimedia.org/wikipedia/commons/thumb/d/d8/Jambatan_Kanopi%2C_Taman_Tasik_Shah_Alam_%28190812-1509%29.jpg/1280px-Jambatan_Kanopi%2C_Taman_Tasik_Shah_Alam_%28190812-1509%29.jpg?utm_source=commons.wikimedia.org&amp;utm_campaign=imageinfo&amp;utm_content=thumbnail</x:v>
      </x:c>
      <x:c r="E641" s="117" t="str">
        <x:v>https://commons.wikimedia.org/wiki/File:Jambatan_Kanopi,_Taman_Tasik_Shah_Alam_(190812-1509).jpg</x:v>
      </x:c>
      <x:c r="F641" s="117" t="str">
        <x:v>File:Jambatan Kanopi, Taman Tasik Shah Alam (190812-1509).jpg</x:v>
      </x:c>
      <x:c r="G641" s="117" t="str">
        <x:v>Wee Hong</x:v>
      </x:c>
      <x:c r="H641" s="117" t="str">
        <x:v>CC BY-SA 4.0</x:v>
      </x:c>
      <x:c r="I641" s="117" t="str">
        <x:v>https://creativecommons.org/licenses/by-sa/4.0</x:v>
      </x:c>
      <x:c r="J641" s="117" t="str">
        <x:v>true</x:v>
      </x:c>
      <x:c r="K641" s="117" t="str">
        <x:v>Own work</x:v>
      </x:c>
      <x:c r="L641" s="117" t="str">
        <x:v>Exact name or all distinctive place-name tokens in file metadata</x:v>
      </x:c>
      <x:c r="M641" s="117" t="str">
        <x:v>Not visually reviewed</x:v>
      </x:c>
      <x:c r="N641" s="117" t="str">
        <x:v>2026-09-08</x:v>
      </x:c>
    </x:row>
    <x:row r="642" ht="48" customHeight="1">
      <x:c r="A642" s="117" t="str">
        <x:v>MC0715</x:v>
      </x:c>
      <x:c r="B642" s="117" t="str">
        <x:v>Bukit Jugra</x:v>
      </x:c>
      <x:c r="C642" s="117" t="n">
        <x:v>1</x:v>
      </x:c>
      <x:c r="D642" s="117" t="str">
        <x:v>https://thumb.wikimedia.org/wikipedia/commons/thumb/c/c8/Jalan_Bukit_Jugra_4.jpg/1280px-Jalan_Bukit_Jugra_4.jpg?utm_source=commons.wikimedia.org&amp;utm_campaign=imageinfo&amp;utm_content=thumbnail</x:v>
      </x:c>
      <x:c r="E642" s="117" t="str">
        <x:v>https://commons.wikimedia.org/wiki/File:Jalan_Bukit_Jugra_4.jpg</x:v>
      </x:c>
      <x:c r="F642" s="117" t="str">
        <x:v>File:Jalan Bukit Jugra 4.jpg</x:v>
      </x:c>
      <x:c r="G642" s="117" t="str">
        <x:v>Wiki Farazi</x:v>
      </x:c>
      <x:c r="H642" s="117" t="str">
        <x:v>CC0</x:v>
      </x:c>
      <x:c r="I642" s="117" t="str">
        <x:v>http://creativecommons.org/publicdomain/zero/1.0/deed.en</x:v>
      </x:c>
      <x:c r="J642" s="117" t="str">
        <x:v>false</x:v>
      </x:c>
      <x:c r="K642" s="117" t="str">
        <x:v>Own work</x:v>
      </x:c>
      <x:c r="L642" s="117" t="str">
        <x:v>Exact name or all distinctive place-name tokens in file metadata</x:v>
      </x:c>
      <x:c r="M642" s="117" t="str">
        <x:v>Not visually reviewed</x:v>
      </x:c>
      <x:c r="N642" s="117" t="str">
        <x:v>2026-09-08</x:v>
      </x:c>
    </x:row>
    <x:row r="643" ht="48" customHeight="1">
      <x:c r="A643" s="117" t="str">
        <x:v>MC0715</x:v>
      </x:c>
      <x:c r="B643" s="117" t="str">
        <x:v>Bukit Jugra</x:v>
      </x:c>
      <x:c r="C643" s="117" t="n">
        <x:v>2</x:v>
      </x:c>
      <x:c r="D643" s="117" t="str">
        <x:v>https://thumb.wikimedia.org/wikipedia/commons/thumb/1/13/Jalan_Bukit_Jugra_1.jpg/1280px-Jalan_Bukit_Jugra_1.jpg?utm_source=commons.wikimedia.org&amp;utm_campaign=imageinfo&amp;utm_content=thumbnail</x:v>
      </x:c>
      <x:c r="E643" s="117" t="str">
        <x:v>https://commons.wikimedia.org/wiki/File:Jalan_Bukit_Jugra_1.jpg</x:v>
      </x:c>
      <x:c r="F643" s="117" t="str">
        <x:v>File:Jalan Bukit Jugra 1.jpg</x:v>
      </x:c>
      <x:c r="G643" s="117" t="str">
        <x:v>Wiki Farazi</x:v>
      </x:c>
      <x:c r="H643" s="117" t="str">
        <x:v>CC0</x:v>
      </x:c>
      <x:c r="I643" s="117" t="str">
        <x:v>http://creativecommons.org/publicdomain/zero/1.0/deed.en</x:v>
      </x:c>
      <x:c r="J643" s="117" t="str">
        <x:v>false</x:v>
      </x:c>
      <x:c r="K643" s="117" t="str">
        <x:v>Own work</x:v>
      </x:c>
      <x:c r="L643" s="117" t="str">
        <x:v>Exact name or all distinctive place-name tokens in file metadata</x:v>
      </x:c>
      <x:c r="M643" s="117" t="str">
        <x:v>Not visually reviewed</x:v>
      </x:c>
      <x:c r="N643" s="117" t="str">
        <x:v>2026-09-08</x:v>
      </x:c>
    </x:row>
    <x:row r="644" ht="48" customHeight="1">
      <x:c r="A644" s="117" t="str">
        <x:v>MC0718</x:v>
      </x:c>
      <x:c r="B644" s="117" t="str">
        <x:v>District 21</x:v>
      </x:c>
      <x:c r="C644" s="117" t="n">
        <x:v>1</x:v>
      </x:c>
      <x:c r="D644" s="117" t="str">
        <x:v>https://thumb.wikimedia.org/wikipedia/commons/thumb/d/de/Wilton_Historic_District_21.jpg/1280px-Wilton_Historic_District_21.jpg?utm_source=commons.wikimedia.org&amp;utm_campaign=imageinfo&amp;utm_content=thumbnail</x:v>
      </x:c>
      <x:c r="E644" s="117" t="str">
        <x:v>https://commons.wikimedia.org/wiki/File:Wilton_Historic_District_21.jpg</x:v>
      </x:c>
      <x:c r="F644" s="117" t="str">
        <x:v>File:Wilton Historic District 21.jpg</x:v>
      </x:c>
      <x:c r="G644" s="117" t="str">
        <x:v>Joe Mabel</x:v>
      </x:c>
      <x:c r="H644" s="117" t="str">
        <x:v>CC BY-SA 3.0</x:v>
      </x:c>
      <x:c r="I644" s="117" t="str">
        <x:v>https://creativecommons.org/licenses/by-sa/3.0</x:v>
      </x:c>
      <x:c r="J644" s="117" t="str">
        <x:v>true</x:v>
      </x:c>
      <x:c r="K644" s="117" t="str">
        <x:v>Photo by Joe Mabel</x:v>
      </x:c>
      <x:c r="L644" s="117" t="str">
        <x:v>Exact name or all distinctive place-name tokens in file metadata</x:v>
      </x:c>
      <x:c r="M644" s="117" t="str">
        <x:v>Not visually reviewed</x:v>
      </x:c>
      <x:c r="N644" s="117" t="str">
        <x:v>2026-09-08</x:v>
      </x:c>
    </x:row>
    <x:row r="645" ht="48" customHeight="1">
      <x:c r="A645" s="117" t="str">
        <x:v>MC0718</x:v>
      </x:c>
      <x:c r="B645" s="117" t="str">
        <x:v>District 21</x:v>
      </x:c>
      <x:c r="C645" s="117" t="n">
        <x:v>2</x:v>
      </x:c>
      <x:c r="D645" s="117" t="str">
        <x:v>https://thumb.wikimedia.org/wikipedia/commons/thumb/e/ea/Jaggannath_Deul_temple_at_Kumarhati_area_of_Keshiary_in_Paschim_Medinipur_district._21.jpg/1280px-Jaggannath_Deul_temple_at_Kumarhati_area_of_Keshiary_in_Paschim_Medinipur_district._21.jpg?utm_source=commons.wikimedia.org&amp;utm_campaign=imageinfo&amp;utm_content=thumbnail</x:v>
      </x:c>
      <x:c r="E645" s="117" t="str">
        <x:v>https://commons.wikimedia.org/wiki/File:Jaggannath_Deul_temple_at_Kumarhati_area_of_Keshiary_in_Paschim_Medinipur_district._21.jpg</x:v>
      </x:c>
      <x:c r="F645" s="117" t="str">
        <x:v>File:Jaggannath Deul temple at Kumarhati area of Keshiary in Paschim Medinipur district. 21.jpg</x:v>
      </x:c>
      <x:c r="G645" s="117" t="str">
        <x:v>Amitabha Gupta</x:v>
      </x:c>
      <x:c r="H645" s="117" t="str">
        <x:v>CC BY 4.0</x:v>
      </x:c>
      <x:c r="I645" s="117" t="str">
        <x:v>https://creativecommons.org/licenses/by/4.0</x:v>
      </x:c>
      <x:c r="J645" s="117" t="str">
        <x:v>true</x:v>
      </x:c>
      <x:c r="K645" s="117" t="str">
        <x:v>Own work</x:v>
      </x:c>
      <x:c r="L645" s="117" t="str">
        <x:v>Exact name or all distinctive place-name tokens in file metadata</x:v>
      </x:c>
      <x:c r="M645" s="117" t="str">
        <x:v>Not visually reviewed</x:v>
      </x:c>
      <x:c r="N645" s="117" t="str">
        <x:v>2026-09-08</x:v>
      </x:c>
    </x:row>
    <x:row r="646" ht="48" customHeight="1">
      <x:c r="A646" s="117" t="str">
        <x:v>MC0721</x:v>
      </x:c>
      <x:c r="B646" s="117" t="str">
        <x:v>Terengganu Drawbridge</x:v>
      </x:c>
      <x:c r="C646" s="117" t="n">
        <x:v>1</x:v>
      </x:c>
      <x:c r="D646" s="117" t="str">
        <x:v>https://upload.wikimedia.org/wikipedia/commons/7/72/Kuala_Terengganu_Drawbridge_from_the_Observatory.jpg?utm_source=commons.wikimedia.org&amp;utm_campaign=imageinfo&amp;utm_content=thumbnail_unscaled</x:v>
      </x:c>
      <x:c r="E646" s="117" t="str">
        <x:v>https://commons.wikimedia.org/wiki/File:Kuala_Terengganu_Drawbridge_from_the_Observatory.jpg</x:v>
      </x:c>
      <x:c r="F646" s="117" t="str">
        <x:v>File:Kuala Terengganu Drawbridge from the Observatory.jpg</x:v>
      </x:c>
      <x:c r="G646" s="117" t="str">
        <x:v>Fikku fiq</x:v>
      </x:c>
      <x:c r="H646" s="117" t="str">
        <x:v>CC BY-SA 4.0</x:v>
      </x:c>
      <x:c r="I646" s="117" t="str">
        <x:v>https://creativecommons.org/licenses/by-sa/4.0</x:v>
      </x:c>
      <x:c r="J646" s="117" t="str">
        <x:v>true</x:v>
      </x:c>
      <x:c r="K646" s="117" t="str">
        <x:v>Own work</x:v>
      </x:c>
      <x:c r="L646" s="117" t="str">
        <x:v>Exact name or all distinctive place-name tokens in file metadata</x:v>
      </x:c>
      <x:c r="M646" s="117" t="str">
        <x:v>Not visually reviewed</x:v>
      </x:c>
      <x:c r="N646" s="117" t="str">
        <x:v>2026-09-08</x:v>
      </x:c>
    </x:row>
    <x:row r="647" ht="48" customHeight="1">
      <x:c r="A647" s="117" t="str">
        <x:v>MC0721</x:v>
      </x:c>
      <x:c r="B647" s="117" t="str">
        <x:v>Terengganu Drawbridge</x:v>
      </x:c>
      <x:c r="C647" s="117" t="n">
        <x:v>2</x:v>
      </x:c>
      <x:c r="D647" s="117" t="str">
        <x:v>https://upload.wikimedia.org/wikipedia/commons/7/7c/Papan_Tanda_Jambatan_Angkat_2019.jpg?utm_source=commons.wikimedia.org&amp;utm_campaign=imageinfo&amp;utm_content=thumbnail_unscaled</x:v>
      </x:c>
      <x:c r="E647" s="117" t="str">
        <x:v>https://commons.wikimedia.org/wiki/File:Papan_Tanda_Jambatan_Angkat_2019.jpg</x:v>
      </x:c>
      <x:c r="F647" s="117" t="str">
        <x:v>File:Papan Tanda Jambatan Angkat 2019.jpg</x:v>
      </x:c>
      <x:c r="G647" s="117" t="str">
        <x:v>HarimauMalayaHM</x:v>
      </x:c>
      <x:c r="H647" s="117" t="str">
        <x:v>CC BY-SA 4.0</x:v>
      </x:c>
      <x:c r="I647" s="117" t="str">
        <x:v>https://creativecommons.org/licenses/by-sa/4.0</x:v>
      </x:c>
      <x:c r="J647" s="117" t="str">
        <x:v>true</x:v>
      </x:c>
      <x:c r="K647" s="117" t="str">
        <x:v>Own work</x:v>
      </x:c>
      <x:c r="L647" s="117" t="str">
        <x:v>Exact name or all distinctive place-name tokens in file metadata</x:v>
      </x:c>
      <x:c r="M647" s="117" t="str">
        <x:v>Not visually reviewed</x:v>
      </x:c>
      <x:c r="N647" s="117" t="str">
        <x:v>2026-09-08</x:v>
      </x:c>
    </x:row>
    <x:row r="648" ht="48" customHeight="1">
      <x:c r="A648" s="117" t="str">
        <x:v>MC0722</x:v>
      </x:c>
      <x:c r="B648" s="117" t="str">
        <x:v>Istana Maziah</x:v>
      </x:c>
      <x:c r="C648" s="117" t="n">
        <x:v>1</x:v>
      </x:c>
      <x:c r="D648" s="117" t="str">
        <x:v>https://thumb.wikimedia.org/wikipedia/commons/thumb/6/65/Maziah_Palace%2C_Kuala_Terengganu.jpg/1280px-Maziah_Palace%2C_Kuala_Terengganu.jpg?utm_source=commons.wikimedia.org&amp;utm_campaign=imageinfo&amp;utm_content=thumbnail</x:v>
      </x:c>
      <x:c r="E648" s="117" t="str">
        <x:v>https://commons.wikimedia.org/wiki/File:Maziah_Palace,_Kuala_Terengganu.jpg</x:v>
      </x:c>
      <x:c r="F648" s="117" t="str">
        <x:v>File:Maziah Palace, Kuala Terengganu.jpg</x:v>
      </x:c>
      <x:c r="G648" s="117" t="str">
        <x:v>Abie Sudiono from Kuala Terengganu, Malaysia</x:v>
      </x:c>
      <x:c r="H648" s="117" t="str">
        <x:v>CC BY 2.0</x:v>
      </x:c>
      <x:c r="I648" s="117" t="str">
        <x:v>https://creativecommons.org/licenses/by/2.0</x:v>
      </x:c>
      <x:c r="J648" s="117" t="str">
        <x:v>true</x:v>
      </x:c>
      <x:c r="K648" s="117" t="str">
        <x:v>Maziah Palace</x:v>
      </x:c>
      <x:c r="L648" s="117" t="str">
        <x:v>Exact name or all distinctive place-name tokens in file metadata</x:v>
      </x:c>
      <x:c r="M648" s="117" t="str">
        <x:v>Not visually reviewed</x:v>
      </x:c>
      <x:c r="N648" s="117" t="str">
        <x:v>2026-09-08</x:v>
      </x:c>
    </x:row>
    <x:row r="649" ht="48" customHeight="1">
      <x:c r="A649" s="117" t="str">
        <x:v>MC0722</x:v>
      </x:c>
      <x:c r="B649" s="117" t="str">
        <x:v>Istana Maziah</x:v>
      </x:c>
      <x:c r="C649" s="117" t="n">
        <x:v>2</x:v>
      </x:c>
      <x:c r="D649" s="117" t="str">
        <x:v>https://thumb.wikimedia.org/wikipedia/commons/thumb/7/73/Kuala_Terengganu_-_Istana_Maziah_gate_on_Jalan_Masjid_Abidin_-_May_2024.jpg/1280px-Kuala_Terengganu_-_Istana_Maziah_gate_on_Jalan_Masjid_Abidin_-_May_2024.jpg?utm_source=commons.wikimedia.org&amp;utm_campaign=imageinfo&amp;utm_content=thumbnail</x:v>
      </x:c>
      <x:c r="E649" s="117" t="str">
        <x:v>https://commons.wikimedia.org/wiki/File:Kuala_Terengganu_-_Istana_Maziah_gate_on_Jalan_Masjid_Abidin_-_May_2024.jpg</x:v>
      </x:c>
      <x:c r="F649" s="117" t="str">
        <x:v>File:Kuala Terengganu - Istana Maziah gate on Jalan Masjid Abidin - May 2024.jpg</x:v>
      </x:c>
      <x:c r="G649" s="117" t="str">
        <x:v>Dominic Nelson</x:v>
      </x:c>
      <x:c r="H649" s="117" t="str">
        <x:v>CC BY-SA 4.0</x:v>
      </x:c>
      <x:c r="I649" s="117" t="str">
        <x:v>https://creativecommons.org/licenses/by-sa/4.0</x:v>
      </x:c>
      <x:c r="J649" s="117" t="str">
        <x:v>true</x:v>
      </x:c>
      <x:c r="K649" s="117" t="str">
        <x:v>Own work</x:v>
      </x:c>
      <x:c r="L649" s="117" t="str">
        <x:v>Exact name or all distinctive place-name tokens in file metadata</x:v>
      </x:c>
      <x:c r="M649" s="117" t="str">
        <x:v>Not visually reviewed</x:v>
      </x:c>
      <x:c r="N649" s="117" t="str">
        <x:v>2026-09-08</x:v>
      </x:c>
    </x:row>
    <x:row r="650" ht="48" customHeight="1">
      <x:c r="A650" s="117" t="str">
        <x:v>MC0723</x:v>
      </x:c>
      <x:c r="B650" s="117" t="str">
        <x:v>Bukit Puteri</x:v>
      </x:c>
      <x:c r="C650" s="117" t="n">
        <x:v>1</x:v>
      </x:c>
      <x:c r="D650" s="117" t="str">
        <x:v>https://upload.wikimedia.org/wikipedia/commons/4/4a/Bukit_Puteri_2006.jpg?utm_source=commons.wikimedia.org&amp;utm_campaign=imageinfo&amp;utm_content=thumbnail_unscaled</x:v>
      </x:c>
      <x:c r="E650" s="117" t="str">
        <x:v>https://commons.wikimedia.org/wiki/File:Bukit_Puteri_2006.jpg</x:v>
      </x:c>
      <x:c r="F650" s="117" t="str">
        <x:v>File:Bukit Puteri 2006.jpg</x:v>
      </x:c>
      <x:c r="G650" s="117" t="str">
        <x:v>Radzi Sapiee</x:v>
      </x:c>
      <x:c r="H650" s="117" t="str">
        <x:v>CC BY 4.0</x:v>
      </x:c>
      <x:c r="I650" s="117" t="str">
        <x:v>https://creativecommons.org/licenses/by/4.0</x:v>
      </x:c>
      <x:c r="J650" s="117" t="str">
        <x:v>true</x:v>
      </x:c>
      <x:c r="K650" s="117" t="str">
        <x:v>http://artmelayu.blogspot.com/2006/12/pemandangan-bukit-puteri-views-at.html</x:v>
      </x:c>
      <x:c r="L650" s="117" t="str">
        <x:v>Exact name or all distinctive place-name tokens in file metadata</x:v>
      </x:c>
      <x:c r="M650" s="117" t="str">
        <x:v>Not visually reviewed</x:v>
      </x:c>
      <x:c r="N650" s="117" t="str">
        <x:v>2026-09-08</x:v>
      </x:c>
    </x:row>
    <x:row r="651" ht="48" customHeight="1">
      <x:c r="A651" s="117" t="str">
        <x:v>MC0723</x:v>
      </x:c>
      <x:c r="B651" s="117" t="str">
        <x:v>Bukit Puteri</x:v>
      </x:c>
      <x:c r="C651" s="117" t="n">
        <x:v>2</x:v>
      </x:c>
      <x:c r="D651" s="117" t="str">
        <x:v>https://thumb.wikimedia.org/wikipedia/commons/thumb/3/3d/Bukit_Puteri_from_the_palace_gate.jpg/1280px-Bukit_Puteri_from_the_palace_gate.jpg?utm_source=commons.wikimedia.org&amp;utm_campaign=imageinfo&amp;utm_content=thumbnail</x:v>
      </x:c>
      <x:c r="E651" s="117" t="str">
        <x:v>https://commons.wikimedia.org/wiki/File:Bukit_Puteri_from_the_palace_gate.jpg</x:v>
      </x:c>
      <x:c r="F651" s="117" t="str">
        <x:v>File:Bukit Puteri from the palace gate.jpg</x:v>
      </x:c>
      <x:c r="G651" s="117" t="str">
        <x:v>Akml5599</x:v>
      </x:c>
      <x:c r="H651" s="117" t="str">
        <x:v>CC BY-SA 4.0</x:v>
      </x:c>
      <x:c r="I651" s="117" t="str">
        <x:v>https://creativecommons.org/licenses/by-sa/4.0</x:v>
      </x:c>
      <x:c r="J651" s="117" t="str">
        <x:v>true</x:v>
      </x:c>
      <x:c r="K651" s="117" t="str">
        <x:v>Own work</x:v>
      </x:c>
      <x:c r="L651" s="117" t="str">
        <x:v>Exact name or all distinctive place-name tokens in file metadata</x:v>
      </x:c>
      <x:c r="M651" s="117" t="str">
        <x:v>Not visually reviewed</x:v>
      </x:c>
      <x:c r="N651" s="117" t="str">
        <x:v>2026-09-08</x:v>
      </x:c>
    </x:row>
    <x:row r="652" ht="48" customHeight="1">
      <x:c r="A652" s="117" t="str">
        <x:v>MC0727</x:v>
      </x:c>
      <x:c r="B652" s="117" t="str">
        <x:v>Abidin Mosque</x:v>
      </x:c>
      <x:c r="C652" s="117" t="n">
        <x:v>1</x:v>
      </x:c>
      <x:c r="D652" s="117" t="str">
        <x:v>https://upload.wikimedia.org/wikipedia/commons/4/41/Abidin_Mosque%2C_Kuala_Terengganu.jpg?utm_source=commons.wikimedia.org&amp;utm_campaign=imageinfo&amp;utm_content=thumbnail_unscaled</x:v>
      </x:c>
      <x:c r="E652" s="117" t="str">
        <x:v>https://commons.wikimedia.org/wiki/File:Abidin_Mosque,_Kuala_Terengganu.jpg</x:v>
      </x:c>
      <x:c r="F652" s="117" t="str">
        <x:v>File:Abidin Mosque, Kuala Terengganu.jpg</x:v>
      </x:c>
      <x:c r="G652" s="117" t="str">
        <x:v>rasmuscleve</x:v>
      </x:c>
      <x:c r="H652" s="117" t="str">
        <x:v>CC BY 2.0</x:v>
      </x:c>
      <x:c r="I652" s="117" t="str">
        <x:v>https://creativecommons.org/licenses/by/2.0</x:v>
      </x:c>
      <x:c r="J652" s="117" t="str">
        <x:v>true</x:v>
      </x:c>
      <x:c r="K652" s="117" t="str">
        <x:v>IMG_0022</x:v>
      </x:c>
      <x:c r="L652" s="117" t="str">
        <x:v>Exact name or all distinctive place-name tokens in file metadata</x:v>
      </x:c>
      <x:c r="M652" s="117" t="str">
        <x:v>Not visually reviewed</x:v>
      </x:c>
      <x:c r="N652" s="117" t="str">
        <x:v>2026-09-08</x:v>
      </x:c>
    </x:row>
    <x:row r="653" ht="48" customHeight="1">
      <x:c r="A653" s="117" t="str">
        <x:v>MC0727</x:v>
      </x:c>
      <x:c r="B653" s="117" t="str">
        <x:v>Abidin Mosque</x:v>
      </x:c>
      <x:c r="C653" s="117" t="n">
        <x:v>2</x:v>
      </x:c>
      <x:c r="D653" s="117" t="str">
        <x:v>https://thumb.wikimedia.org/wikipedia/commons/thumb/a/a8/Kuala_Terengganu%2C_Malaysia%2C_Abidin_Mosque.jpg/1280px-Kuala_Terengganu%2C_Malaysia%2C_Abidin_Mosque.jpg?utm_source=commons.wikimedia.org&amp;utm_campaign=imageinfo&amp;utm_content=thumbnail</x:v>
      </x:c>
      <x:c r="E653" s="117" t="str">
        <x:v>https://commons.wikimedia.org/wiki/File:Kuala_Terengganu,_Malaysia,_Abidin_Mosque.jpg</x:v>
      </x:c>
      <x:c r="F653" s="117" t="str">
        <x:v>File:Kuala Terengganu, Malaysia, Abidin Mosque.jpg</x:v>
      </x:c>
      <x:c r="G653" s="117" t="str">
        <x:v>Vyacheslav Argenberg</x:v>
      </x:c>
      <x:c r="H653" s="117" t="str">
        <x:v>CC BY 4.0</x:v>
      </x:c>
      <x:c r="I653" s="117" t="str">
        <x:v>https://creativecommons.org/licenses/by/4.0</x:v>
      </x:c>
      <x:c r="J653" s="117" t="str">
        <x:v>true</x:v>
      </x:c>
      <x:c r="K653" s="117" t="str">
        <x:v>Own work</x:v>
      </x:c>
      <x:c r="L653" s="117" t="str">
        <x:v>Exact name or all distinctive place-name tokens in file metadata</x:v>
      </x:c>
      <x:c r="M653" s="117" t="str">
        <x:v>Not visually reviewed</x:v>
      </x:c>
      <x:c r="N653" s="117" t="str">
        <x:v>2026-09-08</x:v>
      </x:c>
    </x:row>
    <x:row r="654" ht="48" customHeight="1">
      <x:c r="A654" s="117" t="str">
        <x:v>MC0745</x:v>
      </x:c>
      <x:c r="B654" s="117" t="str">
        <x:v>Ulul Albab Mosque</x:v>
      </x:c>
      <x:c r="C654" s="117" t="n">
        <x:v>1</x:v>
      </x:c>
      <x:c r="D654" s="117" t="str">
        <x:v>https://thumb.wikimedia.org/wikipedia/commons/thumb/e/ed/Masjid_Seberang_Jertih.jpg/1280px-Masjid_Seberang_Jertih.jpg?utm_source=commons.wikimedia.org&amp;utm_campaign=imageinfo&amp;utm_content=thumbnail</x:v>
      </x:c>
      <x:c r="E654" s="117" t="str">
        <x:v>https://commons.wikimedia.org/wiki/File:Masjid_Seberang_Jertih.jpg</x:v>
      </x:c>
      <x:c r="F654" s="117" t="str">
        <x:v>File:Masjid Seberang Jertih.jpg</x:v>
      </x:c>
      <x:c r="G654" s="117" t="str">
        <x:v>Zamwan</x:v>
      </x:c>
      <x:c r="H654" s="117" t="str">
        <x:v>CC BY-SA 4.0</x:v>
      </x:c>
      <x:c r="I654" s="117" t="str">
        <x:v>https://creativecommons.org/licenses/by-sa/4.0</x:v>
      </x:c>
      <x:c r="J654" s="117" t="str">
        <x:v>true</x:v>
      </x:c>
      <x:c r="K654" s="117" t="str">
        <x:v>Own work</x:v>
      </x:c>
      <x:c r="L654" s="117" t="str">
        <x:v>Exact name or all distinctive place-name tokens in file metadata</x:v>
      </x:c>
      <x:c r="M654" s="117" t="str">
        <x:v>Not visually reviewed</x:v>
      </x:c>
      <x:c r="N654" s="117" t="str">
        <x:v>2026-09-08</x:v>
      </x:c>
    </x:row>
    <x:row r="655" ht="48" customHeight="1">
      <x:c r="A655" s="117" t="str">
        <x:v>MC0748</x:v>
      </x:c>
      <x:c r="B655" s="117" t="str">
        <x:v>Teluk Bidara Beach</x:v>
      </x:c>
      <x:c r="C655" s="117" t="n">
        <x:v>1</x:v>
      </x:c>
      <x:c r="D655" s="117" t="str">
        <x:v>https://thumb.wikimedia.org/wikipedia/commons/thumb/c/c4/Teluk_bidara.jpg/1280px-Teluk_bidara.jpg?utm_source=commons.wikimedia.org&amp;utm_campaign=imageinfo&amp;utm_content=thumbnail</x:v>
      </x:c>
      <x:c r="E655" s="117" t="str">
        <x:v>https://commons.wikimedia.org/wiki/File:Teluk_bidara.jpg</x:v>
      </x:c>
      <x:c r="F655" s="117" t="str">
        <x:v>File:Teluk bidara.jpg</x:v>
      </x:c>
      <x:c r="G655" s="117" t="str">
        <x:v>Angah hfz</x:v>
      </x:c>
      <x:c r="H655" s="117" t="str">
        <x:v>CC BY-SA 4.0</x:v>
      </x:c>
      <x:c r="I655" s="117" t="str">
        <x:v>https://creativecommons.org/licenses/by-sa/4.0</x:v>
      </x:c>
      <x:c r="J655" s="117" t="str">
        <x:v>true</x:v>
      </x:c>
      <x:c r="K655" s="117" t="str">
        <x:v>Own work</x:v>
      </x:c>
      <x:c r="L655" s="117" t="str">
        <x:v>Exact name or all distinctive place-name tokens in file metadata</x:v>
      </x:c>
      <x:c r="M655" s="117" t="str">
        <x:v>Not visually reviewed</x:v>
      </x:c>
      <x:c r="N655" s="117" t="str">
        <x:v>2026-09-08</x:v>
      </x:c>
    </x:row>
    <x:row r="656" ht="48" customHeight="1">
      <x:c r="A656" s="117" t="str">
        <x:v>MC0748</x:v>
      </x:c>
      <x:c r="B656" s="117" t="str">
        <x:v>Teluk Bidara Beach</x:v>
      </x:c>
      <x:c r="C656" s="117" t="n">
        <x:v>2</x:v>
      </x:c>
      <x:c r="D656" s="117" t="str">
        <x:v>https://thumb.wikimedia.org/wikipedia/commons/thumb/d/d0/Beach_from_the_bird_eyes.jpg/1280px-Beach_from_the_bird_eyes.jpg?utm_source=commons.wikimedia.org&amp;utm_campaign=imageinfo&amp;utm_content=thumbnail</x:v>
      </x:c>
      <x:c r="E656" s="117" t="str">
        <x:v>https://commons.wikimedia.org/wiki/File:Beach_from_the_bird_eyes.jpg</x:v>
      </x:c>
      <x:c r="F656" s="117" t="str">
        <x:v>File:Beach from the bird eyes.jpg</x:v>
      </x:c>
      <x:c r="G656" s="117" t="str">
        <x:v>Fahmi Rosli</x:v>
      </x:c>
      <x:c r="H656" s="117" t="str">
        <x:v>CC BY-SA 4.0</x:v>
      </x:c>
      <x:c r="I656" s="117" t="str">
        <x:v>https://creativecommons.org/licenses/by-sa/4.0</x:v>
      </x:c>
      <x:c r="J656" s="117" t="str">
        <x:v>true</x:v>
      </x:c>
      <x:c r="K656" s="117" t="str">
        <x:v>Own work</x:v>
      </x:c>
      <x:c r="L656" s="117" t="str">
        <x:v>Exact name or all distinctive place-name tokens in file metadata</x:v>
      </x:c>
      <x:c r="M656" s="117" t="str">
        <x:v>Not visually reviewed</x:v>
      </x:c>
      <x:c r="N656" s="117" t="str">
        <x:v>2026-09-08</x:v>
      </x:c>
    </x:row>
    <x:row r="657" ht="48" customHeight="1">
      <x:c r="A657" s="117" t="str">
        <x:v>MC0754</x:v>
      </x:c>
      <x:c r="B657" s="117" t="str">
        <x:v>KL Tower</x:v>
      </x:c>
      <x:c r="C657" s="117" t="n">
        <x:v>1</x:v>
      </x:c>
      <x:c r="D657" s="117" t="str">
        <x:v>https://upload.wikimedia.org/wikipedia/commons/f/fd/KL_tower1.JPG?utm_source=commons.wikimedia.org&amp;utm_campaign=imageinfo&amp;utm_content=thumbnail_unscaled</x:v>
      </x:c>
      <x:c r="E657" s="117" t="str">
        <x:v>https://commons.wikimedia.org/wiki/File:KL_tower1.JPG</x:v>
      </x:c>
      <x:c r="F657" s="117" t="str">
        <x:v>File:KL tower1.JPG</x:v>
      </x:c>
      <x:c r="G657" s="117" t="str">
        <x:v>Formulax</x:v>
      </x:c>
      <x:c r="H657" s="117" t="str">
        <x:v>CC BY-SA 2.0</x:v>
      </x:c>
      <x:c r="I657" s="117" t="str">
        <x:v>https://creativecommons.org/licenses/by-sa/2.0</x:v>
      </x:c>
      <x:c r="J657" s="117" t="str">
        <x:v>true</x:v>
      </x:c>
      <x:c r="K657" s="117" t="str">
        <x:v>Own work</x:v>
      </x:c>
      <x:c r="L657" s="117" t="str">
        <x:v>Exact name or all distinctive place-name tokens in file metadata</x:v>
      </x:c>
      <x:c r="M657" s="117" t="str">
        <x:v>Not visually reviewed</x:v>
      </x:c>
      <x:c r="N657" s="117" t="str">
        <x:v>2026-09-08</x:v>
      </x:c>
    </x:row>
    <x:row r="658" ht="48" customHeight="1">
      <x:c r="A658" s="117" t="str">
        <x:v>MC0754</x:v>
      </x:c>
      <x:c r="B658" s="117" t="str">
        <x:v>KL Tower</x:v>
      </x:c>
      <x:c r="C658" s="117" t="n">
        <x:v>2</x:v>
      </x:c>
      <x:c r="D658" s="117" t="str">
        <x:v>https://thumb.wikimedia.org/wikipedia/commons/thumb/d/d2/KLTowerDecember2020.jpg/1280px-KLTowerDecember2020.jpg?utm_source=commons.wikimedia.org&amp;utm_campaign=imageinfo&amp;utm_content=thumbnail</x:v>
      </x:c>
      <x:c r="E658" s="117" t="str">
        <x:v>https://commons.wikimedia.org/wiki/File:KLTowerDecember2020.jpg</x:v>
      </x:c>
      <x:c r="F658" s="117" t="str">
        <x:v>File:KLTowerDecember2020.jpg</x:v>
      </x:c>
      <x:c r="G658" s="117" t="str">
        <x:v>Silaslej</x:v>
      </x:c>
      <x:c r="H658" s="117" t="str">
        <x:v>CC BY-SA 4.0</x:v>
      </x:c>
      <x:c r="I658" s="117" t="str">
        <x:v>https://creativecommons.org/licenses/by-sa/4.0</x:v>
      </x:c>
      <x:c r="J658" s="117" t="str">
        <x:v>true</x:v>
      </x:c>
      <x:c r="K658" s="117" t="str">
        <x:v>Own work</x:v>
      </x:c>
      <x:c r="L658" s="117" t="str">
        <x:v>Exact name or all distinctive place-name tokens in file metadata</x:v>
      </x:c>
      <x:c r="M658" s="117" t="str">
        <x:v>Not visually reviewed</x:v>
      </x:c>
      <x:c r="N658" s="117" t="str">
        <x:v>2026-09-08</x:v>
      </x:c>
    </x:row>
    <x:row r="659" ht="48" customHeight="1">
      <x:c r="A659" s="117" t="str">
        <x:v>MC0755</x:v>
      </x:c>
      <x:c r="B659" s="117" t="str">
        <x:v>National Mosque of Malaysia</x:v>
      </x:c>
      <x:c r="C659" s="117" t="n">
        <x:v>1</x:v>
      </x:c>
      <x:c r="D659" s="117" t="str">
        <x:v>https://thumb.wikimedia.org/wikipedia/commons/thumb/d/d1/Kuala_Lumpur%2C_Malaysia%2C_Masjid_Negara_Malaysia.jpg/1280px-Kuala_Lumpur%2C_Malaysia%2C_Masjid_Negara_Malaysia.jpg?utm_source=commons.wikimedia.org&amp;utm_campaign=imageinfo&amp;utm_content=thumbnail</x:v>
      </x:c>
      <x:c r="E659" s="117" t="str">
        <x:v>https://commons.wikimedia.org/wiki/File:Kuala_Lumpur,_Malaysia,_Masjid_Negara_Malaysia.jpg</x:v>
      </x:c>
      <x:c r="F659" s="117" t="str">
        <x:v>File:Kuala Lumpur, Malaysia, Masjid Negara Malaysia.jpg</x:v>
      </x:c>
      <x:c r="G659" s="117" t="str">
        <x:v>Vyacheslav Argenberg</x:v>
      </x:c>
      <x:c r="H659" s="117" t="str">
        <x:v>CC BY 4.0</x:v>
      </x:c>
      <x:c r="I659" s="117" t="str">
        <x:v>https://creativecommons.org/licenses/by/4.0</x:v>
      </x:c>
      <x:c r="J659" s="117" t="str">
        <x:v>true</x:v>
      </x:c>
      <x:c r="K659" s="117" t="str">
        <x:v>Own work</x:v>
      </x:c>
      <x:c r="L659" s="117" t="str">
        <x:v>Exact name or all distinctive place-name tokens in file metadata</x:v>
      </x:c>
      <x:c r="M659" s="117" t="str">
        <x:v>Not visually reviewed</x:v>
      </x:c>
      <x:c r="N659" s="117" t="str">
        <x:v>2026-09-08</x:v>
      </x:c>
    </x:row>
    <x:row r="660" ht="48" customHeight="1">
      <x:c r="A660" s="117" t="str">
        <x:v>MC0755</x:v>
      </x:c>
      <x:c r="B660" s="117" t="str">
        <x:v>National Mosque of Malaysia</x:v>
      </x:c>
      <x:c r="C660" s="117" t="n">
        <x:v>2</x:v>
      </x:c>
      <x:c r="D660" s="117" t="str">
        <x:v>https://thumb.wikimedia.org/wikipedia/commons/thumb/4/4f/20190822_National_Mosque_of_Malaysia_minaret-4.jpg/1280px-20190822_National_Mosque_of_Malaysia_minaret-4.jpg?utm_source=commons.wikimedia.org&amp;utm_campaign=imageinfo&amp;utm_content=thumbnail</x:v>
      </x:c>
      <x:c r="E660" s="117" t="str">
        <x:v>https://commons.wikimedia.org/wiki/File:20190822_National_Mosque_of_Malaysia_minaret-4.jpg</x:v>
      </x:c>
      <x:c r="F660" s="117" t="str">
        <x:v>File:20190822 National Mosque of Malaysia minaret-4.jpg</x:v>
      </x:c>
      <x:c r="G660" s="117" t="str"/>
      <x:c r="H660" s="117" t="str">
        <x:v>CC0</x:v>
      </x:c>
      <x:c r="I660" s="117" t="str">
        <x:v>http://creativecommons.org/publicdomain/zero/1.0/deed.en</x:v>
      </x:c>
      <x:c r="J660" s="117" t="str">
        <x:v>false</x:v>
      </x:c>
      <x:c r="K660" s="117" t="str">
        <x:v>Own work</x:v>
      </x:c>
      <x:c r="L660" s="117" t="str">
        <x:v>Exact name or all distinctive place-name tokens in file metadata</x:v>
      </x:c>
      <x:c r="M660" s="117" t="str">
        <x:v>Not visually reviewed</x:v>
      </x:c>
      <x:c r="N660" s="117" t="str">
        <x:v>2026-09-08</x:v>
      </x:c>
    </x:row>
    <x:row r="661" ht="48" customHeight="1">
      <x:c r="A661" s="117" t="str">
        <x:v>MC0756</x:v>
      </x:c>
      <x:c r="B661" s="117" t="str">
        <x:v>Jamek Mosque</x:v>
      </x:c>
      <x:c r="C661" s="117" t="n">
        <x:v>1</x:v>
      </x:c>
      <x:c r="D661" s="117" t="str">
        <x:v>https://thumb.wikimedia.org/wikipedia/commons/thumb/c/c7/2016_Kuala_Lumpur%2C_Meczet_Jamek_%2810%29.jpg/1280px-2016_Kuala_Lumpur%2C_Meczet_Jamek_%2810%29.jpg?utm_source=commons.wikimedia.org&amp;utm_campaign=imageinfo&amp;utm_content=thumbnail</x:v>
      </x:c>
      <x:c r="E661" s="117" t="str">
        <x:v>https://commons.wikimedia.org/wiki/File:2016_Kuala_Lumpur,_Meczet_Jamek_(10).jpg</x:v>
      </x:c>
      <x:c r="F661" s="117" t="str">
        <x:v>File:2016 Kuala Lumpur, Meczet Jamek (10).jpg</x:v>
      </x:c>
      <x:c r="G661" s="117" t="str">
        <x:v>Marcin Konsek</x:v>
      </x:c>
      <x:c r="H661" s="117" t="str">
        <x:v>CC BY-SA 4.0</x:v>
      </x:c>
      <x:c r="I661" s="117" t="str">
        <x:v>https://creativecommons.org/licenses/by-sa/4.0</x:v>
      </x:c>
      <x:c r="J661" s="117" t="str">
        <x:v>true</x:v>
      </x:c>
      <x:c r="K661" s="117" t="str">
        <x:v>Own work</x:v>
      </x:c>
      <x:c r="L661" s="117" t="str">
        <x:v>Exact name or all distinctive place-name tokens in file metadata</x:v>
      </x:c>
      <x:c r="M661" s="117" t="str">
        <x:v>Not visually reviewed</x:v>
      </x:c>
      <x:c r="N661" s="117" t="str">
        <x:v>2026-09-08</x:v>
      </x:c>
    </x:row>
    <x:row r="662" ht="48" customHeight="1">
      <x:c r="A662" s="117" t="str">
        <x:v>MC0756</x:v>
      </x:c>
      <x:c r="B662" s="117" t="str">
        <x:v>Jamek Mosque</x:v>
      </x:c>
      <x:c r="C662" s="117" t="n">
        <x:v>2</x:v>
      </x:c>
      <x:c r="D662" s="117" t="str">
        <x:v>https://upload.wikimedia.org/wikipedia/commons/7/74/Masjid_Jamek_in_1935.jpg?utm_source=commons.wikimedia.org&amp;utm_campaign=imageinfo&amp;utm_content=thumbnail_unscaled</x:v>
      </x:c>
      <x:c r="E662" s="117" t="str">
        <x:v>https://commons.wikimedia.org/wiki/File:Masjid_Jamek_in_1935.jpg</x:v>
      </x:c>
      <x:c r="F662" s="117" t="str">
        <x:v>File:Masjid Jamek in 1935.jpg</x:v>
      </x:c>
      <x:c r="G662" s="117" t="str">
        <x:v>The National Archives UK</x:v>
      </x:c>
      <x:c r="H662" s="117" t="str">
        <x:v>No restrictions</x:v>
      </x:c>
      <x:c r="I662" s="117" t="str">
        <x:v>https://www.flickr.com/commons/usage/</x:v>
      </x:c>
      <x:c r="J662" s="117" t="str">
        <x:v>false</x:v>
      </x:c>
      <x:c r="K662" s="117" t="str">
        <x:v>https://www.flickr.com/photos/nationalarchives/7893303560/</x:v>
      </x:c>
      <x:c r="L662" s="117" t="str">
        <x:v>Exact name or all distinctive place-name tokens in file metadata</x:v>
      </x:c>
      <x:c r="M662" s="117" t="str">
        <x:v>Not visually reviewed</x:v>
      </x:c>
      <x:c r="N662" s="117" t="str">
        <x:v>2026-09-08</x:v>
      </x:c>
    </x:row>
    <x:row r="663" ht="48" customHeight="1">
      <x:c r="A663" s="117" t="str">
        <x:v>MC0757</x:v>
      </x:c>
      <x:c r="B663" s="117" t="str">
        <x:v>River of Life</x:v>
      </x:c>
      <x:c r="C663" s="117" t="n">
        <x:v>1</x:v>
      </x:c>
      <x:c r="D663" s="117" t="str">
        <x:v>https://thumb.wikimedia.org/wikipedia/commons/thumb/d/dd/River_of_Life%2C_Kuala_Lumpur_in_2023_02.jpg/1280px-River_of_Life%2C_Kuala_Lumpur_in_2023_02.jpg?utm_source=commons.wikimedia.org&amp;utm_campaign=imageinfo&amp;utm_content=thumbnail</x:v>
      </x:c>
      <x:c r="E663" s="117" t="str">
        <x:v>https://commons.wikimedia.org/wiki/File:River_of_Life,_Kuala_Lumpur_in_2023_02.jpg</x:v>
      </x:c>
      <x:c r="F663" s="117" t="str">
        <x:v>File:River of Life, Kuala Lumpur in 2023 02.jpg</x:v>
      </x:c>
      <x:c r="G663" s="117" t="str">
        <x:v>Renek78</x:v>
      </x:c>
      <x:c r="H663" s="117" t="str">
        <x:v>CC0</x:v>
      </x:c>
      <x:c r="I663" s="117" t="str">
        <x:v>http://creativecommons.org/publicdomain/zero/1.0/deed.en</x:v>
      </x:c>
      <x:c r="J663" s="117" t="str">
        <x:v>false</x:v>
      </x:c>
      <x:c r="K663" s="117" t="str">
        <x:v>Own work</x:v>
      </x:c>
      <x:c r="L663" s="117" t="str">
        <x:v>Exact name or all distinctive place-name tokens in file metadata</x:v>
      </x:c>
      <x:c r="M663" s="117" t="str">
        <x:v>Not visually reviewed</x:v>
      </x:c>
      <x:c r="N663" s="117" t="str">
        <x:v>2026-09-08</x:v>
      </x:c>
    </x:row>
    <x:row r="664" ht="48" customHeight="1">
      <x:c r="A664" s="117" t="str">
        <x:v>MC0757</x:v>
      </x:c>
      <x:c r="B664" s="117" t="str">
        <x:v>River of Life</x:v>
      </x:c>
      <x:c r="C664" s="117" t="n">
        <x:v>2</x:v>
      </x:c>
      <x:c r="D664" s="117" t="str">
        <x:v>https://thumb.wikimedia.org/wikipedia/commons/thumb/a/a6/River_of_Life%2C_Kuala_Lumpur_in_2023_01.jpg/1280px-River_of_Life%2C_Kuala_Lumpur_in_2023_01.jpg?utm_source=commons.wikimedia.org&amp;utm_campaign=imageinfo&amp;utm_content=thumbnail</x:v>
      </x:c>
      <x:c r="E664" s="117" t="str">
        <x:v>https://commons.wikimedia.org/wiki/File:River_of_Life,_Kuala_Lumpur_in_2023_01.jpg</x:v>
      </x:c>
      <x:c r="F664" s="117" t="str">
        <x:v>File:River of Life, Kuala Lumpur in 2023 01.jpg</x:v>
      </x:c>
      <x:c r="G664" s="117" t="str">
        <x:v>Renek78</x:v>
      </x:c>
      <x:c r="H664" s="117" t="str">
        <x:v>CC0</x:v>
      </x:c>
      <x:c r="I664" s="117" t="str">
        <x:v>http://creativecommons.org/publicdomain/zero/1.0/deed.en</x:v>
      </x:c>
      <x:c r="J664" s="117" t="str">
        <x:v>false</x:v>
      </x:c>
      <x:c r="K664" s="117" t="str">
        <x:v>Own work</x:v>
      </x:c>
      <x:c r="L664" s="117" t="str">
        <x:v>Exact name or all distinctive place-name tokens in file metadata</x:v>
      </x:c>
      <x:c r="M664" s="117" t="str">
        <x:v>Not visually reviewed</x:v>
      </x:c>
      <x:c r="N664" s="117" t="str">
        <x:v>2026-09-08</x:v>
      </x:c>
    </x:row>
    <x:row r="665" ht="48" customHeight="1">
      <x:c r="A665" s="117" t="str">
        <x:v>MC0759</x:v>
      </x:c>
      <x:c r="B665" s="117" t="str">
        <x:v>St Mary Cathedral</x:v>
      </x:c>
      <x:c r="C665" s="117" t="n">
        <x:v>1</x:v>
      </x:c>
      <x:c r="D665" s="117" t="str">
        <x:v>https://upload.wikimedia.org/wikipedia/commons/3/35/Saint_Mary_Cathedral.JPG?utm_source=commons.wikimedia.org&amp;utm_campaign=imageinfo&amp;utm_content=thumbnail_unscaled</x:v>
      </x:c>
      <x:c r="E665" s="117" t="str">
        <x:v>https://commons.wikimedia.org/wiki/File:Saint_Mary_Cathedral.JPG</x:v>
      </x:c>
      <x:c r="F665" s="117" t="str">
        <x:v>File:Saint Mary Cathedral.JPG</x:v>
      </x:c>
      <x:c r="G665" s="117" t="str">
        <x:v>Criticalthinker</x:v>
      </x:c>
      <x:c r="H665" s="117" t="str">
        <x:v>CC BY-SA 3.0</x:v>
      </x:c>
      <x:c r="I665" s="117" t="str">
        <x:v>https://creativecommons.org/licenses/by-sa/3.0</x:v>
      </x:c>
      <x:c r="J665" s="117" t="str">
        <x:v>true</x:v>
      </x:c>
      <x:c r="K665" s="117" t="str">
        <x:v>Own work</x:v>
      </x:c>
      <x:c r="L665" s="117" t="str">
        <x:v>Exact name or all distinctive place-name tokens in file metadata</x:v>
      </x:c>
      <x:c r="M665" s="117" t="str">
        <x:v>Not visually reviewed</x:v>
      </x:c>
      <x:c r="N665" s="117" t="str">
        <x:v>2026-09-08</x:v>
      </x:c>
    </x:row>
    <x:row r="666" ht="48" customHeight="1">
      <x:c r="A666" s="117" t="str">
        <x:v>MC0760</x:v>
      </x:c>
      <x:c r="B666" s="117" t="str">
        <x:v>Petrosains The Discovery Centre</x:v>
      </x:c>
      <x:c r="C666" s="117" t="n">
        <x:v>1</x:v>
      </x:c>
      <x:c r="D666" s="117" t="str">
        <x:v>https://upload.wikimedia.org/wikipedia/commons/f/f6/F1_car_at_Petrosains_museum_%286349809786%29.jpg?utm_source=commons.wikimedia.org&amp;utm_campaign=imageinfo&amp;utm_content=thumbnail_unscaled</x:v>
      </x:c>
      <x:c r="E666" s="117" t="str">
        <x:v>https://commons.wikimedia.org/wiki/File:F1_car_at_Petrosains_museum_(6349809786).jpg</x:v>
      </x:c>
      <x:c r="F666" s="117" t="str">
        <x:v>File:F1 car at Petrosains museum (6349809786).jpg</x:v>
      </x:c>
      <x:c r="G666" s="117" t="str">
        <x:v>Simon_sees from Australia</x:v>
      </x:c>
      <x:c r="H666" s="117" t="str">
        <x:v>CC BY 2.0</x:v>
      </x:c>
      <x:c r="I666" s="117" t="str">
        <x:v>https://creativecommons.org/licenses/by/2.0</x:v>
      </x:c>
      <x:c r="J666" s="117" t="str">
        <x:v>true</x:v>
      </x:c>
      <x:c r="K666" s="117" t="str">
        <x:v>F1 car at Petrosains museum</x:v>
      </x:c>
      <x:c r="L666" s="117" t="str">
        <x:v>Exact name or all distinctive place-name tokens in file metadata</x:v>
      </x:c>
      <x:c r="M666" s="117" t="str">
        <x:v>Not visually reviewed</x:v>
      </x:c>
      <x:c r="N666" s="117" t="str">
        <x:v>2026-09-08</x:v>
      </x:c>
    </x:row>
    <x:row r="667" ht="48" customHeight="1">
      <x:c r="A667" s="117" t="str">
        <x:v>MC0760</x:v>
      </x:c>
      <x:c r="B667" s="117" t="str">
        <x:v>Petrosains The Discovery Centre</x:v>
      </x:c>
      <x:c r="C667" s="117" t="n">
        <x:v>2</x:v>
      </x:c>
      <x:c r="D667" s="117" t="str">
        <x:v>https://upload.wikimedia.org/wikipedia/commons/3/37/PSAINS_InteractStation7.jpg?utm_source=commons.wikimedia.org&amp;utm_campaign=imageinfo&amp;utm_content=thumbnail_unscaled</x:v>
      </x:c>
      <x:c r="E667" s="117" t="str">
        <x:v>https://commons.wikimedia.org/wiki/File:PSAINS_InteractStation7.jpg</x:v>
      </x:c>
      <x:c r="F667" s="117" t="str">
        <x:v>File:PSAINS InteractStation7.jpg</x:v>
      </x:c>
      <x:c r="G667" s="117" t="str">
        <x:v>The original uploader was Wsguerin at English Wikipedia.</x:v>
      </x:c>
      <x:c r="H667" s="117" t="str">
        <x:v>Copyrighted free use</x:v>
      </x:c>
      <x:c r="I667" s="117" t="str"/>
      <x:c r="J667" s="117" t="str">
        <x:v>false</x:v>
      </x:c>
      <x:c r="K667" s="117" t="str">
        <x:v>Transferred from en.wikipedia to Commons.</x:v>
      </x:c>
      <x:c r="L667" s="117" t="str">
        <x:v>Exact name or all distinctive place-name tokens in file metadata</x:v>
      </x:c>
      <x:c r="M667" s="117" t="str">
        <x:v>Not visually reviewed</x:v>
      </x:c>
      <x:c r="N667" s="117" t="str">
        <x:v>2026-09-08</x:v>
      </x:c>
    </x:row>
    <x:row r="668" ht="48" customHeight="1">
      <x:c r="A668" s="117" t="str">
        <x:v>MC0762</x:v>
      </x:c>
      <x:c r="B668" s="117" t="str">
        <x:v>Istana Negara</x:v>
      </x:c>
      <x:c r="C668" s="117" t="n">
        <x:v>1</x:v>
      </x:c>
      <x:c r="D668" s="117" t="str">
        <x:v>https://thumb.wikimedia.org/wikipedia/commons/thumb/d/de/Kuala_Lumpur_Malaysia-Istana_Negara-Jalan-Duta-01.jpg/1280px-Kuala_Lumpur_Malaysia-Istana_Negara-Jalan-Duta-01.jpg?utm_source=commons.wikimedia.org&amp;utm_campaign=imageinfo&amp;utm_content=thumbnail</x:v>
      </x:c>
      <x:c r="E668" s="117" t="str">
        <x:v>https://commons.wikimedia.org/wiki/File:Kuala_Lumpur_Malaysia-Istana_Negara-Jalan-Duta-01.jpg</x:v>
      </x:c>
      <x:c r="F668" s="117" t="str">
        <x:v>File:Kuala Lumpur Malaysia-Istana Negara-Jalan-Duta-01.jpg</x:v>
      </x:c>
      <x:c r="G668" s="117" t="str">
        <x:v>CEphoto, Uwe Aranas</x:v>
      </x:c>
      <x:c r="H668" s="117" t="str">
        <x:v>CC BY-SA 3.0</x:v>
      </x:c>
      <x:c r="I668" s="117" t="str">
        <x:v>https://creativecommons.org/licenses/by-sa/3.0</x:v>
      </x:c>
      <x:c r="J668" s="117" t="str">
        <x:v>true</x:v>
      </x:c>
      <x:c r="K668" s="117" t="str">
        <x:v>Own work</x:v>
      </x:c>
      <x:c r="L668" s="117" t="str">
        <x:v>Exact name or all distinctive place-name tokens in file metadata</x:v>
      </x:c>
      <x:c r="M668" s="117" t="str">
        <x:v>Not visually reviewed</x:v>
      </x:c>
      <x:c r="N668" s="117" t="str">
        <x:v>2026-09-08</x:v>
      </x:c>
    </x:row>
    <x:row r="669" ht="48" customHeight="1">
      <x:c r="A669" s="117" t="str">
        <x:v>MC0762</x:v>
      </x:c>
      <x:c r="B669" s="117" t="str">
        <x:v>Istana Negara</x:v>
      </x:c>
      <x:c r="C669" s="117" t="n">
        <x:v>2</x:v>
      </x:c>
      <x:c r="D669" s="117" t="str">
        <x:v>https://thumb.wikimedia.org/wikipedia/commons/thumb/5/53/Sunset_in_Kuala_Lumpur.jpg/1280px-Sunset_in_Kuala_Lumpur.jpg?utm_source=commons.wikimedia.org&amp;utm_campaign=imageinfo&amp;utm_content=thumbnail</x:v>
      </x:c>
      <x:c r="E669" s="117" t="str">
        <x:v>https://commons.wikimedia.org/wiki/File:Sunset_in_Kuala_Lumpur.jpg</x:v>
      </x:c>
      <x:c r="F669" s="117" t="str">
        <x:v>File:Sunset in Kuala Lumpur.jpg</x:v>
      </x:c>
      <x:c r="G669" s="117" t="str">
        <x:v>Axadem</x:v>
      </x:c>
      <x:c r="H669" s="117" t="str">
        <x:v>CC BY-SA 4.0</x:v>
      </x:c>
      <x:c r="I669" s="117" t="str">
        <x:v>https://creativecommons.org/licenses/by-sa/4.0</x:v>
      </x:c>
      <x:c r="J669" s="117" t="str">
        <x:v>true</x:v>
      </x:c>
      <x:c r="K669" s="117" t="str">
        <x:v>Own work</x:v>
      </x:c>
      <x:c r="L669" s="117" t="str">
        <x:v>Exact name or all distinctive place-name tokens in file metadata</x:v>
      </x:c>
      <x:c r="M669" s="117" t="str">
        <x:v>Not visually reviewed</x:v>
      </x:c>
      <x:c r="N669" s="117" t="str">
        <x:v>2026-09-08</x:v>
      </x:c>
    </x:row>
    <x:row r="670" ht="48" customHeight="1">
      <x:c r="A670" s="117" t="str">
        <x:v>MC0763</x:v>
      </x:c>
      <x:c r="B670" s="117" t="str">
        <x:v>Berjaya Times Square Theme Park</x:v>
      </x:c>
      <x:c r="C670" s="117" t="n">
        <x:v>1</x:v>
      </x:c>
      <x:c r="D670" s="117" t="str">
        <x:v>https://thumb.wikimedia.org/wikipedia/commons/thumb/d/d5/Berjaya_Times_Square_theme_park.jpg/1280px-Berjaya_Times_Square_theme_park.jpg?utm_source=commons.wikimedia.org&amp;utm_campaign=imageinfo&amp;utm_content=thumbnail</x:v>
      </x:c>
      <x:c r="E670" s="117" t="str">
        <x:v>https://commons.wikimedia.org/wiki/File:Berjaya_Times_Square_theme_park.jpg</x:v>
      </x:c>
      <x:c r="F670" s="117" t="str">
        <x:v>File:Berjaya Times Square theme park.jpg</x:v>
      </x:c>
      <x:c r="G670" s="117" t="str">
        <x:v>Cmglee</x:v>
      </x:c>
      <x:c r="H670" s="117" t="str">
        <x:v>CC BY-SA 3.0</x:v>
      </x:c>
      <x:c r="I670" s="117" t="str">
        <x:v>https://creativecommons.org/licenses/by-sa/3.0</x:v>
      </x:c>
      <x:c r="J670" s="117" t="str">
        <x:v>true</x:v>
      </x:c>
      <x:c r="K670" s="117" t="str">
        <x:v>Own work</x:v>
      </x:c>
      <x:c r="L670" s="117" t="str">
        <x:v>Exact name or all distinctive place-name tokens in file metadata</x:v>
      </x:c>
      <x:c r="M670" s="117" t="str">
        <x:v>Not visually reviewed</x:v>
      </x:c>
      <x:c r="N670" s="117" t="str">
        <x:v>2026-09-08</x:v>
      </x:c>
    </x:row>
    <x:row r="671" ht="48" customHeight="1">
      <x:c r="A671" s="117" t="str">
        <x:v>MC0763</x:v>
      </x:c>
      <x:c r="B671" s="117" t="str">
        <x:v>Berjaya Times Square Theme Park</x:v>
      </x:c>
      <x:c r="C671" s="117" t="n">
        <x:v>2</x:v>
      </x:c>
      <x:c r="D671" s="117" t="str">
        <x:v>https://thumb.wikimedia.org/wikipedia/commons/thumb/b/b7/Berjaya_Times_Square_Indoor_Theme_Park.JPG/1280px-Berjaya_Times_Square_Indoor_Theme_Park.JPG?utm_source=commons.wikimedia.org&amp;utm_campaign=imageinfo&amp;utm_content=thumbnail</x:v>
      </x:c>
      <x:c r="E671" s="117" t="str">
        <x:v>https://commons.wikimedia.org/wiki/File:Berjaya_Times_Square_Indoor_Theme_Park.JPG</x:v>
      </x:c>
      <x:c r="F671" s="117" t="str">
        <x:v>File:Berjaya Times Square Indoor Theme Park.JPG</x:v>
      </x:c>
      <x:c r="G671" s="117" t="str">
        <x:v>Singaporean</x:v>
      </x:c>
      <x:c r="H671" s="117" t="str">
        <x:v>CC0</x:v>
      </x:c>
      <x:c r="I671" s="117" t="str">
        <x:v>http://creativecommons.org/publicdomain/zero/1.0/deed.en</x:v>
      </x:c>
      <x:c r="J671" s="117" t="str">
        <x:v>false</x:v>
      </x:c>
      <x:c r="K671" s="117" t="str">
        <x:v>Own work</x:v>
      </x:c>
      <x:c r="L671" s="117" t="str">
        <x:v>Exact name or all distinctive place-name tokens in file metadata</x:v>
      </x:c>
      <x:c r="M671" s="117" t="str">
        <x:v>Not visually reviewed</x:v>
      </x:c>
      <x:c r="N671" s="117" t="str">
        <x:v>2026-09-08</x:v>
      </x:c>
    </x:row>
    <x:row r="672" ht="48" customHeight="1">
      <x:c r="A672" s="117" t="str">
        <x:v>MC0765</x:v>
      </x:c>
      <x:c r="B672" s="117" t="str">
        <x:v>Kuala Lumpur Old Railway Station</x:v>
      </x:c>
      <x:c r="C672" s="117" t="n">
        <x:v>1</x:v>
      </x:c>
      <x:c r="D672" s="117" t="str">
        <x:v>https://upload.wikimedia.org/wikipedia/commons/c/c6/Railway_station_KL_2007_010_pano.jpg?utm_source=commons.wikimedia.org&amp;utm_campaign=imageinfo&amp;utm_content=thumbnail_unscaled</x:v>
      </x:c>
      <x:c r="E672" s="117" t="str">
        <x:v>https://commons.wikimedia.org/wiki/File:Railway_station_KL_2007_010_pano.jpg</x:v>
      </x:c>
      <x:c r="F672" s="117" t="str">
        <x:v>File:Railway station KL 2007 010 pano.jpg</x:v>
      </x:c>
      <x:c r="G672" s="117" t="str">
        <x:v>Gryffindor</x:v>
      </x:c>
      <x:c r="H672" s="117" t="str">
        <x:v>Public domain</x:v>
      </x:c>
      <x:c r="I672" s="117" t="str"/>
      <x:c r="J672" s="117" t="str">
        <x:v>false</x:v>
      </x:c>
      <x:c r="K672" s="117" t="str">
        <x:v>Own work</x:v>
      </x:c>
      <x:c r="L672" s="117" t="str">
        <x:v>Exact name or all distinctive place-name tokens in file metadata</x:v>
      </x:c>
      <x:c r="M672" s="117" t="str">
        <x:v>Not visually reviewed</x:v>
      </x:c>
      <x:c r="N672" s="117" t="str">
        <x:v>2026-09-08</x:v>
      </x:c>
    </x:row>
    <x:row r="673" ht="48" customHeight="1">
      <x:c r="A673" s="117" t="str">
        <x:v>MC0765</x:v>
      </x:c>
      <x:c r="B673" s="117" t="str">
        <x:v>Kuala Lumpur Old Railway Station</x:v>
      </x:c>
      <x:c r="C673" s="117" t="n">
        <x:v>2</x:v>
      </x:c>
      <x:c r="D673" s="117" t="str">
        <x:v>https://thumb.wikimedia.org/wikipedia/commons/thumb/5/54/2016_Kuala_Lumpur%2C_Stacja_kolejowa_Kuala_Lumpur_%2802%29.jpg/1280px-2016_Kuala_Lumpur%2C_Stacja_kolejowa_Kuala_Lumpur_%2802%29.jpg?utm_source=commons.wikimedia.org&amp;utm_campaign=imageinfo&amp;utm_content=thumbnail</x:v>
      </x:c>
      <x:c r="E673" s="117" t="str">
        <x:v>https://commons.wikimedia.org/wiki/File:2016_Kuala_Lumpur,_Stacja_kolejowa_Kuala_Lumpur_(02).jpg</x:v>
      </x:c>
      <x:c r="F673" s="117" t="str">
        <x:v>File:2016 Kuala Lumpur, Stacja kolejowa Kuala Lumpur (02).jpg</x:v>
      </x:c>
      <x:c r="G673" s="117" t="str">
        <x:v>Marcin Konsek</x:v>
      </x:c>
      <x:c r="H673" s="117" t="str">
        <x:v>CC BY-SA 4.0</x:v>
      </x:c>
      <x:c r="I673" s="117" t="str">
        <x:v>https://creativecommons.org/licenses/by-sa/4.0</x:v>
      </x:c>
      <x:c r="J673" s="117" t="str">
        <x:v>true</x:v>
      </x:c>
      <x:c r="K673" s="117" t="str">
        <x:v>Own work</x:v>
      </x:c>
      <x:c r="L673" s="117" t="str">
        <x:v>Exact name or all distinctive place-name tokens in file metadata</x:v>
      </x:c>
      <x:c r="M673" s="117" t="str">
        <x:v>Not visually reviewed</x:v>
      </x:c>
      <x:c r="N673" s="117" t="str">
        <x:v>2026-09-08</x:v>
      </x:c>
    </x:row>
    <x:row r="674" ht="48" customHeight="1">
      <x:c r="A674" s="117" t="str">
        <x:v>MC0766</x:v>
      </x:c>
      <x:c r="B674" s="117" t="str">
        <x:v>Saloma Link</x:v>
      </x:c>
      <x:c r="C674" s="117" t="n">
        <x:v>1</x:v>
      </x:c>
      <x:c r="D674" s="117" t="str">
        <x:v>https://thumb.wikimedia.org/wikipedia/commons/thumb/4/41/Saloma_Link_Bridge_04.jpg/1280px-Saloma_Link_Bridge_04.jpg?utm_source=commons.wikimedia.org&amp;utm_campaign=imageinfo&amp;utm_content=thumbnail</x:v>
      </x:c>
      <x:c r="E674" s="117" t="str">
        <x:v>https://commons.wikimedia.org/wiki/File:Saloma_Link_Bridge_04.jpg</x:v>
      </x:c>
      <x:c r="F674" s="117" t="str">
        <x:v>File:Saloma Link Bridge 04.jpg</x:v>
      </x:c>
      <x:c r="G674" s="117" t="str">
        <x:v>Renek78</x:v>
      </x:c>
      <x:c r="H674" s="117" t="str">
        <x:v>CC BY-SA 4.0</x:v>
      </x:c>
      <x:c r="I674" s="117" t="str">
        <x:v>https://creativecommons.org/licenses/by-sa/4.0</x:v>
      </x:c>
      <x:c r="J674" s="117" t="str">
        <x:v>true</x:v>
      </x:c>
      <x:c r="K674" s="117" t="str">
        <x:v>Own work</x:v>
      </x:c>
      <x:c r="L674" s="117" t="str">
        <x:v>Exact name or all distinctive place-name tokens in file metadata</x:v>
      </x:c>
      <x:c r="M674" s="117" t="str">
        <x:v>Not visually reviewed</x:v>
      </x:c>
      <x:c r="N674" s="117" t="str">
        <x:v>2026-09-08</x:v>
      </x:c>
    </x:row>
    <x:row r="675" ht="48" customHeight="1">
      <x:c r="A675" s="117" t="str">
        <x:v>MC0766</x:v>
      </x:c>
      <x:c r="B675" s="117" t="str">
        <x:v>Saloma Link</x:v>
      </x:c>
      <x:c r="C675" s="117" t="n">
        <x:v>2</x:v>
      </x:c>
      <x:c r="D675" s="117" t="str">
        <x:v>https://thumb.wikimedia.org/wikipedia/commons/thumb/e/eb/Saloma_Link_-_2020-02-21_2.jpg/1280px-Saloma_Link_-_2020-02-21_2.jpg?utm_source=commons.wikimedia.org&amp;utm_campaign=imageinfo&amp;utm_content=thumbnail</x:v>
      </x:c>
      <x:c r="E675" s="117" t="str">
        <x:v>https://commons.wikimedia.org/wiki/File:Saloma_Link_-_2020-02-21_2.jpg</x:v>
      </x:c>
      <x:c r="F675" s="117" t="str">
        <x:v>File:Saloma Link - 2020-02-21 2.jpg</x:v>
      </x:c>
      <x:c r="G675" s="117" t="str">
        <x:v>Renek78</x:v>
      </x:c>
      <x:c r="H675" s="117" t="str">
        <x:v>CC BY-SA 4.0</x:v>
      </x:c>
      <x:c r="I675" s="117" t="str">
        <x:v>https://creativecommons.org/licenses/by-sa/4.0</x:v>
      </x:c>
      <x:c r="J675" s="117" t="str">
        <x:v>true</x:v>
      </x:c>
      <x:c r="K675" s="117" t="str">
        <x:v>Own work</x:v>
      </x:c>
      <x:c r="L675" s="117" t="str">
        <x:v>Exact name or all distinctive place-name tokens in file metadata</x:v>
      </x:c>
      <x:c r="M675" s="117" t="str">
        <x:v>Not visually reviewed</x:v>
      </x:c>
      <x:c r="N675" s="117" t="str">
        <x:v>2026-09-08</x:v>
      </x:c>
    </x:row>
    <x:row r="676" ht="48" customHeight="1">
      <x:c r="A676" s="117" t="str">
        <x:v>MC0768</x:v>
      </x:c>
      <x:c r="B676" s="117" t="str">
        <x:v>Federal Territory Mosque</x:v>
      </x:c>
      <x:c r="C676" s="117" t="n">
        <x:v>1</x:v>
      </x:c>
      <x:c r="D676" s="117" t="str">
        <x:v>https://thumb.wikimedia.org/wikipedia/commons/thumb/8/87/Kuala_Lumpur_Malaysia_Federal-Territory-Mosque-03.jpg/1280px-Kuala_Lumpur_Malaysia_Federal-Territory-Mosque-03.jpg?utm_source=commons.wikimedia.org&amp;utm_campaign=imageinfo&amp;utm_content=thumbnail</x:v>
      </x:c>
      <x:c r="E676" s="117" t="str">
        <x:v>https://commons.wikimedia.org/wiki/File:Kuala_Lumpur_Malaysia_Federal-Territory-Mosque-03.jpg</x:v>
      </x:c>
      <x:c r="F676" s="117" t="str">
        <x:v>File:Kuala Lumpur Malaysia Federal-Territory-Mosque-03.jpg</x:v>
      </x:c>
      <x:c r="G676" s="117" t="str">
        <x:v>CEphoto, Uwe Aranas</x:v>
      </x:c>
      <x:c r="H676" s="117" t="str">
        <x:v>CC BY-SA 3.0</x:v>
      </x:c>
      <x:c r="I676" s="117" t="str">
        <x:v>https://creativecommons.org/licenses/by-sa/3.0</x:v>
      </x:c>
      <x:c r="J676" s="117" t="str">
        <x:v>true</x:v>
      </x:c>
      <x:c r="K676" s="117" t="str">
        <x:v>Own work</x:v>
      </x:c>
      <x:c r="L676" s="117" t="str">
        <x:v>Exact name or all distinctive place-name tokens in file metadata</x:v>
      </x:c>
      <x:c r="M676" s="117" t="str">
        <x:v>Not visually reviewed</x:v>
      </x:c>
      <x:c r="N676" s="117" t="str">
        <x:v>2026-09-08</x:v>
      </x:c>
    </x:row>
    <x:row r="677" ht="48" customHeight="1">
      <x:c r="A677" s="117" t="str">
        <x:v>MC0768</x:v>
      </x:c>
      <x:c r="B677" s="117" t="str">
        <x:v>Federal Territory Mosque</x:v>
      </x:c>
      <x:c r="C677" s="117" t="n">
        <x:v>2</x:v>
      </x:c>
      <x:c r="D677" s="117" t="str">
        <x:v>https://thumb.wikimedia.org/wikipedia/commons/thumb/4/41/Kuala_Lumpur_Malaysia_Federal-Territory-Mosque-05.jpg/1280px-Kuala_Lumpur_Malaysia_Federal-Territory-Mosque-05.jpg?utm_source=commons.wikimedia.org&amp;utm_campaign=imageinfo&amp;utm_content=thumbnail</x:v>
      </x:c>
      <x:c r="E677" s="117" t="str">
        <x:v>https://commons.wikimedia.org/wiki/File:Kuala_Lumpur_Malaysia_Federal-Territory-Mosque-05.jpg</x:v>
      </x:c>
      <x:c r="F677" s="117" t="str">
        <x:v>File:Kuala Lumpur Malaysia Federal-Territory-Mosque-05.jpg</x:v>
      </x:c>
      <x:c r="G677" s="117" t="str">
        <x:v>CEphoto, Uwe Aranas</x:v>
      </x:c>
      <x:c r="H677" s="117" t="str">
        <x:v>CC BY-SA 3.0</x:v>
      </x:c>
      <x:c r="I677" s="117" t="str">
        <x:v>https://creativecommons.org/licenses/by-sa/3.0</x:v>
      </x:c>
      <x:c r="J677" s="117" t="str">
        <x:v>true</x:v>
      </x:c>
      <x:c r="K677" s="117" t="str">
        <x:v>Own work</x:v>
      </x:c>
      <x:c r="L677" s="117" t="str">
        <x:v>Exact name or all distinctive place-name tokens in file metadata</x:v>
      </x:c>
      <x:c r="M677" s="117" t="str">
        <x:v>Not visually reviewed</x:v>
      </x:c>
      <x:c r="N677" s="117" t="str">
        <x:v>2026-09-08</x:v>
      </x:c>
    </x:row>
    <x:row r="678" ht="48" customHeight="1">
      <x:c r="A678" s="117" t="str">
        <x:v>MC0770</x:v>
      </x:c>
      <x:c r="B678" s="117" t="str">
        <x:v>Istana Budaya</x:v>
      </x:c>
      <x:c r="C678" s="117" t="n">
        <x:v>1</x:v>
      </x:c>
      <x:c r="D678" s="117" t="str">
        <x:v>https://upload.wikimedia.org/wikipedia/commons/5/57/Istanabudaya.jpg?utm_source=commons.wikimedia.org&amp;utm_campaign=imageinfo&amp;utm_content=thumbnail_unscaled</x:v>
      </x:c>
      <x:c r="E678" s="117" t="str">
        <x:v>https://commons.wikimedia.org/wiki/File:Istanabudaya.jpg</x:v>
      </x:c>
      <x:c r="F678" s="117" t="str">
        <x:v>File:Istanabudaya.jpg</x:v>
      </x:c>
      <x:c r="G678" s="117" t="str">
        <x:v>Whjayg</x:v>
      </x:c>
      <x:c r="H678" s="117" t="str">
        <x:v>Public domain</x:v>
      </x:c>
      <x:c r="I678" s="117" t="str"/>
      <x:c r="J678" s="117" t="str">
        <x:v>false</x:v>
      </x:c>
      <x:c r="K678" s="117" t="str">
        <x:v>Own work</x:v>
      </x:c>
      <x:c r="L678" s="117" t="str">
        <x:v>Exact name or all distinctive place-name tokens in file metadata</x:v>
      </x:c>
      <x:c r="M678" s="117" t="str">
        <x:v>Not visually reviewed</x:v>
      </x:c>
      <x:c r="N678" s="117" t="str">
        <x:v>2026-09-08</x:v>
      </x:c>
    </x:row>
    <x:row r="679" ht="48" customHeight="1">
      <x:c r="A679" s="117" t="str">
        <x:v>MC0770</x:v>
      </x:c>
      <x:c r="B679" s="117" t="str">
        <x:v>Istana Budaya</x:v>
      </x:c>
      <x:c r="C679" s="117" t="n">
        <x:v>2</x:v>
      </x:c>
      <x:c r="D679" s="117" t="str">
        <x:v>https://thumb.wikimedia.org/wikipedia/commons/thumb/f/f9/Kuala-Lumpur_Malaysia_Istana-Budaya-01.jpg/1280px-Kuala-Lumpur_Malaysia_Istana-Budaya-01.jpg?utm_source=commons.wikimedia.org&amp;utm_campaign=imageinfo&amp;utm_content=thumbnail</x:v>
      </x:c>
      <x:c r="E679" s="117" t="str">
        <x:v>https://commons.wikimedia.org/wiki/File:Kuala-Lumpur_Malaysia_Istana-Budaya-01.jpg</x:v>
      </x:c>
      <x:c r="F679" s="117" t="str">
        <x:v>File:Kuala-Lumpur Malaysia Istana-Budaya-01.jpg</x:v>
      </x:c>
      <x:c r="G679" s="117" t="str">
        <x:v>CEphoto, Uwe Aranas</x:v>
      </x:c>
      <x:c r="H679" s="117" t="str">
        <x:v>CC BY-SA 3.0</x:v>
      </x:c>
      <x:c r="I679" s="117" t="str">
        <x:v>https://creativecommons.org/licenses/by-sa/3.0</x:v>
      </x:c>
      <x:c r="J679" s="117" t="str">
        <x:v>true</x:v>
      </x:c>
      <x:c r="K679" s="117" t="str">
        <x:v>Own work</x:v>
      </x:c>
      <x:c r="L679" s="117" t="str">
        <x:v>Exact name or all distinctive place-name tokens in file metadata</x:v>
      </x:c>
      <x:c r="M679" s="117" t="str">
        <x:v>Not visually reviewed</x:v>
      </x:c>
      <x:c r="N679" s="117" t="str">
        <x:v>2026-09-08</x:v>
      </x:c>
    </x:row>
    <x:row r="680" ht="48" customHeight="1">
      <x:c r="A680" s="117" t="str">
        <x:v>MC0774</x:v>
      </x:c>
      <x:c r="B680" s="117" t="str">
        <x:v>Telekom Museum</x:v>
      </x:c>
      <x:c r="C680" s="117" t="n">
        <x:v>1</x:v>
      </x:c>
      <x:c r="D680" s="117" t="str">
        <x:v>https://thumb.wikimedia.org/wikipedia/commons/thumb/b/bb/Muzium_Telekom.jpg/1280px-Muzium_Telekom.jpg?utm_source=commons.wikimedia.org&amp;utm_campaign=imageinfo&amp;utm_content=thumbnail</x:v>
      </x:c>
      <x:c r="E680" s="117" t="str">
        <x:v>https://commons.wikimedia.org/wiki/File:Muzium_Telekom.jpg</x:v>
      </x:c>
      <x:c r="F680" s="117" t="str">
        <x:v>File:Muzium Telekom.jpg</x:v>
      </x:c>
      <x:c r="G680" s="117" t="str">
        <x:v>Medelam</x:v>
      </x:c>
      <x:c r="H680" s="117" t="str">
        <x:v>CC BY-SA 4.0</x:v>
      </x:c>
      <x:c r="I680" s="117" t="str">
        <x:v>https://creativecommons.org/licenses/by-sa/4.0</x:v>
      </x:c>
      <x:c r="J680" s="117" t="str">
        <x:v>true</x:v>
      </x:c>
      <x:c r="K680" s="117" t="str">
        <x:v>Own work</x:v>
      </x:c>
      <x:c r="L680" s="117" t="str">
        <x:v>Exact name or all distinctive place-name tokens in file metadata</x:v>
      </x:c>
      <x:c r="M680" s="117" t="str">
        <x:v>Not visually reviewed</x:v>
      </x:c>
      <x:c r="N680" s="117" t="str">
        <x:v>2026-09-08</x:v>
      </x:c>
    </x:row>
    <x:row r="681" ht="48" customHeight="1">
      <x:c r="A681" s="117" t="str">
        <x:v>MC0774</x:v>
      </x:c>
      <x:c r="B681" s="117" t="str">
        <x:v>Telekom Museum</x:v>
      </x:c>
      <x:c r="C681" s="117" t="n">
        <x:v>2</x:v>
      </x:c>
      <x:c r="D681" s="117" t="str">
        <x:v>https://thumb.wikimedia.org/wikipedia/commons/thumb/5/5d/Kuala_Lumpur%2C_Malaysia_Muszium_Telekom_2025.jpg/1280px-Kuala_Lumpur%2C_Malaysia_Muszium_Telekom_2025.jpg?utm_source=commons.wikimedia.org&amp;utm_campaign=imageinfo&amp;utm_content=thumbnail</x:v>
      </x:c>
      <x:c r="E681" s="117" t="str">
        <x:v>https://commons.wikimedia.org/wiki/File:Kuala_Lumpur,_Malaysia_Muszium_Telekom_2025.jpg</x:v>
      </x:c>
      <x:c r="F681" s="117" t="str">
        <x:v>File:Kuala Lumpur, Malaysia Muszium Telekom 2025.jpg</x:v>
      </x:c>
      <x:c r="G681" s="117" t="str">
        <x:v>Sharon Hahn Darlin</x:v>
      </x:c>
      <x:c r="H681" s="117" t="str">
        <x:v>CC BY 2.0</x:v>
      </x:c>
      <x:c r="I681" s="117" t="str">
        <x:v>https://creativecommons.org/licenses/by/2.0</x:v>
      </x:c>
      <x:c r="J681" s="117" t="str">
        <x:v>true</x:v>
      </x:c>
      <x:c r="K681" s="117" t="str">
        <x:v>https://www.flickr.com/photos/sharonhahndarlin/54280747335/</x:v>
      </x:c>
      <x:c r="L681" s="117" t="str">
        <x:v>Exact name or all distinctive place-name tokens in file metadata</x:v>
      </x:c>
      <x:c r="M681" s="117" t="str">
        <x:v>Not visually reviewed</x:v>
      </x:c>
      <x:c r="N681" s="117" t="str">
        <x:v>2026-09-08</x:v>
      </x:c>
    </x:row>
    <x:row r="682" ht="48" customHeight="1">
      <x:c r="A682" s="117" t="str">
        <x:v>MC0775</x:v>
      </x:c>
      <x:c r="B682" s="117" t="str">
        <x:v>National Planetarium</x:v>
      </x:c>
      <x:c r="C682" s="117" t="n">
        <x:v>1</x:v>
      </x:c>
      <x:c r="D682" s="117" t="str">
        <x:v>https://thumb.wikimedia.org/wikipedia/commons/thumb/a/a8/Kuala-Lumpur_Malaysia_Planetarium_Negara-03.jpg/1280px-Kuala-Lumpur_Malaysia_Planetarium_Negara-03.jpg?utm_source=commons.wikimedia.org&amp;utm_campaign=imageinfo&amp;utm_content=thumbnail</x:v>
      </x:c>
      <x:c r="E682" s="117" t="str">
        <x:v>https://commons.wikimedia.org/wiki/File:Kuala-Lumpur_Malaysia_Planetarium_Negara-03.jpg</x:v>
      </x:c>
      <x:c r="F682" s="117" t="str">
        <x:v>File:Kuala-Lumpur Malaysia Planetarium Negara-03.jpg</x:v>
      </x:c>
      <x:c r="G682" s="117" t="str">
        <x:v>CEphoto, Uwe Aranas</x:v>
      </x:c>
      <x:c r="H682" s="117" t="str">
        <x:v>CC BY-SA 3.0</x:v>
      </x:c>
      <x:c r="I682" s="117" t="str">
        <x:v>https://creativecommons.org/licenses/by-sa/3.0</x:v>
      </x:c>
      <x:c r="J682" s="117" t="str">
        <x:v>true</x:v>
      </x:c>
      <x:c r="K682" s="117" t="str">
        <x:v>Own work</x:v>
      </x:c>
      <x:c r="L682" s="117" t="str">
        <x:v>Exact name or all distinctive place-name tokens in file metadata</x:v>
      </x:c>
      <x:c r="M682" s="117" t="str">
        <x:v>Not visually reviewed</x:v>
      </x:c>
      <x:c r="N682" s="117" t="str">
        <x:v>2026-09-08</x:v>
      </x:c>
    </x:row>
    <x:row r="683" ht="48" customHeight="1">
      <x:c r="A683" s="117" t="str">
        <x:v>MC0775</x:v>
      </x:c>
      <x:c r="B683" s="117" t="str">
        <x:v>National Planetarium</x:v>
      </x:c>
      <x:c r="C683" s="117" t="n">
        <x:v>2</x:v>
      </x:c>
      <x:c r="D683" s="117" t="str">
        <x:v>https://thumb.wikimedia.org/wikipedia/commons/thumb/0/04/Kuala-Lumpur_Malaysia_Planetarium_Negara-02.jpg/1280px-Kuala-Lumpur_Malaysia_Planetarium_Negara-02.jpg?utm_source=commons.wikimedia.org&amp;utm_campaign=imageinfo&amp;utm_content=thumbnail</x:v>
      </x:c>
      <x:c r="E683" s="117" t="str">
        <x:v>https://commons.wikimedia.org/wiki/File:Kuala-Lumpur_Malaysia_Planetarium_Negara-02.jpg</x:v>
      </x:c>
      <x:c r="F683" s="117" t="str">
        <x:v>File:Kuala-Lumpur Malaysia Planetarium Negara-02.jpg</x:v>
      </x:c>
      <x:c r="G683" s="117" t="str">
        <x:v>CEphoto, Uwe Aranas</x:v>
      </x:c>
      <x:c r="H683" s="117" t="str">
        <x:v>CC BY-SA 3.0</x:v>
      </x:c>
      <x:c r="I683" s="117" t="str">
        <x:v>https://creativecommons.org/licenses/by-sa/3.0</x:v>
      </x:c>
      <x:c r="J683" s="117" t="str">
        <x:v>true</x:v>
      </x:c>
      <x:c r="K683" s="117" t="str">
        <x:v>Own work</x:v>
      </x:c>
      <x:c r="L683" s="117" t="str">
        <x:v>Exact name or all distinctive place-name tokens in file metadata</x:v>
      </x:c>
      <x:c r="M683" s="117" t="str">
        <x:v>Not visually reviewed</x:v>
      </x:c>
      <x:c r="N683" s="117" t="str">
        <x:v>2026-09-08</x:v>
      </x:c>
    </x:row>
    <x:row r="684" ht="48" customHeight="1">
      <x:c r="A684" s="117" t="str">
        <x:v>MC0776</x:v>
      </x:c>
      <x:c r="B684" s="117" t="str">
        <x:v>Putra Square</x:v>
      </x:c>
      <x:c r="C684" s="117" t="n">
        <x:v>1</x:v>
      </x:c>
      <x:c r="D684" s="117" t="str">
        <x:v>https://thumb.wikimedia.org/wikipedia/commons/thumb/6/61/Prime_Minister%27s_office%2C_Putrajaya.JPG/1280px-Prime_Minister%27s_office%2C_Putrajaya.JPG?utm_source=commons.wikimedia.org&amp;utm_campaign=imageinfo&amp;utm_content=thumbnail</x:v>
      </x:c>
      <x:c r="E684" s="117" t="str">
        <x:v>https://commons.wikimedia.org/wiki/File:Prime_Minister%27s_office,_Putrajaya.JPG</x:v>
      </x:c>
      <x:c r="F684" s="117" t="str">
        <x:v>File:Prime Minister's office, Putrajaya.JPG</x:v>
      </x:c>
      <x:c r="G684" s="117" t="str"/>
      <x:c r="H684" s="117" t="str">
        <x:v>CC BY-SA 3.0</x:v>
      </x:c>
      <x:c r="I684" s="117" t="str">
        <x:v>http://creativecommons.org/licenses/by-sa/3.0/</x:v>
      </x:c>
      <x:c r="J684" s="117" t="str">
        <x:v>true</x:v>
      </x:c>
      <x:c r="K684" s="117" t="str"/>
      <x:c r="L684" s="117" t="str">
        <x:v>Exact name or all distinctive place-name tokens in file metadata</x:v>
      </x:c>
      <x:c r="M684" s="117" t="str">
        <x:v>Not visually reviewed</x:v>
      </x:c>
      <x:c r="N684" s="117" t="str">
        <x:v>2026-09-08</x:v>
      </x:c>
    </x:row>
    <x:row r="685" ht="48" customHeight="1">
      <x:c r="A685" s="117" t="str">
        <x:v>MC0776</x:v>
      </x:c>
      <x:c r="B685" s="117" t="str">
        <x:v>Putra Square</x:v>
      </x:c>
      <x:c r="C685" s="117" t="n">
        <x:v>2</x:v>
      </x:c>
      <x:c r="D685" s="117" t="str">
        <x:v>https://thumb.wikimedia.org/wikipedia/commons/thumb/6/6c/Putra_Square_Flags_Putrajaya.jpg/1280px-Putra_Square_Flags_Putrajaya.jpg?utm_source=commons.wikimedia.org&amp;utm_campaign=imageinfo&amp;utm_content=thumbnail</x:v>
      </x:c>
      <x:c r="E685" s="117" t="str">
        <x:v>https://commons.wikimedia.org/wiki/File:Putra_Square_Flags_Putrajaya.jpg</x:v>
      </x:c>
      <x:c r="F685" s="117" t="str">
        <x:v>File:Putra Square Flags Putrajaya.jpg</x:v>
      </x:c>
      <x:c r="G685" s="117" t="str">
        <x:v>QianCheng</x:v>
      </x:c>
      <x:c r="H685" s="117" t="str">
        <x:v>CC BY-SA 4.0</x:v>
      </x:c>
      <x:c r="I685" s="117" t="str">
        <x:v>https://creativecommons.org/licenses/by-sa/4.0</x:v>
      </x:c>
      <x:c r="J685" s="117" t="str">
        <x:v>true</x:v>
      </x:c>
      <x:c r="K685" s="117" t="str">
        <x:v>Own work</x:v>
      </x:c>
      <x:c r="L685" s="117" t="str">
        <x:v>Exact name or all distinctive place-name tokens in file metadata</x:v>
      </x:c>
      <x:c r="M685" s="117" t="str">
        <x:v>Not visually reviewed</x:v>
      </x:c>
      <x:c r="N685" s="117" t="str">
        <x:v>2026-09-08</x:v>
      </x:c>
    </x:row>
    <x:row r="686" ht="48" customHeight="1">
      <x:c r="A686" s="117" t="str">
        <x:v>MC0778</x:v>
      </x:c>
      <x:c r="B686" s="117" t="str">
        <x:v>Palace of Justice</x:v>
      </x:c>
      <x:c r="C686" s="117" t="n">
        <x:v>1</x:v>
      </x:c>
      <x:c r="D686" s="117" t="str">
        <x:v>https://thumb.wikimedia.org/wikipedia/commons/thumb/0/07/Nuremberg_-_justice_palace_2012_%28aka%29.jpg/1280px-Nuremberg_-_justice_palace_2012_%28aka%29.jpg?utm_source=commons.wikimedia.org&amp;utm_campaign=imageinfo&amp;utm_content=thumbnail</x:v>
      </x:c>
      <x:c r="E686" s="117" t="str">
        <x:v>https://commons.wikimedia.org/wiki/File:Nuremberg_-_justice_palace_2012_(aka).jpg</x:v>
      </x:c>
      <x:c r="F686" s="117" t="str">
        <x:v>File:Nuremberg - justice palace 2012 (aka).jpg</x:v>
      </x:c>
      <x:c r="G686" s="117" t="str">
        <x:v>André Karwath aka Aka</x:v>
      </x:c>
      <x:c r="H686" s="117" t="str">
        <x:v>CC BY-SA 2.5</x:v>
      </x:c>
      <x:c r="I686" s="117" t="str">
        <x:v>https://creativecommons.org/licenses/by-sa/2.5</x:v>
      </x:c>
      <x:c r="J686" s="117" t="str">
        <x:v>true</x:v>
      </x:c>
      <x:c r="K686" s="117" t="str">
        <x:v>Own work</x:v>
      </x:c>
      <x:c r="L686" s="117" t="str">
        <x:v>Exact name or all distinctive place-name tokens in file metadata</x:v>
      </x:c>
      <x:c r="M686" s="117" t="str">
        <x:v>Not visually reviewed</x:v>
      </x:c>
      <x:c r="N686" s="117" t="str">
        <x:v>2026-09-08</x:v>
      </x:c>
    </x:row>
    <x:row r="687" ht="48" customHeight="1">
      <x:c r="A687" s="117" t="str">
        <x:v>MC0778</x:v>
      </x:c>
      <x:c r="B687" s="117" t="str">
        <x:v>Palace of Justice</x:v>
      </x:c>
      <x:c r="C687" s="117" t="n">
        <x:v>2</x:v>
      </x:c>
      <x:c r="D687" s="117" t="str">
        <x:v>https://thumb.wikimedia.org/wikipedia/commons/thumb/6/6c/Nuremberg_Aerial_Justizpalast.JPG/1280px-Nuremberg_Aerial_Justizpalast.JPG?utm_source=commons.wikimedia.org&amp;utm_campaign=imageinfo&amp;utm_content=thumbnail</x:v>
      </x:c>
      <x:c r="E687" s="117" t="str">
        <x:v>https://commons.wikimedia.org/wiki/File:Nuremberg_Aerial_Justizpalast.JPG</x:v>
      </x:c>
      <x:c r="F687" s="117" t="str">
        <x:v>File:Nuremberg Aerial Justizpalast.JPG</x:v>
      </x:c>
      <x:c r="G687" s="117" t="str">
        <x:v>Nicohofmann</x:v>
      </x:c>
      <x:c r="H687" s="117" t="str">
        <x:v>CC BY-SA 3.0</x:v>
      </x:c>
      <x:c r="I687" s="117" t="str">
        <x:v>https://creativecommons.org/licenses/by-sa/3.0</x:v>
      </x:c>
      <x:c r="J687" s="117" t="str">
        <x:v>true</x:v>
      </x:c>
      <x:c r="K687" s="117" t="str">
        <x:v>Own work</x:v>
      </x:c>
      <x:c r="L687" s="117" t="str">
        <x:v>Exact name or all distinctive place-name tokens in file metadata</x:v>
      </x:c>
      <x:c r="M687" s="117" t="str">
        <x:v>Not visually reviewed</x:v>
      </x:c>
      <x:c r="N687" s="117" t="str">
        <x:v>2026-09-08</x:v>
      </x:c>
    </x:row>
    <x:row r="688" ht="48" customHeight="1">
      <x:c r="A688" s="117" t="str">
        <x:v>MC0779</x:v>
      </x:c>
      <x:c r="B688" s="117" t="str">
        <x:v>Seri Perdana</x:v>
      </x:c>
      <x:c r="C688" s="117" t="n">
        <x:v>1</x:v>
      </x:c>
      <x:c r="D688" s="117" t="str">
        <x:v>https://upload.wikimedia.org/wikipedia/commons/d/d1/Pintu_masuk_Kompleks_Seri_Perdana.jpg?utm_source=commons.wikimedia.org&amp;utm_campaign=imageinfo&amp;utm_content=thumbnail_unscaled</x:v>
      </x:c>
      <x:c r="E688" s="117" t="str">
        <x:v>https://commons.wikimedia.org/wiki/File:Pintu_masuk_Kompleks_Seri_Perdana.jpg</x:v>
      </x:c>
      <x:c r="F688" s="117" t="str">
        <x:v>File:Pintu masuk Kompleks Seri Perdana.jpg</x:v>
      </x:c>
      <x:c r="G688" s="117" t="str">
        <x:v>Sham Hardy</x:v>
      </x:c>
      <x:c r="H688" s="117" t="str">
        <x:v>CC BY-SA 2.0</x:v>
      </x:c>
      <x:c r="I688" s="117" t="str">
        <x:v>https://creativecommons.org/licenses/by-sa/2.0</x:v>
      </x:c>
      <x:c r="J688" s="117" t="str">
        <x:v>true</x:v>
      </x:c>
      <x:c r="K688" s="117" t="str">
        <x:v>https://www.flickr.com/photos/xshamx/5460962242/in/photolist-XkoqFM-eHqPzV-eHqN1t-eHwRB7-eHx4wW-eHx9Ws-eHx9ys-eHqJqv-eHx99d-eHqYfg-eHwSqh-eHqYHK-eHxc6W-eHwWTU-eHqWyc-eHqHFg-eHwUSG-eHxbDU-eHqXNp-eHwS67-eHwNKw-eHx54q-eHqQtz-eHxdMj-eHr7qZ-eHwYjo-eHqSKZ-eHqZ7z-eHwVrj-eHwQK1-eHwQjh-eHx44q-eHr5CF-eHr4tz-eHr3Va-eHwUiW-eHx8fN-eHqUPB-eHwXmf-eHr4Ne-66dJUW-9jwLCt-9jyRPq-eHrajp-eHxd1s-eHxaXs-eHx1sm-eHqVFT</x:v>
      </x:c>
      <x:c r="L688" s="117" t="str">
        <x:v>Exact name or all distinctive place-name tokens in file metadata</x:v>
      </x:c>
      <x:c r="M688" s="117" t="str">
        <x:v>Not visually reviewed</x:v>
      </x:c>
      <x:c r="N688" s="117" t="str">
        <x:v>2026-09-08</x:v>
      </x:c>
    </x:row>
    <x:row r="689" ht="48" customHeight="1">
      <x:c r="A689" s="117" t="str">
        <x:v>MC0782</x:v>
      </x:c>
      <x:c r="B689" s="117" t="str">
        <x:v>Labuan Square</x:v>
      </x:c>
      <x:c r="C689" s="117" t="n">
        <x:v>1</x:v>
      </x:c>
      <x:c r="D689" s="117" t="str">
        <x:v>https://thumb.wikimedia.org/wikipedia/commons/thumb/e/e9/Labuan_Square_%28Dataran_Labuan%29%2C_April_2025_03.jpg/1280px-Labuan_Square_%28Dataran_Labuan%29%2C_April_2025_03.jpg?utm_source=commons.wikimedia.org&amp;utm_campaign=imageinfo&amp;utm_content=thumbnail</x:v>
      </x:c>
      <x:c r="E689" s="117" t="str">
        <x:v>https://commons.wikimedia.org/wiki/File:Labuan_Square_(Dataran_Labuan),_April_2025_03.jpg</x:v>
      </x:c>
      <x:c r="F689" s="117" t="str">
        <x:v>File:Labuan Square (Dataran Labuan), April 2025 03.jpg</x:v>
      </x:c>
      <x:c r="G689" s="117" t="str">
        <x:v>Calistemon</x:v>
      </x:c>
      <x:c r="H689" s="117" t="str">
        <x:v>CC BY-SA 4.0</x:v>
      </x:c>
      <x:c r="I689" s="117" t="str">
        <x:v>https://creativecommons.org/licenses/by-sa/4.0</x:v>
      </x:c>
      <x:c r="J689" s="117" t="str">
        <x:v>true</x:v>
      </x:c>
      <x:c r="K689" s="117" t="str">
        <x:v>Own work</x:v>
      </x:c>
      <x:c r="L689" s="117" t="str">
        <x:v>Exact name or all distinctive place-name tokens in file metadata</x:v>
      </x:c>
      <x:c r="M689" s="117" t="str">
        <x:v>Not visually reviewed</x:v>
      </x:c>
      <x:c r="N689" s="117" t="str">
        <x:v>2026-09-08</x:v>
      </x:c>
    </x:row>
    <x:row r="690" ht="48" customHeight="1">
      <x:c r="A690" s="117" t="str">
        <x:v>MC0782</x:v>
      </x:c>
      <x:c r="B690" s="117" t="str">
        <x:v>Labuan Square</x:v>
      </x:c>
      <x:c r="C690" s="117" t="n">
        <x:v>2</x:v>
      </x:c>
      <x:c r="D690" s="117" t="str">
        <x:v>https://thumb.wikimedia.org/wikipedia/commons/thumb/5/5f/Labuan_Square_%28Dataran_Labuan%29%2C_April_2025_02.jpg/1280px-Labuan_Square_%28Dataran_Labuan%29%2C_April_2025_02.jpg?utm_source=commons.wikimedia.org&amp;utm_campaign=imageinfo&amp;utm_content=thumbnail</x:v>
      </x:c>
      <x:c r="E690" s="117" t="str">
        <x:v>https://commons.wikimedia.org/wiki/File:Labuan_Square_(Dataran_Labuan),_April_2025_02.jpg</x:v>
      </x:c>
      <x:c r="F690" s="117" t="str">
        <x:v>File:Labuan Square (Dataran Labuan), April 2025 02.jpg</x:v>
      </x:c>
      <x:c r="G690" s="117" t="str">
        <x:v>Calistemon</x:v>
      </x:c>
      <x:c r="H690" s="117" t="str">
        <x:v>CC BY-SA 4.0</x:v>
      </x:c>
      <x:c r="I690" s="117" t="str">
        <x:v>https://creativecommons.org/licenses/by-sa/4.0</x:v>
      </x:c>
      <x:c r="J690" s="117" t="str">
        <x:v>true</x:v>
      </x:c>
      <x:c r="K690" s="117" t="str">
        <x:v>Own work</x:v>
      </x:c>
      <x:c r="L690" s="117" t="str">
        <x:v>Exact name or all distinctive place-name tokens in file metadata</x:v>
      </x:c>
      <x:c r="M690" s="117" t="str">
        <x:v>Not visually reviewed</x:v>
      </x:c>
      <x:c r="N690" s="117" t="str">
        <x:v>2026-09-08</x:v>
      </x:c>
    </x:row>
    <x:row r="691" ht="48" customHeight="1">
      <x:c r="A691" s="117" t="str">
        <x:v>MC0784</x:v>
      </x:c>
      <x:c r="B691" s="117" t="str">
        <x:v>An Nur Jamek Mosque</x:v>
      </x:c>
      <x:c r="C691" s="117" t="n">
        <x:v>1</x:v>
      </x:c>
      <x:c r="D691" s="117" t="str">
        <x:v>https://upload.wikimedia.org/wikipedia/commons/a/a5/An%27Nur_Jamek_Mosque%2C_Labuan.jpg?utm_source=commons.wikimedia.org&amp;utm_campaign=imageinfo&amp;utm_content=thumbnail_unscaled</x:v>
      </x:c>
      <x:c r="E691" s="117" t="str">
        <x:v>https://commons.wikimedia.org/wiki/File:An%27Nur_Jamek_Mosque,_Labuan.jpg</x:v>
      </x:c>
      <x:c r="F691" s="117" t="str">
        <x:v>File:An'Nur Jamek Mosque, Labuan.jpg</x:v>
      </x:c>
      <x:c r="G691" s="117" t="str">
        <x:v>xiquinhosilva</x:v>
      </x:c>
      <x:c r="H691" s="117" t="str">
        <x:v>CC BY-SA 2.0</x:v>
      </x:c>
      <x:c r="I691" s="117" t="str">
        <x:v>https://creativecommons.org/licenses/by-sa/2.0</x:v>
      </x:c>
      <x:c r="J691" s="117" t="str">
        <x:v>true</x:v>
      </x:c>
      <x:c r="K691" s="117" t="str">
        <x:v>xiquinho Photo's</x:v>
      </x:c>
      <x:c r="L691" s="117" t="str">
        <x:v>Exact name or all distinctive place-name tokens in file metadata</x:v>
      </x:c>
      <x:c r="M691" s="117" t="str">
        <x:v>Not visually reviewed</x:v>
      </x:c>
      <x:c r="N691" s="117" t="str">
        <x:v>2026-09-08</x:v>
      </x:c>
    </x:row>
    <x:row r="692" ht="48" customHeight="1">
      <x:c r="A692" s="117" t="str">
        <x:v>MC0784</x:v>
      </x:c>
      <x:c r="B692" s="117" t="str">
        <x:v>An Nur Jamek Mosque</x:v>
      </x:c>
      <x:c r="C692" s="117" t="n">
        <x:v>2</x:v>
      </x:c>
      <x:c r="D692" s="117" t="str">
        <x:v>https://thumb.wikimedia.org/wikipedia/commons/thumb/0/0e/Masjid_Jamek_An-Nur_di_Labuan.jpg/1280px-Masjid_Jamek_An-Nur_di_Labuan.jpg?utm_source=commons.wikimedia.org&amp;utm_campaign=imageinfo&amp;utm_content=thumbnail</x:v>
      </x:c>
      <x:c r="E692" s="117" t="str">
        <x:v>https://commons.wikimedia.org/wiki/File:Masjid_Jamek_An-Nur_di_Labuan.jpg</x:v>
      </x:c>
      <x:c r="F692" s="117" t="str">
        <x:v>File:Masjid Jamek An-Nur di Labuan.jpg</x:v>
      </x:c>
      <x:c r="G692" s="117" t="str">
        <x:v>Firzazul</x:v>
      </x:c>
      <x:c r="H692" s="117" t="str">
        <x:v>CC BY-SA 4.0</x:v>
      </x:c>
      <x:c r="I692" s="117" t="str">
        <x:v>https://creativecommons.org/licenses/by-sa/4.0</x:v>
      </x:c>
      <x:c r="J692" s="117" t="str">
        <x:v>true</x:v>
      </x:c>
      <x:c r="K692" s="117" t="str">
        <x:v>Own work</x:v>
      </x:c>
      <x:c r="L692" s="117" t="str">
        <x:v>Exact name or all distinctive place-name tokens in file metadata</x:v>
      </x:c>
      <x:c r="M692" s="117" t="str">
        <x:v>Not visually reviewed</x:v>
      </x:c>
      <x:c r="N692" s="117" t="str">
        <x:v>2026-09-08</x:v>
      </x:c>
    </x:row>
    <x:row r="693" ht="48" customHeight="1">
      <x:c r="A693" s="117" t="str">
        <x:v>MC0788</x:v>
      </x:c>
      <x:c r="B693" s="117" t="str">
        <x:v>Borneo Cultures Museum</x:v>
      </x:c>
      <x:c r="C693" s="117" t="n">
        <x:v>1</x:v>
      </x:c>
      <x:c r="D693" s="117" t="str">
        <x:v>https://thumb.wikimedia.org/wikipedia/commons/thumb/4/47/Front_view_of_Borneo_Cultural_Museum_20220408153640.jpg/1280px-Front_view_of_Borneo_Cultural_Museum_20220408153640.jpg?utm_source=commons.wikimedia.org&amp;utm_campaign=imageinfo&amp;utm_content=thumbnail</x:v>
      </x:c>
      <x:c r="E693" s="117" t="str">
        <x:v>https://commons.wikimedia.org/wiki/File:Front_view_of_Borneo_Cultural_Museum_20220408153640.jpg</x:v>
      </x:c>
      <x:c r="F693" s="117" t="str">
        <x:v>File:Front view of Borneo Cultural Museum 20220408153640.jpg</x:v>
      </x:c>
      <x:c r="G693" s="117" t="str">
        <x:v>愛子棋枰</x:v>
      </x:c>
      <x:c r="H693" s="117" t="str">
        <x:v>CC BY-SA 4.0</x:v>
      </x:c>
      <x:c r="I693" s="117" t="str">
        <x:v>https://creativecommons.org/licenses/by-sa/4.0</x:v>
      </x:c>
      <x:c r="J693" s="117" t="str">
        <x:v>true</x:v>
      </x:c>
      <x:c r="K693" s="117" t="str">
        <x:v>Own work</x:v>
      </x:c>
      <x:c r="L693" s="117" t="str">
        <x:v>Exact place-name in file metadata</x:v>
      </x:c>
      <x:c r="M693" s="117" t="str">
        <x:v>Not visually reviewed</x:v>
      </x:c>
      <x:c r="N693" s="117" t="str">
        <x:v>2026-09-08</x:v>
      </x:c>
    </x:row>
    <x:row r="694" ht="48" customHeight="1">
      <x:c r="A694" s="117" t="str">
        <x:v>MC0788</x:v>
      </x:c>
      <x:c r="B694" s="117" t="str">
        <x:v>Borneo Cultures Museum</x:v>
      </x:c>
      <x:c r="C694" s="117" t="n">
        <x:v>2</x:v>
      </x:c>
      <x:c r="D694" s="117" t="str">
        <x:v>https://thumb.wikimedia.org/wikipedia/commons/thumb/0/0c/Borneo_Cultures_Museum_%282024%29.jpg/1280px-Borneo_Cultures_Museum_%282024%29.jpg?utm_source=commons.wikimedia.org&amp;utm_campaign=imageinfo&amp;utm_content=thumbnail</x:v>
      </x:c>
      <x:c r="E694" s="117" t="str">
        <x:v>https://commons.wikimedia.org/wiki/File:Borneo_Cultures_Museum_(2024).jpg</x:v>
      </x:c>
      <x:c r="F694" s="117" t="str">
        <x:v>File:Borneo Cultures Museum (2024).jpg</x:v>
      </x:c>
      <x:c r="G694" s="117" t="str">
        <x:v>Medelam</x:v>
      </x:c>
      <x:c r="H694" s="117" t="str">
        <x:v>CC BY-SA 4.0</x:v>
      </x:c>
      <x:c r="I694" s="117" t="str">
        <x:v>https://creativecommons.org/licenses/by-sa/4.0</x:v>
      </x:c>
      <x:c r="J694" s="117" t="str">
        <x:v>true</x:v>
      </x:c>
      <x:c r="K694" s="117" t="str">
        <x:v>Own work</x:v>
      </x:c>
      <x:c r="L694" s="117" t="str">
        <x:v>Exact place-name in file metadata</x:v>
      </x:c>
      <x:c r="M694" s="117" t="str">
        <x:v>Not visually reviewed</x:v>
      </x:c>
      <x:c r="N694" s="117" t="str">
        <x:v>2026-09-08</x:v>
      </x:c>
    </x:row>
    <x:row r="695" ht="48" customHeight="1">
      <x:c r="A695" s="117" t="str">
        <x:v>MC0789</x:v>
      </x:c>
      <x:c r="B695" s="117" t="str">
        <x:v>Bank Negara Malaysia Museum and Art Gallery</x:v>
      </x:c>
      <x:c r="C695" s="117" t="n">
        <x:v>1</x:v>
      </x:c>
      <x:c r="D695" s="117" t="str">
        <x:v>https://thumb.wikimedia.org/wikipedia/commons/thumb/0/0f/Bank_Negara_Malaysia_Museum_and_Art_Gallery.jpg/1280px-Bank_Negara_Malaysia_Museum_and_Art_Gallery.jpg?utm_source=commons.wikimedia.org&amp;utm_campaign=imageinfo&amp;utm_content=thumbnail</x:v>
      </x:c>
      <x:c r="E695" s="117" t="str">
        <x:v>https://commons.wikimedia.org/wiki/File:Bank_Negara_Malaysia_Museum_and_Art_Gallery.jpg</x:v>
      </x:c>
      <x:c r="F695" s="117" t="str">
        <x:v>File:Bank Negara Malaysia Museum and Art Gallery.jpg</x:v>
      </x:c>
      <x:c r="G695" s="117" t="str">
        <x:v>Vano111ru</x:v>
      </x:c>
      <x:c r="H695" s="117" t="str">
        <x:v>CC BY-SA 4.0</x:v>
      </x:c>
      <x:c r="I695" s="117" t="str">
        <x:v>https://creativecommons.org/licenses/by-sa/4.0</x:v>
      </x:c>
      <x:c r="J695" s="117" t="str">
        <x:v>true</x:v>
      </x:c>
      <x:c r="K695" s="117" t="str">
        <x:v>Own work</x:v>
      </x:c>
      <x:c r="L695" s="117" t="str">
        <x:v>Exact place-name in file metadata</x:v>
      </x:c>
      <x:c r="M695" s="117" t="str">
        <x:v>Not visually reviewed</x:v>
      </x:c>
      <x:c r="N695" s="117" t="str">
        <x:v>2026-09-08</x:v>
      </x:c>
    </x:row>
    <x:row r="696" ht="48" customHeight="1">
      <x:c r="A696" s="117" t="str">
        <x:v>MC0789</x:v>
      </x:c>
      <x:c r="B696" s="117" t="str">
        <x:v>Bank Negara Malaysia Museum and Art Gallery</x:v>
      </x:c>
      <x:c r="C696" s="117" t="n">
        <x:v>2</x:v>
      </x:c>
      <x:c r="D696" s="117" t="str">
        <x:v>https://thumb.wikimedia.org/wikipedia/commons/thumb/2/2b/Astrolabe_at_Bank_Negara_Malaysia_Museum_and_Art_Gallery.jpg/1280px-Astrolabe_at_Bank_Negara_Malaysia_Museum_and_Art_Gallery.jpg?utm_source=commons.wikimedia.org&amp;utm_campaign=imageinfo&amp;utm_content=thumbnail</x:v>
      </x:c>
      <x:c r="E696" s="117" t="str">
        <x:v>https://commons.wikimedia.org/wiki/File:Astrolabe_at_Bank_Negara_Malaysia_Museum_and_Art_Gallery.jpg</x:v>
      </x:c>
      <x:c r="F696" s="117" t="str">
        <x:v>File:Astrolabe at Bank Negara Malaysia Museum and Art Gallery.jpg</x:v>
      </x:c>
      <x:c r="G696" s="117" t="str">
        <x:v>Wee Hong</x:v>
      </x:c>
      <x:c r="H696" s="117" t="str">
        <x:v>CC BY-SA 4.0</x:v>
      </x:c>
      <x:c r="I696" s="117" t="str">
        <x:v>https://creativecommons.org/licenses/by-sa/4.0</x:v>
      </x:c>
      <x:c r="J696" s="117" t="str">
        <x:v>true</x:v>
      </x:c>
      <x:c r="K696" s="117" t="str">
        <x:v>Own work</x:v>
      </x:c>
      <x:c r="L696" s="117" t="str">
        <x:v>Exact place-name in file metadata</x:v>
      </x:c>
      <x:c r="M696" s="117" t="str">
        <x:v>Not visually reviewed</x:v>
      </x:c>
      <x:c r="N696" s="117" t="str">
        <x:v>2026-09-08</x:v>
      </x:c>
    </x:row>
    <x:row r="697" ht="48" customHeight="1">
      <x:c r="A697" s="117" t="str">
        <x:v>MC0790</x:v>
      </x:c>
      <x:c r="B697" s="117" t="str">
        <x:v>Awana SkyWay</x:v>
      </x:c>
      <x:c r="C697" s="117" t="n">
        <x:v>1</x:v>
      </x:c>
      <x:c r="D697" s="117" t="str">
        <x:v>https://thumb.wikimedia.org/wikipedia/commons/thumb/9/91/Awana_Skyway.jpg/1280px-Awana_Skyway.jpg?utm_source=commons.wikimedia.org&amp;utm_campaign=imageinfo&amp;utm_content=thumbnail</x:v>
      </x:c>
      <x:c r="E697" s="117" t="str">
        <x:v>https://commons.wikimedia.org/wiki/File:Awana_Skyway.jpg</x:v>
      </x:c>
      <x:c r="F697" s="117" t="str">
        <x:v>File:Awana Skyway.jpg</x:v>
      </x:c>
      <x:c r="G697" s="117" t="str">
        <x:v>Chongkian</x:v>
      </x:c>
      <x:c r="H697" s="117" t="str">
        <x:v>CC BY-SA 4.0</x:v>
      </x:c>
      <x:c r="I697" s="117" t="str">
        <x:v>https://creativecommons.org/licenses/by-sa/4.0</x:v>
      </x:c>
      <x:c r="J697" s="117" t="str">
        <x:v>true</x:v>
      </x:c>
      <x:c r="K697" s="117" t="str">
        <x:v>Own work</x:v>
      </x:c>
      <x:c r="L697" s="117" t="str">
        <x:v>Exact place-name in file metadata</x:v>
      </x:c>
      <x:c r="M697" s="117" t="str">
        <x:v>Not visually reviewed</x:v>
      </x:c>
      <x:c r="N697" s="117" t="str">
        <x:v>2026-09-08</x:v>
      </x:c>
    </x:row>
    <x:row r="698" ht="48" customHeight="1">
      <x:c r="A698" s="117" t="str">
        <x:v>MC0790</x:v>
      </x:c>
      <x:c r="B698" s="117" t="str">
        <x:v>Awana SkyWay</x:v>
      </x:c>
      <x:c r="C698" s="117" t="n">
        <x:v>2</x:v>
      </x:c>
      <x:c r="D698" s="117" t="str">
        <x:v>https://thumb.wikimedia.org/wikipedia/commons/thumb/b/b0/Awana_Skyway_Gondola_lift.jpg/1280px-Awana_Skyway_Gondola_lift.jpg?utm_source=commons.wikimedia.org&amp;utm_campaign=imageinfo&amp;utm_content=thumbnail</x:v>
      </x:c>
      <x:c r="E698" s="117" t="str">
        <x:v>https://commons.wikimedia.org/wiki/File:Awana_Skyway_Gondola_lift.jpg</x:v>
      </x:c>
      <x:c r="F698" s="117" t="str">
        <x:v>File:Awana Skyway Gondola lift.jpg</x:v>
      </x:c>
      <x:c r="G698" s="117" t="str">
        <x:v>Micolash</x:v>
      </x:c>
      <x:c r="H698" s="117" t="str">
        <x:v>CC BY-SA 4.0</x:v>
      </x:c>
      <x:c r="I698" s="117" t="str">
        <x:v>https://creativecommons.org/licenses/by-sa/4.0</x:v>
      </x:c>
      <x:c r="J698" s="117" t="str">
        <x:v>true</x:v>
      </x:c>
      <x:c r="K698" s="117" t="str">
        <x:v>Own work</x:v>
      </x:c>
      <x:c r="L698" s="117" t="str">
        <x:v>Exact place-name in file metadata</x:v>
      </x:c>
      <x:c r="M698" s="117" t="str">
        <x:v>Not visually reviewed</x:v>
      </x:c>
      <x:c r="N698" s="117" t="str">
        <x:v>2026-09-08</x:v>
      </x:c>
    </x:row>
    <x:row r="699" ht="48" customHeight="1">
      <x:c r="A699" s="117" t="str">
        <x:v>MC0791</x:v>
      </x:c>
      <x:c r="B699" s="117" t="str">
        <x:v>National Art Gallery Malaysia</x:v>
      </x:c>
      <x:c r="C699" s="117" t="n">
        <x:v>1</x:v>
      </x:c>
      <x:c r="D699" s="117" t="str">
        <x:v>https://upload.wikimedia.org/wikipedia/commons/6/6f/Balai_Seni_Lukis_Negara_2007_1.jpg?utm_source=commons.wikimedia.org&amp;utm_campaign=imageinfo&amp;utm_content=thumbnail_unscaled</x:v>
      </x:c>
      <x:c r="E699" s="117" t="str">
        <x:v>https://commons.wikimedia.org/wiki/File:Balai_Seni_Lukis_Negara_2007_1.jpg</x:v>
      </x:c>
      <x:c r="F699" s="117" t="str">
        <x:v>File:Balai Seni Lukis Negara 2007 1.jpg</x:v>
      </x:c>
      <x:c r="G699" s="117" t="str">
        <x:v>Gryffindor</x:v>
      </x:c>
      <x:c r="H699" s="117" t="str">
        <x:v>Public domain</x:v>
      </x:c>
      <x:c r="I699" s="117" t="str"/>
      <x:c r="J699" s="117" t="str">
        <x:v>false</x:v>
      </x:c>
      <x:c r="K699" s="117" t="str">
        <x:v>Own work</x:v>
      </x:c>
      <x:c r="L699" s="117" t="str">
        <x:v>Exact place-name in file metadata</x:v>
      </x:c>
      <x:c r="M699" s="117" t="str">
        <x:v>Not visually reviewed</x:v>
      </x:c>
      <x:c r="N699" s="117" t="str">
        <x:v>2026-09-08</x:v>
      </x:c>
    </x:row>
    <x:row r="700" ht="48" customHeight="1">
      <x:c r="A700" s="117" t="str">
        <x:v>MC0791</x:v>
      </x:c>
      <x:c r="B700" s="117" t="str">
        <x:v>National Art Gallery Malaysia</x:v>
      </x:c>
      <x:c r="C700" s="117" t="n">
        <x:v>2</x:v>
      </x:c>
      <x:c r="D700" s="117" t="str">
        <x:v>https://thumb.wikimedia.org/wikipedia/commons/thumb/9/94/Balai_Seni_Negara.jpg/1280px-Balai_Seni_Negara.jpg?utm_source=commons.wikimedia.org&amp;utm_campaign=imageinfo&amp;utm_content=thumbnail</x:v>
      </x:c>
      <x:c r="E700" s="117" t="str">
        <x:v>https://commons.wikimedia.org/wiki/File:Balai_Seni_Negara.jpg</x:v>
      </x:c>
      <x:c r="F700" s="117" t="str">
        <x:v>File:Balai Seni Negara.jpg</x:v>
      </x:c>
      <x:c r="G700" s="117" t="str">
        <x:v>Wee Hong</x:v>
      </x:c>
      <x:c r="H700" s="117" t="str">
        <x:v>CC BY-SA 4.0</x:v>
      </x:c>
      <x:c r="I700" s="117" t="str">
        <x:v>https://creativecommons.org/licenses/by-sa/4.0</x:v>
      </x:c>
      <x:c r="J700" s="117" t="str">
        <x:v>true</x:v>
      </x:c>
      <x:c r="K700" s="117" t="str">
        <x:v>Own work</x:v>
      </x:c>
      <x:c r="L700" s="117" t="str">
        <x:v>Exact place-name in file metadata</x:v>
      </x:c>
      <x:c r="M700" s="117" t="str">
        <x:v>Not visually reviewed</x:v>
      </x:c>
      <x:c r="N700" s="117" t="str">
        <x:v>2026-09-08</x:v>
      </x:c>
    </x:row>
    <x:row r="701" ht="48" customHeight="1">
      <x:c r="A701" s="117" t="str">
        <x:v>MC0793</x:v>
      </x:c>
      <x:c r="B701" s="117" t="str">
        <x:v>Zoo Negara</x:v>
      </x:c>
      <x:c r="C701" s="117" t="n">
        <x:v>1</x:v>
      </x:c>
      <x:c r="D701" s="117" t="str">
        <x:v>https://thumb.wikimedia.org/wikipedia/commons/thumb/a/a9/YosriPintuZooNegara.jpg/1280px-YosriPintuZooNegara.jpg?utm_source=commons.wikimedia.org&amp;utm_campaign=imageinfo&amp;utm_content=thumbnail</x:v>
      </x:c>
      <x:c r="E701" s="117" t="str">
        <x:v>https://commons.wikimedia.org/wiki/File:YosriPintuZooNegara.jpg</x:v>
      </x:c>
      <x:c r="F701" s="117" t="str">
        <x:v>File:YosriPintuZooNegara.jpg</x:v>
      </x:c>
      <x:c r="G701" s="117" t="str">
        <x:v>Yosri at ms.wikipedia</x:v>
      </x:c>
      <x:c r="H701" s="117" t="str">
        <x:v>GFDL</x:v>
      </x:c>
      <x:c r="I701" s="117" t="str">
        <x:v>http://www.gnu.org/copyleft/fdl.html</x:v>
      </x:c>
      <x:c r="J701" s="117" t="str">
        <x:v>true</x:v>
      </x:c>
      <x:c r="K701" s="117" t="str">
        <x:v>Own work
Transferred from ms.wikipedia</x:v>
      </x:c>
      <x:c r="L701" s="117" t="str">
        <x:v>Exact place-name in file metadata</x:v>
      </x:c>
      <x:c r="M701" s="117" t="str">
        <x:v>Not visually reviewed</x:v>
      </x:c>
      <x:c r="N701" s="117" t="str">
        <x:v>2026-09-08</x:v>
      </x:c>
    </x:row>
    <x:row r="702" ht="48" customHeight="1">
      <x:c r="A702" s="117" t="str">
        <x:v>MC0793</x:v>
      </x:c>
      <x:c r="B702" s="117" t="str">
        <x:v>Zoo Negara</x:v>
      </x:c>
      <x:c r="C702" s="117" t="n">
        <x:v>2</x:v>
      </x:c>
      <x:c r="D702" s="117" t="str">
        <x:v>https://thumb.wikimedia.org/wikipedia/commons/thumb/0/0b/Zoo_Negara_entrance_with_elephant_sculpture.jpg/1280px-Zoo_Negara_entrance_with_elephant_sculpture.jpg?utm_source=commons.wikimedia.org&amp;utm_campaign=imageinfo&amp;utm_content=thumbnail</x:v>
      </x:c>
      <x:c r="E702" s="117" t="str">
        <x:v>https://commons.wikimedia.org/wiki/File:Zoo_Negara_entrance_with_elephant_sculpture.jpg</x:v>
      </x:c>
      <x:c r="F702" s="117" t="str">
        <x:v>File:Zoo Negara entrance with elephant sculpture.jpg</x:v>
      </x:c>
      <x:c r="G702" s="117" t="str">
        <x:v>Haiqal08</x:v>
      </x:c>
      <x:c r="H702" s="117" t="str">
        <x:v>CC BY-SA 4.0</x:v>
      </x:c>
      <x:c r="I702" s="117" t="str">
        <x:v>https://creativecommons.org/licenses/by-sa/4.0</x:v>
      </x:c>
      <x:c r="J702" s="117" t="str">
        <x:v>true</x:v>
      </x:c>
      <x:c r="K702" s="117" t="str">
        <x:v>Own work</x:v>
      </x:c>
      <x:c r="L702" s="117" t="str">
        <x:v>Exact place-name in file metadata</x:v>
      </x:c>
      <x:c r="M702" s="117" t="str">
        <x:v>Not visually reviewed</x:v>
      </x:c>
      <x:c r="N702" s="117" t="str">
        <x:v>2026-09-08</x:v>
      </x:c>
    </x:row>
  </x:sheetData>
  <x:mergeCells>
    <x:mergeCell ref="A1:N1"/>
    <x:mergeCell ref="A2:N2"/>
  </x:mergeCells>
  <x:pageMargins left="0.7" right="0.7" top="0.75" bottom="0.75" header="0.3" footer="0.3"/>
  <x:tableParts count="1">
    <x:tablePart xmlns:r="http://schemas.openxmlformats.org/officeDocument/2006/relationships" r:id="R09438ca67acf492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5" hidden="0" customWidth="1"/>
    <x:col min="2" max="2" width="100" hidden="0" customWidth="1"/>
  </x:cols>
  <x:sheetData>
    <x:row r="1" ht="26" customHeight="1">
      <x:c r="A1" s="105" t="str">
        <x:v>Research scope, method and safe chatbot use</x:v>
      </x:c>
      <x:c r="B1" s="105"/>
      <x:c r="C1" s="105"/>
      <x:c r="D1" s="105"/>
      <x:c r="E1" s="105"/>
      <x:c r="F1" s="105"/>
    </x:row>
    <x:row r="3" ht="54" customHeight="1">
      <x:c r="A3" s="121" t="str">
        <x:v>As-of date</x:v>
      </x:c>
      <x:c r="B3" s="117" t="str">
        <x:v>8 September 2026</x:v>
      </x:c>
    </x:row>
    <x:row r="4" ht="54" customHeight="1">
      <x:c r="A4" s="121" t="str">
        <x:v>Scope</x:v>
      </x:c>
      <x:c r="B4" s="117" t="str">
        <x:v>Visitor attractions, parks, museums, landmarks and visitor experiences across all 13 states and three federal territories. Hotels and restaurants are outside this expansion.</x:v>
      </x:c>
    </x:row>
    <x:row r="5" ht="54" customHeight="1">
      <x:c r="A5" s="121" t="str">
        <x:v>Coverage statement</x:v>
      </x:c>
      <x:c r="B5" s="117" t="str">
        <x:v>The catalogue contains 793 candidate IDs (773 distinct after 20 duplicate aliases). No finite authoritative list of every Malaysian attraction exists, so this is a broad candidate catalogue rather than a completeness claim.</x:v>
      </x:c>
    </x:row>
    <x:row r="6" ht="54" customHeight="1">
      <x:c r="A6" s="121" t="str">
        <x:v>Expansion source</x:v>
      </x:c>
      <x:c r="B6" s="117" t="str">
        <x:v>Tourism Malaysia state travel guides, plus venue-specific government and operator sources for selected additions.</x:v>
      </x:c>
    </x:row>
    <x:row r="7" ht="54" customHeight="1">
      <x:c r="A7" s="121" t="str">
        <x:v>Identity result</x:v>
      </x:c>
      <x:c r="B7" s="117" t="str">
        <x:v>The 151 formerly pending rows received a second identity/location review. A corroborated result verifies the named Malaysian place only; it does not prove current opening or accessibility. Five constructed, commercial, or non-venue records are flagged for removal/rework.</x:v>
      </x:c>
    </x:row>
    <x:row r="8" ht="54" customHeight="1">
      <x:c r="A8" s="121" t="str">
        <x:v>Accessibility rule</x:v>
      </x:c>
      <x:c r="B8" s="117" t="str">
        <x:v>Accessibility conclusions are route- and facility-specific. Unknown means unknown. Seventeen newly supported/conditional rows and five restriction rows were added after the second-pass identity review. A toilet, wheelchair loan, parking bay, tram or discount does not prove an entire venue is step-free.</x:v>
      </x:c>
    </x:row>
    <x:row r="9" ht="54" customHeight="1">
      <x:c r="A9" s="121" t="str">
        <x:v>Primary vs secondary</x:v>
      </x:c>
      <x:c r="B9" s="117" t="str">
        <x:v>Primary means an operator, government body or venue-specific authority states the feature. Secondary evidence remains conditional and should be confirmed with the venue.</x:v>
      </x:c>
    </x:row>
    <x:row r="10" ht="54" customHeight="1">
      <x:c r="A10" s="121" t="str">
        <x:v>Images</x:v>
      </x:c>
      <x:c r="B10" s="117" t="str">
        <x:v>Display URLs and Wikimedia Commons file pages are provided where metadata supported a place match and a licence was present. Production use still needs visual review, licence compliance, and stable asset hosting or caching.</x:v>
      </x:c>
    </x:row>
    <x:row r="11" ht="54" customHeight="1">
      <x:c r="A11" s="121" t="str">
        <x:v>Location corrections</x:v>
      </x:c>
      <x:c r="B11" s="117" t="str">
        <x:v>Cape Rachado was moved to Melaka; Sungai Chiling and Bukit Kembara were moved to Selangor. Correction sources are in the catalogue.</x:v>
      </x:c>
    </x:row>
    <x:row r="12" ht="54" customHeight="1">
      <x:c r="A12" s="121" t="str">
        <x:v>Unsafe source removed</x:v>
      </x:c>
      <x:c r="B12" s="117" t="str">
        <x:v>The former Rompin Park domain now serves unrelated gambling content and is not accepted as evidence.</x:v>
      </x:c>
    </x:row>
    <x:row r="13" ht="54" customHeight="1">
      <x:c r="A13" s="121" t="str">
        <x:v>Recommended chatbot filters</x:v>
      </x:c>
      <x:c r="B13" s="117" t="str">
        <x:v>General recommendations: Canonical ID = Candidate ID, Record Relationship ≠ Duplicate alias, Identity Check Result = Identity and location corroborated (or a previously reviewed equivalent), and confirm Operation Status. Exclude rows flagged for removal/rework. Elderly recommendations: use the separate elderly workbook and exclude Restricted Routes and Revalidation Hold.</x:v>
      </x:c>
    </x:row>
  </x:sheetData>
  <x:mergeCells>
    <x:mergeCell ref="A1:F1"/>
  </x:mergeCells>
  <x:pageMargins left="0.7" right="0.7" top="0.75" bottom="0.75" header="0.3" footer="0.3"/>
</x:worksheet>
</file>

<file path=xl/worksheets/sheet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1" hidden="0" customWidth="1"/>
    <x:col min="2" max="2" width="36" hidden="0" customWidth="1"/>
    <x:col min="3" max="3" width="20" hidden="0" customWidth="1"/>
    <x:col min="4" max="4" width="32" hidden="0" customWidth="1"/>
    <x:col min="5" max="5" width="58" hidden="0" customWidth="1"/>
    <x:col min="6" max="6" width="75" hidden="0" customWidth="1"/>
  </x:cols>
  <x:sheetData>
    <x:row r="1" ht="26" customHeight="1">
      <x:c r="A1" s="105" t="str">
        <x:v>Second-pass review of all formerly pending identity records</x:v>
      </x:c>
      <x:c r="B1" s="105"/>
      <x:c r="C1" s="105"/>
      <x:c r="D1" s="105"/>
      <x:c r="E1" s="105"/>
      <x:c r="F1" s="105"/>
    </x:row>
    <x:row r="2" ht="30" customHeight="1">
      <x:c r="A2" s="107" t="str">
        <x:v>Identity and location were checked separately from opening status and accessibility. Five rows are flagged for removal/rework; all other rows include a corroborating source.</x:v>
      </x:c>
      <x:c r="B2" s="107"/>
      <x:c r="C2" s="107"/>
      <x:c r="D2" s="107"/>
      <x:c r="E2" s="107"/>
      <x:c r="F2" s="107"/>
    </x:row>
    <x:row r="4" ht="34" customHeight="1">
      <x:c r="A4" s="126" t="str">
        <x:v>Candidate ID</x:v>
      </x:c>
      <x:c r="B4" s="126" t="str">
        <x:v>Attraction Name</x:v>
      </x:c>
      <x:c r="C4" s="126" t="str">
        <x:v>State / Territory</x:v>
      </x:c>
      <x:c r="D4" s="126" t="str">
        <x:v>Review Outcome</x:v>
      </x:c>
      <x:c r="E4" s="126" t="str">
        <x:v>Evidence URL</x:v>
      </x:c>
      <x:c r="F4" s="126" t="str">
        <x:v>Review Notes</x:v>
      </x:c>
    </x:row>
    <x:row r="5" ht="54" customHeight="1">
      <x:c r="A5" s="117" t="str">
        <x:v>MC0006</x:v>
      </x:c>
      <x:c r="B5" s="117" t="str">
        <x:v>Desaru Beach</x:v>
      </x:c>
      <x:c r="C5" s="117" t="str">
        <x:v>Johor</x:v>
      </x:c>
      <x:c r="D5" s="117" t="str">
        <x:v>Identity and location corroborated</x:v>
      </x:c>
      <x:c r="E5" s="117" t="str">
        <x:v>https://en.wikipedia.org/wiki/Desaru</x:v>
      </x:c>
      <x:c r="F5" s="117" t="str">
        <x:v>Encyclopedic source matches the attraction name or established alias and the stated Malaysian location. This verifies identity/location only; confirm current opening and accessibility separately.</x:v>
      </x:c>
    </x:row>
    <x:row r="6" ht="54" customHeight="1">
      <x:c r="A6" s="117" t="str">
        <x:v>MC0008</x:v>
      </x:c>
      <x:c r="B6" s="117" t="str">
        <x:v>Gunung Pulai Recreational Forest</x:v>
      </x:c>
      <x:c r="C6" s="117" t="str">
        <x:v>Johor</x:v>
      </x:c>
      <x:c r="D6" s="117" t="str">
        <x:v>Identity and location corroborated</x:v>
      </x:c>
      <x:c r="E6" s="117" t="str">
        <x:v>https://www.openstreetmap.org/relation/11002653</x:v>
      </x:c>
      <x:c r="F6" s="117" t="str">
        <x:v>Mapped source matches the attraction name or established alias and the stated Malaysian location. This verifies identity/location only; confirm current opening and accessibility separately.</x:v>
      </x:c>
    </x:row>
    <x:row r="7" ht="54" customHeight="1">
      <x:c r="A7" s="117" t="str">
        <x:v>MC0009</x:v>
      </x:c>
      <x:c r="B7" s="117" t="str">
        <x:v>Kota Tinggi Firefly Park</x:v>
      </x:c>
      <x:c r="C7" s="117" t="str">
        <x:v>Johor</x:v>
      </x:c>
      <x:c r="D7" s="117" t="str">
        <x:v>Identity and location corroborated</x:v>
      </x:c>
      <x:c r="E7" s="117" t="str">
        <x:v>https://www.openstreetmap.org/node/7388192771</x:v>
      </x:c>
      <x:c r="F7" s="117" t="str">
        <x:v>Mapped source matches the attraction name or established alias and the stated Malaysian location. This verifies identity/location only; confirm current opening and accessibility separately.</x:v>
      </x:c>
    </x:row>
    <x:row r="8" ht="54" customHeight="1">
      <x:c r="A8" s="117" t="str">
        <x:v>MC0011</x:v>
      </x:c>
      <x:c r="B8" s="117" t="str">
        <x:v>Sultan Abu Bakar State Mosque</x:v>
      </x:c>
      <x:c r="C8" s="117" t="str">
        <x:v>Johor</x:v>
      </x:c>
      <x:c r="D8" s="117" t="str">
        <x:v>Identity and location corroborated</x:v>
      </x:c>
      <x:c r="E8" s="117" t="str">
        <x:v>https://en.wikipedia.org/wiki/Sultan_Abu_Bakar_State_Mosque</x:v>
      </x:c>
      <x:c r="F8" s="117" t="str">
        <x:v>Encyclopedic source matches the attraction name or established alias and the stated Malaysian location. This verifies identity/location only; confirm current opening and accessibility separately.</x:v>
      </x:c>
    </x:row>
    <x:row r="9" ht="54" customHeight="1">
      <x:c r="A9" s="117" t="str">
        <x:v>MC0013</x:v>
      </x:c>
      <x:c r="B9" s="117" t="str">
        <x:v>Tan Hiok Nee Heritage Street</x:v>
      </x:c>
      <x:c r="C9" s="117" t="str">
        <x:v>Johor</x:v>
      </x:c>
      <x:c r="D9" s="117" t="str">
        <x:v>Identity and location corroborated</x:v>
      </x:c>
      <x:c r="E9" s="117" t="str">
        <x:v>https://thinkcity.com.my/clients/asset_E66FF6CF-D980-4973-ADE3-A92F33641095/contentms/img/doc/TC-Magazine-Volume-3.pdf</x:v>
      </x:c>
      <x:c r="F9" s="117" t="str">
        <x:v>Independent institutional source matches the attraction name or established alias and the stated Malaysian location. This verifies identity/location only; confirm current opening and accessibility separately.</x:v>
      </x:c>
    </x:row>
    <x:row r="10" ht="54" customHeight="1">
      <x:c r="A10" s="117" t="str">
        <x:v>MC0015</x:v>
      </x:c>
      <x:c r="B10" s="117" t="str">
        <x:v>Istana Besar and Royal Abu Bakar Museum</x:v>
      </x:c>
      <x:c r="C10" s="117" t="str">
        <x:v>Johor</x:v>
      </x:c>
      <x:c r="D10" s="117" t="str">
        <x:v>Identity and location corroborated</x:v>
      </x:c>
      <x:c r="E10" s="117" t="str">
        <x:v>https://tourism.johor.gov.my/johor-bahru/</x:v>
      </x:c>
      <x:c r="F10" s="117" t="str">
        <x:v>Official state tourism source matches the attraction name or established alias and the stated Malaysian location. This verifies identity/location only; confirm current opening and accessibility separately.</x:v>
      </x:c>
    </x:row>
    <x:row r="11" ht="54" customHeight="1">
      <x:c r="A11" s="117" t="str">
        <x:v>MC0017</x:v>
      </x:c>
      <x:c r="B11" s="117" t="str">
        <x:v>Kota Iskandar</x:v>
      </x:c>
      <x:c r="C11" s="117" t="str">
        <x:v>Johor</x:v>
      </x:c>
      <x:c r="D11" s="117" t="str">
        <x:v>Identity and location corroborated</x:v>
      </x:c>
      <x:c r="E11" s="117" t="str">
        <x:v>https://en.wikipedia.org/wiki/Kota_Iskandar</x:v>
      </x:c>
      <x:c r="F11" s="117" t="str">
        <x:v>Encyclopedic source matches the attraction name or established alias and the stated Malaysian location. This verifies identity/location only; confirm current opening and accessibility separately.</x:v>
      </x:c>
    </x:row>
    <x:row r="12" ht="54" customHeight="1">
      <x:c r="A12" s="131" t="str">
        <x:v>MC0021</x:v>
      </x:c>
      <x:c r="B12" s="131" t="str">
        <x:v>Desaru Coast Riverside</x:v>
      </x:c>
      <x:c r="C12" s="131" t="str">
        <x:v>Johor</x:v>
      </x:c>
      <x:c r="D12" s="131" t="str">
        <x:v>Out of scope / review for removal</x:v>
      </x:c>
      <x:c r="E12" s="131" t="str"/>
      <x:c r="F12" s="131" t="str">
        <x:v>The exact “Desaru Coast Riverside” visitor attraction was not substantiated by a reliable current source; search results primarily describe a commercial lifestyle area or unrelated project.</x:v>
      </x:c>
    </x:row>
    <x:row r="13" ht="54" customHeight="1">
      <x:c r="A13" s="117" t="str">
        <x:v>MC0027</x:v>
      </x:c>
      <x:c r="B13" s="117" t="str">
        <x:v>Kukup Fishing Village</x:v>
      </x:c>
      <x:c r="C13" s="117" t="str">
        <x:v>Johor</x:v>
      </x:c>
      <x:c r="D13" s="117" t="str">
        <x:v>Identity and location corroborated</x:v>
      </x:c>
      <x:c r="E13" s="117" t="str">
        <x:v>https://mppn.gov.my/en/node/485</x:v>
      </x:c>
      <x:c r="F13" s="117" t="str">
        <x:v>Official municipal source matches the attraction name or established alias and the stated Malaysian location. This verifies identity/location only; confirm current opening and accessibility separately.</x:v>
      </x:c>
    </x:row>
    <x:row r="14" ht="54" customHeight="1">
      <x:c r="A14" s="117" t="str">
        <x:v>MC0029</x:v>
      </x:c>
      <x:c r="B14" s="117" t="str">
        <x:v>Pantai Minyak Beku</x:v>
      </x:c>
      <x:c r="C14" s="117" t="str">
        <x:v>Johor</x:v>
      </x:c>
      <x:c r="D14" s="117" t="str">
        <x:v>Identity and location corroborated</x:v>
      </x:c>
      <x:c r="E14" s="117" t="str">
        <x:v>https://www.openstreetmap.org/relation/12909783</x:v>
      </x:c>
      <x:c r="F14" s="117" t="str">
        <x:v>Mapped source matches the attraction name or established alias and the stated Malaysian location. This verifies identity/location only; confirm current opening and accessibility separately.</x:v>
      </x:c>
    </x:row>
    <x:row r="15" ht="54" customHeight="1">
      <x:c r="A15" s="117" t="str">
        <x:v>MC0030</x:v>
      </x:c>
      <x:c r="B15" s="117" t="str">
        <x:v>Chong Long Gong Temple</x:v>
      </x:c>
      <x:c r="C15" s="117" t="str">
        <x:v>Johor</x:v>
      </x:c>
      <x:c r="D15" s="117" t="str">
        <x:v>Identity and location corroborated</x:v>
      </x:c>
      <x:c r="E15" s="117" t="str">
        <x:v>https://visitjohor2026.my/ms/listing/chong-long-gong-temple/</x:v>
      </x:c>
      <x:c r="F15" s="117" t="str">
        <x:v>Official state tourism source matches the attraction name or established alias and the stated Malaysian location. This verifies identity/location only; confirm current opening and accessibility separately.</x:v>
      </x:c>
    </x:row>
    <x:row r="16" ht="54" customHeight="1">
      <x:c r="A16" s="117" t="str">
        <x:v>MC0031</x:v>
      </x:c>
      <x:c r="B16" s="117" t="str">
        <x:v>Tanjung Emas Park</x:v>
      </x:c>
      <x:c r="C16" s="117" t="str">
        <x:v>Johor</x:v>
      </x:c>
      <x:c r="D16" s="117" t="str">
        <x:v>Identity and location corroborated</x:v>
      </x:c>
      <x:c r="E16" s="117" t="str">
        <x:v>https://www.openstreetmap.org/way/739544577</x:v>
      </x:c>
      <x:c r="F16" s="117" t="str">
        <x:v>Mapped source matches the attraction name or established alias and the stated Malaysian location. This verifies identity/location only; confirm current opening and accessibility separately.</x:v>
      </x:c>
    </x:row>
    <x:row r="17" ht="54" customHeight="1">
      <x:c r="A17" s="117" t="str">
        <x:v>MC0032</x:v>
      </x:c>
      <x:c r="B17" s="117" t="str">
        <x:v>Muar Cultural Walk</x:v>
      </x:c>
      <x:c r="C17" s="117" t="str">
        <x:v>Johor</x:v>
      </x:c>
      <x:c r="D17" s="117" t="str">
        <x:v>Identity and location corroborated</x:v>
      </x:c>
      <x:c r="E17" s="117" t="str">
        <x:v>https://www.waze.com/live-map/directions/my/johor-darul-tazim/muar/muar-cultural-walk?to=place.ChIJWybmKAS50TER8GoadG1O-sc</x:v>
      </x:c>
      <x:c r="F17" s="117" t="str">
        <x:v>Mapped source matches the attraction name or established alias and the stated Malaysian location. This verifies identity/location only; confirm current opening and accessibility separately.</x:v>
      </x:c>
    </x:row>
    <x:row r="18" ht="54" customHeight="1">
      <x:c r="A18" s="117" t="str">
        <x:v>MC0035</x:v>
      </x:c>
      <x:c r="B18" s="117" t="str">
        <x:v>Sungai Bantang Waterfall</x:v>
      </x:c>
      <x:c r="C18" s="117" t="str">
        <x:v>Johor</x:v>
      </x:c>
      <x:c r="D18" s="117" t="str">
        <x:v>Identity and location corroborated</x:v>
      </x:c>
      <x:c r="E18" s="117" t="str">
        <x:v>https://tourism.johor.gov.my/bantang-bekok-river-waterfall/</x:v>
      </x:c>
      <x:c r="F18" s="117" t="str">
        <x:v>Official state tourism source matches the attraction name or established alias and the stated Malaysian location. This verifies identity/location only; confirm current opening and accessibility separately.</x:v>
      </x:c>
    </x:row>
    <x:row r="19" ht="54" customHeight="1">
      <x:c r="A19" s="117" t="str">
        <x:v>MC0038</x:v>
      </x:c>
      <x:c r="B19" s="117" t="str">
        <x:v>Langkawi Sky Bridge</x:v>
      </x:c>
      <x:c r="C19" s="117" t="str">
        <x:v>Kedah</x:v>
      </x:c>
      <x:c r="D19" s="117" t="str">
        <x:v>Identity and location corroborated</x:v>
      </x:c>
      <x:c r="E19" s="117" t="str">
        <x:v>https://en.wikipedia.org/wiki/Langkawi_Sky_Bridge</x:v>
      </x:c>
      <x:c r="F19" s="117" t="str">
        <x:v>Encyclopedic source matches the attraction name or established alias and the stated Malaysian location. This verifies identity/location only; confirm current opening and accessibility separately.</x:v>
      </x:c>
    </x:row>
    <x:row r="20" ht="54" customHeight="1">
      <x:c r="A20" s="117" t="str">
        <x:v>MC0040</x:v>
      </x:c>
      <x:c r="B20" s="117" t="str">
        <x:v>Pantai Cenang</x:v>
      </x:c>
      <x:c r="C20" s="117" t="str">
        <x:v>Kedah</x:v>
      </x:c>
      <x:c r="D20" s="117" t="str">
        <x:v>Identity and location corroborated</x:v>
      </x:c>
      <x:c r="E20" s="117" t="str">
        <x:v>https://www.openstreetmap.org/node/585118150</x:v>
      </x:c>
      <x:c r="F20" s="117" t="str">
        <x:v>Mapped source matches the attraction name or established alias and the stated Malaysian location. This verifies identity/location only; confirm current opening and accessibility separately.</x:v>
      </x:c>
    </x:row>
    <x:row r="21" ht="54" customHeight="1">
      <x:c r="A21" s="117" t="str">
        <x:v>MC0047</x:v>
      </x:c>
      <x:c r="B21" s="117" t="str">
        <x:v>Telaga Tujuh Waterfalls</x:v>
      </x:c>
      <x:c r="C21" s="117" t="str">
        <x:v>Kedah</x:v>
      </x:c>
      <x:c r="D21" s="117" t="str">
        <x:v>Identity and location corroborated</x:v>
      </x:c>
      <x:c r="E21" s="117" t="str">
        <x:v>https://www.openstreetmap.org/node/2122515522</x:v>
      </x:c>
      <x:c r="F21" s="117" t="str">
        <x:v>Mapped source matches the attraction name or established alias and the stated Malaysian location. This verifies identity/location only; confirm current opening and accessibility separately.</x:v>
      </x:c>
    </x:row>
    <x:row r="22" ht="54" customHeight="1">
      <x:c r="A22" s="117" t="str">
        <x:v>MC0048</x:v>
      </x:c>
      <x:c r="B22" s="117" t="str">
        <x:v>Tanjung Rhu Beach</x:v>
      </x:c>
      <x:c r="C22" s="117" t="str">
        <x:v>Kedah</x:v>
      </x:c>
      <x:c r="D22" s="117" t="str">
        <x:v>Identity and location corroborated</x:v>
      </x:c>
      <x:c r="E22" s="117" t="str">
        <x:v>https://www.openstreetmap.org/relation/4013309</x:v>
      </x:c>
      <x:c r="F22" s="117" t="str">
        <x:v>Mapped source matches the attraction name or established alias and the stated Malaysian location. This verifies identity/location only; confirm current opening and accessibility separately.</x:v>
      </x:c>
    </x:row>
    <x:row r="23" ht="54" customHeight="1">
      <x:c r="A23" s="117" t="str">
        <x:v>MC0049</x:v>
      </x:c>
      <x:c r="B23" s="117" t="str">
        <x:v>Black Sand Beach</x:v>
      </x:c>
      <x:c r="C23" s="117" t="str">
        <x:v>Kedah</x:v>
      </x:c>
      <x:c r="D23" s="117" t="str">
        <x:v>Identity and location corroborated</x:v>
      </x:c>
      <x:c r="E23" s="117" t="str">
        <x:v>https://www.openstreetmap.org/way/202285115</x:v>
      </x:c>
      <x:c r="F23" s="117" t="str">
        <x:v>Mapped source matches the attraction name or established alias and the stated Malaysian location. This verifies identity/location only; confirm current opening and accessibility separately.</x:v>
      </x:c>
    </x:row>
    <x:row r="24" ht="54" customHeight="1">
      <x:c r="A24" s="117" t="str">
        <x:v>MC0050</x:v>
      </x:c>
      <x:c r="B24" s="117" t="str">
        <x:v>Laman Padi Langkawi</x:v>
      </x:c>
      <x:c r="C24" s="117" t="str">
        <x:v>Kedah</x:v>
      </x:c>
      <x:c r="D24" s="117" t="str">
        <x:v>Identity and location corroborated</x:v>
      </x:c>
      <x:c r="E24" s="117" t="str">
        <x:v>https://www.openstreetmap.org/node/1384060917</x:v>
      </x:c>
      <x:c r="F24" s="117" t="str">
        <x:v>Mapped source matches the attraction name or established alias and the stated Malaysian location. This verifies identity/location only; confirm current opening and accessibility separately.</x:v>
      </x:c>
    </x:row>
    <x:row r="25" ht="54" customHeight="1">
      <x:c r="A25" s="117" t="str">
        <x:v>MC0051</x:v>
      </x:c>
      <x:c r="B25" s="117" t="str">
        <x:v>MARDI Langkawi Agro Technology Park</x:v>
      </x:c>
      <x:c r="C25" s="117" t="str">
        <x:v>Kedah</x:v>
      </x:c>
      <x:c r="D25" s="117" t="str">
        <x:v>Identity and location corroborated</x:v>
      </x:c>
      <x:c r="E25" s="117" t="str">
        <x:v>https://pbt.kedah.gov.my/wp-content/uploads/2024/09/KEDAH-TOURISM-DIRECTORY.pdf</x:v>
      </x:c>
      <x:c r="F25" s="117" t="str">
        <x:v>Official state tourism directory matches the attraction name or established alias and the stated Malaysian location. This verifies identity/location only; confirm current opening and accessibility separately.</x:v>
      </x:c>
    </x:row>
    <x:row r="26" ht="54" customHeight="1">
      <x:c r="A26" s="117" t="str">
        <x:v>MC0054</x:v>
      </x:c>
      <x:c r="B26" s="117" t="str">
        <x:v>Pekan Rabu Complex</x:v>
      </x:c>
      <x:c r="C26" s="117" t="str">
        <x:v>Kedah</x:v>
      </x:c>
      <x:c r="D26" s="117" t="str">
        <x:v>Identity and location corroborated</x:v>
      </x:c>
      <x:c r="E26" s="117" t="str">
        <x:v>https://www.waze.com/ms/live-map/directions/my/kedah/alor-setar/pekan-rabu-complex?to=place.ChIJB19a0L1ESzARL7ijN_Wf1AQ</x:v>
      </x:c>
      <x:c r="F26" s="117" t="str">
        <x:v>Mapped source matches the attraction name or established alias and the stated Malaysian location. This verifies identity/location only; confirm current opening and accessibility separately.</x:v>
      </x:c>
    </x:row>
    <x:row r="27" ht="54" customHeight="1">
      <x:c r="A27" s="117" t="str">
        <x:v>MC0060</x:v>
      </x:c>
      <x:c r="B27" s="117" t="str">
        <x:v>Lata Bayu Recreational Forest</x:v>
      </x:c>
      <x:c r="C27" s="117" t="str">
        <x:v>Kedah</x:v>
      </x:c>
      <x:c r="D27" s="117" t="str">
        <x:v>Identity and location corroborated</x:v>
      </x:c>
      <x:c r="E27" s="117" t="str">
        <x:v>https://www.kedah.gov.my/wp-content/uploads/2024/10/KEDAH-TOURISM-DIRECTORY.pdf</x:v>
      </x:c>
      <x:c r="F27" s="117" t="str">
        <x:v>Official state tourism directory matches the attraction name or established alias and the stated Malaysian location. This verifies identity/location only; confirm current opening and accessibility separately.</x:v>
      </x:c>
    </x:row>
    <x:row r="28" ht="54" customHeight="1">
      <x:c r="A28" s="117" t="str">
        <x:v>MC0062</x:v>
      </x:c>
      <x:c r="B28" s="117" t="str">
        <x:v>Beris Lake</x:v>
      </x:c>
      <x:c r="C28" s="117" t="str">
        <x:v>Kedah</x:v>
      </x:c>
      <x:c r="D28" s="117" t="str">
        <x:v>Identity and location corroborated</x:v>
      </x:c>
      <x:c r="E28" s="117" t="str">
        <x:v>https://kedahtourism.gov.my/wp-content/uploads/2024/09/Merged-20240803-025117_compressed-1.pdf</x:v>
      </x:c>
      <x:c r="F28" s="117" t="str">
        <x:v>Official state tourism directory matches the attraction name or established alias and the stated Malaysian location. This verifies identity/location only; confirm current opening and accessibility separately.</x:v>
      </x:c>
    </x:row>
    <x:row r="29" ht="54" customHeight="1">
      <x:c r="A29" s="117" t="str">
        <x:v>MC0063</x:v>
      </x:c>
      <x:c r="B29" s="117" t="str">
        <x:v>Sungai Sedim Tree Top Walk</x:v>
      </x:c>
      <x:c r="C29" s="117" t="str">
        <x:v>Kedah</x:v>
      </x:c>
      <x:c r="D29" s="117" t="str">
        <x:v>Identity and location corroborated</x:v>
      </x:c>
      <x:c r="E29" s="117" t="str">
        <x:v>https://www.malaysia.travel/explore/top-walk-sungai-sedim</x:v>
      </x:c>
      <x:c r="F29" s="117" t="str">
        <x:v>Tourism Malaysia matches the attraction name or established alias and the stated Malaysian location. This verifies identity/location only; confirm current opening and accessibility separately.</x:v>
      </x:c>
    </x:row>
    <x:row r="30" ht="54" customHeight="1">
      <x:c r="A30" s="117" t="str">
        <x:v>MC0064</x:v>
      </x:c>
      <x:c r="B30" s="117" t="str">
        <x:v>Pedu Lake</x:v>
      </x:c>
      <x:c r="C30" s="117" t="str">
        <x:v>Kedah</x:v>
      </x:c>
      <x:c r="D30" s="117" t="str">
        <x:v>Identity and location corroborated</x:v>
      </x:c>
      <x:c r="E30" s="117" t="str">
        <x:v>https://en.wikipedia.org/wiki/Pedu_Lake</x:v>
      </x:c>
      <x:c r="F30" s="117" t="str">
        <x:v>Encyclopedic source matches the attraction name or established alias and the stated Malaysian location. This verifies identity/location only; confirm current opening and accessibility separately.</x:v>
      </x:c>
    </x:row>
    <x:row r="31" ht="54" customHeight="1">
      <x:c r="A31" s="117" t="str">
        <x:v>MC0072</x:v>
      </x:c>
      <x:c r="B31" s="117" t="str">
        <x:v>Gunung Stong State Park</x:v>
      </x:c>
      <x:c r="C31" s="117" t="str">
        <x:v>Kelantan</x:v>
      </x:c>
      <x:c r="D31" s="117" t="str">
        <x:v>Identity and location corroborated</x:v>
      </x:c>
      <x:c r="E31" s="117" t="str">
        <x:v>https://www.mybis.gov.my/pa/54</x:v>
      </x:c>
      <x:c r="F31" s="117" t="str">
        <x:v>Official biodiversity database matches the attraction name or established alias and the stated Malaysian location. This verifies identity/location only; confirm current opening and accessibility separately.</x:v>
      </x:c>
    </x:row>
    <x:row r="32" ht="54" customHeight="1">
      <x:c r="A32" s="117" t="str">
        <x:v>MC0075</x:v>
      </x:c>
      <x:c r="B32" s="117" t="str">
        <x:v>Bank Kerapu War Museum</x:v>
      </x:c>
      <x:c r="C32" s="117" t="str">
        <x:v>Kelantan</x:v>
      </x:c>
      <x:c r="D32" s="117" t="str">
        <x:v>Identity and location corroborated</x:v>
      </x:c>
      <x:c r="E32" s="117" t="str">
        <x:v>https://www.malaysia.travel/explore/kelantan-the-soul-of-malaysia-s-east-coast</x:v>
      </x:c>
      <x:c r="F32" s="117" t="str">
        <x:v>Tourism Malaysia matches the attraction name or established alias and the stated Malaysian location. This verifies identity/location only; confirm current opening and accessibility separately.</x:v>
      </x:c>
    </x:row>
    <x:row r="33" ht="54" customHeight="1">
      <x:c r="A33" s="117" t="str">
        <x:v>MC0078</x:v>
      </x:c>
      <x:c r="B33" s="117" t="str">
        <x:v>Pantai Sri Tujuh</x:v>
      </x:c>
      <x:c r="C33" s="117" t="str">
        <x:v>Kelantan</x:v>
      </x:c>
      <x:c r="D33" s="117" t="str">
        <x:v>Identity and location corroborated</x:v>
      </x:c>
      <x:c r="E33" s="117" t="str">
        <x:v>https://www.openstreetmap.org/node/4461262389</x:v>
      </x:c>
      <x:c r="F33" s="117" t="str">
        <x:v>Mapped source matches the attraction name or established alias and the stated Malaysian location. This verifies identity/location only; confirm current opening and accessibility separately.</x:v>
      </x:c>
    </x:row>
    <x:row r="34" ht="54" customHeight="1">
      <x:c r="A34" s="117" t="str">
        <x:v>MC0079</x:v>
      </x:c>
      <x:c r="B34" s="117" t="str">
        <x:v>Pantai Senok</x:v>
      </x:c>
      <x:c r="C34" s="117" t="str">
        <x:v>Kelantan</x:v>
      </x:c>
      <x:c r="D34" s="117" t="str">
        <x:v>Identity and location corroborated</x:v>
      </x:c>
      <x:c r="E34" s="117" t="str">
        <x:v>https://ms.wikipedia.org/wiki/Kampung_Pantai_Senok</x:v>
      </x:c>
      <x:c r="F34" s="117" t="str">
        <x:v>Encyclopedic source matches the attraction name or established alias and the stated Malaysian location. This verifies identity/location only; confirm current opening and accessibility separately.</x:v>
      </x:c>
    </x:row>
    <x:row r="35" ht="54" customHeight="1">
      <x:c r="A35" s="117" t="str">
        <x:v>MC0081</x:v>
      </x:c>
      <x:c r="B35" s="117" t="str">
        <x:v>Tok Bali Beach</x:v>
      </x:c>
      <x:c r="C35" s="117" t="str">
        <x:v>Kelantan</x:v>
      </x:c>
      <x:c r="D35" s="117" t="str">
        <x:v>Identity and location corroborated</x:v>
      </x:c>
      <x:c r="E35" s="117" t="str">
        <x:v>https://kelgis.kelantan.gov.my/portal/apps/storymaps/stories/b892d1ca1df843c68aaffab0f0d7bf9c</x:v>
      </x:c>
      <x:c r="F35" s="117" t="str">
        <x:v>Official state geospatial source matches the attraction name or established alias and the stated Malaysian location. This verifies identity/location only; confirm current opening and accessibility separately.</x:v>
      </x:c>
    </x:row>
    <x:row r="36" ht="54" customHeight="1">
      <x:c r="A36" s="131" t="str">
        <x:v>MC0083</x:v>
      </x:c>
      <x:c r="B36" s="131" t="str">
        <x:v>Gua Musang Railway Heritage Precinct</x:v>
      </x:c>
      <x:c r="C36" s="131" t="str">
        <x:v>Kelantan</x:v>
      </x:c>
      <x:c r="D36" s="131" t="str">
        <x:v>Unverified constructed name / review for removal</x:v>
      </x:c>
      <x:c r="E36" s="131" t="str"/>
      <x:c r="F36" s="131" t="str">
        <x:v>No reliable source substantiated “Gua Musang Railway Heritage Precinct” as the formal name of a visitor attraction. Consider a separately sourced record for the old railway station if appropriate.</x:v>
      </x:c>
    </x:row>
    <x:row r="37" ht="54" customHeight="1">
      <x:c r="A37" s="117" t="str">
        <x:v>MC0085</x:v>
      </x:c>
      <x:c r="B37" s="117" t="str">
        <x:v>Pergau Lake</x:v>
      </x:c>
      <x:c r="C37" s="117" t="str">
        <x:v>Kelantan</x:v>
      </x:c>
      <x:c r="D37" s="117" t="str">
        <x:v>Identity and location corroborated</x:v>
      </x:c>
      <x:c r="E37" s="117" t="str">
        <x:v>https://pmc.ncbi.nlm.nih.gov/articles/PMC6396892/</x:v>
      </x:c>
      <x:c r="F37" s="117" t="str">
        <x:v>Peer-reviewed research source matches the attraction name or established alias and the stated Malaysian location. This verifies identity/location only; confirm current opening and accessibility separately.</x:v>
      </x:c>
    </x:row>
    <x:row r="38" ht="54" customHeight="1">
      <x:c r="A38" s="117" t="str">
        <x:v>MC0086</x:v>
      </x:c>
      <x:c r="B38" s="117" t="str">
        <x:v>Lata Janggut</x:v>
      </x:c>
      <x:c r="C38" s="117" t="str">
        <x:v>Kelantan</x:v>
      </x:c>
      <x:c r="D38" s="117" t="str">
        <x:v>Identity and location corroborated</x:v>
      </x:c>
      <x:c r="E38" s="117" t="str">
        <x:v>https://mdjeli.kelantan.gov.my/index.php/pelawat/destinasi-menarik-jeli/lata-janggut-batu-melintang-jeli</x:v>
      </x:c>
      <x:c r="F38" s="117" t="str">
        <x:v>Official municipal source matches the attraction name or established alias and the stated Malaysian location. This verifies identity/location only; confirm current opening and accessibility separately.</x:v>
      </x:c>
    </x:row>
    <x:row r="39" ht="54" customHeight="1">
      <x:c r="A39" s="131" t="str">
        <x:v>MC0087</x:v>
      </x:c>
      <x:c r="B39" s="131" t="str">
        <x:v>Bukit Bunga Border Market</x:v>
      </x:c>
      <x:c r="C39" s="131" t="str">
        <x:v>Kelantan</x:v>
      </x:c>
      <x:c r="D39" s="131" t="str">
        <x:v>Out of scope / insufficient evidence</x:v>
      </x:c>
      <x:c r="E39" s="131" t="str"/>
      <x:c r="F39" s="131" t="str">
        <x:v>The named border market was not substantiated as a distinct visitor attraction by a reliable source and falls outside the attractions-focused scope.</x:v>
      </x:c>
    </x:row>
    <x:row r="40" ht="54" customHeight="1">
      <x:c r="A40" s="117" t="str">
        <x:v>MC0095</x:v>
      </x:c>
      <x:c r="B40" s="117" t="str">
        <x:v>Melaka Sultanate Palace Museum</x:v>
      </x:c>
      <x:c r="C40" s="117" t="str">
        <x:v>Melaka</x:v>
      </x:c>
      <x:c r="D40" s="117" t="str">
        <x:v>Identity and location corroborated</x:v>
      </x:c>
      <x:c r="E40" s="117" t="str">
        <x:v>https://en.wikipedia.org/wiki/Malacca_Sultanate_Palace_Museum</x:v>
      </x:c>
      <x:c r="F40" s="117" t="str">
        <x:v>Encyclopedic source matches the attraction name or established alias and the stated Malaysian location. This verifies identity/location only; confirm current opening and accessibility separately.</x:v>
      </x:c>
    </x:row>
    <x:row r="41" ht="54" customHeight="1">
      <x:c r="A41" s="117" t="str">
        <x:v>MC0097</x:v>
      </x:c>
      <x:c r="B41" s="117" t="str">
        <x:v>Cheng Hoon Teng Temple</x:v>
      </x:c>
      <x:c r="C41" s="117" t="str">
        <x:v>Melaka</x:v>
      </x:c>
      <x:c r="D41" s="117" t="str">
        <x:v>Identity and location corroborated</x:v>
      </x:c>
      <x:c r="E41" s="117" t="str">
        <x:v>https://www.chenghoonteng.org.my/</x:v>
      </x:c>
      <x:c r="F41" s="117" t="str">
        <x:v>Venue/operator source matches the attraction name or established alias and the stated Malaysian location. This verifies identity/location only; confirm current opening and accessibility separately.</x:v>
      </x:c>
    </x:row>
    <x:row r="42" ht="54" customHeight="1">
      <x:c r="A42" s="117" t="str">
        <x:v>MC0098</x:v>
      </x:c>
      <x:c r="B42" s="117" t="str">
        <x:v>Melaka Botanical Garden</x:v>
      </x:c>
      <x:c r="C42" s="117" t="str">
        <x:v>Melaka</x:v>
      </x:c>
      <x:c r="D42" s="117" t="str">
        <x:v>Identity and location corroborated</x:v>
      </x:c>
      <x:c r="E42" s="117" t="str">
        <x:v>https://en.wikipedia.org/wiki/Malacca_Botanical_Garden</x:v>
      </x:c>
      <x:c r="F42" s="117" t="str">
        <x:v>Encyclopedic source matches the attraction name or established alias and the stated Malaysian location. This verifies identity/location only; confirm current opening and accessibility separately.</x:v>
      </x:c>
    </x:row>
    <x:row r="43" ht="54" customHeight="1">
      <x:c r="A43" s="117" t="str">
        <x:v>MC0100</x:v>
      </x:c>
      <x:c r="B43" s="117" t="str">
        <x:v>Christ Church Melaka</x:v>
      </x:c>
      <x:c r="C43" s="117" t="str">
        <x:v>Melaka</x:v>
      </x:c>
      <x:c r="D43" s="117" t="str">
        <x:v>Identity and location corroborated</x:v>
      </x:c>
      <x:c r="E43" s="117" t="str">
        <x:v>https://www.openstreetmap.org/node/2913710279</x:v>
      </x:c>
      <x:c r="F43" s="117" t="str">
        <x:v>Mapped source matches the attraction name or established alias and the stated Malaysian location. This verifies identity/location only; confirm current opening and accessibility separately.</x:v>
      </x:c>
    </x:row>
    <x:row r="44" ht="54" customHeight="1">
      <x:c r="A44" s="117" t="str">
        <x:v>MC0101</x:v>
      </x:c>
      <x:c r="B44" s="117" t="str">
        <x:v>St Paul's Hill and Church Ruins</x:v>
      </x:c>
      <x:c r="C44" s="117" t="str">
        <x:v>Melaka</x:v>
      </x:c>
      <x:c r="D44" s="117" t="str">
        <x:v>Identity and location corroborated</x:v>
      </x:c>
      <x:c r="E44" s="117" t="str">
        <x:v>https://www.toptenmalaysia.com/en/melaka/things-to-do/essential-attractions/</x:v>
      </x:c>
      <x:c r="F44" s="117" t="str">
        <x:v>Independent destination source matches the attraction name or established alias and the stated Malaysian location. This verifies identity/location only; confirm current opening and accessibility separately.</x:v>
      </x:c>
    </x:row>
    <x:row r="45" ht="54" customHeight="1">
      <x:c r="A45" s="117" t="str">
        <x:v>MC0102</x:v>
      </x:c>
      <x:c r="B45" s="117" t="str">
        <x:v>Kampung Kling Mosque</x:v>
      </x:c>
      <x:c r="C45" s="117" t="str">
        <x:v>Melaka</x:v>
      </x:c>
      <x:c r="D45" s="117" t="str">
        <x:v>Identity and location corroborated</x:v>
      </x:c>
      <x:c r="E45" s="117" t="str">
        <x:v>https://en.wikipedia.org/wiki/Kampung_Kling_Mosque</x:v>
      </x:c>
      <x:c r="F45" s="117" t="str">
        <x:v>Encyclopedic source matches the attraction name or established alias and the stated Malaysian location. This verifies identity/location only; confirm current opening and accessibility separately.</x:v>
      </x:c>
    </x:row>
    <x:row r="46" ht="54" customHeight="1">
      <x:c r="A46" s="117" t="str">
        <x:v>MC0104</x:v>
      </x:c>
      <x:c r="B46" s="117" t="str">
        <x:v>Melaka River Walk</x:v>
      </x:c>
      <x:c r="C46" s="117" t="str">
        <x:v>Melaka</x:v>
      </x:c>
      <x:c r="D46" s="117" t="str">
        <x:v>Identity and location corroborated</x:v>
      </x:c>
      <x:c r="E46" s="117" t="str">
        <x:v>https://www.alltrails.com/trail/malaysia/malacca/melaka-river-walk</x:v>
      </x:c>
      <x:c r="F46" s="117" t="str">
        <x:v>Mapped route source matches the attraction name or established alias and the stated Malaysian location. This verifies identity/location only; confirm current opening and accessibility separately.</x:v>
      </x:c>
    </x:row>
    <x:row r="47" ht="54" customHeight="1">
      <x:c r="A47" s="117" t="str">
        <x:v>MC0105</x:v>
      </x:c>
      <x:c r="B47" s="117" t="str">
        <x:v>Portuguese Settlement</x:v>
      </x:c>
      <x:c r="C47" s="117" t="str">
        <x:v>Melaka</x:v>
      </x:c>
      <x:c r="D47" s="117" t="str">
        <x:v>Identity and location corroborated</x:v>
      </x:c>
      <x:c r="E47" s="117" t="str">
        <x:v>https://www.visitmelaka.com.my/index.php/culture-heritagemenu/image-posts-culture-heritage/42-portuguese-community</x:v>
      </x:c>
      <x:c r="F47" s="117" t="str">
        <x:v>Official state tourism source matches the attraction name or established alias and the stated Malaysian location. This verifies identity/location only; confirm current opening and accessibility separately.</x:v>
      </x:c>
    </x:row>
    <x:row r="48" ht="54" customHeight="1">
      <x:c r="A48" s="117" t="str">
        <x:v>MC0106</x:v>
      </x:c>
      <x:c r="B48" s="117" t="str">
        <x:v>Melaka Butterfly and Reptile Sanctuary</x:v>
      </x:c>
      <x:c r="C48" s="117" t="str">
        <x:v>Melaka</x:v>
      </x:c>
      <x:c r="D48" s="117" t="str">
        <x:v>Identity and location corroborated</x:v>
      </x:c>
      <x:c r="E48" s="117" t="str">
        <x:v>https://en.wikipedia.org/wiki/Melaka_Butterfly_and_Reptile_Sanctuary</x:v>
      </x:c>
      <x:c r="F48" s="117" t="str">
        <x:v>Encyclopedic source matches the attraction name or established alias and the stated Malaysian location. This verifies identity/location only; confirm current opening and accessibility separately.</x:v>
      </x:c>
    </x:row>
    <x:row r="49" ht="54" customHeight="1">
      <x:c r="A49" s="117" t="str">
        <x:v>MC0108</x:v>
      </x:c>
      <x:c r="B49" s="117" t="str">
        <x:v>Melaka Planetarium Adventure Science Centre</x:v>
      </x:c>
      <x:c r="C49" s="117" t="str">
        <x:v>Melaka</x:v>
      </x:c>
      <x:c r="D49" s="117" t="str">
        <x:v>Identity and location corroborated</x:v>
      </x:c>
      <x:c r="E49" s="117" t="str">
        <x:v>https://en.wikipedia.org/wiki/Melaka_Planetarium</x:v>
      </x:c>
      <x:c r="F49" s="117" t="str">
        <x:v>Encyclopedic source matches the attraction name or established alias and the stated Malaysian location. This verifies identity/location only; confirm current opening and accessibility separately.</x:v>
      </x:c>
    </x:row>
    <x:row r="50" ht="54" customHeight="1">
      <x:c r="A50" s="117" t="str">
        <x:v>MC0109</x:v>
      </x:c>
      <x:c r="B50" s="117" t="str">
        <x:v>A'Famosa Safari Wonderland</x:v>
      </x:c>
      <x:c r="C50" s="117" t="str">
        <x:v>Melaka</x:v>
      </x:c>
      <x:c r="D50" s="117" t="str">
        <x:v>Identity and location corroborated</x:v>
      </x:c>
      <x:c r="E50" s="117" t="str">
        <x:v>https://www.afamosa.com/safari-wonderland</x:v>
      </x:c>
      <x:c r="F50" s="117" t="str">
        <x:v>Venue/operator source matches the attraction name or established alias and the stated Malaysian location. This verifies identity/location only; confirm current opening and accessibility separately.</x:v>
      </x:c>
    </x:row>
    <x:row r="51" ht="54" customHeight="1">
      <x:c r="A51" s="117" t="str">
        <x:v>MC0111</x:v>
      </x:c>
      <x:c r="B51" s="117" t="str">
        <x:v>Jasin Hot Springs</x:v>
      </x:c>
      <x:c r="C51" s="117" t="str">
        <x:v>Melaka</x:v>
      </x:c>
      <x:c r="D51" s="117" t="str">
        <x:v>Identity and location corroborated</x:v>
      </x:c>
      <x:c r="E51" s="117" t="str">
        <x:v>https://www.openstreetmap.org/node/4979314046</x:v>
      </x:c>
      <x:c r="F51" s="117" t="str">
        <x:v>Mapped source matches the attraction name or established alias and the stated Malaysian location. This verifies identity/location only; confirm current opening and accessibility separately.</x:v>
      </x:c>
    </x:row>
    <x:row r="52" ht="54" customHeight="1">
      <x:c r="A52" s="117" t="str">
        <x:v>MC0123</x:v>
      </x:c>
      <x:c r="B52" s="117" t="str">
        <x:v>Taman Tasik Seremban</x:v>
      </x:c>
      <x:c r="C52" s="117" t="str">
        <x:v>Negeri Sembilan</x:v>
      </x:c>
      <x:c r="D52" s="117" t="str">
        <x:v>Identity and location corroborated</x:v>
      </x:c>
      <x:c r="E52" s="117" t="str">
        <x:v>https://www.openstreetmap.org/way/544124532</x:v>
      </x:c>
      <x:c r="F52" s="117" t="str">
        <x:v>Mapped source matches the attraction name or established alias and the stated Malaysian location. This verifies identity/location only; confirm current opening and accessibility separately.</x:v>
      </x:c>
    </x:row>
    <x:row r="53" ht="54" customHeight="1">
      <x:c r="A53" s="117" t="str">
        <x:v>MC0129</x:v>
      </x:c>
      <x:c r="B53" s="117" t="str">
        <x:v>Seri Menanti Royal Museum</x:v>
      </x:c>
      <x:c r="C53" s="117" t="str">
        <x:v>Negeri Sembilan</x:v>
      </x:c>
      <x:c r="D53" s="117" t="str">
        <x:v>Identity and location corroborated</x:v>
      </x:c>
      <x:c r="E53" s="117" t="str">
        <x:v>https://n9tourism.ns.gov.my/en/destination/kuala-pilah/</x:v>
      </x:c>
      <x:c r="F53" s="117" t="str">
        <x:v>Official state tourism source matches the attraction name or established alias and the stated Malaysian location. This verifies identity/location only; confirm current opening and accessibility separately.</x:v>
      </x:c>
    </x:row>
    <x:row r="54" ht="54" customHeight="1">
      <x:c r="A54" s="117" t="str">
        <x:v>MC0135</x:v>
      </x:c>
      <x:c r="B54" s="117" t="str">
        <x:v>De Bana Recreational Forest</x:v>
      </x:c>
      <x:c r="C54" s="117" t="str">
        <x:v>Negeri Sembilan</x:v>
      </x:c>
      <x:c r="D54" s="117" t="str">
        <x:v>Identity and location corroborated</x:v>
      </x:c>
      <x:c r="E54" s="117" t="str">
        <x:v>https://n9tourism.ns.gov.my/en/explore/eco-tourism/</x:v>
      </x:c>
      <x:c r="F54" s="117" t="str">
        <x:v>Official state tourism source matches the attraction name or established alias and the stated Malaysian location. This verifies identity/location only; confirm current opening and accessibility separately.</x:v>
      </x:c>
    </x:row>
    <x:row r="55" ht="54" customHeight="1">
      <x:c r="A55" s="131" t="str">
        <x:v>MC0139</x:v>
      </x:c>
      <x:c r="B55" s="131" t="str">
        <x:v>Gemas Railway Station Heritage Precinct</x:v>
      </x:c>
      <x:c r="C55" s="131" t="str">
        <x:v>Negeri Sembilan</x:v>
      </x:c>
      <x:c r="D55" s="131" t="str">
        <x:v>Unverified constructed name / review for removal</x:v>
      </x:c>
      <x:c r="E55" s="131" t="str"/>
      <x:c r="F55" s="131" t="str">
        <x:v>No reliable source substantiated “Gemas Railway Station Heritage Precinct” as the formal name of a visitor attraction.</x:v>
      </x:c>
    </x:row>
    <x:row r="56" ht="54" customHeight="1">
      <x:c r="A56" s="117" t="str">
        <x:v>MC0147</x:v>
      </x:c>
      <x:c r="B56" s="117" t="str">
        <x:v>Colmar Tropicale</x:v>
      </x:c>
      <x:c r="C56" s="117" t="str">
        <x:v>Pahang</x:v>
      </x:c>
      <x:c r="D56" s="117" t="str">
        <x:v>Identity and location corroborated</x:v>
      </x:c>
      <x:c r="E56" s="117" t="str">
        <x:v>https://en.wikipedia.org/wiki/Colmar_Tropicale</x:v>
      </x:c>
      <x:c r="F56" s="117" t="str">
        <x:v>Encyclopedic source matches the attraction name or established alias and the stated Malaysian location. This verifies identity/location only; confirm current opening and accessibility separately.</x:v>
      </x:c>
    </x:row>
    <x:row r="57" ht="54" customHeight="1">
      <x:c r="A57" s="117" t="str">
        <x:v>MC0149</x:v>
      </x:c>
      <x:c r="B57" s="117" t="str">
        <x:v>Mossy Forest</x:v>
      </x:c>
      <x:c r="C57" s="117" t="str">
        <x:v>Pahang</x:v>
      </x:c>
      <x:c r="D57" s="117" t="str">
        <x:v>Identity and location corroborated</x:v>
      </x:c>
      <x:c r="E57" s="117" t="str">
        <x:v>https://forestry.pahang.gov.my/index.php/en/eko-rimba-daerah-cameron-highlands/taman-eko-rimba-mossy-forest</x:v>
      </x:c>
      <x:c r="F57" s="117" t="str">
        <x:v>Official forestry source matches the attraction name or established alias and the stated Malaysian location. This verifies identity/location only; confirm current opening and accessibility separately.</x:v>
      </x:c>
    </x:row>
    <x:row r="58" ht="54" customHeight="1">
      <x:c r="A58" s="117" t="str">
        <x:v>MC0151</x:v>
      </x:c>
      <x:c r="B58" s="117" t="str">
        <x:v>Taman Esplanade Kuantan</x:v>
      </x:c>
      <x:c r="C58" s="117" t="str">
        <x:v>Pahang</x:v>
      </x:c>
      <x:c r="D58" s="117" t="str">
        <x:v>Identity and location corroborated</x:v>
      </x:c>
      <x:c r="E58" s="117" t="str">
        <x:v>https://www.openstreetmap.org/way/556273183</x:v>
      </x:c>
      <x:c r="F58" s="117" t="str">
        <x:v>Mapped source matches the attraction name or established alias and the stated Malaysian location. This verifies identity/location only; confirm current opening and accessibility separately.</x:v>
      </x:c>
    </x:row>
    <x:row r="59" ht="54" customHeight="1">
      <x:c r="A59" s="117" t="str">
        <x:v>MC0153</x:v>
      </x:c>
      <x:c r="B59" s="117" t="str">
        <x:v>Pulau Keladi Cultural Village</x:v>
      </x:c>
      <x:c r="C59" s="117" t="str">
        <x:v>Pahang</x:v>
      </x:c>
      <x:c r="D59" s="117" t="str">
        <x:v>Identity and location corroborated</x:v>
      </x:c>
      <x:c r="E59" s="117" t="str">
        <x:v>https://www.pahangtourism.org.my/tic/index_files/Page532.htm</x:v>
      </x:c>
      <x:c r="F59" s="117" t="str">
        <x:v>Official state tourism source matches the attraction name or established alias and the stated Malaysian location. This verifies identity/location only; confirm current opening and accessibility separately.</x:v>
      </x:c>
    </x:row>
    <x:row r="60" ht="54" customHeight="1">
      <x:c r="A60" s="117" t="str">
        <x:v>MC0157</x:v>
      </x:c>
      <x:c r="B60" s="117" t="str">
        <x:v>Juara Turtle Project</x:v>
      </x:c>
      <x:c r="C60" s="117" t="str">
        <x:v>Pahang</x:v>
      </x:c>
      <x:c r="D60" s="117" t="str">
        <x:v>Identity and location corroborated</x:v>
      </x:c>
      <x:c r="E60" s="117" t="str">
        <x:v>https://www.openstreetmap.org/way/1278534604</x:v>
      </x:c>
      <x:c r="F60" s="117" t="str">
        <x:v>Mapped source matches the attraction name or established alias and the stated Malaysian location. This verifies identity/location only; confirm current opening and accessibility separately.</x:v>
      </x:c>
    </x:row>
    <x:row r="61" ht="54" customHeight="1">
      <x:c r="A61" s="117" t="str">
        <x:v>MC0158</x:v>
      </x:c>
      <x:c r="B61" s="117" t="str">
        <x:v>Asah Waterfall</x:v>
      </x:c>
      <x:c r="C61" s="117" t="str">
        <x:v>Pahang</x:v>
      </x:c>
      <x:c r="D61" s="117" t="str">
        <x:v>Identity and location corroborated</x:v>
      </x:c>
      <x:c r="E61" s="117" t="str">
        <x:v>https://www.openstreetmap.org/node/2510318350</x:v>
      </x:c>
      <x:c r="F61" s="117" t="str">
        <x:v>Mapped source matches the attraction name or established alias and the stated Malaysian location. This verifies identity/location only; confirm current opening and accessibility separately.</x:v>
      </x:c>
    </x:row>
    <x:row r="62" ht="54" customHeight="1">
      <x:c r="A62" s="117" t="str">
        <x:v>MC0160</x:v>
      </x:c>
      <x:c r="B62" s="117" t="str">
        <x:v>Canopy Walkway Taman Negara</x:v>
      </x:c>
      <x:c r="C62" s="117" t="str">
        <x:v>Pahang</x:v>
      </x:c>
      <x:c r="D62" s="117" t="str">
        <x:v>Identity and location corroborated</x:v>
      </x:c>
      <x:c r="E62" s="117" t="str">
        <x:v>https://www.tamannegara.my/v1/index.php?Itemid=126&amp;id=58&amp;option=com_content&amp;view=article</x:v>
      </x:c>
      <x:c r="F62" s="117" t="str">
        <x:v>Destination/operator source matches the attraction name or established alias and the stated Malaysian location. This verifies identity/location only; confirm current opening and accessibility separately.</x:v>
      </x:c>
    </x:row>
    <x:row r="63" ht="54" customHeight="1">
      <x:c r="A63" s="117" t="str">
        <x:v>MC0162</x:v>
      </x:c>
      <x:c r="B63" s="117" t="str">
        <x:v>Kuala Gandah National Elephant Conservation Centre</x:v>
      </x:c>
      <x:c r="C63" s="117" t="str">
        <x:v>Pahang</x:v>
      </x:c>
      <x:c r="D63" s="117" t="str">
        <x:v>Identity and location corroborated</x:v>
      </x:c>
      <x:c r="E63" s="117" t="str">
        <x:v>https://www.wildlife.gov.my/en/pusat-konservasi-gajah-kebangsaan-kuala-gandah/</x:v>
      </x:c>
      <x:c r="F63" s="117" t="str">
        <x:v>Official wildlife department source matches the attraction name or established alias and the stated Malaysian location. This verifies identity/location only; confirm current opening and accessibility separately.</x:v>
      </x:c>
    </x:row>
    <x:row r="64" ht="54" customHeight="1">
      <x:c r="A64" s="117" t="str">
        <x:v>MC0163</x:v>
      </x:c>
      <x:c r="B64" s="117" t="str">
        <x:v>Deerland Park</x:v>
      </x:c>
      <x:c r="C64" s="117" t="str">
        <x:v>Pahang</x:v>
      </x:c>
      <x:c r="D64" s="117" t="str">
        <x:v>Identity and location corroborated</x:v>
      </x:c>
      <x:c r="E64" s="117" t="str">
        <x:v>https://www.openstreetmap.org/node/2629607817</x:v>
      </x:c>
      <x:c r="F64" s="117" t="str">
        <x:v>Mapped source matches the attraction name or established alias and the stated Malaysian location. This verifies identity/location only; confirm current opening and accessibility separately.</x:v>
      </x:c>
    </x:row>
    <x:row r="65" ht="54" customHeight="1">
      <x:c r="A65" s="117" t="str">
        <x:v>MC0164</x:v>
      </x:c>
      <x:c r="B65" s="117" t="str">
        <x:v>Chamang Waterfall</x:v>
      </x:c>
      <x:c r="C65" s="117" t="str">
        <x:v>Pahang</x:v>
      </x:c>
      <x:c r="D65" s="117" t="str">
        <x:v>Identity and location corroborated</x:v>
      </x:c>
      <x:c r="E65" s="117" t="str">
        <x:v>https://www.openstreetmap.org/node/4111876523</x:v>
      </x:c>
      <x:c r="F65" s="117" t="str">
        <x:v>Mapped source matches the attraction name or established alias and the stated Malaysian location. This verifies identity/location only; confirm current opening and accessibility separately.</x:v>
      </x:c>
    </x:row>
    <x:row r="66" ht="54" customHeight="1">
      <x:c r="A66" s="117" t="str">
        <x:v>MC0165</x:v>
      </x:c>
      <x:c r="B66" s="117" t="str">
        <x:v>Bentong Walk</x:v>
      </x:c>
      <x:c r="C66" s="117" t="str">
        <x:v>Pahang</x:v>
      </x:c>
      <x:c r="D66" s="117" t="str">
        <x:v>Identity and location corroborated</x:v>
      </x:c>
      <x:c r="E66" s="117" t="str">
        <x:v>https://www.openstreetmap.org/way/1019175657</x:v>
      </x:c>
      <x:c r="F66" s="117" t="str">
        <x:v>Mapped source matches the attraction name or established alias and the stated Malaysian location. This verifies identity/location only; confirm current opening and accessibility separately.</x:v>
      </x:c>
    </x:row>
    <x:row r="67" ht="54" customHeight="1">
      <x:c r="A67" s="117" t="str">
        <x:v>MC0167</x:v>
      </x:c>
      <x:c r="B67" s="117" t="str">
        <x:v>Boh Sungei Palas Tea Centre</x:v>
      </x:c>
      <x:c r="C67" s="117" t="str">
        <x:v>Pahang</x:v>
      </x:c>
      <x:c r="D67" s="117" t="str">
        <x:v>Identity and location corroborated</x:v>
      </x:c>
      <x:c r="E67" s="117" t="str">
        <x:v>https://bohtea.com/visit-our-tea-gardens/sungei-palas-tea-garden/</x:v>
      </x:c>
      <x:c r="F67" s="117" t="str">
        <x:v>Venue/operator source matches the attraction name or established alias and the stated Malaysian location. This verifies identity/location only; confirm current opening and accessibility separately.</x:v>
      </x:c>
    </x:row>
    <x:row r="68" ht="54" customHeight="1">
      <x:c r="A68" s="117" t="str">
        <x:v>MC0169</x:v>
      </x:c>
      <x:c r="B68" s="117" t="str">
        <x:v>Lubuk Yu Recreational Forest</x:v>
      </x:c>
      <x:c r="C68" s="117" t="str">
        <x:v>Pahang</x:v>
      </x:c>
      <x:c r="D68" s="117" t="str">
        <x:v>Identity and location corroborated</x:v>
      </x:c>
      <x:c r="E68" s="117" t="str">
        <x:v>https://www.thestar.com.my/news/community/2010/12/29/lubuk-yu-incident-emphasises-need-for-hygiene-and-cleanliness</x:v>
      </x:c>
      <x:c r="F68" s="117" t="str">
        <x:v>Independent news source; identity only matches the attraction name or established alias and the stated Malaysian location. This verifies identity/location only; confirm current opening and accessibility separately. The source does not establish current visitor operation.</x:v>
      </x:c>
    </x:row>
    <x:row r="69" ht="54" customHeight="1">
      <x:c r="A69" s="117" t="str">
        <x:v>MC0178</x:v>
      </x:c>
      <x:c r="B69" s="117" t="str">
        <x:v>Batu Ferringhi Beach</x:v>
      </x:c>
      <x:c r="C69" s="117" t="str">
        <x:v>Penang</x:v>
      </x:c>
      <x:c r="D69" s="117" t="str">
        <x:v>Identity and location corroborated</x:v>
      </x:c>
      <x:c r="E69" s="117" t="str">
        <x:v>https://www.visitpenang.com/attractions/batu-ferringhi-beach</x:v>
      </x:c>
      <x:c r="F69" s="117" t="str">
        <x:v>Official destination source matches the attraction name or established alias and the stated Malaysian location. This verifies identity/location only; confirm current opening and accessibility separately.</x:v>
      </x:c>
    </x:row>
    <x:row r="70" ht="54" customHeight="1">
      <x:c r="A70" s="117" t="str">
        <x:v>MC0181</x:v>
      </x:c>
      <x:c r="B70" s="117" t="str">
        <x:v>Khoo Kongsi</x:v>
      </x:c>
      <x:c r="C70" s="117" t="str">
        <x:v>Penang</x:v>
      </x:c>
      <x:c r="D70" s="117" t="str">
        <x:v>Identity and location corroborated</x:v>
      </x:c>
      <x:c r="E70" s="117" t="str">
        <x:v>https://en.wikipedia.org/wiki/Khoo_Kongsi</x:v>
      </x:c>
      <x:c r="F70" s="117" t="str">
        <x:v>Encyclopedic source matches the attraction name or established alias and the stated Malaysian location. This verifies identity/location only; confirm current opening and accessibility separately.</x:v>
      </x:c>
    </x:row>
    <x:row r="71" ht="54" customHeight="1">
      <x:c r="A71" s="117" t="str">
        <x:v>MC0182</x:v>
      </x:c>
      <x:c r="B71" s="117" t="str">
        <x:v>Cheong Fatt Tze Mansion</x:v>
      </x:c>
      <x:c r="C71" s="117" t="str">
        <x:v>Penang</x:v>
      </x:c>
      <x:c r="D71" s="117" t="str">
        <x:v>Identity and location corroborated</x:v>
      </x:c>
      <x:c r="E71" s="117" t="str">
        <x:v>https://en.wikipedia.org/wiki/Cheong_Fatt_Tze_Mansion</x:v>
      </x:c>
      <x:c r="F71" s="117" t="str">
        <x:v>Encyclopedic source matches the attraction name or established alias and the stated Malaysian location. This verifies identity/location only; confirm current opening and accessibility separately.</x:v>
      </x:c>
    </x:row>
    <x:row r="72" ht="54" customHeight="1">
      <x:c r="A72" s="117" t="str">
        <x:v>MC0183</x:v>
      </x:c>
      <x:c r="B72" s="117" t="str">
        <x:v>Fort Cornwallis</x:v>
      </x:c>
      <x:c r="C72" s="117" t="str">
        <x:v>Penang</x:v>
      </x:c>
      <x:c r="D72" s="117" t="str">
        <x:v>Identity and location corroborated</x:v>
      </x:c>
      <x:c r="E72" s="117" t="str">
        <x:v>https://en.wikipedia.org/wiki/Fort_Cornwallis</x:v>
      </x:c>
      <x:c r="F72" s="117" t="str">
        <x:v>Encyclopedic source matches the attraction name or established alias and the stated Malaysian location. This verifies identity/location only; confirm current opening and accessibility separately.</x:v>
      </x:c>
    </x:row>
    <x:row r="73" ht="54" customHeight="1">
      <x:c r="A73" s="117" t="str">
        <x:v>MC0186</x:v>
      </x:c>
      <x:c r="B73" s="117" t="str">
        <x:v>Hin Bus Depot</x:v>
      </x:c>
      <x:c r="C73" s="117" t="str">
        <x:v>Penang</x:v>
      </x:c>
      <x:c r="D73" s="117" t="str">
        <x:v>Identity and location corroborated</x:v>
      </x:c>
      <x:c r="E73" s="117" t="str">
        <x:v>https://en.wikipedia.org/wiki/Hin_Bus_Depot</x:v>
      </x:c>
      <x:c r="F73" s="117" t="str">
        <x:v>Encyclopedic source matches the attraction name or established alias and the stated Malaysian location. This verifies identity/location only; confirm current opening and accessibility separately.</x:v>
      </x:c>
    </x:row>
    <x:row r="74" ht="54" customHeight="1">
      <x:c r="A74" s="117" t="str">
        <x:v>MC0187</x:v>
      </x:c>
      <x:c r="B74" s="117" t="str">
        <x:v>Air Itam Market</x:v>
      </x:c>
      <x:c r="C74" s="117" t="str">
        <x:v>Penang</x:v>
      </x:c>
      <x:c r="D74" s="117" t="str">
        <x:v>Identity and location corroborated</x:v>
      </x:c>
      <x:c r="E74" s="117" t="str">
        <x:v>https://www.openstreetmap.org/way/276694685</x:v>
      </x:c>
      <x:c r="F74" s="117" t="str">
        <x:v>Mapped source matches the attraction name or established alias and the stated Malaysian location. This verifies identity/location only; confirm current opening and accessibility separately.</x:v>
      </x:c>
    </x:row>
    <x:row r="75" ht="54" customHeight="1">
      <x:c r="A75" s="117" t="str">
        <x:v>MC0188</x:v>
      </x:c>
      <x:c r="B75" s="117" t="str">
        <x:v>Saanen Dairy Goat Farm</x:v>
      </x:c>
      <x:c r="C75" s="117" t="str">
        <x:v>Penang</x:v>
      </x:c>
      <x:c r="D75" s="117" t="str">
        <x:v>Identity and location corroborated</x:v>
      </x:c>
      <x:c r="E75" s="117" t="str">
        <x:v>https://www.openstreetmap.org/node/4216005491</x:v>
      </x:c>
      <x:c r="F75" s="117" t="str">
        <x:v>Mapped source matches the attraction name or established alias and the stated Malaysian location. This verifies identity/location only; confirm current opening and accessibility separately.</x:v>
      </x:c>
    </x:row>
    <x:row r="76" ht="54" customHeight="1">
      <x:c r="A76" s="117" t="str">
        <x:v>MC0190</x:v>
      </x:c>
      <x:c r="B76" s="117" t="str">
        <x:v>Penang War Museum</x:v>
      </x:c>
      <x:c r="C76" s="117" t="str">
        <x:v>Penang</x:v>
      </x:c>
      <x:c r="D76" s="117" t="str">
        <x:v>Identity and location corroborated</x:v>
      </x:c>
      <x:c r="E76" s="117" t="str">
        <x:v>https://www.openstreetmap.org/node/1928907661</x:v>
      </x:c>
      <x:c r="F76" s="117" t="str">
        <x:v>Mapped source matches the attraction name or established alias and the stated Malaysian location. This verifies identity/location only; confirm current opening and accessibility separately.</x:v>
      </x:c>
    </x:row>
    <x:row r="77" ht="54" customHeight="1">
      <x:c r="A77" s="117" t="str">
        <x:v>MC0191</x:v>
      </x:c>
      <x:c r="B77" s="117" t="str">
        <x:v>Snake Temple</x:v>
      </x:c>
      <x:c r="C77" s="117" t="str">
        <x:v>Penang</x:v>
      </x:c>
      <x:c r="D77" s="117" t="str">
        <x:v>Identity and location corroborated</x:v>
      </x:c>
      <x:c r="E77" s="117" t="str">
        <x:v>https://en.wikipedia.org/wiki/Snake_Temple</x:v>
      </x:c>
      <x:c r="F77" s="117" t="str">
        <x:v>Encyclopedic source matches the attraction name or established alias and the stated Malaysian location. This verifies identity/location only; confirm current opening and accessibility separately.</x:v>
      </x:c>
    </x:row>
    <x:row r="78" ht="54" customHeight="1">
      <x:c r="A78" s="117" t="str">
        <x:v>MC0193</x:v>
      </x:c>
      <x:c r="B78" s="117" t="str">
        <x:v>Mengkuang Dam</x:v>
      </x:c>
      <x:c r="C78" s="117" t="str">
        <x:v>Penang</x:v>
      </x:c>
      <x:c r="D78" s="117" t="str">
        <x:v>Identity and location corroborated</x:v>
      </x:c>
      <x:c r="E78" s="117" t="str">
        <x:v>https://en.wikipedia.org/wiki/Mengkuang_Dam</x:v>
      </x:c>
      <x:c r="F78" s="117" t="str">
        <x:v>Encyclopedic source matches the attraction name or established alias and the stated Malaysian location. This verifies identity/location only; confirm current opening and accessibility separately.</x:v>
      </x:c>
    </x:row>
    <x:row r="79" ht="54" customHeight="1">
      <x:c r="A79" s="117" t="str">
        <x:v>MC0199</x:v>
      </x:c>
      <x:c r="B79" s="117" t="str">
        <x:v>Ipoh Old Town</x:v>
      </x:c>
      <x:c r="C79" s="117" t="str">
        <x:v>Perak</x:v>
      </x:c>
      <x:c r="D79" s="117" t="str">
        <x:v>Identity and location corroborated</x:v>
      </x:c>
      <x:c r="E79" s="117" t="str">
        <x:v>https://www.openstreetmap.org/way/788092915</x:v>
      </x:c>
      <x:c r="F79" s="117" t="str">
        <x:v>Mapped source matches the attraction name or established alias and the stated Malaysian location. This verifies identity/location only; confirm current opening and accessibility separately.</x:v>
      </x:c>
    </x:row>
    <x:row r="80" ht="54" customHeight="1">
      <x:c r="A80" s="117" t="str">
        <x:v>MC0202</x:v>
      </x:c>
      <x:c r="B80" s="117" t="str">
        <x:v>Perak Cave Temple</x:v>
      </x:c>
      <x:c r="C80" s="117" t="str">
        <x:v>Perak</x:v>
      </x:c>
      <x:c r="D80" s="117" t="str">
        <x:v>Identity and location corroborated</x:v>
      </x:c>
      <x:c r="E80" s="117" t="str">
        <x:v>https://www.openstreetmap.org/node/13565867819</x:v>
      </x:c>
      <x:c r="F80" s="117" t="str">
        <x:v>Mapped source matches the attraction name or established alias and the stated Malaysian location. This verifies identity/location only; confirm current opening and accessibility separately.</x:v>
      </x:c>
    </x:row>
    <x:row r="81" ht="54" customHeight="1">
      <x:c r="A81" s="117" t="str">
        <x:v>MC0205</x:v>
      </x:c>
      <x:c r="B81" s="117" t="str">
        <x:v>Ipoh Old Town Heritage Trail</x:v>
      </x:c>
      <x:c r="C81" s="117" t="str">
        <x:v>Perak</x:v>
      </x:c>
      <x:c r="D81" s="117" t="str">
        <x:v>Identity and location corroborated</x:v>
      </x:c>
      <x:c r="E81" s="117" t="str">
        <x:v>https://db.ipohworld.org/photo/pdf/3875_pt1kj140616.pdf</x:v>
      </x:c>
      <x:c r="F81" s="117" t="str">
        <x:v>Local heritage database matches the attraction name or established alias and the stated Malaysian location. This verifies identity/location only; confirm current opening and accessibility separately.</x:v>
      </x:c>
    </x:row>
    <x:row r="82" ht="54" customHeight="1">
      <x:c r="A82" s="117" t="str">
        <x:v>MC0206</x:v>
      </x:c>
      <x:c r="B82" s="117" t="str">
        <x:v>Han Chin Pet Soo</x:v>
      </x:c>
      <x:c r="C82" s="117" t="str">
        <x:v>Perak</x:v>
      </x:c>
      <x:c r="D82" s="117" t="str">
        <x:v>Identity and location corroborated</x:v>
      </x:c>
      <x:c r="E82" s="117" t="str">
        <x:v>https://en.wikipedia.org/wiki/Han_Chin_Pet_Soo</x:v>
      </x:c>
      <x:c r="F82" s="117" t="str">
        <x:v>Encyclopedic source matches the attraction name or established alias and the stated Malaysian location. This verifies identity/location only; confirm current opening and accessibility separately.</x:v>
      </x:c>
    </x:row>
    <x:row r="83" ht="54" customHeight="1">
      <x:c r="A83" s="117" t="str">
        <x:v>MC0207</x:v>
      </x:c>
      <x:c r="B83" s="117" t="str">
        <x:v>Ho Yan Hor Museum</x:v>
      </x:c>
      <x:c r="C83" s="117" t="str">
        <x:v>Perak</x:v>
      </x:c>
      <x:c r="D83" s="117" t="str">
        <x:v>Identity and location corroborated</x:v>
      </x:c>
      <x:c r="E83" s="117" t="str">
        <x:v>https://hyhmuseum.com/</x:v>
      </x:c>
      <x:c r="F83" s="117" t="str">
        <x:v>Venue/operator source matches the attraction name or established alias and the stated Malaysian location. This verifies identity/location only; confirm current opening and accessibility separately.</x:v>
      </x:c>
    </x:row>
    <x:row r="84" ht="54" customHeight="1">
      <x:c r="A84" s="117" t="str">
        <x:v>MC0218</x:v>
      </x:c>
      <x:c r="B84" s="117" t="str">
        <x:v>Ulu Geroh Rafflesia Trail</x:v>
      </x:c>
      <x:c r="C84" s="117" t="str">
        <x:v>Perak</x:v>
      </x:c>
      <x:c r="D84" s="117" t="str">
        <x:v>Identity and location corroborated</x:v>
      </x:c>
      <x:c r="E84" s="117" t="str">
        <x:v>https://www.journeymalaysia.com/raingopengrafflesiatrek.htm</x:v>
      </x:c>
      <x:c r="F84" s="117" t="str">
        <x:v>Independent destination source matches the attraction name or established alias and the stated Malaysian location. This verifies identity/location only; confirm current opening and accessibility separately.</x:v>
      </x:c>
    </x:row>
    <x:row r="85" ht="54" customHeight="1">
      <x:c r="A85" s="117" t="str">
        <x:v>MC0220</x:v>
      </x:c>
      <x:c r="B85" s="117" t="str">
        <x:v>Temengor Lake</x:v>
      </x:c>
      <x:c r="C85" s="117" t="str">
        <x:v>Perak</x:v>
      </x:c>
      <x:c r="D85" s="117" t="str">
        <x:v>Identity and location corroborated</x:v>
      </x:c>
      <x:c r="E85" s="117" t="str">
        <x:v>https://www.openstreetmap.org/relation/1166452</x:v>
      </x:c>
      <x:c r="F85" s="117" t="str">
        <x:v>Mapped source matches the attraction name or established alias and the stated Malaysian location. This verifies identity/location only; confirm current opening and accessibility separately.</x:v>
      </x:c>
    </x:row>
    <x:row r="86" ht="54" customHeight="1">
      <x:c r="A86" s="117" t="str">
        <x:v>MC0222</x:v>
      </x:c>
      <x:c r="B86" s="117" t="str">
        <x:v>Dutch Fort Pangkor</x:v>
      </x:c>
      <x:c r="C86" s="117" t="str">
        <x:v>Perak</x:v>
      </x:c>
      <x:c r="D86" s="117" t="str">
        <x:v>Identity and location corroborated</x:v>
      </x:c>
      <x:c r="E86" s="117" t="str">
        <x:v>https://www.openstreetmap.org/way/559410700</x:v>
      </x:c>
      <x:c r="F86" s="117" t="str">
        <x:v>Mapped source matches the attraction name or established alias and the stated Malaysian location. This verifies identity/location only; confirm current opening and accessibility separately.</x:v>
      </x:c>
    </x:row>
    <x:row r="87" ht="54" customHeight="1">
      <x:c r="A87" s="117" t="str">
        <x:v>MC0226</x:v>
      </x:c>
      <x:c r="B87" s="117" t="str">
        <x:v>Wang Kelian Viewpoint</x:v>
      </x:c>
      <x:c r="C87" s="117" t="str">
        <x:v>Perlis</x:v>
      </x:c>
      <x:c r="D87" s="117" t="str">
        <x:v>Identity and location corroborated</x:v>
      </x:c>
      <x:c r="E87" s="117" t="str">
        <x:v>https://www.malaysia.travel/explore/wang-kelian</x:v>
      </x:c>
      <x:c r="F87" s="117" t="str">
        <x:v>Tourism Malaysia matches the attraction name or established alias and the stated Malaysian location. This verifies identity/location only; confirm current opening and accessibility separately.</x:v>
      </x:c>
    </x:row>
    <x:row r="88" ht="54" customHeight="1">
      <x:c r="A88" s="117" t="str">
        <x:v>MC0228</x:v>
      </x:c>
      <x:c r="B88" s="117" t="str">
        <x:v>Padang Besar Market</x:v>
      </x:c>
      <x:c r="C88" s="117" t="str">
        <x:v>Perlis</x:v>
      </x:c>
      <x:c r="D88" s="117" t="str">
        <x:v>Identity and location corroborated</x:v>
      </x:c>
      <x:c r="E88" s="117" t="str">
        <x:v>https://www.malaysia.travel/explore/shopping-at-local-market-in-perlis</x:v>
      </x:c>
      <x:c r="F88" s="117" t="str">
        <x:v>Tourism Malaysia matches the attraction name or established alias and the stated Malaysian location. This verifies identity/location only; confirm current opening and accessibility separately.</x:v>
      </x:c>
    </x:row>
    <x:row r="89" ht="54" customHeight="1">
      <x:c r="A89" s="117" t="str">
        <x:v>MC0233</x:v>
      </x:c>
      <x:c r="B89" s="117" t="str">
        <x:v>Bukit Ayer Recreational Forest</x:v>
      </x:c>
      <x:c r="C89" s="117" t="str">
        <x:v>Perlis</x:v>
      </x:c>
      <x:c r="D89" s="117" t="str">
        <x:v>Identity and location corroborated</x:v>
      </x:c>
      <x:c r="E89" s="117" t="str">
        <x:v>https://www.forestry.gov.my/index.php/en/2016-06-07-02-31-39/2016-06-07-02-35-17/amenity-forests-state-park-forests</x:v>
      </x:c>
      <x:c r="F89" s="117" t="str">
        <x:v>Official forestry source matches the attraction name or established alias and the stated Malaysian location. This verifies identity/location only; confirm current opening and accessibility separately.</x:v>
      </x:c>
    </x:row>
    <x:row r="90" ht="54" customHeight="1">
      <x:c r="A90" s="117" t="str">
        <x:v>MC0234</x:v>
      </x:c>
      <x:c r="B90" s="117" t="str">
        <x:v>Wang Kelian Viewpoint</x:v>
      </x:c>
      <x:c r="C90" s="117" t="str">
        <x:v>Perlis</x:v>
      </x:c>
      <x:c r="D90" s="117" t="str">
        <x:v>Identity and location corroborated</x:v>
      </x:c>
      <x:c r="E90" s="117" t="str">
        <x:v>https://www.malaysia.travel/explore/wang-kelian</x:v>
      </x:c>
      <x:c r="F90" s="117" t="str">
        <x:v>Tourism Malaysia matches the attraction name or established alias and the stated Malaysian location. This verifies identity/location only; confirm current opening and accessibility separately.</x:v>
      </x:c>
    </x:row>
    <x:row r="91" ht="54" customHeight="1">
      <x:c r="A91" s="117" t="str">
        <x:v>MC0236</x:v>
      </x:c>
      <x:c r="B91" s="117" t="str">
        <x:v>Kuala Perlis Waterfront</x:v>
      </x:c>
      <x:c r="C91" s="117" t="str">
        <x:v>Perlis</x:v>
      </x:c>
      <x:c r="D91" s="117" t="str">
        <x:v>Identity and location corroborated</x:v>
      </x:c>
      <x:c r="E91" s="117" t="str">
        <x:v>https://www.planmalaysia.gov.my/planmalaysia/resources/epublisiti/turun/rt_perbandarankangar_perlis2035/ringkasan.pdf</x:v>
      </x:c>
      <x:c r="F91" s="117" t="str">
        <x:v>Official planning source; identity only matches the attraction name or established alias and the stated Malaysian location. This verifies identity/location only; confirm current opening and accessibility separately. The source does not establish current visitor operation.</x:v>
      </x:c>
    </x:row>
    <x:row r="92" ht="54" customHeight="1">
      <x:c r="A92" s="117" t="str">
        <x:v>MC0238</x:v>
      </x:c>
      <x:c r="B92" s="117" t="str">
        <x:v>Arau Palace Grounds</x:v>
      </x:c>
      <x:c r="C92" s="117" t="str">
        <x:v>Perlis</x:v>
      </x:c>
      <x:c r="D92" s="117" t="str">
        <x:v>Identity and location corroborated</x:v>
      </x:c>
      <x:c r="E92" s="117" t="str">
        <x:v>https://www.bernama.com/en/news.php?id=2559743</x:v>
      </x:c>
      <x:c r="F92" s="117" t="str">
        <x:v>National news agency; event-only public access matches the attraction name or established alias and the stated Malaysian location. This verifies identity/location only; confirm current opening and accessibility separately. Public access described by the source is tied to a specific event, so do not recommend it as a routinely open attraction.</x:v>
      </x:c>
    </x:row>
    <x:row r="93" ht="54" customHeight="1">
      <x:c r="A93" s="117" t="str">
        <x:v>MC0240</x:v>
      </x:c>
      <x:c r="B93" s="117" t="str">
        <x:v>Taman Rekreasi Sungai Batu Pahat</x:v>
      </x:c>
      <x:c r="C93" s="117" t="str">
        <x:v>Perlis</x:v>
      </x:c>
      <x:c r="D93" s="117" t="str">
        <x:v>Identity and location corroborated</x:v>
      </x:c>
      <x:c r="E93" s="117" t="str">
        <x:v>https://www.openstreetmap.org/way/1317429017</x:v>
      </x:c>
      <x:c r="F93" s="117" t="str">
        <x:v>Mapped source matches the attraction name or established alias and the stated Malaysian location. This verifies identity/location only; confirm current opening and accessibility separately.</x:v>
      </x:c>
    </x:row>
    <x:row r="94" ht="54" customHeight="1">
      <x:c r="A94" s="117" t="str">
        <x:v>MC0242</x:v>
      </x:c>
      <x:c r="B94" s="117" t="str">
        <x:v>Bukit Chabang</x:v>
      </x:c>
      <x:c r="C94" s="117" t="str">
        <x:v>Perlis</x:v>
      </x:c>
      <x:c r="D94" s="117" t="str">
        <x:v>Identity and location corroborated</x:v>
      </x:c>
      <x:c r="E94" s="117" t="str">
        <x:v>https://www.openstreetmap.org/node/12184644071</x:v>
      </x:c>
      <x:c r="F94" s="117" t="str">
        <x:v>Mapped source matches the attraction name or established alias and the stated Malaysian location. This verifies identity/location only; confirm current opening and accessibility separately.</x:v>
      </x:c>
    </x:row>
    <x:row r="95" ht="54" customHeight="1">
      <x:c r="A95" s="117" t="str">
        <x:v>MC0252</x:v>
      </x:c>
      <x:c r="B95" s="117" t="str">
        <x:v>Danum Valley Conservation Area</x:v>
      </x:c>
      <x:c r="C95" s="117" t="str">
        <x:v>Sabah</x:v>
      </x:c>
      <x:c r="D95" s="117" t="str">
        <x:v>Identity and location corroborated</x:v>
      </x:c>
      <x:c r="E95" s="117" t="str">
        <x:v>https://en.wikipedia.org/wiki/Danum_Valley_Conservation_Area</x:v>
      </x:c>
      <x:c r="F95" s="117" t="str">
        <x:v>Encyclopedic source matches the attraction name or established alias and the stated Malaysian location. This verifies identity/location only; confirm current opening and accessibility separately.</x:v>
      </x:c>
    </x:row>
    <x:row r="96" ht="54" customHeight="1">
      <x:c r="A96" s="117" t="str">
        <x:v>MC0257</x:v>
      </x:c>
      <x:c r="B96" s="117" t="str">
        <x:v>Gaya Street Sunday Market</x:v>
      </x:c>
      <x:c r="C96" s="117" t="str">
        <x:v>Sabah</x:v>
      </x:c>
      <x:c r="D96" s="117" t="str">
        <x:v>Identity and location corroborated</x:v>
      </x:c>
      <x:c r="E96" s="117" t="str">
        <x:v>https://www.openstreetmap.org/node/9906350513</x:v>
      </x:c>
      <x:c r="F96" s="117" t="str">
        <x:v>Mapped source matches the attraction name or established alias and the stated Malaysian location. This verifies identity/location only; confirm current opening and accessibility separately.</x:v>
      </x:c>
    </x:row>
    <x:row r="97" ht="54" customHeight="1">
      <x:c r="A97" s="117" t="str">
        <x:v>MC0260</x:v>
      </x:c>
      <x:c r="B97" s="117" t="str">
        <x:v>Kiulu River</x:v>
      </x:c>
      <x:c r="C97" s="117" t="str">
        <x:v>Sabah</x:v>
      </x:c>
      <x:c r="D97" s="117" t="str">
        <x:v>Identity and location corroborated</x:v>
      </x:c>
      <x:c r="E97" s="117" t="str">
        <x:v>https://www.openstreetmap.org/node/5864917286</x:v>
      </x:c>
      <x:c r="F97" s="117" t="str">
        <x:v>Mapped source matches the attraction name or established alias and the stated Malaysian location. This verifies identity/location only; confirm current opening and accessibility separately.</x:v>
      </x:c>
    </x:row>
    <x:row r="98" ht="54" customHeight="1">
      <x:c r="A98" s="117" t="str">
        <x:v>MC0261</x:v>
      </x:c>
      <x:c r="B98" s="117" t="str">
        <x:v>Upside Down House Sabah</x:v>
      </x:c>
      <x:c r="C98" s="117" t="str">
        <x:v>Sabah</x:v>
      </x:c>
      <x:c r="D98" s="117" t="str">
        <x:v>Identity and location corroborated</x:v>
      </x:c>
      <x:c r="E98" s="117" t="str">
        <x:v>https://www.openstreetmap.org/node/2105153639</x:v>
      </x:c>
      <x:c r="F98" s="117" t="str">
        <x:v>Mapped source matches the attraction name or established alias and the stated Malaysian location. This verifies identity/location only; confirm current opening and accessibility separately.</x:v>
      </x:c>
    </x:row>
    <x:row r="99" ht="54" customHeight="1">
      <x:c r="A99" s="117" t="str">
        <x:v>MC0262</x:v>
      </x:c>
      <x:c r="B99" s="117" t="str">
        <x:v>Mantanani Islands</x:v>
      </x:c>
      <x:c r="C99" s="117" t="str">
        <x:v>Sabah</x:v>
      </x:c>
      <x:c r="D99" s="117" t="str">
        <x:v>Identity and location corroborated</x:v>
      </x:c>
      <x:c r="E99" s="117" t="str">
        <x:v>https://en.wikipedia.org/wiki/Mantanani_Islands</x:v>
      </x:c>
      <x:c r="F99" s="117" t="str">
        <x:v>Encyclopedic source matches the attraction name or established alias and the stated Malaysian location. This verifies identity/location only; confirm current opening and accessibility separately.</x:v>
      </x:c>
    </x:row>
    <x:row r="100" ht="54" customHeight="1">
      <x:c r="A100" s="117" t="str">
        <x:v>MC0263</x:v>
      </x:c>
      <x:c r="B100" s="117" t="str">
        <x:v>Kota Belud Tamu</x:v>
      </x:c>
      <x:c r="C100" s="117" t="str">
        <x:v>Sabah</x:v>
      </x:c>
      <x:c r="D100" s="117" t="str">
        <x:v>Identity and location corroborated</x:v>
      </x:c>
      <x:c r="E100" s="117" t="str">
        <x:v>https://pdkotabelud.sabah.gov.my/profile-daerah/</x:v>
      </x:c>
      <x:c r="F100" s="117" t="str">
        <x:v>Official district source matches the attraction name or established alias and the stated Malaysian location. This verifies identity/location only; confirm current opening and accessibility separately.</x:v>
      </x:c>
    </x:row>
    <x:row r="101" ht="54" customHeight="1">
      <x:c r="A101" s="117" t="str">
        <x:v>MC0273</x:v>
      </x:c>
      <x:c r="B101" s="117" t="str">
        <x:v>Tabin Wildlife Reserve</x:v>
      </x:c>
      <x:c r="C101" s="117" t="str">
        <x:v>Sabah</x:v>
      </x:c>
      <x:c r="D101" s="117" t="str">
        <x:v>Identity and location corroborated</x:v>
      </x:c>
      <x:c r="E101" s="117" t="str">
        <x:v>https://en.wikipedia.org/wiki/Tabin_Wildlife_Reserve</x:v>
      </x:c>
      <x:c r="F101" s="117" t="str">
        <x:v>Encyclopedic source matches the attraction name or established alias and the stated Malaysian location. This verifies identity/location only; confirm current opening and accessibility separately.</x:v>
      </x:c>
    </x:row>
    <x:row r="102" ht="54" customHeight="1">
      <x:c r="A102" s="117" t="str">
        <x:v>MC0277</x:v>
      </x:c>
      <x:c r="B102" s="117" t="str">
        <x:v>Batu Sumpah Keningau</x:v>
      </x:c>
      <x:c r="C102" s="117" t="str">
        <x:v>Sabah</x:v>
      </x:c>
      <x:c r="D102" s="117" t="str">
        <x:v>Identity and location corroborated</x:v>
      </x:c>
      <x:c r="E102" s="117" t="str">
        <x:v>https://ms.wikipedia.org/wiki/Batu_Sumpah_Keningau</x:v>
      </x:c>
      <x:c r="F102" s="117" t="str">
        <x:v>Encyclopedic source matches the attraction name or established alias and the stated Malaysian location. This verifies identity/location only; confirm current opening and accessibility separately.</x:v>
      </x:c>
    </x:row>
    <x:row r="103" ht="54" customHeight="1">
      <x:c r="A103" s="117" t="str">
        <x:v>MC0286</x:v>
      </x:c>
      <x:c r="B103" s="117" t="str">
        <x:v>Fairy Cave</x:v>
      </x:c>
      <x:c r="C103" s="117" t="str">
        <x:v>Sarawak</x:v>
      </x:c>
      <x:c r="D103" s="117" t="str">
        <x:v>Identity and location corroborated</x:v>
      </x:c>
      <x:c r="E103" s="117" t="str">
        <x:v>https://en.wikipedia.org/wiki/Fairy_Cave</x:v>
      </x:c>
      <x:c r="F103" s="117" t="str">
        <x:v>Encyclopedic source matches the attraction name or established alias and the stated Malaysian location. This verifies identity/location only; confirm current opening and accessibility separately.</x:v>
      </x:c>
    </x:row>
    <x:row r="104" ht="54" customHeight="1">
      <x:c r="A104" s="117" t="str">
        <x:v>MC0292</x:v>
      </x:c>
      <x:c r="B104" s="117" t="str">
        <x:v>Damai Beach</x:v>
      </x:c>
      <x:c r="C104" s="117" t="str">
        <x:v>Sarawak</x:v>
      </x:c>
      <x:c r="D104" s="117" t="str">
        <x:v>Identity and location corroborated</x:v>
      </x:c>
      <x:c r="E104" s="117" t="str">
        <x:v>https://www.openstreetmap.org/way/232099227</x:v>
      </x:c>
      <x:c r="F104" s="117" t="str">
        <x:v>Mapped source matches the attraction name or established alias and the stated Malaysian location. This verifies identity/location only; confirm current opening and accessibility separately.</x:v>
      </x:c>
    </x:row>
    <x:row r="105" ht="54" customHeight="1">
      <x:c r="A105" s="117" t="str">
        <x:v>MC0293</x:v>
      </x:c>
      <x:c r="B105" s="117" t="str">
        <x:v>Fairy Cave Nature Reserve</x:v>
      </x:c>
      <x:c r="C105" s="117" t="str">
        <x:v>Sarawak</x:v>
      </x:c>
      <x:c r="D105" s="117" t="str">
        <x:v>Identity and location corroborated</x:v>
      </x:c>
      <x:c r="E105" s="117" t="str">
        <x:v>https://forestry.sarawak.gov.my/web/subpage/webpage_view/1014</x:v>
      </x:c>
      <x:c r="F105" s="117" t="str">
        <x:v>Official forestry source matches the attraction name or established alias and the stated Malaysian location. This verifies identity/location only; confirm current opening and accessibility separately.</x:v>
      </x:c>
    </x:row>
    <x:row r="106" ht="54" customHeight="1">
      <x:c r="A106" s="117" t="str">
        <x:v>MC0294</x:v>
      </x:c>
      <x:c r="B106" s="117" t="str">
        <x:v>Wind Cave Nature Reserve</x:v>
      </x:c>
      <x:c r="C106" s="117" t="str">
        <x:v>Sarawak</x:v>
      </x:c>
      <x:c r="D106" s="117" t="str">
        <x:v>Identity and location corroborated</x:v>
      </x:c>
      <x:c r="E106" s="117" t="str">
        <x:v>https://www.sarawaktourism.com/web/places-to-visit/town-view/kuching/major-attractions/wind-cave-nature-reserve</x:v>
      </x:c>
      <x:c r="F106" s="117" t="str">
        <x:v>Official state tourism source matches the attraction name or established alias and the stated Malaysian location. This verifies identity/location only; confirm current opening and accessibility separately.</x:v>
      </x:c>
    </x:row>
    <x:row r="107" ht="54" customHeight="1">
      <x:c r="A107" s="117" t="str">
        <x:v>MC0299</x:v>
      </x:c>
      <x:c r="B107" s="117" t="str">
        <x:v>Fort Alice</x:v>
      </x:c>
      <x:c r="C107" s="117" t="str">
        <x:v>Sarawak</x:v>
      </x:c>
      <x:c r="D107" s="117" t="str">
        <x:v>Identity and location corroborated</x:v>
      </x:c>
      <x:c r="E107" s="117" t="str">
        <x:v>https://en.wikipedia.org/wiki/Fort_Alice</x:v>
      </x:c>
      <x:c r="F107" s="117" t="str">
        <x:v>Encyclopedic source matches the attraction name or established alias and the stated Malaysian location. This verifies identity/location only; confirm current opening and accessibility separately.</x:v>
      </x:c>
    </x:row>
    <x:row r="108" ht="54" customHeight="1">
      <x:c r="A108" s="117" t="str">
        <x:v>MC0301</x:v>
      </x:c>
      <x:c r="B108" s="117" t="str">
        <x:v>Sibu Heritage Centre</x:v>
      </x:c>
      <x:c r="C108" s="117" t="str">
        <x:v>Sarawak</x:v>
      </x:c>
      <x:c r="D108" s="117" t="str">
        <x:v>Identity and location corroborated</x:v>
      </x:c>
      <x:c r="E108" s="117" t="str">
        <x:v>https://en.wikipedia.org/wiki/Sibu_Heritage_Centre</x:v>
      </x:c>
      <x:c r="F108" s="117" t="str">
        <x:v>Encyclopedic source matches the attraction name or established alias and the stated Malaysian location. This verifies identity/location only; confirm current opening and accessibility separately.</x:v>
      </x:c>
    </x:row>
    <x:row r="109" ht="54" customHeight="1">
      <x:c r="A109" s="117" t="str">
        <x:v>MC0302</x:v>
      </x:c>
      <x:c r="B109" s="117" t="str">
        <x:v>Lamin Dana Cultural Boutique Lodge</x:v>
      </x:c>
      <x:c r="C109" s="117" t="str">
        <x:v>Sarawak</x:v>
      </x:c>
      <x:c r="D109" s="117" t="str">
        <x:v>Identity and location corroborated</x:v>
      </x:c>
      <x:c r="E109" s="117" t="str">
        <x:v>https://www.lamindana.com/about-us.php</x:v>
      </x:c>
      <x:c r="F109" s="117" t="str">
        <x:v>Venue/operator source matches the attraction name or established alias and the stated Malaysian location. This verifies identity/location only; confirm current opening and accessibility separately.</x:v>
      </x:c>
    </x:row>
    <x:row r="110" ht="54" customHeight="1">
      <x:c r="A110" s="117" t="str">
        <x:v>MC0305</x:v>
      </x:c>
      <x:c r="B110" s="117" t="str">
        <x:v>Miri-Sibuti Coral Reefs National Park</x:v>
      </x:c>
      <x:c r="C110" s="117" t="str">
        <x:v>Sarawak</x:v>
      </x:c>
      <x:c r="D110" s="117" t="str">
        <x:v>Identity and location corroborated</x:v>
      </x:c>
      <x:c r="E110" s="117" t="str">
        <x:v>https://www.sarawaktourism.com/web/places-to-visit/town-view/miri/major-attractions/miri-sibuti-coral-reefs-national-park</x:v>
      </x:c>
      <x:c r="F110" s="117" t="str">
        <x:v>Official state tourism source matches the attraction name or established alias and the stated Malaysian location. This verifies identity/location only; confirm current opening and accessibility separately.</x:v>
      </x:c>
    </x:row>
    <x:row r="111" ht="54" customHeight="1">
      <x:c r="A111" s="117" t="str">
        <x:v>MC0307</x:v>
      </x:c>
      <x:c r="B111" s="117" t="str">
        <x:v>Bukit Mas</x:v>
      </x:c>
      <x:c r="C111" s="117" t="str">
        <x:v>Sarawak</x:v>
      </x:c>
      <x:c r="D111" s="117" t="str">
        <x:v>Identity and location corroborated</x:v>
      </x:c>
      <x:c r="E111" s="117" t="str">
        <x:v>https://en.wikipedia.org/wiki/Bukit_Mas</x:v>
      </x:c>
      <x:c r="F111" s="117" t="str">
        <x:v>Encyclopedic source matches the attraction name or established alias and the stated Malaysian location. This verifies identity/location only; confirm current opening and accessibility separately.</x:v>
      </x:c>
    </x:row>
    <x:row r="112" ht="54" customHeight="1">
      <x:c r="A112" s="117" t="str">
        <x:v>MC0310</x:v>
      </x:c>
      <x:c r="B112" s="117" t="str">
        <x:v>Bakun Lake</x:v>
      </x:c>
      <x:c r="C112" s="117" t="str">
        <x:v>Sarawak</x:v>
      </x:c>
      <x:c r="D112" s="117" t="str">
        <x:v>Identity and location corroborated</x:v>
      </x:c>
      <x:c r="E112" s="117" t="str">
        <x:v>https://www.sarawaktourism.com/web/places-to-visit/town-view/kapit/major-attractions/belanum-the-floating-house-stay-bakun-lake</x:v>
      </x:c>
      <x:c r="F112" s="117" t="str">
        <x:v>Official state tourism source matches the attraction name or established alias and the stated Malaysian location. This verifies identity/location only; confirm current opening and accessibility separately.</x:v>
      </x:c>
    </x:row>
    <x:row r="113" ht="54" customHeight="1">
      <x:c r="A113" s="117" t="str">
        <x:v>MC0314</x:v>
      </x:c>
      <x:c r="B113" s="117" t="str">
        <x:v>i-City Theme Park</x:v>
      </x:c>
      <x:c r="C113" s="117" t="str">
        <x:v>Selangor</x:v>
      </x:c>
      <x:c r="D113" s="117" t="str">
        <x:v>Identity and location corroborated</x:v>
      </x:c>
      <x:c r="E113" s="117" t="str">
        <x:v>https://www.openstreetmap.org/way/506887386</x:v>
      </x:c>
      <x:c r="F113" s="117" t="str">
        <x:v>Mapped source matches the attraction name or established alias and the stated Malaysian location. This verifies identity/location only; confirm current opening and accessibility separately.</x:v>
      </x:c>
    </x:row>
    <x:row r="114" ht="54" customHeight="1">
      <x:c r="A114" s="117" t="str">
        <x:v>MC0315</x:v>
      </x:c>
      <x:c r="B114" s="117" t="str">
        <x:v>Sky Mirror Kuala Selangor</x:v>
      </x:c>
      <x:c r="C114" s="117" t="str">
        <x:v>Selangor</x:v>
      </x:c>
      <x:c r="D114" s="117" t="str">
        <x:v>Identity and location corroborated</x:v>
      </x:c>
      <x:c r="E114" s="117" t="str">
        <x:v>https://www.openstreetmap.org/way/1210719171</x:v>
      </x:c>
      <x:c r="F114" s="117" t="str">
        <x:v>Mapped source matches the attraction name or established alias and the stated Malaysian location. This verifies identity/location only; confirm current opening and accessibility separately.</x:v>
      </x:c>
    </x:row>
    <x:row r="115" ht="54" customHeight="1">
      <x:c r="A115" s="117" t="str">
        <x:v>MC0317</x:v>
      </x:c>
      <x:c r="B115" s="117" t="str">
        <x:v>Sekinchan Paddy Fields</x:v>
      </x:c>
      <x:c r="C115" s="117" t="str">
        <x:v>Selangor</x:v>
      </x:c>
      <x:c r="D115" s="117" t="str">
        <x:v>Identity and location corroborated</x:v>
      </x:c>
      <x:c r="E115" s="117" t="str">
        <x:v>https://selangor.travel/listing/sekinchan-paddy-field/</x:v>
      </x:c>
      <x:c r="F115" s="117" t="str">
        <x:v>Official state tourism source matches the attraction name or established alias and the stated Malaysian location. This verifies identity/location only; confirm current opening and accessibility separately.</x:v>
      </x:c>
    </x:row>
    <x:row r="116" ht="54" customHeight="1">
      <x:c r="A116" s="117" t="str">
        <x:v>MC0321</x:v>
      </x:c>
      <x:c r="B116" s="117" t="str">
        <x:v>Sultan Salahuddin Abdul Aziz Mosque</x:v>
      </x:c>
      <x:c r="C116" s="117" t="str">
        <x:v>Selangor</x:v>
      </x:c>
      <x:c r="D116" s="117" t="str">
        <x:v>Identity and location corroborated</x:v>
      </x:c>
      <x:c r="E116" s="117" t="str">
        <x:v>https://en.wikipedia.org/wiki/Sultan_Salahuddin_Abdul_Aziz_Mosque</x:v>
      </x:c>
      <x:c r="F116" s="117" t="str">
        <x:v>Encyclopedic source matches the attraction name or established alias and the stated Malaysian location. This verifies identity/location only; confirm current opening and accessibility separately.</x:v>
      </x:c>
    </x:row>
    <x:row r="117" ht="54" customHeight="1">
      <x:c r="A117" s="117" t="str">
        <x:v>MC0323</x:v>
      </x:c>
      <x:c r="B117" s="117" t="str">
        <x:v>National Botanic Gardens Shah Alam</x:v>
      </x:c>
      <x:c r="C117" s="117" t="str">
        <x:v>Selangor</x:v>
      </x:c>
      <x:c r="D117" s="117" t="str">
        <x:v>Identity and location corroborated</x:v>
      </x:c>
      <x:c r="E117" s="117" t="str">
        <x:v>https://en.wikipedia.org/wiki/National_Botanical_Garden_Shah_Alam</x:v>
      </x:c>
      <x:c r="F117" s="117" t="str">
        <x:v>Encyclopedic source matches the attraction name or established alias and the stated Malaysian location. This verifies identity/location only; confirm current opening and accessibility separately.</x:v>
      </x:c>
    </x:row>
    <x:row r="118" ht="54" customHeight="1">
      <x:c r="A118" s="117" t="str">
        <x:v>MC0325</x:v>
      </x:c>
      <x:c r="B118" s="117" t="str">
        <x:v>Sultan Abdul Aziz Royal Gallery</x:v>
      </x:c>
      <x:c r="C118" s="117" t="str">
        <x:v>Selangor</x:v>
      </x:c>
      <x:c r="D118" s="117" t="str">
        <x:v>Identity and location corroborated</x:v>
      </x:c>
      <x:c r="E118" s="117" t="str">
        <x:v>https://en.wikipedia.org/wiki/Sultan_Abdul_Aziz_Royal_Gallery</x:v>
      </x:c>
      <x:c r="F118" s="117" t="str">
        <x:v>Encyclopedic source matches the attraction name or established alias and the stated Malaysian location. This verifies identity/location only; confirm current opening and accessibility separately.</x:v>
      </x:c>
    </x:row>
    <x:row r="119" ht="54" customHeight="1">
      <x:c r="A119" s="117" t="str">
        <x:v>MC0329</x:v>
      </x:c>
      <x:c r="B119" s="117" t="str">
        <x:v>Pantai Redang Sekinchan</x:v>
      </x:c>
      <x:c r="C119" s="117" t="str">
        <x:v>Selangor</x:v>
      </x:c>
      <x:c r="D119" s="117" t="str">
        <x:v>Identity and location corroborated</x:v>
      </x:c>
      <x:c r="E119" s="117" t="str">
        <x:v>https://www.openstreetmap.org/way/795235671</x:v>
      </x:c>
      <x:c r="F119" s="117" t="str">
        <x:v>Mapped source matches the attraction name or established alias and the stated Malaysian location. This verifies identity/location only; confirm current opening and accessibility separately.</x:v>
      </x:c>
    </x:row>
    <x:row r="120" ht="54" customHeight="1">
      <x:c r="A120" s="117" t="str">
        <x:v>MC0330</x:v>
      </x:c>
      <x:c r="B120" s="117" t="str">
        <x:v>Sabak Bernam Museum</x:v>
      </x:c>
      <x:c r="C120" s="117" t="str">
        <x:v>Selangor</x:v>
      </x:c>
      <x:c r="D120" s="117" t="str">
        <x:v>Identity and location corroborated</x:v>
      </x:c>
      <x:c r="E120" s="117" t="str">
        <x:v>https://www.openstreetmap.org/node/4895337422</x:v>
      </x:c>
      <x:c r="F120" s="117" t="str">
        <x:v>Mapped source matches the attraction name or established alias and the stated Malaysian location. This verifies identity/location only; confirm current opening and accessibility separately.</x:v>
      </x:c>
    </x:row>
    <x:row r="121" ht="54" customHeight="1">
      <x:c r="A121" s="117" t="str">
        <x:v>MC0331</x:v>
      </x:c>
      <x:c r="B121" s="117" t="str">
        <x:v>Kuala Kubu Bharu Heritage Town</x:v>
      </x:c>
      <x:c r="C121" s="117" t="str">
        <x:v>Selangor</x:v>
      </x:c>
      <x:c r="D121" s="117" t="str">
        <x:v>Identity and location corroborated</x:v>
      </x:c>
      <x:c r="E121" s="117" t="str">
        <x:v>https://selangor.travel/wp-content/uploads/2022/03/The_Best_of_Selangor_English.pdf</x:v>
      </x:c>
      <x:c r="F121" s="117" t="str">
        <x:v>Official state tourism source matches the attraction name or established alias and the stated Malaysian location. This verifies identity/location only; confirm current opening and accessibility separately.</x:v>
      </x:c>
    </x:row>
    <x:row r="122" ht="54" customHeight="1">
      <x:c r="A122" s="117" t="str">
        <x:v>MC0333</x:v>
      </x:c>
      <x:c r="B122" s="117" t="str">
        <x:v>Kanching Recreational Forest</x:v>
      </x:c>
      <x:c r="C122" s="117" t="str">
        <x:v>Selangor</x:v>
      </x:c>
      <x:c r="D122" s="117" t="str">
        <x:v>Identity and location corroborated</x:v>
      </x:c>
      <x:c r="E122" s="117" t="str">
        <x:v>https://ebrochures.malaysia.travel/en/adventure-with-nature/jungle-trekking/</x:v>
      </x:c>
      <x:c r="F122" s="117" t="str">
        <x:v>Tourism Malaysia matches the attraction name or established alias and the stated Malaysian location. This verifies identity/location only; confirm current opening and accessibility separately.</x:v>
      </x:c>
    </x:row>
    <x:row r="123" ht="54" customHeight="1">
      <x:c r="A123" s="117" t="str">
        <x:v>MC0334</x:v>
      </x:c>
      <x:c r="B123" s="117" t="str">
        <x:v>FRIM Forest Skywalk</x:v>
      </x:c>
      <x:c r="C123" s="117" t="str">
        <x:v>Selangor</x:v>
      </x:c>
      <x:c r="D123" s="117" t="str">
        <x:v>Identity and location corroborated</x:v>
      </x:c>
      <x:c r="E123" s="117" t="str">
        <x:v>https://www.openstreetmap.org/way/1117408030</x:v>
      </x:c>
      <x:c r="F123" s="117" t="str">
        <x:v>Mapped source matches the attraction name or established alias and the stated Malaysian location. This verifies identity/location only; confirm current opening and accessibility separately.</x:v>
      </x:c>
    </x:row>
    <x:row r="124" ht="54" customHeight="1">
      <x:c r="A124" s="117" t="str">
        <x:v>MC0335</x:v>
      </x:c>
      <x:c r="B124" s="117" t="str">
        <x:v>Taman Jaya</x:v>
      </x:c>
      <x:c r="C124" s="117" t="str">
        <x:v>Selangor</x:v>
      </x:c>
      <x:c r="D124" s="117" t="str">
        <x:v>Identity and location corroborated</x:v>
      </x:c>
      <x:c r="E124" s="117" t="str">
        <x:v>https://ms.wikipedia.org/wiki/Stesen_LRT_Taman_Jaya</x:v>
      </x:c>
      <x:c r="F124" s="117" t="str">
        <x:v>Encyclopedic source matches the attraction name or established alias and the stated Malaysian location. This verifies identity/location only; confirm current opening and accessibility separately.</x:v>
      </x:c>
    </x:row>
    <x:row r="125" ht="54" customHeight="1">
      <x:c r="A125" s="117" t="str">
        <x:v>MC0336</x:v>
      </x:c>
      <x:c r="B125" s="117" t="str">
        <x:v>Subang Ria Recreational Park</x:v>
      </x:c>
      <x:c r="C125" s="117" t="str">
        <x:v>Selangor</x:v>
      </x:c>
      <x:c r="D125" s="117" t="str">
        <x:v>Identity and location corroborated</x:v>
      </x:c>
      <x:c r="E125" s="117" t="str">
        <x:v>https://www.waze.com/ms/live-map/directions/my/selangor/pj/subang-ria-recreational-park?to=place.ChIJPZBrtGdMzDERVkSNL0kOHFA</x:v>
      </x:c>
      <x:c r="F125" s="117" t="str">
        <x:v>Mapped source matches the attraction name or established alias and the stated Malaysian location. This verifies identity/location only; confirm current opening and accessibility separately.</x:v>
      </x:c>
    </x:row>
    <x:row r="126" ht="54" customHeight="1">
      <x:c r="A126" s="117" t="str">
        <x:v>MC0338</x:v>
      </x:c>
      <x:c r="B126" s="117" t="str">
        <x:v>Bagan Lalang Beach</x:v>
      </x:c>
      <x:c r="C126" s="117" t="str">
        <x:v>Selangor</x:v>
      </x:c>
      <x:c r="D126" s="117" t="str">
        <x:v>Identity and location corroborated</x:v>
      </x:c>
      <x:c r="E126" s="117" t="str">
        <x:v>https://www.openstreetmap.org/relation/14906624</x:v>
      </x:c>
      <x:c r="F126" s="117" t="str">
        <x:v>Mapped source matches the attraction name or established alias and the stated Malaysian location. This verifies identity/location only; confirm current opening and accessibility separately.</x:v>
      </x:c>
    </x:row>
    <x:row r="127" ht="54" customHeight="1">
      <x:c r="A127" s="117" t="str">
        <x:v>MC0339</x:v>
      </x:c>
      <x:c r="B127" s="117" t="str">
        <x:v>Mah Meri Cultural Village</x:v>
      </x:c>
      <x:c r="C127" s="117" t="str">
        <x:v>Selangor</x:v>
      </x:c>
      <x:c r="D127" s="117" t="str">
        <x:v>Identity and location corroborated</x:v>
      </x:c>
      <x:c r="E127" s="117" t="str">
        <x:v>https://selangor.travel/listing/mah-meri-cultural-village/</x:v>
      </x:c>
      <x:c r="F127" s="117" t="str">
        <x:v>Official state tourism source matches the attraction name or established alias and the stated Malaysian location. This verifies identity/location only; confirm current opening and accessibility separately.</x:v>
      </x:c>
    </x:row>
    <x:row r="128" ht="54" customHeight="1">
      <x:c r="A128" s="117" t="str">
        <x:v>MC0352</x:v>
      </x:c>
      <x:c r="B128" s="117" t="str">
        <x:v>Pulau Duyong</x:v>
      </x:c>
      <x:c r="C128" s="117" t="str">
        <x:v>Terengganu</x:v>
      </x:c>
      <x:c r="D128" s="117" t="str">
        <x:v>Identity and location corroborated</x:v>
      </x:c>
      <x:c r="E128" s="117" t="str">
        <x:v>https://en.wikipedia.org/wiki/Duyong_Island</x:v>
      </x:c>
      <x:c r="F128" s="117" t="str">
        <x:v>Encyclopedic source matches the attraction name or established alias and the stated Malaysian location. This verifies identity/location only; confirm current opening and accessibility separately.</x:v>
      </x:c>
    </x:row>
    <x:row r="129" ht="54" customHeight="1">
      <x:c r="A129" s="117" t="str">
        <x:v>MC0357</x:v>
      </x:c>
      <x:c r="B129" s="117" t="str">
        <x:v>Perhentian Besar Island</x:v>
      </x:c>
      <x:c r="C129" s="117" t="str">
        <x:v>Terengganu</x:v>
      </x:c>
      <x:c r="D129" s="117" t="str">
        <x:v>Identity and location corroborated</x:v>
      </x:c>
      <x:c r="E129" s="117" t="str">
        <x:v>https://www.openstreetmap.org/relation/3405486</x:v>
      </x:c>
      <x:c r="F129" s="117" t="str">
        <x:v>Mapped source matches the attraction name or established alias and the stated Malaysian location. This verifies identity/location only; confirm current opening and accessibility separately.</x:v>
      </x:c>
    </x:row>
    <x:row r="130" ht="54" customHeight="1">
      <x:c r="A130" s="117" t="str">
        <x:v>MC0358</x:v>
      </x:c>
      <x:c r="B130" s="117" t="str">
        <x:v>Perhentian Kecil Island</x:v>
      </x:c>
      <x:c r="C130" s="117" t="str">
        <x:v>Terengganu</x:v>
      </x:c>
      <x:c r="D130" s="117" t="str">
        <x:v>Identity and location corroborated</x:v>
      </x:c>
      <x:c r="E130" s="117" t="str">
        <x:v>https://www.openstreetmap.org/relation/3405487</x:v>
      </x:c>
      <x:c r="F130" s="117" t="str">
        <x:v>Mapped source matches the attraction name or established alias and the stated Malaysian location. This verifies identity/location only; confirm current opening and accessibility separately.</x:v>
      </x:c>
    </x:row>
    <x:row r="131" ht="54" customHeight="1">
      <x:c r="A131" s="117" t="str">
        <x:v>MC0359</x:v>
      </x:c>
      <x:c r="B131" s="117" t="str">
        <x:v>Lata Tembakah Waterfall</x:v>
      </x:c>
      <x:c r="C131" s="117" t="str">
        <x:v>Terengganu</x:v>
      </x:c>
      <x:c r="D131" s="117" t="str">
        <x:v>Identity and location corroborated</x:v>
      </x:c>
      <x:c r="E131" s="117" t="str">
        <x:v>https://www.openstreetmap.org/node/2737937523</x:v>
      </x:c>
      <x:c r="F131" s="117" t="str">
        <x:v>Mapped source matches the attraction name or established alias and the stated Malaysian location. This verifies identity/location only; confirm current opening and accessibility separately.</x:v>
      </x:c>
    </x:row>
    <x:row r="132" ht="54" customHeight="1">
      <x:c r="A132" s="117" t="str">
        <x:v>MC0362</x:v>
      </x:c>
      <x:c r="B132" s="117" t="str">
        <x:v>Tenggol Island</x:v>
      </x:c>
      <x:c r="C132" s="117" t="str">
        <x:v>Terengganu</x:v>
      </x:c>
      <x:c r="D132" s="117" t="str">
        <x:v>Identity and location corroborated</x:v>
      </x:c>
      <x:c r="E132" s="117" t="str">
        <x:v>https://en.wikipedia.org/wiki/Tenggol_Island</x:v>
      </x:c>
      <x:c r="F132" s="117" t="str">
        <x:v>Encyclopedic source matches the attraction name or established alias and the stated Malaysian location. This verifies identity/location only; confirm current opening and accessibility separately.</x:v>
      </x:c>
    </x:row>
    <x:row r="133" ht="54" customHeight="1">
      <x:c r="A133" s="117" t="str">
        <x:v>MC0364</x:v>
      </x:c>
      <x:c r="B133" s="117" t="str">
        <x:v>Bukit Besi Museum</x:v>
      </x:c>
      <x:c r="C133" s="117" t="str">
        <x:v>Terengganu</x:v>
      </x:c>
      <x:c r="D133" s="117" t="str">
        <x:v>Identity and location corroborated</x:v>
      </x:c>
      <x:c r="E133" s="117" t="str">
        <x:v>https://www.openstreetmap.org/way/1416125285</x:v>
      </x:c>
      <x:c r="F133" s="117" t="str">
        <x:v>Mapped source matches the attraction name or established alias and the stated Malaysian location. This verifies identity/location only; confirm current opening and accessibility separately.</x:v>
      </x:c>
    </x:row>
    <x:row r="134" ht="54" customHeight="1">
      <x:c r="A134" s="117" t="str">
        <x:v>MC0366</x:v>
      </x:c>
      <x:c r="B134" s="117" t="str">
        <x:v>Yak Yah Firefly Sanctuary</x:v>
      </x:c>
      <x:c r="C134" s="117" t="str">
        <x:v>Terengganu</x:v>
      </x:c>
      <x:c r="D134" s="117" t="str">
        <x:v>Identity and location corroborated</x:v>
      </x:c>
      <x:c r="E134" s="117" t="str">
        <x:v>https://storage.ebrochures.malaysia.travel/storage/TERENGGANUMAPGUIDE_english_0916c.pdf</x:v>
      </x:c>
      <x:c r="F134" s="117" t="str">
        <x:v>Tourism Malaysia guide matches the attraction name or established alias and the stated Malaysian location. This verifies identity/location only; confirm current opening and accessibility separately.</x:v>
      </x:c>
    </x:row>
    <x:row r="135" ht="54" customHeight="1">
      <x:c r="A135" s="117" t="str">
        <x:v>MC0369</x:v>
      </x:c>
      <x:c r="B135" s="117" t="str">
        <x:v>Sekayu Recreational Forest</x:v>
      </x:c>
      <x:c r="C135" s="117" t="str">
        <x:v>Terengganu</x:v>
      </x:c>
      <x:c r="D135" s="117" t="str">
        <x:v>Identity and location corroborated</x:v>
      </x:c>
      <x:c r="E135" s="117" t="str">
        <x:v>https://pmc.ncbi.nlm.nih.gov/articles/PMC10311392/</x:v>
      </x:c>
      <x:c r="F135" s="117" t="str">
        <x:v>Peer-reviewed research source; identity only matches the attraction name or established alias and the stated Malaysian location. This verifies identity/location only; confirm current opening and accessibility separately. The source does not establish current visitor operation.</x:v>
      </x:c>
    </x:row>
    <x:row r="136" ht="54" customHeight="1">
      <x:c r="A136" s="117" t="str">
        <x:v>MC0371</x:v>
      </x:c>
      <x:c r="B136" s="117" t="str">
        <x:v>Rantau Abang Turtle Beach</x:v>
      </x:c>
      <x:c r="C136" s="117" t="str">
        <x:v>Terengganu</x:v>
      </x:c>
      <x:c r="D136" s="117" t="str">
        <x:v>Identity and location corroborated</x:v>
      </x:c>
      <x:c r="E136" s="117" t="str">
        <x:v>https://www.terengganutourism.com/tours_rantau_abang_turtle_sanctuary.pdf</x:v>
      </x:c>
      <x:c r="F136" s="117" t="str">
        <x:v>Official state tourism source matches the attraction name or established alias and the stated Malaysian location. This verifies identity/location only; confirm current opening and accessibility separately.</x:v>
      </x:c>
    </x:row>
    <x:row r="137" ht="54" customHeight="1">
      <x:c r="A137" s="117" t="str">
        <x:v>MC0388</x:v>
      </x:c>
      <x:c r="B137" s="117" t="str">
        <x:v>Kuala Lumpur Bird Park</x:v>
      </x:c>
      <x:c r="C137" s="117" t="str">
        <x:v>W.P. Kuala Lumpur</x:v>
      </x:c>
      <x:c r="D137" s="117" t="str">
        <x:v>Identity and location corroborated</x:v>
      </x:c>
      <x:c r="E137" s="117" t="str">
        <x:v>https://en.wikipedia.org/wiki/Kuala_Lumpur_Bird_Park</x:v>
      </x:c>
      <x:c r="F137" s="117" t="str">
        <x:v>Encyclopedic source matches the attraction name or established alias and the stated Malaysian location. This verifies identity/location only; confirm current opening and accessibility separately.</x:v>
      </x:c>
    </x:row>
    <x:row r="138" ht="54" customHeight="1">
      <x:c r="A138" s="131" t="str">
        <x:v>MC0390</x:v>
      </x:c>
      <x:c r="B138" s="131" t="str">
        <x:v>Kampung Baru Food Trail</x:v>
      </x:c>
      <x:c r="C138" s="131" t="str">
        <x:v>W.P. Kuala Lumpur</x:v>
      </x:c>
      <x:c r="D138" s="131" t="str">
        <x:v>Non-venue itinerary / review for removal</x:v>
      </x:c>
      <x:c r="E138" s="131" t="str"/>
      <x:c r="F138" s="131" t="str">
        <x:v>“Kampung Baru Food Trail” appears to be a generic food itinerary rather than a fixed visitor attraction, and food/restaurant listings are outside the agreed scope.</x:v>
      </x:c>
    </x:row>
    <x:row r="139" ht="54" customHeight="1">
      <x:c r="A139" s="117" t="str">
        <x:v>MC0391</x:v>
      </x:c>
      <x:c r="B139" s="117" t="str">
        <x:v>Sentul Depot</x:v>
      </x:c>
      <x:c r="C139" s="117" t="str">
        <x:v>W.P. Kuala Lumpur</x:v>
      </x:c>
      <x:c r="D139" s="117" t="str">
        <x:v>Identity and location corroborated</x:v>
      </x:c>
      <x:c r="E139" s="117" t="str">
        <x:v>https://en.wikipedia.org/wiki/Sentul_Komuter_station</x:v>
      </x:c>
      <x:c r="F139" s="117" t="str">
        <x:v>Encyclopedic source matches the attraction name or established alias and the stated Malaysian location. This verifies identity/location only; confirm current opening and accessibility separately.</x:v>
      </x:c>
    </x:row>
    <x:row r="140" ht="54" customHeight="1">
      <x:c r="A140" s="117" t="str">
        <x:v>MC0394</x:v>
      </x:c>
      <x:c r="B140" s="117" t="str">
        <x:v>Taman Tasik Permaisuri</x:v>
      </x:c>
      <x:c r="C140" s="117" t="str">
        <x:v>W.P. Kuala Lumpur</x:v>
      </x:c>
      <x:c r="D140" s="117" t="str">
        <x:v>Identity and location corroborated</x:v>
      </x:c>
      <x:c r="E140" s="117" t="str">
        <x:v>https://www.openstreetmap.org/way/182107926</x:v>
      </x:c>
      <x:c r="F140" s="117" t="str">
        <x:v>Mapped source matches the attraction name or established alias and the stated Malaysian location. This verifies identity/location only; confirm current opening and accessibility separately.</x:v>
      </x:c>
    </x:row>
    <x:row r="141" ht="54" customHeight="1">
      <x:c r="A141" s="117" t="str">
        <x:v>MC0402</x:v>
      </x:c>
      <x:c r="B141" s="117" t="str">
        <x:v>Moroccan Pavilion Putrajaya</x:v>
      </x:c>
      <x:c r="C141" s="117" t="str">
        <x:v>W.P. Putrajaya</x:v>
      </x:c>
      <x:c r="D141" s="117" t="str">
        <x:v>Identity and location corroborated</x:v>
      </x:c>
      <x:c r="E141" s="117" t="str">
        <x:v>https://www.openstreetmap.org/node/13378194605</x:v>
      </x:c>
      <x:c r="F141" s="117" t="str">
        <x:v>Mapped source matches the attraction name or established alias and the stated Malaysian location. This verifies identity/location only; confirm current opening and accessibility separately.</x:v>
      </x:c>
    </x:row>
    <x:row r="142" ht="54" customHeight="1">
      <x:c r="A142" s="117" t="str">
        <x:v>MC0404</x:v>
      </x:c>
      <x:c r="B142" s="117" t="str">
        <x:v>Seri Wawasan Bridge</x:v>
      </x:c>
      <x:c r="C142" s="117" t="str">
        <x:v>W.P. Putrajaya</x:v>
      </x:c>
      <x:c r="D142" s="117" t="str">
        <x:v>Identity and location corroborated</x:v>
      </x:c>
      <x:c r="E142" s="117" t="str">
        <x:v>https://en.wikipedia.org/wiki/Seri_Wawasan_Bridge</x:v>
      </x:c>
      <x:c r="F142" s="117" t="str">
        <x:v>Encyclopedic source matches the attraction name or established alias and the stated Malaysian location. This verifies identity/location only; confirm current opening and accessibility separately.</x:v>
      </x:c>
    </x:row>
    <x:row r="143" ht="54" customHeight="1">
      <x:c r="A143" s="117" t="str">
        <x:v>MC0405</x:v>
      </x:c>
      <x:c r="B143" s="117" t="str">
        <x:v>Anjung Floria</x:v>
      </x:c>
      <x:c r="C143" s="117" t="str">
        <x:v>W.P. Putrajaya</x:v>
      </x:c>
      <x:c r="D143" s="117" t="str">
        <x:v>Identity and location corroborated</x:v>
      </x:c>
      <x:c r="E143" s="117" t="str">
        <x:v>https://www.openstreetmap.org/way/1254252353</x:v>
      </x:c>
      <x:c r="F143" s="117" t="str">
        <x:v>Mapped source matches the attraction name or established alias and the stated Malaysian location. This verifies identity/location only; confirm current opening and accessibility separately.</x:v>
      </x:c>
    </x:row>
    <x:row r="144" ht="54" customHeight="1">
      <x:c r="A144" s="117" t="str">
        <x:v>MC0409</x:v>
      </x:c>
      <x:c r="B144" s="117" t="str">
        <x:v>China-Malaysia Friendship Garden</x:v>
      </x:c>
      <x:c r="C144" s="117" t="str">
        <x:v>W.P. Putrajaya</x:v>
      </x:c>
      <x:c r="D144" s="117" t="str">
        <x:v>Identity and location corroborated</x:v>
      </x:c>
      <x:c r="E144" s="117" t="str">
        <x:v>https://www.openstreetmap.org/node/7217701553</x:v>
      </x:c>
      <x:c r="F144" s="117" t="str">
        <x:v>Mapped source matches the attraction name or established alias and the stated Malaysian location. This verifies identity/location only; confirm current opening and accessibility separately.</x:v>
      </x:c>
    </x:row>
    <x:row r="145" ht="54" customHeight="1">
      <x:c r="A145" s="117" t="str">
        <x:v>MC0410</x:v>
      </x:c>
      <x:c r="B145" s="117" t="str">
        <x:v>Taman Saujana Hijau</x:v>
      </x:c>
      <x:c r="C145" s="117" t="str">
        <x:v>W.P. Putrajaya</x:v>
      </x:c>
      <x:c r="D145" s="117" t="str">
        <x:v>Identity and location corroborated</x:v>
      </x:c>
      <x:c r="E145" s="117" t="str">
        <x:v>https://www.openstreetmap.org/way/471345764</x:v>
      </x:c>
      <x:c r="F145" s="117" t="str">
        <x:v>Mapped source matches the attraction name or established alias and the stated Malaysian location. This verifies identity/location only; confirm current opening and accessibility separately.</x:v>
      </x:c>
    </x:row>
    <x:row r="146" ht="54" customHeight="1">
      <x:c r="A146" s="117" t="str">
        <x:v>MC0411</x:v>
      </x:c>
      <x:c r="B146" s="117" t="str">
        <x:v>Putrajaya Steps</x:v>
      </x:c>
      <x:c r="C146" s="117" t="str">
        <x:v>W.P. Putrajaya</x:v>
      </x:c>
      <x:c r="D146" s="117" t="str">
        <x:v>Identity and location corroborated</x:v>
      </x:c>
      <x:c r="E146" s="117" t="str">
        <x:v>https://www.openstreetmap.org/way/1000671439</x:v>
      </x:c>
      <x:c r="F146" s="117" t="str">
        <x:v>Mapped source matches the attraction name or established alias and the stated Malaysian location. This verifies identity/location only; confirm current opening and accessibility separately.</x:v>
      </x:c>
    </x:row>
    <x:row r="147" ht="54" customHeight="1">
      <x:c r="A147" s="117" t="str">
        <x:v>MC0418</x:v>
      </x:c>
      <x:c r="B147" s="117" t="str">
        <x:v>Peace Park</x:v>
      </x:c>
      <x:c r="C147" s="117" t="str">
        <x:v>W.P. Labuan</x:v>
      </x:c>
      <x:c r="D147" s="117" t="str">
        <x:v>Identity and location corroborated</x:v>
      </x:c>
      <x:c r="E147" s="117" t="str">
        <x:v>https://www.openstreetmap.org/way/28847747</x:v>
      </x:c>
      <x:c r="F147" s="117" t="str">
        <x:v>Mapped source matches the attraction name or established alias and the stated Malaysian location. This verifies identity/location only; confirm current opening and accessibility separately.</x:v>
      </x:c>
    </x:row>
    <x:row r="148" ht="54" customHeight="1">
      <x:c r="A148" s="117" t="str">
        <x:v>MC0419</x:v>
      </x:c>
      <x:c r="B148" s="117" t="str">
        <x:v>Surrender Point</x:v>
      </x:c>
      <x:c r="C148" s="117" t="str">
        <x:v>W.P. Labuan</x:v>
      </x:c>
      <x:c r="D148" s="117" t="str">
        <x:v>Identity and location corroborated</x:v>
      </x:c>
      <x:c r="E148" s="117" t="str">
        <x:v>https://www.openstreetmap.org/node/317339126</x:v>
      </x:c>
      <x:c r="F148" s="117" t="str">
        <x:v>Mapped source matches the attraction name or established alias and the stated Malaysian location. This verifies identity/location only; confirm current opening and accessibility separately.</x:v>
      </x:c>
    </x:row>
    <x:row r="149" ht="54" customHeight="1">
      <x:c r="A149" s="117" t="str">
        <x:v>MC0422</x:v>
      </x:c>
      <x:c r="B149" s="117" t="str">
        <x:v>Rusukan Besar Island</x:v>
      </x:c>
      <x:c r="C149" s="117" t="str">
        <x:v>W.P. Labuan</x:v>
      </x:c>
      <x:c r="D149" s="117" t="str">
        <x:v>Identity and location corroborated</x:v>
      </x:c>
      <x:c r="E149" s="117" t="str">
        <x:v>https://www.openstreetmap.org/way/26555774</x:v>
      </x:c>
      <x:c r="F149" s="117" t="str">
        <x:v>Mapped source matches the attraction name or established alias and the stated Malaysian location. This verifies identity/location only; confirm current opening and accessibility separately.</x:v>
      </x:c>
    </x:row>
    <x:row r="150" ht="54" customHeight="1">
      <x:c r="A150" s="117" t="str">
        <x:v>MC0424</x:v>
      </x:c>
      <x:c r="B150" s="117" t="str">
        <x:v>Labuan Botanical Garden</x:v>
      </x:c>
      <x:c r="C150" s="117" t="str">
        <x:v>W.P. Labuan</x:v>
      </x:c>
      <x:c r="D150" s="117" t="str">
        <x:v>Identity and location corroborated</x:v>
      </x:c>
      <x:c r="E150" s="117" t="str">
        <x:v>https://www.jwp.gov.my/storage/article/Labuan-Map-%26-Guide.pdf</x:v>
      </x:c>
      <x:c r="F150" s="117" t="str">
        <x:v>Official federal territory guide matches the attraction name or established alias and the stated Malaysian location. This verifies identity/location only; confirm current opening and accessibility separately.</x:v>
      </x:c>
    </x:row>
    <x:row r="151" ht="54" customHeight="1">
      <x:c r="A151" s="117" t="str">
        <x:v>MC0426</x:v>
      </x:c>
      <x:c r="B151" s="117" t="str">
        <x:v>Labuan Clock Tower</x:v>
      </x:c>
      <x:c r="C151" s="117" t="str">
        <x:v>W.P. Labuan</x:v>
      </x:c>
      <x:c r="D151" s="117" t="str">
        <x:v>Identity and location corroborated</x:v>
      </x:c>
      <x:c r="E151" s="117" t="str">
        <x:v>https://en.wikipedia.org/wiki/Labuan_Clock_Tower</x:v>
      </x:c>
      <x:c r="F151" s="117" t="str">
        <x:v>Encyclopedic source matches the attraction name or established alias and the stated Malaysian location. This verifies identity/location only; confirm current opening and accessibility separately.</x:v>
      </x:c>
    </x:row>
    <x:row r="152" ht="54" customHeight="1">
      <x:c r="A152" s="117" t="str">
        <x:v>MC0427</x:v>
      </x:c>
      <x:c r="B152" s="117" t="str">
        <x:v>Bebuloh Water Village</x:v>
      </x:c>
      <x:c r="C152" s="117" t="str">
        <x:v>W.P. Labuan</x:v>
      </x:c>
      <x:c r="D152" s="117" t="str">
        <x:v>Identity and location corroborated</x:v>
      </x:c>
      <x:c r="E152" s="117" t="str">
        <x:v>https://labuantourism.my/water-village/</x:v>
      </x:c>
      <x:c r="F152" s="117" t="str">
        <x:v>Official destination source matches the attraction name or established alias and the stated Malaysian location. This verifies identity/location only; confirm current opening and accessibility separately.</x:v>
      </x:c>
    </x:row>
    <x:row r="153" ht="54" customHeight="1">
      <x:c r="A153" s="117" t="str">
        <x:v>MC0428</x:v>
      </x:c>
      <x:c r="B153" s="117" t="str">
        <x:v>Pohon Batu Beach</x:v>
      </x:c>
      <x:c r="C153" s="117" t="str">
        <x:v>W.P. Labuan</x:v>
      </x:c>
      <x:c r="D153" s="117" t="str">
        <x:v>Identity and location corroborated</x:v>
      </x:c>
      <x:c r="E153" s="117" t="str">
        <x:v>https://www.openstreetmap.org/relation/12885688</x:v>
      </x:c>
      <x:c r="F153" s="117" t="str">
        <x:v>Mapped source matches the attraction name or established alias and the stated Malaysian location. This verifies identity/location only; confirm current opening and accessibility separately.</x:v>
      </x:c>
    </x:row>
    <x:row r="154" ht="54" customHeight="1">
      <x:c r="A154" s="117" t="str">
        <x:v>MC0429</x:v>
      </x:c>
      <x:c r="B154" s="117" t="str">
        <x:v>Pancur Hitam Beach</x:v>
      </x:c>
      <x:c r="C154" s="117" t="str">
        <x:v>W.P. Labuan</x:v>
      </x:c>
      <x:c r="D154" s="117" t="str">
        <x:v>Identity and location corroborated</x:v>
      </x:c>
      <x:c r="E154" s="117" t="str">
        <x:v>https://www.openstreetmap.org/relation/12885689</x:v>
      </x:c>
      <x:c r="F154" s="117" t="str">
        <x:v>Mapped source matches the attraction name or established alias and the stated Malaysian location. This verifies identity/location only; confirm current opening and accessibility separately.</x:v>
      </x:c>
    </x:row>
    <x:row r="155" ht="54" customHeight="1">
      <x:c r="A155" s="117" t="str">
        <x:v>MC0431</x:v>
      </x:c>
      <x:c r="B155" s="117" t="str">
        <x:v>Pulau Rusukan Besar Marine Park</x:v>
      </x:c>
      <x:c r="C155" s="117" t="str">
        <x:v>W.P. Labuan</x:v>
      </x:c>
      <x:c r="D155" s="117" t="str">
        <x:v>Identity and location corroborated</x:v>
      </x:c>
      <x:c r="E155" s="117" t="str">
        <x:v>https://www.mybis.gov.my/pa/5</x:v>
      </x:c>
      <x:c r="F155" s="117" t="str">
        <x:v>Official biodiversity database matches the attraction name or established alias and the stated Malaysian location. This verifies identity/location only; confirm current opening and accessibility separately.</x:v>
      </x:c>
    </x:row>
  </x:sheetData>
  <x:mergeCells>
    <x:mergeCell ref="A1:F1"/>
    <x:mergeCell ref="A2:F2"/>
  </x:mergeCells>
  <x:pageMargins left="0.7" right="0.7" top="0.75" bottom="0.75" header="0.3" footer="0.3"/>
  <x:tableParts count="1">
    <x:tablePart xmlns:r="http://schemas.openxmlformats.org/officeDocument/2006/relationships" r:id="R206a596490454e2e"/>
  </x:tableParts>
</x:worksheet>
</file>