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f379d05ec14034" /></Relationships>
</file>

<file path=xl/workbook.xml><?xml version="1.0" encoding="utf-8"?>
<x:workbook xmlns:x="http://schemas.openxmlformats.org/spreadsheetml/2006/main">
  <x:sheets>
    <x:sheet xmlns:r="http://schemas.openxmlformats.org/officeDocument/2006/relationships" name="Elderly Attractions" sheetId="1" r:id="Rabb710811b2143bc"/>
    <x:sheet xmlns:r="http://schemas.openxmlformats.org/officeDocument/2006/relationships" name="Coverage Summary" sheetId="2" r:id="Rb4843d27b44448c2"/>
    <x:sheet xmlns:r="http://schemas.openxmlformats.org/officeDocument/2006/relationships" name="Evidence Summary" sheetId="3" r:id="R9864133349aa4037"/>
    <x:sheet xmlns:r="http://schemas.openxmlformats.org/officeDocument/2006/relationships" name="Methodology" sheetId="4" r:id="R79b9e8112a384b5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yyyy-mm-dd"/>
    <x:numFmt numFmtId="202" formatCode="0.0%"/>
  </x:numFmts>
  <x:fonts count="5">
    <x:font>
      <x:sz val="11"/>
      <x:name val="Carlito"/>
    </x:font>
    <x:font>
      <x:b/>
      <x:sz val="16"/>
      <x:color rgb="FFFFFFFF"/>
      <x:name val="Carlito"/>
    </x:font>
    <x:font>
      <x:i/>
      <x:sz val="11"/>
      <x:color rgb="FF404040"/>
      <x:name val="Carlito"/>
    </x:font>
    <x:font>
      <x:b/>
      <x:sz val="11"/>
      <x:color rgb="FFFFFFFF"/>
      <x:name val="Carlito"/>
    </x:font>
    <x:font>
      <x:i/>
      <x:sz val="11"/>
      <x:name val="Carlito"/>
    </x:font>
  </x:fonts>
  <x:fills count="5">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2F75B5"/>
      </x:patternFill>
    </x:fill>
  </x:fills>
  <x:borders count="7">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2" borderId="0" xfId="0" applyNumberFormat="1" applyFont="1" applyFill="1" applyBorder="1"/>
    <x:xf numFmtId="202" fontId="0" fillId="0" borderId="4" xfId="0" applyNumberFormat="1" applyFont="1" applyFill="1" applyBorder="1"/>
    <x:xf numFmtId="202" fontId="0" fillId="0" borderId="5" xfId="0" applyNumberFormat="1" applyFont="1" applyFill="1" applyBorder="1"/>
    <x:xf numFmtId="202" fontId="0" fillId="0" borderId="6" xfId="0" applyNumberFormat="1" applyFont="1" applyFill="1" applyBorder="1"/>
    <x:xf numFmtId="202" fontId="0" fillId="0" borderId="0" xfId="0" applyNumberFormat="1" applyFont="1" applyFill="1" applyBorder="1"/>
    <x:xf numFmtId="202" fontId="3" fillId="2"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dc9517bd204704" /><Relationship Type="http://schemas.openxmlformats.org/officeDocument/2006/relationships/theme" Target="/xl/theme/theme1.xml" Id="R63f73b7522f04aa0" /><Relationship Type="http://schemas.openxmlformats.org/officeDocument/2006/relationships/sharedStrings" Target="/xl/sharedStrings.xml" Id="Rb8acba082e5949c9" /><Relationship Type="http://schemas.openxmlformats.org/officeDocument/2006/relationships/worksheet" Target="/xl/worksheets/sheet1.xml" Id="Rabb710811b2143bc" /><Relationship Type="http://schemas.openxmlformats.org/officeDocument/2006/relationships/worksheet" Target="/xl/worksheets/sheet2.xml" Id="Rb4843d27b44448c2" /><Relationship Type="http://schemas.openxmlformats.org/officeDocument/2006/relationships/worksheet" Target="/xl/worksheets/sheet3.xml" Id="R9864133349aa4037" /><Relationship Type="http://schemas.openxmlformats.org/officeDocument/2006/relationships/worksheet" Target="/xl/worksheets/sheet4.xml" Id="R79b9e8112a384b58" /></Relationships>
</file>

<file path=xl/tables/table1.xml><?xml version="1.0" encoding="utf-8"?>
<x:table xmlns:x="http://schemas.openxmlformats.org/spreadsheetml/2006/main" id="1" name="ExpandedElderlyAttractionsTable" displayName="ExpandedElderlyAttractionsTable" ref="A4:W104" headerRowCount="1" totalsRowCount="0" totalsRowShown="0">
  <x:tableColumns count="23">
    <x:tableColumn id="1" name="Record ID"/>
    <x:tableColumn id="2" name="Attraction Name"/>
    <x:tableColumn id="3" name="State / Territory"/>
    <x:tableColumn id="4" name="City / District"/>
    <x:tableColumn id="5" name="Primary Category"/>
    <x:tableColumn id="6" name="Setting"/>
    <x:tableColumn id="7" name="Interests / Tags"/>
    <x:tableColumn id="8" name="Description"/>
    <x:tableColumn id="9" name="Latitude"/>
    <x:tableColumn id="10" name="Longitude"/>
    <x:tableColumn id="11" name="Walking Difficulty"/>
    <x:tableColumn id="12" name="Step-Free Access"/>
    <x:tableColumn id="13" name="Resting Seats Available"/>
    <x:tableColumn id="14" name="Accessible Toilet"/>
    <x:tableColumn id="15" name="Parking Proximity"/>
    <x:tableColumn id="16" name="Shelter Available"/>
    <x:tableColumn id="17" name="Elderly Suitability"/>
    <x:tableColumn id="18" name="Elderly Accessibility Notes"/>
    <x:tableColumn id="19" name="Accessibility Evidence Source"/>
    <x:tableColumn id="20" name="Evidence Type"/>
    <x:tableColumn id="21" name="Evidence Confidence"/>
    <x:tableColumn id="22" name="Accessibility Screening Notes"/>
    <x:tableColumn id="23" name="Accessibility Screening Date"/>
  </x:tableColumns>
  <x:tableStyleInfo name="TableStyleMedium2" showFirstColumn="0" showLastColumn="0" showRowStripes="1" showColumnStripes="0"/>
</x:table>
</file>

<file path=xl/tables/table2.xml><?xml version="1.0" encoding="utf-8"?>
<x:table xmlns:x="http://schemas.openxmlformats.org/spreadsheetml/2006/main" id="2" name="ExpandedCoverageTable" displayName="ExpandedCoverageTable" ref="A4:D20" headerRowCount="1" totalsRowCount="0" totalsRowShown="0">
  <x:tableColumns count="4">
    <x:tableColumn id="1" name="State / Territory"/>
    <x:tableColumn id="2" name="Attractions"/>
    <x:tableColumn id="3" name="Share of Dataset"/>
    <x:tableColumn id="4" name="Coverage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7ff4c5698f48d1" /></Relationships>
</file>

<file path=xl/worksheets/_rels/sheet2.xml.rels>&#65279;<?xml version="1.0" encoding="utf-8"?><Relationships xmlns="http://schemas.openxmlformats.org/package/2006/relationships"><Relationship Type="http://schemas.openxmlformats.org/officeDocument/2006/relationships/table" Target="/xl/tables/table2.xml" Id="Reafd8aff9c6b478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7" hidden="0" customWidth="1"/>
    <x:col min="3" max="3" width="19" hidden="0" customWidth="1"/>
    <x:col min="4" max="4" width="22" hidden="0" customWidth="1"/>
    <x:col min="5" max="5" width="21" hidden="0" customWidth="1"/>
    <x:col min="6" max="6" width="16" hidden="0" customWidth="1"/>
    <x:col min="7" max="7" width="30" hidden="0" customWidth="1"/>
    <x:col min="8" max="8" width="48" hidden="0" customWidth="1"/>
    <x:col min="9" max="9" width="13" hidden="0" customWidth="1"/>
    <x:col min="10" max="10" width="13" hidden="0" customWidth="1"/>
    <x:col min="11" max="11" width="17" hidden="0" customWidth="1"/>
    <x:col min="12" max="12" width="17" hidden="0" customWidth="1"/>
    <x:col min="13" max="13" width="18" hidden="0" customWidth="1"/>
    <x:col min="14" max="14" width="18" hidden="0" customWidth="1"/>
    <x:col min="15" max="15" width="18" hidden="0" customWidth="1"/>
    <x:col min="16" max="16" width="18" hidden="0" customWidth="1"/>
    <x:col min="17" max="17" width="27" hidden="0" customWidth="1"/>
    <x:col min="18" max="18" width="50" hidden="0" customWidth="1"/>
    <x:col min="19" max="19" width="48" hidden="0" customWidth="1"/>
    <x:col min="20" max="20" width="34" hidden="0" customWidth="1"/>
    <x:col min="21" max="21" width="19" hidden="0" customWidth="1"/>
    <x:col min="22" max="22" width="48" hidden="0" customWidth="1"/>
    <x:col min="23" max="23" width="16" hidden="0" customWidth="1"/>
  </x:cols>
  <x:sheetData>
    <x:row r="1" ht="30" customHeight="1">
      <x:c r="A1" s="3" t="str">
        <x:v>JomVoyage Elderly-Accessible Tourism Dataset — 100 Attractions</x:v>
      </x:c>
      <x:c r="B1" s="3"/>
      <x:c r="C1" s="3"/>
      <x:c r="D1" s="3"/>
      <x:c r="E1" s="3"/>
      <x:c r="F1" s="3"/>
      <x:c r="G1" s="3"/>
      <x:c r="H1" s="3"/>
      <x:c r="I1" s="3"/>
      <x:c r="J1" s="3"/>
      <x:c r="K1" s="3"/>
      <x:c r="L1" s="3"/>
      <x:c r="M1" s="3"/>
      <x:c r="N1" s="3"/>
      <x:c r="O1" s="3"/>
      <x:c r="P1" s="3"/>
      <x:c r="Q1" s="3"/>
      <x:c r="R1" s="3"/>
      <x:c r="S1" s="3"/>
      <x:c r="T1" s="3"/>
      <x:c r="U1" s="3"/>
      <x:c r="V1" s="3"/>
      <x:c r="W1" s="3"/>
    </x:row>
    <x:row r="2" ht="34" customHeight="1">
      <x:c r="A2" s="7" t="str">
        <x:v>Every included attraction has an explicit accessibility record. Evidence type and confidence are shown so official and community-mapped information are not treated as equivalent.</x:v>
      </x:c>
      <x:c r="B2" s="7"/>
      <x:c r="C2" s="7"/>
      <x:c r="D2" s="7"/>
      <x:c r="E2" s="7"/>
      <x:c r="F2" s="7"/>
      <x:c r="G2" s="7"/>
      <x:c r="H2" s="7"/>
      <x:c r="I2" s="7"/>
      <x:c r="J2" s="7"/>
      <x:c r="K2" s="7"/>
      <x:c r="L2" s="7"/>
      <x:c r="M2" s="7"/>
      <x:c r="N2" s="7"/>
      <x:c r="O2" s="7"/>
      <x:c r="P2" s="7"/>
      <x:c r="Q2" s="7"/>
      <x:c r="R2" s="7"/>
      <x:c r="S2" s="7"/>
      <x:c r="T2" s="7"/>
      <x:c r="U2" s="7"/>
      <x:c r="V2" s="7"/>
      <x:c r="W2" s="7"/>
    </x:row>
    <x:row r="4" ht="44" customHeight="1">
      <x:c r="A4" s="16" t="str">
        <x:v>Record ID</x:v>
      </x:c>
      <x:c r="B4" s="17" t="str">
        <x:v>Attraction Name</x:v>
      </x:c>
      <x:c r="C4" s="17" t="str">
        <x:v>State / Territory</x:v>
      </x:c>
      <x:c r="D4" s="17" t="str">
        <x:v>City / District</x:v>
      </x:c>
      <x:c r="E4" s="17" t="str">
        <x:v>Primary Category</x:v>
      </x:c>
      <x:c r="F4" s="17" t="str">
        <x:v>Setting</x:v>
      </x:c>
      <x:c r="G4" s="17" t="str">
        <x:v>Interests / Tags</x:v>
      </x:c>
      <x:c r="H4" s="17" t="str">
        <x:v>Description</x:v>
      </x:c>
      <x:c r="I4" s="17" t="str">
        <x:v>Latitude</x:v>
      </x:c>
      <x:c r="J4" s="17" t="str">
        <x:v>Longitude</x:v>
      </x:c>
      <x:c r="K4" s="17" t="str">
        <x:v>Walking Difficulty</x:v>
      </x:c>
      <x:c r="L4" s="17" t="str">
        <x:v>Step-Free Access</x:v>
      </x:c>
      <x:c r="M4" s="17" t="str">
        <x:v>Resting Seats Available</x:v>
      </x:c>
      <x:c r="N4" s="17" t="str">
        <x:v>Accessible Toilet</x:v>
      </x:c>
      <x:c r="O4" s="17" t="str">
        <x:v>Parking Proximity</x:v>
      </x:c>
      <x:c r="P4" s="17" t="str">
        <x:v>Shelter Available</x:v>
      </x:c>
      <x:c r="Q4" s="17" t="str">
        <x:v>Elderly Suitability</x:v>
      </x:c>
      <x:c r="R4" s="17" t="str">
        <x:v>Elderly Accessibility Notes</x:v>
      </x:c>
      <x:c r="S4" s="17" t="str">
        <x:v>Accessibility Evidence Source</x:v>
      </x:c>
      <x:c r="T4" s="17" t="str">
        <x:v>Evidence Type</x:v>
      </x:c>
      <x:c r="U4" s="17" t="str">
        <x:v>Evidence Confidence</x:v>
      </x:c>
      <x:c r="V4" s="17" t="str">
        <x:v>Accessibility Screening Notes</x:v>
      </x:c>
      <x:c r="W4" s="18" t="str">
        <x:v>Accessibility Screening Date</x:v>
      </x:c>
    </x:row>
    <x:row r="5">
      <x:c r="A5" s="25" t="str">
        <x:v>OSM-way-678151436</x:v>
      </x:c>
      <x:c r="B5" s="25" t="str">
        <x:v>AEON Mall Tebrau City</x:v>
      </x:c>
      <x:c r="C5" s="25" t="str">
        <x:v>Johor</x:v>
      </x:c>
      <x:c r="D5" s="25" t="str">
        <x:v>Johor Bahru</x:v>
      </x:c>
      <x:c r="E5" s="25" t="str">
        <x:v>Shopping</x:v>
      </x:c>
      <x:c r="F5" s="25" t="str">
        <x:v>Indoor / sheltered</x:v>
      </x:c>
      <x:c r="G5" s="25" t="str">
        <x:v>shopping centre; wheelchair access; AEON Mall</x:v>
      </x:c>
      <x:c r="H5" s="25" t="str">
        <x:v>AEON Mall Tebrau City is a shopping centre in Johor Bahru, Johor. OpenStreetMap records the place as limited wheelchair access.</x:v>
      </x:c>
      <x:c r="I5" s="28" t="n">
        <x:v>1.549272</x:v>
      </x:c>
      <x:c r="J5" s="28" t="n">
        <x:v>103.7958392</x:v>
      </x:c>
      <x:c r="K5" s="25" t="str">
        <x:v>Unknown</x:v>
      </x:c>
      <x:c r="L5" s="25" t="str">
        <x:v>Partial</x:v>
      </x:c>
      <x:c r="M5" s="25" t="str">
        <x:v>Unknown</x:v>
      </x:c>
      <x:c r="N5" s="25" t="str">
        <x:v>Unknown</x:v>
      </x:c>
      <x:c r="O5" s="25" t="str">
        <x:v>Unknown</x:v>
      </x:c>
      <x:c r="P5" s="25" t="str">
        <x:v>Unknown</x:v>
      </x:c>
      <x:c r="Q5" s="25" t="str">
        <x:v>Limited access; assistance may be needed</x:v>
      </x:c>
      <x:c r="R5" s="25" t="str">
        <x:v>OpenStreetMap records wheelchair=limited, indicating that some visitor areas may be accessible while barriers remain. The mapped record does not identify the restricted sections.</x:v>
      </x:c>
      <x:c r="S5" s="25" t="str">
        <x:v>https://www.openstreetmap.org/way/678151436</x:v>
      </x:c>
      <x:c r="T5" s="25" t="str">
        <x:v>OpenStreetMap community-mapped accessibility</x:v>
      </x:c>
      <x:c r="U5" s="25" t="str">
        <x:v>Medium</x:v>
      </x:c>
      <x:c r="V5" s="25" t="str">
        <x:v>Included because the OpenStreetMap record explicitly states wheelchair=limited. This is community-mapped evidence with medium confidence.</x:v>
      </x:c>
      <x:c r="W5" s="31" t="str">
        <x:v>2026-08-17</x:v>
      </x:c>
    </x:row>
    <x:row r="6">
      <x:c r="A6" s="26" t="str">
        <x:v>OSM-node-4407659564</x:v>
      </x:c>
      <x:c r="B6" s="26" t="str">
        <x:v>Hakka Culture Museum</x:v>
      </x:c>
      <x:c r="C6" s="26" t="str">
        <x:v>Johor</x:v>
      </x:c>
      <x:c r="D6" s="26" t="str">
        <x:v>Not recorded</x:v>
      </x:c>
      <x:c r="E6" s="26" t="str">
        <x:v>Museum and Gallery</x:v>
      </x:c>
      <x:c r="F6" s="26" t="str">
        <x:v>Indoor / sheltered</x:v>
      </x:c>
      <x:c r="G6" s="26" t="str">
        <x:v>museum; wheelchair access</x:v>
      </x:c>
      <x:c r="H6" s="26" t="str">
        <x:v>Hakka Culture Museum is a museum in Johor. OpenStreetMap records the place as wheelchair accessible.</x:v>
      </x:c>
      <x:c r="I6" s="29" t="n">
        <x:v>2.2957586</x:v>
      </x:c>
      <x:c r="J6" s="29" t="n">
        <x:v>103.1304588</x:v>
      </x:c>
      <x:c r="K6" s="26" t="str">
        <x:v>Unknown</x:v>
      </x:c>
      <x:c r="L6" s="26" t="str">
        <x:v>Yes</x:v>
      </x:c>
      <x:c r="M6" s="26" t="str">
        <x:v>Unknown</x:v>
      </x:c>
      <x:c r="N6" s="26" t="str">
        <x:v>Unknown</x:v>
      </x:c>
      <x:c r="O6" s="26" t="str">
        <x:v>Unknown</x:v>
      </x:c>
      <x:c r="P6" s="26" t="str">
        <x:v>Unknown</x:v>
      </x:c>
      <x:c r="Q6" s="26" t="str">
        <x:v>Wheelchair access mapped</x:v>
      </x:c>
      <x:c r="R6" s="26" t="str">
        <x:v>OpenStreetMap records wheelchair=yes, indicating the main visitor access is community-mapped as wheelchair accessible. Individual facilities such as toilets, seats, lifts and parking are not separately documented in this record.</x:v>
      </x:c>
      <x:c r="S6" s="26" t="str">
        <x:v>https://www.openstreetmap.org/node/4407659564</x:v>
      </x:c>
      <x:c r="T6" s="26" t="str">
        <x:v>OpenStreetMap community-mapped accessibility</x:v>
      </x:c>
      <x:c r="U6" s="26" t="str">
        <x:v>Medium</x:v>
      </x:c>
      <x:c r="V6" s="26" t="str">
        <x:v>Included because the OpenStreetMap record explicitly states wheelchair=yes. This is community-mapped evidence with medium confidence.</x:v>
      </x:c>
      <x:c r="W6" s="32" t="str">
        <x:v>2026-08-17</x:v>
      </x:c>
    </x:row>
    <x:row r="7">
      <x:c r="A7" s="26" t="str">
        <x:v>OSM-way-232739662</x:v>
      </x:c>
      <x:c r="B7" s="26" t="str">
        <x:v>IOI Mall Kulai</x:v>
      </x:c>
      <x:c r="C7" s="26" t="str">
        <x:v>Johor</x:v>
      </x:c>
      <x:c r="D7" s="26" t="str">
        <x:v>Kulai</x:v>
      </x:c>
      <x:c r="E7" s="26" t="str">
        <x:v>Shopping</x:v>
      </x:c>
      <x:c r="F7" s="26" t="str">
        <x:v>Indoor / sheltered</x:v>
      </x:c>
      <x:c r="G7" s="26" t="str">
        <x:v>shopping centre; wheelchair access</x:v>
      </x:c>
      <x:c r="H7" s="26" t="str">
        <x:v>Shopping mall in Kulai, Johor, Malaysia. OpenStreetMap records the place as wheelchair accessible.</x:v>
      </x:c>
      <x:c r="I7" s="29" t="n">
        <x:v>1.6478402</x:v>
      </x:c>
      <x:c r="J7" s="29" t="n">
        <x:v>103.6268543</x:v>
      </x:c>
      <x:c r="K7" s="26" t="str">
        <x:v>Unknown</x:v>
      </x:c>
      <x:c r="L7" s="26" t="str">
        <x:v>Yes</x:v>
      </x:c>
      <x:c r="M7" s="26" t="str">
        <x:v>Unknown</x:v>
      </x:c>
      <x:c r="N7" s="26" t="str">
        <x:v>Unknown</x:v>
      </x:c>
      <x:c r="O7" s="26" t="str">
        <x:v>Unknown</x:v>
      </x:c>
      <x:c r="P7" s="26" t="str">
        <x:v>Unknown</x:v>
      </x:c>
      <x:c r="Q7" s="26" t="str">
        <x:v>Wheelchair access mapped</x:v>
      </x:c>
      <x:c r="R7" s="26" t="str">
        <x:v>OpenStreetMap records wheelchair=yes, indicating the main visitor access is community-mapped as wheelchair accessible. Individual facilities such as toilets, seats, lifts and parking are not separately documented in this record.</x:v>
      </x:c>
      <x:c r="S7" s="26" t="str">
        <x:v>https://www.openstreetmap.org/way/232739662</x:v>
      </x:c>
      <x:c r="T7" s="26" t="str">
        <x:v>OpenStreetMap community-mapped accessibility</x:v>
      </x:c>
      <x:c r="U7" s="26" t="str">
        <x:v>Medium</x:v>
      </x:c>
      <x:c r="V7" s="26" t="str">
        <x:v>Included because the OpenStreetMap record explicitly states wheelchair=yes. This is community-mapped evidence with medium confidence.</x:v>
      </x:c>
      <x:c r="W7" s="32" t="str">
        <x:v>2026-08-17</x:v>
      </x:c>
    </x:row>
    <x:row r="8">
      <x:c r="A8" s="26" t="str">
        <x:v>OSM-node-7388192771</x:v>
      </x:c>
      <x:c r="B8" s="26" t="str">
        <x:v>Kota Tinggi Firefly Park</x:v>
      </x:c>
      <x:c r="C8" s="26" t="str">
        <x:v>Johor</x:v>
      </x:c>
      <x:c r="D8" s="26" t="str">
        <x:v>Not recorded</x:v>
      </x:c>
      <x:c r="E8" s="26" t="str">
        <x:v>Urban Attraction</x:v>
      </x:c>
      <x:c r="F8" s="26" t="str">
        <x:v>Both / varies</x:v>
      </x:c>
      <x:c r="G8" s="26" t="str">
        <x:v>visitor attraction; wheelchair access</x:v>
      </x:c>
      <x:c r="H8" s="26" t="str">
        <x:v>Kota Tinggi Firefly Park is a visitor attraction in Johor. OpenStreetMap records the place as wheelchair accessible.</x:v>
      </x:c>
      <x:c r="I8" s="29" t="n">
        <x:v>1.7269449</x:v>
      </x:c>
      <x:c r="J8" s="29" t="n">
        <x:v>103.9114621</x:v>
      </x:c>
      <x:c r="K8" s="26" t="str">
        <x:v>Unknown</x:v>
      </x:c>
      <x:c r="L8" s="26" t="str">
        <x:v>Yes</x:v>
      </x:c>
      <x:c r="M8" s="26" t="str">
        <x:v>Unknown</x:v>
      </x:c>
      <x:c r="N8" s="26" t="str">
        <x:v>Unknown</x:v>
      </x:c>
      <x:c r="O8" s="26" t="str">
        <x:v>Unknown</x:v>
      </x:c>
      <x:c r="P8" s="26" t="str">
        <x:v>Unknown</x:v>
      </x:c>
      <x:c r="Q8" s="26" t="str">
        <x:v>Wheelchair access mapped</x:v>
      </x:c>
      <x:c r="R8" s="26" t="str">
        <x:v>OpenStreetMap records wheelchair=yes, indicating the main visitor access is community-mapped as wheelchair accessible. Individual facilities such as toilets, seats, lifts and parking are not separately documented in this record.</x:v>
      </x:c>
      <x:c r="S8" s="26" t="str">
        <x:v>https://www.openstreetmap.org/node/7388192771</x:v>
      </x:c>
      <x:c r="T8" s="26" t="str">
        <x:v>OpenStreetMap community-mapped accessibility</x:v>
      </x:c>
      <x:c r="U8" s="26" t="str">
        <x:v>Medium</x:v>
      </x:c>
      <x:c r="V8" s="26" t="str">
        <x:v>Included because the OpenStreetMap record explicitly states wheelchair=yes. This is community-mapped evidence with medium confidence.</x:v>
      </x:c>
      <x:c r="W8" s="32" t="str">
        <x:v>2026-08-17</x:v>
      </x:c>
    </x:row>
    <x:row r="9">
      <x:c r="A9" s="26" t="str">
        <x:v>OSM-way-180351423</x:v>
      </x:c>
      <x:c r="B9" s="26" t="str">
        <x:v>Sutera Mall</x:v>
      </x:c>
      <x:c r="C9" s="26" t="str">
        <x:v>Johor</x:v>
      </x:c>
      <x:c r="D9" s="26" t="str">
        <x:v>Iskandar Puteri</x:v>
      </x:c>
      <x:c r="E9" s="26" t="str">
        <x:v>Shopping</x:v>
      </x:c>
      <x:c r="F9" s="26" t="str">
        <x:v>Indoor / sheltered</x:v>
      </x:c>
      <x:c r="G9" s="26" t="str">
        <x:v>shopping centre; wheelchair access</x:v>
      </x:c>
      <x:c r="H9" s="26" t="str">
        <x:v>Sutera Mall is a shopping centre in Iskandar Puteri, Johor. OpenStreetMap records the place as limited wheelchair access.</x:v>
      </x:c>
      <x:c r="I9" s="29" t="n">
        <x:v>1.5176793</x:v>
      </x:c>
      <x:c r="J9" s="29" t="n">
        <x:v>103.6711057</x:v>
      </x:c>
      <x:c r="K9" s="26" t="str">
        <x:v>Unknown</x:v>
      </x:c>
      <x:c r="L9" s="26" t="str">
        <x:v>Partial</x:v>
      </x:c>
      <x:c r="M9" s="26" t="str">
        <x:v>Unknown</x:v>
      </x:c>
      <x:c r="N9" s="26" t="str">
        <x:v>Unknown</x:v>
      </x:c>
      <x:c r="O9" s="26" t="str">
        <x:v>Unknown</x:v>
      </x:c>
      <x:c r="P9" s="26" t="str">
        <x:v>Unknown</x:v>
      </x:c>
      <x:c r="Q9" s="26" t="str">
        <x:v>Limited access; assistance may be needed</x:v>
      </x:c>
      <x:c r="R9" s="26" t="str">
        <x:v>OpenStreetMap records wheelchair=limited, indicating that some visitor areas may be accessible while barriers remain. The mapped record does not identify the restricted sections.</x:v>
      </x:c>
      <x:c r="S9" s="26" t="str">
        <x:v>https://www.openstreetmap.org/way/180351423</x:v>
      </x:c>
      <x:c r="T9" s="26" t="str">
        <x:v>OpenStreetMap community-mapped accessibility</x:v>
      </x:c>
      <x:c r="U9" s="26" t="str">
        <x:v>Medium</x:v>
      </x:c>
      <x:c r="V9" s="26" t="str">
        <x:v>Included because the OpenStreetMap record explicitly states wheelchair=limited. This is community-mapped evidence with medium confidence.</x:v>
      </x:c>
      <x:c r="W9" s="32" t="str">
        <x:v>2026-08-17</x:v>
      </x:c>
    </x:row>
    <x:row r="10">
      <x:c r="A10" s="26" t="str">
        <x:v>OSM-way-273393877</x:v>
      </x:c>
      <x:c r="B10" s="26" t="str">
        <x:v>Alor Star Mall</x:v>
      </x:c>
      <x:c r="C10" s="26" t="str">
        <x:v>Kedah</x:v>
      </x:c>
      <x:c r="D10" s="26" t="str">
        <x:v>Alor Setar</x:v>
      </x:c>
      <x:c r="E10" s="26" t="str">
        <x:v>Shopping</x:v>
      </x:c>
      <x:c r="F10" s="26" t="str">
        <x:v>Indoor / sheltered</x:v>
      </x:c>
      <x:c r="G10" s="26" t="str">
        <x:v>shopping centre; wheelchair access</x:v>
      </x:c>
      <x:c r="H10" s="26" t="str">
        <x:v>Alor Star Mall is a shopping centre in Alor Setar, Kedah. OpenStreetMap records the place as wheelchair accessible.</x:v>
      </x:c>
      <x:c r="I10" s="29" t="n">
        <x:v>6.0810841</x:v>
      </x:c>
      <x:c r="J10" s="29" t="n">
        <x:v>100.3609195</x:v>
      </x:c>
      <x:c r="K10" s="26" t="str">
        <x:v>Unknown</x:v>
      </x:c>
      <x:c r="L10" s="26" t="str">
        <x:v>Yes</x:v>
      </x:c>
      <x:c r="M10" s="26" t="str">
        <x:v>Unknown</x:v>
      </x:c>
      <x:c r="N10" s="26" t="str">
        <x:v>Unknown</x:v>
      </x:c>
      <x:c r="O10" s="26" t="str">
        <x:v>Unknown</x:v>
      </x:c>
      <x:c r="P10" s="26" t="str">
        <x:v>Unknown</x:v>
      </x:c>
      <x:c r="Q10" s="26" t="str">
        <x:v>Wheelchair access mapped</x:v>
      </x:c>
      <x:c r="R10" s="26" t="str">
        <x:v>OpenStreetMap records wheelchair=yes, indicating the main visitor access is community-mapped as wheelchair accessible. Individual facilities such as toilets, seats, lifts and parking are not separately documented in this record.</x:v>
      </x:c>
      <x:c r="S10" s="26" t="str">
        <x:v>https://www.openstreetmap.org/way/273393877</x:v>
      </x:c>
      <x:c r="T10" s="26" t="str">
        <x:v>OpenStreetMap community-mapped accessibility</x:v>
      </x:c>
      <x:c r="U10" s="26" t="str">
        <x:v>Medium</x:v>
      </x:c>
      <x:c r="V10" s="26" t="str">
        <x:v>Included because the OpenStreetMap record explicitly states wheelchair=yes. This is community-mapped evidence with medium confidence.</x:v>
      </x:c>
      <x:c r="W10" s="32" t="str">
        <x:v>2026-08-17</x:v>
      </x:c>
    </x:row>
    <x:row r="11">
      <x:c r="A11" s="26" t="str">
        <x:v>OSM-way-1073229943</x:v>
      </x:c>
      <x:c r="B11" s="26" t="str">
        <x:v>Pasar Awam Pekan Sungai Limau Dalam</x:v>
      </x:c>
      <x:c r="C11" s="26" t="str">
        <x:v>Kedah</x:v>
      </x:c>
      <x:c r="D11" s="26" t="str">
        <x:v>Not recorded</x:v>
      </x:c>
      <x:c r="E11" s="26" t="str">
        <x:v>Food and Market</x:v>
      </x:c>
      <x:c r="F11" s="26" t="str">
        <x:v>Both / varies</x:v>
      </x:c>
      <x:c r="G11" s="26" t="str">
        <x:v>public market; wheelchair access</x:v>
      </x:c>
      <x:c r="H11" s="26" t="str">
        <x:v>Pasar Awam Pekan Sungai Limau Dalam is a public market in Kedah. OpenStreetMap records the place as limited wheelchair access.</x:v>
      </x:c>
      <x:c r="I11" s="29" t="n">
        <x:v>5.8960189</x:v>
      </x:c>
      <x:c r="J11" s="29" t="n">
        <x:v>100.378036</x:v>
      </x:c>
      <x:c r="K11" s="26" t="str">
        <x:v>Unknown</x:v>
      </x:c>
      <x:c r="L11" s="26" t="str">
        <x:v>Partial</x:v>
      </x:c>
      <x:c r="M11" s="26" t="str">
        <x:v>Unknown</x:v>
      </x:c>
      <x:c r="N11" s="26" t="str">
        <x:v>Unknown</x:v>
      </x:c>
      <x:c r="O11" s="26" t="str">
        <x:v>Unknown</x:v>
      </x:c>
      <x:c r="P11" s="26" t="str">
        <x:v>Unknown</x:v>
      </x:c>
      <x:c r="Q11" s="26" t="str">
        <x:v>Limited access; assistance may be needed</x:v>
      </x:c>
      <x:c r="R11" s="26" t="str">
        <x:v>OpenStreetMap records wheelchair=limited, indicating that some visitor areas may be accessible while barriers remain. The mapped record does not identify the restricted sections.</x:v>
      </x:c>
      <x:c r="S11" s="26" t="str">
        <x:v>https://www.openstreetmap.org/way/1073229943</x:v>
      </x:c>
      <x:c r="T11" s="26" t="str">
        <x:v>OpenStreetMap community-mapped accessibility</x:v>
      </x:c>
      <x:c r="U11" s="26" t="str">
        <x:v>Medium</x:v>
      </x:c>
      <x:c r="V11" s="26" t="str">
        <x:v>Included because the OpenStreetMap record explicitly states wheelchair=limited. This is community-mapped evidence with medium confidence.</x:v>
      </x:c>
      <x:c r="W11" s="32" t="str">
        <x:v>2026-08-17</x:v>
      </x:c>
    </x:row>
    <x:row r="12">
      <x:c r="A12" s="26" t="str">
        <x:v>OSM-node-4540943897</x:v>
      </x:c>
      <x:c r="B12" s="26" t="str">
        <x:v>Pasar malam</x:v>
      </x:c>
      <x:c r="C12" s="26" t="str">
        <x:v>Kedah</x:v>
      </x:c>
      <x:c r="D12" s="26" t="str">
        <x:v>Jitra</x:v>
      </x:c>
      <x:c r="E12" s="26" t="str">
        <x:v>Food and Market</x:v>
      </x:c>
      <x:c r="F12" s="26" t="str">
        <x:v>Both / varies</x:v>
      </x:c>
      <x:c r="G12" s="26" t="str">
        <x:v>public market; wheelchair access; Majlis Daerah Kubang Pasu</x:v>
      </x:c>
      <x:c r="H12" s="26" t="str">
        <x:v>Pasar malam is a public market in Jitra, Kedah. OpenStreetMap records the place as wheelchair accessible.</x:v>
      </x:c>
      <x:c r="I12" s="29" t="n">
        <x:v>6.2364695</x:v>
      </x:c>
      <x:c r="J12" s="29" t="n">
        <x:v>100.4213479</x:v>
      </x:c>
      <x:c r="K12" s="26" t="str">
        <x:v>Unknown</x:v>
      </x:c>
      <x:c r="L12" s="26" t="str">
        <x:v>Yes</x:v>
      </x:c>
      <x:c r="M12" s="26" t="str">
        <x:v>Unknown</x:v>
      </x:c>
      <x:c r="N12" s="26" t="str">
        <x:v>Unknown</x:v>
      </x:c>
      <x:c r="O12" s="26" t="str">
        <x:v>Unknown</x:v>
      </x:c>
      <x:c r="P12" s="26" t="str">
        <x:v>Unknown</x:v>
      </x:c>
      <x:c r="Q12" s="26" t="str">
        <x:v>Wheelchair access mapped</x:v>
      </x:c>
      <x:c r="R12" s="26" t="str">
        <x:v>OpenStreetMap records wheelchair=yes, indicating the main visitor access is community-mapped as wheelchair accessible. Individual facilities such as toilets, seats, lifts and parking are not separately documented in this record.</x:v>
      </x:c>
      <x:c r="S12" s="26" t="str">
        <x:v>https://www.openstreetmap.org/node/4540943897</x:v>
      </x:c>
      <x:c r="T12" s="26" t="str">
        <x:v>OpenStreetMap community-mapped accessibility</x:v>
      </x:c>
      <x:c r="U12" s="26" t="str">
        <x:v>Medium</x:v>
      </x:c>
      <x:c r="V12" s="26" t="str">
        <x:v>Included because the OpenStreetMap record explicitly states wheelchair=yes. This is community-mapped evidence with medium confidence.</x:v>
      </x:c>
      <x:c r="W12" s="32" t="str">
        <x:v>2026-08-17</x:v>
      </x:c>
    </x:row>
    <x:row r="13">
      <x:c r="A13" s="26" t="str">
        <x:v>OSM-way-422075314</x:v>
      </x:c>
      <x:c r="B13" s="26" t="str">
        <x:v>Pusat Interpretasi Pelancongan Kuala Muda (Kompleks Jeti Semeling)</x:v>
      </x:c>
      <x:c r="C13" s="26" t="str">
        <x:v>Kedah</x:v>
      </x:c>
      <x:c r="D13" s="26" t="str">
        <x:v>Sungai Petani</x:v>
      </x:c>
      <x:c r="E13" s="26" t="str">
        <x:v>Urban Attraction</x:v>
      </x:c>
      <x:c r="F13" s="26" t="str">
        <x:v>Both / varies</x:v>
      </x:c>
      <x:c r="G13" s="26" t="str">
        <x:v>visitor attraction; wheelchair access</x:v>
      </x:c>
      <x:c r="H13" s="26" t="str">
        <x:v>Pusat Interpretasi Pelancongan Kuala Muda (Kompleks Jeti Semeling) is a visitor attraction in Sungai Petani, Kedah. OpenStreetMap records the place as wheelchair accessible.</x:v>
      </x:c>
      <x:c r="I13" s="29" t="n">
        <x:v>5.6819513</x:v>
      </x:c>
      <x:c r="J13" s="29" t="n">
        <x:v>100.4672039</x:v>
      </x:c>
      <x:c r="K13" s="26" t="str">
        <x:v>Unknown</x:v>
      </x:c>
      <x:c r="L13" s="26" t="str">
        <x:v>Yes</x:v>
      </x:c>
      <x:c r="M13" s="26" t="str">
        <x:v>Unknown</x:v>
      </x:c>
      <x:c r="N13" s="26" t="str">
        <x:v>Unknown</x:v>
      </x:c>
      <x:c r="O13" s="26" t="str">
        <x:v>Unknown</x:v>
      </x:c>
      <x:c r="P13" s="26" t="str">
        <x:v>Unknown</x:v>
      </x:c>
      <x:c r="Q13" s="26" t="str">
        <x:v>Wheelchair access mapped</x:v>
      </x:c>
      <x:c r="R13" s="26" t="str">
        <x:v>OpenStreetMap records wheelchair=yes, indicating the main visitor access is community-mapped as wheelchair accessible. Individual facilities such as toilets, seats, lifts and parking are not separately documented in this record.</x:v>
      </x:c>
      <x:c r="S13" s="26" t="str">
        <x:v>https://www.openstreetmap.org/way/422075314</x:v>
      </x:c>
      <x:c r="T13" s="26" t="str">
        <x:v>OpenStreetMap community-mapped accessibility</x:v>
      </x:c>
      <x:c r="U13" s="26" t="str">
        <x:v>Medium</x:v>
      </x:c>
      <x:c r="V13" s="26" t="str">
        <x:v>Included because the OpenStreetMap record explicitly states wheelchair=yes. This is community-mapped evidence with medium confidence.</x:v>
      </x:c>
      <x:c r="W13" s="32" t="str">
        <x:v>2026-08-17</x:v>
      </x:c>
    </x:row>
    <x:row r="14">
      <x:c r="A14" s="26" t="str">
        <x:v>OSM-relation-19729777</x:v>
      </x:c>
      <x:c r="B14" s="26" t="str">
        <x:v>Pusat Sains Negara Cawangan Wilayah Utara</x:v>
      </x:c>
      <x:c r="C14" s="26" t="str">
        <x:v>Kedah</x:v>
      </x:c>
      <x:c r="D14" s="26" t="str">
        <x:v>Alor Setar</x:v>
      </x:c>
      <x:c r="E14" s="26" t="str">
        <x:v>Museum and Gallery</x:v>
      </x:c>
      <x:c r="F14" s="26" t="str">
        <x:v>Indoor / sheltered</x:v>
      </x:c>
      <x:c r="G14" s="26" t="str">
        <x:v>museum; wheelchair access</x:v>
      </x:c>
      <x:c r="H14" s="26" t="str">
        <x:v>Pusat Sains Negara Cawangan Wilayah Utara is a museum in Alor Setar, Kedah. OpenStreetMap records the place as wheelchair accessible.</x:v>
      </x:c>
      <x:c r="I14" s="29" t="n">
        <x:v>6.1911997</x:v>
      </x:c>
      <x:c r="J14" s="29" t="n">
        <x:v>100.3244742</x:v>
      </x:c>
      <x:c r="K14" s="26" t="str">
        <x:v>Unknown</x:v>
      </x:c>
      <x:c r="L14" s="26" t="str">
        <x:v>Yes</x:v>
      </x:c>
      <x:c r="M14" s="26" t="str">
        <x:v>Unknown</x:v>
      </x:c>
      <x:c r="N14" s="26" t="str">
        <x:v>Unknown</x:v>
      </x:c>
      <x:c r="O14" s="26" t="str">
        <x:v>Unknown</x:v>
      </x:c>
      <x:c r="P14" s="26" t="str">
        <x:v>Unknown</x:v>
      </x:c>
      <x:c r="Q14" s="26" t="str">
        <x:v>Wheelchair access mapped</x:v>
      </x:c>
      <x:c r="R14" s="26" t="str">
        <x:v>OpenStreetMap records wheelchair=yes, indicating the main visitor access is community-mapped as wheelchair accessible. Individual facilities such as toilets, seats, lifts and parking are not separately documented in this record.</x:v>
      </x:c>
      <x:c r="S14" s="26" t="str">
        <x:v>https://www.openstreetmap.org/relation/19729777</x:v>
      </x:c>
      <x:c r="T14" s="26" t="str">
        <x:v>OpenStreetMap community-mapped accessibility</x:v>
      </x:c>
      <x:c r="U14" s="26" t="str">
        <x:v>Medium</x:v>
      </x:c>
      <x:c r="V14" s="26" t="str">
        <x:v>Included because the OpenStreetMap record explicitly states wheelchair=yes. This is community-mapped evidence with medium confidence.</x:v>
      </x:c>
      <x:c r="W14" s="32" t="str">
        <x:v>2026-08-17</x:v>
      </x:c>
    </x:row>
    <x:row r="15">
      <x:c r="A15" s="26" t="str">
        <x:v>OSM-way-387592108</x:v>
      </x:c>
      <x:c r="B15" s="26" t="str">
        <x:v>Tapak Arkeologi Sungai Batu</x:v>
      </x:c>
      <x:c r="C15" s="26" t="str">
        <x:v>Kedah</x:v>
      </x:c>
      <x:c r="D15" s="26" t="str">
        <x:v>Sungai Petani</x:v>
      </x:c>
      <x:c r="E15" s="26" t="str">
        <x:v>Heritage and History</x:v>
      </x:c>
      <x:c r="F15" s="26" t="str">
        <x:v>Both / varies</x:v>
      </x:c>
      <x:c r="G15" s="26" t="str">
        <x:v>archaeological site; wheelchair access</x:v>
      </x:c>
      <x:c r="H15" s="26" t="str">
        <x:v>Tapak Arkeologi Sungai Batu is a archaeological site in Sungai Petani, Kedah. OpenStreetMap records the place as limited wheelchair access.</x:v>
      </x:c>
      <x:c r="I15" s="29" t="n">
        <x:v>5.6960538</x:v>
      </x:c>
      <x:c r="J15" s="29" t="n">
        <x:v>100.4523869</x:v>
      </x:c>
      <x:c r="K15" s="26" t="str">
        <x:v>Unknown</x:v>
      </x:c>
      <x:c r="L15" s="26" t="str">
        <x:v>Partial</x:v>
      </x:c>
      <x:c r="M15" s="26" t="str">
        <x:v>Unknown</x:v>
      </x:c>
      <x:c r="N15" s="26" t="str">
        <x:v>Unknown</x:v>
      </x:c>
      <x:c r="O15" s="26" t="str">
        <x:v>Unknown</x:v>
      </x:c>
      <x:c r="P15" s="26" t="str">
        <x:v>Unknown</x:v>
      </x:c>
      <x:c r="Q15" s="26" t="str">
        <x:v>Limited access; assistance may be needed</x:v>
      </x:c>
      <x:c r="R15" s="26" t="str">
        <x:v>OpenStreetMap records wheelchair=limited, indicating that some visitor areas may be accessible while barriers remain. The mapped record does not identify the restricted sections.</x:v>
      </x:c>
      <x:c r="S15" s="26" t="str">
        <x:v>https://www.openstreetmap.org/way/387592108</x:v>
      </x:c>
      <x:c r="T15" s="26" t="str">
        <x:v>OpenStreetMap community-mapped accessibility</x:v>
      </x:c>
      <x:c r="U15" s="26" t="str">
        <x:v>Medium</x:v>
      </x:c>
      <x:c r="V15" s="26" t="str">
        <x:v>Included because the OpenStreetMap record explicitly states wheelchair=limited. This is community-mapped evidence with medium confidence.</x:v>
      </x:c>
      <x:c r="W15" s="32" t="str">
        <x:v>2026-08-17</x:v>
      </x:c>
    </x:row>
    <x:row r="16">
      <x:c r="A16" s="26" t="str">
        <x:v>OSM-node-5592314780</x:v>
      </x:c>
      <x:c r="B16" s="26" t="str">
        <x:v>Tapak Pasar Malam Jalan Sultan Badlishah</x:v>
      </x:c>
      <x:c r="C16" s="26" t="str">
        <x:v>Kedah</x:v>
      </x:c>
      <x:c r="D16" s="26" t="str">
        <x:v>Alor Setar</x:v>
      </x:c>
      <x:c r="E16" s="26" t="str">
        <x:v>Food and Market</x:v>
      </x:c>
      <x:c r="F16" s="26" t="str">
        <x:v>Both / varies</x:v>
      </x:c>
      <x:c r="G16" s="26" t="str">
        <x:v>public market; wheelchair access; Majlis Bandaraya Alor Setar</x:v>
      </x:c>
      <x:c r="H16" s="26" t="str">
        <x:v>Tapak Pasar Malam Jalan Sultan Badlishah is a public market in Alor Setar, Kedah. OpenStreetMap records the place as wheelchair accessible.</x:v>
      </x:c>
      <x:c r="I16" s="29" t="n">
        <x:v>6.1228295</x:v>
      </x:c>
      <x:c r="J16" s="29" t="n">
        <x:v>100.3725032</x:v>
      </x:c>
      <x:c r="K16" s="26" t="str">
        <x:v>Unknown</x:v>
      </x:c>
      <x:c r="L16" s="26" t="str">
        <x:v>Yes</x:v>
      </x:c>
      <x:c r="M16" s="26" t="str">
        <x:v>Unknown</x:v>
      </x:c>
      <x:c r="N16" s="26" t="str">
        <x:v>Unknown</x:v>
      </x:c>
      <x:c r="O16" s="26" t="str">
        <x:v>Unknown</x:v>
      </x:c>
      <x:c r="P16" s="26" t="str">
        <x:v>Unknown</x:v>
      </x:c>
      <x:c r="Q16" s="26" t="str">
        <x:v>Wheelchair access mapped</x:v>
      </x:c>
      <x:c r="R16" s="26" t="str">
        <x:v>OpenStreetMap records wheelchair=yes, indicating the main visitor access is community-mapped as wheelchair accessible. Individual facilities such as toilets, seats, lifts and parking are not separately documented in this record.</x:v>
      </x:c>
      <x:c r="S16" s="26" t="str">
        <x:v>https://www.openstreetmap.org/node/5592314780</x:v>
      </x:c>
      <x:c r="T16" s="26" t="str">
        <x:v>OpenStreetMap community-mapped accessibility</x:v>
      </x:c>
      <x:c r="U16" s="26" t="str">
        <x:v>Medium</x:v>
      </x:c>
      <x:c r="V16" s="26" t="str">
        <x:v>Included because the OpenStreetMap record explicitly states wheelchair=yes. This is community-mapped evidence with medium confidence.</x:v>
      </x:c>
      <x:c r="W16" s="32" t="str">
        <x:v>2026-08-17</x:v>
      </x:c>
    </x:row>
    <x:row r="17">
      <x:c r="A17" s="26" t="str">
        <x:v>OSM-way-354253112</x:v>
      </x:c>
      <x:c r="B17" s="26" t="str">
        <x:v>UUM Mall</x:v>
      </x:c>
      <x:c r="C17" s="26" t="str">
        <x:v>Kedah</x:v>
      </x:c>
      <x:c r="D17" s="26" t="str">
        <x:v>Bukit Kachi</x:v>
      </x:c>
      <x:c r="E17" s="26" t="str">
        <x:v>Shopping</x:v>
      </x:c>
      <x:c r="F17" s="26" t="str">
        <x:v>Indoor / sheltered</x:v>
      </x:c>
      <x:c r="G17" s="26" t="str">
        <x:v>shopping centre; wheelchair access</x:v>
      </x:c>
      <x:c r="H17" s="26" t="str">
        <x:v>UUM Mall is a shopping centre in Bukit Kachi, Kedah. OpenStreetMap records the place as wheelchair accessible.</x:v>
      </x:c>
      <x:c r="I17" s="29" t="n">
        <x:v>6.4625305</x:v>
      </x:c>
      <x:c r="J17" s="29" t="n">
        <x:v>100.5017239</x:v>
      </x:c>
      <x:c r="K17" s="26" t="str">
        <x:v>Unknown</x:v>
      </x:c>
      <x:c r="L17" s="26" t="str">
        <x:v>Yes</x:v>
      </x:c>
      <x:c r="M17" s="26" t="str">
        <x:v>Unknown</x:v>
      </x:c>
      <x:c r="N17" s="26" t="str">
        <x:v>Unknown</x:v>
      </x:c>
      <x:c r="O17" s="26" t="str">
        <x:v>Unknown</x:v>
      </x:c>
      <x:c r="P17" s="26" t="str">
        <x:v>Unknown</x:v>
      </x:c>
      <x:c r="Q17" s="26" t="str">
        <x:v>Wheelchair access mapped</x:v>
      </x:c>
      <x:c r="R17" s="26" t="str">
        <x:v>OpenStreetMap records wheelchair=yes, indicating the main visitor access is community-mapped as wheelchair accessible. Individual facilities such as toilets, seats, lifts and parking are not separately documented in this record.</x:v>
      </x:c>
      <x:c r="S17" s="26" t="str">
        <x:v>https://www.openstreetmap.org/way/354253112</x:v>
      </x:c>
      <x:c r="T17" s="26" t="str">
        <x:v>OpenStreetMap community-mapped accessibility</x:v>
      </x:c>
      <x:c r="U17" s="26" t="str">
        <x:v>Medium</x:v>
      </x:c>
      <x:c r="V17" s="26" t="str">
        <x:v>Included because the OpenStreetMap record explicitly states wheelchair=yes. This is community-mapped evidence with medium confidence.</x:v>
      </x:c>
      <x:c r="W17" s="32" t="str">
        <x:v>2026-08-17</x:v>
      </x:c>
    </x:row>
    <x:row r="18">
      <x:c r="A18" s="26" t="str">
        <x:v>OSM-node-4806246591</x:v>
      </x:c>
      <x:c r="B18" s="26" t="str">
        <x:v>Muzium Pulau Besar</x:v>
      </x:c>
      <x:c r="C18" s="26" t="str">
        <x:v>Melaka</x:v>
      </x:c>
      <x:c r="D18" s="26" t="str">
        <x:v>Bandaraya Melaka</x:v>
      </x:c>
      <x:c r="E18" s="26" t="str">
        <x:v>Museum and Gallery</x:v>
      </x:c>
      <x:c r="F18" s="26" t="str">
        <x:v>Indoor / sheltered</x:v>
      </x:c>
      <x:c r="G18" s="26" t="str">
        <x:v>museum; wheelchair access</x:v>
      </x:c>
      <x:c r="H18" s="26" t="str">
        <x:v>Museum in Central Melaka, Melaka, Malaysia. OpenStreetMap records the place as wheelchair accessible.</x:v>
      </x:c>
      <x:c r="I18" s="29" t="n">
        <x:v>2.1136477</x:v>
      </x:c>
      <x:c r="J18" s="29" t="n">
        <x:v>102.3333961</x:v>
      </x:c>
      <x:c r="K18" s="26" t="str">
        <x:v>Unknown</x:v>
      </x:c>
      <x:c r="L18" s="26" t="str">
        <x:v>Yes</x:v>
      </x:c>
      <x:c r="M18" s="26" t="str">
        <x:v>Unknown</x:v>
      </x:c>
      <x:c r="N18" s="26" t="str">
        <x:v>Unknown</x:v>
      </x:c>
      <x:c r="O18" s="26" t="str">
        <x:v>Unknown</x:v>
      </x:c>
      <x:c r="P18" s="26" t="str">
        <x:v>Unknown</x:v>
      </x:c>
      <x:c r="Q18" s="26" t="str">
        <x:v>Wheelchair access mapped</x:v>
      </x:c>
      <x:c r="R18" s="26" t="str">
        <x:v>OpenStreetMap records wheelchair=yes, indicating the main visitor access is community-mapped as wheelchair accessible. Individual facilities such as toilets, seats, lifts and parking are not separately documented in this record.</x:v>
      </x:c>
      <x:c r="S18" s="26" t="str">
        <x:v>https://www.openstreetmap.org/node/4806246591</x:v>
      </x:c>
      <x:c r="T18" s="26" t="str">
        <x:v>OpenStreetMap community-mapped accessibility</x:v>
      </x:c>
      <x:c r="U18" s="26" t="str">
        <x:v>Medium</x:v>
      </x:c>
      <x:c r="V18" s="26" t="str">
        <x:v>Included because the OpenStreetMap record explicitly states wheelchair=yes. This is community-mapped evidence with medium confidence.</x:v>
      </x:c>
      <x:c r="W18" s="32" t="str">
        <x:v>2026-08-17</x:v>
      </x:c>
    </x:row>
    <x:row r="19">
      <x:c r="A19" s="26" t="str">
        <x:v>OSM-way-533290427</x:v>
      </x:c>
      <x:c r="B19" s="26" t="str">
        <x:v>East Coast Mall</x:v>
      </x:c>
      <x:c r="C19" s="26" t="str">
        <x:v>Pahang</x:v>
      </x:c>
      <x:c r="D19" s="26" t="str">
        <x:v>Kuantan</x:v>
      </x:c>
      <x:c r="E19" s="26" t="str">
        <x:v>Shopping</x:v>
      </x:c>
      <x:c r="F19" s="26" t="str">
        <x:v>Indoor / sheltered</x:v>
      </x:c>
      <x:c r="G19" s="26" t="str">
        <x:v>shopping centre; wheelchair access</x:v>
      </x:c>
      <x:c r="H19" s="26" t="str">
        <x:v>East Coast Mall is a shopping centre in Kuantan, Pahang. OpenStreetMap records the place as wheelchair accessible.</x:v>
      </x:c>
      <x:c r="I19" s="29" t="n">
        <x:v>3.8182155</x:v>
      </x:c>
      <x:c r="J19" s="29" t="n">
        <x:v>103.3261787</x:v>
      </x:c>
      <x:c r="K19" s="26" t="str">
        <x:v>Unknown</x:v>
      </x:c>
      <x:c r="L19" s="26" t="str">
        <x:v>Yes</x:v>
      </x:c>
      <x:c r="M19" s="26" t="str">
        <x:v>Unknown</x:v>
      </x:c>
      <x:c r="N19" s="26" t="str">
        <x:v>Unknown</x:v>
      </x:c>
      <x:c r="O19" s="26" t="str">
        <x:v>Unknown</x:v>
      </x:c>
      <x:c r="P19" s="26" t="str">
        <x:v>Unknown</x:v>
      </x:c>
      <x:c r="Q19" s="26" t="str">
        <x:v>Wheelchair access mapped</x:v>
      </x:c>
      <x:c r="R19" s="26" t="str">
        <x:v>OpenStreetMap records wheelchair=yes, indicating the main visitor access is community-mapped as wheelchair accessible. Individual facilities such as toilets, seats, lifts and parking are not separately documented in this record.</x:v>
      </x:c>
      <x:c r="S19" s="26" t="str">
        <x:v>https://www.openstreetmap.org/way/533290427</x:v>
      </x:c>
      <x:c r="T19" s="26" t="str">
        <x:v>OpenStreetMap community-mapped accessibility</x:v>
      </x:c>
      <x:c r="U19" s="26" t="str">
        <x:v>Medium</x:v>
      </x:c>
      <x:c r="V19" s="26" t="str">
        <x:v>Included because the OpenStreetMap record explicitly states wheelchair=yes. This is community-mapped evidence with medium confidence.</x:v>
      </x:c>
      <x:c r="W19" s="32" t="str">
        <x:v>2026-08-17</x:v>
      </x:c>
    </x:row>
    <x:row r="20">
      <x:c r="A20" s="26" t="str">
        <x:v>OSM-relation-16458683</x:v>
      </x:c>
      <x:c r="B20" s="26" t="str">
        <x:v>Genting SkyWorlds Theme Park</x:v>
      </x:c>
      <x:c r="C20" s="26" t="str">
        <x:v>Pahang</x:v>
      </x:c>
      <x:c r="D20" s="26" t="str">
        <x:v>Bentong</x:v>
      </x:c>
      <x:c r="E20" s="26" t="str">
        <x:v>Theme Park</x:v>
      </x:c>
      <x:c r="F20" s="26" t="str">
        <x:v>Both / varies</x:v>
      </x:c>
      <x:c r="G20" s="26" t="str">
        <x:v>theme park; wheelchair access; Resorts World Genting</x:v>
      </x:c>
      <x:c r="H20" s="26" t="str">
        <x:v>Theme park in Bentong, Pahang, Malaysia. OpenStreetMap records the place as wheelchair accessible.</x:v>
      </x:c>
      <x:c r="I20" s="29" t="n">
        <x:v>3.4222433</x:v>
      </x:c>
      <x:c r="J20" s="29" t="n">
        <x:v>101.7952495</x:v>
      </x:c>
      <x:c r="K20" s="26" t="str">
        <x:v>Unknown</x:v>
      </x:c>
      <x:c r="L20" s="26" t="str">
        <x:v>Yes</x:v>
      </x:c>
      <x:c r="M20" s="26" t="str">
        <x:v>Unknown</x:v>
      </x:c>
      <x:c r="N20" s="26" t="str">
        <x:v>Unknown</x:v>
      </x:c>
      <x:c r="O20" s="26" t="str">
        <x:v>Unknown</x:v>
      </x:c>
      <x:c r="P20" s="26" t="str">
        <x:v>Unknown</x:v>
      </x:c>
      <x:c r="Q20" s="26" t="str">
        <x:v>Wheelchair access mapped</x:v>
      </x:c>
      <x:c r="R20" s="26" t="str">
        <x:v>OpenStreetMap records wheelchair=yes, indicating the main visitor access is community-mapped as wheelchair accessible. Individual facilities such as toilets, seats, lifts and parking are not separately documented in this record.</x:v>
      </x:c>
      <x:c r="S20" s="26" t="str">
        <x:v>https://www.openstreetmap.org/relation/16458683</x:v>
      </x:c>
      <x:c r="T20" s="26" t="str">
        <x:v>OpenStreetMap community-mapped accessibility</x:v>
      </x:c>
      <x:c r="U20" s="26" t="str">
        <x:v>Medium</x:v>
      </x:c>
      <x:c r="V20" s="26" t="str">
        <x:v>Included because the OpenStreetMap record explicitly states wheelchair=yes. This is community-mapped evidence with medium confidence.</x:v>
      </x:c>
      <x:c r="W20" s="32" t="str">
        <x:v>2026-08-17</x:v>
      </x:c>
    </x:row>
    <x:row r="21">
      <x:c r="A21" s="26" t="str">
        <x:v>OSM-way-533290433</x:v>
      </x:c>
      <x:c r="B21" s="26" t="str">
        <x:v>Kuantan City Mall</x:v>
      </x:c>
      <x:c r="C21" s="26" t="str">
        <x:v>Pahang</x:v>
      </x:c>
      <x:c r="D21" s="26" t="str">
        <x:v>Kuantan</x:v>
      </x:c>
      <x:c r="E21" s="26" t="str">
        <x:v>Shopping</x:v>
      </x:c>
      <x:c r="F21" s="26" t="str">
        <x:v>Indoor / sheltered</x:v>
      </x:c>
      <x:c r="G21" s="26" t="str">
        <x:v>shopping centre; wheelchair access</x:v>
      </x:c>
      <x:c r="H21" s="26" t="str">
        <x:v>Kuantan City Mall is a shopping centre in Kuantan, Pahang. OpenStreetMap records the place as wheelchair accessible.</x:v>
      </x:c>
      <x:c r="I21" s="29" t="n">
        <x:v>3.8177085</x:v>
      </x:c>
      <x:c r="J21" s="29" t="n">
        <x:v>103.3275057</x:v>
      </x:c>
      <x:c r="K21" s="26" t="str">
        <x:v>Unknown</x:v>
      </x:c>
      <x:c r="L21" s="26" t="str">
        <x:v>Yes</x:v>
      </x:c>
      <x:c r="M21" s="26" t="str">
        <x:v>Unknown</x:v>
      </x:c>
      <x:c r="N21" s="26" t="str">
        <x:v>Unknown</x:v>
      </x:c>
      <x:c r="O21" s="26" t="str">
        <x:v>Unknown</x:v>
      </x:c>
      <x:c r="P21" s="26" t="str">
        <x:v>Unknown</x:v>
      </x:c>
      <x:c r="Q21" s="26" t="str">
        <x:v>Wheelchair access mapped</x:v>
      </x:c>
      <x:c r="R21" s="26" t="str">
        <x:v>OpenStreetMap records wheelchair=yes, indicating the main visitor access is community-mapped as wheelchair accessible. Individual facilities such as toilets, seats, lifts and parking are not separately documented in this record.</x:v>
      </x:c>
      <x:c r="S21" s="26" t="str">
        <x:v>https://www.openstreetmap.org/way/533290433</x:v>
      </x:c>
      <x:c r="T21" s="26" t="str">
        <x:v>OpenStreetMap community-mapped accessibility</x:v>
      </x:c>
      <x:c r="U21" s="26" t="str">
        <x:v>Medium</x:v>
      </x:c>
      <x:c r="V21" s="26" t="str">
        <x:v>Included because the OpenStreetMap record explicitly states wheelchair=yes. This is community-mapped evidence with medium confidence.</x:v>
      </x:c>
      <x:c r="W21" s="32" t="str">
        <x:v>2026-08-17</x:v>
      </x:c>
    </x:row>
    <x:row r="22">
      <x:c r="A22" s="26" t="str">
        <x:v>OSM-way-993213422</x:v>
      </x:c>
      <x:c r="B22" s="26" t="str">
        <x:v>1st Avenue Mall</x:v>
      </x:c>
      <x:c r="C22" s="26" t="str">
        <x:v>Penang</x:v>
      </x:c>
      <x:c r="D22" s="26" t="str">
        <x:v>George Town</x:v>
      </x:c>
      <x:c r="E22" s="26" t="str">
        <x:v>Shopping</x:v>
      </x:c>
      <x:c r="F22" s="26" t="str">
        <x:v>Indoor / sheltered</x:v>
      </x:c>
      <x:c r="G22" s="26" t="str">
        <x:v>shopping centre; wheelchair access; 1st Avenue Mall Sdn Bhd</x:v>
      </x:c>
      <x:c r="H22" s="26" t="str">
        <x:v>Many familiar stores &amp; a food court offered in a contemporary, multi-level setting with a busy vibe. OpenStreetMap records the place as wheelchair accessible.</x:v>
      </x:c>
      <x:c r="I22" s="29" t="n">
        <x:v>5.413245</x:v>
      </x:c>
      <x:c r="J22" s="29" t="n">
        <x:v>100.3314108</x:v>
      </x:c>
      <x:c r="K22" s="26" t="str">
        <x:v>Unknown</x:v>
      </x:c>
      <x:c r="L22" s="26" t="str">
        <x:v>Yes</x:v>
      </x:c>
      <x:c r="M22" s="26" t="str">
        <x:v>Unknown</x:v>
      </x:c>
      <x:c r="N22" s="26" t="str">
        <x:v>Unknown</x:v>
      </x:c>
      <x:c r="O22" s="26" t="str">
        <x:v>Unknown</x:v>
      </x:c>
      <x:c r="P22" s="26" t="str">
        <x:v>Unknown</x:v>
      </x:c>
      <x:c r="Q22" s="26" t="str">
        <x:v>Wheelchair access mapped</x:v>
      </x:c>
      <x:c r="R22" s="26" t="str">
        <x:v>OpenStreetMap records wheelchair=yes, indicating the main visitor access is community-mapped as wheelchair accessible. Individual facilities such as toilets, seats, lifts and parking are not separately documented in this record.</x:v>
      </x:c>
      <x:c r="S22" s="26" t="str">
        <x:v>https://www.openstreetmap.org/way/993213422</x:v>
      </x:c>
      <x:c r="T22" s="26" t="str">
        <x:v>OpenStreetMap community-mapped accessibility</x:v>
      </x:c>
      <x:c r="U22" s="26" t="str">
        <x:v>Medium</x:v>
      </x:c>
      <x:c r="V22" s="26" t="str">
        <x:v>Included because the OpenStreetMap record explicitly states wheelchair=yes. This is community-mapped evidence with medium confidence.</x:v>
      </x:c>
      <x:c r="W22" s="32" t="str">
        <x:v>2026-08-17</x:v>
      </x:c>
    </x:row>
    <x:row r="23">
      <x:c r="A23" s="26" t="str">
        <x:v>MC0170</x:v>
      </x:c>
      <x:c r="B23" s="26" t="str">
        <x:v>Bukit Panchor State Park</x:v>
      </x:c>
      <x:c r="C23" s="26" t="str">
        <x:v>Penang</x:v>
      </x:c>
      <x:c r="D23" s="26" t="str">
        <x:v>Nibong Tebal</x:v>
      </x:c>
      <x:c r="E23" s="26" t="str">
        <x:v>Nature</x:v>
      </x:c>
      <x:c r="F23" s="26" t="str">
        <x:v>Outdoor</x:v>
      </x:c>
      <x:c r="G23" s="26" t="str">
        <x:v>Lowland dipterocarp forest; peat swamp; hiking; trekking; caves; bat cave; wildlife; birdwatching; river; wetland boardwalk; mangroves; camping; picnicking; nature study</x:v>
      </x:c>
      <x:c r="H23" s="26" t="str">
        <x:v>A state recreation park within Bukit Panchor Permanent Forest Reserve near Nibong Tebal. Its lowland dipterocarp and peat-swamp environment supports forest walks, wildlife and birdwatching, river and wetland exploration, caves, camping and other nature-based recreation.</x:v>
      </x:c>
      <x:c r="I23" s="29"/>
      <x:c r="J23" s="29"/>
      <x:c r="K23" s="26" t="str">
        <x:v>Unknown</x:v>
      </x:c>
      <x:c r="L23" s="26" t="str">
        <x:v>Unknown</x:v>
      </x:c>
      <x:c r="M23" s="26" t="str">
        <x:v>Unknown</x:v>
      </x:c>
      <x:c r="N23" s="26" t="str">
        <x:v>Unknown</x:v>
      </x:c>
      <x:c r="O23" s="26" t="str">
        <x:v>Unknown</x:v>
      </x:c>
      <x:c r="P23" s="26" t="str">
        <x:v>Yes</x:v>
      </x:c>
      <x:c r="Q23" s="26" t="str">
        <x:v>Unknown</x:v>
      </x:c>
      <x:c r="R23" s="26" t="str">
        <x:v>Official forestry information records parking, toilets, huts and shelters. Activities include trekking, wading and caves, but route difficulty and step-free access are not documented.</x:v>
      </x:c>
      <x:c r="S23" s="26" t="str">
        <x:v>https://www.forestry.gov.my/en/semenanjung-malaysia/taman-negeri-bukit-panchor
https://www.mypenang.gov.my/nature-adventure/recreation/bukit-panchor-state-park/?lg=en
https://www.penang-insider.com/bukit-panchor-state-park-penang/</x:v>
      </x:c>
      <x:c r="T23" s="26" t="str">
        <x:v>Official/operator/tourism source</x:v>
      </x:c>
      <x:c r="U23" s="26" t="str">
        <x:v>High</x:v>
      </x:c>
      <x:c r="V23" s="26" t="str">
        <x:v>Included in Maya's elderly recommendation results: Parking, toilets, huts and shelters are recorded at the recreation area.</x:v>
      </x:c>
      <x:c r="W23" s="32" t="str">
        <x:v>2026-08-16</x:v>
      </x:c>
    </x:row>
    <x:row r="24">
      <x:c r="A24" s="26" t="str">
        <x:v>OSM-relation-13314976</x:v>
      </x:c>
      <x:c r="B24" s="26" t="str">
        <x:v>Chew Jetty</x:v>
      </x:c>
      <x:c r="C24" s="26" t="str">
        <x:v>Penang</x:v>
      </x:c>
      <x:c r="D24" s="26" t="str">
        <x:v>George Town</x:v>
      </x:c>
      <x:c r="E24" s="26" t="str">
        <x:v>Urban Attraction</x:v>
      </x:c>
      <x:c r="F24" s="26" t="str">
        <x:v>Both / varies</x:v>
      </x:c>
      <x:c r="G24" s="26" t="str">
        <x:v>visitor attraction; wheelchair access</x:v>
      </x:c>
      <x:c r="H24" s="26" t="str">
        <x:v>One of 5 remaining clan "jetties" - house community built on stilts - everyone here belongs to the Chew family. OpenStreetMap records the place as wheelchair accessible.</x:v>
      </x:c>
      <x:c r="I24" s="29" t="n">
        <x:v>5.4119608</x:v>
      </x:c>
      <x:c r="J24" s="29" t="n">
        <x:v>100.3401422</x:v>
      </x:c>
      <x:c r="K24" s="26" t="str">
        <x:v>Unknown</x:v>
      </x:c>
      <x:c r="L24" s="26" t="str">
        <x:v>Yes</x:v>
      </x:c>
      <x:c r="M24" s="26" t="str">
        <x:v>Unknown</x:v>
      </x:c>
      <x:c r="N24" s="26" t="str">
        <x:v>Unknown</x:v>
      </x:c>
      <x:c r="O24" s="26" t="str">
        <x:v>Unknown</x:v>
      </x:c>
      <x:c r="P24" s="26" t="str">
        <x:v>Unknown</x:v>
      </x:c>
      <x:c r="Q24" s="26" t="str">
        <x:v>Wheelchair access mapped</x:v>
      </x:c>
      <x:c r="R24" s="26" t="str">
        <x:v>OpenStreetMap records wheelchair=yes, indicating the main visitor access is community-mapped as wheelchair accessible. Individual facilities such as toilets, seats, lifts and parking are not separately documented in this record.</x:v>
      </x:c>
      <x:c r="S24" s="26" t="str">
        <x:v>https://www.openstreetmap.org/relation/13314976</x:v>
      </x:c>
      <x:c r="T24" s="26" t="str">
        <x:v>OpenStreetMap community-mapped accessibility</x:v>
      </x:c>
      <x:c r="U24" s="26" t="str">
        <x:v>Medium</x:v>
      </x:c>
      <x:c r="V24" s="26" t="str">
        <x:v>Included because the OpenStreetMap record explicitly states wheelchair=yes. This is community-mapped evidence with medium confidence.</x:v>
      </x:c>
      <x:c r="W24" s="32" t="str">
        <x:v>2026-08-17</x:v>
      </x:c>
    </x:row>
    <x:row r="25">
      <x:c r="A25" s="26" t="str">
        <x:v>OSM-way-275870787</x:v>
      </x:c>
      <x:c r="B25" s="26" t="str">
        <x:v>City Junction</x:v>
      </x:c>
      <x:c r="C25" s="26" t="str">
        <x:v>Penang</x:v>
      </x:c>
      <x:c r="D25" s="26" t="str">
        <x:v>George Town</x:v>
      </x:c>
      <x:c r="E25" s="26" t="str">
        <x:v>Shopping</x:v>
      </x:c>
      <x:c r="F25" s="26" t="str">
        <x:v>Indoor / sheltered</x:v>
      </x:c>
      <x:c r="G25" s="26" t="str">
        <x:v>shopping centre; wheelchair access</x:v>
      </x:c>
      <x:c r="H25" s="26" t="str">
        <x:v>City Junction is a shopping centre in George Town, Penang. OpenStreetMap records the place as wheelchair accessible.</x:v>
      </x:c>
      <x:c r="I25" s="29" t="n">
        <x:v>5.4498435</x:v>
      </x:c>
      <x:c r="J25" s="29" t="n">
        <x:v>100.3048474</x:v>
      </x:c>
      <x:c r="K25" s="26" t="str">
        <x:v>Unknown</x:v>
      </x:c>
      <x:c r="L25" s="26" t="str">
        <x:v>Yes</x:v>
      </x:c>
      <x:c r="M25" s="26" t="str">
        <x:v>Unknown</x:v>
      </x:c>
      <x:c r="N25" s="26" t="str">
        <x:v>Unknown</x:v>
      </x:c>
      <x:c r="O25" s="26" t="str">
        <x:v>Unknown</x:v>
      </x:c>
      <x:c r="P25" s="26" t="str">
        <x:v>Unknown</x:v>
      </x:c>
      <x:c r="Q25" s="26" t="str">
        <x:v>Wheelchair access mapped</x:v>
      </x:c>
      <x:c r="R25" s="26" t="str">
        <x:v>OpenStreetMap records wheelchair=yes, indicating the main visitor access is community-mapped as wheelchair accessible. Individual facilities such as toilets, seats, lifts and parking are not separately documented in this record.</x:v>
      </x:c>
      <x:c r="S25" s="26" t="str">
        <x:v>https://www.openstreetmap.org/way/275870787</x:v>
      </x:c>
      <x:c r="T25" s="26" t="str">
        <x:v>OpenStreetMap community-mapped accessibility</x:v>
      </x:c>
      <x:c r="U25" s="26" t="str">
        <x:v>Medium</x:v>
      </x:c>
      <x:c r="V25" s="26" t="str">
        <x:v>Included because the OpenStreetMap record explicitly states wheelchair=yes. This is community-mapped evidence with medium confidence.</x:v>
      </x:c>
      <x:c r="W25" s="32" t="str">
        <x:v>2026-08-17</x:v>
      </x:c>
    </x:row>
    <x:row r="26">
      <x:c r="A26" s="26" t="str">
        <x:v>MC0176</x:v>
      </x:c>
      <x:c r="B26" s="26" t="str">
        <x:v>Entopia by Penang Butterfly Farm</x:v>
      </x:c>
      <x:c r="C26" s="26" t="str">
        <x:v>Penang</x:v>
      </x:c>
      <x:c r="D26" s="26" t="str">
        <x:v>Teluk Bahang</x:v>
      </x:c>
      <x:c r="E26" s="26" t="str">
        <x:v>Wildlife</x:v>
      </x:c>
      <x:c r="F26" s="26" t="str">
        <x:v>Both</x:v>
      </x:c>
      <x:c r="G26" s="26" t="str">
        <x:v>butterflies; insects; nature; family; children; education</x:v>
      </x:c>
      <x:c r="H26" s="26" t="str">
        <x:v>A walk-in butterfly and insect sanctuary in Teluk Bahang, Penang.</x:v>
      </x:c>
      <x:c r="I26" s="29"/>
      <x:c r="J26" s="29"/>
      <x:c r="K26" s="26" t="str">
        <x:v>Unknown</x:v>
      </x:c>
      <x:c r="L26" s="26" t="str">
        <x:v>Yes</x:v>
      </x:c>
      <x:c r="M26" s="26" t="str">
        <x:v>Unknown</x:v>
      </x:c>
      <x:c r="N26" s="26" t="str">
        <x:v>Yes</x:v>
      </x:c>
      <x:c r="O26" s="26" t="str">
        <x:v>Near</x:v>
      </x:c>
      <x:c r="P26" s="26" t="str">
        <x:v>Partial</x:v>
      </x:c>
      <x:c r="Q26" s="26" t="str">
        <x:v>Suitable</x:v>
      </x:c>
      <x:c r="R26" s="26" t="str">
        <x:v>Natureland and The Cocoon are wheelchair accessible. Public lifts, accessible toilets, two loan wheelchairs and designated OKU parking bays near the entrance are available; the outdoor area remains weather-exposed.</x:v>
      </x:c>
      <x:c r="S26" s="26" t="str">
        <x:v>https://www.entopia.com/faq/</x:v>
      </x:c>
      <x:c r="T26" s="26" t="str">
        <x:v>Official/operator/tourism source</x:v>
      </x:c>
      <x:c r="U26" s="26" t="str">
        <x:v>High</x:v>
      </x:c>
      <x:c r="V26" s="26" t="str">
        <x:v>Included in Maya's elderly recommendation results: Wheelchair-accessible visitor areas, lifts, accessible toilets, loan wheelchairs and OKU parking are documented.</x:v>
      </x:c>
      <x:c r="W26" s="32" t="str">
        <x:v>2026-08-16</x:v>
      </x:c>
    </x:row>
    <x:row r="27">
      <x:c r="A27" s="26" t="str">
        <x:v>MC0172</x:v>
      </x:c>
      <x:c r="B27" s="26" t="str">
        <x:v>George Town UNESCO World Heritage Site</x:v>
      </x:c>
      <x:c r="C27" s="26" t="str">
        <x:v>Penang</x:v>
      </x:c>
      <x:c r="D27" s="26" t="str">
        <x:v>George Town</x:v>
      </x:c>
      <x:c r="E27" s="26" t="str">
        <x:v>Heritage and History</x:v>
      </x:c>
      <x:c r="F27" s="26" t="str">
        <x:v>Outdoor</x:v>
      </x:c>
      <x:c r="G27" s="26" t="str">
        <x:v>heritage; history; architecture; street art; culture; walking</x:v>
      </x:c>
      <x:c r="H27" s="26" t="str">
        <x:v>Penang's historic capital, inscribed as a UNESCO World Heritage Site in 2008 for its unique multicultural architecture and streetscapes.</x:v>
      </x:c>
      <x:c r="I27" s="29"/>
      <x:c r="J27" s="29"/>
      <x:c r="K27" s="26" t="str">
        <x:v>High</x:v>
      </x:c>
      <x:c r="L27" s="26" t="str">
        <x:v>Unknown</x:v>
      </x:c>
      <x:c r="M27" s="26" t="str">
        <x:v>Unknown</x:v>
      </x:c>
      <x:c r="N27" s="26" t="str">
        <x:v>Unknown</x:v>
      </x:c>
      <x:c r="O27" s="26" t="str">
        <x:v>Unknown</x:v>
      </x:c>
      <x:c r="P27" s="26" t="str">
        <x:v>Partial</x:v>
      </x:c>
      <x:c r="Q27" s="26" t="str">
        <x:v>Suitable with assistance</x:v>
      </x:c>
      <x:c r="R27" s="26" t="str">
        <x:v>Penang Global Tourism's full heritage itinerary is a 7–8 hour walking route. Travellers who tire easily can shorten the route and use the free CAT bus or a trishaw between selected areas.</x:v>
      </x:c>
      <x:c r="S27" s="26" t="str">
        <x:v>https://mypenang.gov.my/view_itenary.php?id=THVMRHBRb2V2ODlQc3hRTEkvalB4QT09</x:v>
      </x:c>
      <x:c r="T27" s="26" t="str">
        <x:v>Official/operator/tourism source</x:v>
      </x:c>
      <x:c r="U27" s="26" t="str">
        <x:v>High</x:v>
      </x:c>
      <x:c r="V27" s="26" t="str">
        <x:v>Included in Maya's elderly recommendation results: The free CAT bus and trishaws provide lower-effort alternatives to completing the full walking route.</x:v>
      </x:c>
      <x:c r="W27" s="32" t="str">
        <x:v>2026-08-16</x:v>
      </x:c>
    </x:row>
    <x:row r="28">
      <x:c r="A28" s="26" t="str">
        <x:v>OSM-way-268531305</x:v>
      </x:c>
      <x:c r="B28" s="26" t="str">
        <x:v>Goddess of Mercy Temple</x:v>
      </x:c>
      <x:c r="C28" s="26" t="str">
        <x:v>Penang</x:v>
      </x:c>
      <x:c r="D28" s="26" t="str">
        <x:v>George Town</x:v>
      </x:c>
      <x:c r="E28" s="26" t="str">
        <x:v>Urban Attraction</x:v>
      </x:c>
      <x:c r="F28" s="26" t="str">
        <x:v>Both / varies</x:v>
      </x:c>
      <x:c r="G28" s="26" t="str">
        <x:v>visitor attraction; wheelchair access</x:v>
      </x:c>
      <x:c r="H28" s="26" t="str">
        <x:v>Taoist temple in George Town, Malaysia. OpenStreetMap records the place as limited wheelchair access.</x:v>
      </x:c>
      <x:c r="I28" s="29" t="n">
        <x:v>5.418679</x:v>
      </x:c>
      <x:c r="J28" s="29" t="n">
        <x:v>100.3385723</x:v>
      </x:c>
      <x:c r="K28" s="26" t="str">
        <x:v>Unknown</x:v>
      </x:c>
      <x:c r="L28" s="26" t="str">
        <x:v>Partial</x:v>
      </x:c>
      <x:c r="M28" s="26" t="str">
        <x:v>Unknown</x:v>
      </x:c>
      <x:c r="N28" s="26" t="str">
        <x:v>Unknown</x:v>
      </x:c>
      <x:c r="O28" s="26" t="str">
        <x:v>Unknown</x:v>
      </x:c>
      <x:c r="P28" s="26" t="str">
        <x:v>Unknown</x:v>
      </x:c>
      <x:c r="Q28" s="26" t="str">
        <x:v>Limited access; assistance may be needed</x:v>
      </x:c>
      <x:c r="R28" s="26" t="str">
        <x:v>OpenStreetMap records wheelchair=limited, indicating that some visitor areas may be accessible while barriers remain. The mapped record does not identify the restricted sections.</x:v>
      </x:c>
      <x:c r="S28" s="26" t="str">
        <x:v>https://www.openstreetmap.org/way/268531305</x:v>
      </x:c>
      <x:c r="T28" s="26" t="str">
        <x:v>OpenStreetMap community-mapped accessibility</x:v>
      </x:c>
      <x:c r="U28" s="26" t="str">
        <x:v>Medium</x:v>
      </x:c>
      <x:c r="V28" s="26" t="str">
        <x:v>Included because the OpenStreetMap record explicitly states wheelchair=limited. This is community-mapped evidence with medium confidence.</x:v>
      </x:c>
      <x:c r="W28" s="32" t="str">
        <x:v>2026-08-17</x:v>
      </x:c>
    </x:row>
    <x:row r="29">
      <x:c r="A29" s="26" t="str">
        <x:v>OSM-way-195855333</x:v>
      </x:c>
      <x:c r="B29" s="26" t="str">
        <x:v>Gurney Paragon Mall</x:v>
      </x:c>
      <x:c r="C29" s="26" t="str">
        <x:v>Penang</x:v>
      </x:c>
      <x:c r="D29" s="26" t="str">
        <x:v>George Town</x:v>
      </x:c>
      <x:c r="E29" s="26" t="str">
        <x:v>Shopping</x:v>
      </x:c>
      <x:c r="F29" s="26" t="str">
        <x:v>Indoor / sheltered</x:v>
      </x:c>
      <x:c r="G29" s="26" t="str">
        <x:v>shopping centre; wheelchair access; Hunza Properties Berhad</x:v>
      </x:c>
      <x:c r="H29" s="26" t="str">
        <x:v>Shopping mall in George Town, Penang, Malaysia. OpenStreetMap records the place as wheelchair accessible.</x:v>
      </x:c>
      <x:c r="I29" s="29" t="n">
        <x:v>5.4358089</x:v>
      </x:c>
      <x:c r="J29" s="29" t="n">
        <x:v>100.3111866</x:v>
      </x:c>
      <x:c r="K29" s="26" t="str">
        <x:v>Unknown</x:v>
      </x:c>
      <x:c r="L29" s="26" t="str">
        <x:v>Yes</x:v>
      </x:c>
      <x:c r="M29" s="26" t="str">
        <x:v>Unknown</x:v>
      </x:c>
      <x:c r="N29" s="26" t="str">
        <x:v>Unknown</x:v>
      </x:c>
      <x:c r="O29" s="26" t="str">
        <x:v>Unknown</x:v>
      </x:c>
      <x:c r="P29" s="26" t="str">
        <x:v>Unknown</x:v>
      </x:c>
      <x:c r="Q29" s="26" t="str">
        <x:v>Wheelchair access mapped</x:v>
      </x:c>
      <x:c r="R29" s="26" t="str">
        <x:v>OpenStreetMap records wheelchair=yes, indicating the main visitor access is community-mapped as wheelchair accessible. Individual facilities such as toilets, seats, lifts and parking are not separately documented in this record.</x:v>
      </x:c>
      <x:c r="S29" s="26" t="str">
        <x:v>https://www.openstreetmap.org/way/195855333</x:v>
      </x:c>
      <x:c r="T29" s="26" t="str">
        <x:v>OpenStreetMap community-mapped accessibility</x:v>
      </x:c>
      <x:c r="U29" s="26" t="str">
        <x:v>Medium</x:v>
      </x:c>
      <x:c r="V29" s="26" t="str">
        <x:v>Included because the OpenStreetMap record explicitly states wheelchair=yes. This is community-mapped evidence with medium confidence.</x:v>
      </x:c>
      <x:c r="W29" s="32" t="str">
        <x:v>2026-08-17</x:v>
      </x:c>
    </x:row>
    <x:row r="30">
      <x:c r="A30" s="26" t="str">
        <x:v>OSM-way-1073004859</x:v>
      </x:c>
      <x:c r="B30" s="26" t="str">
        <x:v>Hin Bus Depot Art Center</x:v>
      </x:c>
      <x:c r="C30" s="26" t="str">
        <x:v>Penang</x:v>
      </x:c>
      <x:c r="D30" s="26" t="str">
        <x:v>George Town</x:v>
      </x:c>
      <x:c r="E30" s="26" t="str">
        <x:v>Arts and Culture</x:v>
      </x:c>
      <x:c r="F30" s="26" t="str">
        <x:v>Indoor / sheltered</x:v>
      </x:c>
      <x:c r="G30" s="26" t="str">
        <x:v>arts centre; wheelchair access</x:v>
      </x:c>
      <x:c r="H30" s="26" t="str">
        <x:v>An old bus depot is now the setting for indoor &amp; outdoor art exhibits, plus a cafe &amp; weekend market. OpenStreetMap records the place as wheelchair accessible.</x:v>
      </x:c>
      <x:c r="I30" s="29" t="n">
        <x:v>5.412056</x:v>
      </x:c>
      <x:c r="J30" s="29" t="n">
        <x:v>100.3277415</x:v>
      </x:c>
      <x:c r="K30" s="26" t="str">
        <x:v>Unknown</x:v>
      </x:c>
      <x:c r="L30" s="26" t="str">
        <x:v>Yes</x:v>
      </x:c>
      <x:c r="M30" s="26" t="str">
        <x:v>Unknown</x:v>
      </x:c>
      <x:c r="N30" s="26" t="str">
        <x:v>Unknown</x:v>
      </x:c>
      <x:c r="O30" s="26" t="str">
        <x:v>Unknown</x:v>
      </x:c>
      <x:c r="P30" s="26" t="str">
        <x:v>Unknown</x:v>
      </x:c>
      <x:c r="Q30" s="26" t="str">
        <x:v>Wheelchair access mapped</x:v>
      </x:c>
      <x:c r="R30" s="26" t="str">
        <x:v>OpenStreetMap records wheelchair=yes, indicating the main visitor access is community-mapped as wheelchair accessible. Individual facilities such as toilets, seats, lifts and parking are not separately documented in this record.</x:v>
      </x:c>
      <x:c r="S30" s="26" t="str">
        <x:v>https://www.openstreetmap.org/way/1073004859</x:v>
      </x:c>
      <x:c r="T30" s="26" t="str">
        <x:v>OpenStreetMap community-mapped accessibility</x:v>
      </x:c>
      <x:c r="U30" s="26" t="str">
        <x:v>Medium</x:v>
      </x:c>
      <x:c r="V30" s="26" t="str">
        <x:v>Included because the OpenStreetMap record explicitly states wheelchair=yes. This is community-mapped evidence with medium confidence.</x:v>
      </x:c>
      <x:c r="W30" s="32" t="str">
        <x:v>2026-08-17</x:v>
      </x:c>
    </x:row>
    <x:row r="31">
      <x:c r="A31" s="26" t="str">
        <x:v>OSM-way-156926502</x:v>
      </x:c>
      <x:c r="B31" s="26" t="str">
        <x:v>Island 88</x:v>
      </x:c>
      <x:c r="C31" s="26" t="str">
        <x:v>Penang</x:v>
      </x:c>
      <x:c r="D31" s="26" t="str">
        <x:v>George Town</x:v>
      </x:c>
      <x:c r="E31" s="26" t="str">
        <x:v>Shopping</x:v>
      </x:c>
      <x:c r="F31" s="26" t="str">
        <x:v>Indoor / sheltered</x:v>
      </x:c>
      <x:c r="G31" s="26" t="str">
        <x:v>shopping centre; wheelchair access</x:v>
      </x:c>
      <x:c r="H31" s="26" t="str">
        <x:v>Compact, old-school strip mall offering retail shops &amp; a supermarket along with restaurants &amp; cafes. OpenStreetMap records the place as wheelchair accessible.</x:v>
      </x:c>
      <x:c r="I31" s="29" t="n">
        <x:v>5.4503413</x:v>
      </x:c>
      <x:c r="J31" s="29" t="n">
        <x:v>100.306072</x:v>
      </x:c>
      <x:c r="K31" s="26" t="str">
        <x:v>Unknown</x:v>
      </x:c>
      <x:c r="L31" s="26" t="str">
        <x:v>Yes</x:v>
      </x:c>
      <x:c r="M31" s="26" t="str">
        <x:v>Unknown</x:v>
      </x:c>
      <x:c r="N31" s="26" t="str">
        <x:v>Unknown</x:v>
      </x:c>
      <x:c r="O31" s="26" t="str">
        <x:v>Unknown</x:v>
      </x:c>
      <x:c r="P31" s="26" t="str">
        <x:v>Unknown</x:v>
      </x:c>
      <x:c r="Q31" s="26" t="str">
        <x:v>Wheelchair access mapped</x:v>
      </x:c>
      <x:c r="R31" s="26" t="str">
        <x:v>OpenStreetMap records wheelchair=yes, indicating the main visitor access is community-mapped as wheelchair accessible. Individual facilities such as toilets, seats, lifts and parking are not separately documented in this record.</x:v>
      </x:c>
      <x:c r="S31" s="26" t="str">
        <x:v>https://www.openstreetmap.org/way/156926502</x:v>
      </x:c>
      <x:c r="T31" s="26" t="str">
        <x:v>OpenStreetMap community-mapped accessibility</x:v>
      </x:c>
      <x:c r="U31" s="26" t="str">
        <x:v>Medium</x:v>
      </x:c>
      <x:c r="V31" s="26" t="str">
        <x:v>Included because the OpenStreetMap record explicitly states wheelchair=yes. This is community-mapped evidence with medium confidence.</x:v>
      </x:c>
      <x:c r="W31" s="32" t="str">
        <x:v>2026-08-17</x:v>
      </x:c>
    </x:row>
    <x:row r="32">
      <x:c r="A32" s="26" t="str">
        <x:v>OSM-node-4206135189</x:v>
      </x:c>
      <x:c r="B32" s="26" t="str">
        <x:v>Jeti Lim</x:v>
      </x:c>
      <x:c r="C32" s="26" t="str">
        <x:v>Penang</x:v>
      </x:c>
      <x:c r="D32" s="26" t="str">
        <x:v>George Town</x:v>
      </x:c>
      <x:c r="E32" s="26" t="str">
        <x:v>Urban Attraction</x:v>
      </x:c>
      <x:c r="F32" s="26" t="str">
        <x:v>Both / varies</x:v>
      </x:c>
      <x:c r="G32" s="26" t="str">
        <x:v>visitor attraction; wheelchair access</x:v>
      </x:c>
      <x:c r="H32" s="26" t="str">
        <x:v>Jeti Lim is a visitor attraction in George Town, Penang. OpenStreetMap records the place as wheelchair accessible.</x:v>
      </x:c>
      <x:c r="I32" s="29" t="n">
        <x:v>5.4130557</x:v>
      </x:c>
      <x:c r="J32" s="29" t="n">
        <x:v>100.3409971</x:v>
      </x:c>
      <x:c r="K32" s="26" t="str">
        <x:v>Unknown</x:v>
      </x:c>
      <x:c r="L32" s="26" t="str">
        <x:v>Yes</x:v>
      </x:c>
      <x:c r="M32" s="26" t="str">
        <x:v>Unknown</x:v>
      </x:c>
      <x:c r="N32" s="26" t="str">
        <x:v>Unknown</x:v>
      </x:c>
      <x:c r="O32" s="26" t="str">
        <x:v>Unknown</x:v>
      </x:c>
      <x:c r="P32" s="26" t="str">
        <x:v>Unknown</x:v>
      </x:c>
      <x:c r="Q32" s="26" t="str">
        <x:v>Wheelchair access mapped</x:v>
      </x:c>
      <x:c r="R32" s="26" t="str">
        <x:v>OpenStreetMap records wheelchair=yes, indicating the main visitor access is community-mapped as wheelchair accessible. Individual facilities such as toilets, seats, lifts and parking are not separately documented in this record.</x:v>
      </x:c>
      <x:c r="S32" s="26" t="str">
        <x:v>https://www.openstreetmap.org/node/4206135189</x:v>
      </x:c>
      <x:c r="T32" s="26" t="str">
        <x:v>OpenStreetMap community-mapped accessibility</x:v>
      </x:c>
      <x:c r="U32" s="26" t="str">
        <x:v>Medium</x:v>
      </x:c>
      <x:c r="V32" s="26" t="str">
        <x:v>Included because the OpenStreetMap record explicitly states wheelchair=yes. This is community-mapped evidence with medium confidence.</x:v>
      </x:c>
      <x:c r="W32" s="32" t="str">
        <x:v>2026-08-17</x:v>
      </x:c>
    </x:row>
    <x:row r="33">
      <x:c r="A33" s="26" t="str">
        <x:v>OSM-relation-5827552</x:v>
      </x:c>
      <x:c r="B33" s="26" t="str">
        <x:v>Kota Cornwallis</x:v>
      </x:c>
      <x:c r="C33" s="26" t="str">
        <x:v>Penang</x:v>
      </x:c>
      <x:c r="D33" s="26" t="str">
        <x:v>George Town</x:v>
      </x:c>
      <x:c r="E33" s="26" t="str">
        <x:v>Urban Attraction</x:v>
      </x:c>
      <x:c r="F33" s="26" t="str">
        <x:v>Both / varies</x:v>
      </x:c>
      <x:c r="G33" s="26" t="str">
        <x:v>visitor attraction; wheelchair access</x:v>
      </x:c>
      <x:c r="H33" s="26" t="str">
        <x:v>Bastion fort in George Town, Penang, Malaysia. OpenStreetMap records the place as limited wheelchair access.</x:v>
      </x:c>
      <x:c r="I33" s="29" t="n">
        <x:v>5.4204733</x:v>
      </x:c>
      <x:c r="J33" s="29" t="n">
        <x:v>100.3438685</x:v>
      </x:c>
      <x:c r="K33" s="26" t="str">
        <x:v>Unknown</x:v>
      </x:c>
      <x:c r="L33" s="26" t="str">
        <x:v>Partial</x:v>
      </x:c>
      <x:c r="M33" s="26" t="str">
        <x:v>Unknown</x:v>
      </x:c>
      <x:c r="N33" s="26" t="str">
        <x:v>Unknown</x:v>
      </x:c>
      <x:c r="O33" s="26" t="str">
        <x:v>Unknown</x:v>
      </x:c>
      <x:c r="P33" s="26" t="str">
        <x:v>Unknown</x:v>
      </x:c>
      <x:c r="Q33" s="26" t="str">
        <x:v>Limited access; assistance may be needed</x:v>
      </x:c>
      <x:c r="R33" s="26" t="str">
        <x:v>OpenStreetMap records wheelchair=limited, indicating that some visitor areas may be accessible while barriers remain. The mapped record does not identify the restricted sections.</x:v>
      </x:c>
      <x:c r="S33" s="26" t="str">
        <x:v>https://www.openstreetmap.org/relation/5827552</x:v>
      </x:c>
      <x:c r="T33" s="26" t="str">
        <x:v>OpenStreetMap community-mapped accessibility</x:v>
      </x:c>
      <x:c r="U33" s="26" t="str">
        <x:v>Medium</x:v>
      </x:c>
      <x:c r="V33" s="26" t="str">
        <x:v>Included because the OpenStreetMap record explicitly states wheelchair=limited. This is community-mapped evidence with medium confidence.</x:v>
      </x:c>
      <x:c r="W33" s="32" t="str">
        <x:v>2026-08-17</x:v>
      </x:c>
    </x:row>
    <x:row r="34">
      <x:c r="A34" s="26" t="str">
        <x:v>OSM-node-4206410706</x:v>
      </x:c>
      <x:c r="B34" s="26" t="str">
        <x:v>Little India</x:v>
      </x:c>
      <x:c r="C34" s="26" t="str">
        <x:v>Penang</x:v>
      </x:c>
      <x:c r="D34" s="26" t="str">
        <x:v>George Town</x:v>
      </x:c>
      <x:c r="E34" s="26" t="str">
        <x:v>Urban Attraction</x:v>
      </x:c>
      <x:c r="F34" s="26" t="str">
        <x:v>Both / varies</x:v>
      </x:c>
      <x:c r="G34" s="26" t="str">
        <x:v>visitor attraction; wheelchair access</x:v>
      </x:c>
      <x:c r="H34" s="26" t="str">
        <x:v>Little India is a visitor attraction in George Town, Penang. OpenStreetMap records the place as limited wheelchair access.</x:v>
      </x:c>
      <x:c r="I34" s="29" t="n">
        <x:v>5.4171825</x:v>
      </x:c>
      <x:c r="J34" s="29" t="n">
        <x:v>100.339338</x:v>
      </x:c>
      <x:c r="K34" s="26" t="str">
        <x:v>Unknown</x:v>
      </x:c>
      <x:c r="L34" s="26" t="str">
        <x:v>Partial</x:v>
      </x:c>
      <x:c r="M34" s="26" t="str">
        <x:v>Unknown</x:v>
      </x:c>
      <x:c r="N34" s="26" t="str">
        <x:v>Unknown</x:v>
      </x:c>
      <x:c r="O34" s="26" t="str">
        <x:v>Unknown</x:v>
      </x:c>
      <x:c r="P34" s="26" t="str">
        <x:v>Unknown</x:v>
      </x:c>
      <x:c r="Q34" s="26" t="str">
        <x:v>Limited access; assistance may be needed</x:v>
      </x:c>
      <x:c r="R34" s="26" t="str">
        <x:v>OpenStreetMap records wheelchair=limited, indicating that some visitor areas may be accessible while barriers remain. The mapped record does not identify the restricted sections.</x:v>
      </x:c>
      <x:c r="S34" s="26" t="str">
        <x:v>https://www.openstreetmap.org/node/4206410706</x:v>
      </x:c>
      <x:c r="T34" s="26" t="str">
        <x:v>OpenStreetMap community-mapped accessibility</x:v>
      </x:c>
      <x:c r="U34" s="26" t="str">
        <x:v>Medium</x:v>
      </x:c>
      <x:c r="V34" s="26" t="str">
        <x:v>Included because the OpenStreetMap record explicitly states wheelchair=limited. This is community-mapped evidence with medium confidence.</x:v>
      </x:c>
      <x:c r="W34" s="32" t="str">
        <x:v>2026-08-17</x:v>
      </x:c>
    </x:row>
    <x:row r="35">
      <x:c r="A35" s="26" t="str">
        <x:v>OSM-way-48278039</x:v>
      </x:c>
      <x:c r="B35" s="26" t="str">
        <x:v>Pasar &amp; Kompleks Makan Tanjung Bungah</x:v>
      </x:c>
      <x:c r="C35" s="26" t="str">
        <x:v>Penang</x:v>
      </x:c>
      <x:c r="D35" s="26" t="str">
        <x:v>George Town</x:v>
      </x:c>
      <x:c r="E35" s="26" t="str">
        <x:v>Food and Market</x:v>
      </x:c>
      <x:c r="F35" s="26" t="str">
        <x:v>Both / varies</x:v>
      </x:c>
      <x:c r="G35" s="26" t="str">
        <x:v>public market; wheelchair access</x:v>
      </x:c>
      <x:c r="H35" s="26" t="str">
        <x:v>Pasar &amp; Kompleks Makan Tanjung Bungah is a public market in George Town, Penang. OpenStreetMap records the place as limited wheelchair access.</x:v>
      </x:c>
      <x:c r="I35" s="29" t="n">
        <x:v>5.4636818</x:v>
      </x:c>
      <x:c r="J35" s="29" t="n">
        <x:v>100.2848412</x:v>
      </x:c>
      <x:c r="K35" s="26" t="str">
        <x:v>Unknown</x:v>
      </x:c>
      <x:c r="L35" s="26" t="str">
        <x:v>Partial</x:v>
      </x:c>
      <x:c r="M35" s="26" t="str">
        <x:v>Unknown</x:v>
      </x:c>
      <x:c r="N35" s="26" t="str">
        <x:v>Unknown</x:v>
      </x:c>
      <x:c r="O35" s="26" t="str">
        <x:v>Unknown</x:v>
      </x:c>
      <x:c r="P35" s="26" t="str">
        <x:v>Unknown</x:v>
      </x:c>
      <x:c r="Q35" s="26" t="str">
        <x:v>Limited access; assistance may be needed</x:v>
      </x:c>
      <x:c r="R35" s="26" t="str">
        <x:v>OpenStreetMap records wheelchair=limited, indicating that some visitor areas may be accessible while barriers remain. The mapped record does not identify the restricted sections.</x:v>
      </x:c>
      <x:c r="S35" s="26" t="str">
        <x:v>https://www.openstreetmap.org/way/48278039</x:v>
      </x:c>
      <x:c r="T35" s="26" t="str">
        <x:v>OpenStreetMap community-mapped accessibility</x:v>
      </x:c>
      <x:c r="U35" s="26" t="str">
        <x:v>Medium</x:v>
      </x:c>
      <x:c r="V35" s="26" t="str">
        <x:v>Included because the OpenStreetMap record explicitly states wheelchair=limited. This is community-mapped evidence with medium confidence.</x:v>
      </x:c>
      <x:c r="W35" s="32" t="str">
        <x:v>2026-08-17</x:v>
      </x:c>
    </x:row>
    <x:row r="36">
      <x:c r="A36" s="26" t="str">
        <x:v>MC0194</x:v>
      </x:c>
      <x:c r="B36" s="26" t="str">
        <x:v>Penang Bird Park</x:v>
      </x:c>
      <x:c r="C36" s="26" t="str">
        <x:v>Penang</x:v>
      </x:c>
      <x:c r="D36" s="26" t="str">
        <x:v>Seberang Perai</x:v>
      </x:c>
      <x:c r="E36" s="26" t="str">
        <x:v>Wildlife</x:v>
      </x:c>
      <x:c r="F36" s="26" t="str">
        <x:v>Outdoor</x:v>
      </x:c>
      <x:c r="G36" s="26" t="str">
        <x:v>birds; family; gardens</x:v>
      </x:c>
      <x:c r="H36" s="26" t="str">
        <x:v>A bird park in Seberang Perai, Penang, with walk-in aviaries of various bird species.</x:v>
      </x:c>
      <x:c r="I36" s="29"/>
      <x:c r="J36" s="29"/>
      <x:c r="K36" s="26" t="str">
        <x:v>Moderate</x:v>
      </x:c>
      <x:c r="L36" s="26" t="str">
        <x:v>Unknown</x:v>
      </x:c>
      <x:c r="M36" s="26" t="str">
        <x:v>Yes</x:v>
      </x:c>
      <x:c r="N36" s="26" t="str">
        <x:v>Unknown</x:v>
      </x:c>
      <x:c r="O36" s="26" t="str">
        <x:v>Unknown</x:v>
      </x:c>
      <x:c r="P36" s="26" t="str">
        <x:v>Partial</x:v>
      </x:c>
      <x:c r="Q36" s="26" t="str">
        <x:v>Suitable with assistance</x:v>
      </x:c>
      <x:c r="R36" s="26" t="str">
        <x:v>The five-acre garden-style park includes bridges and walk-in aviaries. Malay huts provide places to rest, and an air-conditioned restaurant offers shelter, but step-free access is not documented.</x:v>
      </x:c>
      <x:c r="S36" s="26" t="str">
        <x:v>https://www.penangbirdpark.com.my/about.php</x:v>
      </x:c>
      <x:c r="T36" s="26" t="str">
        <x:v>Official/operator/tourism source</x:v>
      </x:c>
      <x:c r="U36" s="26" t="str">
        <x:v>High</x:v>
      </x:c>
      <x:c r="V36" s="26" t="str">
        <x:v>Included in Maya's elderly recommendation results: Resting huts and an air-conditioned restaurant provide seats and shelter.</x:v>
      </x:c>
      <x:c r="W36" s="32" t="str">
        <x:v>2026-08-16</x:v>
      </x:c>
    </x:row>
    <x:row r="37">
      <x:c r="A37" s="26" t="str">
        <x:v>MC0179</x:v>
      </x:c>
      <x:c r="B37" s="26" t="str">
        <x:v>Penang Botanic Gardens</x:v>
      </x:c>
      <x:c r="C37" s="26" t="str">
        <x:v>Penang</x:v>
      </x:c>
      <x:c r="D37" s="26" t="str">
        <x:v>George Town</x:v>
      </x:c>
      <x:c r="E37" s="26" t="str">
        <x:v>Park and Recreation</x:v>
      </x:c>
      <x:c r="F37" s="26" t="str">
        <x:v>Outdoor</x:v>
      </x:c>
      <x:c r="G37" s="26" t="str">
        <x:v>garden; walking; nature; relaxation; wildlife</x:v>
      </x:c>
      <x:c r="H37" s="26" t="str">
        <x:v>A colonial-era botanical garden in George Town, also known as the Waterfall Gardens.</x:v>
      </x:c>
      <x:c r="I37" s="29"/>
      <x:c r="J37" s="29"/>
      <x:c r="K37" s="26" t="str">
        <x:v>Moderate</x:v>
      </x:c>
      <x:c r="L37" s="26" t="str">
        <x:v>Partial</x:v>
      </x:c>
      <x:c r="M37" s="26" t="str">
        <x:v>Unknown</x:v>
      </x:c>
      <x:c r="N37" s="26" t="str">
        <x:v>Unknown</x:v>
      </x:c>
      <x:c r="O37" s="26" t="str">
        <x:v>Unknown</x:v>
      </x:c>
      <x:c r="P37" s="26" t="str">
        <x:v>Partial</x:v>
      </x:c>
      <x:c r="Q37" s="26" t="str">
        <x:v>Suitable with assistance</x:v>
      </x:c>
      <x:c r="R37" s="26" t="str">
        <x:v>The official garden information records wheelchair access, toilets, gazebos and an optional paid tram. Walking effort varies because the site also contains jogging and forest trails.</x:v>
      </x:c>
      <x:c r="S37" s="26" t="str">
        <x:v>https://botanicalgardens.penang.gov.my/index.php/en/visitors-info/place-to-visit</x:v>
      </x:c>
      <x:c r="T37" s="26" t="str">
        <x:v>Official/operator/tourism source</x:v>
      </x:c>
      <x:c r="U37" s="26" t="str">
        <x:v>High</x:v>
      </x:c>
      <x:c r="V37" s="26" t="str">
        <x:v>Included in Maya's elderly recommendation results: Wheelchair access, toilets, gazebos and an optional paid tram are documented.</x:v>
      </x:c>
      <x:c r="W37" s="32" t="str">
        <x:v>2026-08-16</x:v>
      </x:c>
    </x:row>
    <x:row r="38">
      <x:c r="A38" s="26" t="str">
        <x:v>MC0173</x:v>
      </x:c>
      <x:c r="B38" s="26" t="str">
        <x:v>Penang Hill</x:v>
      </x:c>
      <x:c r="C38" s="26" t="str">
        <x:v>Penang</x:v>
      </x:c>
      <x:c r="D38" s="26" t="str">
        <x:v>George Town</x:v>
      </x:c>
      <x:c r="E38" s="26" t="str">
        <x:v>Wellness and Relaxation</x:v>
      </x:c>
      <x:c r="F38" s="26" t="str">
        <x:v>Both</x:v>
      </x:c>
      <x:c r="G38" s="26" t="str">
        <x:v>hill; scenery; cool climate; relaxation; nature; funicular</x:v>
      </x:c>
      <x:c r="H38" s="26" t="str">
        <x:v>A hill resort above George Town reached by funicular railway, offering panoramic views and cooler temperatures.</x:v>
      </x:c>
      <x:c r="I38" s="29"/>
      <x:c r="J38" s="29"/>
      <x:c r="K38" s="26" t="str">
        <x:v>Low</x:v>
      </x:c>
      <x:c r="L38" s="26" t="str">
        <x:v>Yes</x:v>
      </x:c>
      <x:c r="M38" s="26" t="str">
        <x:v>Unknown</x:v>
      </x:c>
      <x:c r="N38" s="26" t="str">
        <x:v>Unknown</x:v>
      </x:c>
      <x:c r="O38" s="26" t="str">
        <x:v>Unknown</x:v>
      </x:c>
      <x:c r="P38" s="26" t="str">
        <x:v>Unknown</x:v>
      </x:c>
      <x:c r="Q38" s="26" t="str">
        <x:v>Suitable with assistance</x:v>
      </x:c>
      <x:c r="R38" s="26" t="str">
        <x:v>The main visit can use the funicular and designated wheelchair route, reducing physical effort. Staff can assist with boarding. Lightweight wheelchairs are available free of charge, subject to availability and a 100 kg limit; motorised wheelchairs are not allowed in the funicular.</x:v>
      </x:c>
      <x:c r="S38" s="26" t="str">
        <x:v>https://penanghill.gov.my/index.php/en/facilities-services</x:v>
      </x:c>
      <x:c r="T38" s="26" t="str">
        <x:v>Official/operator/tourism source</x:v>
      </x:c>
      <x:c r="U38" s="26" t="str">
        <x:v>High</x:v>
      </x:c>
      <x:c r="V38" s="26" t="str">
        <x:v>Included in Maya's elderly recommendation results: A designated wheelchair route, boarding assistance and loan wheelchairs are documented.</x:v>
      </x:c>
      <x:c r="W38" s="32" t="str">
        <x:v>2026-08-16</x:v>
      </x:c>
    </x:row>
    <x:row r="39">
      <x:c r="A39" s="26" t="str">
        <x:v>OSM-way-189574938</x:v>
      </x:c>
      <x:c r="B39" s="26" t="str">
        <x:v>Penang State Museum &amp; Art Gallery (Branch)</x:v>
      </x:c>
      <x:c r="C39" s="26" t="str">
        <x:v>Penang</x:v>
      </x:c>
      <x:c r="D39" s="26" t="str">
        <x:v>George Town</x:v>
      </x:c>
      <x:c r="E39" s="26" t="str">
        <x:v>Museum and Gallery</x:v>
      </x:c>
      <x:c r="F39" s="26" t="str">
        <x:v>Indoor / sheltered</x:v>
      </x:c>
      <x:c r="G39" s="26" t="str">
        <x:v>museum; wheelchair access</x:v>
      </x:c>
      <x:c r="H39" s="26" t="str">
        <x:v>Penang State Museum &amp; Art Gallery (Branch) is a museum in George Town, Penang. OpenStreetMap records the place as limited wheelchair access.</x:v>
      </x:c>
      <x:c r="I39" s="29" t="n">
        <x:v>5.4150094</x:v>
      </x:c>
      <x:c r="J39" s="29" t="n">
        <x:v>100.3254966</x:v>
      </x:c>
      <x:c r="K39" s="26" t="str">
        <x:v>Unknown</x:v>
      </x:c>
      <x:c r="L39" s="26" t="str">
        <x:v>Partial</x:v>
      </x:c>
      <x:c r="M39" s="26" t="str">
        <x:v>Unknown</x:v>
      </x:c>
      <x:c r="N39" s="26" t="str">
        <x:v>Unknown</x:v>
      </x:c>
      <x:c r="O39" s="26" t="str">
        <x:v>Unknown</x:v>
      </x:c>
      <x:c r="P39" s="26" t="str">
        <x:v>Unknown</x:v>
      </x:c>
      <x:c r="Q39" s="26" t="str">
        <x:v>Limited access; assistance may be needed</x:v>
      </x:c>
      <x:c r="R39" s="26" t="str">
        <x:v>OpenStreetMap records wheelchair=limited, indicating that some visitor areas may be accessible while barriers remain. The mapped record does not identify the restricted sections.</x:v>
      </x:c>
      <x:c r="S39" s="26" t="str">
        <x:v>https://www.openstreetmap.org/way/189574938</x:v>
      </x:c>
      <x:c r="T39" s="26" t="str">
        <x:v>OpenStreetMap community-mapped accessibility</x:v>
      </x:c>
      <x:c r="U39" s="26" t="str">
        <x:v>Medium</x:v>
      </x:c>
      <x:c r="V39" s="26" t="str">
        <x:v>Included because the OpenStreetMap record explicitly states wheelchair=limited. This is community-mapped evidence with medium confidence.</x:v>
      </x:c>
      <x:c r="W39" s="32" t="str">
        <x:v>2026-08-17</x:v>
      </x:c>
    </x:row>
    <x:row r="40">
      <x:c r="A40" s="26" t="str">
        <x:v>OSM-way-124319048</x:v>
      </x:c>
      <x:c r="B40" s="26" t="str">
        <x:v>Penang State Museum and Art Gallery</x:v>
      </x:c>
      <x:c r="C40" s="26" t="str">
        <x:v>Penang</x:v>
      </x:c>
      <x:c r="D40" s="26" t="str">
        <x:v>George Town</x:v>
      </x:c>
      <x:c r="E40" s="26" t="str">
        <x:v>Museum and Gallery</x:v>
      </x:c>
      <x:c r="F40" s="26" t="str">
        <x:v>Indoor / sheltered</x:v>
      </x:c>
      <x:c r="G40" s="26" t="str">
        <x:v>museum; wheelchair access</x:v>
      </x:c>
      <x:c r="H40" s="26" t="str">
        <x:v>Art museum in George Town, Malaysia. OpenStreetMap records the place as limited wheelchair access.</x:v>
      </x:c>
      <x:c r="I40" s="29" t="n">
        <x:v>5.4204831</x:v>
      </x:c>
      <x:c r="J40" s="29" t="n">
        <x:v>100.3385301</x:v>
      </x:c>
      <x:c r="K40" s="26" t="str">
        <x:v>Unknown</x:v>
      </x:c>
      <x:c r="L40" s="26" t="str">
        <x:v>Partial</x:v>
      </x:c>
      <x:c r="M40" s="26" t="str">
        <x:v>Unknown</x:v>
      </x:c>
      <x:c r="N40" s="26" t="str">
        <x:v>Unknown</x:v>
      </x:c>
      <x:c r="O40" s="26" t="str">
        <x:v>Unknown</x:v>
      </x:c>
      <x:c r="P40" s="26" t="str">
        <x:v>Unknown</x:v>
      </x:c>
      <x:c r="Q40" s="26" t="str">
        <x:v>Limited access; assistance may be needed</x:v>
      </x:c>
      <x:c r="R40" s="26" t="str">
        <x:v>OpenStreetMap records wheelchair=limited, indicating that some visitor areas may be accessible while barriers remain. The mapped record does not identify the restricted sections.</x:v>
      </x:c>
      <x:c r="S40" s="26" t="str">
        <x:v>https://www.openstreetmap.org/way/124319048</x:v>
      </x:c>
      <x:c r="T40" s="26" t="str">
        <x:v>OpenStreetMap community-mapped accessibility</x:v>
      </x:c>
      <x:c r="U40" s="26" t="str">
        <x:v>Medium</x:v>
      </x:c>
      <x:c r="V40" s="26" t="str">
        <x:v>Included because the OpenStreetMap record explicitly states wheelchair=limited. This is community-mapped evidence with medium confidence.</x:v>
      </x:c>
      <x:c r="W40" s="32" t="str">
        <x:v>2026-08-17</x:v>
      </x:c>
    </x:row>
    <x:row r="41">
      <x:c r="A41" s="26" t="str">
        <x:v>MC0180</x:v>
      </x:c>
      <x:c r="B41" s="26" t="str">
        <x:v>Pinang Peranakan Mansion</x:v>
      </x:c>
      <x:c r="C41" s="26" t="str">
        <x:v>Penang</x:v>
      </x:c>
      <x:c r="D41" s="26" t="str">
        <x:v>George Town</x:v>
      </x:c>
      <x:c r="E41" s="26" t="str">
        <x:v>Museum and Gallery</x:v>
      </x:c>
      <x:c r="F41" s="26" t="str">
        <x:v>Indoor</x:v>
      </x:c>
      <x:c r="G41" s="26" t="str">
        <x:v>Peranakan; mansion; museum</x:v>
      </x:c>
      <x:c r="H41" s="26" t="str">
        <x:v>A restored 19th-century mansion museum in George Town showcasing opulent Straits Chinese (Peranakan) heritage and antiques.</x:v>
      </x:c>
      <x:c r="I41" s="29"/>
      <x:c r="J41" s="29"/>
      <x:c r="K41" s="26" t="str">
        <x:v>Moderate</x:v>
      </x:c>
      <x:c r="L41" s="26" t="str">
        <x:v>Partial</x:v>
      </x:c>
      <x:c r="M41" s="26" t="str">
        <x:v>Unknown</x:v>
      </x:c>
      <x:c r="N41" s="26" t="str">
        <x:v>Unknown</x:v>
      </x:c>
      <x:c r="O41" s="26" t="str">
        <x:v>Unknown</x:v>
      </x:c>
      <x:c r="P41" s="26" t="str">
        <x:v>Partial</x:v>
      </x:c>
      <x:c r="Q41" s="26" t="str">
        <x:v>Suitable with assistance</x:v>
      </x:c>
      <x:c r="R41" s="26" t="str">
        <x:v>Access beyond the ground-floor entrance is limited by uneven tiled floors, narrow doorways and interior steps. Wheelchair and pushchair users may have difficulty reaching all rooms.</x:v>
      </x:c>
      <x:c r="S41" s="26" t="str">
        <x:v>https://www.visitpenang.com/attractions/pinang-peranakan-mansion</x:v>
      </x:c>
      <x:c r="T41" s="26" t="str">
        <x:v>Official/operator/tourism source</x:v>
      </x:c>
      <x:c r="U41" s="26" t="str">
        <x:v>High</x:v>
      </x:c>
      <x:c r="V41" s="26" t="str">
        <x:v>Included in Maya's elderly recommendation results: The ground floor has partial access, although uneven floors, narrow doorways and steps limit the complete visit.</x:v>
      </x:c>
      <x:c r="W41" s="32" t="str">
        <x:v>2026-08-16</x:v>
      </x:c>
    </x:row>
    <x:row r="42">
      <x:c r="A42" s="26" t="str">
        <x:v>OSM-way-261334959</x:v>
      </x:c>
      <x:c r="B42" s="26" t="str">
        <x:v>Plaza Gurney</x:v>
      </x:c>
      <x:c r="C42" s="26" t="str">
        <x:v>Penang</x:v>
      </x:c>
      <x:c r="D42" s="26" t="str">
        <x:v>George Town</x:v>
      </x:c>
      <x:c r="E42" s="26" t="str">
        <x:v>Shopping</x:v>
      </x:c>
      <x:c r="F42" s="26" t="str">
        <x:v>Indoor / sheltered</x:v>
      </x:c>
      <x:c r="G42" s="26" t="str">
        <x:v>shopping centre; wheelchair access; CapitaLand Malls</x:v>
      </x:c>
      <x:c r="H42" s="26" t="str">
        <x:v>Contemporary mall complex featuring clothing, electronics &amp; accessory shops, plus a food court. OpenStreetMap records the place as wheelchair accessible.</x:v>
      </x:c>
      <x:c r="I42" s="29" t="n">
        <x:v>5.4372914</x:v>
      </x:c>
      <x:c r="J42" s="29" t="n">
        <x:v>100.3094713</x:v>
      </x:c>
      <x:c r="K42" s="26" t="str">
        <x:v>Unknown</x:v>
      </x:c>
      <x:c r="L42" s="26" t="str">
        <x:v>Yes</x:v>
      </x:c>
      <x:c r="M42" s="26" t="str">
        <x:v>Unknown</x:v>
      </x:c>
      <x:c r="N42" s="26" t="str">
        <x:v>Unknown</x:v>
      </x:c>
      <x:c r="O42" s="26" t="str">
        <x:v>Unknown</x:v>
      </x:c>
      <x:c r="P42" s="26" t="str">
        <x:v>Unknown</x:v>
      </x:c>
      <x:c r="Q42" s="26" t="str">
        <x:v>Wheelchair access mapped</x:v>
      </x:c>
      <x:c r="R42" s="26" t="str">
        <x:v>OpenStreetMap records wheelchair=yes, indicating the main visitor access is community-mapped as wheelchair accessible. Individual facilities such as toilets, seats, lifts and parking are not separately documented in this record.</x:v>
      </x:c>
      <x:c r="S42" s="26" t="str">
        <x:v>https://www.openstreetmap.org/way/261334959</x:v>
      </x:c>
      <x:c r="T42" s="26" t="str">
        <x:v>OpenStreetMap community-mapped accessibility</x:v>
      </x:c>
      <x:c r="U42" s="26" t="str">
        <x:v>Medium</x:v>
      </x:c>
      <x:c r="V42" s="26" t="str">
        <x:v>Included because the OpenStreetMap record explicitly states wheelchair=yes. This is community-mapped evidence with medium confidence.</x:v>
      </x:c>
      <x:c r="W42" s="32" t="str">
        <x:v>2026-08-17</x:v>
      </x:c>
    </x:row>
    <x:row r="43">
      <x:c r="A43" s="26" t="str">
        <x:v>OSM-way-987035215</x:v>
      </x:c>
      <x:c r="B43" s="26" t="str">
        <x:v>Prangin Mall</x:v>
      </x:c>
      <x:c r="C43" s="26" t="str">
        <x:v>Penang</x:v>
      </x:c>
      <x:c r="D43" s="26" t="str">
        <x:v>George Town</x:v>
      </x:c>
      <x:c r="E43" s="26" t="str">
        <x:v>Shopping</x:v>
      </x:c>
      <x:c r="F43" s="26" t="str">
        <x:v>Indoor / sheltered</x:v>
      </x:c>
      <x:c r="G43" s="26" t="str">
        <x:v>shopping centre; wheelchair access</x:v>
      </x:c>
      <x:c r="H43" s="26" t="str">
        <x:v>Shopping mall in George Town, Penang, Malaysia. OpenStreetMap records the place as wheelchair accessible.</x:v>
      </x:c>
      <x:c r="I43" s="29" t="n">
        <x:v>5.4141738</x:v>
      </x:c>
      <x:c r="J43" s="29" t="n">
        <x:v>100.3314665</x:v>
      </x:c>
      <x:c r="K43" s="26" t="str">
        <x:v>Unknown</x:v>
      </x:c>
      <x:c r="L43" s="26" t="str">
        <x:v>Yes</x:v>
      </x:c>
      <x:c r="M43" s="26" t="str">
        <x:v>Unknown</x:v>
      </x:c>
      <x:c r="N43" s="26" t="str">
        <x:v>Unknown</x:v>
      </x:c>
      <x:c r="O43" s="26" t="str">
        <x:v>Unknown</x:v>
      </x:c>
      <x:c r="P43" s="26" t="str">
        <x:v>Unknown</x:v>
      </x:c>
      <x:c r="Q43" s="26" t="str">
        <x:v>Wheelchair access mapped</x:v>
      </x:c>
      <x:c r="R43" s="26" t="str">
        <x:v>OpenStreetMap records wheelchair=yes, indicating the main visitor access is community-mapped as wheelchair accessible. Individual facilities such as toilets, seats, lifts and parking are not separately documented in this record.</x:v>
      </x:c>
      <x:c r="S43" s="26" t="str">
        <x:v>https://www.openstreetmap.org/way/987035215</x:v>
      </x:c>
      <x:c r="T43" s="26" t="str">
        <x:v>OpenStreetMap community-mapped accessibility</x:v>
      </x:c>
      <x:c r="U43" s="26" t="str">
        <x:v>Medium</x:v>
      </x:c>
      <x:c r="V43" s="26" t="str">
        <x:v>Included because the OpenStreetMap record explicitly states wheelchair=yes. This is community-mapped evidence with medium confidence.</x:v>
      </x:c>
      <x:c r="W43" s="32" t="str">
        <x:v>2026-08-17</x:v>
      </x:c>
    </x:row>
    <x:row r="44">
      <x:c r="A44" s="26" t="str">
        <x:v>OSM-way-265907358</x:v>
      </x:c>
      <x:c r="B44" s="26" t="str">
        <x:v>Precinct 10</x:v>
      </x:c>
      <x:c r="C44" s="26" t="str">
        <x:v>Penang</x:v>
      </x:c>
      <x:c r="D44" s="26" t="str">
        <x:v>George Town</x:v>
      </x:c>
      <x:c r="E44" s="26" t="str">
        <x:v>Shopping</x:v>
      </x:c>
      <x:c r="F44" s="26" t="str">
        <x:v>Indoor / sheltered</x:v>
      </x:c>
      <x:c r="G44" s="26" t="str">
        <x:v>shopping centre; wheelchair access</x:v>
      </x:c>
      <x:c r="H44" s="26" t="str">
        <x:v>Precinct 10 is a shopping centre in George Town, Penang. OpenStreetMap records the place as wheelchair accessible.</x:v>
      </x:c>
      <x:c r="I44" s="29" t="n">
        <x:v>5.4492088</x:v>
      </x:c>
      <x:c r="J44" s="29" t="n">
        <x:v>100.3061152</x:v>
      </x:c>
      <x:c r="K44" s="26" t="str">
        <x:v>Unknown</x:v>
      </x:c>
      <x:c r="L44" s="26" t="str">
        <x:v>Yes</x:v>
      </x:c>
      <x:c r="M44" s="26" t="str">
        <x:v>Unknown</x:v>
      </x:c>
      <x:c r="N44" s="26" t="str">
        <x:v>Unknown</x:v>
      </x:c>
      <x:c r="O44" s="26" t="str">
        <x:v>Unknown</x:v>
      </x:c>
      <x:c r="P44" s="26" t="str">
        <x:v>Unknown</x:v>
      </x:c>
      <x:c r="Q44" s="26" t="str">
        <x:v>Wheelchair access mapped</x:v>
      </x:c>
      <x:c r="R44" s="26" t="str">
        <x:v>OpenStreetMap records wheelchair=yes, indicating the main visitor access is community-mapped as wheelchair accessible. Individual facilities such as toilets, seats, lifts and parking are not separately documented in this record.</x:v>
      </x:c>
      <x:c r="S44" s="26" t="str">
        <x:v>https://www.openstreetmap.org/way/265907358</x:v>
      </x:c>
      <x:c r="T44" s="26" t="str">
        <x:v>OpenStreetMap community-mapped accessibility</x:v>
      </x:c>
      <x:c r="U44" s="26" t="str">
        <x:v>Medium</x:v>
      </x:c>
      <x:c r="V44" s="26" t="str">
        <x:v>Included because the OpenStreetMap record explicitly states wheelchair=yes. This is community-mapped evidence with medium confidence.</x:v>
      </x:c>
      <x:c r="W44" s="32" t="str">
        <x:v>2026-08-17</x:v>
      </x:c>
    </x:row>
    <x:row r="45">
      <x:c r="A45" s="26" t="str">
        <x:v>OSM-way-205876332</x:v>
      </x:c>
      <x:c r="B45" s="26" t="str">
        <x:v>Queensbay Mall</x:v>
      </x:c>
      <x:c r="C45" s="26" t="str">
        <x:v>Penang</x:v>
      </x:c>
      <x:c r="D45" s="26" t="str">
        <x:v>George Town</x:v>
      </x:c>
      <x:c r="E45" s="26" t="str">
        <x:v>Shopping</x:v>
      </x:c>
      <x:c r="F45" s="26" t="str">
        <x:v>Indoor / sheltered</x:v>
      </x:c>
      <x:c r="G45" s="26" t="str">
        <x:v>shopping centre; wheelchair access; CapitaLand Malls</x:v>
      </x:c>
      <x:c r="H45" s="26" t="str">
        <x:v>Modern, 5-story complex featuring fashion &amp; electronics stores, many restaurants &amp; a cinema. Located within easy access on Penang Island via an extensive network of expressways, just minutes away from Penang International Airport, Bayan Lepas Free Trade I. OpenStreetMap records the place as wheelchair accessible.</x:v>
      </x:c>
      <x:c r="I45" s="29" t="n">
        <x:v>5.333271</x:v>
      </x:c>
      <x:c r="J45" s="29" t="n">
        <x:v>100.3067777</x:v>
      </x:c>
      <x:c r="K45" s="26" t="str">
        <x:v>Unknown</x:v>
      </x:c>
      <x:c r="L45" s="26" t="str">
        <x:v>Yes</x:v>
      </x:c>
      <x:c r="M45" s="26" t="str">
        <x:v>Unknown</x:v>
      </x:c>
      <x:c r="N45" s="26" t="str">
        <x:v>Unknown</x:v>
      </x:c>
      <x:c r="O45" s="26" t="str">
        <x:v>Unknown</x:v>
      </x:c>
      <x:c r="P45" s="26" t="str">
        <x:v>Unknown</x:v>
      </x:c>
      <x:c r="Q45" s="26" t="str">
        <x:v>Wheelchair access mapped</x:v>
      </x:c>
      <x:c r="R45" s="26" t="str">
        <x:v>OpenStreetMap records wheelchair=yes, indicating the main visitor access is community-mapped as wheelchair accessible. Individual facilities such as toilets, seats, lifts and parking are not separately documented in this record.</x:v>
      </x:c>
      <x:c r="S45" s="26" t="str">
        <x:v>https://www.openstreetmap.org/way/205876332</x:v>
      </x:c>
      <x:c r="T45" s="26" t="str">
        <x:v>OpenStreetMap community-mapped accessibility</x:v>
      </x:c>
      <x:c r="U45" s="26" t="str">
        <x:v>Medium</x:v>
      </x:c>
      <x:c r="V45" s="26" t="str">
        <x:v>Included because the OpenStreetMap record explicitly states wheelchair=yes. This is community-mapped evidence with medium confidence.</x:v>
      </x:c>
      <x:c r="W45" s="32" t="str">
        <x:v>2026-08-17</x:v>
      </x:c>
    </x:row>
    <x:row r="46">
      <x:c r="A46" s="26" t="str">
        <x:v>OSM-way-309505807</x:v>
      </x:c>
      <x:c r="B46" s="26" t="str">
        <x:v>Straits Quay</x:v>
      </x:c>
      <x:c r="C46" s="26" t="str">
        <x:v>Penang</x:v>
      </x:c>
      <x:c r="D46" s="26" t="str">
        <x:v>George Town</x:v>
      </x:c>
      <x:c r="E46" s="26" t="str">
        <x:v>Shopping</x:v>
      </x:c>
      <x:c r="F46" s="26" t="str">
        <x:v>Indoor / sheltered</x:v>
      </x:c>
      <x:c r="G46" s="26" t="str">
        <x:v>shopping centre; wheelchair access</x:v>
      </x:c>
      <x:c r="H46" s="26" t="str">
        <x:v>Shopping mall near George Town in Penang, Malaysia. OpenStreetMap records the place as wheelchair accessible.</x:v>
      </x:c>
      <x:c r="I46" s="29" t="n">
        <x:v>5.4581289</x:v>
      </x:c>
      <x:c r="J46" s="29" t="n">
        <x:v>100.3133327</x:v>
      </x:c>
      <x:c r="K46" s="26" t="str">
        <x:v>Unknown</x:v>
      </x:c>
      <x:c r="L46" s="26" t="str">
        <x:v>Yes</x:v>
      </x:c>
      <x:c r="M46" s="26" t="str">
        <x:v>Unknown</x:v>
      </x:c>
      <x:c r="N46" s="26" t="str">
        <x:v>Unknown</x:v>
      </x:c>
      <x:c r="O46" s="26" t="str">
        <x:v>Unknown</x:v>
      </x:c>
      <x:c r="P46" s="26" t="str">
        <x:v>Unknown</x:v>
      </x:c>
      <x:c r="Q46" s="26" t="str">
        <x:v>Wheelchair access mapped</x:v>
      </x:c>
      <x:c r="R46" s="26" t="str">
        <x:v>OpenStreetMap records wheelchair=yes, indicating the main visitor access is community-mapped as wheelchair accessible. Individual facilities such as toilets, seats, lifts and parking are not separately documented in this record.</x:v>
      </x:c>
      <x:c r="S46" s="26" t="str">
        <x:v>https://www.openstreetmap.org/way/309505807</x:v>
      </x:c>
      <x:c r="T46" s="26" t="str">
        <x:v>OpenStreetMap community-mapped accessibility</x:v>
      </x:c>
      <x:c r="U46" s="26" t="str">
        <x:v>Medium</x:v>
      </x:c>
      <x:c r="V46" s="26" t="str">
        <x:v>Included because the OpenStreetMap record explicitly states wheelchair=yes. This is community-mapped evidence with medium confidence.</x:v>
      </x:c>
      <x:c r="W46" s="32" t="str">
        <x:v>2026-08-17</x:v>
      </x:c>
    </x:row>
    <x:row r="47">
      <x:c r="A47" s="26" t="str">
        <x:v>OSM-way-1126002114</x:v>
      </x:c>
      <x:c r="B47" s="26" t="str">
        <x:v>Sunway Carnival Mall</x:v>
      </x:c>
      <x:c r="C47" s="26" t="str">
        <x:v>Penang</x:v>
      </x:c>
      <x:c r="D47" s="26" t="str">
        <x:v>Not recorded</x:v>
      </x:c>
      <x:c r="E47" s="26" t="str">
        <x:v>Shopping</x:v>
      </x:c>
      <x:c r="F47" s="26" t="str">
        <x:v>Indoor / sheltered</x:v>
      </x:c>
      <x:c r="G47" s="26" t="str">
        <x:v>shopping centre; wheelchair access</x:v>
      </x:c>
      <x:c r="H47" s="26" t="str">
        <x:v>Multi-level mall with international chain shops &amp; restaurants, a food court &amp; a multiplex cinema. OpenStreetMap records the place as wheelchair accessible.</x:v>
      </x:c>
      <x:c r="I47" s="29" t="n">
        <x:v>5.3992054</x:v>
      </x:c>
      <x:c r="J47" s="29" t="n">
        <x:v>100.3982487</x:v>
      </x:c>
      <x:c r="K47" s="26" t="str">
        <x:v>Unknown</x:v>
      </x:c>
      <x:c r="L47" s="26" t="str">
        <x:v>Yes</x:v>
      </x:c>
      <x:c r="M47" s="26" t="str">
        <x:v>Unknown</x:v>
      </x:c>
      <x:c r="N47" s="26" t="str">
        <x:v>Unknown</x:v>
      </x:c>
      <x:c r="O47" s="26" t="str">
        <x:v>Unknown</x:v>
      </x:c>
      <x:c r="P47" s="26" t="str">
        <x:v>Unknown</x:v>
      </x:c>
      <x:c r="Q47" s="26" t="str">
        <x:v>Wheelchair access mapped</x:v>
      </x:c>
      <x:c r="R47" s="26" t="str">
        <x:v>OpenStreetMap records wheelchair=yes, indicating the main visitor access is community-mapped as wheelchair accessible. Individual facilities such as toilets, seats, lifts and parking are not separately documented in this record.</x:v>
      </x:c>
      <x:c r="S47" s="26" t="str">
        <x:v>https://www.openstreetmap.org/way/1126002114</x:v>
      </x:c>
      <x:c r="T47" s="26" t="str">
        <x:v>OpenStreetMap community-mapped accessibility</x:v>
      </x:c>
      <x:c r="U47" s="26" t="str">
        <x:v>Medium</x:v>
      </x:c>
      <x:c r="V47" s="26" t="str">
        <x:v>Included because the OpenStreetMap record explicitly states wheelchair=yes. This is community-mapped evidence with medium confidence.</x:v>
      </x:c>
      <x:c r="W47" s="32" t="str">
        <x:v>2026-08-17</x:v>
      </x:c>
    </x:row>
    <x:row r="48">
      <x:c r="A48" s="26" t="str">
        <x:v>OSM-way-275620241</x:v>
      </x:c>
      <x:c r="B48" s="26" t="str">
        <x:v>Taman Buah-Buahan Tropika</x:v>
      </x:c>
      <x:c r="C48" s="26" t="str">
        <x:v>Penang</x:v>
      </x:c>
      <x:c r="D48" s="26" t="str">
        <x:v>George Town</x:v>
      </x:c>
      <x:c r="E48" s="26" t="str">
        <x:v>Urban Attraction</x:v>
      </x:c>
      <x:c r="F48" s="26" t="str">
        <x:v>Both / varies</x:v>
      </x:c>
      <x:c r="G48" s="26" t="str">
        <x:v>visitor attraction; wheelchair access; Tropical Agro Farm (Pg) Sdn Bhd</x:v>
      </x:c>
      <x:c r="H48" s="26" t="str">
        <x:v>Taman Buah-Buahan Tropika is a visitor attraction in George Town, Penang. OpenStreetMap records the place as limited wheelchair access.</x:v>
      </x:c>
      <x:c r="I48" s="29" t="n">
        <x:v>5.4160723</x:v>
      </x:c>
      <x:c r="J48" s="29" t="n">
        <x:v>100.2181738</x:v>
      </x:c>
      <x:c r="K48" s="26" t="str">
        <x:v>Unknown</x:v>
      </x:c>
      <x:c r="L48" s="26" t="str">
        <x:v>Partial</x:v>
      </x:c>
      <x:c r="M48" s="26" t="str">
        <x:v>Unknown</x:v>
      </x:c>
      <x:c r="N48" s="26" t="str">
        <x:v>Unknown</x:v>
      </x:c>
      <x:c r="O48" s="26" t="str">
        <x:v>Unknown</x:v>
      </x:c>
      <x:c r="P48" s="26" t="str">
        <x:v>Unknown</x:v>
      </x:c>
      <x:c r="Q48" s="26" t="str">
        <x:v>Limited access; assistance may be needed</x:v>
      </x:c>
      <x:c r="R48" s="26" t="str">
        <x:v>OpenStreetMap records wheelchair=limited, indicating that some visitor areas may be accessible while barriers remain. The mapped record does not identify the restricted sections.</x:v>
      </x:c>
      <x:c r="S48" s="26" t="str">
        <x:v>https://www.openstreetmap.org/way/275620241</x:v>
      </x:c>
      <x:c r="T48" s="26" t="str">
        <x:v>OpenStreetMap community-mapped accessibility</x:v>
      </x:c>
      <x:c r="U48" s="26" t="str">
        <x:v>Medium</x:v>
      </x:c>
      <x:c r="V48" s="26" t="str">
        <x:v>Included because the OpenStreetMap record explicitly states wheelchair=limited. This is community-mapped evidence with medium confidence.</x:v>
      </x:c>
      <x:c r="W48" s="32" t="str">
        <x:v>2026-08-17</x:v>
      </x:c>
    </x:row>
    <x:row r="49">
      <x:c r="A49" s="26" t="str">
        <x:v>OSM-node-5340034249</x:v>
      </x:c>
      <x:c r="B49" s="26" t="str">
        <x:v>Tan Jetty</x:v>
      </x:c>
      <x:c r="C49" s="26" t="str">
        <x:v>Penang</x:v>
      </x:c>
      <x:c r="D49" s="26" t="str">
        <x:v>George Town</x:v>
      </x:c>
      <x:c r="E49" s="26" t="str">
        <x:v>Urban Attraction</x:v>
      </x:c>
      <x:c r="F49" s="26" t="str">
        <x:v>Both / varies</x:v>
      </x:c>
      <x:c r="G49" s="26" t="str">
        <x:v>visitor attraction; wheelchair access</x:v>
      </x:c>
      <x:c r="H49" s="26" t="str">
        <x:v>Tan Jetty is a visitor attraction in George Town, Penang. OpenStreetMap records the place as wheelchair accessible.</x:v>
      </x:c>
      <x:c r="I49" s="29" t="n">
        <x:v>5.4119025</x:v>
      </x:c>
      <x:c r="J49" s="29" t="n">
        <x:v>100.3388158</x:v>
      </x:c>
      <x:c r="K49" s="26" t="str">
        <x:v>Unknown</x:v>
      </x:c>
      <x:c r="L49" s="26" t="str">
        <x:v>Yes</x:v>
      </x:c>
      <x:c r="M49" s="26" t="str">
        <x:v>Unknown</x:v>
      </x:c>
      <x:c r="N49" s="26" t="str">
        <x:v>Unknown</x:v>
      </x:c>
      <x:c r="O49" s="26" t="str">
        <x:v>Unknown</x:v>
      </x:c>
      <x:c r="P49" s="26" t="str">
        <x:v>Unknown</x:v>
      </x:c>
      <x:c r="Q49" s="26" t="str">
        <x:v>Wheelchair access mapped</x:v>
      </x:c>
      <x:c r="R49" s="26" t="str">
        <x:v>OpenStreetMap records wheelchair=yes, indicating the main visitor access is community-mapped as wheelchair accessible. Individual facilities such as toilets, seats, lifts and parking are not separately documented in this record.</x:v>
      </x:c>
      <x:c r="S49" s="26" t="str">
        <x:v>https://www.openstreetmap.org/node/5340034249</x:v>
      </x:c>
      <x:c r="T49" s="26" t="str">
        <x:v>OpenStreetMap community-mapped accessibility</x:v>
      </x:c>
      <x:c r="U49" s="26" t="str">
        <x:v>Medium</x:v>
      </x:c>
      <x:c r="V49" s="26" t="str">
        <x:v>Included because the OpenStreetMap record explicitly states wheelchair=yes. This is community-mapped evidence with medium confidence.</x:v>
      </x:c>
      <x:c r="W49" s="32" t="str">
        <x:v>2026-08-17</x:v>
      </x:c>
    </x:row>
    <x:row r="50">
      <x:c r="A50" s="26" t="str">
        <x:v>OSM-node-1726781335</x:v>
      </x:c>
      <x:c r="B50" s="26" t="str">
        <x:v>The Cenotaph War Memorial</x:v>
      </x:c>
      <x:c r="C50" s="26" t="str">
        <x:v>Penang</x:v>
      </x:c>
      <x:c r="D50" s="26" t="str">
        <x:v>George Town</x:v>
      </x:c>
      <x:c r="E50" s="26" t="str">
        <x:v>Heritage and History</x:v>
      </x:c>
      <x:c r="F50" s="26" t="str">
        <x:v>Both / varies</x:v>
      </x:c>
      <x:c r="G50" s="26" t="str">
        <x:v>memorial; wheelchair access</x:v>
      </x:c>
      <x:c r="H50" s="26" t="str">
        <x:v>War memorial in Whitehall, London. OpenStreetMap records the place as wheelchair accessible.</x:v>
      </x:c>
      <x:c r="I50" s="29" t="n">
        <x:v>5.4223808</x:v>
      </x:c>
      <x:c r="J50" s="29" t="n">
        <x:v>100.3418305</x:v>
      </x:c>
      <x:c r="K50" s="26" t="str">
        <x:v>Unknown</x:v>
      </x:c>
      <x:c r="L50" s="26" t="str">
        <x:v>Yes</x:v>
      </x:c>
      <x:c r="M50" s="26" t="str">
        <x:v>Unknown</x:v>
      </x:c>
      <x:c r="N50" s="26" t="str">
        <x:v>Unknown</x:v>
      </x:c>
      <x:c r="O50" s="26" t="str">
        <x:v>Unknown</x:v>
      </x:c>
      <x:c r="P50" s="26" t="str">
        <x:v>Unknown</x:v>
      </x:c>
      <x:c r="Q50" s="26" t="str">
        <x:v>Wheelchair access mapped</x:v>
      </x:c>
      <x:c r="R50" s="26" t="str">
        <x:v>OpenStreetMap records wheelchair=yes, indicating the main visitor access is community-mapped as wheelchair accessible. Individual facilities such as toilets, seats, lifts and parking are not separately documented in this record.</x:v>
      </x:c>
      <x:c r="S50" s="26" t="str">
        <x:v>https://www.openstreetmap.org/node/1726781335</x:v>
      </x:c>
      <x:c r="T50" s="26" t="str">
        <x:v>OpenStreetMap community-mapped accessibility</x:v>
      </x:c>
      <x:c r="U50" s="26" t="str">
        <x:v>Medium</x:v>
      </x:c>
      <x:c r="V50" s="26" t="str">
        <x:v>Included because the OpenStreetMap record explicitly states wheelchair=yes. This is community-mapped evidence with medium confidence.</x:v>
      </x:c>
      <x:c r="W50" s="32" t="str">
        <x:v>2026-08-17</x:v>
      </x:c>
    </x:row>
    <x:row r="51">
      <x:c r="A51" s="26" t="str">
        <x:v>OSM-way-473300108</x:v>
      </x:c>
      <x:c r="B51" s="26" t="str">
        <x:v>AEON Ipoh Falim</x:v>
      </x:c>
      <x:c r="C51" s="26" t="str">
        <x:v>Perak</x:v>
      </x:c>
      <x:c r="D51" s="26" t="str">
        <x:v>Majlis Bandaraya Ipoh</x:v>
      </x:c>
      <x:c r="E51" s="26" t="str">
        <x:v>Shopping</x:v>
      </x:c>
      <x:c r="F51" s="26" t="str">
        <x:v>Indoor / sheltered</x:v>
      </x:c>
      <x:c r="G51" s="26" t="str">
        <x:v>shopping centre; wheelchair access</x:v>
      </x:c>
      <x:c r="H51" s="26" t="str">
        <x:v>AEON Ipoh Falim is a shopping centre in Majlis Bandaraya Ipoh, Perak. OpenStreetMap records the place as limited wheelchair access.</x:v>
      </x:c>
      <x:c r="I51" s="29" t="n">
        <x:v>4.5817182</x:v>
      </x:c>
      <x:c r="J51" s="29" t="n">
        <x:v>101.0607804</x:v>
      </x:c>
      <x:c r="K51" s="26" t="str">
        <x:v>Unknown</x:v>
      </x:c>
      <x:c r="L51" s="26" t="str">
        <x:v>Partial</x:v>
      </x:c>
      <x:c r="M51" s="26" t="str">
        <x:v>Unknown</x:v>
      </x:c>
      <x:c r="N51" s="26" t="str">
        <x:v>Unknown</x:v>
      </x:c>
      <x:c r="O51" s="26" t="str">
        <x:v>Unknown</x:v>
      </x:c>
      <x:c r="P51" s="26" t="str">
        <x:v>Unknown</x:v>
      </x:c>
      <x:c r="Q51" s="26" t="str">
        <x:v>Limited access; assistance may be needed</x:v>
      </x:c>
      <x:c r="R51" s="26" t="str">
        <x:v>OpenStreetMap records wheelchair=limited, indicating that some visitor areas may be accessible while barriers remain. The mapped record does not identify the restricted sections.</x:v>
      </x:c>
      <x:c r="S51" s="26" t="str">
        <x:v>https://www.openstreetmap.org/way/473300108</x:v>
      </x:c>
      <x:c r="T51" s="26" t="str">
        <x:v>OpenStreetMap community-mapped accessibility</x:v>
      </x:c>
      <x:c r="U51" s="26" t="str">
        <x:v>Medium</x:v>
      </x:c>
      <x:c r="V51" s="26" t="str">
        <x:v>Included because the OpenStreetMap record explicitly states wheelchair=limited. This is community-mapped evidence with medium confidence.</x:v>
      </x:c>
      <x:c r="W51" s="32" t="str">
        <x:v>2026-08-17</x:v>
      </x:c>
    </x:row>
    <x:row r="52">
      <x:c r="A52" s="26" t="str">
        <x:v>OSM-way-273017683</x:v>
      </x:c>
      <x:c r="B52" s="26" t="str">
        <x:v>Gaharu Tea Valley</x:v>
      </x:c>
      <x:c r="C52" s="26" t="str">
        <x:v>Perak</x:v>
      </x:c>
      <x:c r="D52" s="26" t="str">
        <x:v>Not recorded</x:v>
      </x:c>
      <x:c r="E52" s="26" t="str">
        <x:v>Urban Attraction</x:v>
      </x:c>
      <x:c r="F52" s="26" t="str">
        <x:v>Both / varies</x:v>
      </x:c>
      <x:c r="G52" s="26" t="str">
        <x:v>visitor attraction; wheelchair access</x:v>
      </x:c>
      <x:c r="H52" s="26" t="str">
        <x:v>Tea plantation in Kampar, Perak, Malaysia. OpenStreetMap records the place as wheelchair accessible.</x:v>
      </x:c>
      <x:c r="I52" s="29" t="n">
        <x:v>4.460772</x:v>
      </x:c>
      <x:c r="J52" s="29" t="n">
        <x:v>101.1959289</x:v>
      </x:c>
      <x:c r="K52" s="26" t="str">
        <x:v>Unknown</x:v>
      </x:c>
      <x:c r="L52" s="26" t="str">
        <x:v>Yes</x:v>
      </x:c>
      <x:c r="M52" s="26" t="str">
        <x:v>Unknown</x:v>
      </x:c>
      <x:c r="N52" s="26" t="str">
        <x:v>Unknown</x:v>
      </x:c>
      <x:c r="O52" s="26" t="str">
        <x:v>Unknown</x:v>
      </x:c>
      <x:c r="P52" s="26" t="str">
        <x:v>Unknown</x:v>
      </x:c>
      <x:c r="Q52" s="26" t="str">
        <x:v>Wheelchair access mapped</x:v>
      </x:c>
      <x:c r="R52" s="26" t="str">
        <x:v>OpenStreetMap records wheelchair=yes, indicating the main visitor access is community-mapped as wheelchair accessible. Individual facilities such as toilets, seats, lifts and parking are not separately documented in this record.</x:v>
      </x:c>
      <x:c r="S52" s="26" t="str">
        <x:v>https://www.openstreetmap.org/way/273017683</x:v>
      </x:c>
      <x:c r="T52" s="26" t="str">
        <x:v>OpenStreetMap community-mapped accessibility</x:v>
      </x:c>
      <x:c r="U52" s="26" t="str">
        <x:v>Medium</x:v>
      </x:c>
      <x:c r="V52" s="26" t="str">
        <x:v>Included because the OpenStreetMap record explicitly states wheelchair=yes. This is community-mapped evidence with medium confidence.</x:v>
      </x:c>
      <x:c r="W52" s="32" t="str">
        <x:v>2026-08-17</x:v>
      </x:c>
    </x:row>
    <x:row r="53">
      <x:c r="A53" s="26" t="str">
        <x:v>MC0224</x:v>
      </x:c>
      <x:c r="B53" s="26" t="str">
        <x:v>Gua Kelam Recreational Park</x:v>
      </x:c>
      <x:c r="C53" s="26" t="str">
        <x:v>Perlis</x:v>
      </x:c>
      <x:c r="D53" s="26" t="str">
        <x:v>Kaki Bukit</x:v>
      </x:c>
      <x:c r="E53" s="26" t="str">
        <x:v>Nature</x:v>
      </x:c>
      <x:c r="F53" s="26" t="str">
        <x:v>Both</x:v>
      </x:c>
      <x:c r="G53" s="26" t="str">
        <x:v>Limestone cave; show cave; cave exploration; geology; rock formations; bats; tin-mining heritage; suspension bridge; wooden walkway; underground stream; river; swimming; wet trail; dry trail; caving; adventure; photography; gallery; virtual reality; ATV; camping; nature education; family recreation</x:v>
      </x:c>
      <x:c r="H53" s="26" t="str">
        <x:v>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v>
      </x:c>
      <x:c r="I53" s="29"/>
      <x:c r="J53" s="29"/>
      <x:c r="K53" s="26" t="str">
        <x:v>Unknown</x:v>
      </x:c>
      <x:c r="L53" s="26" t="str">
        <x:v>Unknown</x:v>
      </x:c>
      <x:c r="M53" s="26" t="str">
        <x:v>Unknown</x:v>
      </x:c>
      <x:c r="N53" s="26" t="str">
        <x:v>Unknown</x:v>
      </x:c>
      <x:c r="O53" s="26" t="str">
        <x:v>Unknown</x:v>
      </x:c>
      <x:c r="P53" s="26" t="str">
        <x:v>Unknown</x:v>
      </x:c>
      <x:c r="Q53" s="26" t="str">
        <x:v>Unknown</x:v>
      </x:c>
      <x:c r="R53" s="26"/>
      <x:c r="S53" s="26" t="str">
        <x:v>https://www.malaysia.travel/explore/gua-kelam-recreational-park
https://www.forestry.gov.my/en/semenanjung-malaysia/taman-negeri-perlis
https://forestry.perlis.gov.my/eko-pelancongan/gua-kelam
https://explore.perlis.gov.my/bm/Destination/View/r4Hnz
https://geopark.perlis.gov.my/tour-item/lombong-gua-kelam/
https://ebrochures.malaysia.travel/en/malaysia-travel-guide/perlis/
https://www.malaysia.travel/explore/3d2n-in-perlis-a-weekend-guide</x:v>
      </x:c>
      <x:c r="T53" s="26" t="str">
        <x:v>Official/operator/tourism source</x:v>
      </x:c>
      <x:c r="U53" s="26" t="str">
        <x:v>High</x:v>
      </x:c>
      <x:c r="V53" s="26" t="str">
        <x:v>Included in Maya's elderly recommendation results: An OKU facility and a lower-barrier virtual-reality alternative are recorded.</x:v>
      </x:c>
      <x:c r="W53" s="32" t="str">
        <x:v>2026-08-16</x:v>
      </x:c>
    </x:row>
    <x:row r="54">
      <x:c r="A54" s="26" t="str">
        <x:v>OSM-node-6894639463</x:v>
      </x:c>
      <x:c r="B54" s="26" t="str">
        <x:v>Batu Sapi Heritage Park</x:v>
      </x:c>
      <x:c r="C54" s="26" t="str">
        <x:v>Sabah</x:v>
      </x:c>
      <x:c r="D54" s="26" t="str">
        <x:v>Sandakan</x:v>
      </x:c>
      <x:c r="E54" s="26" t="str">
        <x:v>Urban Attraction</x:v>
      </x:c>
      <x:c r="F54" s="26" t="str">
        <x:v>Both / varies</x:v>
      </x:c>
      <x:c r="G54" s="26" t="str">
        <x:v>visitor attraction; wheelchair access</x:v>
      </x:c>
      <x:c r="H54" s="26" t="str">
        <x:v>Batu Sapi Heritage Park is a visitor attraction in Sandakan, Sabah. OpenStreetMap records the place as wheelchair accessible.</x:v>
      </x:c>
      <x:c r="I54" s="29" t="n">
        <x:v>5.7999163</x:v>
      </x:c>
      <x:c r="J54" s="29" t="n">
        <x:v>118.0412641</x:v>
      </x:c>
      <x:c r="K54" s="26" t="str">
        <x:v>Unknown</x:v>
      </x:c>
      <x:c r="L54" s="26" t="str">
        <x:v>Yes</x:v>
      </x:c>
      <x:c r="M54" s="26" t="str">
        <x:v>Unknown</x:v>
      </x:c>
      <x:c r="N54" s="26" t="str">
        <x:v>Unknown</x:v>
      </x:c>
      <x:c r="O54" s="26" t="str">
        <x:v>Unknown</x:v>
      </x:c>
      <x:c r="P54" s="26" t="str">
        <x:v>Unknown</x:v>
      </x:c>
      <x:c r="Q54" s="26" t="str">
        <x:v>Wheelchair access mapped</x:v>
      </x:c>
      <x:c r="R54" s="26" t="str">
        <x:v>OpenStreetMap records wheelchair=yes, indicating the main visitor access is community-mapped as wheelchair accessible. Individual facilities such as toilets, seats, lifts and parking are not separately documented in this record.</x:v>
      </x:c>
      <x:c r="S54" s="26" t="str">
        <x:v>https://www.openstreetmap.org/node/6894639463</x:v>
      </x:c>
      <x:c r="T54" s="26" t="str">
        <x:v>OpenStreetMap community-mapped accessibility</x:v>
      </x:c>
      <x:c r="U54" s="26" t="str">
        <x:v>Medium</x:v>
      </x:c>
      <x:c r="V54" s="26" t="str">
        <x:v>Included because the OpenStreetMap record explicitly states wheelchair=yes. This is community-mapped evidence with medium confidence.</x:v>
      </x:c>
      <x:c r="W54" s="32" t="str">
        <x:v>2026-08-17</x:v>
      </x:c>
    </x:row>
    <x:row r="55">
      <x:c r="A55" s="26" t="str">
        <x:v>OSM-node-4339469491</x:v>
      </x:c>
      <x:c r="B55" s="26" t="str">
        <x:v>Kiau Gap View</x:v>
      </x:c>
      <x:c r="C55" s="26" t="str">
        <x:v>Sabah</x:v>
      </x:c>
      <x:c r="D55" s="26" t="str">
        <x:v>Ranau</x:v>
      </x:c>
      <x:c r="E55" s="26" t="str">
        <x:v>Nature</x:v>
      </x:c>
      <x:c r="F55" s="26" t="str">
        <x:v>Both / varies</x:v>
      </x:c>
      <x:c r="G55" s="26" t="str">
        <x:v>viewpoint; wheelchair access</x:v>
      </x:c>
      <x:c r="H55" s="26" t="str">
        <x:v>Kiau Gap View is a viewpoint in Ranau, Sabah. OpenStreetMap records the place as wheelchair accessible.</x:v>
      </x:c>
      <x:c r="I55" s="29" t="n">
        <x:v>6.0227888</x:v>
      </x:c>
      <x:c r="J55" s="29" t="n">
        <x:v>116.5421573</x:v>
      </x:c>
      <x:c r="K55" s="26" t="str">
        <x:v>Unknown</x:v>
      </x:c>
      <x:c r="L55" s="26" t="str">
        <x:v>Yes</x:v>
      </x:c>
      <x:c r="M55" s="26" t="str">
        <x:v>Unknown</x:v>
      </x:c>
      <x:c r="N55" s="26" t="str">
        <x:v>Unknown</x:v>
      </x:c>
      <x:c r="O55" s="26" t="str">
        <x:v>Unknown</x:v>
      </x:c>
      <x:c r="P55" s="26" t="str">
        <x:v>Unknown</x:v>
      </x:c>
      <x:c r="Q55" s="26" t="str">
        <x:v>Wheelchair access mapped</x:v>
      </x:c>
      <x:c r="R55" s="26" t="str">
        <x:v>OpenStreetMap records wheelchair=yes, indicating the main visitor access is community-mapped as wheelchair accessible. Individual facilities such as toilets, seats, lifts and parking are not separately documented in this record.</x:v>
      </x:c>
      <x:c r="S55" s="26" t="str">
        <x:v>https://www.openstreetmap.org/node/4339469491</x:v>
      </x:c>
      <x:c r="T55" s="26" t="str">
        <x:v>OpenStreetMap community-mapped accessibility</x:v>
      </x:c>
      <x:c r="U55" s="26" t="str">
        <x:v>Medium</x:v>
      </x:c>
      <x:c r="V55" s="26" t="str">
        <x:v>Included because the OpenStreetMap record explicitly states wheelchair=yes. This is community-mapped evidence with medium confidence.</x:v>
      </x:c>
      <x:c r="W55" s="32" t="str">
        <x:v>2026-08-17</x:v>
      </x:c>
    </x:row>
    <x:row r="56">
      <x:c r="A56" s="26" t="str">
        <x:v>OSM-node-11951852580</x:v>
      </x:c>
      <x:c r="B56" s="26" t="str">
        <x:v>Muzium Tun Mustapha</x:v>
      </x:c>
      <x:c r="C56" s="26" t="str">
        <x:v>Sabah</x:v>
      </x:c>
      <x:c r="D56" s="26" t="str">
        <x:v>Kudat</x:v>
      </x:c>
      <x:c r="E56" s="26" t="str">
        <x:v>Museum and Gallery</x:v>
      </x:c>
      <x:c r="F56" s="26" t="str">
        <x:v>Indoor / sheltered</x:v>
      </x:c>
      <x:c r="G56" s="26" t="str">
        <x:v>museum; wheelchair access; Sabah Museum</x:v>
      </x:c>
      <x:c r="H56" s="26" t="str">
        <x:v>Muzium Tun Mustapha is a museum in Kudat, Sabah. OpenStreetMap records the place as wheelchair accessible.</x:v>
      </x:c>
      <x:c r="I56" s="29" t="n">
        <x:v>6.8861232</x:v>
      </x:c>
      <x:c r="J56" s="29" t="n">
        <x:v>116.8560722</x:v>
      </x:c>
      <x:c r="K56" s="26" t="str">
        <x:v>Unknown</x:v>
      </x:c>
      <x:c r="L56" s="26" t="str">
        <x:v>Yes</x:v>
      </x:c>
      <x:c r="M56" s="26" t="str">
        <x:v>Unknown</x:v>
      </x:c>
      <x:c r="N56" s="26" t="str">
        <x:v>Unknown</x:v>
      </x:c>
      <x:c r="O56" s="26" t="str">
        <x:v>Unknown</x:v>
      </x:c>
      <x:c r="P56" s="26" t="str">
        <x:v>Unknown</x:v>
      </x:c>
      <x:c r="Q56" s="26" t="str">
        <x:v>Wheelchair access mapped</x:v>
      </x:c>
      <x:c r="R56" s="26" t="str">
        <x:v>OpenStreetMap records wheelchair=yes, indicating the main visitor access is community-mapped as wheelchair accessible. Individual facilities such as toilets, seats, lifts and parking are not separately documented in this record.</x:v>
      </x:c>
      <x:c r="S56" s="26" t="str">
        <x:v>https://www.openstreetmap.org/node/11951852580</x:v>
      </x:c>
      <x:c r="T56" s="26" t="str">
        <x:v>OpenStreetMap community-mapped accessibility</x:v>
      </x:c>
      <x:c r="U56" s="26" t="str">
        <x:v>Medium</x:v>
      </x:c>
      <x:c r="V56" s="26" t="str">
        <x:v>Included because the OpenStreetMap record explicitly states wheelchair=yes. This is community-mapped evidence with medium confidence.</x:v>
      </x:c>
      <x:c r="W56" s="32" t="str">
        <x:v>2026-08-17</x:v>
      </x:c>
    </x:row>
    <x:row r="57">
      <x:c r="A57" s="26" t="str">
        <x:v>OSM-way-240476427</x:v>
      </x:c>
      <x:c r="B57" s="26" t="str">
        <x:v>Sabah Islamic Civilization Museum</x:v>
      </x:c>
      <x:c r="C57" s="26" t="str">
        <x:v>Sabah</x:v>
      </x:c>
      <x:c r="D57" s="26" t="str">
        <x:v>Kota Kinabalu</x:v>
      </x:c>
      <x:c r="E57" s="26" t="str">
        <x:v>Museum and Gallery</x:v>
      </x:c>
      <x:c r="F57" s="26" t="str">
        <x:v>Indoor / sheltered</x:v>
      </x:c>
      <x:c r="G57" s="26" t="str">
        <x:v>museum; wheelchair access</x:v>
      </x:c>
      <x:c r="H57" s="26" t="str">
        <x:v>Sabah Islamic Civilization Museum is a museum in Kota Kinabalu, Sabah. OpenStreetMap records the place as wheelchair accessible.</x:v>
      </x:c>
      <x:c r="I57" s="29" t="n">
        <x:v>5.9634169</x:v>
      </x:c>
      <x:c r="J57" s="29" t="n">
        <x:v>116.0738803</x:v>
      </x:c>
      <x:c r="K57" s="26" t="str">
        <x:v>Unknown</x:v>
      </x:c>
      <x:c r="L57" s="26" t="str">
        <x:v>Yes</x:v>
      </x:c>
      <x:c r="M57" s="26" t="str">
        <x:v>Unknown</x:v>
      </x:c>
      <x:c r="N57" s="26" t="str">
        <x:v>Unknown</x:v>
      </x:c>
      <x:c r="O57" s="26" t="str">
        <x:v>Unknown</x:v>
      </x:c>
      <x:c r="P57" s="26" t="str">
        <x:v>Unknown</x:v>
      </x:c>
      <x:c r="Q57" s="26" t="str">
        <x:v>Wheelchair access mapped</x:v>
      </x:c>
      <x:c r="R57" s="26" t="str">
        <x:v>OpenStreetMap records wheelchair=yes, indicating the main visitor access is community-mapped as wheelchair accessible. Individual facilities such as toilets, seats, lifts and parking are not separately documented in this record.</x:v>
      </x:c>
      <x:c r="S57" s="26" t="str">
        <x:v>https://www.openstreetmap.org/way/240476427</x:v>
      </x:c>
      <x:c r="T57" s="26" t="str">
        <x:v>OpenStreetMap community-mapped accessibility</x:v>
      </x:c>
      <x:c r="U57" s="26" t="str">
        <x:v>Medium</x:v>
      </x:c>
      <x:c r="V57" s="26" t="str">
        <x:v>Included because the OpenStreetMap record explicitly states wheelchair=yes. This is community-mapped evidence with medium confidence.</x:v>
      </x:c>
      <x:c r="W57" s="32" t="str">
        <x:v>2026-08-17</x:v>
      </x:c>
    </x:row>
    <x:row r="58">
      <x:c r="A58" s="26" t="str">
        <x:v>OSM-way-835977956</x:v>
      </x:c>
      <x:c r="B58" s="26" t="str">
        <x:v>Borneo Cultures Museum</x:v>
      </x:c>
      <x:c r="C58" s="26" t="str">
        <x:v>Sarawak</x:v>
      </x:c>
      <x:c r="D58" s="26" t="str">
        <x:v>Kuching</x:v>
      </x:c>
      <x:c r="E58" s="26" t="str">
        <x:v>Museum and Gallery</x:v>
      </x:c>
      <x:c r="F58" s="26" t="str">
        <x:v>Indoor / sheltered</x:v>
      </x:c>
      <x:c r="G58" s="26" t="str">
        <x:v>museum; wheelchair access; Jabatan Muzium Sarawak</x:v>
      </x:c>
      <x:c r="H58" s="26" t="str">
        <x:v>Cultural museum in Kuching, Sarawak, Malaysia. OpenStreetMap records the place as wheelchair accessible.</x:v>
      </x:c>
      <x:c r="I58" s="29" t="n">
        <x:v>1.5554755</x:v>
      </x:c>
      <x:c r="J58" s="29" t="n">
        <x:v>110.3423288</x:v>
      </x:c>
      <x:c r="K58" s="26" t="str">
        <x:v>Unknown</x:v>
      </x:c>
      <x:c r="L58" s="26" t="str">
        <x:v>Yes</x:v>
      </x:c>
      <x:c r="M58" s="26" t="str">
        <x:v>Unknown</x:v>
      </x:c>
      <x:c r="N58" s="26" t="str">
        <x:v>Unknown</x:v>
      </x:c>
      <x:c r="O58" s="26" t="str">
        <x:v>Unknown</x:v>
      </x:c>
      <x:c r="P58" s="26" t="str">
        <x:v>Unknown</x:v>
      </x:c>
      <x:c r="Q58" s="26" t="str">
        <x:v>Wheelchair access mapped</x:v>
      </x:c>
      <x:c r="R58" s="26" t="str">
        <x:v>OpenStreetMap records wheelchair=yes, indicating the main visitor access is community-mapped as wheelchair accessible. Individual facilities such as toilets, seats, lifts and parking are not separately documented in this record.</x:v>
      </x:c>
      <x:c r="S58" s="26" t="str">
        <x:v>https://www.openstreetmap.org/way/835977956</x:v>
      </x:c>
      <x:c r="T58" s="26" t="str">
        <x:v>OpenStreetMap community-mapped accessibility</x:v>
      </x:c>
      <x:c r="U58" s="26" t="str">
        <x:v>Medium</x:v>
      </x:c>
      <x:c r="V58" s="26" t="str">
        <x:v>Included because the OpenStreetMap record explicitly states wheelchair=yes. This is community-mapped evidence with medium confidence.</x:v>
      </x:c>
      <x:c r="W58" s="32" t="str">
        <x:v>2026-08-17</x:v>
      </x:c>
    </x:row>
    <x:row r="59">
      <x:c r="A59" s="26" t="str">
        <x:v>OSM-way-177258366</x:v>
      </x:c>
      <x:c r="B59" s="26" t="str">
        <x:v>Kampung Budaya Sarawak</x:v>
      </x:c>
      <x:c r="C59" s="26" t="str">
        <x:v>Sarawak</x:v>
      </x:c>
      <x:c r="D59" s="26" t="str">
        <x:v>Kuching</x:v>
      </x:c>
      <x:c r="E59" s="26" t="str">
        <x:v>Museum and Gallery</x:v>
      </x:c>
      <x:c r="F59" s="26" t="str">
        <x:v>Indoor / sheltered</x:v>
      </x:c>
      <x:c r="G59" s="26" t="str">
        <x:v>museum; wheelchair access</x:v>
      </x:c>
      <x:c r="H59" s="26" t="str">
        <x:v>Cultural village in Kuching, Sarawak, Malaysia. OpenStreetMap records the place as wheelchair accessible.</x:v>
      </x:c>
      <x:c r="I59" s="29" t="n">
        <x:v>1.7497137</x:v>
      </x:c>
      <x:c r="J59" s="29" t="n">
        <x:v>110.3169747</x:v>
      </x:c>
      <x:c r="K59" s="26" t="str">
        <x:v>Unknown</x:v>
      </x:c>
      <x:c r="L59" s="26" t="str">
        <x:v>Yes</x:v>
      </x:c>
      <x:c r="M59" s="26" t="str">
        <x:v>Unknown</x:v>
      </x:c>
      <x:c r="N59" s="26" t="str">
        <x:v>Unknown</x:v>
      </x:c>
      <x:c r="O59" s="26" t="str">
        <x:v>Unknown</x:v>
      </x:c>
      <x:c r="P59" s="26" t="str">
        <x:v>Unknown</x:v>
      </x:c>
      <x:c r="Q59" s="26" t="str">
        <x:v>Wheelchair access mapped</x:v>
      </x:c>
      <x:c r="R59" s="26" t="str">
        <x:v>OpenStreetMap records wheelchair=yes, indicating the main visitor access is community-mapped as wheelchair accessible. Individual facilities such as toilets, seats, lifts and parking are not separately documented in this record.</x:v>
      </x:c>
      <x:c r="S59" s="26" t="str">
        <x:v>https://www.openstreetmap.org/way/177258366</x:v>
      </x:c>
      <x:c r="T59" s="26" t="str">
        <x:v>OpenStreetMap community-mapped accessibility</x:v>
      </x:c>
      <x:c r="U59" s="26" t="str">
        <x:v>Medium</x:v>
      </x:c>
      <x:c r="V59" s="26" t="str">
        <x:v>Included because the OpenStreetMap record explicitly states wheelchair=yes. This is community-mapped evidence with medium confidence.</x:v>
      </x:c>
      <x:c r="W59" s="32" t="str">
        <x:v>2026-08-17</x:v>
      </x:c>
    </x:row>
    <x:row r="60">
      <x:c r="A60" s="26" t="str">
        <x:v>OSM-node-12094327278</x:v>
      </x:c>
      <x:c r="B60" s="26" t="str">
        <x:v>Kampung Dato Waterfront</x:v>
      </x:c>
      <x:c r="C60" s="26" t="str">
        <x:v>Sarawak</x:v>
      </x:c>
      <x:c r="D60" s="26" t="str">
        <x:v>Lawas</x:v>
      </x:c>
      <x:c r="E60" s="26" t="str">
        <x:v>Urban Attraction</x:v>
      </x:c>
      <x:c r="F60" s="26" t="str">
        <x:v>Both / varies</x:v>
      </x:c>
      <x:c r="G60" s="26" t="str">
        <x:v>visitor attraction; wheelchair access</x:v>
      </x:c>
      <x:c r="H60" s="26" t="str">
        <x:v>Kampung Dato Waterfront is a visitor attraction in Lawas, Sarawak. OpenStreetMap records the place as limited wheelchair access.</x:v>
      </x:c>
      <x:c r="I60" s="29" t="n">
        <x:v>4.9498542</x:v>
      </x:c>
      <x:c r="J60" s="29" t="n">
        <x:v>115.4339692</x:v>
      </x:c>
      <x:c r="K60" s="26" t="str">
        <x:v>Unknown</x:v>
      </x:c>
      <x:c r="L60" s="26" t="str">
        <x:v>Partial</x:v>
      </x:c>
      <x:c r="M60" s="26" t="str">
        <x:v>Unknown</x:v>
      </x:c>
      <x:c r="N60" s="26" t="str">
        <x:v>Unknown</x:v>
      </x:c>
      <x:c r="O60" s="26" t="str">
        <x:v>Unknown</x:v>
      </x:c>
      <x:c r="P60" s="26" t="str">
        <x:v>Unknown</x:v>
      </x:c>
      <x:c r="Q60" s="26" t="str">
        <x:v>Limited access; assistance may be needed</x:v>
      </x:c>
      <x:c r="R60" s="26" t="str">
        <x:v>OpenStreetMap records wheelchair=limited, indicating that some visitor areas may be accessible while barriers remain. The mapped record does not identify the restricted sections.</x:v>
      </x:c>
      <x:c r="S60" s="26" t="str">
        <x:v>https://www.openstreetmap.org/node/12094327278</x:v>
      </x:c>
      <x:c r="T60" s="26" t="str">
        <x:v>OpenStreetMap community-mapped accessibility</x:v>
      </x:c>
      <x:c r="U60" s="26" t="str">
        <x:v>Medium</x:v>
      </x:c>
      <x:c r="V60" s="26" t="str">
        <x:v>Included because the OpenStreetMap record explicitly states wheelchair=limited. This is community-mapped evidence with medium confidence.</x:v>
      </x:c>
      <x:c r="W60" s="32" t="str">
        <x:v>2026-08-17</x:v>
      </x:c>
    </x:row>
    <x:row r="61">
      <x:c r="A61" s="26" t="str">
        <x:v>OSM-way-873333441</x:v>
      </x:c>
      <x:c r="B61" s="26" t="str">
        <x:v>Miri Fish Market</x:v>
      </x:c>
      <x:c r="C61" s="26" t="str">
        <x:v>Sarawak</x:v>
      </x:c>
      <x:c r="D61" s="26" t="str">
        <x:v>Miri</x:v>
      </x:c>
      <x:c r="E61" s="26" t="str">
        <x:v>Food and Market</x:v>
      </x:c>
      <x:c r="F61" s="26" t="str">
        <x:v>Both / varies</x:v>
      </x:c>
      <x:c r="G61" s="26" t="str">
        <x:v>public market; wheelchair access; Miri City Council</x:v>
      </x:c>
      <x:c r="H61" s="26" t="str">
        <x:v>Miri Fish Market is a public market in Miri, Sarawak. OpenStreetMap records the place as wheelchair accessible.</x:v>
      </x:c>
      <x:c r="I61" s="29" t="n">
        <x:v>4.3982467</x:v>
      </x:c>
      <x:c r="J61" s="29" t="n">
        <x:v>113.9835084</x:v>
      </x:c>
      <x:c r="K61" s="26" t="str">
        <x:v>Unknown</x:v>
      </x:c>
      <x:c r="L61" s="26" t="str">
        <x:v>Yes</x:v>
      </x:c>
      <x:c r="M61" s="26" t="str">
        <x:v>Unknown</x:v>
      </x:c>
      <x:c r="N61" s="26" t="str">
        <x:v>Unknown</x:v>
      </x:c>
      <x:c r="O61" s="26" t="str">
        <x:v>Unknown</x:v>
      </x:c>
      <x:c r="P61" s="26" t="str">
        <x:v>Unknown</x:v>
      </x:c>
      <x:c r="Q61" s="26" t="str">
        <x:v>Wheelchair access mapped</x:v>
      </x:c>
      <x:c r="R61" s="26" t="str">
        <x:v>OpenStreetMap records wheelchair=yes, indicating the main visitor access is community-mapped as wheelchair accessible. Individual facilities such as toilets, seats, lifts and parking are not separately documented in this record.</x:v>
      </x:c>
      <x:c r="S61" s="26" t="str">
        <x:v>https://www.openstreetmap.org/way/873333441</x:v>
      </x:c>
      <x:c r="T61" s="26" t="str">
        <x:v>OpenStreetMap community-mapped accessibility</x:v>
      </x:c>
      <x:c r="U61" s="26" t="str">
        <x:v>Medium</x:v>
      </x:c>
      <x:c r="V61" s="26" t="str">
        <x:v>Included because the OpenStreetMap record explicitly states wheelchair=yes. This is community-mapped evidence with medium confidence.</x:v>
      </x:c>
      <x:c r="W61" s="32" t="str">
        <x:v>2026-08-17</x:v>
      </x:c>
    </x:row>
    <x:row r="62">
      <x:c r="A62" s="26" t="str">
        <x:v>OSM-way-587943504</x:v>
      </x:c>
      <x:c r="B62" s="26" t="str">
        <x:v>Pasar Sentral Sarikei</x:v>
      </x:c>
      <x:c r="C62" s="26" t="str">
        <x:v>Sarawak</x:v>
      </x:c>
      <x:c r="D62" s="26" t="str">
        <x:v>Sarikei</x:v>
      </x:c>
      <x:c r="E62" s="26" t="str">
        <x:v>Food and Market</x:v>
      </x:c>
      <x:c r="F62" s="26" t="str">
        <x:v>Both / varies</x:v>
      </x:c>
      <x:c r="G62" s="26" t="str">
        <x:v>public market; wheelchair access; Majlis Daerah Sarikei</x:v>
      </x:c>
      <x:c r="H62" s="26" t="str">
        <x:v>Pasar Sentral Sarikei is a public market in Sarikei, Sarawak. OpenStreetMap records the place as wheelchair accessible.</x:v>
      </x:c>
      <x:c r="I62" s="29" t="n">
        <x:v>2.1333737</x:v>
      </x:c>
      <x:c r="J62" s="29" t="n">
        <x:v>111.5239452</x:v>
      </x:c>
      <x:c r="K62" s="26" t="str">
        <x:v>Unknown</x:v>
      </x:c>
      <x:c r="L62" s="26" t="str">
        <x:v>Yes</x:v>
      </x:c>
      <x:c r="M62" s="26" t="str">
        <x:v>Unknown</x:v>
      </x:c>
      <x:c r="N62" s="26" t="str">
        <x:v>Unknown</x:v>
      </x:c>
      <x:c r="O62" s="26" t="str">
        <x:v>Unknown</x:v>
      </x:c>
      <x:c r="P62" s="26" t="str">
        <x:v>Unknown</x:v>
      </x:c>
      <x:c r="Q62" s="26" t="str">
        <x:v>Wheelchair access mapped</x:v>
      </x:c>
      <x:c r="R62" s="26" t="str">
        <x:v>OpenStreetMap records wheelchair=yes, indicating the main visitor access is community-mapped as wheelchair accessible. Individual facilities such as toilets, seats, lifts and parking are not separately documented in this record.</x:v>
      </x:c>
      <x:c r="S62" s="26" t="str">
        <x:v>https://www.openstreetmap.org/way/587943504</x:v>
      </x:c>
      <x:c r="T62" s="26" t="str">
        <x:v>OpenStreetMap community-mapped accessibility</x:v>
      </x:c>
      <x:c r="U62" s="26" t="str">
        <x:v>Medium</x:v>
      </x:c>
      <x:c r="V62" s="26" t="str">
        <x:v>Included because the OpenStreetMap record explicitly states wheelchair=yes. This is community-mapped evidence with medium confidence.</x:v>
      </x:c>
      <x:c r="W62" s="32" t="str">
        <x:v>2026-08-17</x:v>
      </x:c>
    </x:row>
    <x:row r="63">
      <x:c r="A63" s="26" t="str">
        <x:v>OSM-way-181543130</x:v>
      </x:c>
      <x:c r="B63" s="26" t="str">
        <x:v>1 Utama (Old Wing)</x:v>
      </x:c>
      <x:c r="C63" s="26" t="str">
        <x:v>Selangor</x:v>
      </x:c>
      <x:c r="D63" s="26" t="str">
        <x:v>Petaling Jaya</x:v>
      </x:c>
      <x:c r="E63" s="26" t="str">
        <x:v>Shopping</x:v>
      </x:c>
      <x:c r="F63" s="26" t="str">
        <x:v>Indoor / sheltered</x:v>
      </x:c>
      <x:c r="G63" s="26" t="str">
        <x:v>shopping centre; wheelchair access</x:v>
      </x:c>
      <x:c r="H63" s="26" t="str">
        <x:v>1 Utama (Old Wing) is a shopping centre in Petaling Jaya, Selangor. OpenStreetMap records the place as wheelchair accessible.</x:v>
      </x:c>
      <x:c r="I63" s="29" t="n">
        <x:v>3.1483098</x:v>
      </x:c>
      <x:c r="J63" s="29" t="n">
        <x:v>101.6163129</x:v>
      </x:c>
      <x:c r="K63" s="26" t="str">
        <x:v>Unknown</x:v>
      </x:c>
      <x:c r="L63" s="26" t="str">
        <x:v>Yes</x:v>
      </x:c>
      <x:c r="M63" s="26" t="str">
        <x:v>Unknown</x:v>
      </x:c>
      <x:c r="N63" s="26" t="str">
        <x:v>Unknown</x:v>
      </x:c>
      <x:c r="O63" s="26" t="str">
        <x:v>Unknown</x:v>
      </x:c>
      <x:c r="P63" s="26" t="str">
        <x:v>Unknown</x:v>
      </x:c>
      <x:c r="Q63" s="26" t="str">
        <x:v>Wheelchair access mapped</x:v>
      </x:c>
      <x:c r="R63" s="26" t="str">
        <x:v>OpenStreetMap records wheelchair=yes, indicating the main visitor access is community-mapped as wheelchair accessible. Individual facilities such as toilets, seats, lifts and parking are not separately documented in this record.</x:v>
      </x:c>
      <x:c r="S63" s="26" t="str">
        <x:v>https://www.openstreetmap.org/way/181543130</x:v>
      </x:c>
      <x:c r="T63" s="26" t="str">
        <x:v>OpenStreetMap community-mapped accessibility</x:v>
      </x:c>
      <x:c r="U63" s="26" t="str">
        <x:v>Medium</x:v>
      </x:c>
      <x:c r="V63" s="26" t="str">
        <x:v>Included because the OpenStreetMap record explicitly states wheelchair=yes. This is community-mapped evidence with medium confidence.</x:v>
      </x:c>
      <x:c r="W63" s="32" t="str">
        <x:v>2026-08-17</x:v>
      </x:c>
    </x:row>
    <x:row r="64">
      <x:c r="A64" s="26" t="str">
        <x:v>OSM-way-771465466</x:v>
      </x:c>
      <x:c r="B64" s="26" t="str">
        <x:v>168 Park Mall</x:v>
      </x:c>
      <x:c r="C64" s="26" t="str">
        <x:v>Selangor</x:v>
      </x:c>
      <x:c r="D64" s="26" t="str">
        <x:v>Majlis Perbandaran Selayang</x:v>
      </x:c>
      <x:c r="E64" s="26" t="str">
        <x:v>Shopping</x:v>
      </x:c>
      <x:c r="F64" s="26" t="str">
        <x:v>Indoor / sheltered</x:v>
      </x:c>
      <x:c r="G64" s="26" t="str">
        <x:v>shopping centre; wheelchair access; Lot 168 Selayang Sdn. Bhd.</x:v>
      </x:c>
      <x:c r="H64" s="26" t="str">
        <x:v>168 Park Mall is a shopping centre in Majlis Perbandaran Selayang, Selangor. OpenStreetMap records the place as limited wheelchair access.</x:v>
      </x:c>
      <x:c r="I64" s="29" t="n">
        <x:v>3.2484687</x:v>
      </x:c>
      <x:c r="J64" s="29" t="n">
        <x:v>101.6490502</x:v>
      </x:c>
      <x:c r="K64" s="26" t="str">
        <x:v>Unknown</x:v>
      </x:c>
      <x:c r="L64" s="26" t="str">
        <x:v>Partial</x:v>
      </x:c>
      <x:c r="M64" s="26" t="str">
        <x:v>Unknown</x:v>
      </x:c>
      <x:c r="N64" s="26" t="str">
        <x:v>Unknown</x:v>
      </x:c>
      <x:c r="O64" s="26" t="str">
        <x:v>Unknown</x:v>
      </x:c>
      <x:c r="P64" s="26" t="str">
        <x:v>Unknown</x:v>
      </x:c>
      <x:c r="Q64" s="26" t="str">
        <x:v>Limited access; assistance may be needed</x:v>
      </x:c>
      <x:c r="R64" s="26" t="str">
        <x:v>OpenStreetMap records wheelchair=limited, indicating that some visitor areas may be accessible while barriers remain. The mapped record does not identify the restricted sections.</x:v>
      </x:c>
      <x:c r="S64" s="26" t="str">
        <x:v>https://www.openstreetmap.org/way/771465466</x:v>
      </x:c>
      <x:c r="T64" s="26" t="str">
        <x:v>OpenStreetMap community-mapped accessibility</x:v>
      </x:c>
      <x:c r="U64" s="26" t="str">
        <x:v>Medium</x:v>
      </x:c>
      <x:c r="V64" s="26" t="str">
        <x:v>Included because the OpenStreetMap record explicitly states wheelchair=limited. This is community-mapped evidence with medium confidence.</x:v>
      </x:c>
      <x:c r="W64" s="32" t="str">
        <x:v>2026-08-17</x:v>
      </x:c>
    </x:row>
    <x:row r="65">
      <x:c r="A65" s="26" t="str">
        <x:v>MC0312</x:v>
      </x:c>
      <x:c r="B65" s="26" t="str">
        <x:v>Batu Caves</x:v>
      </x:c>
      <x:c r="C65" s="26" t="str">
        <x:v>Selangor</x:v>
      </x:c>
      <x:c r="D65" s="26" t="str">
        <x:v>Gombak / Batu Caves</x:v>
      </x:c>
      <x:c r="E65" s="26" t="str">
        <x:v>Religious Site</x:v>
      </x:c>
      <x:c r="F65" s="26" t="str">
        <x:v>Both</x:v>
      </x:c>
      <x:c r="G65" s="26" t="str">
        <x:v>Hindu temple; pilgrimage; Thaipusam; Lord Murugan; Sri Subramaniar Swamy Temple; Temple Cave; Cathedral Cave; Ramayana Cave; Cave Villa; limestone cave; 272 steps; rainbow staircase; Tamil culture; Indian heritage; religious tourism; cultural tourism; architecture; geology; photography; monkeys; festival; KTM Komuter</x:v>
      </x:c>
      <x:c r="H65" s="26" t="str">
        <x:v>An important Hindu pilgrimage complex within a limestone hill in Gombak. Visitors pass the monumental golden Lord Murugan statue and climb 272 colourful steps to the Temple Cave, while the site becomes a major centre of worship and celebration during Thaipusam.</x:v>
      </x:c>
      <x:c r="I65" s="29"/>
      <x:c r="J65" s="29"/>
      <x:c r="K65" s="26" t="str">
        <x:v>Unknown</x:v>
      </x:c>
      <x:c r="L65" s="26" t="str">
        <x:v>Unknown</x:v>
      </x:c>
      <x:c r="M65" s="26" t="str">
        <x:v>Unknown</x:v>
      </x:c>
      <x:c r="N65" s="26" t="str">
        <x:v>Unknown</x:v>
      </x:c>
      <x:c r="O65" s="26" t="str">
        <x:v>Unknown</x:v>
      </x:c>
      <x:c r="P65" s="26" t="str">
        <x:v>Unknown</x:v>
      </x:c>
      <x:c r="Q65" s="26" t="str">
        <x:v>Unknown</x:v>
      </x:c>
      <x:c r="R65" s="26"/>
      <x:c r="S65" s="26" t="str">
        <x:v>https://www.malaysia.travel/explore/batu-caves
https://www.malaysia.travel/explore/4-top-cultural-destinations-in-selangor
https://selangor.travel/listing/batu-caves/
https://www.tourism.gov.my/media/view/vm2026-strenghtens-visibility-at-thaipusam-festival-batu-caves
https://www.ktmb.com.my/komuter.html
https://www.ktmb.com.my/TrainTime.html
https://www.mps.gov.my/ms/batu-caves
https://www.mindat.org/loc-312776.html</x:v>
      </x:c>
      <x:c r="T65" s="26" t="str">
        <x:v>Official/operator/tourism source</x:v>
      </x:c>
      <x:c r="U65" s="26" t="str">
        <x:v>High</x:v>
      </x:c>
      <x:c r="V65" s="26" t="str">
        <x:v>Included in Maya's elderly recommendation results: Ground-level areas can be visited without climbing, although the main Temple Cave requires 272 steps.</x:v>
      </x:c>
      <x:c r="W65" s="32" t="str">
        <x:v>2026-08-16</x:v>
      </x:c>
    </x:row>
    <x:row r="66">
      <x:c r="A66" s="26" t="str">
        <x:v>OSM-way-909856756</x:v>
      </x:c>
      <x:c r="B66" s="26" t="str">
        <x:v>Jambatan Pelangi Elmina</x:v>
      </x:c>
      <x:c r="C66" s="26" t="str">
        <x:v>Selangor</x:v>
      </x:c>
      <x:c r="D66" s="26" t="str">
        <x:v>Shah Alam</x:v>
      </x:c>
      <x:c r="E66" s="26" t="str">
        <x:v>Urban Attraction</x:v>
      </x:c>
      <x:c r="F66" s="26" t="str">
        <x:v>Both / varies</x:v>
      </x:c>
      <x:c r="G66" s="26" t="str">
        <x:v>visitor attraction; wheelchair access</x:v>
      </x:c>
      <x:c r="H66" s="26" t="str">
        <x:v>Jambatan Pelangi Elmina is a visitor attraction in Shah Alam, Selangor. OpenStreetMap records the place as wheelchair accessible.</x:v>
      </x:c>
      <x:c r="I66" s="29" t="n">
        <x:v>3.1755094</x:v>
      </x:c>
      <x:c r="J66" s="29" t="n">
        <x:v>101.5046103</x:v>
      </x:c>
      <x:c r="K66" s="26" t="str">
        <x:v>Unknown</x:v>
      </x:c>
      <x:c r="L66" s="26" t="str">
        <x:v>Yes</x:v>
      </x:c>
      <x:c r="M66" s="26" t="str">
        <x:v>Unknown</x:v>
      </x:c>
      <x:c r="N66" s="26" t="str">
        <x:v>Unknown</x:v>
      </x:c>
      <x:c r="O66" s="26" t="str">
        <x:v>Unknown</x:v>
      </x:c>
      <x:c r="P66" s="26" t="str">
        <x:v>Unknown</x:v>
      </x:c>
      <x:c r="Q66" s="26" t="str">
        <x:v>Wheelchair access mapped</x:v>
      </x:c>
      <x:c r="R66" s="26" t="str">
        <x:v>OpenStreetMap records wheelchair=yes, indicating the main visitor access is community-mapped as wheelchair accessible. Individual facilities such as toilets, seats, lifts and parking are not separately documented in this record.</x:v>
      </x:c>
      <x:c r="S66" s="26" t="str">
        <x:v>https://www.openstreetmap.org/way/909856756</x:v>
      </x:c>
      <x:c r="T66" s="26" t="str">
        <x:v>OpenStreetMap community-mapped accessibility</x:v>
      </x:c>
      <x:c r="U66" s="26" t="str">
        <x:v>Medium</x:v>
      </x:c>
      <x:c r="V66" s="26" t="str">
        <x:v>Included because the OpenStreetMap record explicitly states wheelchair=yes. This is community-mapped evidence with medium confidence.</x:v>
      </x:c>
      <x:c r="W66" s="32" t="str">
        <x:v>2026-08-17</x:v>
      </x:c>
    </x:row>
    <x:row r="67">
      <x:c r="A67" s="26" t="str">
        <x:v>OSM-way-625252180</x:v>
      </x:c>
      <x:c r="B67" s="26" t="str">
        <x:v>Kompleks Evo Bangi</x:v>
      </x:c>
      <x:c r="C67" s="26" t="str">
        <x:v>Selangor</x:v>
      </x:c>
      <x:c r="D67" s="26" t="str">
        <x:v>Majlis Perbandaran Kajang</x:v>
      </x:c>
      <x:c r="E67" s="26" t="str">
        <x:v>Shopping</x:v>
      </x:c>
      <x:c r="F67" s="26" t="str">
        <x:v>Indoor / sheltered</x:v>
      </x:c>
      <x:c r="G67" s="26" t="str">
        <x:v>shopping centre; wheelchair access</x:v>
      </x:c>
      <x:c r="H67" s="26" t="str">
        <x:v>Kompleks Evo Bangi is a shopping centre in Majlis Perbandaran Kajang, Selangor. OpenStreetMap records the place as wheelchair accessible.</x:v>
      </x:c>
      <x:c r="I67" s="29" t="n">
        <x:v>2.96271</x:v>
      </x:c>
      <x:c r="J67" s="29" t="n">
        <x:v>101.7553725</x:v>
      </x:c>
      <x:c r="K67" s="26" t="str">
        <x:v>Unknown</x:v>
      </x:c>
      <x:c r="L67" s="26" t="str">
        <x:v>Yes</x:v>
      </x:c>
      <x:c r="M67" s="26" t="str">
        <x:v>Unknown</x:v>
      </x:c>
      <x:c r="N67" s="26" t="str">
        <x:v>Unknown</x:v>
      </x:c>
      <x:c r="O67" s="26" t="str">
        <x:v>Unknown</x:v>
      </x:c>
      <x:c r="P67" s="26" t="str">
        <x:v>Unknown</x:v>
      </x:c>
      <x:c r="Q67" s="26" t="str">
        <x:v>Wheelchair access mapped</x:v>
      </x:c>
      <x:c r="R67" s="26" t="str">
        <x:v>OpenStreetMap records wheelchair=yes, indicating the main visitor access is community-mapped as wheelchair accessible. Individual facilities such as toilets, seats, lifts and parking are not separately documented in this record.</x:v>
      </x:c>
      <x:c r="S67" s="26" t="str">
        <x:v>https://www.openstreetmap.org/way/625252180</x:v>
      </x:c>
      <x:c r="T67" s="26" t="str">
        <x:v>OpenStreetMap community-mapped accessibility</x:v>
      </x:c>
      <x:c r="U67" s="26" t="str">
        <x:v>Medium</x:v>
      </x:c>
      <x:c r="V67" s="26" t="str">
        <x:v>Included because the OpenStreetMap record explicitly states wheelchair=yes. This is community-mapped evidence with medium confidence.</x:v>
      </x:c>
      <x:c r="W67" s="32" t="str">
        <x:v>2026-08-17</x:v>
      </x:c>
    </x:row>
    <x:row r="68">
      <x:c r="A68" s="26" t="str">
        <x:v>OSM-node-7491306056</x:v>
      </x:c>
      <x:c r="B68" s="26" t="str">
        <x:v>Panggung Seni</x:v>
      </x:c>
      <x:c r="C68" s="26" t="str">
        <x:v>Selangor</x:v>
      </x:c>
      <x:c r="D68" s="26" t="str">
        <x:v>Majlis Perbandaran Kajang</x:v>
      </x:c>
      <x:c r="E68" s="26" t="str">
        <x:v>Arts and Culture</x:v>
      </x:c>
      <x:c r="F68" s="26" t="str">
        <x:v>Indoor / sheltered</x:v>
      </x:c>
      <x:c r="G68" s="26" t="str">
        <x:v>arts centre; wheelchair access</x:v>
      </x:c>
      <x:c r="H68" s="26" t="str">
        <x:v>Panggung Seni is a arts centre in Majlis Perbandaran Kajang, Selangor. OpenStreetMap records the place as wheelchair accessible.</x:v>
      </x:c>
      <x:c r="I68" s="29" t="n">
        <x:v>2.9309303</x:v>
      </x:c>
      <x:c r="J68" s="29" t="n">
        <x:v>101.7790504</x:v>
      </x:c>
      <x:c r="K68" s="26" t="str">
        <x:v>Unknown</x:v>
      </x:c>
      <x:c r="L68" s="26" t="str">
        <x:v>Yes</x:v>
      </x:c>
      <x:c r="M68" s="26" t="str">
        <x:v>Unknown</x:v>
      </x:c>
      <x:c r="N68" s="26" t="str">
        <x:v>Unknown</x:v>
      </x:c>
      <x:c r="O68" s="26" t="str">
        <x:v>Unknown</x:v>
      </x:c>
      <x:c r="P68" s="26" t="str">
        <x:v>Unknown</x:v>
      </x:c>
      <x:c r="Q68" s="26" t="str">
        <x:v>Wheelchair access mapped</x:v>
      </x:c>
      <x:c r="R68" s="26" t="str">
        <x:v>OpenStreetMap records wheelchair=yes, indicating the main visitor access is community-mapped as wheelchair accessible. Individual facilities such as toilets, seats, lifts and parking are not separately documented in this record.</x:v>
      </x:c>
      <x:c r="S68" s="26" t="str">
        <x:v>https://www.openstreetmap.org/node/7491306056</x:v>
      </x:c>
      <x:c r="T68" s="26" t="str">
        <x:v>OpenStreetMap community-mapped accessibility</x:v>
      </x:c>
      <x:c r="U68" s="26" t="str">
        <x:v>Medium</x:v>
      </x:c>
      <x:c r="V68" s="26" t="str">
        <x:v>Included because the OpenStreetMap record explicitly states wheelchair=yes. This is community-mapped evidence with medium confidence.</x:v>
      </x:c>
      <x:c r="W68" s="32" t="str">
        <x:v>2026-08-17</x:v>
      </x:c>
    </x:row>
    <x:row r="69">
      <x:c r="A69" s="26" t="str">
        <x:v>OSM-way-184018945</x:v>
      </x:c>
      <x:c r="B69" s="26" t="str">
        <x:v>Paradigm Mall</x:v>
      </x:c>
      <x:c r="C69" s="26" t="str">
        <x:v>Selangor</x:v>
      </x:c>
      <x:c r="D69" s="26" t="str">
        <x:v>Petaling Jaya</x:v>
      </x:c>
      <x:c r="E69" s="26" t="str">
        <x:v>Shopping</x:v>
      </x:c>
      <x:c r="F69" s="26" t="str">
        <x:v>Indoor / sheltered</x:v>
      </x:c>
      <x:c r="G69" s="26" t="str">
        <x:v>shopping centre; wheelchair access</x:v>
      </x:c>
      <x:c r="H69" s="26" t="str">
        <x:v>Contemporary shopping center with 6 floors of brand-name stores, plus restaurants &amp; a movie theater. OpenStreetMap records the place as wheelchair accessible.</x:v>
      </x:c>
      <x:c r="I69" s="29" t="n">
        <x:v>3.1051671</x:v>
      </x:c>
      <x:c r="J69" s="29" t="n">
        <x:v>101.5959736</x:v>
      </x:c>
      <x:c r="K69" s="26" t="str">
        <x:v>Unknown</x:v>
      </x:c>
      <x:c r="L69" s="26" t="str">
        <x:v>Yes</x:v>
      </x:c>
      <x:c r="M69" s="26" t="str">
        <x:v>Unknown</x:v>
      </x:c>
      <x:c r="N69" s="26" t="str">
        <x:v>Unknown</x:v>
      </x:c>
      <x:c r="O69" s="26" t="str">
        <x:v>Unknown</x:v>
      </x:c>
      <x:c r="P69" s="26" t="str">
        <x:v>Unknown</x:v>
      </x:c>
      <x:c r="Q69" s="26" t="str">
        <x:v>Wheelchair access mapped</x:v>
      </x:c>
      <x:c r="R69" s="26" t="str">
        <x:v>OpenStreetMap records wheelchair=yes, indicating the main visitor access is community-mapped as wheelchair accessible. Individual facilities such as toilets, seats, lifts and parking are not separately documented in this record.</x:v>
      </x:c>
      <x:c r="S69" s="26" t="str">
        <x:v>https://www.openstreetmap.org/way/184018945</x:v>
      </x:c>
      <x:c r="T69" s="26" t="str">
        <x:v>OpenStreetMap community-mapped accessibility</x:v>
      </x:c>
      <x:c r="U69" s="26" t="str">
        <x:v>Medium</x:v>
      </x:c>
      <x:c r="V69" s="26" t="str">
        <x:v>Included because the OpenStreetMap record explicitly states wheelchair=yes. This is community-mapped evidence with medium confidence.</x:v>
      </x:c>
      <x:c r="W69" s="32" t="str">
        <x:v>2026-08-17</x:v>
      </x:c>
    </x:row>
    <x:row r="70">
      <x:c r="A70" s="26" t="str">
        <x:v>OSM-way-491896825</x:v>
      </x:c>
      <x:c r="B70" s="26" t="str">
        <x:v>Pasar Awam Kuala Kubu Bharu</x:v>
      </x:c>
      <x:c r="C70" s="26" t="str">
        <x:v>Selangor</x:v>
      </x:c>
      <x:c r="D70" s="26" t="str">
        <x:v>Kuala Kubu Bharu</x:v>
      </x:c>
      <x:c r="E70" s="26" t="str">
        <x:v>Food and Market</x:v>
      </x:c>
      <x:c r="F70" s="26" t="str">
        <x:v>Both / varies</x:v>
      </x:c>
      <x:c r="G70" s="26" t="str">
        <x:v>public market; wheelchair access</x:v>
      </x:c>
      <x:c r="H70" s="26" t="str">
        <x:v>Pasar Awam Kuala Kubu Bharu is a public market in Kuala Kubu Bharu, Selangor. OpenStreetMap records the place as wheelchair accessible.</x:v>
      </x:c>
      <x:c r="I70" s="29" t="n">
        <x:v>3.5651346</x:v>
      </x:c>
      <x:c r="J70" s="29" t="n">
        <x:v>101.6597955</x:v>
      </x:c>
      <x:c r="K70" s="26" t="str">
        <x:v>Unknown</x:v>
      </x:c>
      <x:c r="L70" s="26" t="str">
        <x:v>Yes</x:v>
      </x:c>
      <x:c r="M70" s="26" t="str">
        <x:v>Unknown</x:v>
      </x:c>
      <x:c r="N70" s="26" t="str">
        <x:v>Unknown</x:v>
      </x:c>
      <x:c r="O70" s="26" t="str">
        <x:v>Unknown</x:v>
      </x:c>
      <x:c r="P70" s="26" t="str">
        <x:v>Unknown</x:v>
      </x:c>
      <x:c r="Q70" s="26" t="str">
        <x:v>Wheelchair access mapped</x:v>
      </x:c>
      <x:c r="R70" s="26" t="str">
        <x:v>OpenStreetMap records wheelchair=yes, indicating the main visitor access is community-mapped as wheelchair accessible. Individual facilities such as toilets, seats, lifts and parking are not separately documented in this record.</x:v>
      </x:c>
      <x:c r="S70" s="26" t="str">
        <x:v>https://www.openstreetmap.org/way/491896825</x:v>
      </x:c>
      <x:c r="T70" s="26" t="str">
        <x:v>OpenStreetMap community-mapped accessibility</x:v>
      </x:c>
      <x:c r="U70" s="26" t="str">
        <x:v>Medium</x:v>
      </x:c>
      <x:c r="V70" s="26" t="str">
        <x:v>Included because the OpenStreetMap record explicitly states wheelchair=yes. This is community-mapped evidence with medium confidence.</x:v>
      </x:c>
      <x:c r="W70" s="32" t="str">
        <x:v>2026-08-17</x:v>
      </x:c>
    </x:row>
    <x:row r="71">
      <x:c r="A71" s="26" t="str">
        <x:v>OSM-way-25338125</x:v>
      </x:c>
      <x:c r="B71" s="26" t="str">
        <x:v>Plaza Metro Kajang</x:v>
      </x:c>
      <x:c r="C71" s="26" t="str">
        <x:v>Selangor</x:v>
      </x:c>
      <x:c r="D71" s="26" t="str">
        <x:v>Majlis Perbandaran Kajang</x:v>
      </x:c>
      <x:c r="E71" s="26" t="str">
        <x:v>Shopping</x:v>
      </x:c>
      <x:c r="F71" s="26" t="str">
        <x:v>Indoor / sheltered</x:v>
      </x:c>
      <x:c r="G71" s="26" t="str">
        <x:v>shopping centre; wheelchair access; MKH</x:v>
      </x:c>
      <x:c r="H71" s="26" t="str">
        <x:v>Plaza Metro Kajang is a shopping centre in Majlis Perbandaran Kajang, Selangor. OpenStreetMap records the place as wheelchair accessible.</x:v>
      </x:c>
      <x:c r="I71" s="29" t="n">
        <x:v>2.991048</x:v>
      </x:c>
      <x:c r="J71" s="29" t="n">
        <x:v>101.7888951</x:v>
      </x:c>
      <x:c r="K71" s="26" t="str">
        <x:v>Unknown</x:v>
      </x:c>
      <x:c r="L71" s="26" t="str">
        <x:v>Yes</x:v>
      </x:c>
      <x:c r="M71" s="26" t="str">
        <x:v>Unknown</x:v>
      </x:c>
      <x:c r="N71" s="26" t="str">
        <x:v>Unknown</x:v>
      </x:c>
      <x:c r="O71" s="26" t="str">
        <x:v>Unknown</x:v>
      </x:c>
      <x:c r="P71" s="26" t="str">
        <x:v>Unknown</x:v>
      </x:c>
      <x:c r="Q71" s="26" t="str">
        <x:v>Wheelchair access mapped</x:v>
      </x:c>
      <x:c r="R71" s="26" t="str">
        <x:v>OpenStreetMap records wheelchair=yes, indicating the main visitor access is community-mapped as wheelchair accessible. Individual facilities such as toilets, seats, lifts and parking are not separately documented in this record.</x:v>
      </x:c>
      <x:c r="S71" s="26" t="str">
        <x:v>https://www.openstreetmap.org/way/25338125</x:v>
      </x:c>
      <x:c r="T71" s="26" t="str">
        <x:v>OpenStreetMap community-mapped accessibility</x:v>
      </x:c>
      <x:c r="U71" s="26" t="str">
        <x:v>Medium</x:v>
      </x:c>
      <x:c r="V71" s="26" t="str">
        <x:v>Included because the OpenStreetMap record explicitly states wheelchair=yes. This is community-mapped evidence with medium confidence.</x:v>
      </x:c>
      <x:c r="W71" s="32" t="str">
        <x:v>2026-08-17</x:v>
      </x:c>
    </x:row>
    <x:row r="72">
      <x:c r="A72" s="26" t="str">
        <x:v>MC0311</x:v>
      </x:c>
      <x:c r="B72" s="26" t="str">
        <x:v>Pulau Ketam</x:v>
      </x:c>
      <x:c r="C72" s="26" t="str">
        <x:v>Selangor</x:v>
      </x:c>
      <x:c r="D72" s="26" t="str">
        <x:v>Klang / Port Klang</x:v>
      </x:c>
      <x:c r="E72" s="26" t="str">
        <x:v>Beach and Island</x:v>
      </x:c>
      <x:c r="F72" s="26" t="str">
        <x:v>Both</x:v>
      </x:c>
      <x:c r="G72" s="26" t="str">
        <x:v>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v>
      </x:c>
      <x:c r="H72" s="26" t="str">
        <x:v>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v>
      </x:c>
      <x:c r="I72" s="29"/>
      <x:c r="J72" s="29"/>
      <x:c r="K72" s="26" t="str">
        <x:v>Unknown</x:v>
      </x:c>
      <x:c r="L72" s="26" t="str">
        <x:v>Unknown</x:v>
      </x:c>
      <x:c r="M72" s="26" t="str">
        <x:v>Unknown</x:v>
      </x:c>
      <x:c r="N72" s="26" t="str">
        <x:v>Unknown</x:v>
      </x:c>
      <x:c r="O72" s="26" t="str">
        <x:v>Unknown</x:v>
      </x:c>
      <x:c r="P72" s="26" t="str">
        <x:v>Unknown</x:v>
      </x:c>
      <x:c r="Q72" s="26" t="str">
        <x:v>Unknown</x:v>
      </x:c>
      <x:c r="R72" s="26"/>
      <x:c r="S72" s="26" t="str">
        <x:v>https://www.malaysia.travel/explore/pulau-ketam
https://www.pulauketam.com/v3/ferry-schedule/
https://selangor.travel/wp-content/uploads/2017/04/TS2025_DIRECTORY_Screen_Sp-1.pdf
https://selangor.travel/exploring-royal-klang-a-journey-through-heritage-culture-and-flavours/
https://selangor.travel/wp-content/uploads/2023/03/TS_SPLENDID-SELANGOR-TRAVEL-ITINERARY_compressed.pdf
https://www.mbdk.gov.my/en/tourism/tourist-spot
https://mygeoname.mygeoportal.gov.my/pdf/10.pdf</x:v>
      </x:c>
      <x:c r="T72" s="26" t="str">
        <x:v>Official/operator/tourism source</x:v>
      </x:c>
      <x:c r="U72" s="26" t="str">
        <x:v>High</x:v>
      </x:c>
      <x:c r="V72" s="26" t="str">
        <x:v>Included in Maya's elderly recommendation results: The village has mostly flat wooden or concrete boardwalks, although ferry transfer remains a barrier.</x:v>
      </x:c>
      <x:c r="W72" s="32" t="str">
        <x:v>2026-08-16</x:v>
      </x:c>
    </x:row>
    <x:row r="73">
      <x:c r="A73" s="26" t="str">
        <x:v>OSM-way-295599493</x:v>
      </x:c>
      <x:c r="B73" s="26" t="str">
        <x:v>Shaftsbury Square Shop &amp; Retail</x:v>
      </x:c>
      <x:c r="C73" s="26" t="str">
        <x:v>Selangor</x:v>
      </x:c>
      <x:c r="D73" s="26" t="str">
        <x:v>Sepang</x:v>
      </x:c>
      <x:c r="E73" s="26" t="str">
        <x:v>Shopping</x:v>
      </x:c>
      <x:c r="F73" s="26" t="str">
        <x:v>Indoor / sheltered</x:v>
      </x:c>
      <x:c r="G73" s="26" t="str">
        <x:v>shopping centre; wheelchair access</x:v>
      </x:c>
      <x:c r="H73" s="26" t="str">
        <x:v>Shaftsbury Square Shop &amp; Retail is a shopping centre in Sepang, Selangor. OpenStreetMap records the place as limited wheelchair access.</x:v>
      </x:c>
      <x:c r="I73" s="29" t="n">
        <x:v>2.9232657</x:v>
      </x:c>
      <x:c r="J73" s="29" t="n">
        <x:v>101.661909</x:v>
      </x:c>
      <x:c r="K73" s="26" t="str">
        <x:v>Unknown</x:v>
      </x:c>
      <x:c r="L73" s="26" t="str">
        <x:v>Partial</x:v>
      </x:c>
      <x:c r="M73" s="26" t="str">
        <x:v>Unknown</x:v>
      </x:c>
      <x:c r="N73" s="26" t="str">
        <x:v>Unknown</x:v>
      </x:c>
      <x:c r="O73" s="26" t="str">
        <x:v>Unknown</x:v>
      </x:c>
      <x:c r="P73" s="26" t="str">
        <x:v>Unknown</x:v>
      </x:c>
      <x:c r="Q73" s="26" t="str">
        <x:v>Limited access; assistance may be needed</x:v>
      </x:c>
      <x:c r="R73" s="26" t="str">
        <x:v>OpenStreetMap records wheelchair=limited, indicating that some visitor areas may be accessible while barriers remain. The mapped record does not identify the restricted sections.</x:v>
      </x:c>
      <x:c r="S73" s="26" t="str">
        <x:v>https://www.openstreetmap.org/way/295599493</x:v>
      </x:c>
      <x:c r="T73" s="26" t="str">
        <x:v>OpenStreetMap community-mapped accessibility</x:v>
      </x:c>
      <x:c r="U73" s="26" t="str">
        <x:v>Medium</x:v>
      </x:c>
      <x:c r="V73" s="26" t="str">
        <x:v>Included because the OpenStreetMap record explicitly states wheelchair=limited. This is community-mapped evidence with medium confidence.</x:v>
      </x:c>
      <x:c r="W73" s="32" t="str">
        <x:v>2026-08-17</x:v>
      </x:c>
    </x:row>
    <x:row r="74">
      <x:c r="A74" s="26" t="str">
        <x:v>OSM-way-428126743</x:v>
      </x:c>
      <x:c r="B74" s="26" t="str">
        <x:v>Sunway Geo Avenue</x:v>
      </x:c>
      <x:c r="C74" s="26" t="str">
        <x:v>Selangor</x:v>
      </x:c>
      <x:c r="D74" s="26" t="str">
        <x:v>Majlis Bandaraya Subang Jaya</x:v>
      </x:c>
      <x:c r="E74" s="26" t="str">
        <x:v>Shopping</x:v>
      </x:c>
      <x:c r="F74" s="26" t="str">
        <x:v>Indoor / sheltered</x:v>
      </x:c>
      <x:c r="G74" s="26" t="str">
        <x:v>shopping centre; wheelchair access</x:v>
      </x:c>
      <x:c r="H74" s="26" t="str">
        <x:v>Sunway Geo Avenue is a shopping centre in Majlis Bandaraya Subang Jaya, Selangor. OpenStreetMap records the place as wheelchair accessible.</x:v>
      </x:c>
      <x:c r="I74" s="29" t="n">
        <x:v>3.0648052</x:v>
      </x:c>
      <x:c r="J74" s="29" t="n">
        <x:v>101.6088527</x:v>
      </x:c>
      <x:c r="K74" s="26" t="str">
        <x:v>Unknown</x:v>
      </x:c>
      <x:c r="L74" s="26" t="str">
        <x:v>Yes</x:v>
      </x:c>
      <x:c r="M74" s="26" t="str">
        <x:v>Unknown</x:v>
      </x:c>
      <x:c r="N74" s="26" t="str">
        <x:v>Unknown</x:v>
      </x:c>
      <x:c r="O74" s="26" t="str">
        <x:v>Unknown</x:v>
      </x:c>
      <x:c r="P74" s="26" t="str">
        <x:v>Unknown</x:v>
      </x:c>
      <x:c r="Q74" s="26" t="str">
        <x:v>Wheelchair access mapped</x:v>
      </x:c>
      <x:c r="R74" s="26" t="str">
        <x:v>OpenStreetMap records wheelchair=yes, indicating the main visitor access is community-mapped as wheelchair accessible. Individual facilities such as toilets, seats, lifts and parking are not separately documented in this record.</x:v>
      </x:c>
      <x:c r="S74" s="26" t="str">
        <x:v>https://www.openstreetmap.org/way/428126743</x:v>
      </x:c>
      <x:c r="T74" s="26" t="str">
        <x:v>OpenStreetMap community-mapped accessibility</x:v>
      </x:c>
      <x:c r="U74" s="26" t="str">
        <x:v>Medium</x:v>
      </x:c>
      <x:c r="V74" s="26" t="str">
        <x:v>Included because the OpenStreetMap record explicitly states wheelchair=yes. This is community-mapped evidence with medium confidence.</x:v>
      </x:c>
      <x:c r="W74" s="32" t="str">
        <x:v>2026-08-17</x:v>
      </x:c>
    </x:row>
    <x:row r="75">
      <x:c r="A75" s="26" t="str">
        <x:v>MC0313</x:v>
      </x:c>
      <x:c r="B75" s="26" t="str">
        <x:v>Sunway Lagoon</x:v>
      </x:c>
      <x:c r="C75" s="26" t="str">
        <x:v>Selangor</x:v>
      </x:c>
      <x:c r="D75" s="26" t="str">
        <x:v>Petaling Jaya / Bandar Sunway</x:v>
      </x:c>
      <x:c r="E75" s="26" t="str">
        <x:v>Theme Park</x:v>
      </x:c>
      <x:c r="F75" s="26" t="str">
        <x:v>Both</x:v>
      </x:c>
      <x:c r="G75" s="26" t="str">
        <x:v>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v>
      </x:c>
      <x:c r="H75" s="26" t="str">
        <x:v>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v>
      </x:c>
      <x:c r="I75" s="29"/>
      <x:c r="J75" s="29"/>
      <x:c r="K75" s="26" t="str">
        <x:v>Unknown</x:v>
      </x:c>
      <x:c r="L75" s="26" t="str">
        <x:v>Unknown</x:v>
      </x:c>
      <x:c r="M75" s="26" t="str">
        <x:v>Unknown</x:v>
      </x:c>
      <x:c r="N75" s="26" t="str">
        <x:v>Unknown</x:v>
      </x:c>
      <x:c r="O75" s="26" t="str">
        <x:v>Unknown</x:v>
      </x:c>
      <x:c r="P75" s="26" t="str">
        <x:v>Unknown</x:v>
      </x:c>
      <x:c r="Q75" s="26" t="str">
        <x:v>Unknown</x:v>
      </x:c>
      <x:c r="R75" s="26"/>
      <x:c r="S75" s="26" t="str">
        <x:v>https://www.malaysia.travel/explore/sunway-lagoon
https://sunwaylagoon.com/
https://sunwaylagoon.com/pricing/
https://sunwaylagoon.com/etickets/
https://sunwaylagoon.com/frequently-asked-questions/
https://sunwaylagoon.com/park-rules/
https://sunwaylagoon.com/how-to-get-here/
https://sunwaylagoon.com/quack-xpress/</x:v>
      </x:c>
      <x:c r="T75" s="26" t="str">
        <x:v>Official/operator/tourism source</x:v>
      </x:c>
      <x:c r="U75" s="26" t="str">
        <x:v>High</x:v>
      </x:c>
      <x:c r="V75" s="26" t="str">
        <x:v>Included in Maya's elderly recommendation results: Wheelchairs are available for rent; individual ride restrictions still apply.</x:v>
      </x:c>
      <x:c r="W75" s="32" t="str">
        <x:v>2026-08-16</x:v>
      </x:c>
    </x:row>
    <x:row r="76">
      <x:c r="A76" s="26" t="str">
        <x:v>OSM-way-463362698</x:v>
      </x:c>
      <x:c r="B76" s="26" t="str">
        <x:v>The Starling</x:v>
      </x:c>
      <x:c r="C76" s="26" t="str">
        <x:v>Selangor</x:v>
      </x:c>
      <x:c r="D76" s="26" t="str">
        <x:v>Petaling Jaya</x:v>
      </x:c>
      <x:c r="E76" s="26" t="str">
        <x:v>Shopping</x:v>
      </x:c>
      <x:c r="F76" s="26" t="str">
        <x:v>Indoor / sheltered</x:v>
      </x:c>
      <x:c r="G76" s="26" t="str">
        <x:v>shopping centre; wheelchair access; See Hoy Chan Sdn Bhd Group</x:v>
      </x:c>
      <x:c r="H76" s="26" t="str">
        <x:v>The Starling is a shopping centre in Petaling Jaya, Selangor. OpenStreetMap records the place as wheelchair accessible.</x:v>
      </x:c>
      <x:c r="I76" s="29" t="n">
        <x:v>3.1352561</x:v>
      </x:c>
      <x:c r="J76" s="29" t="n">
        <x:v>101.6229642</x:v>
      </x:c>
      <x:c r="K76" s="26" t="str">
        <x:v>Unknown</x:v>
      </x:c>
      <x:c r="L76" s="26" t="str">
        <x:v>Yes</x:v>
      </x:c>
      <x:c r="M76" s="26" t="str">
        <x:v>Unknown</x:v>
      </x:c>
      <x:c r="N76" s="26" t="str">
        <x:v>Unknown</x:v>
      </x:c>
      <x:c r="O76" s="26" t="str">
        <x:v>Unknown</x:v>
      </x:c>
      <x:c r="P76" s="26" t="str">
        <x:v>Unknown</x:v>
      </x:c>
      <x:c r="Q76" s="26" t="str">
        <x:v>Wheelchair access mapped</x:v>
      </x:c>
      <x:c r="R76" s="26" t="str">
        <x:v>OpenStreetMap records wheelchair=yes, indicating the main visitor access is community-mapped as wheelchair accessible. Individual facilities such as toilets, seats, lifts and parking are not separately documented in this record.</x:v>
      </x:c>
      <x:c r="S76" s="26" t="str">
        <x:v>https://www.openstreetmap.org/way/463362698</x:v>
      </x:c>
      <x:c r="T76" s="26" t="str">
        <x:v>OpenStreetMap community-mapped accessibility</x:v>
      </x:c>
      <x:c r="U76" s="26" t="str">
        <x:v>Medium</x:v>
      </x:c>
      <x:c r="V76" s="26" t="str">
        <x:v>Included because the OpenStreetMap record explicitly states wheelchair=yes. This is community-mapped evidence with medium confidence.</x:v>
      </x:c>
      <x:c r="W76" s="32" t="str">
        <x:v>2026-08-17</x:v>
      </x:c>
    </x:row>
    <x:row r="77">
      <x:c r="A77" s="26" t="str">
        <x:v>OSM-relation-17633468</x:v>
      </x:c>
      <x:c r="B77" s="26" t="str">
        <x:v>Zoo Negara</x:v>
      </x:c>
      <x:c r="C77" s="26" t="str">
        <x:v>Selangor</x:v>
      </x:c>
      <x:c r="D77" s="26" t="str">
        <x:v>Majlis Perbandaran Ampang Jaya</x:v>
      </x:c>
      <x:c r="E77" s="26" t="str">
        <x:v>Wildlife</x:v>
      </x:c>
      <x:c r="F77" s="26" t="str">
        <x:v>Both / varies</x:v>
      </x:c>
      <x:c r="G77" s="26" t="str">
        <x:v>zoo; wheelchair access</x:v>
      </x:c>
      <x:c r="H77" s="26" t="str">
        <x:v>Zoo in Malaysia. OpenStreetMap records the place as wheelchair accessible.</x:v>
      </x:c>
      <x:c r="I77" s="29" t="n">
        <x:v>3.2106579</x:v>
      </x:c>
      <x:c r="J77" s="29" t="n">
        <x:v>101.7591114</x:v>
      </x:c>
      <x:c r="K77" s="26" t="str">
        <x:v>Unknown</x:v>
      </x:c>
      <x:c r="L77" s="26" t="str">
        <x:v>Yes</x:v>
      </x:c>
      <x:c r="M77" s="26" t="str">
        <x:v>Unknown</x:v>
      </x:c>
      <x:c r="N77" s="26" t="str">
        <x:v>Unknown</x:v>
      </x:c>
      <x:c r="O77" s="26" t="str">
        <x:v>Unknown</x:v>
      </x:c>
      <x:c r="P77" s="26" t="str">
        <x:v>Unknown</x:v>
      </x:c>
      <x:c r="Q77" s="26" t="str">
        <x:v>Wheelchair access mapped</x:v>
      </x:c>
      <x:c r="R77" s="26" t="str">
        <x:v>OpenStreetMap records wheelchair=yes, indicating the main visitor access is community-mapped as wheelchair accessible. Individual facilities such as toilets, seats, lifts and parking are not separately documented in this record.</x:v>
      </x:c>
      <x:c r="S77" s="26" t="str">
        <x:v>https://www.openstreetmap.org/relation/17633468</x:v>
      </x:c>
      <x:c r="T77" s="26" t="str">
        <x:v>OpenStreetMap community-mapped accessibility</x:v>
      </x:c>
      <x:c r="U77" s="26" t="str">
        <x:v>Medium</x:v>
      </x:c>
      <x:c r="V77" s="26" t="str">
        <x:v>Included because the OpenStreetMap record explicitly states wheelchair=yes. This is community-mapped evidence with medium confidence.</x:v>
      </x:c>
      <x:c r="W77" s="32" t="str">
        <x:v>2026-08-17</x:v>
      </x:c>
    </x:row>
    <x:row r="78">
      <x:c r="A78" s="26" t="str">
        <x:v>MC0341</x:v>
      </x:c>
      <x:c r="B78" s="26" t="str">
        <x:v>Chemerong Forest Reserve</x:v>
      </x:c>
      <x:c r="C78" s="26" t="str">
        <x:v>Terengganu</x:v>
      </x:c>
      <x:c r="D78" s="26" t="str">
        <x:v>Dungun / Hulu Dungun</x:v>
      </x:c>
      <x:c r="E78" s="26" t="str">
        <x:v>Nature</x:v>
      </x:c>
      <x:c r="F78" s="26" t="str">
        <x:v>Outdoor</x:v>
      </x:c>
      <x:c r="G78" s="26" t="str">
        <x:v>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v>
      </x:c>
      <x:c r="H78" s="26" t="str">
        <x:v>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v>
      </x:c>
      <x:c r="I78" s="29"/>
      <x:c r="J78" s="29"/>
      <x:c r="K78" s="26" t="str">
        <x:v>Unknown</x:v>
      </x:c>
      <x:c r="L78" s="26" t="str">
        <x:v>Unknown</x:v>
      </x:c>
      <x:c r="M78" s="26" t="str">
        <x:v>Unknown</x:v>
      </x:c>
      <x:c r="N78" s="26" t="str">
        <x:v>Unknown</x:v>
      </x:c>
      <x:c r="O78" s="26" t="str">
        <x:v>Unknown</x:v>
      </x:c>
      <x:c r="P78" s="26" t="str">
        <x:v>Unknown</x:v>
      </x:c>
      <x:c r="Q78" s="26" t="str">
        <x:v>Unknown</x:v>
      </x:c>
      <x:c r="R78" s="26"/>
      <x:c r="S78" s="26" t="str">
        <x:v>https://www.malaysia.travel/explore/chemerong-forest-reserve
https://trgforestry.terengganu.gov.my/index.php?option=com_content&amp;view=article&amp;id=83&amp;Itemid=339&amp;lang=en
https://www.forestry.gov.my/my/terengganu/taman-eko-rimba-chemerong
https://www.forestry.gov.my/index.php/my/perkhidmatan/info-perhutanan/hutan-lipur-hutan-taman-negeri
https://ebrochures.malaysia.travel/en/malaysia-travel-guide/terengganu/
https://ebrochures.malaysia.travel/en/adventure-with-nature/jungle-trekking/</x:v>
      </x:c>
      <x:c r="T78" s="26" t="str">
        <x:v>Official/operator/tourism source</x:v>
      </x:c>
      <x:c r="U78" s="26" t="str">
        <x:v>High</x:v>
      </x:c>
      <x:c r="V78" s="26" t="str">
        <x:v>Included in Maya's elderly recommendation results: Parking, toilets, a prayer room, shelters and a hall are recorded at the ground-level recreation area.</x:v>
      </x:c>
      <x:c r="W78" s="32" t="str">
        <x:v>2026-08-16</x:v>
      </x:c>
    </x:row>
    <x:row r="79">
      <x:c r="A79" s="26" t="str">
        <x:v>OSM-way-468894454</x:v>
      </x:c>
      <x:c r="B79" s="26" t="str">
        <x:v>Masjid Kristal</x:v>
      </x:c>
      <x:c r="C79" s="26" t="str">
        <x:v>Terengganu</x:v>
      </x:c>
      <x:c r="D79" s="26" t="str">
        <x:v>Kuala Terengganu</x:v>
      </x:c>
      <x:c r="E79" s="26" t="str">
        <x:v>Urban Attraction</x:v>
      </x:c>
      <x:c r="F79" s="26" t="str">
        <x:v>Both / varies</x:v>
      </x:c>
      <x:c r="G79" s="26" t="str">
        <x:v>visitor attraction; wheelchair access</x:v>
      </x:c>
      <x:c r="H79" s="26" t="str">
        <x:v>Mosque in Kuala Terengganu, Terengganu, Malaysia. OpenStreetMap records the place as wheelchair accessible.</x:v>
      </x:c>
      <x:c r="I79" s="29" t="n">
        <x:v>5.3221556</x:v>
      </x:c>
      <x:c r="J79" s="29" t="n">
        <x:v>103.1206731</x:v>
      </x:c>
      <x:c r="K79" s="26" t="str">
        <x:v>Unknown</x:v>
      </x:c>
      <x:c r="L79" s="26" t="str">
        <x:v>Yes</x:v>
      </x:c>
      <x:c r="M79" s="26" t="str">
        <x:v>Unknown</x:v>
      </x:c>
      <x:c r="N79" s="26" t="str">
        <x:v>Unknown</x:v>
      </x:c>
      <x:c r="O79" s="26" t="str">
        <x:v>Unknown</x:v>
      </x:c>
      <x:c r="P79" s="26" t="str">
        <x:v>Unknown</x:v>
      </x:c>
      <x:c r="Q79" s="26" t="str">
        <x:v>Wheelchair access mapped</x:v>
      </x:c>
      <x:c r="R79" s="26" t="str">
        <x:v>OpenStreetMap records wheelchair=yes, indicating the main visitor access is community-mapped as wheelchair accessible. Individual facilities such as toilets, seats, lifts and parking are not separately documented in this record.</x:v>
      </x:c>
      <x:c r="S79" s="26" t="str">
        <x:v>https://www.openstreetmap.org/way/468894454</x:v>
      </x:c>
      <x:c r="T79" s="26" t="str">
        <x:v>OpenStreetMap community-mapped accessibility</x:v>
      </x:c>
      <x:c r="U79" s="26" t="str">
        <x:v>Medium</x:v>
      </x:c>
      <x:c r="V79" s="26" t="str">
        <x:v>Included because the OpenStreetMap record explicitly states wheelchair=yes. This is community-mapped evidence with medium confidence.</x:v>
      </x:c>
      <x:c r="W79" s="32" t="str">
        <x:v>2026-08-17</x:v>
      </x:c>
    </x:row>
    <x:row r="80">
      <x:c r="A80" s="26" t="str">
        <x:v>OSM-node-1822857195</x:v>
      </x:c>
      <x:c r="B80" s="26" t="str">
        <x:v>Muzium Negeri Terengganu</x:v>
      </x:c>
      <x:c r="C80" s="26" t="str">
        <x:v>Terengganu</x:v>
      </x:c>
      <x:c r="D80" s="26" t="str">
        <x:v>Kuala Terengganu</x:v>
      </x:c>
      <x:c r="E80" s="26" t="str">
        <x:v>Museum and Gallery</x:v>
      </x:c>
      <x:c r="F80" s="26" t="str">
        <x:v>Indoor / sheltered</x:v>
      </x:c>
      <x:c r="G80" s="26" t="str">
        <x:v>museum; wheelchair access</x:v>
      </x:c>
      <x:c r="H80" s="26" t="str">
        <x:v>Museum in Kuala Terengganu, Malaysia. OpenStreetMap records the place as wheelchair accessible.</x:v>
      </x:c>
      <x:c r="I80" s="29" t="n">
        <x:v>5.3185729</x:v>
      </x:c>
      <x:c r="J80" s="29" t="n">
        <x:v>103.1021128</x:v>
      </x:c>
      <x:c r="K80" s="26" t="str">
        <x:v>Unknown</x:v>
      </x:c>
      <x:c r="L80" s="26" t="str">
        <x:v>Yes</x:v>
      </x:c>
      <x:c r="M80" s="26" t="str">
        <x:v>Unknown</x:v>
      </x:c>
      <x:c r="N80" s="26" t="str">
        <x:v>Unknown</x:v>
      </x:c>
      <x:c r="O80" s="26" t="str">
        <x:v>Unknown</x:v>
      </x:c>
      <x:c r="P80" s="26" t="str">
        <x:v>Unknown</x:v>
      </x:c>
      <x:c r="Q80" s="26" t="str">
        <x:v>Wheelchair access mapped</x:v>
      </x:c>
      <x:c r="R80" s="26" t="str">
        <x:v>OpenStreetMap records wheelchair=yes, indicating the main visitor access is community-mapped as wheelchair accessible. Individual facilities such as toilets, seats, lifts and parking are not separately documented in this record.</x:v>
      </x:c>
      <x:c r="S80" s="26" t="str">
        <x:v>https://www.openstreetmap.org/node/1822857195</x:v>
      </x:c>
      <x:c r="T80" s="26" t="str">
        <x:v>OpenStreetMap community-mapped accessibility</x:v>
      </x:c>
      <x:c r="U80" s="26" t="str">
        <x:v>Medium</x:v>
      </x:c>
      <x:c r="V80" s="26" t="str">
        <x:v>Included because the OpenStreetMap record explicitly states wheelchair=yes. This is community-mapped evidence with medium confidence.</x:v>
      </x:c>
      <x:c r="W80" s="32" t="str">
        <x:v>2026-08-17</x:v>
      </x:c>
    </x:row>
    <x:row r="81">
      <x:c r="A81" s="26" t="str">
        <x:v>OSM-way-498358949</x:v>
      </x:c>
      <x:c r="B81" s="26" t="str">
        <x:v>AEON Mall AU2</x:v>
      </x:c>
      <x:c r="C81" s="26" t="str">
        <x:v>W.P. Kuala Lumpur</x:v>
      </x:c>
      <x:c r="D81" s="26" t="str">
        <x:v>Not recorded</x:v>
      </x:c>
      <x:c r="E81" s="26" t="str">
        <x:v>Shopping</x:v>
      </x:c>
      <x:c r="F81" s="26" t="str">
        <x:v>Indoor / sheltered</x:v>
      </x:c>
      <x:c r="G81" s="26" t="str">
        <x:v>shopping centre; wheelchair access</x:v>
      </x:c>
      <x:c r="H81" s="26" t="str">
        <x:v>AEON Mall AU2 is a shopping centre in W.P. Kuala Lumpur. OpenStreetMap records the place as wheelchair accessible.</x:v>
      </x:c>
      <x:c r="I81" s="29" t="n">
        <x:v>3.1772901</x:v>
      </x:c>
      <x:c r="J81" s="29" t="n">
        <x:v>101.7507275</x:v>
      </x:c>
      <x:c r="K81" s="26" t="str">
        <x:v>Unknown</x:v>
      </x:c>
      <x:c r="L81" s="26" t="str">
        <x:v>Yes</x:v>
      </x:c>
      <x:c r="M81" s="26" t="str">
        <x:v>Unknown</x:v>
      </x:c>
      <x:c r="N81" s="26" t="str">
        <x:v>Unknown</x:v>
      </x:c>
      <x:c r="O81" s="26" t="str">
        <x:v>Unknown</x:v>
      </x:c>
      <x:c r="P81" s="26" t="str">
        <x:v>Unknown</x:v>
      </x:c>
      <x:c r="Q81" s="26" t="str">
        <x:v>Wheelchair access mapped</x:v>
      </x:c>
      <x:c r="R81" s="26" t="str">
        <x:v>OpenStreetMap records wheelchair=yes, indicating the main visitor access is community-mapped as wheelchair accessible. Individual facilities such as toilets, seats, lifts and parking are not separately documented in this record.</x:v>
      </x:c>
      <x:c r="S81" s="26" t="str">
        <x:v>https://www.openstreetmap.org/way/498358949</x:v>
      </x:c>
      <x:c r="T81" s="26" t="str">
        <x:v>OpenStreetMap community-mapped accessibility</x:v>
      </x:c>
      <x:c r="U81" s="26" t="str">
        <x:v>Medium</x:v>
      </x:c>
      <x:c r="V81" s="26" t="str">
        <x:v>Included because the OpenStreetMap record explicitly states wheelchair=yes. This is community-mapped evidence with medium confidence.</x:v>
      </x:c>
      <x:c r="W81" s="32" t="str">
        <x:v>2026-08-17</x:v>
      </x:c>
    </x:row>
    <x:row r="82">
      <x:c r="A82" s="26" t="str">
        <x:v>OSM-node-1456303681</x:v>
      </x:c>
      <x:c r="B82" s="26" t="str">
        <x:v>Aquaria KLCC</x:v>
      </x:c>
      <x:c r="C82" s="26" t="str">
        <x:v>W.P. Kuala Lumpur</x:v>
      </x:c>
      <x:c r="D82" s="26" t="str">
        <x:v>Not recorded</x:v>
      </x:c>
      <x:c r="E82" s="26" t="str">
        <x:v>Wildlife</x:v>
      </x:c>
      <x:c r="F82" s="26" t="str">
        <x:v>Indoor / sheltered</x:v>
      </x:c>
      <x:c r="G82" s="26" t="str">
        <x:v>aquarium attraction; wheelchair access</x:v>
      </x:c>
      <x:c r="H82" s="26" t="str">
        <x:v>Oceanarium in Kuala Lumpur. OpenStreetMap records the place as wheelchair accessible.</x:v>
      </x:c>
      <x:c r="I82" s="29" t="n">
        <x:v>3.1533436</x:v>
      </x:c>
      <x:c r="J82" s="29" t="n">
        <x:v>101.7130586</x:v>
      </x:c>
      <x:c r="K82" s="26" t="str">
        <x:v>Unknown</x:v>
      </x:c>
      <x:c r="L82" s="26" t="str">
        <x:v>Yes</x:v>
      </x:c>
      <x:c r="M82" s="26" t="str">
        <x:v>Unknown</x:v>
      </x:c>
      <x:c r="N82" s="26" t="str">
        <x:v>Unknown</x:v>
      </x:c>
      <x:c r="O82" s="26" t="str">
        <x:v>Unknown</x:v>
      </x:c>
      <x:c r="P82" s="26" t="str">
        <x:v>Unknown</x:v>
      </x:c>
      <x:c r="Q82" s="26" t="str">
        <x:v>Wheelchair access mapped</x:v>
      </x:c>
      <x:c r="R82" s="26" t="str">
        <x:v>OpenStreetMap records wheelchair=yes, indicating the main visitor access is community-mapped as wheelchair accessible. Individual facilities such as toilets, seats, lifts and parking are not separately documented in this record.</x:v>
      </x:c>
      <x:c r="S82" s="26" t="str">
        <x:v>https://www.openstreetmap.org/node/1456303681</x:v>
      </x:c>
      <x:c r="T82" s="26" t="str">
        <x:v>OpenStreetMap community-mapped accessibility</x:v>
      </x:c>
      <x:c r="U82" s="26" t="str">
        <x:v>Medium</x:v>
      </x:c>
      <x:c r="V82" s="26" t="str">
        <x:v>Included because the OpenStreetMap record explicitly states wheelchair=yes. This is community-mapped evidence with medium confidence.</x:v>
      </x:c>
      <x:c r="W82" s="32" t="str">
        <x:v>2026-08-17</x:v>
      </x:c>
    </x:row>
    <x:row r="83">
      <x:c r="A83" s="26" t="str">
        <x:v>OSM-way-1302461711</x:v>
      </x:c>
      <x:c r="B83" s="26" t="str">
        <x:v>Cheras Sentral</x:v>
      </x:c>
      <x:c r="C83" s="26" t="str">
        <x:v>W.P. Kuala Lumpur</x:v>
      </x:c>
      <x:c r="D83" s="26" t="str">
        <x:v>Kuala Lumpur</x:v>
      </x:c>
      <x:c r="E83" s="26" t="str">
        <x:v>Shopping</x:v>
      </x:c>
      <x:c r="F83" s="26" t="str">
        <x:v>Indoor / sheltered</x:v>
      </x:c>
      <x:c r="G83" s="26" t="str">
        <x:v>shopping centre; wheelchair access</x:v>
      </x:c>
      <x:c r="H83" s="26" t="str">
        <x:v>Cheras Sentral is a shopping centre in Kuala Lumpur, W.P. Kuala Lumpur. OpenStreetMap records the place as wheelchair accessible.</x:v>
      </x:c>
      <x:c r="I83" s="29" t="n">
        <x:v>3.0784441</x:v>
      </x:c>
      <x:c r="J83" s="29" t="n">
        <x:v>101.7447408</x:v>
      </x:c>
      <x:c r="K83" s="26" t="str">
        <x:v>Unknown</x:v>
      </x:c>
      <x:c r="L83" s="26" t="str">
        <x:v>Yes</x:v>
      </x:c>
      <x:c r="M83" s="26" t="str">
        <x:v>Unknown</x:v>
      </x:c>
      <x:c r="N83" s="26" t="str">
        <x:v>Unknown</x:v>
      </x:c>
      <x:c r="O83" s="26" t="str">
        <x:v>Unknown</x:v>
      </x:c>
      <x:c r="P83" s="26" t="str">
        <x:v>Unknown</x:v>
      </x:c>
      <x:c r="Q83" s="26" t="str">
        <x:v>Wheelchair access mapped</x:v>
      </x:c>
      <x:c r="R83" s="26" t="str">
        <x:v>OpenStreetMap records wheelchair=yes, indicating the main visitor access is community-mapped as wheelchair accessible. Individual facilities such as toilets, seats, lifts and parking are not separately documented in this record.</x:v>
      </x:c>
      <x:c r="S83" s="26" t="str">
        <x:v>https://www.openstreetmap.org/way/1302461711</x:v>
      </x:c>
      <x:c r="T83" s="26" t="str">
        <x:v>OpenStreetMap community-mapped accessibility</x:v>
      </x:c>
      <x:c r="U83" s="26" t="str">
        <x:v>Medium</x:v>
      </x:c>
      <x:c r="V83" s="26" t="str">
        <x:v>Included because the OpenStreetMap record explicitly states wheelchair=yes. This is community-mapped evidence with medium confidence.</x:v>
      </x:c>
      <x:c r="W83" s="32" t="str">
        <x:v>2026-08-17</x:v>
      </x:c>
    </x:row>
    <x:row r="84">
      <x:c r="A84" s="26" t="str">
        <x:v>OSM-way-358003725</x:v>
      </x:c>
      <x:c r="B84" s="26" t="str">
        <x:v>J14 - Muzium Zoologi Institut Sains Biologi</x:v>
      </x:c>
      <x:c r="C84" s="26" t="str">
        <x:v>W.P. Kuala Lumpur</x:v>
      </x:c>
      <x:c r="D84" s="26" t="str">
        <x:v>Not recorded</x:v>
      </x:c>
      <x:c r="E84" s="26" t="str">
        <x:v>Museum and Gallery</x:v>
      </x:c>
      <x:c r="F84" s="26" t="str">
        <x:v>Indoor / sheltered</x:v>
      </x:c>
      <x:c r="G84" s="26" t="str">
        <x:v>museum; wheelchair access</x:v>
      </x:c>
      <x:c r="H84" s="26" t="str">
        <x:v>J14 - Muzium Zoologi Institut Sains Biologi is a museum in W.P. Kuala Lumpur. OpenStreetMap records the place as wheelchair accessible.</x:v>
      </x:c>
      <x:c r="I84" s="29" t="n">
        <x:v>3.1237676</x:v>
      </x:c>
      <x:c r="J84" s="29" t="n">
        <x:v>101.6547002</x:v>
      </x:c>
      <x:c r="K84" s="26" t="str">
        <x:v>Unknown</x:v>
      </x:c>
      <x:c r="L84" s="26" t="str">
        <x:v>Yes</x:v>
      </x:c>
      <x:c r="M84" s="26" t="str">
        <x:v>Unknown</x:v>
      </x:c>
      <x:c r="N84" s="26" t="str">
        <x:v>Unknown</x:v>
      </x:c>
      <x:c r="O84" s="26" t="str">
        <x:v>Unknown</x:v>
      </x:c>
      <x:c r="P84" s="26" t="str">
        <x:v>Unknown</x:v>
      </x:c>
      <x:c r="Q84" s="26" t="str">
        <x:v>Wheelchair access mapped</x:v>
      </x:c>
      <x:c r="R84" s="26" t="str">
        <x:v>OpenStreetMap records wheelchair=yes, indicating the main visitor access is community-mapped as wheelchair accessible. Individual facilities such as toilets, seats, lifts and parking are not separately documented in this record.</x:v>
      </x:c>
      <x:c r="S84" s="26" t="str">
        <x:v>https://www.openstreetmap.org/way/358003725</x:v>
      </x:c>
      <x:c r="T84" s="26" t="str">
        <x:v>OpenStreetMap community-mapped accessibility</x:v>
      </x:c>
      <x:c r="U84" s="26" t="str">
        <x:v>Medium</x:v>
      </x:c>
      <x:c r="V84" s="26" t="str">
        <x:v>Included because the OpenStreetMap record explicitly states wheelchair=yes. This is community-mapped evidence with medium confidence.</x:v>
      </x:c>
      <x:c r="W84" s="32" t="str">
        <x:v>2026-08-17</x:v>
      </x:c>
    </x:row>
    <x:row r="85">
      <x:c r="A85" s="26" t="str">
        <x:v>OSM-way-471992046</x:v>
      </x:c>
      <x:c r="B85" s="26" t="str">
        <x:v>Jalan Alor</x:v>
      </x:c>
      <x:c r="C85" s="26" t="str">
        <x:v>W.P. Kuala Lumpur</x:v>
      </x:c>
      <x:c r="D85" s="26" t="str">
        <x:v>Not recorded</x:v>
      </x:c>
      <x:c r="E85" s="26" t="str">
        <x:v>Urban Attraction</x:v>
      </x:c>
      <x:c r="F85" s="26" t="str">
        <x:v>Both / varies</x:v>
      </x:c>
      <x:c r="G85" s="26" t="str">
        <x:v>visitor attraction; wheelchair access</x:v>
      </x:c>
      <x:c r="H85" s="26" t="str">
        <x:v>Hawker street and night market. OpenStreetMap records the place as wheelchair accessible.</x:v>
      </x:c>
      <x:c r="I85" s="29" t="n">
        <x:v>3.1456933</x:v>
      </x:c>
      <x:c r="J85" s="29" t="n">
        <x:v>101.7086665</x:v>
      </x:c>
      <x:c r="K85" s="26" t="str">
        <x:v>Unknown</x:v>
      </x:c>
      <x:c r="L85" s="26" t="str">
        <x:v>Yes</x:v>
      </x:c>
      <x:c r="M85" s="26" t="str">
        <x:v>Unknown</x:v>
      </x:c>
      <x:c r="N85" s="26" t="str">
        <x:v>Unknown</x:v>
      </x:c>
      <x:c r="O85" s="26" t="str">
        <x:v>Unknown</x:v>
      </x:c>
      <x:c r="P85" s="26" t="str">
        <x:v>Unknown</x:v>
      </x:c>
      <x:c r="Q85" s="26" t="str">
        <x:v>Wheelchair access mapped</x:v>
      </x:c>
      <x:c r="R85" s="26" t="str">
        <x:v>OpenStreetMap records wheelchair=yes, indicating the main visitor access is community-mapped as wheelchair accessible. Individual facilities such as toilets, seats, lifts and parking are not separately documented in this record.</x:v>
      </x:c>
      <x:c r="S85" s="26" t="str">
        <x:v>https://www.openstreetmap.org/way/471992046</x:v>
      </x:c>
      <x:c r="T85" s="26" t="str">
        <x:v>OpenStreetMap community-mapped accessibility</x:v>
      </x:c>
      <x:c r="U85" s="26" t="str">
        <x:v>Medium</x:v>
      </x:c>
      <x:c r="V85" s="26" t="str">
        <x:v>Included because the OpenStreetMap record explicitly states wheelchair=yes. This is community-mapped evidence with medium confidence.</x:v>
      </x:c>
      <x:c r="W85" s="32" t="str">
        <x:v>2026-08-17</x:v>
      </x:c>
    </x:row>
    <x:row r="86">
      <x:c r="A86" s="26" t="str">
        <x:v>OSM-way-23768608</x:v>
      </x:c>
      <x:c r="B86" s="26" t="str">
        <x:v>Jalan Hang Kasturi</x:v>
      </x:c>
      <x:c r="C86" s="26" t="str">
        <x:v>W.P. Kuala Lumpur</x:v>
      </x:c>
      <x:c r="D86" s="26" t="str">
        <x:v>Not recorded</x:v>
      </x:c>
      <x:c r="E86" s="26" t="str">
        <x:v>Urban Attraction</x:v>
      </x:c>
      <x:c r="F86" s="26" t="str">
        <x:v>Both / varies</x:v>
      </x:c>
      <x:c r="G86" s="26" t="str">
        <x:v>visitor attraction; wheelchair access</x:v>
      </x:c>
      <x:c r="H86" s="26" t="str">
        <x:v>Jalan Hang Kasturi is a visitor attraction in W.P. Kuala Lumpur. OpenStreetMap records the place as wheelchair accessible.</x:v>
      </x:c>
      <x:c r="I86" s="29" t="n">
        <x:v>3.1453613</x:v>
      </x:c>
      <x:c r="J86" s="29" t="n">
        <x:v>101.6958024</x:v>
      </x:c>
      <x:c r="K86" s="26" t="str">
        <x:v>Unknown</x:v>
      </x:c>
      <x:c r="L86" s="26" t="str">
        <x:v>Yes</x:v>
      </x:c>
      <x:c r="M86" s="26" t="str">
        <x:v>Unknown</x:v>
      </x:c>
      <x:c r="N86" s="26" t="str">
        <x:v>Unknown</x:v>
      </x:c>
      <x:c r="O86" s="26" t="str">
        <x:v>Unknown</x:v>
      </x:c>
      <x:c r="P86" s="26" t="str">
        <x:v>Unknown</x:v>
      </x:c>
      <x:c r="Q86" s="26" t="str">
        <x:v>Wheelchair access mapped</x:v>
      </x:c>
      <x:c r="R86" s="26" t="str">
        <x:v>OpenStreetMap records wheelchair=yes, indicating the main visitor access is community-mapped as wheelchair accessible. Individual facilities such as toilets, seats, lifts and parking are not separately documented in this record.</x:v>
      </x:c>
      <x:c r="S86" s="26" t="str">
        <x:v>https://www.openstreetmap.org/way/23768608</x:v>
      </x:c>
      <x:c r="T86" s="26" t="str">
        <x:v>OpenStreetMap community-mapped accessibility</x:v>
      </x:c>
      <x:c r="U86" s="26" t="str">
        <x:v>Medium</x:v>
      </x:c>
      <x:c r="V86" s="26" t="str">
        <x:v>Included because the OpenStreetMap record explicitly states wheelchair=yes. This is community-mapped evidence with medium confidence.</x:v>
      </x:c>
      <x:c r="W86" s="32" t="str">
        <x:v>2026-08-17</x:v>
      </x:c>
    </x:row>
    <x:row r="87">
      <x:c r="A87" s="26" t="str">
        <x:v>MC0372</x:v>
      </x:c>
      <x:c r="B87" s="26" t="str">
        <x:v>KL Bird Park</x:v>
      </x:c>
      <x:c r="C87" s="26" t="str">
        <x:v>W.P. Kuala Lumpur</x:v>
      </x:c>
      <x:c r="D87" s="26" t="str">
        <x:v>Perdana Botanical Gardens / Tasik Perdana</x:v>
      </x:c>
      <x:c r="E87" s="26" t="str">
        <x:v>Wildlife</x:v>
      </x:c>
      <x:c r="F87" s="26" t="str">
        <x:v>Both</x:v>
      </x:c>
      <x:c r="G87" s="26" t="str">
        <x:v>Bird park; aviary; free-flight aviary; wildlife; birds; birdwatching; ecotourism; family attraction; education; conservation; photography; bird show; bird feeding; hornbill; flamingo; parrot; macaw; eagle; ostrich; Birds of Paradise; Rhinoceros Hornbill; landscaped park; nature; outdoor walking; Kuala Lumpur Lake Gardens</x:v>
      </x:c>
      <x:c r="H87" s="26" t="str">
        <x:v>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v>
      </x:c>
      <x:c r="I87" s="29"/>
      <x:c r="J87" s="29"/>
      <x:c r="K87" s="26" t="str">
        <x:v>Unknown</x:v>
      </x:c>
      <x:c r="L87" s="26" t="str">
        <x:v>Unknown</x:v>
      </x:c>
      <x:c r="M87" s="26" t="str">
        <x:v>Unknown</x:v>
      </x:c>
      <x:c r="N87" s="26" t="str">
        <x:v>Unknown</x:v>
      </x:c>
      <x:c r="O87" s="26" t="str">
        <x:v>Unknown</x:v>
      </x:c>
      <x:c r="P87" s="26" t="str">
        <x:v>Unknown</x:v>
      </x:c>
      <x:c r="Q87" s="26" t="str">
        <x:v>Unknown</x:v>
      </x:c>
      <x:c r="R87" s="26"/>
      <x:c r="S87" s="26" t="str">
        <x:v>https://www.malaysia.travel/explore/kl-bird-park
https://www.klbirdpark.com/
https://www.klbirdpark.com/plan-your-visit/
https://www.klbirdpark.com/contacts/
https://www.malaysia.travel/storage/files/pdf/2026-Malaysia-Surreal-Experience.pdf
https://ebrochures.malaysia.travel/en/malaysia-travel-guide/kuala-lumpur/
https://www.findlatitudeandlongitude.com/l/Kuala%2BLumpur%2BBird%2BPark%252C%2B920%252C%2BJalan%2BCenderawasih%252C%2BPerdana%2BBotanical%2BGardens%252C%2BKuala%2BLumpur%252C%2BKuala%2BLumpur%252C%2BMalaysia%252C%2B50480/6564055/</x:v>
      </x:c>
      <x:c r="T87" s="26" t="str">
        <x:v>Official/operator/tourism source</x:v>
      </x:c>
      <x:c r="U87" s="26" t="str">
        <x:v>High</x:v>
      </x:c>
      <x:c r="V87" s="26" t="str">
        <x:v>Included in Maya's elderly recommendation results: The operator states that most park grounds are wheelchair accessible.</x:v>
      </x:c>
      <x:c r="W87" s="32" t="str">
        <x:v>2026-08-16</x:v>
      </x:c>
    </x:row>
    <x:row r="88">
      <x:c r="A88" s="26" t="str">
        <x:v>OSM-way-23768620</x:v>
      </x:c>
      <x:c r="B88" s="26" t="str">
        <x:v>Kompleks Kota Raya</x:v>
      </x:c>
      <x:c r="C88" s="26" t="str">
        <x:v>W.P. Kuala Lumpur</x:v>
      </x:c>
      <x:c r="D88" s="26" t="str">
        <x:v>Not recorded</x:v>
      </x:c>
      <x:c r="E88" s="26" t="str">
        <x:v>Shopping</x:v>
      </x:c>
      <x:c r="F88" s="26" t="str">
        <x:v>Indoor / sheltered</x:v>
      </x:c>
      <x:c r="G88" s="26" t="str">
        <x:v>shopping centre; wheelchair access</x:v>
      </x:c>
      <x:c r="H88" s="26" t="str">
        <x:v>Building in Malaysia. OpenStreetMap records the place as wheelchair accessible.</x:v>
      </x:c>
      <x:c r="I88" s="29" t="n">
        <x:v>3.1458281</x:v>
      </x:c>
      <x:c r="J88" s="29" t="n">
        <x:v>101.6980518</x:v>
      </x:c>
      <x:c r="K88" s="26" t="str">
        <x:v>Unknown</x:v>
      </x:c>
      <x:c r="L88" s="26" t="str">
        <x:v>Yes</x:v>
      </x:c>
      <x:c r="M88" s="26" t="str">
        <x:v>Unknown</x:v>
      </x:c>
      <x:c r="N88" s="26" t="str">
        <x:v>Unknown</x:v>
      </x:c>
      <x:c r="O88" s="26" t="str">
        <x:v>Unknown</x:v>
      </x:c>
      <x:c r="P88" s="26" t="str">
        <x:v>Unknown</x:v>
      </x:c>
      <x:c r="Q88" s="26" t="str">
        <x:v>Wheelchair access mapped</x:v>
      </x:c>
      <x:c r="R88" s="26" t="str">
        <x:v>OpenStreetMap records wheelchair=yes, indicating the main visitor access is community-mapped as wheelchair accessible. Individual facilities such as toilets, seats, lifts and parking are not separately documented in this record.</x:v>
      </x:c>
      <x:c r="S88" s="26" t="str">
        <x:v>https://www.openstreetmap.org/way/23768620</x:v>
      </x:c>
      <x:c r="T88" s="26" t="str">
        <x:v>OpenStreetMap community-mapped accessibility</x:v>
      </x:c>
      <x:c r="U88" s="26" t="str">
        <x:v>Medium</x:v>
      </x:c>
      <x:c r="V88" s="26" t="str">
        <x:v>Included because the OpenStreetMap record explicitly states wheelchair=yes. This is community-mapped evidence with medium confidence.</x:v>
      </x:c>
      <x:c r="W88" s="32" t="str">
        <x:v>2026-08-17</x:v>
      </x:c>
    </x:row>
    <x:row r="89">
      <x:c r="A89" s="26" t="str">
        <x:v>OSM-way-922804567</x:v>
      </x:c>
      <x:c r="B89" s="26" t="str">
        <x:v>Mid Valley Megamall</x:v>
      </x:c>
      <x:c r="C89" s="26" t="str">
        <x:v>W.P. Kuala Lumpur</x:v>
      </x:c>
      <x:c r="D89" s="26" t="str">
        <x:v>Not recorded</x:v>
      </x:c>
      <x:c r="E89" s="26" t="str">
        <x:v>Shopping</x:v>
      </x:c>
      <x:c r="F89" s="26" t="str">
        <x:v>Indoor / sheltered</x:v>
      </x:c>
      <x:c r="G89" s="26" t="str">
        <x:v>shopping centre; wheelchair access</x:v>
      </x:c>
      <x:c r="H89" s="26" t="str">
        <x:v>Shopping mall in Kuala Lumpur, Malaysia. OpenStreetMap records the place as wheelchair accessible.</x:v>
      </x:c>
      <x:c r="I89" s="29" t="n">
        <x:v>3.117656</x:v>
      </x:c>
      <x:c r="J89" s="29" t="n">
        <x:v>101.677294</x:v>
      </x:c>
      <x:c r="K89" s="26" t="str">
        <x:v>Unknown</x:v>
      </x:c>
      <x:c r="L89" s="26" t="str">
        <x:v>Yes</x:v>
      </x:c>
      <x:c r="M89" s="26" t="str">
        <x:v>Unknown</x:v>
      </x:c>
      <x:c r="N89" s="26" t="str">
        <x:v>Unknown</x:v>
      </x:c>
      <x:c r="O89" s="26" t="str">
        <x:v>Unknown</x:v>
      </x:c>
      <x:c r="P89" s="26" t="str">
        <x:v>Unknown</x:v>
      </x:c>
      <x:c r="Q89" s="26" t="str">
        <x:v>Wheelchair access mapped</x:v>
      </x:c>
      <x:c r="R89" s="26" t="str">
        <x:v>OpenStreetMap records wheelchair=yes, indicating the main visitor access is community-mapped as wheelchair accessible. Individual facilities such as toilets, seats, lifts and parking are not separately documented in this record.</x:v>
      </x:c>
      <x:c r="S89" s="26" t="str">
        <x:v>https://www.openstreetmap.org/way/922804567</x:v>
      </x:c>
      <x:c r="T89" s="26" t="str">
        <x:v>OpenStreetMap community-mapped accessibility</x:v>
      </x:c>
      <x:c r="U89" s="26" t="str">
        <x:v>Medium</x:v>
      </x:c>
      <x:c r="V89" s="26" t="str">
        <x:v>Included because the OpenStreetMap record explicitly states wheelchair=yes. This is community-mapped evidence with medium confidence.</x:v>
      </x:c>
      <x:c r="W89" s="32" t="str">
        <x:v>2026-08-17</x:v>
      </x:c>
    </x:row>
    <x:row r="90">
      <x:c r="A90" s="26" t="str">
        <x:v>OSM-node-9196355756</x:v>
      </x:c>
      <x:c r="B90" s="26" t="str">
        <x:v>Muzium Geologi</x:v>
      </x:c>
      <x:c r="C90" s="26" t="str">
        <x:v>W.P. Kuala Lumpur</x:v>
      </x:c>
      <x:c r="D90" s="26" t="str">
        <x:v>Not recorded</x:v>
      </x:c>
      <x:c r="E90" s="26" t="str">
        <x:v>Museum and Gallery</x:v>
      </x:c>
      <x:c r="F90" s="26" t="str">
        <x:v>Indoor / sheltered</x:v>
      </x:c>
      <x:c r="G90" s="26" t="str">
        <x:v>museum; wheelchair access; Universiti Malaya</x:v>
      </x:c>
      <x:c r="H90" s="26" t="str">
        <x:v>Muzium Geologi is a museum in W.P. Kuala Lumpur. OpenStreetMap records the place as wheelchair accessible.</x:v>
      </x:c>
      <x:c r="I90" s="29" t="n">
        <x:v>3.1222885</x:v>
      </x:c>
      <x:c r="J90" s="29" t="n">
        <x:v>101.6524093</x:v>
      </x:c>
      <x:c r="K90" s="26" t="str">
        <x:v>Unknown</x:v>
      </x:c>
      <x:c r="L90" s="26" t="str">
        <x:v>Yes</x:v>
      </x:c>
      <x:c r="M90" s="26" t="str">
        <x:v>Unknown</x:v>
      </x:c>
      <x:c r="N90" s="26" t="str">
        <x:v>Unknown</x:v>
      </x:c>
      <x:c r="O90" s="26" t="str">
        <x:v>Unknown</x:v>
      </x:c>
      <x:c r="P90" s="26" t="str">
        <x:v>Unknown</x:v>
      </x:c>
      <x:c r="Q90" s="26" t="str">
        <x:v>Wheelchair access mapped</x:v>
      </x:c>
      <x:c r="R90" s="26" t="str">
        <x:v>OpenStreetMap records wheelchair=yes, indicating the main visitor access is community-mapped as wheelchair accessible. Individual facilities such as toilets, seats, lifts and parking are not separately documented in this record.</x:v>
      </x:c>
      <x:c r="S90" s="26" t="str">
        <x:v>https://www.openstreetmap.org/node/9196355756</x:v>
      </x:c>
      <x:c r="T90" s="26" t="str">
        <x:v>OpenStreetMap community-mapped accessibility</x:v>
      </x:c>
      <x:c r="U90" s="26" t="str">
        <x:v>Medium</x:v>
      </x:c>
      <x:c r="V90" s="26" t="str">
        <x:v>Included because the OpenStreetMap record explicitly states wheelchair=yes. This is community-mapped evidence with medium confidence.</x:v>
      </x:c>
      <x:c r="W90" s="32" t="str">
        <x:v>2026-08-17</x:v>
      </x:c>
    </x:row>
    <x:row r="91">
      <x:c r="A91" s="26" t="str">
        <x:v>OSM-way-1009961415</x:v>
      </x:c>
      <x:c r="B91" s="26" t="str">
        <x:v>Panggung Eksperimen</x:v>
      </x:c>
      <x:c r="C91" s="26" t="str">
        <x:v>W.P. Kuala Lumpur</x:v>
      </x:c>
      <x:c r="D91" s="26" t="str">
        <x:v>Not recorded</x:v>
      </x:c>
      <x:c r="E91" s="26" t="str">
        <x:v>Arts and Culture</x:v>
      </x:c>
      <x:c r="F91" s="26" t="str">
        <x:v>Indoor / sheltered</x:v>
      </x:c>
      <x:c r="G91" s="26" t="str">
        <x:v>theatre; wheelchair access; Universiti Malaya</x:v>
      </x:c>
      <x:c r="H91" s="26" t="str">
        <x:v>Panggung Eksperimen is a theatre in W.P. Kuala Lumpur. OpenStreetMap records the place as wheelchair accessible.</x:v>
      </x:c>
      <x:c r="I91" s="29" t="n">
        <x:v>3.1214659</x:v>
      </x:c>
      <x:c r="J91" s="29" t="n">
        <x:v>101.6560671</x:v>
      </x:c>
      <x:c r="K91" s="26" t="str">
        <x:v>Unknown</x:v>
      </x:c>
      <x:c r="L91" s="26" t="str">
        <x:v>Yes</x:v>
      </x:c>
      <x:c r="M91" s="26" t="str">
        <x:v>Unknown</x:v>
      </x:c>
      <x:c r="N91" s="26" t="str">
        <x:v>Unknown</x:v>
      </x:c>
      <x:c r="O91" s="26" t="str">
        <x:v>Unknown</x:v>
      </x:c>
      <x:c r="P91" s="26" t="str">
        <x:v>Unknown</x:v>
      </x:c>
      <x:c r="Q91" s="26" t="str">
        <x:v>Wheelchair access mapped</x:v>
      </x:c>
      <x:c r="R91" s="26" t="str">
        <x:v>OpenStreetMap records wheelchair=yes, indicating the main visitor access is community-mapped as wheelchair accessible. Individual facilities such as toilets, seats, lifts and parking are not separately documented in this record.</x:v>
      </x:c>
      <x:c r="S91" s="26" t="str">
        <x:v>https://www.openstreetmap.org/way/1009961415</x:v>
      </x:c>
      <x:c r="T91" s="26" t="str">
        <x:v>OpenStreetMap community-mapped accessibility</x:v>
      </x:c>
      <x:c r="U91" s="26" t="str">
        <x:v>Medium</x:v>
      </x:c>
      <x:c r="V91" s="26" t="str">
        <x:v>Included because the OpenStreetMap record explicitly states wheelchair=yes. This is community-mapped evidence with medium confidence.</x:v>
      </x:c>
      <x:c r="W91" s="32" t="str">
        <x:v>2026-08-17</x:v>
      </x:c>
    </x:row>
    <x:row r="92">
      <x:c r="A92" s="26" t="str">
        <x:v>OSM-way-1015050555</x:v>
      </x:c>
      <x:c r="B92" s="26" t="str">
        <x:v>Pasar Pagi Taman Bamboo</x:v>
      </x:c>
      <x:c r="C92" s="26" t="str">
        <x:v>W.P. Kuala Lumpur</x:v>
      </x:c>
      <x:c r="D92" s="26" t="str">
        <x:v>Not recorded</x:v>
      </x:c>
      <x:c r="E92" s="26" t="str">
        <x:v>Food and Market</x:v>
      </x:c>
      <x:c r="F92" s="26" t="str">
        <x:v>Both / varies</x:v>
      </x:c>
      <x:c r="G92" s="26" t="str">
        <x:v>public market; wheelchair access</x:v>
      </x:c>
      <x:c r="H92" s="26" t="str">
        <x:v>Pasar Pagi Taman Bamboo is a public market in W.P. Kuala Lumpur. OpenStreetMap records the place as wheelchair accessible.</x:v>
      </x:c>
      <x:c r="I92" s="29" t="n">
        <x:v>3.1977159</x:v>
      </x:c>
      <x:c r="J92" s="29" t="n">
        <x:v>101.6757482</x:v>
      </x:c>
      <x:c r="K92" s="26" t="str">
        <x:v>Unknown</x:v>
      </x:c>
      <x:c r="L92" s="26" t="str">
        <x:v>Yes</x:v>
      </x:c>
      <x:c r="M92" s="26" t="str">
        <x:v>Unknown</x:v>
      </x:c>
      <x:c r="N92" s="26" t="str">
        <x:v>Unknown</x:v>
      </x:c>
      <x:c r="O92" s="26" t="str">
        <x:v>Unknown</x:v>
      </x:c>
      <x:c r="P92" s="26" t="str">
        <x:v>Unknown</x:v>
      </x:c>
      <x:c r="Q92" s="26" t="str">
        <x:v>Wheelchair access mapped</x:v>
      </x:c>
      <x:c r="R92" s="26" t="str">
        <x:v>OpenStreetMap records wheelchair=yes, indicating the main visitor access is community-mapped as wheelchair accessible. Individual facilities such as toilets, seats, lifts and parking are not separately documented in this record.</x:v>
      </x:c>
      <x:c r="S92" s="26" t="str">
        <x:v>https://www.openstreetmap.org/way/1015050555</x:v>
      </x:c>
      <x:c r="T92" s="26" t="str">
        <x:v>OpenStreetMap community-mapped accessibility</x:v>
      </x:c>
      <x:c r="U92" s="26" t="str">
        <x:v>Medium</x:v>
      </x:c>
      <x:c r="V92" s="26" t="str">
        <x:v>Included because the OpenStreetMap record explicitly states wheelchair=yes. This is community-mapped evidence with medium confidence.</x:v>
      </x:c>
      <x:c r="W92" s="32" t="str">
        <x:v>2026-08-17</x:v>
      </x:c>
    </x:row>
    <x:row r="93">
      <x:c r="A93" s="26" t="str">
        <x:v>OSM-way-28271276</x:v>
      </x:c>
      <x:c r="B93" s="26" t="str">
        <x:v>Pavilion Kuala Lumpur</x:v>
      </x:c>
      <x:c r="C93" s="26" t="str">
        <x:v>W.P. Kuala Lumpur</x:v>
      </x:c>
      <x:c r="D93" s="26" t="str">
        <x:v>Not recorded</x:v>
      </x:c>
      <x:c r="E93" s="26" t="str">
        <x:v>Shopping</x:v>
      </x:c>
      <x:c r="F93" s="26" t="str">
        <x:v>Indoor / sheltered</x:v>
      </x:c>
      <x:c r="G93" s="26" t="str">
        <x:v>shopping centre; wheelchair access</x:v>
      </x:c>
      <x:c r="H93" s="26" t="str">
        <x:v>Shopping centre in the Bukit Bintang district of Kuala Lumpur. OpenStreetMap records the place as wheelchair accessible.</x:v>
      </x:c>
      <x:c r="I93" s="29" t="n">
        <x:v>3.1491165</x:v>
      </x:c>
      <x:c r="J93" s="29" t="n">
        <x:v>101.7135192</x:v>
      </x:c>
      <x:c r="K93" s="26" t="str">
        <x:v>Unknown</x:v>
      </x:c>
      <x:c r="L93" s="26" t="str">
        <x:v>Yes</x:v>
      </x:c>
      <x:c r="M93" s="26" t="str">
        <x:v>Unknown</x:v>
      </x:c>
      <x:c r="N93" s="26" t="str">
        <x:v>Unknown</x:v>
      </x:c>
      <x:c r="O93" s="26" t="str">
        <x:v>Unknown</x:v>
      </x:c>
      <x:c r="P93" s="26" t="str">
        <x:v>Unknown</x:v>
      </x:c>
      <x:c r="Q93" s="26" t="str">
        <x:v>Wheelchair access mapped</x:v>
      </x:c>
      <x:c r="R93" s="26" t="str">
        <x:v>OpenStreetMap records wheelchair=yes, indicating the main visitor access is community-mapped as wheelchair accessible. Individual facilities such as toilets, seats, lifts and parking are not separately documented in this record.</x:v>
      </x:c>
      <x:c r="S93" s="26" t="str">
        <x:v>https://www.openstreetmap.org/way/28271276</x:v>
      </x:c>
      <x:c r="T93" s="26" t="str">
        <x:v>OpenStreetMap community-mapped accessibility</x:v>
      </x:c>
      <x:c r="U93" s="26" t="str">
        <x:v>Medium</x:v>
      </x:c>
      <x:c r="V93" s="26" t="str">
        <x:v>Included because the OpenStreetMap record explicitly states wheelchair=yes. This is community-mapped evidence with medium confidence.</x:v>
      </x:c>
      <x:c r="W93" s="32" t="str">
        <x:v>2026-08-17</x:v>
      </x:c>
    </x:row>
    <x:row r="94">
      <x:c r="A94" s="26" t="str">
        <x:v>OSM-node-10035485588</x:v>
      </x:c>
      <x:c r="B94" s="26" t="str">
        <x:v>Petrosains</x:v>
      </x:c>
      <x:c r="C94" s="26" t="str">
        <x:v>W.P. Kuala Lumpur</x:v>
      </x:c>
      <x:c r="D94" s="26" t="str">
        <x:v>Not recorded</x:v>
      </x:c>
      <x:c r="E94" s="26" t="str">
        <x:v>Museum and Gallery</x:v>
      </x:c>
      <x:c r="F94" s="26" t="str">
        <x:v>Indoor / sheltered</x:v>
      </x:c>
      <x:c r="G94" s="26" t="str">
        <x:v>museum; wheelchair access; Petroliam Nasional Berhad</x:v>
      </x:c>
      <x:c r="H94" s="26" t="str">
        <x:v>Petrosains - Petroscience - is a scientific children museum with lots of interactive activities for the young ones. Some attractions req. minimum height 1.40 meters and weight max 80kg. OpenStreetMap records the place as wheelchair accessible.</x:v>
      </x:c>
      <x:c r="I94" s="29" t="n">
        <x:v>3.1575283</x:v>
      </x:c>
      <x:c r="J94" s="29" t="n">
        <x:v>101.7118699</x:v>
      </x:c>
      <x:c r="K94" s="26" t="str">
        <x:v>Unknown</x:v>
      </x:c>
      <x:c r="L94" s="26" t="str">
        <x:v>Yes</x:v>
      </x:c>
      <x:c r="M94" s="26" t="str">
        <x:v>Unknown</x:v>
      </x:c>
      <x:c r="N94" s="26" t="str">
        <x:v>Unknown</x:v>
      </x:c>
      <x:c r="O94" s="26" t="str">
        <x:v>Unknown</x:v>
      </x:c>
      <x:c r="P94" s="26" t="str">
        <x:v>Unknown</x:v>
      </x:c>
      <x:c r="Q94" s="26" t="str">
        <x:v>Wheelchair access mapped</x:v>
      </x:c>
      <x:c r="R94" s="26" t="str">
        <x:v>OpenStreetMap records wheelchair=yes, indicating the main visitor access is community-mapped as wheelchair accessible. Individual facilities such as toilets, seats, lifts and parking are not separately documented in this record.</x:v>
      </x:c>
      <x:c r="S94" s="26" t="str">
        <x:v>https://www.openstreetmap.org/node/10035485588</x:v>
      </x:c>
      <x:c r="T94" s="26" t="str">
        <x:v>OpenStreetMap community-mapped accessibility</x:v>
      </x:c>
      <x:c r="U94" s="26" t="str">
        <x:v>Medium</x:v>
      </x:c>
      <x:c r="V94" s="26" t="str">
        <x:v>Included because the OpenStreetMap record explicitly states wheelchair=yes. This is community-mapped evidence with medium confidence.</x:v>
      </x:c>
      <x:c r="W94" s="32" t="str">
        <x:v>2026-08-17</x:v>
      </x:c>
    </x:row>
    <x:row r="95">
      <x:c r="A95" s="26" t="str">
        <x:v>OSM-way-28271270</x:v>
      </x:c>
      <x:c r="B95" s="26" t="str">
        <x:v>Plaza Low Yat</x:v>
      </x:c>
      <x:c r="C95" s="26" t="str">
        <x:v>W.P. Kuala Lumpur</x:v>
      </x:c>
      <x:c r="D95" s="26" t="str">
        <x:v>Not recorded</x:v>
      </x:c>
      <x:c r="E95" s="26" t="str">
        <x:v>Shopping</x:v>
      </x:c>
      <x:c r="F95" s="26" t="str">
        <x:v>Indoor / sheltered</x:v>
      </x:c>
      <x:c r="G95" s="26" t="str">
        <x:v>shopping centre; wheelchair access; Low Yat Group</x:v>
      </x:c>
      <x:c r="H95" s="26" t="str">
        <x:v>Mall with all types of IT related shops. OpenStreetMap records the place as wheelchair accessible.</x:v>
      </x:c>
      <x:c r="I95" s="29" t="n">
        <x:v>3.1440262</x:v>
      </x:c>
      <x:c r="J95" s="29" t="n">
        <x:v>101.7100083</x:v>
      </x:c>
      <x:c r="K95" s="26" t="str">
        <x:v>Unknown</x:v>
      </x:c>
      <x:c r="L95" s="26" t="str">
        <x:v>Yes</x:v>
      </x:c>
      <x:c r="M95" s="26" t="str">
        <x:v>Unknown</x:v>
      </x:c>
      <x:c r="N95" s="26" t="str">
        <x:v>Unknown</x:v>
      </x:c>
      <x:c r="O95" s="26" t="str">
        <x:v>Unknown</x:v>
      </x:c>
      <x:c r="P95" s="26" t="str">
        <x:v>Unknown</x:v>
      </x:c>
      <x:c r="Q95" s="26" t="str">
        <x:v>Wheelchair access mapped</x:v>
      </x:c>
      <x:c r="R95" s="26" t="str">
        <x:v>OpenStreetMap records wheelchair=yes, indicating the main visitor access is community-mapped as wheelchair accessible. Individual facilities such as toilets, seats, lifts and parking are not separately documented in this record.</x:v>
      </x:c>
      <x:c r="S95" s="26" t="str">
        <x:v>https://www.openstreetmap.org/way/28271270</x:v>
      </x:c>
      <x:c r="T95" s="26" t="str">
        <x:v>OpenStreetMap community-mapped accessibility</x:v>
      </x:c>
      <x:c r="U95" s="26" t="str">
        <x:v>Medium</x:v>
      </x:c>
      <x:c r="V95" s="26" t="str">
        <x:v>Included because the OpenStreetMap record explicitly states wheelchair=yes. This is community-mapped evidence with medium confidence.</x:v>
      </x:c>
      <x:c r="W95" s="32" t="str">
        <x:v>2026-08-17</x:v>
      </x:c>
    </x:row>
    <x:row r="96">
      <x:c r="A96" s="26" t="str">
        <x:v>OSM-way-24577285</x:v>
      </x:c>
      <x:c r="B96" s="26" t="str">
        <x:v>Sin Sze Si Ya Temple</x:v>
      </x:c>
      <x:c r="C96" s="26" t="str">
        <x:v>W.P. Kuala Lumpur</x:v>
      </x:c>
      <x:c r="D96" s="26" t="str">
        <x:v>Not recorded</x:v>
      </x:c>
      <x:c r="E96" s="26" t="str">
        <x:v>Urban Attraction</x:v>
      </x:c>
      <x:c r="F96" s="26" t="str">
        <x:v>Both / varies</x:v>
      </x:c>
      <x:c r="G96" s="26" t="str">
        <x:v>visitor attraction; wheelchair access</x:v>
      </x:c>
      <x:c r="H96" s="26" t="str">
        <x:v>Taoist temple in Chinatown, Kuala Lumpur, Malaysia. OpenStreetMap records the place as wheelchair accessible.</x:v>
      </x:c>
      <x:c r="I96" s="29" t="n">
        <x:v>3.1456516</x:v>
      </x:c>
      <x:c r="J96" s="29" t="n">
        <x:v>101.6963891</x:v>
      </x:c>
      <x:c r="K96" s="26" t="str">
        <x:v>Unknown</x:v>
      </x:c>
      <x:c r="L96" s="26" t="str">
        <x:v>Yes</x:v>
      </x:c>
      <x:c r="M96" s="26" t="str">
        <x:v>Unknown</x:v>
      </x:c>
      <x:c r="N96" s="26" t="str">
        <x:v>Unknown</x:v>
      </x:c>
      <x:c r="O96" s="26" t="str">
        <x:v>Unknown</x:v>
      </x:c>
      <x:c r="P96" s="26" t="str">
        <x:v>Unknown</x:v>
      </x:c>
      <x:c r="Q96" s="26" t="str">
        <x:v>Wheelchair access mapped</x:v>
      </x:c>
      <x:c r="R96" s="26" t="str">
        <x:v>OpenStreetMap records wheelchair=yes, indicating the main visitor access is community-mapped as wheelchair accessible. Individual facilities such as toilets, seats, lifts and parking are not separately documented in this record.</x:v>
      </x:c>
      <x:c r="S96" s="26" t="str">
        <x:v>https://www.openstreetmap.org/way/24577285</x:v>
      </x:c>
      <x:c r="T96" s="26" t="str">
        <x:v>OpenStreetMap community-mapped accessibility</x:v>
      </x:c>
      <x:c r="U96" s="26" t="str">
        <x:v>Medium</x:v>
      </x:c>
      <x:c r="V96" s="26" t="str">
        <x:v>Included because the OpenStreetMap record explicitly states wheelchair=yes. This is community-mapped evidence with medium confidence.</x:v>
      </x:c>
      <x:c r="W96" s="32" t="str">
        <x:v>2026-08-17</x:v>
      </x:c>
    </x:row>
    <x:row r="97">
      <x:c r="A97" s="26" t="str">
        <x:v>OSM-way-458630896</x:v>
      </x:c>
      <x:c r="B97" s="26" t="str">
        <x:v>Sunway Velocity Mall</x:v>
      </x:c>
      <x:c r="C97" s="26" t="str">
        <x:v>W.P. Kuala Lumpur</x:v>
      </x:c>
      <x:c r="D97" s="26" t="str">
        <x:v>Kuala Lumpur</x:v>
      </x:c>
      <x:c r="E97" s="26" t="str">
        <x:v>Shopping</x:v>
      </x:c>
      <x:c r="F97" s="26" t="str">
        <x:v>Indoor / sheltered</x:v>
      </x:c>
      <x:c r="G97" s="26" t="str">
        <x:v>shopping centre; wheelchair access</x:v>
      </x:c>
      <x:c r="H97" s="26" t="str">
        <x:v>Shopping mall in Kuala Lumpur, Malaysia. OpenStreetMap records the place as wheelchair accessible.</x:v>
      </x:c>
      <x:c r="I97" s="29" t="n">
        <x:v>3.1273866</x:v>
      </x:c>
      <x:c r="J97" s="29" t="n">
        <x:v>101.724484</x:v>
      </x:c>
      <x:c r="K97" s="26" t="str">
        <x:v>Unknown</x:v>
      </x:c>
      <x:c r="L97" s="26" t="str">
        <x:v>Yes</x:v>
      </x:c>
      <x:c r="M97" s="26" t="str">
        <x:v>Unknown</x:v>
      </x:c>
      <x:c r="N97" s="26" t="str">
        <x:v>Unknown</x:v>
      </x:c>
      <x:c r="O97" s="26" t="str">
        <x:v>Unknown</x:v>
      </x:c>
      <x:c r="P97" s="26" t="str">
        <x:v>Unknown</x:v>
      </x:c>
      <x:c r="Q97" s="26" t="str">
        <x:v>Wheelchair access mapped</x:v>
      </x:c>
      <x:c r="R97" s="26" t="str">
        <x:v>OpenStreetMap records wheelchair=yes, indicating the main visitor access is community-mapped as wheelchair accessible. Individual facilities such as toilets, seats, lifts and parking are not separately documented in this record.</x:v>
      </x:c>
      <x:c r="S97" s="26" t="str">
        <x:v>https://www.openstreetmap.org/way/458630896</x:v>
      </x:c>
      <x:c r="T97" s="26" t="str">
        <x:v>OpenStreetMap community-mapped accessibility</x:v>
      </x:c>
      <x:c r="U97" s="26" t="str">
        <x:v>Medium</x:v>
      </x:c>
      <x:c r="V97" s="26" t="str">
        <x:v>Included because the OpenStreetMap record explicitly states wheelchair=yes. This is community-mapped evidence with medium confidence.</x:v>
      </x:c>
      <x:c r="W97" s="32" t="str">
        <x:v>2026-08-17</x:v>
      </x:c>
    </x:row>
    <x:row r="98">
      <x:c r="A98" s="26" t="str">
        <x:v>OSM-way-23034336</x:v>
      </x:c>
      <x:c r="B98" s="26" t="str">
        <x:v>Suria KLCC</x:v>
      </x:c>
      <x:c r="C98" s="26" t="str">
        <x:v>W.P. Kuala Lumpur</x:v>
      </x:c>
      <x:c r="D98" s="26" t="str">
        <x:v>Not recorded</x:v>
      </x:c>
      <x:c r="E98" s="26" t="str">
        <x:v>Shopping</x:v>
      </x:c>
      <x:c r="F98" s="26" t="str">
        <x:v>Indoor / sheltered</x:v>
      </x:c>
      <x:c r="G98" s="26" t="str">
        <x:v>shopping centre; wheelchair access; KLCC Property Holdings Berhad</x:v>
      </x:c>
      <x:c r="H98" s="26" t="str">
        <x:v>Shopping mall in Kuala Lumpur. OpenStreetMap records the place as wheelchair accessible.</x:v>
      </x:c>
      <x:c r="I98" s="29" t="n">
        <x:v>3.1573761</x:v>
      </x:c>
      <x:c r="J98" s="29" t="n">
        <x:v>101.7122049</x:v>
      </x:c>
      <x:c r="K98" s="26" t="str">
        <x:v>Unknown</x:v>
      </x:c>
      <x:c r="L98" s="26" t="str">
        <x:v>Yes</x:v>
      </x:c>
      <x:c r="M98" s="26" t="str">
        <x:v>Unknown</x:v>
      </x:c>
      <x:c r="N98" s="26" t="str">
        <x:v>Unknown</x:v>
      </x:c>
      <x:c r="O98" s="26" t="str">
        <x:v>Unknown</x:v>
      </x:c>
      <x:c r="P98" s="26" t="str">
        <x:v>Unknown</x:v>
      </x:c>
      <x:c r="Q98" s="26" t="str">
        <x:v>Wheelchair access mapped</x:v>
      </x:c>
      <x:c r="R98" s="26" t="str">
        <x:v>OpenStreetMap records wheelchair=yes, indicating the main visitor access is community-mapped as wheelchair accessible. Individual facilities such as toilets, seats, lifts and parking are not separately documented in this record.</x:v>
      </x:c>
      <x:c r="S98" s="26" t="str">
        <x:v>https://www.openstreetmap.org/way/23034336</x:v>
      </x:c>
      <x:c r="T98" s="26" t="str">
        <x:v>OpenStreetMap community-mapped accessibility</x:v>
      </x:c>
      <x:c r="U98" s="26" t="str">
        <x:v>Medium</x:v>
      </x:c>
      <x:c r="V98" s="26" t="str">
        <x:v>Included because the OpenStreetMap record explicitly states wheelchair=yes. This is community-mapped evidence with medium confidence.</x:v>
      </x:c>
      <x:c r="W98" s="32" t="str">
        <x:v>2026-08-17</x:v>
      </x:c>
    </x:row>
    <x:row r="99">
      <x:c r="A99" s="26" t="str">
        <x:v>OSM-way-863227716</x:v>
      </x:c>
      <x:c r="B99" s="26" t="str">
        <x:v>The Exchange TRX</x:v>
      </x:c>
      <x:c r="C99" s="26" t="str">
        <x:v>W.P. Kuala Lumpur</x:v>
      </x:c>
      <x:c r="D99" s="26" t="str">
        <x:v>Not recorded</x:v>
      </x:c>
      <x:c r="E99" s="26" t="str">
        <x:v>Shopping</x:v>
      </x:c>
      <x:c r="F99" s="26" t="str">
        <x:v>Indoor / sheltered</x:v>
      </x:c>
      <x:c r="G99" s="26" t="str">
        <x:v>shopping centre; wheelchair access; LQ Retail Sdn Bhd</x:v>
      </x:c>
      <x:c r="H99" s="26" t="str">
        <x:v>Shopping mall in Kuala Lumpur. OpenStreetMap records the place as wheelchair accessible.</x:v>
      </x:c>
      <x:c r="I99" s="29" t="n">
        <x:v>3.1426374</x:v>
      </x:c>
      <x:c r="J99" s="29" t="n">
        <x:v>101.7179499</x:v>
      </x:c>
      <x:c r="K99" s="26" t="str">
        <x:v>Unknown</x:v>
      </x:c>
      <x:c r="L99" s="26" t="str">
        <x:v>Yes</x:v>
      </x:c>
      <x:c r="M99" s="26" t="str">
        <x:v>Unknown</x:v>
      </x:c>
      <x:c r="N99" s="26" t="str">
        <x:v>Unknown</x:v>
      </x:c>
      <x:c r="O99" s="26" t="str">
        <x:v>Unknown</x:v>
      </x:c>
      <x:c r="P99" s="26" t="str">
        <x:v>Unknown</x:v>
      </x:c>
      <x:c r="Q99" s="26" t="str">
        <x:v>Wheelchair access mapped</x:v>
      </x:c>
      <x:c r="R99" s="26" t="str">
        <x:v>OpenStreetMap records wheelchair=yes, indicating the main visitor access is community-mapped as wheelchair accessible. Individual facilities such as toilets, seats, lifts and parking are not separately documented in this record.</x:v>
      </x:c>
      <x:c r="S99" s="26" t="str">
        <x:v>https://www.openstreetmap.org/way/863227716</x:v>
      </x:c>
      <x:c r="T99" s="26" t="str">
        <x:v>OpenStreetMap community-mapped accessibility</x:v>
      </x:c>
      <x:c r="U99" s="26" t="str">
        <x:v>Medium</x:v>
      </x:c>
      <x:c r="V99" s="26" t="str">
        <x:v>Included because the OpenStreetMap record explicitly states wheelchair=yes. This is community-mapped evidence with medium confidence.</x:v>
      </x:c>
      <x:c r="W99" s="32" t="str">
        <x:v>2026-08-17</x:v>
      </x:c>
    </x:row>
    <x:row r="100">
      <x:c r="A100" s="26" t="str">
        <x:v>OSM-way-190885799</x:v>
      </x:c>
      <x:c r="B100" s="26" t="str">
        <x:v>The Starhill</x:v>
      </x:c>
      <x:c r="C100" s="26" t="str">
        <x:v>W.P. Kuala Lumpur</x:v>
      </x:c>
      <x:c r="D100" s="26" t="str">
        <x:v>Not recorded</x:v>
      </x:c>
      <x:c r="E100" s="26" t="str">
        <x:v>Shopping</x:v>
      </x:c>
      <x:c r="F100" s="26" t="str">
        <x:v>Indoor / sheltered</x:v>
      </x:c>
      <x:c r="G100" s="26" t="str">
        <x:v>shopping centre; wheelchair access</x:v>
      </x:c>
      <x:c r="H100" s="26" t="str">
        <x:v>Luxury shopping mall in the Bukit Bintang, Kuala Lumpur. OpenStreetMap records the place as wheelchair accessible.</x:v>
      </x:c>
      <x:c r="I100" s="29" t="n">
        <x:v>3.1474481</x:v>
      </x:c>
      <x:c r="J100" s="29" t="n">
        <x:v>101.7137235</x:v>
      </x:c>
      <x:c r="K100" s="26" t="str">
        <x:v>Unknown</x:v>
      </x:c>
      <x:c r="L100" s="26" t="str">
        <x:v>Yes</x:v>
      </x:c>
      <x:c r="M100" s="26" t="str">
        <x:v>Unknown</x:v>
      </x:c>
      <x:c r="N100" s="26" t="str">
        <x:v>Unknown</x:v>
      </x:c>
      <x:c r="O100" s="26" t="str">
        <x:v>Unknown</x:v>
      </x:c>
      <x:c r="P100" s="26" t="str">
        <x:v>Unknown</x:v>
      </x:c>
      <x:c r="Q100" s="26" t="str">
        <x:v>Wheelchair access mapped</x:v>
      </x:c>
      <x:c r="R100" s="26" t="str">
        <x:v>OpenStreetMap records wheelchair=yes, indicating the main visitor access is community-mapped as wheelchair accessible. Individual facilities such as toilets, seats, lifts and parking are not separately documented in this record.</x:v>
      </x:c>
      <x:c r="S100" s="26" t="str">
        <x:v>https://www.openstreetmap.org/way/190885799</x:v>
      </x:c>
      <x:c r="T100" s="26" t="str">
        <x:v>OpenStreetMap community-mapped accessibility</x:v>
      </x:c>
      <x:c r="U100" s="26" t="str">
        <x:v>Medium</x:v>
      </x:c>
      <x:c r="V100" s="26" t="str">
        <x:v>Included because the OpenStreetMap record explicitly states wheelchair=yes. This is community-mapped evidence with medium confidence.</x:v>
      </x:c>
      <x:c r="W100" s="32" t="str">
        <x:v>2026-08-17</x:v>
      </x:c>
    </x:row>
    <x:row r="101">
      <x:c r="A101" s="26" t="str">
        <x:v>MC0397</x:v>
      </x:c>
      <x:c r="B101" s="26" t="str">
        <x:v>Putrajaya Wetlands Park</x:v>
      </x:c>
      <x:c r="C101" s="26" t="str">
        <x:v>W.P. Putrajaya</x:v>
      </x:c>
      <x:c r="D101" s="26" t="str">
        <x:v>Presint 13 / Putrajaya</x:v>
      </x:c>
      <x:c r="E101" s="26" t="str">
        <x:v>Nature</x:v>
      </x:c>
      <x:c r="F101" s="26" t="str">
        <x:v>Outdoor</x:v>
      </x:c>
      <x:c r="G101" s="26" t="str">
        <x:v>Constructed freshwater wetland; wetland park; urban ecology; green lung; 24 wetland cells; open lake; natural water filtration; birdwatching; migratory birds; local birds; freshwater fish; aquatic wildlife; flora and fauna; Nature Interpretation Centre; Wetland Studio; Lookout Tower; Flamingo Pond; Swan Lake; walking trails; lakeside promenade; jogging; brisk walking; cycling; picnic; photography; guided visit; environmental education; research; camping; glamping; fishing; kayaking; buggy; adventure activities; family recreation; wheelchair-friendly</x:v>
      </x:c>
      <x:c r="H101" s="26" t="str">
        <x:v>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v>
      </x:c>
      <x:c r="I101" s="29"/>
      <x:c r="J101" s="29"/>
      <x:c r="K101" s="26" t="str">
        <x:v>Unknown</x:v>
      </x:c>
      <x:c r="L101" s="26" t="str">
        <x:v>Unknown</x:v>
      </x:c>
      <x:c r="M101" s="26" t="str">
        <x:v>Unknown</x:v>
      </x:c>
      <x:c r="N101" s="26" t="str">
        <x:v>Unknown</x:v>
      </x:c>
      <x:c r="O101" s="26" t="str">
        <x:v>Unknown</x:v>
      </x:c>
      <x:c r="P101" s="26" t="str">
        <x:v>Unknown</x:v>
      </x:c>
      <x:c r="Q101" s="26" t="str">
        <x:v>Unknown</x:v>
      </x:c>
      <x:c r="R101" s="26"/>
      <x:c r="S101" s="26" t="str">
        <x:v>https://www.malaysia.travel/explore/putrajaya-wetlands-park
https://www.ppj.gov.my/en/second-menu/taman-wetland
https://www.ppj.gov.my/en/page/taman-wetland-putrajaya?slug=eko-pelancongan
https://www.ppj.gov.my/index.php/second-page/latar-belakang-taman-6
https://gerbang.ppj.gov.my/second-page/perkhidmatan-aktiviti-rekreasi-7
https://www.ppj.gov.my/second-page/fasiliti-2
https://www.ppj.gov.my/index.php/second-page/waktu-operasi-taman-5
https://www.ppj.gov.my/second-page/kadar-sewaan-perkhidmatan
https://taman.ppj.gov.my/</x:v>
      </x:c>
      <x:c r="T101" s="26" t="str">
        <x:v>Official/operator/tourism source</x:v>
      </x:c>
      <x:c r="U101" s="26" t="str">
        <x:v>High</x:v>
      </x:c>
      <x:c r="V101" s="26" t="str">
        <x:v>Included in Maya's elderly recommendation results: The park is described as wheelchair-friendly and a buggy service is listed.</x:v>
      </x:c>
      <x:c r="W101" s="32" t="str">
        <x:v>2026-08-16</x:v>
      </x:c>
    </x:row>
    <x:row r="102">
      <x:c r="A102" s="26" t="str">
        <x:v>MC0396</x:v>
      </x:c>
      <x:c r="B102" s="26" t="str">
        <x:v>Saujana Hijau Park</x:v>
      </x:c>
      <x:c r="C102" s="26" t="str">
        <x:v>W.P. Putrajaya</x:v>
      </x:c>
      <x:c r="D102" s="26" t="str">
        <x:v>Presint 11 / Putrajaya</x:v>
      </x:c>
      <x:c r="E102" s="26" t="str">
        <x:v>Nature</x:v>
      </x:c>
      <x:c r="F102" s="26" t="str">
        <x:v>Outdoor</x:v>
      </x:c>
      <x:c r="G102" s="26" t="str">
        <x:v>Urban park; landscaped garden; conifer garden; highland landscape; gymnosperms; pine trees; juniper; thuja; cycads; European Garden; Oriental Garden; English Garden; three hills; jogging; brisk walking; cycling; picnic; playground; viewpoints; photography; wedding photography; OOTD; botanical education; research; guided visit; family recreation; wheelchair-friendly; gazebos; lawns; nature; relaxation</x:v>
      </x:c>
      <x:c r="H102" s="26" t="str">
        <x:v>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v>
      </x:c>
      <x:c r="I102" s="29"/>
      <x:c r="J102" s="29"/>
      <x:c r="K102" s="26" t="str">
        <x:v>Unknown</x:v>
      </x:c>
      <x:c r="L102" s="26" t="str">
        <x:v>Unknown</x:v>
      </x:c>
      <x:c r="M102" s="26" t="str">
        <x:v>Unknown</x:v>
      </x:c>
      <x:c r="N102" s="26" t="str">
        <x:v>Unknown</x:v>
      </x:c>
      <x:c r="O102" s="26" t="str">
        <x:v>Unknown</x:v>
      </x:c>
      <x:c r="P102" s="26" t="str">
        <x:v>Unknown</x:v>
      </x:c>
      <x:c r="Q102" s="26" t="str">
        <x:v>Unknown</x:v>
      </x:c>
      <x:c r="R102" s="26"/>
      <x:c r="S102" s="26" t="str">
        <x:v>https://www.malaysia.travel/explore/saujana-hijau-park
https://www.ppj.gov.my/en/second-menu/taman-saujana-hijau
https://www.ppj.gov.my/en/second-page/latar-belakang-taman
https://www.ppj.gov.my/second-page/perkhidmatan-aktiviti-rekreasi-5
https://www.ppj.gov.my/second-page/fasiliti-5
https://www.ppj.gov.my/second-page/waktu-operasi-taman-3
https://taman.ppj.gov.my/
https://mygeoname.mygeoportal.gov.my/exportpdf00.jsp?kodnegeri=16</x:v>
      </x:c>
      <x:c r="T102" s="26" t="str">
        <x:v>Official/operator/tourism source</x:v>
      </x:c>
      <x:c r="U102" s="26" t="str">
        <x:v>High</x:v>
      </x:c>
      <x:c r="V102" s="26" t="str">
        <x:v>Included in Maya's elderly recommendation results: The park is described as wheelchair-friendly; shorter routes and assistance may still be needed on slopes.</x:v>
      </x:c>
      <x:c r="W102" s="32" t="str">
        <x:v>2026-08-16</x:v>
      </x:c>
    </x:row>
    <x:row r="103">
      <x:c r="A103" s="26" t="str">
        <x:v>MC0413</x:v>
      </x:c>
      <x:c r="B103" s="26" t="str">
        <x:v>Labuan War Cemetery</x:v>
      </x:c>
      <x:c r="C103" s="26" t="str">
        <x:v>W.P. Labuan</x:v>
      </x:c>
      <x:c r="D103" s="26" t="str">
        <x:v>Labuan / Victoria</x:v>
      </x:c>
      <x:c r="E103" s="26" t="str">
        <x:v>Heritage and History</x:v>
      </x:c>
      <x:c r="F103" s="26" t="str">
        <x:v>Outdoor</x:v>
      </x:c>
      <x:c r="G103" s="26" t="str">
        <x:v>World War II; war cemetery; memorial; Commonwealth War Graves Commission; North Borneo; Borneo Campaign; Sandakan Death Marches; prisoners of war; Commonwealth forces; Australian history; British history; Indian history; New Zealand history; military history; heritage; remembrance; education; reflection; cemetery; Labuan Memorial; Labuan Cremation Memorial; Remembrance Day; photography</x:v>
      </x:c>
      <x:c r="H103" s="26" t="str">
        <x:v>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v>
      </x:c>
      <x:c r="I103" s="29"/>
      <x:c r="J103" s="29"/>
      <x:c r="K103" s="26" t="str">
        <x:v>Unknown</x:v>
      </x:c>
      <x:c r="L103" s="26" t="str">
        <x:v>Unknown</x:v>
      </x:c>
      <x:c r="M103" s="26" t="str">
        <x:v>Unknown</x:v>
      </x:c>
      <x:c r="N103" s="26" t="str">
        <x:v>Unknown</x:v>
      </x:c>
      <x:c r="O103" s="26" t="str">
        <x:v>Unknown</x:v>
      </x:c>
      <x:c r="P103" s="26" t="str">
        <x:v>Unknown</x:v>
      </x:c>
      <x:c r="Q103" s="26" t="str">
        <x:v>Unknown</x:v>
      </x:c>
      <x:c r="R103" s="26"/>
      <x:c r="S103" s="26" t="str">
        <x:v>https://www.malaysia.travel/explore/the-labuan-war-cemetery-a-journey-through-north-borneo-s-history
https://www.cwgc.org/visit-us/find-cemeteries-memorials/cemetery-details/17000/labuan-war-cemetery/
https://ebrochures.malaysia.travel/en/malaysia-travel-guide/labuan/
https://www.malaysia.travel/events/remembrance-day
https://www.pl.gov.my/wp-content/uploads/2026/04/BUKU-LAPORAN-2023-PL_compressed.pdf</x:v>
      </x:c>
      <x:c r="T103" s="26" t="str">
        <x:v>Official/operator/tourism source</x:v>
      </x:c>
      <x:c r="U103" s="26" t="str">
        <x:v>High</x:v>
      </x:c>
      <x:c r="V103" s="26" t="str">
        <x:v>Included in Maya's elderly recommendation results: Wheelchair access is documented through the main or side entrance gates.</x:v>
      </x:c>
      <x:c r="W103" s="32" t="str">
        <x:v>2026-08-16</x:v>
      </x:c>
    </x:row>
    <x:row r="104">
      <x:c r="A104" s="27" t="str">
        <x:v>MC0414</x:v>
      </x:c>
      <x:c r="B104" s="27" t="str">
        <x:v>Pantai Layang-Layangan</x:v>
      </x:c>
      <x:c r="C104" s="27" t="str">
        <x:v>W.P. Labuan</x:v>
      </x:c>
      <x:c r="D104" s="27" t="str">
        <x:v>Layang-Layangan / Labuan Island</x:v>
      </x:c>
      <x:c r="E104" s="27" t="str">
        <x:v>Beach and Island</x:v>
      </x:c>
      <x:c r="F104" s="27" t="str">
        <x:v>Outdoor</x:v>
      </x:c>
      <x:c r="G104" s="27" t="str">
        <x:v>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v>
      </x:c>
      <x:c r="H104" s="27" t="str">
        <x:v>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v>
      </x:c>
      <x:c r="I104" s="30"/>
      <x:c r="J104" s="30"/>
      <x:c r="K104" s="27" t="str">
        <x:v>Unknown</x:v>
      </x:c>
      <x:c r="L104" s="27" t="str">
        <x:v>Unknown</x:v>
      </x:c>
      <x:c r="M104" s="27" t="str">
        <x:v>Unknown</x:v>
      </x:c>
      <x:c r="N104" s="27" t="str">
        <x:v>Unknown</x:v>
      </x:c>
      <x:c r="O104" s="27" t="str">
        <x:v>Unknown</x:v>
      </x:c>
      <x:c r="P104" s="27" t="str">
        <x:v>Unknown</x:v>
      </x:c>
      <x:c r="Q104" s="27" t="str">
        <x:v>Unknown</x:v>
      </x:c>
      <x:c r="R104" s="27"/>
      <x:c r="S104" s="27" t="str">
        <x:v>https://www.malaysia.travel/explore/pantai-layang-layangan
https://www.pl.gov.my/pantai-awam/?lang=en
https://mygeoname.mygeoportal.gov.my/exportpdf00.jsp?kodnegeri=15
https://www.pl.gov.my/wp-content/uploads/2026/04/BUKU-LAPORAN-2023-PL_compressed.pdf</x:v>
      </x:c>
      <x:c r="T104" s="27" t="str">
        <x:v>Official/operator/tourism source</x:v>
      </x:c>
      <x:c r="U104" s="27" t="str">
        <x:v>High</x:v>
      </x:c>
      <x:c r="V104" s="27" t="str">
        <x:v>Included in Maya's elderly recommendation results: Walkways and parking areas are recorded, while loose sand remains a mobility barrier.</x:v>
      </x:c>
      <x:c r="W104" s="33" t="str">
        <x:v>2026-08-16</x:v>
      </x:c>
    </x:row>
  </x:sheetData>
  <x:mergeCells>
    <x:mergeCell ref="A1:W1"/>
    <x:mergeCell ref="A2:W2"/>
  </x:mergeCells>
  <x:pageMargins left="0.7" right="0.7" top="0.75" bottom="0.75" header="0.3" footer="0.3"/>
  <x:tableParts count="1">
    <x:tablePart xmlns:r="http://schemas.openxmlformats.org/officeDocument/2006/relationships" r:id="R157ff4c5698f48d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25" hidden="0" customWidth="1"/>
  </x:cols>
  <x:sheetData>
    <x:row r="1">
      <x:c r="A1" s="2" t="str">
        <x:v>State and Territory Coverage</x:v>
      </x:c>
      <x:c r="B1" s="2"/>
      <x:c r="C1" s="2"/>
      <x:c r="D1" s="2"/>
    </x:row>
    <x:row r="2">
      <x:c r="A2" s="35" t="str">
        <x:v>Coverage is evidence-driven. A zero means no qualifying accessibility record has yet been added, not that the state has no accessible attractions.</x:v>
      </x:c>
      <x:c r="B2" s="35"/>
      <x:c r="C2" s="35"/>
      <x:c r="D2" s="35"/>
    </x:row>
    <x:row r="4">
      <x:c r="A4" s="36" t="str">
        <x:v>State / Territory</x:v>
      </x:c>
      <x:c r="B4" s="36" t="str">
        <x:v>Attractions</x:v>
      </x:c>
      <x:c r="C4" s="36" t="str">
        <x:v>Share of Dataset</x:v>
      </x:c>
      <x:c r="D4" s="36" t="str">
        <x:v>Coverage Status</x:v>
      </x:c>
    </x:row>
    <x:row r="5">
      <x:c r="A5" s="19" t="str">
        <x:v>Johor</x:v>
      </x:c>
      <x:c r="B5" s="19" t="n">
        <x:f>COUNTIF('Elderly Attractions'!$C$5:$C$104,A5)</x:f>
        <x:v>5</x:v>
      </x:c>
      <x:c r="C5" s="38" t="n">
        <x:f>B5/COUNTA('Elderly Attractions'!$A$5:$A$104)</x:f>
        <x:v>0.05</x:v>
      </x:c>
      <x:c r="D5" s="19" t="str">
        <x:f>IF(B5&gt;0,"Covered","Research needed")</x:f>
        <x:v>Covered</x:v>
      </x:c>
    </x:row>
    <x:row r="6">
      <x:c r="A6" s="20" t="str">
        <x:v>Kedah</x:v>
      </x:c>
      <x:c r="B6" s="20" t="n">
        <x:f>COUNTIF('Elderly Attractions'!$C$5:$C$104,A6)</x:f>
        <x:v>8</x:v>
      </x:c>
      <x:c r="C6" s="39" t="n">
        <x:f>B6/COUNTA('Elderly Attractions'!$A$5:$A$104)</x:f>
        <x:v>0.08</x:v>
      </x:c>
      <x:c r="D6" s="20" t="str">
        <x:f>IF(B6&gt;0,"Covered","Research needed")</x:f>
        <x:v>Covered</x:v>
      </x:c>
    </x:row>
    <x:row r="7">
      <x:c r="A7" s="20" t="str">
        <x:v>Kelantan</x:v>
      </x:c>
      <x:c r="B7" s="20" t="n">
        <x:f>COUNTIF('Elderly Attractions'!$C$5:$C$104,A7)</x:f>
        <x:v>0</x:v>
      </x:c>
      <x:c r="C7" s="39" t="n">
        <x:f>B7/COUNTA('Elderly Attractions'!$A$5:$A$104)</x:f>
        <x:v>0</x:v>
      </x:c>
      <x:c r="D7" s="20" t="str">
        <x:f>IF(B7&gt;0,"Covered","Research needed")</x:f>
        <x:v>Research needed</x:v>
      </x:c>
    </x:row>
    <x:row r="8">
      <x:c r="A8" s="20" t="str">
        <x:v>Melaka</x:v>
      </x:c>
      <x:c r="B8" s="20" t="n">
        <x:f>COUNTIF('Elderly Attractions'!$C$5:$C$104,A8)</x:f>
        <x:v>1</x:v>
      </x:c>
      <x:c r="C8" s="39" t="n">
        <x:f>B8/COUNTA('Elderly Attractions'!$A$5:$A$104)</x:f>
        <x:v>0.01</x:v>
      </x:c>
      <x:c r="D8" s="20" t="str">
        <x:f>IF(B8&gt;0,"Covered","Research needed")</x:f>
        <x:v>Covered</x:v>
      </x:c>
    </x:row>
    <x:row r="9">
      <x:c r="A9" s="20" t="str">
        <x:v>Negeri Sembilan</x:v>
      </x:c>
      <x:c r="B9" s="20" t="n">
        <x:f>COUNTIF('Elderly Attractions'!$C$5:$C$104,A9)</x:f>
        <x:v>0</x:v>
      </x:c>
      <x:c r="C9" s="39" t="n">
        <x:f>B9/COUNTA('Elderly Attractions'!$A$5:$A$104)</x:f>
        <x:v>0</x:v>
      </x:c>
      <x:c r="D9" s="20" t="str">
        <x:f>IF(B9&gt;0,"Covered","Research needed")</x:f>
        <x:v>Research needed</x:v>
      </x:c>
    </x:row>
    <x:row r="10">
      <x:c r="A10" s="20" t="str">
        <x:v>Pahang</x:v>
      </x:c>
      <x:c r="B10" s="20" t="n">
        <x:f>COUNTIF('Elderly Attractions'!$C$5:$C$104,A10)</x:f>
        <x:v>3</x:v>
      </x:c>
      <x:c r="C10" s="39" t="n">
        <x:f>B10/COUNTA('Elderly Attractions'!$A$5:$A$104)</x:f>
        <x:v>0.03</x:v>
      </x:c>
      <x:c r="D10" s="20" t="str">
        <x:f>IF(B10&gt;0,"Covered","Research needed")</x:f>
        <x:v>Covered</x:v>
      </x:c>
    </x:row>
    <x:row r="11">
      <x:c r="A11" s="20" t="str">
        <x:v>Penang</x:v>
      </x:c>
      <x:c r="B11" s="20" t="n">
        <x:f>COUNTIF('Elderly Attractions'!$C$5:$C$104,A11)</x:f>
        <x:v>29</x:v>
      </x:c>
      <x:c r="C11" s="39" t="n">
        <x:f>B11/COUNTA('Elderly Attractions'!$A$5:$A$104)</x:f>
        <x:v>0.29</x:v>
      </x:c>
      <x:c r="D11" s="20" t="str">
        <x:f>IF(B11&gt;0,"Covered","Research needed")</x:f>
        <x:v>Covered</x:v>
      </x:c>
    </x:row>
    <x:row r="12">
      <x:c r="A12" s="20" t="str">
        <x:v>Perak</x:v>
      </x:c>
      <x:c r="B12" s="20" t="n">
        <x:f>COUNTIF('Elderly Attractions'!$C$5:$C$104,A12)</x:f>
        <x:v>2</x:v>
      </x:c>
      <x:c r="C12" s="39" t="n">
        <x:f>B12/COUNTA('Elderly Attractions'!$A$5:$A$104)</x:f>
        <x:v>0.02</x:v>
      </x:c>
      <x:c r="D12" s="20" t="str">
        <x:f>IF(B12&gt;0,"Covered","Research needed")</x:f>
        <x:v>Covered</x:v>
      </x:c>
    </x:row>
    <x:row r="13">
      <x:c r="A13" s="20" t="str">
        <x:v>Perlis</x:v>
      </x:c>
      <x:c r="B13" s="20" t="n">
        <x:f>COUNTIF('Elderly Attractions'!$C$5:$C$104,A13)</x:f>
        <x:v>1</x:v>
      </x:c>
      <x:c r="C13" s="39" t="n">
        <x:f>B13/COUNTA('Elderly Attractions'!$A$5:$A$104)</x:f>
        <x:v>0.01</x:v>
      </x:c>
      <x:c r="D13" s="20" t="str">
        <x:f>IF(B13&gt;0,"Covered","Research needed")</x:f>
        <x:v>Covered</x:v>
      </x:c>
    </x:row>
    <x:row r="14">
      <x:c r="A14" s="20" t="str">
        <x:v>Sabah</x:v>
      </x:c>
      <x:c r="B14" s="20" t="n">
        <x:f>COUNTIF('Elderly Attractions'!$C$5:$C$104,A14)</x:f>
        <x:v>4</x:v>
      </x:c>
      <x:c r="C14" s="39" t="n">
        <x:f>B14/COUNTA('Elderly Attractions'!$A$5:$A$104)</x:f>
        <x:v>0.04</x:v>
      </x:c>
      <x:c r="D14" s="20" t="str">
        <x:f>IF(B14&gt;0,"Covered","Research needed")</x:f>
        <x:v>Covered</x:v>
      </x:c>
    </x:row>
    <x:row r="15">
      <x:c r="A15" s="20" t="str">
        <x:v>Sarawak</x:v>
      </x:c>
      <x:c r="B15" s="20" t="n">
        <x:f>COUNTIF('Elderly Attractions'!$C$5:$C$104,A15)</x:f>
        <x:v>5</x:v>
      </x:c>
      <x:c r="C15" s="39" t="n">
        <x:f>B15/COUNTA('Elderly Attractions'!$A$5:$A$104)</x:f>
        <x:v>0.05</x:v>
      </x:c>
      <x:c r="D15" s="20" t="str">
        <x:f>IF(B15&gt;0,"Covered","Research needed")</x:f>
        <x:v>Covered</x:v>
      </x:c>
    </x:row>
    <x:row r="16">
      <x:c r="A16" s="20" t="str">
        <x:v>Selangor</x:v>
      </x:c>
      <x:c r="B16" s="20" t="n">
        <x:f>COUNTIF('Elderly Attractions'!$C$5:$C$104,A16)</x:f>
        <x:v>15</x:v>
      </x:c>
      <x:c r="C16" s="39" t="n">
        <x:f>B16/COUNTA('Elderly Attractions'!$A$5:$A$104)</x:f>
        <x:v>0.15</x:v>
      </x:c>
      <x:c r="D16" s="20" t="str">
        <x:f>IF(B16&gt;0,"Covered","Research needed")</x:f>
        <x:v>Covered</x:v>
      </x:c>
    </x:row>
    <x:row r="17">
      <x:c r="A17" s="20" t="str">
        <x:v>Terengganu</x:v>
      </x:c>
      <x:c r="B17" s="20" t="n">
        <x:f>COUNTIF('Elderly Attractions'!$C$5:$C$104,A17)</x:f>
        <x:v>3</x:v>
      </x:c>
      <x:c r="C17" s="39" t="n">
        <x:f>B17/COUNTA('Elderly Attractions'!$A$5:$A$104)</x:f>
        <x:v>0.03</x:v>
      </x:c>
      <x:c r="D17" s="20" t="str">
        <x:f>IF(B17&gt;0,"Covered","Research needed")</x:f>
        <x:v>Covered</x:v>
      </x:c>
    </x:row>
    <x:row r="18">
      <x:c r="A18" s="20" t="str">
        <x:v>W.P. Kuala Lumpur</x:v>
      </x:c>
      <x:c r="B18" s="20" t="n">
        <x:f>COUNTIF('Elderly Attractions'!$C$5:$C$104,A18)</x:f>
        <x:v>20</x:v>
      </x:c>
      <x:c r="C18" s="39" t="n">
        <x:f>B18/COUNTA('Elderly Attractions'!$A$5:$A$104)</x:f>
        <x:v>0.2</x:v>
      </x:c>
      <x:c r="D18" s="20" t="str">
        <x:f>IF(B18&gt;0,"Covered","Research needed")</x:f>
        <x:v>Covered</x:v>
      </x:c>
    </x:row>
    <x:row r="19">
      <x:c r="A19" s="20" t="str">
        <x:v>W.P. Putrajaya</x:v>
      </x:c>
      <x:c r="B19" s="20" t="n">
        <x:f>COUNTIF('Elderly Attractions'!$C$5:$C$104,A19)</x:f>
        <x:v>2</x:v>
      </x:c>
      <x:c r="C19" s="39" t="n">
        <x:f>B19/COUNTA('Elderly Attractions'!$A$5:$A$104)</x:f>
        <x:v>0.02</x:v>
      </x:c>
      <x:c r="D19" s="20" t="str">
        <x:f>IF(B19&gt;0,"Covered","Research needed")</x:f>
        <x:v>Covered</x:v>
      </x:c>
    </x:row>
    <x:row r="20">
      <x:c r="A20" s="21" t="str">
        <x:v>W.P. Labuan</x:v>
      </x:c>
      <x:c r="B20" s="21" t="n">
        <x:f>COUNTIF('Elderly Attractions'!$C$5:$C$104,A20)</x:f>
        <x:v>2</x:v>
      </x:c>
      <x:c r="C20" s="40" t="n">
        <x:f>B20/COUNTA('Elderly Attractions'!$A$5:$A$104)</x:f>
        <x:v>0.02</x:v>
      </x:c>
      <x:c r="D20" s="21" t="str">
        <x:f>IF(B20&gt;0,"Covered","Research needed")</x:f>
        <x:v>Covered</x:v>
      </x:c>
    </x:row>
    <x:row r="21">
      <x:c r="C21" s="41"/>
    </x:row>
    <x:row r="22">
      <x:c r="A22" s="37" t="str">
        <x:v>TOTAL</x:v>
      </x:c>
      <x:c r="B22" s="37" t="n">
        <x:f>SUM(B5:B20)</x:f>
        <x:v>100</x:v>
      </x:c>
      <x:c r="C22" s="42" t="n">
        <x:f>COUNTIF(D5:D20,"Covered")/16</x:f>
        <x:v>0.875</x:v>
      </x:c>
      <x:c r="D22" s="37" t="str">
        <x:v>States / territories covered</x:v>
      </x:c>
    </x:row>
  </x:sheetData>
  <x:mergeCells>
    <x:mergeCell ref="A1:D1"/>
    <x:mergeCell ref="A2:D2"/>
  </x:mergeCells>
  <x:conditionalFormatting sqref="D5:D20">
    <x:cfRule type="containsText" dxfId="0" priority="1" operator="containsText" text="Covered"/>
    <x:cfRule type="containsText" dxfId="1" priority="2" operator="containsText" text="Research needed"/>
  </x:conditionalFormatting>
  <x:pageMargins left="0.7" right="0.7" top="0.75" bottom="0.75" header="0.3" footer="0.3"/>
  <x:tableParts count="1">
    <x:tablePart xmlns:r="http://schemas.openxmlformats.org/officeDocument/2006/relationships" r:id="Reafd8aff9c6b47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55" hidden="0" customWidth="1"/>
  </x:cols>
  <x:sheetData>
    <x:row r="1">
      <x:c r="A1" s="2" t="str">
        <x:v>Accessibility Evidence Profile</x:v>
      </x:c>
      <x:c r="B1" s="2"/>
      <x:c r="C1" s="2"/>
      <x:c r="D1" s="2"/>
    </x:row>
    <x:row r="3">
      <x:c r="A3" s="9" t="str">
        <x:v>Evidence Type</x:v>
      </x:c>
      <x:c r="B3" s="9" t="str">
        <x:v>Confidence</x:v>
      </x:c>
      <x:c r="C3" s="9" t="str">
        <x:v>Attractions</x:v>
      </x:c>
      <x:c r="D3" s="9" t="str">
        <x:v>Use in Maya</x:v>
      </x:c>
    </x:row>
    <x:row r="4">
      <x:c r="A4" s="43" t="str">
        <x:v>Official/operator/tourism source</x:v>
      </x:c>
      <x:c r="B4" s="43" t="str">
        <x:v>High</x:v>
      </x:c>
      <x:c r="C4" s="43" t="n">
        <x:f>COUNTIF('Elderly Attractions'!$T$5:$T$104,A4)</x:f>
        <x:v>17</x:v>
      </x:c>
      <x:c r="D4" s="43" t="str">
        <x:v>Preferred evidence; retains the documented facilities and barriers.</x:v>
      </x:c>
    </x:row>
    <x:row r="5">
      <x:c r="A5" s="43" t="str">
        <x:v>OpenStreetMap community-mapped accessibility</x:v>
      </x:c>
      <x:c r="B5" s="43" t="str">
        <x:v>Medium</x:v>
      </x:c>
      <x:c r="C5" s="43" t="n">
        <x:f>COUNTIF('Elderly Attractions'!$T$5:$T$104,A5)</x:f>
        <x:v>83</x:v>
      </x:c>
      <x:c r="D5" s="43" t="str">
        <x:v>Usable accessibility signal; clearly labelled as community-mapped.</x:v>
      </x:c>
    </x:row>
    <x:row r="6">
      <x:c r="A6" s="43"/>
      <x:c r="B6" s="43"/>
      <x:c r="C6" s="43"/>
      <x:c r="D6" s="43"/>
    </x:row>
    <x:row r="7">
      <x:c r="A7" s="36" t="str">
        <x:v>Wheelchair Mapping</x:v>
      </x:c>
      <x:c r="B7" s="36" t="str">
        <x:v>Attractions</x:v>
      </x:c>
      <x:c r="C7" s="36" t="str">
        <x:v>Meaning</x:v>
      </x:c>
      <x:c r="D7" s="36" t="str">
        <x:v>Limitation</x:v>
      </x:c>
    </x:row>
    <x:row r="8">
      <x:c r="A8" s="43" t="str">
        <x:v>Yes</x:v>
      </x:c>
      <x:c r="B8" s="43" t="n">
        <x:f>COUNTIF('Elderly Attractions'!$L$5:$L$104,A8)</x:f>
        <x:v>70</x:v>
      </x:c>
      <x:c r="C8" s="43" t="str">
        <x:v>Main visitor access is mapped as wheelchair accessible.</x:v>
      </x:c>
      <x:c r="D8" s="43" t="str">
        <x:v>Specific facilities may not be separately documented.</x:v>
      </x:c>
    </x:row>
    <x:row r="9">
      <x:c r="A9" s="43" t="str">
        <x:v>Partial</x:v>
      </x:c>
      <x:c r="B9" s="43" t="n">
        <x:f>COUNTIF('Elderly Attractions'!$L$5:$L$104,A9)</x:f>
        <x:v>17</x:v>
      </x:c>
      <x:c r="C9" s="43" t="str">
        <x:v>The place is mapped with limited wheelchair access.</x:v>
      </x:c>
      <x:c r="D9" s="43" t="str">
        <x:v>Accessible and restricted sections are not always identified.</x:v>
      </x:c>
    </x:row>
    <x:row r="10">
      <x:c r="A10" s="43" t="str">
        <x:v>Other documented feature</x:v>
      </x:c>
      <x:c r="B10" s="43" t="n">
        <x:f>'Methodology'!$B$14-B8-B9</x:f>
        <x:v>13</x:v>
      </x:c>
      <x:c r="C10" s="43" t="str">
        <x:v>Official sources document another qualifying support such as seating, shelter, transport or an accessible route.</x:v>
      </x:c>
      <x:c r="D10" s="43" t="str">
        <x:v>A wheelchair value may remain unknown.</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68" hidden="0" customWidth="1"/>
  </x:cols>
  <x:sheetData>
    <x:row r="1">
      <x:c r="A1" s="2" t="str">
        <x:v>Dataset Inclusion Methodology</x:v>
      </x:c>
      <x:c r="B1" s="2"/>
      <x:c r="C1" s="2"/>
    </x:row>
    <x:row r="3">
      <x:c r="A3" s="9" t="str">
        <x:v>Rule</x:v>
      </x:c>
      <x:c r="B3" s="9" t="str">
        <x:v>Decision</x:v>
      </x:c>
      <x:c r="C3" s="9" t="str">
        <x:v>Explanation</x:v>
      </x:c>
    </x:row>
    <x:row r="4" ht="26.399999618530273" hidden="0" customHeight="1">
      <x:c r="A4" s="25" t="str">
        <x:v>Explicit accessibility evidence</x:v>
      </x:c>
      <x:c r="B4" s="25" t="str">
        <x:v>Mandatory</x:v>
      </x:c>
      <x:c r="C4" s="25" t="str">
        <x:v>A place must have a source-backed accessibility feature or an explicit wheelchair=yes/limited record.</x:v>
      </x:c>
    </x:row>
    <x:row r="5" ht="26.399999618530273" hidden="0" customHeight="1">
      <x:c r="A5" s="26" t="str">
        <x:v>Official/operator evidence</x:v>
      </x:c>
      <x:c r="B5" s="26" t="str">
        <x:v>High confidence</x:v>
      </x:c>
      <x:c r="C5" s="26" t="str">
        <x:v>Government, attraction operator, park, museum or established tourism pages provide the preferred evidence.</x:v>
      </x:c>
    </x:row>
    <x:row r="6" ht="26.399999618530273" hidden="0" customHeight="1">
      <x:c r="A6" s="26" t="str">
        <x:v>OpenStreetMap evidence</x:v>
      </x:c>
      <x:c r="B6" s="26" t="str">
        <x:v>Medium confidence</x:v>
      </x:c>
      <x:c r="C6" s="26" t="str">
        <x:v>Community-mapped wheelchair tags expand coverage but are labelled separately from official evidence.</x:v>
      </x:c>
    </x:row>
    <x:row r="7" ht="15" hidden="0" customHeight="1">
      <x:c r="A7" s="26" t="str">
        <x:v>wheelchair=yes</x:v>
      </x:c>
      <x:c r="B7" s="26" t="str">
        <x:v>Include</x:v>
      </x:c>
      <x:c r="C7" s="26" t="str">
        <x:v>The main visitor access is community-mapped as wheelchair accessible.</x:v>
      </x:c>
    </x:row>
    <x:row r="8" ht="15" hidden="0" customHeight="1">
      <x:c r="A8" s="26" t="str">
        <x:v>wheelchair=limited</x:v>
      </x:c>
      <x:c r="B8" s="26" t="str">
        <x:v>Include with limitation</x:v>
      </x:c>
      <x:c r="C8" s="26" t="str">
        <x:v>Some access exists, but Maya must retain the limited-access warning.</x:v>
      </x:c>
    </x:row>
    <x:row r="9" ht="15" hidden="0" customHeight="1">
      <x:c r="A9" s="26" t="str">
        <x:v>No recorded evidence</x:v>
      </x:c>
      <x:c r="B9" s="26" t="str">
        <x:v>Exclude</x:v>
      </x:c>
      <x:c r="C9" s="26" t="str">
        <x:v>The place remains in the master research workbook and is not added to this dataset.</x:v>
      </x:c>
    </x:row>
    <x:row r="10" ht="26.399999618530273" hidden="0" customHeight="1">
      <x:c r="A10" s="26" t="str">
        <x:v>Barriers remain visible</x:v>
      </x:c>
      <x:c r="B10" s="26" t="str">
        <x:v>Mandatory</x:v>
      </x:c>
      <x:c r="C10" s="26" t="str">
        <x:v>Known steps, slopes, rough ground, sand, long walks and transfer barriers remain in the notes.</x:v>
      </x:c>
    </x:row>
    <x:row r="11" ht="15" hidden="0" customHeight="1">
      <x:c r="A11" s="27" t="str">
        <x:v>No safety guarantee</x:v>
      </x:c>
      <x:c r="B11" s="27" t="str">
        <x:v>Mandatory</x:v>
      </x:c>
      <x:c r="C11" s="27" t="str">
        <x:v>Accessibility evidence does not guarantee suitability for every elderly traveller.</x:v>
      </x:c>
    </x:row>
    <x:row r="13">
      <x:c r="A13" s="9" t="str">
        <x:v>Current Baseline</x:v>
      </x:c>
      <x:c r="B13" s="9" t="str">
        <x:v>Value</x:v>
      </x:c>
      <x:c r="C13" s="9" t="str">
        <x:v>Interpretation</x:v>
      </x:c>
    </x:row>
    <x:row r="14" ht="15" hidden="0" customHeight="1">
      <x:c r="A14" s="25" t="str">
        <x:v>Total attractions</x:v>
      </x:c>
      <x:c r="B14" s="25" t="n">
        <x:v>100</x:v>
      </x:c>
      <x:c r="C14" s="25" t="str">
        <x:v>Evidence-backed attractions in the expanded workbook.</x:v>
      </x:c>
    </x:row>
    <x:row r="15" ht="15" hidden="0" customHeight="1">
      <x:c r="A15" s="26" t="str">
        <x:v>Official/operator entries</x:v>
      </x:c>
      <x:c r="B15" s="26" t="n">
        <x:v>17</x:v>
      </x:c>
      <x:c r="C15" s="26" t="str">
        <x:v>Higher-confidence records retained from the first research pass.</x:v>
      </x:c>
    </x:row>
    <x:row r="16" ht="15" hidden="0" customHeight="1">
      <x:c r="A16" s="26" t="str">
        <x:v>Community-mapped entries</x:v>
      </x:c>
      <x:c r="B16" s="26" t="n">
        <x:v>83</x:v>
      </x:c>
      <x:c r="C16" s="26" t="str">
        <x:v>Additional Malaysian tourism places with explicit wheelchair tags.</x:v>
      </x:c>
    </x:row>
    <x:row r="17" ht="15" hidden="0" customHeight="1">
      <x:c r="A17" s="26" t="str">
        <x:v>States / territories represented</x:v>
      </x:c>
      <x:c r="B17" s="26" t="n">
        <x:f>COUNTIF('Coverage Summary'!$D$5:$D$20,"Covered")</x:f>
        <x:v>14</x:v>
      </x:c>
      <x:c r="C17" s="26" t="str">
        <x:v>Calculated from the coverage summary.</x:v>
      </x:c>
    </x:row>
    <x:row r="18" ht="15" hidden="0" customHeight="1">
      <x:c r="A18" s="27" t="str">
        <x:v>Remaining coverage gaps</x:v>
      </x:c>
      <x:c r="B18" s="27" t="n">
        <x:f>COUNTIF('Coverage Summary'!$D$5:$D$20,"Research needed")</x:f>
        <x:v>2</x:v>
      </x:c>
      <x:c r="C18" s="27" t="str">
        <x:v>States or territories still requiring qualifying evidence.</x:v>
      </x:c>
    </x:row>
  </x:sheetData>
  <x:mergeCells>
    <x:mergeCell ref="A1:C1"/>
  </x:mergeCells>
  <x:pageMargins left="0.7" right="0.7" top="0.75" bottom="0.75" header="0.3" footer="0.3"/>
</x:worksheet>
</file>