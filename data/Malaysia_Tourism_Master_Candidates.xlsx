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958ce221ac0437b" /></Relationships>
</file>

<file path=xl/workbook.xml><?xml version="1.0" encoding="utf-8"?>
<x:workbook xmlns:x="http://schemas.openxmlformats.org/spreadsheetml/2006/main">
  <x:sheets>
    <x:sheet xmlns:r="http://schemas.openxmlformats.org/officeDocument/2006/relationships" name="Catalogue" sheetId="1" r:id="R29083f6c43a74d3d"/>
    <x:sheet xmlns:r="http://schemas.openxmlformats.org/officeDocument/2006/relationships" name="State Progress" sheetId="2" r:id="R57684c9e0b1e4133"/>
    <x:sheet xmlns:r="http://schemas.openxmlformats.org/officeDocument/2006/relationships" name="Source Index" sheetId="3" r:id="R19493689146f4630"/>
    <x:sheet xmlns:r="http://schemas.openxmlformats.org/officeDocument/2006/relationships" name="Review Guide" sheetId="4" r:id="R92cf15664c6e45e9"/>
    <x:sheet xmlns:r="http://schemas.openxmlformats.org/officeDocument/2006/relationships" name="Elderly Screening" sheetId="5" r:id="R3698ab0f9ef1447b"/>
  </x:sheets>
</x:workbook>
</file>

<file path=xl/sharedStrings.xml><?xml version="1.0" encoding="utf-8"?>
<x:sst xmlns:x="http://schemas.openxmlformats.org/spreadsheetml/2006/main">
  <x:si>
    <x:t xml:space="preserve">JomVoyage Malaysia Tourism Master Candidates</x:t>
  </x:si>
  <x:si>
    <x:t xml:space="preserve">Candidate catalogue only — every entry remains Pending Review until a reviewer confirms the place and supporting sources. Johor is listed first, followed state by state.</x:t>
  </x:si>
  <x:si>
    <x:t xml:space="preserve">Candidate ID</x:t>
  </x:si>
  <x:si>
    <x:t xml:space="preserve">Attraction Name</x:t>
  </x:si>
  <x:si>
    <x:t xml:space="preserve">State / Territory</x:t>
  </x:si>
  <x:si>
    <x:t xml:space="preserve">City / District</x:t>
  </x:si>
  <x:si>
    <x:t xml:space="preserve">Primary Category</x:t>
  </x:si>
  <x:si>
    <x:t xml:space="preserve">Coverage Lens</x:t>
  </x:si>
  <x:si>
    <x:t xml:space="preserve">Setting</x:t>
  </x:si>
  <x:si>
    <x:t xml:space="preserve">Interests / Tags</x:t>
  </x:si>
  <x:si>
    <x:t xml:space="preserve">Candidate Description</x:t>
  </x:si>
  <x:si>
    <x:t xml:space="preserve">Discovery / Source Link(s)</x:t>
  </x:si>
  <x:si>
    <x:t xml:space="preserve">State Tourism Guide URL</x:t>
  </x:si>
  <x:si>
    <x:t xml:space="preserve">Source Basis</x:t>
  </x:si>
  <x:si>
    <x:t xml:space="preserve">Origin Batch</x:t>
  </x:si>
  <x:si>
    <x:t xml:space="preserve">Existing Record ID</x:t>
  </x:si>
  <x:si>
    <x:t xml:space="preserve">Date Added</x:t>
  </x:si>
  <x:si>
    <x:t xml:space="preserve">Review Status</x:t>
  </x:si>
  <x:si>
    <x:t xml:space="preserve">Reviewer Notes</x:t>
  </x:si>
  <x:si>
    <x:t xml:space="preserve">Source Status</x:t>
  </x:si>
  <x:si>
    <x:t xml:space="preserve">MC0001</x:t>
  </x:si>
  <x:si>
    <x:t xml:space="preserve">Hutan Bandar MBJB</x:t>
  </x:si>
  <x:si>
    <x:t xml:space="preserve">Johor</x:t>
  </x:si>
  <x:si>
    <x:t xml:space="preserve">Johor Bahru</x:t>
  </x:si>
  <x:si>
    <x:t xml:space="preserve">Park and Recreation</x:t>
  </x:si>
  <x:si>
    <x:t xml:space="preserve">Unclassified</x:t>
  </x:si>
  <x:si>
    <x:t xml:space="preserve">Outdoor</x:t>
  </x:si>
  <x:si>
    <x:t xml:space="preserve">Nature; walking; hiking; birdwatching; relaxation; family recreation; swimming; playground; zipline; rope challenge; environmental awareness</x:t>
  </x:si>
  <x:si>
    <x:t xml:space="preserve">A 35-acre MBJB-managed urban green space about 2 km from central Johor Bahru. It offers natural vegetation, walking trails, playground and water-recreation facilities, camping facilities, hiking and birdwatching opportunities, plus newer flying-fox and rope-course attractions.</x:t>
  </x:si>
  <x:si>
    <x:t xml:space="preserve">https://www.mbjb.gov.my/index.php/ms/hutanbandarlamanhijau ; https://visitjohor2026.my/ms/listing/hutan-bandar-mbjb/ ; https://www.mbjb.gov.my/ms/destinasi-menarik/kolam-rekreasi-air-hutan-bandar</x:t>
  </x:si>
  <x:si>
    <x:t xml:space="preserve">https://ebrochures.malaysia.travel/en/malaysia-travel-guide/johor/</x:t>
  </x:si>
  <x:si>
    <x:t xml:space="preserve">Previously researched sources; reconfirm before approval</x:t>
  </x:si>
  <x:si>
    <x:t xml:space="preserve">Johor researched batch</x:t>
  </x:si>
  <x:si>
    <x:t xml:space="preserve">A001</x:t>
  </x:si>
  <x:si>
    <x:t xml:space="preserve">Complete</x:t>
  </x:si>
  <x:si>
    <x:t xml:space="preserve">MC0002</x:t>
  </x:si>
  <x:si>
    <x:t xml:space="preserve">Zoo Johor</x:t>
  </x:si>
  <x:si>
    <x:t xml:space="preserve">Wildlife</x:t>
  </x:si>
  <x:si>
    <x:t xml:space="preserve">Wildlife; animals; family recreation; children; education; photography; zoo</x:t>
  </x:si>
  <x:si>
    <x:t xml:space="preserve">One of Malaysia's oldest zoos, located in central Johor Bahru and home to more than 275 animals, including tigers, elephants and camels. It offers wildlife viewing, family recreation, educational opportunities and photography.</x:t>
  </x:si>
  <x:si>
    <x:t xml:space="preserve">https://zoo.johor.gov.my/ ; https://visitjohor2026.my/listing/zoo-johor/ ; user-provided Zoo Johor ticket poster</x:t>
  </x:si>
  <x:si>
    <x:t xml:space="preserve">A002</x:t>
  </x:si>
  <x:si>
    <x:t xml:space="preserve">MC0003</x:t>
  </x:si>
  <x:si>
    <x:t xml:space="preserve">Endau-Rompin National Park</x:t>
  </x:si>
  <x:si>
    <x:t xml:space="preserve">Mersing / Segamat</x:t>
  </x:si>
  <x:si>
    <x:t xml:space="preserve">Nature</x:t>
  </x:si>
  <x:si>
    <x:t xml:space="preserve">Both</x:t>
  </x:si>
  <x:si>
    <x:t xml:space="preserve">Ancient rainforest; national park; biodiversity; waterfalls; rivers; hiking; jungle trekking; swimming; tubing; camping; wildlife watching; birdwatching; night walks; Orang Asli culture; nature education; photography</x:t>
  </x:si>
  <x:si>
    <x:t xml:space="preserve">Johor's largest protected area is an ancient rainforest national park with official entrances at Peta in Mersing and Selai in Segamat. Its rivers, waterfalls and forest trails support hiking, swimming, tubing, camping, wildlife and birdwatching experiences, alongside Jakun cultural and nature-education activities.</x:t>
  </x:si>
  <x:si>
    <x:t xml:space="preserve">https://www.malaysia.travel/explore/endau-rompin-national-park ; https://johornationalparks.gov.my/endau-rompin-peta/ ; https://johornationalparks.gov.my/endau-rompin-peta-activities/ ; https://johornationalparks.gov.my/endau-rompin-selai-activities/ ; https://www.malaysia.travel/explore/thrilling-outdoor-adventures-in-johor-bahru ; https://rompinpark.my/</x:t>
  </x:si>
  <x:si>
    <x:t xml:space="preserve">A010</x:t>
  </x:si>
  <x:si>
    <x:t xml:space="preserve">MC0004</x:t>
  </x:si>
  <x:si>
    <x:t xml:space="preserve">LEGOLAND Malaysia Resort</x:t>
  </x:si>
  <x:si>
    <x:t xml:space="preserve">Iskandar Puteri</x:t>
  </x:si>
  <x:si>
    <x:t xml:space="preserve">Family Attraction</x:t>
  </x:si>
  <x:si>
    <x:t xml:space="preserve">theme park; family; children; rides; indoor; outdoor</x:t>
  </x:si>
  <x:si>
    <x:t xml:space="preserve">Southeast Asia's first LEGOLAND theme park, opened in 2012 in Iskandar Puteri, with LEGO-themed rides, a Miniland of LEGO-brick landmark replicas, an adjoining water park and the Legoland Hotel.</x:t>
  </x:si>
  <x:si>
    <x:t xml:space="preserve">https://www.google.com/maps/search/?api=1&amp;query=LEGOLAND%20Malaysia%20Resort%2C%20Johor%2C%20Malaysia</x:t>
  </x:si>
  <x:si>
    <x:t xml:space="preserve">Previous workbook candidate/source lead</x:t>
  </x:si>
  <x:si>
    <x:t xml:space="preserve">Johor seed candidates</x:t>
  </x:si>
  <x:si>
    <x:t xml:space="preserve">A033</x:t>
  </x:si>
  <x:si>
    <x:t xml:space="preserve">MC0005</x:t>
  </x:si>
  <x:si>
    <x:t xml:space="preserve">Adventure Waterpark Desaru Coast</x:t>
  </x:si>
  <x:si>
    <x:t xml:space="preserve">Bandar Penawar</x:t>
  </x:si>
  <x:si>
    <x:t xml:space="preserve">Theme Park</x:t>
  </x:si>
  <x:si>
    <x:t xml:space="preserve">water park; family; children; adventure; recreation</x:t>
  </x:si>
  <x:si>
    <x:t xml:space="preserve">A large waterpark within the Desaru Coast resort development on Johor's east coast, featuring wave pools, slides and river rides aimed at families.</x:t>
  </x:si>
  <x:si>
    <x:t xml:space="preserve">https://www.google.com/maps/search/?api=1&amp;query=Adventure%20Waterpark%20Desaru%20Coast%2C%20Johor%2C%20Malaysia</x:t>
  </x:si>
  <x:si>
    <x:t xml:space="preserve">A034</x:t>
  </x:si>
  <x:si>
    <x:t xml:space="preserve">MC0006</x:t>
  </x:si>
  <x:si>
    <x:t xml:space="preserve">Desaru Beach</x:t>
  </x:si>
  <x:si>
    <x:t xml:space="preserve">Kota Tinggi</x:t>
  </x:si>
  <x:si>
    <x:t xml:space="preserve">Beach and Island</x:t>
  </x:si>
  <x:si>
    <x:t xml:space="preserve">beach; relaxation; scenery; family; seaside</x:t>
  </x:si>
  <x:si>
    <x:t xml:space="preserve">A long stretch of sandy coastline on Johor's east coast known for surfing, water sports and beachfront resorts.</x:t>
  </x:si>
  <x:si>
    <x:t xml:space="preserve">https://www.google.com/maps/search/?api=1&amp;query=Desaru%20Beach%2C%20Johor%2C%20Malaysia</x:t>
  </x:si>
  <x:si>
    <x:t xml:space="preserve">A035</x:t>
  </x:si>
  <x:si>
    <x:t xml:space="preserve">MC0007</x:t>
  </x:si>
  <x:si>
    <x:t xml:space="preserve">Tanjung Piai National Park</x:t>
  </x:si>
  <x:si>
    <x:t xml:space="preserve">Pontian</x:t>
  </x:si>
  <x:si>
    <x:t xml:space="preserve">nature; mangrove; boardwalk; birdwatching; scenery; relaxation</x:t>
  </x:si>
  <x:si>
    <x:t xml:space="preserve">Mainland Asia's southernmost point, a coastal mangrove forest reserve near Pontian with boardwalks for viewing mudflat wildlife and the Tanjung Piai lighthouse.</x:t>
  </x:si>
  <x:si>
    <x:t xml:space="preserve">https://www.google.com/maps/search/?api=1&amp;query=Tanjung%20Piai%20National%20Park%2C%20Johor%2C%20Malaysia</x:t>
  </x:si>
  <x:si>
    <x:t xml:space="preserve">A036</x:t>
  </x:si>
  <x:si>
    <x:t xml:space="preserve">MC0008</x:t>
  </x:si>
  <x:si>
    <x:t xml:space="preserve">Gunung Pulai Recreational Forest</x:t>
  </x:si>
  <x:si>
    <x:t xml:space="preserve">Kulai</x:t>
  </x:si>
  <x:si>
    <x:t xml:space="preserve">nature; forest; hiking; waterfall; adventure</x:t>
  </x:si>
  <x:si>
    <x:t xml:space="preserve">A forested hill recreation area near Kulai popular for hiking, waterfalls and camping around a reservoir.</x:t>
  </x:si>
  <x:si>
    <x:t xml:space="preserve">https://www.google.com/maps/search/?api=1&amp;query=Gunung%20Pulai%20Recreational%20Forest%2C%20Johor%2C%20Malaysia</x:t>
  </x:si>
  <x:si>
    <x:t xml:space="preserve">A037</x:t>
  </x:si>
  <x:si>
    <x:t xml:space="preserve">MC0009</x:t>
  </x:si>
  <x:si>
    <x:t xml:space="preserve">Kota Tinggi Firefly Park</x:t>
  </x:si>
  <x:si>
    <x:t xml:space="preserve">wildlife; fireflies; river cruise; nature; family</x:t>
  </x:si>
  <x:si>
    <x:t xml:space="preserve">A riverside park along the Sungai Lebam near Kota Tinggi known for nighttime firefly-watching boat rides.</x:t>
  </x:si>
  <x:si>
    <x:t xml:space="preserve">https://www.google.com/maps/search/?api=1&amp;query=Kota%20Tinggi%20Firefly%20Park%2C%20Johor%2C%20Malaysia</x:t>
  </x:si>
  <x:si>
    <x:t xml:space="preserve">A038</x:t>
  </x:si>
  <x:si>
    <x:t xml:space="preserve">MC0010</x:t>
  </x:si>
  <x:si>
    <x:t xml:space="preserve">Johor Bahru Old Chinese Temple</x:t>
  </x:si>
  <x:si>
    <x:t xml:space="preserve">Culture</x:t>
  </x:si>
  <x:si>
    <x:t xml:space="preserve">culture; temple; heritage; history; architecture</x:t>
  </x:si>
  <x:si>
    <x:t xml:space="preserve">A 19th-century multi-deity Chinese temple in downtown Johor Bahru, notable for hosting the city's annual Chingay procession.</x:t>
  </x:si>
  <x:si>
    <x:t xml:space="preserve">https://www.google.com/maps/search/?api=1&amp;query=Johor%20Bahru%20Old%20Chinese%20Temple%2C%20Johor%2C%20Malaysia</x:t>
  </x:si>
  <x:si>
    <x:t xml:space="preserve">A039</x:t>
  </x:si>
  <x:si>
    <x:t xml:space="preserve">MC0011</x:t>
  </x:si>
  <x:si>
    <x:t xml:space="preserve">Sultan Abu Bakar State Mosque</x:t>
  </x:si>
  <x:si>
    <x:t xml:space="preserve">Religious Site</x:t>
  </x:si>
  <x:si>
    <x:t xml:space="preserve">Popular</x:t>
  </x:si>
  <x:si>
    <x:t xml:space="preserve">mosque; architecture; heritage</x:t>
  </x:si>
  <x:si>
    <x:t xml:space="preserve">Johor Bahru's state mosque, built in Victorian-Moorish style on a hill overlooking the Straits of Johor and completed in 1900.</x:t>
  </x:si>
  <x:si>
    <x:t xml:space="preserve">https://www.google.com/maps/search/?api=1&amp;query=Sultan%20Abu%20Bakar%20State%20Mosque%2C%20Johor%2C%20Malaysia</x:t>
  </x:si>
  <x:si>
    <x:t xml:space="preserve">Tourism Malaysia state guide plus map discovery link</x:t>
  </x:si>
  <x:si>
    <x:t xml:space="preserve">Johor expansion batch</x:t>
  </x:si>
  <x:si>
    <x:t xml:space="preserve">MC0012</x:t>
  </x:si>
  <x:si>
    <x:t xml:space="preserve">Sultan Ibrahim Building</x:t>
  </x:si>
  <x:si>
    <x:t xml:space="preserve">Heritage and History</x:t>
  </x:si>
  <x:si>
    <x:t xml:space="preserve">landmark; architecture; history</x:t>
  </x:si>
  <x:si>
    <x:t xml:space="preserve">A heritage administrative building in Johor Bahru with a distinctive clock tower, completed in 1940 and formerly serving as the state secretariat.</x:t>
  </x:si>
  <x:si>
    <x:t xml:space="preserve">https://www.google.com/maps/search/?api=1&amp;query=Sultan%20Ibrahim%20Building%2C%20Johor%2C%20Malaysia</x:t>
  </x:si>
  <x:si>
    <x:t xml:space="preserve">MC0013</x:t>
  </x:si>
  <x:si>
    <x:t xml:space="preserve">Tan Hiok Nee Heritage Street</x:t>
  </x:si>
  <x:si>
    <x:t xml:space="preserve">Local</x:t>
  </x:si>
  <x:si>
    <x:t xml:space="preserve">heritage street; food; walking</x:t>
  </x:si>
  <x:si>
    <x:t xml:space="preserve">A historic street of early Chinese shophouses in Johor Bahru, named after 19th-century Teochew community leader Tan Hiok Nee.</x:t>
  </x:si>
  <x:si>
    <x:t xml:space="preserve">https://www.google.com/maps/search/?api=1&amp;query=Tan%20Hiok%20Nee%20Heritage%20Street%2C%20Johor%2C%20Malaysia</x:t>
  </x:si>
  <x:si>
    <x:t xml:space="preserve">MC0014</x:t>
  </x:si>
  <x:si>
    <x:t xml:space="preserve">Arulmigu Sri Rajakaliamman Glass Temple</x:t>
  </x:si>
  <x:si>
    <x:t xml:space="preserve">Underrated</x:t>
  </x:si>
  <x:si>
    <x:t xml:space="preserve">temple; glass art; culture</x:t>
  </x:si>
  <x:si>
    <x:t xml:space="preserve">A Hindu temple in Johor Bahru decorated almost entirely with glass mosaics, mirrors and coloured glass materials.</x:t>
  </x:si>
  <x:si>
    <x:t xml:space="preserve">https://www.google.com/maps/search/?api=1&amp;query=Arulmigu%20Sri%20Rajakaliamman%20Glass%20Temple%2C%20Johor%2C%20Malaysia</x:t>
  </x:si>
  <x:si>
    <x:t xml:space="preserve">MC0015</x:t>
  </x:si>
  <x:si>
    <x:t xml:space="preserve">Istana Besar and Royal Abu Bakar Museum</x:t>
  </x:si>
  <x:si>
    <x:t xml:space="preserve">Museum and Gallery</x:t>
  </x:si>
  <x:si>
    <x:t xml:space="preserve">Indoor</x:t>
  </x:si>
  <x:si>
    <x:t xml:space="preserve">royal history; museum; architecture</x:t>
  </x:si>
  <x:si>
    <x:t xml:space="preserve">The former royal palace of the Johor sultanate in Johor Bahru, now a museum displaying royal regalia and artefacts of the Abu Bakar era.</x:t>
  </x:si>
  <x:si>
    <x:t xml:space="preserve">https://www.google.com/maps/search/?api=1&amp;query=Istana%20Besar%20and%20Royal%20Abu%20Bakar%20Museum%2C%20Johor%2C%20Malaysia</x:t>
  </x:si>
  <x:si>
    <x:t xml:space="preserve">MC0016</x:t>
  </x:si>
  <x:si>
    <x:t xml:space="preserve">Puteri Harbour</x:t>
  </x:si>
  <x:si>
    <x:t xml:space="preserve">Urban Attraction</x:t>
  </x:si>
  <x:si>
    <x:t xml:space="preserve">waterfront; marina; dining</x:t>
  </x:si>
  <x:si>
    <x:t xml:space="preserve">A waterfront leisure and residential precinct in Iskandar Puteri with a marina, family attractions and dining along the water.</x:t>
  </x:si>
  <x:si>
    <x:t xml:space="preserve">https://www.google.com/maps/search/?api=1&amp;query=Puteri%20Harbour%2C%20Johor%2C%20Malaysia</x:t>
  </x:si>
  <x:si>
    <x:t xml:space="preserve">MC0017</x:t>
  </x:si>
  <x:si>
    <x:t xml:space="preserve">Kota Iskandar</x:t>
  </x:si>
  <x:si>
    <x:t xml:space="preserve">civic architecture; photography; landmark</x:t>
  </x:si>
  <x:si>
    <x:t xml:space="preserve">Johor's state government administrative complex in Iskandar Puteri, home to the state legislative assembly and executive offices.</x:t>
  </x:si>
  <x:si>
    <x:t xml:space="preserve">https://www.google.com/maps/search/?api=1&amp;query=Kota%20Iskandar%2C%20Johor%2C%20Malaysia</x:t>
  </x:si>
  <x:si>
    <x:t xml:space="preserve">MC0018</x:t>
  </x:si>
  <x:si>
    <x:t xml:space="preserve">Johor Premium Outlets</x:t>
  </x:si>
  <x:si>
    <x:t xml:space="preserve">Shopping</x:t>
  </x:si>
  <x:si>
    <x:t xml:space="preserve">outlet shopping; family; dining</x:t>
  </x:si>
  <x:si>
    <x:t xml:space="preserve">A designer and brand-name outlet shopping mall in Kulai, part of the international Premium Outlets chain.</x:t>
  </x:si>
  <x:si>
    <x:t xml:space="preserve">https://www.google.com/maps/search/?api=1&amp;query=Johor%20Premium%20Outlets%2C%20Johor%2C%20Malaysia</x:t>
  </x:si>
  <x:si>
    <x:t xml:space="preserve">MC0019</x:t>
  </x:si>
  <x:si>
    <x:t xml:space="preserve">Kota Tinggi Waterfalls</x:t>
  </x:si>
  <x:si>
    <x:t xml:space="preserve">waterfall; forest; recreation</x:t>
  </x:si>
  <x:si>
    <x:t xml:space="preserve">A multi-tiered waterfall recreation area in Kota Tinggi with natural pools popular for swimming and picnicking.</x:t>
  </x:si>
  <x:si>
    <x:t xml:space="preserve">https://www.google.com/maps/search/?api=1&amp;query=Kota%20Tinggi%20Waterfalls%2C%20Johor%2C%20Malaysia</x:t>
  </x:si>
  <x:si>
    <x:t xml:space="preserve">MC0020</x:t>
  </x:si>
  <x:si>
    <x:t xml:space="preserve">Desaru Fruit Farm</x:t>
  </x:si>
  <x:si>
    <x:t xml:space="preserve">Food</x:t>
  </x:si>
  <x:si>
    <x:t xml:space="preserve">agrotourism; fruit; farm</x:t>
  </x:si>
  <x:si>
    <x:t xml:space="preserve">An agro-tourism farm near Kota Tinggi showcasing tropical fruit orchards and local produce.</x:t>
  </x:si>
  <x:si>
    <x:t xml:space="preserve">https://www.google.com/maps/search/?api=1&amp;query=Desaru%20Fruit%20Farm%2C%20Johor%2C%20Malaysia</x:t>
  </x:si>
  <x:si>
    <x:t xml:space="preserve">MC0021</x:t>
  </x:si>
  <x:si>
    <x:t xml:space="preserve">Desaru Coast Riverside</x:t>
  </x:si>
  <x:si>
    <x:t xml:space="preserve">waterfront; dining; leisure</x:t>
  </x:si>
  <x:si>
    <x:t xml:space="preserve">A riverside dining and leisure precinct within the Desaru Coast development in Kota Tinggi district.</x:t>
  </x:si>
  <x:si>
    <x:t xml:space="preserve">https://www.google.com/maps/search/?api=1&amp;query=Desaru%20Coast%20Riverside%2C%20Johor%2C%20Malaysia</x:t>
  </x:si>
  <x:si>
    <x:t xml:space="preserve">MC0022</x:t>
  </x:si>
  <x:si>
    <x:t xml:space="preserve">Pulau Rawa</x:t>
  </x:si>
  <x:si>
    <x:t xml:space="preserve">Mersing</x:t>
  </x:si>
  <x:si>
    <x:t xml:space="preserve">island; beach; snorkelling</x:t>
  </x:si>
  <x:si>
    <x:t xml:space="preserve">A small island off Mersing known for clear water and calm beaches, popular as a day-trip and resort destination.</x:t>
  </x:si>
  <x:si>
    <x:t xml:space="preserve">https://www.google.com/maps/search/?api=1&amp;query=Pulau%20Rawa%2C%20Johor%2C%20Malaysia</x:t>
  </x:si>
  <x:si>
    <x:t xml:space="preserve">MC0023</x:t>
  </x:si>
  <x:si>
    <x:t xml:space="preserve">Pulau Sibu</x:t>
  </x:si>
  <x:si>
    <x:t xml:space="preserve">island; beach; village</x:t>
  </x:si>
  <x:si>
    <x:t xml:space="preserve">An island off Mersing popular for diving and snorkelling, with several small beach resorts.</x:t>
  </x:si>
  <x:si>
    <x:t xml:space="preserve">https://www.google.com/maps/search/?api=1&amp;query=Pulau%20Sibu%2C%20Johor%2C%20Malaysia</x:t>
  </x:si>
  <x:si>
    <x:t xml:space="preserve">MC0024</x:t>
  </x:si>
  <x:si>
    <x:t xml:space="preserve">Pulau Besar</x:t>
  </x:si>
  <x:si>
    <x:t xml:space="preserve">island; marine life; beach</x:t>
  </x:si>
  <x:si>
    <x:t xml:space="preserve">An island off Mersing offering beaches and snorkelling within the Sultan Iskandar Marine Park.</x:t>
  </x:si>
  <x:si>
    <x:t xml:space="preserve">https://www.google.com/maps/search/?api=1&amp;query=Pulau%20Besar%2C%20Johor%2C%20Malaysia</x:t>
  </x:si>
  <x:si>
    <x:t xml:space="preserve">MC0025</x:t>
  </x:si>
  <x:si>
    <x:t xml:space="preserve">Air Papan Beach</x:t>
  </x:si>
  <x:si>
    <x:t xml:space="preserve">beach; picnic; village</x:t>
  </x:si>
  <x:si>
    <x:t xml:space="preserve">A long sandy beach near Mersing town popular with local day-trippers and campers.</x:t>
  </x:si>
  <x:si>
    <x:t xml:space="preserve">https://www.google.com/maps/search/?api=1&amp;query=Air%20Papan%20Beach%2C%20Johor%2C%20Malaysia</x:t>
  </x:si>
  <x:si>
    <x:t xml:space="preserve">MC0026</x:t>
  </x:si>
  <x:si>
    <x:t xml:space="preserve">Gunung Arong Recreational Forest</x:t>
  </x:si>
  <x:si>
    <x:t xml:space="preserve">Rural</x:t>
  </x:si>
  <x:si>
    <x:t xml:space="preserve">hiking; forest; summit</x:t>
  </x:si>
  <x:si>
    <x:t xml:space="preserve">A coastal forest reserve near Mersing with a short hiking trail leading to a sea-view summit.</x:t>
  </x:si>
  <x:si>
    <x:t xml:space="preserve">https://www.google.com/maps/search/?api=1&amp;query=Gunung%20Arong%20Recreational%20Forest%2C%20Johor%2C%20Malaysia</x:t>
  </x:si>
  <x:si>
    <x:t xml:space="preserve">MC0027</x:t>
  </x:si>
  <x:si>
    <x:t xml:space="preserve">Kukup Fishing Village</x:t>
  </x:si>
  <x:si>
    <x:t xml:space="preserve">fishing village; seafood; stilt houses</x:t>
  </x:si>
  <x:si>
    <x:t xml:space="preserve">A stilt fishing village in Pontian district known for seafood restaurants built out over the water.</x:t>
  </x:si>
  <x:si>
    <x:t xml:space="preserve">https://www.google.com/maps/search/?api=1&amp;query=Kukup%20Fishing%20Village%2C%20Johor%2C%20Malaysia</x:t>
  </x:si>
  <x:si>
    <x:t xml:space="preserve">MC0028</x:t>
  </x:si>
  <x:si>
    <x:t xml:space="preserve">Pulau Kukup National Park</x:t>
  </x:si>
  <x:si>
    <x:t xml:space="preserve">mangrove; island; boardwalk</x:t>
  </x:si>
  <x:si>
    <x:t xml:space="preserve">One of the world's largest uninhabited mangrove islands, a Ramsar-listed wetland site off Pontian.</x:t>
  </x:si>
  <x:si>
    <x:t xml:space="preserve">https://www.google.com/maps/search/?api=1&amp;query=Pulau%20Kukup%20National%20Park%2C%20Johor%2C%20Malaysia</x:t>
  </x:si>
  <x:si>
    <x:t xml:space="preserve">MC0029</x:t>
  </x:si>
  <x:si>
    <x:t xml:space="preserve">Pantai Minyak Beku</x:t>
  </x:si>
  <x:si>
    <x:t xml:space="preserve">Batu Pahat</x:t>
  </x:si>
  <x:si>
    <x:t xml:space="preserve">coast; local history; sunset</x:t>
  </x:si>
  <x:si>
    <x:t xml:space="preserve">A beach along the Batu Pahat coastline known locally for its calm waters.</x:t>
  </x:si>
  <x:si>
    <x:t xml:space="preserve">https://www.google.com/maps/search/?api=1&amp;query=Pantai%20Minyak%20Beku%2C%20Johor%2C%20Malaysia</x:t>
  </x:si>
  <x:si>
    <x:t xml:space="preserve">MC0030</x:t>
  </x:si>
  <x:si>
    <x:t xml:space="preserve">Chong Long Gong Temple</x:t>
  </x:si>
  <x:si>
    <x:t xml:space="preserve">temple; culture; riverside</x:t>
  </x:si>
  <x:si>
    <x:t xml:space="preserve">A Chinese temple in Batu Pahat district serving the local community.</x:t>
  </x:si>
  <x:si>
    <x:t xml:space="preserve">https://www.google.com/maps/search/?api=1&amp;query=Chong%20Long%20Gong%20Temple%2C%20Johor%2C%20Malaysia</x:t>
  </x:si>
  <x:si>
    <x:t xml:space="preserve">MC0031</x:t>
  </x:si>
  <x:si>
    <x:t xml:space="preserve">Tanjung Emas Park</x:t>
  </x:si>
  <x:si>
    <x:t xml:space="preserve">Muar</x:t>
  </x:si>
  <x:si>
    <x:t xml:space="preserve">riverfront; park; family</x:t>
  </x:si>
  <x:si>
    <x:t xml:space="preserve">A riverside park in Muar town along the banks of the Muar River.</x:t>
  </x:si>
  <x:si>
    <x:t xml:space="preserve">https://www.google.com/maps/search/?api=1&amp;query=Tanjung%20Emas%20Park%2C%20Johor%2C%20Malaysia</x:t>
  </x:si>
  <x:si>
    <x:t xml:space="preserve">MC0032</x:t>
  </x:si>
  <x:si>
    <x:t xml:space="preserve">Muar Cultural Walk</x:t>
  </x:si>
  <x:si>
    <x:t xml:space="preserve">street art; heritage; food</x:t>
  </x:si>
  <x:si>
    <x:t xml:space="preserve">A heritage walking trail through Muar's colonial-era shophouses and historic landmarks.</x:t>
  </x:si>
  <x:si>
    <x:t xml:space="preserve">https://www.google.com/maps/search/?api=1&amp;query=Muar%20Cultural%20Walk%2C%20Johor%2C%20Malaysia</x:t>
  </x:si>
  <x:si>
    <x:t xml:space="preserve">MC0033</x:t>
  </x:si>
  <x:si>
    <x:t xml:space="preserve">Gunung Lambak</x:t>
  </x:si>
  <x:si>
    <x:t xml:space="preserve">Kluang</x:t>
  </x:si>
  <x:si>
    <x:t xml:space="preserve">hiking; forest; viewpoint</x:t>
  </x:si>
  <x:si>
    <x:t xml:space="preserve">A popular hiking hill near Kluang town with several marked summit trails.</x:t>
  </x:si>
  <x:si>
    <x:t xml:space="preserve">https://www.google.com/maps/search/?api=1&amp;query=Gunung%20Lambak%2C%20Johor%2C%20Malaysia</x:t>
  </x:si>
  <x:si>
    <x:t xml:space="preserve">MC0034</x:t>
  </x:si>
  <x:si>
    <x:t xml:space="preserve">Kluang Rail Coffee and Railway Station Precinct</x:t>
  </x:si>
  <x:si>
    <x:t xml:space="preserve">rail heritage; coffee; local food</x:t>
  </x:si>
  <x:si>
    <x:t xml:space="preserve">A historic railway station precinct in Kluang known for its century-old railway platform coffee shop, still operating today.</x:t>
  </x:si>
  <x:si>
    <x:t xml:space="preserve">https://www.google.com/maps/search/?api=1&amp;query=Kluang%20Rail%20Coffee%20and%20Railway%20Station%20Precinct%2C%20Johor%2C%20Malaysia</x:t>
  </x:si>
  <x:si>
    <x:t xml:space="preserve">MC0035</x:t>
  </x:si>
  <x:si>
    <x:t xml:space="preserve">Sungai Bantang Waterfall</x:t>
  </x:si>
  <x:si>
    <x:t xml:space="preserve">Segamat</x:t>
  </x:si>
  <x:si>
    <x:t xml:space="preserve">waterfall; forest; picnic</x:t>
  </x:si>
  <x:si>
    <x:t xml:space="preserve">A waterfall recreational spot in Segamat district popular for picnics and swimming.</x:t>
  </x:si>
  <x:si>
    <x:t xml:space="preserve">https://www.google.com/maps/search/?api=1&amp;query=Sungai%20Bantang%20Waterfall%2C%20Johor%2C%20Malaysia</x:t>
  </x:si>
  <x:si>
    <x:t xml:space="preserve">MC0036</x:t>
  </x:si>
  <x:si>
    <x:t xml:space="preserve">Tree Top Walk Sungai Sedim</x:t>
  </x:si>
  <x:si>
    <x:t xml:space="preserve">Kedah</x:t>
  </x:si>
  <x:si>
    <x:t xml:space="preserve">Kulim</x:t>
  </x:si>
  <x:si>
    <x:t xml:space="preserve">Adventure</x:t>
  </x:si>
  <x:si>
    <x:t xml:space="preserve">Canopy walkway; rainforest; river; panoramic views; nature; walking; hiking; jungle trekking; birdwatching; wildlife; white-water rafting; kayaking; river tubing; abseiling; paintball; camping; team building; nature education; photography</x:t>
  </x:si>
  <x:si>
    <x:t xml:space="preserve">A 925-metre elevated canopy walkway in Sungai Sedim Recreational Park, approximately 30 minutes from Kulim. Rising to about 26 metres above the forest floor, it offers rainforest and river views, with separately arranged adventure activities such as rafting, kayaking, tubing, trekking and abseiling.</x:t>
  </x:si>
  <x:si>
    <x:t xml:space="preserve">https://www.treetopwalk.com.my/ ; https://www.malaysia.travel/explore/top-walk-sungai-sedim ; https://www.malaysia.travel/explore/7-hidden-gems-in-kedah-for-the-ultimate-escape ; https://ebrochures.malaysia.travel/en/malaysia-travel-guide/kedah/</x:t>
  </x:si>
  <x:si>
    <x:t xml:space="preserve">https://ebrochures.malaysia.travel/en/malaysia-travel-guide/kedah/</x:t>
  </x:si>
  <x:si>
    <x:t xml:space="preserve">Previous workbook seed</x:t>
  </x:si>
  <x:si>
    <x:t xml:space="preserve">A011</x:t>
  </x:si>
  <x:si>
    <x:t xml:space="preserve">MC0037</x:t>
  </x:si>
  <x:si>
    <x:t xml:space="preserve">Pulau Payar Marine Park</x:t>
  </x:si>
  <x:si>
    <x:t xml:space="preserve">Kota Setar</x:t>
  </x:si>
  <x:si>
    <x:t xml:space="preserve">Marine park; islands; coral reefs; marine life; snorkelling; scuba diving; swimming; boat trip; day trip; sharks; tropical fish; hiking; conservation; nature; family recreation; underwater photography</x:t>
  </x:si>
  <x:si>
    <x:t xml:space="preserve">A protected marine-park archipelago comprising Pulau Payar, Pulau Lembu, Pulau Kaca and Pulau Segantang. Its sheltered waters, coral reefs and diverse marine life support day-trip activities including snorkelling, scuba diving and swimming, while Pulau Payar also has basic visitor amenities and short hiking trails.</x:t>
  </x:si>
  <x:si>
    <x:t xml:space="preserve">https://www.malaysia.travel/explore/pulau-payar-marine-park ; https://www.dof.gov.my/en/services/marine-park-resource-management/marine-park-management/ ; https://www.dof.gov.my/en/services/marine-park-resource-management/conservation-charge-fee-rates/ ; https://pulaupayar.com/ ; https://ebrochures.malaysia.travel/en/langkawi/10-natures-best-in-langkawi/</x:t>
  </x:si>
  <x:si>
    <x:t xml:space="preserve">A012</x:t>
  </x:si>
  <x:si>
    <x:t xml:space="preserve">MC0038</x:t>
  </x:si>
  <x:si>
    <x:t xml:space="preserve">Langkawi Sky Bridge</x:t>
  </x:si>
  <x:si>
    <x:t xml:space="preserve">Langkawi</x:t>
  </x:si>
  <x:si>
    <x:t xml:space="preserve">scenery; cable car; bridge; nature; photography; adventure</x:t>
  </x:si>
  <x:si>
    <x:t xml:space="preserve">A curved pedestrian suspension bridge near the summit of Gunung Mat Cincang on Langkawi, reached via cable car and offering panoramic views over the island.</x:t>
  </x:si>
  <x:si>
    <x:t xml:space="preserve">https://www.google.com/maps/search/?api=1&amp;query=Langkawi%20Sky%20Bridge%2C%20Kedah%2C%20Malaysia</x:t>
  </x:si>
  <x:si>
    <x:t xml:space="preserve">A040</x:t>
  </x:si>
  <x:si>
    <x:t xml:space="preserve">MC0039</x:t>
  </x:si>
  <x:si>
    <x:t xml:space="preserve">Kilim Karst Geoforest Park</x:t>
  </x:si>
  <x:si>
    <x:t xml:space="preserve">mangrove; boat tour; geopark; wildlife; scenery; nature</x:t>
  </x:si>
  <x:si>
    <x:t xml:space="preserve">A mangrove and limestone karst area on Langkawi explored by boat, known for eagle-watching, sea caves and dramatic geological formations.</x:t>
  </x:si>
  <x:si>
    <x:t xml:space="preserve">https://www.google.com/maps/search/?api=1&amp;query=Kilim%20Karst%20Geoforest%20Park%2C%20Kedah%2C%20Malaysia</x:t>
  </x:si>
  <x:si>
    <x:t xml:space="preserve">A041</x:t>
  </x:si>
  <x:si>
    <x:t xml:space="preserve">MC0040</x:t>
  </x:si>
  <x:si>
    <x:t xml:space="preserve">Pantai Cenang</x:t>
  </x:si>
  <x:si>
    <x:t xml:space="preserve">beach; relaxation; water sports; shopping; food</x:t>
  </x:si>
  <x:si>
    <x:t xml:space="preserve">Langkawi's most popular beach strip, lined with resorts, restaurants, bars and water-sports operators.</x:t>
  </x:si>
  <x:si>
    <x:t xml:space="preserve">https://www.google.com/maps/search/?api=1&amp;query=Pantai%20Cenang%2C%20Kedah%2C%20Malaysia</x:t>
  </x:si>
  <x:si>
    <x:t xml:space="preserve">A042</x:t>
  </x:si>
  <x:si>
    <x:t xml:space="preserve">MC0041</x:t>
  </x:si>
  <x:si>
    <x:t xml:space="preserve">Langkawi Wildlife Park</x:t>
  </x:si>
  <x:si>
    <x:t xml:space="preserve">wildlife; animals; family; children; education</x:t>
  </x:si>
  <x:si>
    <x:t xml:space="preserve">A bird and wildlife park on Langkawi with walk-in aviaries and animal enclosures.</x:t>
  </x:si>
  <x:si>
    <x:t xml:space="preserve">https://www.google.com/maps/search/?api=1&amp;query=Langkawi%20Wildlife%20Park%2C%20Kedah%2C%20Malaysia</x:t>
  </x:si>
  <x:si>
    <x:t xml:space="preserve">A043</x:t>
  </x:si>
  <x:si>
    <x:t xml:space="preserve">MC0042</x:t>
  </x:si>
  <x:si>
    <x:t xml:space="preserve">Underwater World Langkawi</x:t>
  </x:si>
  <x:si>
    <x:t xml:space="preserve">aquarium; marine life; family; children; indoor</x:t>
  </x:si>
  <x:si>
    <x:t xml:space="preserve">A large aquarium at Pantai Cenang on Langkawi featuring marine and freshwater species.</x:t>
  </x:si>
  <x:si>
    <x:t xml:space="preserve">https://www.google.com/maps/search/?api=1&amp;query=Underwater%20World%20Langkawi%2C%20Kedah%2C%20Malaysia</x:t>
  </x:si>
  <x:si>
    <x:t xml:space="preserve">A044</x:t>
  </x:si>
  <x:si>
    <x:t xml:space="preserve">MC0043</x:t>
  </x:si>
  <x:si>
    <x:t xml:space="preserve">Lembah Bujang Archaeological Museum</x:t>
  </x:si>
  <x:si>
    <x:t xml:space="preserve">Merbok</x:t>
  </x:si>
  <x:si>
    <x:t xml:space="preserve">museum; archaeology; heritage; history; culture</x:t>
  </x:si>
  <x:si>
    <x:t xml:space="preserve">A museum near Merbok housing artefacts from the ancient Bujang Valley civilisation, among the earliest known settlements in Southeast Asia.</x:t>
  </x:si>
  <x:si>
    <x:t xml:space="preserve">https://www.google.com/maps/search/?api=1&amp;query=Lembah%20Bujang%20Archaeological%20Museum%2C%20Kedah%2C%20Malaysia</x:t>
  </x:si>
  <x:si>
    <x:t xml:space="preserve">A045</x:t>
  </x:si>
  <x:si>
    <x:t xml:space="preserve">MC0044</x:t>
  </x:si>
  <x:si>
    <x:t xml:space="preserve">Gunung Jerai</x:t>
  </x:si>
  <x:si>
    <x:t xml:space="preserve">Yan</x:t>
  </x:si>
  <x:si>
    <x:t xml:space="preserve">mountain; scenery; nature; hiking; relaxation</x:t>
  </x:si>
  <x:si>
    <x:t xml:space="preserve">A prominent limestone mountain in Yan district with hilltop Hindu-Buddhist temple ruins and scenic viewpoints.</x:t>
  </x:si>
  <x:si>
    <x:t xml:space="preserve">https://www.google.com/maps/search/?api=1&amp;query=Gunung%20Jerai%2C%20Kedah%2C%20Malaysia</x:t>
  </x:si>
  <x:si>
    <x:t xml:space="preserve">A046</x:t>
  </x:si>
  <x:si>
    <x:t xml:space="preserve">MC0045</x:t>
  </x:si>
  <x:si>
    <x:t xml:space="preserve">Pekan Rabu</x:t>
  </x:si>
  <x:si>
    <x:t xml:space="preserve">Alor Setar</x:t>
  </x:si>
  <x:si>
    <x:t xml:space="preserve">market; shopping; local food; handicrafts; culture</x:t>
  </x:si>
  <x:si>
    <x:t xml:space="preserve">A well-known Wednesday market in Alor Setar selling Kedah handicrafts, local snacks and produce.</x:t>
  </x:si>
  <x:si>
    <x:t xml:space="preserve">https://www.google.com/maps/search/?api=1&amp;query=Pekan%20Rabu%2C%20Kedah%2C%20Malaysia</x:t>
  </x:si>
  <x:si>
    <x:t xml:space="preserve">A047</x:t>
  </x:si>
  <x:si>
    <x:t xml:space="preserve">MC0046</x:t>
  </x:si>
  <x:si>
    <x:t xml:space="preserve">Dayang Bunting Marble Geoforest Park</x:t>
  </x:si>
  <x:si>
    <x:t xml:space="preserve">island; lake; geopark</x:t>
  </x:si>
  <x:si>
    <x:t xml:space="preserve">An island in the Langkawi archipelago home to the freshwater Lake of the Pregnant Maiden, a popular swimming spot tied to local legend.</x:t>
  </x:si>
  <x:si>
    <x:t xml:space="preserve">https://www.google.com/maps/search/?api=1&amp;query=Dayang%20Bunting%20Marble%20Geoforest%20Park%2C%20Kedah%2C%20Malaysia</x:t>
  </x:si>
  <x:si>
    <x:t xml:space="preserve">Kedah expansion batch</x:t>
  </x:si>
  <x:si>
    <x:t xml:space="preserve">MC0047</x:t>
  </x:si>
  <x:si>
    <x:t xml:space="preserve">Telaga Tujuh Waterfalls</x:t>
  </x:si>
  <x:si>
    <x:t xml:space="preserve">waterfall; hiking; rainforest</x:t>
  </x:si>
  <x:si>
    <x:t xml:space="preserve">A seven-tiered waterfall on Langkawi with natural rock pools, popular for hiking and swimming.</x:t>
  </x:si>
  <x:si>
    <x:t xml:space="preserve">https://www.google.com/maps/search/?api=1&amp;query=Telaga%20Tujuh%20Waterfalls%2C%20Kedah%2C%20Malaysia</x:t>
  </x:si>
  <x:si>
    <x:t xml:space="preserve">MC0048</x:t>
  </x:si>
  <x:si>
    <x:t xml:space="preserve">Tanjung Rhu Beach</x:t>
  </x:si>
  <x:si>
    <x:t xml:space="preserve">beach; sunset; scenery</x:t>
  </x:si>
  <x:si>
    <x:t xml:space="preserve">A quiet, scenic beach on Langkawi's northern coast known for its sandbar and limestone cliff backdrop.</x:t>
  </x:si>
  <x:si>
    <x:t xml:space="preserve">https://www.google.com/maps/search/?api=1&amp;query=Tanjung%20Rhu%20Beach%2C%20Kedah%2C%20Malaysia</x:t>
  </x:si>
  <x:si>
    <x:t xml:space="preserve">MC0049</x:t>
  </x:si>
  <x:si>
    <x:t xml:space="preserve">Black Sand Beach</x:t>
  </x:si>
  <x:si>
    <x:t xml:space="preserve">beach; geology; village</x:t>
  </x:si>
  <x:si>
    <x:t xml:space="preserve">A beach on Langkawi known for its distinctive dark-coloured sand.</x:t>
  </x:si>
  <x:si>
    <x:t xml:space="preserve">https://www.google.com/maps/search/?api=1&amp;query=Black%20Sand%20Beach%2C%20Kedah%2C%20Malaysia</x:t>
  </x:si>
  <x:si>
    <x:t xml:space="preserve">MC0050</x:t>
  </x:si>
  <x:si>
    <x:t xml:space="preserve">Laman Padi Langkawi</x:t>
  </x:si>
  <x:si>
    <x:t xml:space="preserve">rice culture; museum; agriculture</x:t>
  </x:si>
  <x:si>
    <x:t xml:space="preserve">A rice-farming heritage park and museum on Langkawi showcasing Malaysian paddy cultivation traditions.</x:t>
  </x:si>
  <x:si>
    <x:t xml:space="preserve">https://www.google.com/maps/search/?api=1&amp;query=Laman%20Padi%20Langkawi%2C%20Kedah%2C%20Malaysia</x:t>
  </x:si>
  <x:si>
    <x:t xml:space="preserve">MC0051</x:t>
  </x:si>
  <x:si>
    <x:t xml:space="preserve">MARDI Langkawi Agro Technology Park</x:t>
  </x:si>
  <x:si>
    <x:t xml:space="preserve">An agricultural research park on Langkawi open to visitors, showcasing tropical fruit orchards and farming technology.</x:t>
  </x:si>
  <x:si>
    <x:t xml:space="preserve">https://www.google.com/maps/search/?api=1&amp;query=MARDI%20Langkawi%20Agro%20Technology%20Park%2C%20Kedah%2C%20Malaysia</x:t>
  </x:si>
  <x:si>
    <x:t xml:space="preserve">MC0052</x:t>
  </x:si>
  <x:si>
    <x:t xml:space="preserve">Zahir Mosque</x:t>
  </x:si>
  <x:si>
    <x:t xml:space="preserve">mosque; architecture; landmark</x:t>
  </x:si>
  <x:si>
    <x:t xml:space="preserve">Kedah's state mosque in Alor Setar, one of Malaysia's oldest and grandest mosques, completed in 1912.</x:t>
  </x:si>
  <x:si>
    <x:t xml:space="preserve">https://www.google.com/maps/search/?api=1&amp;query=Zahir%20Mosque%2C%20Kedah%2C%20Malaysia</x:t>
  </x:si>
  <x:si>
    <x:t xml:space="preserve">MC0053</x:t>
  </x:si>
  <x:si>
    <x:t xml:space="preserve">Balai Besar</x:t>
  </x:si>
  <x:si>
    <x:t xml:space="preserve">royal heritage; architecture</x:t>
  </x:si>
  <x:si>
    <x:t xml:space="preserve">A royal audience hall in Alor Setar built in traditional Malay architectural style, used for official ceremonies.</x:t>
  </x:si>
  <x:si>
    <x:t xml:space="preserve">https://www.google.com/maps/search/?api=1&amp;query=Balai%20Besar%2C%20Kedah%2C%20Malaysia</x:t>
  </x:si>
  <x:si>
    <x:t xml:space="preserve">MC0054</x:t>
  </x:si>
  <x:si>
    <x:t xml:space="preserve">Pekan Rabu Complex</x:t>
  </x:si>
  <x:si>
    <x:t xml:space="preserve">market; crafts; local food</x:t>
  </x:si>
  <x:si>
    <x:t xml:space="preserve">The covered market building in Alor Setar housing Pekan Rabu vendors and Kedah handicraft stalls.</x:t>
  </x:si>
  <x:si>
    <x:t xml:space="preserve">https://www.google.com/maps/search/?api=1&amp;query=Pekan%20Rabu%20Complex%2C%20Kedah%2C%20Malaysia</x:t>
  </x:si>
  <x:si>
    <x:t xml:space="preserve">MC0055</x:t>
  </x:si>
  <x:si>
    <x:t xml:space="preserve">Kedah State Museum</x:t>
  </x:si>
  <x:si>
    <x:t xml:space="preserve">state history; culture; museum</x:t>
  </x:si>
  <x:si>
    <x:t xml:space="preserve">A state museum in Alor Setar covering Kedah's history, culture and links to the Bujang Valley civilisation.</x:t>
  </x:si>
  <x:si>
    <x:t xml:space="preserve">https://www.google.com/maps/search/?api=1&amp;query=Kedah%20State%20Museum%2C%20Kedah%2C%20Malaysia</x:t>
  </x:si>
  <x:si>
    <x:t xml:space="preserve">MC0056</x:t>
  </x:si>
  <x:si>
    <x:t xml:space="preserve">Kuala Kedah Fort</x:t>
  </x:si>
  <x:si>
    <x:t xml:space="preserve">Kuala Kedah</x:t>
  </x:si>
  <x:si>
    <x:t xml:space="preserve">fort; history; river mouth</x:t>
  </x:si>
  <x:si>
    <x:t xml:space="preserve">An 18th-century fort at the mouth of the Kedah River, built to defend against Siamese and Portuguese incursions.</x:t>
  </x:si>
  <x:si>
    <x:t xml:space="preserve">https://www.google.com/maps/search/?api=1&amp;query=Kuala%20Kedah%20Fort%2C%20Kedah%2C%20Malaysia</x:t>
  </x:si>
  <x:si>
    <x:t xml:space="preserve">MC0057</x:t>
  </x:si>
  <x:si>
    <x:t xml:space="preserve">Mount Jerai</x:t>
  </x:si>
  <x:si>
    <x:t xml:space="preserve">highland; hiking; viewpoint</x:t>
  </x:si>
  <x:si>
    <x:t xml:space="preserve">A mountain in Yan district with ancient temple ruins near its summit and panoramic viewpoints over the Kedah plains.</x:t>
  </x:si>
  <x:si>
    <x:t xml:space="preserve">https://www.google.com/maps/search/?api=1&amp;query=Mount%20Jerai%2C%20Kedah%2C%20Malaysia</x:t>
  </x:si>
  <x:si>
    <x:t xml:space="preserve">MC0058</x:t>
  </x:si>
  <x:si>
    <x:t xml:space="preserve">Titi Hayun Recreational Forest</x:t>
  </x:si>
  <x:si>
    <x:t xml:space="preserve">A forest recreation area in Yan district with waterfalls and picnic spots.</x:t>
  </x:si>
  <x:si>
    <x:t xml:space="preserve">https://www.google.com/maps/search/?api=1&amp;query=Titi%20Hayun%20Recreational%20Forest%2C%20Kedah%2C%20Malaysia</x:t>
  </x:si>
  <x:si>
    <x:t xml:space="preserve">MC0059</x:t>
  </x:si>
  <x:si>
    <x:t xml:space="preserve">Pantai Murni Waterfront</x:t>
  </x:si>
  <x:si>
    <x:t xml:space="preserve">waterfront; sunset; recreation</x:t>
  </x:si>
  <x:si>
    <x:t xml:space="preserve">A coastal recreational park in Yan district.</x:t>
  </x:si>
  <x:si>
    <x:t xml:space="preserve">https://www.google.com/maps/search/?api=1&amp;query=Pantai%20Murni%20Waterfront%2C%20Kedah%2C%20Malaysia</x:t>
  </x:si>
  <x:si>
    <x:t xml:space="preserve">MC0060</x:t>
  </x:si>
  <x:si>
    <x:t xml:space="preserve">Lata Bayu Recreational Forest</x:t>
  </x:si>
  <x:si>
    <x:t xml:space="preserve">Baling</x:t>
  </x:si>
  <x:si>
    <x:t xml:space="preserve">A waterfall-based recreational forest in Baling district.</x:t>
  </x:si>
  <x:si>
    <x:t xml:space="preserve">https://www.google.com/maps/search/?api=1&amp;query=Lata%20Bayu%20Recreational%20Forest%2C%20Kedah%2C%20Malaysia</x:t>
  </x:si>
  <x:si>
    <x:t xml:space="preserve">MC0061</x:t>
  </x:si>
  <x:si>
    <x:t xml:space="preserve">Ulu Legong Hot Spring</x:t>
  </x:si>
  <x:si>
    <x:t xml:space="preserve">Wellness and Relaxation</x:t>
  </x:si>
  <x:si>
    <x:t xml:space="preserve">hot spring; bathing; village</x:t>
  </x:si>
  <x:si>
    <x:t xml:space="preserve">A natural hot spring recreational area in Baling district.</x:t>
  </x:si>
  <x:si>
    <x:t xml:space="preserve">https://www.google.com/maps/search/?api=1&amp;query=Ulu%20Legong%20Hot%20Spring%2C%20Kedah%2C%20Malaysia</x:t>
  </x:si>
  <x:si>
    <x:t xml:space="preserve">MC0062</x:t>
  </x:si>
  <x:si>
    <x:t xml:space="preserve">Beris Lake</x:t>
  </x:si>
  <x:si>
    <x:t xml:space="preserve">Sik</x:t>
  </x:si>
  <x:si>
    <x:t xml:space="preserve">lake; scenery; fishing</x:t>
  </x:si>
  <x:si>
    <x:t xml:space="preserve">A reservoir lake in Sik district used for recreation and scenic views.</x:t>
  </x:si>
  <x:si>
    <x:t xml:space="preserve">https://www.google.com/maps/search/?api=1&amp;query=Beris%20Lake%2C%20Kedah%2C%20Malaysia</x:t>
  </x:si>
  <x:si>
    <x:t xml:space="preserve">MC0063</x:t>
  </x:si>
  <x:si>
    <x:t xml:space="preserve">Sungai Sedim Tree Top Walk</x:t>
  </x:si>
  <x:si>
    <x:t xml:space="preserve">canopy walk; rainforest; river</x:t>
  </x:si>
  <x:si>
    <x:t xml:space="preserve">A canopy walkway suspended in the rainforest of Kulim, among the longest tree-top walkways in Malaysia.</x:t>
  </x:si>
  <x:si>
    <x:t xml:space="preserve">https://www.google.com/maps/search/?api=1&amp;query=Sungai%20Sedim%20Tree%20Top%20Walk%2C%20Kedah%2C%20Malaysia</x:t>
  </x:si>
  <x:si>
    <x:t xml:space="preserve">MC0064</x:t>
  </x:si>
  <x:si>
    <x:t xml:space="preserve">Pedu Lake</x:t>
  </x:si>
  <x:si>
    <x:t xml:space="preserve">Padang Terap</x:t>
  </x:si>
  <x:si>
    <x:t xml:space="preserve">lake; forest; fishing</x:t>
  </x:si>
  <x:si>
    <x:t xml:space="preserve">A large reservoir lake in Padang Terap district known for fishing and eco-tourism chalets.</x:t>
  </x:si>
  <x:si>
    <x:t xml:space="preserve">https://www.google.com/maps/search/?api=1&amp;query=Pedu%20Lake%2C%20Kedah%2C%20Malaysia</x:t>
  </x:si>
  <x:si>
    <x:t xml:space="preserve">MC0065</x:t>
  </x:si>
  <x:si>
    <x:t xml:space="preserve">Taman Negara Kuala Koh</x:t>
  </x:si>
  <x:si>
    <x:t xml:space="preserve">Kelantan</x:t>
  </x:si>
  <x:si>
    <x:t xml:space="preserve">Gua Musang</x:t>
  </x:si>
  <x:si>
    <x:t xml:space="preserve">National park; tropical rainforest; biodiversity; jungle trekking; hiking; birdwatching; wildlife; fishing; rivers; canopy walkway; night walks; kayaking; rafting; tubing; canoeing; boat trips; camping; photography; research; nature education</x:t>
  </x:si>
  <x:si>
    <x:t xml:space="preserve">The Kelantan gateway to Taman Negara, located in Gua Musang district within the Bukit Hantu and Lebir forest reserves. Its tropical rainforest, rivers and trails support birdwatching, fishing, jungle trekking, canopy-walk, boating and night-walk experiences, with visitor facilities at Kuala Koh.</x:t>
  </x:si>
  <x:si>
    <x:t xml:space="preserve">https://www.malaysia.travel/explore/back-to-nature-at-taman-negara-kuala-koh ; https://www.wildlife.gov.my/en/taman-negara-kelantan-kuala-koh/ ; https://mdgm.kelantan.gov.my/index.php/pelawat/destinasi-menarik/tempat-pelancongan/194-taman-negara-kuala-koh ; https://www.wildlife.gov.my/soalan-lazim-ekopelancongan/</x:t>
  </x:si>
  <x:si>
    <x:t xml:space="preserve">https://ebrochures.malaysia.travel/en/malaysia-travel-guide/kelantan/</x:t>
  </x:si>
  <x:si>
    <x:t xml:space="preserve">A013</x:t>
  </x:si>
  <x:si>
    <x:t xml:space="preserve">MC0066</x:t>
  </x:si>
  <x:si>
    <x:t xml:space="preserve">Siti Khadijah Market</x:t>
  </x:si>
  <x:si>
    <x:t xml:space="preserve">Kota Bharu</x:t>
  </x:si>
  <x:si>
    <x:t xml:space="preserve">market; local food; shopping; culture; handicrafts</x:t>
  </x:si>
  <x:si>
    <x:t xml:space="preserve">Kota Bharu's iconic central market, known as the Women's Market for its many female traders selling produce, textiles and handicrafts.</x:t>
  </x:si>
  <x:si>
    <x:t xml:space="preserve">https://www.google.com/maps/search/?api=1&amp;query=Siti%20Khadijah%20Market%2C%20Kelantan%2C%20Malaysia</x:t>
  </x:si>
  <x:si>
    <x:t xml:space="preserve">A048</x:t>
  </x:si>
  <x:si>
    <x:t xml:space="preserve">MC0067</x:t>
  </x:si>
  <x:si>
    <x:t xml:space="preserve">Istana Jahar</x:t>
  </x:si>
  <x:si>
    <x:t xml:space="preserve">museum; royal heritage; culture; history; architecture</x:t>
  </x:si>
  <x:si>
    <x:t xml:space="preserve">A former royal palace in Kota Bharu, now the Royal Customs Museum, showcasing Kelantanese Malay ceremonial traditions.</x:t>
  </x:si>
  <x:si>
    <x:t xml:space="preserve">https://www.google.com/maps/search/?api=1&amp;query=Istana%20Jahar%2C%20Kelantan%2C%20Malaysia</x:t>
  </x:si>
  <x:si>
    <x:t xml:space="preserve">A049</x:t>
  </x:si>
  <x:si>
    <x:t xml:space="preserve">MC0068</x:t>
  </x:si>
  <x:si>
    <x:t xml:space="preserve">Handicraft Village and Craft Museum</x:t>
  </x:si>
  <x:si>
    <x:t xml:space="preserve">handicrafts; museum; culture; shopping; heritage</x:t>
  </x:si>
  <x:si>
    <x:t xml:space="preserve">A cluster of workshops and a museum in Kota Bharu showcasing Kelantanese crafts such as batik, songket and wau kite-making.</x:t>
  </x:si>
  <x:si>
    <x:t xml:space="preserve">https://www.google.com/maps/search/?api=1&amp;query=Handicraft%20Village%20and%20Craft%20Museum%2C%20Kelantan%2C%20Malaysia</x:t>
  </x:si>
  <x:si>
    <x:t xml:space="preserve">A050</x:t>
  </x:si>
  <x:si>
    <x:t xml:space="preserve">MC0069</x:t>
  </x:si>
  <x:si>
    <x:t xml:space="preserve">Wat Photivihan</x:t>
  </x:si>
  <x:si>
    <x:t xml:space="preserve">Tumpat</x:t>
  </x:si>
  <x:si>
    <x:t xml:space="preserve">temple; culture; religion; architecture; photography</x:t>
  </x:si>
  <x:si>
    <x:t xml:space="preserve">A Thai Buddhist temple in Tumpat district home to one of Southeast Asia's largest reclining Buddha statues.</x:t>
  </x:si>
  <x:si>
    <x:t xml:space="preserve">https://www.google.com/maps/search/?api=1&amp;query=Wat%20Photivihan%2C%20Kelantan%2C%20Malaysia</x:t>
  </x:si>
  <x:si>
    <x:t xml:space="preserve">A051</x:t>
  </x:si>
  <x:si>
    <x:t xml:space="preserve">MC0070</x:t>
  </x:si>
  <x:si>
    <x:t xml:space="preserve">Pantai Cahaya Bulan</x:t>
  </x:si>
  <x:si>
    <x:t xml:space="preserve">beach; relaxation; food; family; scenery</x:t>
  </x:si>
  <x:si>
    <x:t xml:space="preserve">A well-known beach near Kota Bharu, popularly called Moonlight Beach, lined with casuarina trees.</x:t>
  </x:si>
  <x:si>
    <x:t xml:space="preserve">https://www.google.com/maps/search/?api=1&amp;query=Pantai%20Cahaya%20Bulan%2C%20Kelantan%2C%20Malaysia</x:t>
  </x:si>
  <x:si>
    <x:t xml:space="preserve">A052</x:t>
  </x:si>
  <x:si>
    <x:t xml:space="preserve">MC0071</x:t>
  </x:si>
  <x:si>
    <x:t xml:space="preserve">Pantai Irama</x:t>
  </x:si>
  <x:si>
    <x:t xml:space="preserve">Bachok</x:t>
  </x:si>
  <x:si>
    <x:t xml:space="preserve">beach; relaxation; family; scenery; picnic</x:t>
  </x:si>
  <x:si>
    <x:t xml:space="preserve">A beach in Bachok district known for stretches of rocky coastline and coastal scenery.</x:t>
  </x:si>
  <x:si>
    <x:t xml:space="preserve">https://www.google.com/maps/search/?api=1&amp;query=Pantai%20Irama%2C%20Kelantan%2C%20Malaysia</x:t>
  </x:si>
  <x:si>
    <x:t xml:space="preserve">A053</x:t>
  </x:si>
  <x:si>
    <x:t xml:space="preserve">MC0072</x:t>
  </x:si>
  <x:si>
    <x:t xml:space="preserve">Gunung Stong State Park</x:t>
  </x:si>
  <x:si>
    <x:t xml:space="preserve">Dabong</x:t>
  </x:si>
  <x:si>
    <x:t xml:space="preserve">hiking; waterfall; forest; camping; adventure; nature</x:t>
  </x:si>
  <x:si>
    <x:t xml:space="preserve">A state park in Dabong district with waterfalls, hot springs and a multi-day hiking trail up Gunung Stong.</x:t>
  </x:si>
  <x:si>
    <x:t xml:space="preserve">https://www.google.com/maps/search/?api=1&amp;query=Gunung%20Stong%20State%20Park%2C%20Kelantan%2C%20Malaysia</x:t>
  </x:si>
  <x:si>
    <x:t xml:space="preserve">A054</x:t>
  </x:si>
  <x:si>
    <x:t xml:space="preserve">MC0073</x:t>
  </x:si>
  <x:si>
    <x:t xml:space="preserve">Min House Camp</x:t>
  </x:si>
  <x:si>
    <x:t xml:space="preserve">nature; river; fireflies; local culture; relaxation</x:t>
  </x:si>
  <x:si>
    <x:t xml:space="preserve">An eco-tourism camp near Kota Bharu offering rural riverside stays and outdoor activities.</x:t>
  </x:si>
  <x:si>
    <x:t xml:space="preserve">https://www.google.com/maps/search/?api=1&amp;query=Min%20House%20Camp%2C%20Kelantan%2C%20Malaysia</x:t>
  </x:si>
  <x:si>
    <x:t xml:space="preserve">A055</x:t>
  </x:si>
  <x:si>
    <x:t xml:space="preserve">MC0074</x:t>
  </x:si>
  <x:si>
    <x:t xml:space="preserve">Muhammadi Mosque</x:t>
  </x:si>
  <x:si>
    <x:t xml:space="preserve">mosque; religion; heritage; architecture; culture</x:t>
  </x:si>
  <x:si>
    <x:t xml:space="preserve">The old state mosque of Kelantan in Kota Bharu, among the state's oldest mosques.</x:t>
  </x:si>
  <x:si>
    <x:t xml:space="preserve">https://www.google.com/maps/search/?api=1&amp;query=Muhammadi%20Mosque%2C%20Kelantan%2C%20Malaysia</x:t>
  </x:si>
  <x:si>
    <x:t xml:space="preserve">A056</x:t>
  </x:si>
  <x:si>
    <x:t xml:space="preserve">MC0075</x:t>
  </x:si>
  <x:si>
    <x:t xml:space="preserve">Bank Kerapu War Museum</x:t>
  </x:si>
  <x:si>
    <x:t xml:space="preserve">war history; museum; heritage</x:t>
  </x:si>
  <x:si>
    <x:t xml:space="preserve">A museum in a former bank building in Kota Bharu documenting the Japanese occupation of Kelantan during the Second World War.</x:t>
  </x:si>
  <x:si>
    <x:t xml:space="preserve">https://www.google.com/maps/search/?api=1&amp;query=Bank%20Kerapu%20War%20Museum%2C%20Kelantan%2C%20Malaysia</x:t>
  </x:si>
  <x:si>
    <x:t xml:space="preserve">Kelantan expansion batch</x:t>
  </x:si>
  <x:si>
    <x:t xml:space="preserve">MC0076</x:t>
  </x:si>
  <x:si>
    <x:t xml:space="preserve">Kampung Kraftangan</x:t>
  </x:si>
  <x:si>
    <x:t xml:space="preserve">handicraft; demonstrations; shopping</x:t>
  </x:si>
  <x:si>
    <x:t xml:space="preserve">A crafts village and small museum in Kota Bharu showcasing traditional Kelantanese arts.</x:t>
  </x:si>
  <x:si>
    <x:t xml:space="preserve">https://www.google.com/maps/search/?api=1&amp;query=Kampung%20Kraftangan%2C%20Kelantan%2C%20Malaysia</x:t>
  </x:si>
  <x:si>
    <x:t xml:space="preserve">MC0077</x:t>
  </x:si>
  <x:si>
    <x:t xml:space="preserve">Wat Machimmaram</x:t>
  </x:si>
  <x:si>
    <x:t xml:space="preserve">Buddhist temple; statue; culture</x:t>
  </x:si>
  <x:si>
    <x:t xml:space="preserve">A Thai Buddhist temple in Tumpat district.</x:t>
  </x:si>
  <x:si>
    <x:t xml:space="preserve">https://www.google.com/maps/search/?api=1&amp;query=Wat%20Machimmaram%2C%20Kelantan%2C%20Malaysia</x:t>
  </x:si>
  <x:si>
    <x:t xml:space="preserve">MC0078</x:t>
  </x:si>
  <x:si>
    <x:t xml:space="preserve">Pantai Sri Tujuh</x:t>
  </x:si>
  <x:si>
    <x:t xml:space="preserve">beach; lagoon; festival</x:t>
  </x:si>
  <x:si>
    <x:t xml:space="preserve">A coastal recreational beach area in Tumpat district near the Kelantan-Thailand border.</x:t>
  </x:si>
  <x:si>
    <x:t xml:space="preserve">https://www.google.com/maps/search/?api=1&amp;query=Pantai%20Sri%20Tujuh%2C%20Kelantan%2C%20Malaysia</x:t>
  </x:si>
  <x:si>
    <x:t xml:space="preserve">MC0079</x:t>
  </x:si>
  <x:si>
    <x:t xml:space="preserve">Pantai Senok</x:t>
  </x:si>
  <x:si>
    <x:t xml:space="preserve">casuarina; beach; photography</x:t>
  </x:si>
  <x:si>
    <x:t xml:space="preserve">A beach in Bachok district popular with local visitors.</x:t>
  </x:si>
  <x:si>
    <x:t xml:space="preserve">https://www.google.com/maps/search/?api=1&amp;query=Pantai%20Senok%2C%20Kelantan%2C%20Malaysia</x:t>
  </x:si>
  <x:si>
    <x:t xml:space="preserve">MC0080</x:t>
  </x:si>
  <x:si>
    <x:t xml:space="preserve">Jeram Linang</x:t>
  </x:si>
  <x:si>
    <x:t xml:space="preserve">Pasir Puteh</x:t>
  </x:si>
  <x:si>
    <x:t xml:space="preserve">A waterfall recreational spot in Pasir Puteh district.</x:t>
  </x:si>
  <x:si>
    <x:t xml:space="preserve">https://www.google.com/maps/search/?api=1&amp;query=Jeram%20Linang%2C%20Kelantan%2C%20Malaysia</x:t>
  </x:si>
  <x:si>
    <x:t xml:space="preserve">MC0081</x:t>
  </x:si>
  <x:si>
    <x:t xml:space="preserve">Tok Bali Beach</x:t>
  </x:si>
  <x:si>
    <x:t xml:space="preserve">beach; fishing; sunset</x:t>
  </x:si>
  <x:si>
    <x:t xml:space="preserve">A fishing-village beach in Pasir Puteh district known for its jetty and seafood.</x:t>
  </x:si>
  <x:si>
    <x:t xml:space="preserve">https://www.google.com/maps/search/?api=1&amp;query=Tok%20Bali%20Beach%2C%20Kelantan%2C%20Malaysia</x:t>
  </x:si>
  <x:si>
    <x:t xml:space="preserve">MC0082</x:t>
  </x:si>
  <x:si>
    <x:t xml:space="preserve">Jelawang Waterfall</x:t>
  </x:si>
  <x:si>
    <x:t xml:space="preserve">waterfall; hiking; scenery</x:t>
  </x:si>
  <x:si>
    <x:t xml:space="preserve">A multi-tiered waterfall within Gunung Stong State Park in Dabong district.</x:t>
  </x:si>
  <x:si>
    <x:t xml:space="preserve">https://www.google.com/maps/search/?api=1&amp;query=Jelawang%20Waterfall%2C%20Kelantan%2C%20Malaysia</x:t>
  </x:si>
  <x:si>
    <x:t xml:space="preserve">MC0083</x:t>
  </x:si>
  <x:si>
    <x:t xml:space="preserve">Gua Musang Railway Heritage Precinct</x:t>
  </x:si>
  <x:si>
    <x:t xml:space="preserve">railway; old town; limestone</x:t>
  </x:si>
  <x:si>
    <x:t xml:space="preserve">A railway heritage precinct centred on Gua Musang's historic train station.</x:t>
  </x:si>
  <x:si>
    <x:t xml:space="preserve">https://www.google.com/maps/search/?api=1&amp;query=Gua%20Musang%20Railway%20Heritage%20Precinct%2C%20Kelantan%2C%20Malaysia</x:t>
  </x:si>
  <x:si>
    <x:t xml:space="preserve">MC0084</x:t>
  </x:si>
  <x:si>
    <x:t xml:space="preserve">Ethnobotany Park</x:t>
  </x:si>
  <x:si>
    <x:t xml:space="preserve">plants; education; park</x:t>
  </x:si>
  <x:si>
    <x:t xml:space="preserve">A botanical park in Gua Musang district showcasing regional plant species.</x:t>
  </x:si>
  <x:si>
    <x:t xml:space="preserve">https://www.google.com/maps/search/?api=1&amp;query=Ethnobotany%20Park%2C%20Kelantan%2C%20Malaysia</x:t>
  </x:si>
  <x:si>
    <x:t xml:space="preserve">MC0085</x:t>
  </x:si>
  <x:si>
    <x:t xml:space="preserve">Pergau Lake</x:t>
  </x:si>
  <x:si>
    <x:t xml:space="preserve">Jeli</x:t>
  </x:si>
  <x:si>
    <x:t xml:space="preserve">lake; countryside; fishing</x:t>
  </x:si>
  <x:si>
    <x:t xml:space="preserve">A hydroelectric reservoir lake in Jeli district.</x:t>
  </x:si>
  <x:si>
    <x:t xml:space="preserve">https://www.google.com/maps/search/?api=1&amp;query=Pergau%20Lake%2C%20Kelantan%2C%20Malaysia</x:t>
  </x:si>
  <x:si>
    <x:t xml:space="preserve">MC0086</x:t>
  </x:si>
  <x:si>
    <x:t xml:space="preserve">Lata Janggut</x:t>
  </x:si>
  <x:si>
    <x:t xml:space="preserve">A waterfall in Jeli district.</x:t>
  </x:si>
  <x:si>
    <x:t xml:space="preserve">https://www.google.com/maps/search/?api=1&amp;query=Lata%20Janggut%2C%20Kelantan%2C%20Malaysia</x:t>
  </x:si>
  <x:si>
    <x:t xml:space="preserve">MC0087</x:t>
  </x:si>
  <x:si>
    <x:t xml:space="preserve">Bukit Bunga Border Market</x:t>
  </x:si>
  <x:si>
    <x:t xml:space="preserve">Tanah Merah</x:t>
  </x:si>
  <x:si>
    <x:t xml:space="preserve">border market; local goods; food</x:t>
  </x:si>
  <x:si>
    <x:t xml:space="preserve">A border market in Tanah Merah near the Malaysia-Thailand crossing, popular for cross-border shopping.</x:t>
  </x:si>
  <x:si>
    <x:t xml:space="preserve">https://www.google.com/maps/search/?api=1&amp;query=Bukit%20Bunga%20Border%20Market%2C%20Kelantan%2C%20Malaysia</x:t>
  </x:si>
  <x:si>
    <x:t xml:space="preserve">MC0088</x:t>
  </x:si>
  <x:si>
    <x:t xml:space="preserve">Lata Rek</x:t>
  </x:si>
  <x:si>
    <x:t xml:space="preserve">Kuala Krai</x:t>
  </x:si>
  <x:si>
    <x:t xml:space="preserve">waterfall; village; recreation</x:t>
  </x:si>
  <x:si>
    <x:t xml:space="preserve">A waterfall recreational area in Kuala Krai district.</x:t>
  </x:si>
  <x:si>
    <x:t xml:space="preserve">https://www.google.com/maps/search/?api=1&amp;query=Lata%20Rek%2C%20Kelantan%2C%20Malaysia</x:t>
  </x:si>
  <x:si>
    <x:t xml:space="preserve">MC0089</x:t>
  </x:si>
  <x:si>
    <x:t xml:space="preserve">Pantai Klebang</x:t>
  </x:si>
  <x:si>
    <x:t xml:space="preserve">Melaka</x:t>
  </x:si>
  <x:si>
    <x:t xml:space="preserve">Melaka Tengah</x:t>
  </x:si>
  <x:si>
    <x:t xml:space="preserve">Beach; sunset; relaxation; photography; picnicking; horse riding; ATV; kite flying; bubbles; food stalls; local snacks; family recreation; outdoor leisure</x:t>
  </x:si>
  <x:si>
    <x:t xml:space="preserve">A relaxing coastal attraction in Klebang, Melaka, known for its shady beachfront setting and sunset views. Visitors can unwind by the beach, take photographs, rent chairs and tables, try horse riding or ATV activities, buy kites and bubbles, and sample local snacks from nearby food stalls.</x:t>
  </x:si>
  <x:si>
    <x:t xml:space="preserve">https://www.malaysia.travel/explore/pantai-klebang ; https://www.visitmelaka.com.my/index.php/nature-adventure/sports/66-horse-ride ; https://pdtmt.gov.my/1/page.php?s=destinasi-menarik</x:t>
  </x:si>
  <x:si>
    <x:t xml:space="preserve">https://ebrochures.malaysia.travel/en/malaysia-travel-guide/melaka/</x:t>
  </x:si>
  <x:si>
    <x:t xml:space="preserve">A008</x:t>
  </x:si>
  <x:si>
    <x:t xml:space="preserve">MC0090</x:t>
  </x:si>
  <x:si>
    <x:t xml:space="preserve">Pengkalan Balak</x:t>
  </x:si>
  <x:si>
    <x:t xml:space="preserve">Alor Gajah</x:t>
  </x:si>
  <x:si>
    <x:t xml:space="preserve">Beach; swimming; sunset; fishing; picnicking; camping; beach walks; fishing villages; seafood; family recreation; chalets; resorts; photography; relaxation</x:t>
  </x:si>
  <x:si>
    <x:t xml:space="preserve">A popular beach in the Alor Gajah district of Melaka, known for its broad coastline, peaceful fishing-village surroundings and sunset views. Visitors come for swimming, fishing, picnics, camping, long beach walks and seafood, with locally operated chalets and resorts available nearby.</x:t>
  </x:si>
  <x:si>
    <x:t xml:space="preserve">https://www.malaysia.travel/explore/pengkalan-balak ; https://www.mpag.gov.my/pantai-pengkalan-balak/</x:t>
  </x:si>
  <x:si>
    <x:t xml:space="preserve">A009</x:t>
  </x:si>
  <x:si>
    <x:t xml:space="preserve">MC0091</x:t>
  </x:si>
  <x:si>
    <x:t xml:space="preserve">A Famosa</x:t>
  </x:si>
  <x:si>
    <x:t xml:space="preserve">Melaka City</x:t>
  </x:si>
  <x:si>
    <x:t xml:space="preserve">fort; heritage; history; architecture; photography</x:t>
  </x:si>
  <x:si>
    <x:t xml:space="preserve">Portuguese fortress ruins in Melaka City, built in 1511, with the Porta de Santiago gate the only substantial structure still standing.</x:t>
  </x:si>
  <x:si>
    <x:t xml:space="preserve">https://www.google.com/maps/search/?api=1&amp;query=A%20Famosa%2C%20Melaka%2C%20Malaysia</x:t>
  </x:si>
  <x:si>
    <x:t xml:space="preserve">A057</x:t>
  </x:si>
  <x:si>
    <x:t xml:space="preserve">MC0092</x:t>
  </x:si>
  <x:si>
    <x:t xml:space="preserve">The Stadthuys</x:t>
  </x:si>
  <x:si>
    <x:t xml:space="preserve">museum; colonial heritage; history; architecture</x:t>
  </x:si>
  <x:si>
    <x:t xml:space="preserve">A Dutch colonial town hall in Melaka's Red Square, built in the 17th century and considered one of the oldest Dutch buildings in the East.</x:t>
  </x:si>
  <x:si>
    <x:t xml:space="preserve">https://www.google.com/maps/search/?api=1&amp;query=The%20Stadthuys%2C%20Melaka%2C%20Malaysia</x:t>
  </x:si>
  <x:si>
    <x:t xml:space="preserve">A058</x:t>
  </x:si>
  <x:si>
    <x:t xml:space="preserve">MC0093</x:t>
  </x:si>
  <x:si>
    <x:t xml:space="preserve">Jonker Walk</x:t>
  </x:si>
  <x:si>
    <x:t xml:space="preserve">night market; shopping; local food; heritage; culture</x:t>
  </x:si>
  <x:si>
    <x:t xml:space="preserve">Melaka's historic Chinatown street, famous for antique shops, cafes and a lively weekend night market.</x:t>
  </x:si>
  <x:si>
    <x:t xml:space="preserve">https://www.google.com/maps/search/?api=1&amp;query=Jonker%20Walk%2C%20Melaka%2C%20Malaysia</x:t>
  </x:si>
  <x:si>
    <x:t xml:space="preserve">A059</x:t>
  </x:si>
  <x:si>
    <x:t xml:space="preserve">MC0094</x:t>
  </x:si>
  <x:si>
    <x:t xml:space="preserve">Melaka River Cruise</x:t>
  </x:si>
  <x:si>
    <x:t xml:space="preserve">river cruise; sightseeing; relaxation; heritage; night activity</x:t>
  </x:si>
  <x:si>
    <x:t xml:space="preserve">A scenic boat tour along the Melaka River, passing riverside murals, old warehouses and heritage bridges.</x:t>
  </x:si>
  <x:si>
    <x:t xml:space="preserve">https://www.google.com/maps/search/?api=1&amp;query=Melaka%20River%20Cruise%2C%20Melaka%2C%20Malaysia</x:t>
  </x:si>
  <x:si>
    <x:t xml:space="preserve">A060</x:t>
  </x:si>
  <x:si>
    <x:t xml:space="preserve">MC0095</x:t>
  </x:si>
  <x:si>
    <x:t xml:space="preserve">Melaka Sultanate Palace Museum</x:t>
  </x:si>
  <x:si>
    <x:t xml:space="preserve">museum; Malay history; culture; heritage</x:t>
  </x:si>
  <x:si>
    <x:t xml:space="preserve">A reconstruction of the 15th-century Melaka Sultanate's wooden palace, now a museum on Malay royal history.</x:t>
  </x:si>
  <x:si>
    <x:t xml:space="preserve">https://www.google.com/maps/search/?api=1&amp;query=Melaka%20Sultanate%20Palace%20Museum%2C%20Melaka%2C%20Malaysia</x:t>
  </x:si>
  <x:si>
    <x:t xml:space="preserve">A061</x:t>
  </x:si>
  <x:si>
    <x:t xml:space="preserve">MC0096</x:t>
  </x:si>
  <x:si>
    <x:t xml:space="preserve">Baba and Nyonya Heritage Museum</x:t>
  </x:si>
  <x:si>
    <x:t xml:space="preserve">Peranakan culture; museum; heritage; history</x:t>
  </x:si>
  <x:si>
    <x:t xml:space="preserve">A preserved Peranakan townhouse museum in Melaka showcasing Baba-Nyonya (Straits Chinese) heritage, furnishings and lifestyle.</x:t>
  </x:si>
  <x:si>
    <x:t xml:space="preserve">https://www.google.com/maps/search/?api=1&amp;query=Baba%20and%20Nyonya%20Heritage%20Museum%2C%20Melaka%2C%20Malaysia</x:t>
  </x:si>
  <x:si>
    <x:t xml:space="preserve">A062</x:t>
  </x:si>
  <x:si>
    <x:t xml:space="preserve">MC0097</x:t>
  </x:si>
  <x:si>
    <x:t xml:space="preserve">Cheng Hoon Teng Temple</x:t>
  </x:si>
  <x:si>
    <x:t xml:space="preserve">temple; culture; heritage; architecture</x:t>
  </x:si>
  <x:si>
    <x:t xml:space="preserve">Malaysia's oldest functioning Chinese temple, built in Melaka in 1645 in traditional southern Chinese architectural style.</x:t>
  </x:si>
  <x:si>
    <x:t xml:space="preserve">https://www.google.com/maps/search/?api=1&amp;query=Cheng%20Hoon%20Teng%20Temple%2C%20Melaka%2C%20Malaysia</x:t>
  </x:si>
  <x:si>
    <x:t xml:space="preserve">A063</x:t>
  </x:si>
  <x:si>
    <x:t xml:space="preserve">MC0098</x:t>
  </x:si>
  <x:si>
    <x:t xml:space="preserve">Melaka Botanical Garden</x:t>
  </x:si>
  <x:si>
    <x:t xml:space="preserve">Ayer Keroh</x:t>
  </x:si>
  <x:si>
    <x:t xml:space="preserve">garden; nature; walking; relaxation; family</x:t>
  </x:si>
  <x:si>
    <x:t xml:space="preserve">A botanical park in Ayer Keroh, Melaka, with landscaped gardens and recreational facilities.</x:t>
  </x:si>
  <x:si>
    <x:t xml:space="preserve">https://www.google.com/maps/search/?api=1&amp;query=Melaka%20Botanical%20Garden%2C%20Melaka%2C%20Malaysia</x:t>
  </x:si>
  <x:si>
    <x:t xml:space="preserve">A064</x:t>
  </x:si>
  <x:si>
    <x:t xml:space="preserve">MC0099</x:t>
  </x:si>
  <x:si>
    <x:t xml:space="preserve">Stadthuys</x:t>
  </x:si>
  <x:si>
    <x:t xml:space="preserve">Dutch heritage; museum; architecture</x:t>
  </x:si>
  <x:si>
    <x:t xml:space="preserve">A Dutch colonial town hall in Melaka's Red Square, one of the oldest Dutch buildings in the East, built in the 17th century.</x:t>
  </x:si>
  <x:si>
    <x:t xml:space="preserve">https://www.google.com/maps/search/?api=1&amp;query=Stadthuys%2C%20Melaka%2C%20Malaysia</x:t>
  </x:si>
  <x:si>
    <x:t xml:space="preserve">Melaka expansion batch</x:t>
  </x:si>
  <x:si>
    <x:t xml:space="preserve">MC0100</x:t>
  </x:si>
  <x:si>
    <x:t xml:space="preserve">Christ Church Melaka</x:t>
  </x:si>
  <x:si>
    <x:t xml:space="preserve">church; heritage; architecture</x:t>
  </x:si>
  <x:si>
    <x:t xml:space="preserve">A pink-painted Anglican church in Melaka built by the Dutch in 1753, among the oldest churches in Malaysia.</x:t>
  </x:si>
  <x:si>
    <x:t xml:space="preserve">https://www.google.com/maps/search/?api=1&amp;query=Christ%20Church%20Melaka%2C%20Melaka%2C%20Malaysia</x:t>
  </x:si>
  <x:si>
    <x:t xml:space="preserve">MC0101</x:t>
  </x:si>
  <x:si>
    <x:t xml:space="preserve">St Paul's Hill and Church Ruins</x:t>
  </x:si>
  <x:si>
    <x:t xml:space="preserve">ruins; hill; history</x:t>
  </x:si>
  <x:si>
    <x:t xml:space="preserve">Hilltop ruins of a 16th-century Portuguese chapel in Melaka, later used by the Dutch as a burial ground, offering views over the city.</x:t>
  </x:si>
  <x:si>
    <x:t xml:space="preserve">https://www.google.com/maps/search/?api=1&amp;query=St%20Paul's%20Hill%20and%20Church%20Ruins%2C%20Melaka%2C%20Malaysia</x:t>
  </x:si>
  <x:si>
    <x:t xml:space="preserve">MC0102</x:t>
  </x:si>
  <x:si>
    <x:t xml:space="preserve">Kampung Kling Mosque</x:t>
  </x:si>
  <x:si>
    <x:t xml:space="preserve">An 18th-century mosque in Melaka blending Sumatran, Chinese and colonial architectural styles.</x:t>
  </x:si>
  <x:si>
    <x:t xml:space="preserve">https://www.google.com/maps/search/?api=1&amp;query=Kampung%20Kling%20Mosque%2C%20Melaka%2C%20Malaysia</x:t>
  </x:si>
  <x:si>
    <x:t xml:space="preserve">MC0103</x:t>
  </x:si>
  <x:si>
    <x:t xml:space="preserve">Muzium Kapal Selam</x:t>
  </x:si>
  <x:si>
    <x:t xml:space="preserve">submarine; maritime; family</x:t>
  </x:si>
  <x:si>
    <x:t xml:space="preserve">A museum in Melaka built around a decommissioned Royal Malaysian Navy submarine, open for public tours.</x:t>
  </x:si>
  <x:si>
    <x:t xml:space="preserve">https://www.google.com/maps/search/?api=1&amp;query=Muzium%20Kapal%20Selam%2C%20Melaka%2C%20Malaysia</x:t>
  </x:si>
  <x:si>
    <x:t xml:space="preserve">MC0104</x:t>
  </x:si>
  <x:si>
    <x:t xml:space="preserve">Melaka River Walk</x:t>
  </x:si>
  <x:si>
    <x:t xml:space="preserve">riverfront; street art; night walk</x:t>
  </x:si>
  <x:si>
    <x:t xml:space="preserve">A landscaped riverside promenade in Melaka lined with cafes and colourful heritage buildings.</x:t>
  </x:si>
  <x:si>
    <x:t xml:space="preserve">https://www.google.com/maps/search/?api=1&amp;query=Melaka%20River%20Walk%2C%20Melaka%2C%20Malaysia</x:t>
  </x:si>
  <x:si>
    <x:t xml:space="preserve">MC0105</x:t>
  </x:si>
  <x:si>
    <x:t xml:space="preserve">Portuguese Settlement</x:t>
  </x:si>
  <x:si>
    <x:t xml:space="preserve">community; food; heritage</x:t>
  </x:si>
  <x:si>
    <x:t xml:space="preserve">A coastal enclave of Melaka's Kristang (Portuguese-Eurasian) community, known for its seafood square and cultural festivals.</x:t>
  </x:si>
  <x:si>
    <x:t xml:space="preserve">https://www.google.com/maps/search/?api=1&amp;query=Portuguese%20Settlement%2C%20Melaka%2C%20Malaysia</x:t>
  </x:si>
  <x:si>
    <x:t xml:space="preserve">MC0106</x:t>
  </x:si>
  <x:si>
    <x:t xml:space="preserve">Melaka Butterfly and Reptile Sanctuary</x:t>
  </x:si>
  <x:si>
    <x:t xml:space="preserve">butterflies; reptiles; family</x:t>
  </x:si>
  <x:si>
    <x:t xml:space="preserve">A wildlife park in Ayer Keroh, Melaka, housing butterflies, reptiles and insects in landscaped enclosures.</x:t>
  </x:si>
  <x:si>
    <x:t xml:space="preserve">https://www.google.com/maps/search/?api=1&amp;query=Melaka%20Butterfly%20and%20Reptile%20Sanctuary%2C%20Melaka%2C%20Malaysia</x:t>
  </x:si>
  <x:si>
    <x:t xml:space="preserve">MC0107</x:t>
  </x:si>
  <x:si>
    <x:t xml:space="preserve">Mini Malaysia and ASEAN Cultural Park</x:t>
  </x:si>
  <x:si>
    <x:t xml:space="preserve">traditional houses; culture; family</x:t>
  </x:si>
  <x:si>
    <x:t xml:space="preserve">A cultural theme park in Ayer Keroh, Melaka, featuring miniature traditional houses representing Malaysia's states and ASEAN nations.</x:t>
  </x:si>
  <x:si>
    <x:t xml:space="preserve">https://www.google.com/maps/search/?api=1&amp;query=Mini%20Malaysia%20and%20ASEAN%20Cultural%20Park%2C%20Melaka%2C%20Malaysia</x:t>
  </x:si>
  <x:si>
    <x:t xml:space="preserve">MC0108</x:t>
  </x:si>
  <x:si>
    <x:t xml:space="preserve">Melaka Planetarium Adventure Science Centre</x:t>
  </x:si>
  <x:si>
    <x:t xml:space="preserve">science; astronomy; education</x:t>
  </x:si>
  <x:si>
    <x:t xml:space="preserve">A science centre in Ayer Keroh, Melaka, with a planetarium and interactive exhibits.</x:t>
  </x:si>
  <x:si>
    <x:t xml:space="preserve">https://www.google.com/maps/search/?api=1&amp;query=Melaka%20Planetarium%20Adventure%20Science%20Centre%2C%20Melaka%2C%20Malaysia</x:t>
  </x:si>
  <x:si>
    <x:t xml:space="preserve">MC0109</x:t>
  </x:si>
  <x:si>
    <x:t xml:space="preserve">A'Famosa Safari Wonderland</x:t>
  </x:si>
  <x:si>
    <x:t xml:space="preserve">safari; animals; family</x:t>
  </x:si>
  <x:si>
    <x:t xml:space="preserve">A wildlife and safari park within the A'Famosa Resort in Alor Gajah, Melaka.</x:t>
  </x:si>
  <x:si>
    <x:t xml:space="preserve">https://www.google.com/maps/search/?api=1&amp;query=A'Famosa%20Safari%20Wonderland%2C%20Melaka%2C%20Malaysia</x:t>
  </x:si>
  <x:si>
    <x:t xml:space="preserve">MC0110</x:t>
  </x:si>
  <x:si>
    <x:t xml:space="preserve">Freeport A'Famosa Outlet</x:t>
  </x:si>
  <x:si>
    <x:t xml:space="preserve">outlet; shopping; dining</x:t>
  </x:si>
  <x:si>
    <x:t xml:space="preserve">An outlet shopping mall within the A'Famosa Resort complex in Alor Gajah, Melaka.</x:t>
  </x:si>
  <x:si>
    <x:t xml:space="preserve">https://www.google.com/maps/search/?api=1&amp;query=Freeport%20A'Famosa%20Outlet%2C%20Melaka%2C%20Malaysia</x:t>
  </x:si>
  <x:si>
    <x:t xml:space="preserve">MC0111</x:t>
  </x:si>
  <x:si>
    <x:t xml:space="preserve">Jasin Hot Springs</x:t>
  </x:si>
  <x:si>
    <x:t xml:space="preserve">Jasin</x:t>
  </x:si>
  <x:si>
    <x:t xml:space="preserve">hot spring; bathing; family</x:t>
  </x:si>
  <x:si>
    <x:t xml:space="preserve">A natural hot spring recreational area in Jasin district, Melaka.</x:t>
  </x:si>
  <x:si>
    <x:t xml:space="preserve">https://www.google.com/maps/search/?api=1&amp;query=Jasin%20Hot%20Springs%2C%20Melaka%2C%20Malaysia</x:t>
  </x:si>
  <x:si>
    <x:t xml:space="preserve">MC0112</x:t>
  </x:si>
  <x:si>
    <x:t xml:space="preserve">Asahan Waterfall</x:t>
  </x:si>
  <x:si>
    <x:t xml:space="preserve">A waterfall recreational area in Jasin district, Melaka.</x:t>
  </x:si>
  <x:si>
    <x:t xml:space="preserve">https://www.google.com/maps/search/?api=1&amp;query=Asahan%20Waterfall%2C%20Melaka%2C%20Malaysia</x:t>
  </x:si>
  <x:si>
    <x:t xml:space="preserve">MC0113</x:t>
  </x:si>
  <x:si>
    <x:t xml:space="preserve">Tanjung Bidara Beach</x:t>
  </x:si>
  <x:si>
    <x:t xml:space="preserve">Masjid Tanah</x:t>
  </x:si>
  <x:si>
    <x:t xml:space="preserve">beach; picnic; coast</x:t>
  </x:si>
  <x:si>
    <x:t xml:space="preserve">A public beach in Masjid Tanah, Melaka, popular for its shallow, calm waters.</x:t>
  </x:si>
  <x:si>
    <x:t xml:space="preserve">https://www.google.com/maps/search/?api=1&amp;query=Tanjung%20Bidara%20Beach%2C%20Melaka%2C%20Malaysia</x:t>
  </x:si>
  <x:si>
    <x:t xml:space="preserve">MC0114</x:t>
  </x:si>
  <x:si>
    <x:t xml:space="preserve">Demang Abdul Ghani Gallery</x:t>
  </x:si>
  <x:si>
    <x:t xml:space="preserve">Sungai Rambai</x:t>
  </x:si>
  <x:si>
    <x:t xml:space="preserve">traditional house; history; culture</x:t>
  </x:si>
  <x:si>
    <x:t xml:space="preserve">A small heritage gallery in Sungai Rambai, Melaka.</x:t>
  </x:si>
  <x:si>
    <x:t xml:space="preserve">https://www.google.com/maps/search/?api=1&amp;query=Demang%20Abdul%20Ghani%20Gallery%2C%20Melaka%2C%20Malaysia</x:t>
  </x:si>
  <x:si>
    <x:t xml:space="preserve">MC0115</x:t>
  </x:si>
  <x:si>
    <x:t xml:space="preserve">Port Dickson</x:t>
  </x:si>
  <x:si>
    <x:t xml:space="preserve">Negeri Sembilan</x:t>
  </x:si>
  <x:si>
    <x:t xml:space="preserve">Beach; coastline; swimming; relaxation; sunset; picnicking; camping; water sports; kayaking; parasailing; jet skiing; banana boat; fishing; kite flying; waterfront; museums; military history; lighthouse; forest reserve; wildlife; family recreation; food; resorts; weekend getaway</x:t>
  </x:si>
  <x:si>
    <x:t xml:space="preserve">A popular west-coast seaside destination in Negeri Sembilan, approximately 90 km south of Kuala Lumpur. Its long coastline includes beaches such as Teluk Kemang, Saujana, Blue Lagoon and Cahaya Negeri, complemented by waterfront recreation, museums, nature attractions, family activities, restaurants and resorts.</x:t>
  </x:si>
  <x:si>
    <x:t xml:space="preserve">https://www.malaysia.travel/explore/port-dickson ; https://www.mppd.gov.my/ms/pelawat/destinasi-menarik ; https://www.mppd.gov.my/en/visitors/beach ; https://ebrochures.malaysia.travel/en/islands-and-beaches/port-diskson/</x:t>
  </x:si>
  <x:si>
    <x:t xml:space="preserve">https://ebrochures.malaysia.travel/en/malaysia-travel-guide/negeri-sembilan/</x:t>
  </x:si>
  <x:si>
    <x:t xml:space="preserve">A014</x:t>
  </x:si>
  <x:si>
    <x:t xml:space="preserve">MC0116</x:t>
  </x:si>
  <x:si>
    <x:t xml:space="preserve">Ulu Bendul Recreational Forest</x:t>
  </x:si>
  <x:si>
    <x:t xml:space="preserve">Kuala Pilah</x:t>
  </x:si>
  <x:si>
    <x:t xml:space="preserve">Recreational forest; eco park; tropical rainforest; river; stream; swimming; wading; natural pool; picnicking; camping; hiking; trekking; forest trail; Gunung Angsi; fishing; wildlife; birdwatching; photography; relaxation; family recreation</x:t>
  </x:si>
  <x:si>
    <x:t xml:space="preserve">A forest eco-park in the Angsi Forest Reserve near Kuala Pilah, centred on the clear Batang Terachi River and shaded tropical greenery. Visitors come for picnics, stream bathing, forest walks, camping, fishing and access toward Gunung Angsi, supported by basic recreational facilities.</x:t>
  </x:si>
  <x:si>
    <x:t xml:space="preserve">https://www.malaysia.travel/explore/ulu-bendul-recreational-forest ; https://www.forestry.gov.my/en/negeri-sembilan/taman-eko-rimba-ulu-bendul ; https://www.forestry.gov.my/my/negeri-sembilan/taman-eko-rimba-ulu-bendul ; https://www.forestry.gov.my/en/peta-lokasi/106-hutan-lipur-hutan-taman-negeri/hutan-lipur-negeri-sembilan/223-ter-ulu-bendul ; https://ebrochures.malaysia.travel/en/malaysia-travel-guide/negeri-sembilan/</x:t>
  </x:si>
  <x:si>
    <x:t xml:space="preserve">A015</x:t>
  </x:si>
  <x:si>
    <x:t xml:space="preserve">MC0117</x:t>
  </x:si>
  <x:si>
    <x:t xml:space="preserve">Army Museum Port Dickson</x:t>
  </x:si>
  <x:si>
    <x:t xml:space="preserve">museum; military history; education; heritage</x:t>
  </x:si>
  <x:si>
    <x:t xml:space="preserve">A military museum in Port Dickson showcasing Malaysian Army history and equipment.</x:t>
  </x:si>
  <x:si>
    <x:t xml:space="preserve">https://www.google.com/maps/search/?api=1&amp;query=Army%20Museum%20Port%20Dickson%2C%20Negeri%20Sembilan%2C%20Malaysia</x:t>
  </x:si>
  <x:si>
    <x:t xml:space="preserve">A065</x:t>
  </x:si>
  <x:si>
    <x:t xml:space="preserve">MC0118</x:t>
  </x:si>
  <x:si>
    <x:t xml:space="preserve">Cape Rachado Lighthouse</x:t>
  </x:si>
  <x:si>
    <x:t xml:space="preserve">lighthouse; hiking; history; scenery; nature</x:t>
  </x:si>
  <x:si>
    <x:t xml:space="preserve">A historic Portuguese-built lighthouse on a headland in Port Dickson, offering coastal views.</x:t>
  </x:si>
  <x:si>
    <x:t xml:space="preserve">https://www.google.com/maps/search/?api=1&amp;query=Cape%20Rachado%20Lighthouse%2C%20Negeri%20Sembilan%2C%20Malaysia</x:t>
  </x:si>
  <x:si>
    <x:t xml:space="preserve">A066</x:t>
  </x:si>
  <x:si>
    <x:t xml:space="preserve">MC0119</x:t>
  </x:si>
  <x:si>
    <x:t xml:space="preserve">Lukut Museum and Fort</x:t>
  </x:si>
  <x:si>
    <x:t xml:space="preserve">Lukut</x:t>
  </x:si>
  <x:si>
    <x:t xml:space="preserve">museum; fort; history; heritage; archaeology</x:t>
  </x:si>
  <x:si>
    <x:t xml:space="preserve">Ruins of a 19th-century tin-mining era fort in Lukut, with an adjoining heritage museum.</x:t>
  </x:si>
  <x:si>
    <x:t xml:space="preserve">https://www.google.com/maps/search/?api=1&amp;query=Lukut%20Museum%20and%20Fort%2C%20Negeri%20Sembilan%2C%20Malaysia</x:t>
  </x:si>
  <x:si>
    <x:t xml:space="preserve">A067</x:t>
  </x:si>
  <x:si>
    <x:t xml:space="preserve">MC0120</x:t>
  </x:si>
  <x:si>
    <x:t xml:space="preserve">Royal Museum of Seri Menanti</x:t>
  </x:si>
  <x:si>
    <x:t xml:space="preserve">royal museum; Minangkabau; culture; heritage; architecture</x:t>
  </x:si>
  <x:si>
    <x:t xml:space="preserve">The former wooden royal palace of Negeri Sembilan in Kuala Pilah, now a museum on the state's Minangkabau-influenced royal heritage.</x:t>
  </x:si>
  <x:si>
    <x:t xml:space="preserve">https://www.google.com/maps/search/?api=1&amp;query=Royal%20Museum%20of%20Seri%20Menanti%2C%20Negeri%20Sembilan%2C%20Malaysia</x:t>
  </x:si>
  <x:si>
    <x:t xml:space="preserve">A068</x:t>
  </x:si>
  <x:si>
    <x:t xml:space="preserve">MC0121</x:t>
  </x:si>
  <x:si>
    <x:t xml:space="preserve">Jelita Ostrich Farm</x:t>
  </x:si>
  <x:si>
    <x:t xml:space="preserve">Seremban</x:t>
  </x:si>
  <x:si>
    <x:t xml:space="preserve">ostrich; animals; farm; family; children</x:t>
  </x:si>
  <x:si>
    <x:t xml:space="preserve">An agro-tourism farm in Seremban where visitors can view and feed ostriches and other farm animals.</x:t>
  </x:si>
  <x:si>
    <x:t xml:space="preserve">https://www.google.com/maps/search/?api=1&amp;query=Jelita%20Ostrich%20Farm%2C%20Negeri%20Sembilan%2C%20Malaysia</x:t>
  </x:si>
  <x:si>
    <x:t xml:space="preserve">A069</x:t>
  </x:si>
  <x:si>
    <x:t xml:space="preserve">MC0122</x:t>
  </x:si>
  <x:si>
    <x:t xml:space="preserve">Gunung Angsi</x:t>
  </x:si>
  <x:si>
    <x:t xml:space="preserve">hiking; mountain; forest; adventure; nature</x:t>
  </x:si>
  <x:si>
    <x:t xml:space="preserve">A hiking mountain in Kuala Pilah district popular with trekkers.</x:t>
  </x:si>
  <x:si>
    <x:t xml:space="preserve">https://www.google.com/maps/search/?api=1&amp;query=Gunung%20Angsi%2C%20Negeri%20Sembilan%2C%20Malaysia</x:t>
  </x:si>
  <x:si>
    <x:t xml:space="preserve">A070</x:t>
  </x:si>
  <x:si>
    <x:t xml:space="preserve">MC0123</x:t>
  </x:si>
  <x:si>
    <x:t xml:space="preserve">Taman Tasik Seremban</x:t>
  </x:si>
  <x:si>
    <x:t xml:space="preserve">lake; walking; relaxation; family; urban park</x:t>
  </x:si>
  <x:si>
    <x:t xml:space="preserve">A lake garden park in central Seremban popular for jogging and picnics.</x:t>
  </x:si>
  <x:si>
    <x:t xml:space="preserve">https://www.google.com/maps/search/?api=1&amp;query=Taman%20Tasik%20Seremban%2C%20Negeri%20Sembilan%2C%20Malaysia</x:t>
  </x:si>
  <x:si>
    <x:t xml:space="preserve">A071</x:t>
  </x:si>
  <x:si>
    <x:t xml:space="preserve">MC0124</x:t>
  </x:si>
  <x:si>
    <x:t xml:space="preserve">Jeram Toi Recreational Forest</x:t>
  </x:si>
  <x:si>
    <x:t xml:space="preserve">Jelebu</x:t>
  </x:si>
  <x:si>
    <x:t xml:space="preserve">waterfall; forest; picnic; nature; relaxation</x:t>
  </x:si>
  <x:si>
    <x:t xml:space="preserve">A waterfall-based forest recreation area in Jelebu district.</x:t>
  </x:si>
  <x:si>
    <x:t xml:space="preserve">https://www.google.com/maps/search/?api=1&amp;query=Jeram%20Toi%20Recreational%20Forest%2C%20Negeri%20Sembilan%2C%20Malaysia</x:t>
  </x:si>
  <x:si>
    <x:t xml:space="preserve">A072</x:t>
  </x:si>
  <x:si>
    <x:t xml:space="preserve">MC0125</x:t>
  </x:si>
  <x:si>
    <x:t xml:space="preserve">Negeri Sembilan State Museum Complex</x:t>
  </x:si>
  <x:si>
    <x:t xml:space="preserve">Minangkabau; museum; heritage</x:t>
  </x:si>
  <x:si>
    <x:t xml:space="preserve">A museum complex in Seremban built in Minangkabau-style architecture, covering Negeri Sembilan's history and culture.</x:t>
  </x:si>
  <x:si>
    <x:t xml:space="preserve">https://www.google.com/maps/search/?api=1&amp;query=Negeri%20Sembilan%20State%20Museum%20Complex%2C%20Negeri%20Sembilan%2C%20Malaysia</x:t>
  </x:si>
  <x:si>
    <x:t xml:space="preserve">Negeri Sembilan expansion batch</x:t>
  </x:si>
  <x:si>
    <x:t xml:space="preserve">MC0126</x:t>
  </x:si>
  <x:si>
    <x:t xml:space="preserve">Seremban Lake Garden</x:t>
  </x:si>
  <x:si>
    <x:t xml:space="preserve">lake garden; walking; family</x:t>
  </x:si>
  <x:si>
    <x:t xml:space="preserve">A landscaped lake park in central Seremban, popular for jogging and family outings.</x:t>
  </x:si>
  <x:si>
    <x:t xml:space="preserve">https://www.google.com/maps/search/?api=1&amp;query=Seremban%20Lake%20Garden%2C%20Negeri%20Sembilan%2C%20Malaysia</x:t>
  </x:si>
  <x:si>
    <x:t xml:space="preserve">MC0127</x:t>
  </x:si>
  <x:si>
    <x:t xml:space="preserve">Centipede Temple</x:t>
  </x:si>
  <x:si>
    <x:t xml:space="preserve">temple; hill; viewpoint</x:t>
  </x:si>
  <x:si>
    <x:t xml:space="preserve">A Chinese temple in Seremban known locally for the folklore associated with its name.</x:t>
  </x:si>
  <x:si>
    <x:t xml:space="preserve">https://www.google.com/maps/search/?api=1&amp;query=Centipede%20Temple%2C%20Negeri%20Sembilan%2C%20Malaysia</x:t>
  </x:si>
  <x:si>
    <x:t xml:space="preserve">MC0128</x:t>
  </x:si>
  <x:si>
    <x:t xml:space="preserve">Royal Gallery Tuanku Ja'afar</x:t>
  </x:si>
  <x:si>
    <x:t xml:space="preserve">royal history; gallery; heritage</x:t>
  </x:si>
  <x:si>
    <x:t xml:space="preserve">A royal memorabilia gallery in Seremban named after a former Yang di-Pertuan Besar of Negeri Sembilan.</x:t>
  </x:si>
  <x:si>
    <x:t xml:space="preserve">https://www.google.com/maps/search/?api=1&amp;query=Royal%20Gallery%20Tuanku%20Ja'afar%2C%20Negeri%20Sembilan%2C%20Malaysia</x:t>
  </x:si>
  <x:si>
    <x:t xml:space="preserve">MC0129</x:t>
  </x:si>
  <x:si>
    <x:t xml:space="preserve">Seri Menanti Royal Museum</x:t>
  </x:si>
  <x:si>
    <x:t xml:space="preserve">royal palace; Minangkabau; museum</x:t>
  </x:si>
  <x:si>
    <x:t xml:space="preserve">The former wooden royal palace of Negeri Sembilan in Kuala Pilah, built without nails and now a museum.</x:t>
  </x:si>
  <x:si>
    <x:t xml:space="preserve">https://www.google.com/maps/search/?api=1&amp;query=Seri%20Menanti%20Royal%20Museum%2C%20Negeri%20Sembilan%2C%20Malaysia</x:t>
  </x:si>
  <x:si>
    <x:t xml:space="preserve">MC0130</x:t>
  </x:si>
  <x:si>
    <x:t xml:space="preserve">Rembau Museum</x:t>
  </x:si>
  <x:si>
    <x:t xml:space="preserve">Rembau</x:t>
  </x:si>
  <x:si>
    <x:t xml:space="preserve">local history; adat; museum</x:t>
  </x:si>
  <x:si>
    <x:t xml:space="preserve">A small district museum in Rembau town, Negeri Sembilan.</x:t>
  </x:si>
  <x:si>
    <x:t xml:space="preserve">https://www.google.com/maps/search/?api=1&amp;query=Rembau%20Museum%2C%20Negeri%20Sembilan%2C%20Malaysia</x:t>
  </x:si>
  <x:si>
    <x:t xml:space="preserve">MC0131</x:t>
  </x:si>
  <x:si>
    <x:t xml:space="preserve">Gunung Datuk Recreational Forest</x:t>
  </x:si>
  <x:si>
    <x:t xml:space="preserve">hiking; summit; viewpoint</x:t>
  </x:si>
  <x:si>
    <x:t xml:space="preserve">A steep hiking trail up Gunung Datuk in Rembau district, popular with adventure hikers.</x:t>
  </x:si>
  <x:si>
    <x:t xml:space="preserve">https://www.google.com/maps/search/?api=1&amp;query=Gunung%20Datuk%20Recreational%20Forest%2C%20Negeri%20Sembilan%2C%20Malaysia</x:t>
  </x:si>
  <x:si>
    <x:t xml:space="preserve">MC0132</x:t>
  </x:si>
  <x:si>
    <x:t xml:space="preserve">Kuala Klawang Customs Museum</x:t>
  </x:si>
  <x:si>
    <x:t xml:space="preserve">adat perpatih; museum; culture</x:t>
  </x:si>
  <x:si>
    <x:t xml:space="preserve">A small museum in Jelebu district related to local customs history.</x:t>
  </x:si>
  <x:si>
    <x:t xml:space="preserve">https://www.google.com/maps/search/?api=1&amp;query=Kuala%20Klawang%20Customs%20Museum%2C%20Negeri%20Sembilan%2C%20Malaysia</x:t>
  </x:si>
  <x:si>
    <x:t xml:space="preserve">MC0133</x:t>
  </x:si>
  <x:si>
    <x:t xml:space="preserve">Kenaboi State Park</x:t>
  </x:si>
  <x:si>
    <x:t xml:space="preserve">rainforest; river; trekking</x:t>
  </x:si>
  <x:si>
    <x:t xml:space="preserve">A forest reserve and state park in Jelebu district known for its biodiversity.</x:t>
  </x:si>
  <x:si>
    <x:t xml:space="preserve">https://www.google.com/maps/search/?api=1&amp;query=Kenaboi%20State%20Park%2C%20Negeri%20Sembilan%2C%20Malaysia</x:t>
  </x:si>
  <x:si>
    <x:t xml:space="preserve">MC0134</x:t>
  </x:si>
  <x:si>
    <x:t xml:space="preserve">Teratak Za'aba</x:t>
  </x:si>
  <x:si>
    <x:t xml:space="preserve">Jempol</x:t>
  </x:si>
  <x:si>
    <x:t xml:space="preserve">literary heritage; house museum; history</x:t>
  </x:si>
  <x:si>
    <x:t xml:space="preserve">The preserved birthplace house of Malay literary figure Za'aba, in Jempol district, Negeri Sembilan.</x:t>
  </x:si>
  <x:si>
    <x:t xml:space="preserve">https://www.google.com/maps/search/?api=1&amp;query=Teratak%20Za'aba%2C%20Negeri%20Sembilan%2C%20Malaysia</x:t>
  </x:si>
  <x:si>
    <x:t xml:space="preserve">MC0135</x:t>
  </x:si>
  <x:si>
    <x:t xml:space="preserve">De Bana Recreational Forest</x:t>
  </x:si>
  <x:si>
    <x:t xml:space="preserve">forest; river; recreation</x:t>
  </x:si>
  <x:si>
    <x:t xml:space="preserve">A forest recreation area in Jempol district, Negeri Sembilan.</x:t>
  </x:si>
  <x:si>
    <x:t xml:space="preserve">https://www.google.com/maps/search/?api=1&amp;query=De%20Bana%20Recreational%20Forest%2C%20Negeri%20Sembilan%2C%20Malaysia</x:t>
  </x:si>
  <x:si>
    <x:t xml:space="preserve">MC0136</x:t>
  </x:si>
  <x:si>
    <x:t xml:space="preserve">Blue Lagoon</x:t>
  </x:si>
  <x:si>
    <x:t xml:space="preserve">beach; swimming; family</x:t>
  </x:si>
  <x:si>
    <x:t xml:space="preserve">A scenic lagoon-like beach spot in Port Dickson.</x:t>
  </x:si>
  <x:si>
    <x:t xml:space="preserve">https://www.google.com/maps/search/?api=1&amp;query=Blue%20Lagoon%2C%20Negeri%20Sembilan%2C%20Malaysia</x:t>
  </x:si>
  <x:si>
    <x:t xml:space="preserve">MC0137</x:t>
  </x:si>
  <x:si>
    <x:t xml:space="preserve">Pengkalan Kempas Historical Complex</x:t>
  </x:si>
  <x:si>
    <x:t xml:space="preserve">megaliths; tomb; history</x:t>
  </x:si>
  <x:si>
    <x:t xml:space="preserve">A historical site in Port Dickson with ancient megalithic stones and a royal mausoleum.</x:t>
  </x:si>
  <x:si>
    <x:t xml:space="preserve">https://www.google.com/maps/search/?api=1&amp;query=Pengkalan%20Kempas%20Historical%20Complex%2C%20Negeri%20Sembilan%2C%20Malaysia</x:t>
  </x:si>
  <x:si>
    <x:t xml:space="preserve">MC0138</x:t>
  </x:si>
  <x:si>
    <x:t xml:space="preserve">Gunung Tampin Recreational Forest</x:t>
  </x:si>
  <x:si>
    <x:t xml:space="preserve">Tampin</x:t>
  </x:si>
  <x:si>
    <x:t xml:space="preserve">forest; hiking; wildlife</x:t>
  </x:si>
  <x:si>
    <x:t xml:space="preserve">A forest recreation area with hiking trails in Tampin district, Negeri Sembilan.</x:t>
  </x:si>
  <x:si>
    <x:t xml:space="preserve">https://www.google.com/maps/search/?api=1&amp;query=Gunung%20Tampin%20Recreational%20Forest%2C%20Negeri%20Sembilan%2C%20Malaysia</x:t>
  </x:si>
  <x:si>
    <x:t xml:space="preserve">MC0139</x:t>
  </x:si>
  <x:si>
    <x:t xml:space="preserve">Gemas Railway Station Heritage Precinct</x:t>
  </x:si>
  <x:si>
    <x:t xml:space="preserve">Gemas</x:t>
  </x:si>
  <x:si>
    <x:t xml:space="preserve">railway; war history; town</x:t>
  </x:si>
  <x:si>
    <x:t xml:space="preserve">A historic railway junction town home to a heritage railway station notable in Malaysia's rail network.</x:t>
  </x:si>
  <x:si>
    <x:t xml:space="preserve">https://www.google.com/maps/search/?api=1&amp;query=Gemas%20Railway%20Station%20Heritage%20Precinct%2C%20Negeri%20Sembilan%2C%20Malaysia</x:t>
  </x:si>
  <x:si>
    <x:t xml:space="preserve">MC0140</x:t>
  </x:si>
  <x:si>
    <x:t xml:space="preserve">Genting Highlands</x:t>
  </x:si>
  <x:si>
    <x:t xml:space="preserve">Pahang</x:t>
  </x:si>
  <x:si>
    <x:t xml:space="preserve">Highland resort; cool climate; theme parks; rides; indoor entertainment; outdoor entertainment; shopping; dining; nightlife; casino; cable car; temple; rainforest; nature; family recreation; photography</x:t>
  </x:si>
  <x:si>
    <x:t xml:space="preserve">A highland resort destination set among rainforest-covered hills in Pahang, combining cool-weather relaxation with theme parks, shopping, dining, nightlife and nature. Major experiences include Genting SkyWorlds, Skytropolis, SkyAvenue, Awana SkyWay, Genting Highlands Premium Outlets and Chin Swee Caves Temple.</x:t>
  </x:si>
  <x:si>
    <x:t xml:space="preserve">https://www.malaysia.travel/explore/genting-highlands ; https://www.rwgenting.com/ ; https://ebrochures.malaysia.travel/en/cool-highlands/genting-highlands/</x:t>
  </x:si>
  <x:si>
    <x:t xml:space="preserve">https://ebrochures.malaysia.travel/en/malaysia-travel-guide/pahang/</x:t>
  </x:si>
  <x:si>
    <x:t xml:space="preserve">A007</x:t>
  </x:si>
  <x:si>
    <x:t xml:space="preserve">MC0141</x:t>
  </x:si>
  <x:si>
    <x:t xml:space="preserve">Cameron Highlands</x:t>
  </x:si>
  <x:si>
    <x:t xml:space="preserve">Highland resort; cool climate; tea plantation; strawberry farm; flower garden; vegetable farm; agrotourism; Mossy Forest; rainforest; jungle trail; hiking; Gunung Brinchang; viewpoint; waterfall; market; local produce; museum; colonial heritage; photography; nature; family recreation; cafe; food; resort</x:t>
  </x:si>
  <x:si>
    <x:t xml:space="preserve">Pahang's best-known highland destination combines a cool mountain climate with rolling tea estates, strawberry and vegetable farms, flower gardens, markets, forest trails and heritage attractions. Its main visitor centres include Tanah Rata, Brinchang and Ringlet, with nature and agrotourism experiences spread across the district.</x:t>
  </x:si>
  <x:si>
    <x:t xml:space="preserve">https://www.malaysia.travel/explore/cameron-highlands ; https://www.cameronhighland.net/ ; https://www.mdcameron.gov.my/en/visitors/places-interest ; https://www.mdcameron.gov.my/en/visitors/places-interest/farm-garden ; https://www.mdcameron.gov.my/en/visitors/places-interest/mountain-forest ; https://www.pahangtourism.org.my/destination/highlands/cameron-highlands ; https://www.malaysia.travel/explore/the-best-of-cameron-highlands-a-3d2n-exploration-of-sights-and-senses-2</x:t>
  </x:si>
  <x:si>
    <x:t xml:space="preserve">A016</x:t>
  </x:si>
  <x:si>
    <x:t xml:space="preserve">MC0142</x:t>
  </x:si>
  <x:si>
    <x:t xml:space="preserve">Taman Negara Kuala Tahan</x:t>
  </x:si>
  <x:si>
    <x:t xml:space="preserve">Jerantut</x:t>
  </x:si>
  <x:si>
    <x:t xml:space="preserve">rainforest; hiking; wildlife; canopy walk; adventure</x:t>
  </x:si>
  <x:si>
    <x:t xml:space="preserve">The gateway village to Taman Negara, Malaysia's oldest rainforest national park, offering jungle trekking, river cruises and the famous canopy walkway.</x:t>
  </x:si>
  <x:si>
    <x:t xml:space="preserve">https://www.google.com/maps/search/?api=1&amp;query=Taman%20Negara%20Kuala%20Tahan%2C%20Pahang%2C%20Malaysia</x:t>
  </x:si>
  <x:si>
    <x:t xml:space="preserve">A073</x:t>
  </x:si>
  <x:si>
    <x:t xml:space="preserve">MC0143</x:t>
  </x:si>
  <x:si>
    <x:t xml:space="preserve">Fraser's Hill</x:t>
  </x:si>
  <x:si>
    <x:t xml:space="preserve">Raub</x:t>
  </x:si>
  <x:si>
    <x:t xml:space="preserve">cool climate; birdwatching; relaxation; nature; walking</x:t>
  </x:si>
  <x:si>
    <x:t xml:space="preserve">A cool hill station resort town in Raub district known for its colonial-era bungalows, golf course and birdwatching.</x:t>
  </x:si>
  <x:si>
    <x:t xml:space="preserve">https://www.google.com/maps/search/?api=1&amp;query=Fraser's%20Hill%2C%20Pahang%2C%20Malaysia</x:t>
  </x:si>
  <x:si>
    <x:t xml:space="preserve">A074</x:t>
  </x:si>
  <x:si>
    <x:t xml:space="preserve">MC0144</x:t>
  </x:si>
  <x:si>
    <x:t xml:space="preserve">Cherating Beach</x:t>
  </x:si>
  <x:si>
    <x:t xml:space="preserve">Kuantan</x:t>
  </x:si>
  <x:si>
    <x:t xml:space="preserve">beach; relaxation; water sports; family; scenery</x:t>
  </x:si>
  <x:si>
    <x:t xml:space="preserve">A laid-back beach town in Kuantan district popular with surfers, backpackers and windsurfing enthusiasts.</x:t>
  </x:si>
  <x:si>
    <x:t xml:space="preserve">https://www.google.com/maps/search/?api=1&amp;query=Cherating%20Beach%2C%20Pahang%2C%20Malaysia</x:t>
  </x:si>
  <x:si>
    <x:t xml:space="preserve">A075</x:t>
  </x:si>
  <x:si>
    <x:t xml:space="preserve">MC0145</x:t>
  </x:si>
  <x:si>
    <x:t xml:space="preserve">Kuala Gandah Elephant Conservation Centre</x:t>
  </x:si>
  <x:si>
    <x:t xml:space="preserve">Lanchang</x:t>
  </x:si>
  <x:si>
    <x:t xml:space="preserve">elephants; conservation; wildlife; education; family</x:t>
  </x:si>
  <x:si>
    <x:t xml:space="preserve">A government-run wildlife centre in Lanchang caring for relocated wild elephants, with public feeding and bathing sessions.</x:t>
  </x:si>
  <x:si>
    <x:t xml:space="preserve">https://www.google.com/maps/search/?api=1&amp;query=Kuala%20Gandah%20Elephant%20Conservation%20Centre%2C%20Pahang%2C%20Malaysia</x:t>
  </x:si>
  <x:si>
    <x:t xml:space="preserve">A076</x:t>
  </x:si>
  <x:si>
    <x:t xml:space="preserve">MC0146</x:t>
  </x:si>
  <x:si>
    <x:t xml:space="preserve">Sungai Pandan Waterfall</x:t>
  </x:si>
  <x:si>
    <x:t xml:space="preserve">waterfall; picnic; nature; relaxation; family</x:t>
  </x:si>
  <x:si>
    <x:t xml:space="preserve">A popular waterfall recreational area near Kuantan.</x:t>
  </x:si>
  <x:si>
    <x:t xml:space="preserve">https://www.google.com/maps/search/?api=1&amp;query=Sungai%20Pandan%20Waterfall%2C%20Pahang%2C%20Malaysia</x:t>
  </x:si>
  <x:si>
    <x:t xml:space="preserve">A077</x:t>
  </x:si>
  <x:si>
    <x:t xml:space="preserve">MC0147</x:t>
  </x:si>
  <x:si>
    <x:t xml:space="preserve">Colmar Tropicale</x:t>
  </x:si>
  <x:si>
    <x:t xml:space="preserve">Bentong</x:t>
  </x:si>
  <x:si>
    <x:t xml:space="preserve">architecture; family; photography; hill resort; relaxation</x:t>
  </x:si>
  <x:si>
    <x:t xml:space="preserve">A French-village-themed resort and shopping complex in Bentong, styled after the Alsace region of France.</x:t>
  </x:si>
  <x:si>
    <x:t xml:space="preserve">https://www.google.com/maps/search/?api=1&amp;query=Colmar%20Tropicale%2C%20Pahang%2C%20Malaysia</x:t>
  </x:si>
  <x:si>
    <x:t xml:space="preserve">A078</x:t>
  </x:si>
  <x:si>
    <x:t xml:space="preserve">MC0148</x:t>
  </x:si>
  <x:si>
    <x:t xml:space="preserve">Teluk Cempedak</x:t>
  </x:si>
  <x:si>
    <x:t xml:space="preserve">beach; relaxation; food; family; walking</x:t>
  </x:si>
  <x:si>
    <x:t xml:space="preserve">A popular beach in Kuantan town with resorts, food stalls and calm swimming waters.</x:t>
  </x:si>
  <x:si>
    <x:t xml:space="preserve">https://www.google.com/maps/search/?api=1&amp;query=Teluk%20Cempedak%2C%20Pahang%2C%20Malaysia</x:t>
  </x:si>
  <x:si>
    <x:t xml:space="preserve">A079</x:t>
  </x:si>
  <x:si>
    <x:t xml:space="preserve">MC0149</x:t>
  </x:si>
  <x:si>
    <x:t xml:space="preserve">Mossy Forest</x:t>
  </x:si>
  <x:si>
    <x:t xml:space="preserve">forest; hiking; scenery; cool climate; nature</x:t>
  </x:si>
  <x:si>
    <x:t xml:space="preserve">A montane cloud forest atop Cameron Highlands known for its stunted, moss-covered trees, explored via a raised boardwalk trail.</x:t>
  </x:si>
  <x:si>
    <x:t xml:space="preserve">https://www.google.com/maps/search/?api=1&amp;query=Mossy%20Forest%2C%20Pahang%2C%20Malaysia</x:t>
  </x:si>
  <x:si>
    <x:t xml:space="preserve">A080</x:t>
  </x:si>
  <x:si>
    <x:t xml:space="preserve">MC0150</x:t>
  </x:si>
  <x:si>
    <x:t xml:space="preserve">Sultan Ahmad Shah State Mosque</x:t>
  </x:si>
  <x:si>
    <x:t xml:space="preserve">Pahang's state mosque in Kuantan, notable for its distinctive blue dome.</x:t>
  </x:si>
  <x:si>
    <x:t xml:space="preserve">https://www.google.com/maps/search/?api=1&amp;query=Sultan%20Ahmad%20Shah%20State%20Mosque%2C%20Pahang%2C%20Malaysia</x:t>
  </x:si>
  <x:si>
    <x:t xml:space="preserve">Pahang expansion batch</x:t>
  </x:si>
  <x:si>
    <x:t xml:space="preserve">MC0151</x:t>
  </x:si>
  <x:si>
    <x:t xml:space="preserve">Taman Esplanade Kuantan</x:t>
  </x:si>
  <x:si>
    <x:t xml:space="preserve">riverfront; walking; family</x:t>
  </x:si>
  <x:si>
    <x:t xml:space="preserve">A riverside park along the Kuantan River popular for evening strolls and food stalls.</x:t>
  </x:si>
  <x:si>
    <x:t xml:space="preserve">https://www.google.com/maps/search/?api=1&amp;query=Taman%20Esplanade%20Kuantan%2C%20Pahang%2C%20Malaysia</x:t>
  </x:si>
  <x:si>
    <x:t xml:space="preserve">MC0152</x:t>
  </x:si>
  <x:si>
    <x:t xml:space="preserve">Sultan Abu Bakar Museum</x:t>
  </x:si>
  <x:si>
    <x:t xml:space="preserve">Pekan</x:t>
  </x:si>
  <x:si>
    <x:t xml:space="preserve">royal history; museum; heritage</x:t>
  </x:si>
  <x:si>
    <x:t xml:space="preserve">A former royal palace in Pekan turned museum, showcasing Pahang royal history and artefacts.</x:t>
  </x:si>
  <x:si>
    <x:t xml:space="preserve">https://www.google.com/maps/search/?api=1&amp;query=Sultan%20Abu%20Bakar%20Museum%2C%20Pahang%2C%20Malaysia</x:t>
  </x:si>
  <x:si>
    <x:t xml:space="preserve">MC0153</x:t>
  </x:si>
  <x:si>
    <x:t xml:space="preserve">Pulau Keladi Cultural Village</x:t>
  </x:si>
  <x:si>
    <x:t xml:space="preserve">weaving; village; culture</x:t>
  </x:si>
  <x:si>
    <x:t xml:space="preserve">A riverine cultural village near Pekan, Pahang.</x:t>
  </x:si>
  <x:si>
    <x:t xml:space="preserve">https://www.google.com/maps/search/?api=1&amp;query=Pulau%20Keladi%20Cultural%20Village%2C%20Pahang%2C%20Malaysia</x:t>
  </x:si>
  <x:si>
    <x:t xml:space="preserve">MC0154</x:t>
  </x:si>
  <x:si>
    <x:t xml:space="preserve">Cherating Turtle Sanctuary</x:t>
  </x:si>
  <x:si>
    <x:t xml:space="preserve">Cherating</x:t>
  </x:si>
  <x:si>
    <x:t xml:space="preserve">turtles; conservation; education</x:t>
  </x:si>
  <x:si>
    <x:t xml:space="preserve">A conservation centre near Cherating dedicated to protecting nesting sea turtles.</x:t>
  </x:si>
  <x:si>
    <x:t xml:space="preserve">https://www.google.com/maps/search/?api=1&amp;query=Cherating%20Turtle%20Sanctuary%2C%20Pahang%2C%20Malaysia</x:t>
  </x:si>
  <x:si>
    <x:t xml:space="preserve">MC0155</x:t>
  </x:si>
  <x:si>
    <x:t xml:space="preserve">Rompin State Park</x:t>
  </x:si>
  <x:si>
    <x:t xml:space="preserve">Rompin</x:t>
  </x:si>
  <x:si>
    <x:t xml:space="preserve">rainforest; wildlife; trekking</x:t>
  </x:si>
  <x:si>
    <x:t xml:space="preserve">A rainforest state park spanning Pahang and Johor (Endau-Rompin), known for biodiversity, waterfalls and jungle trekking.</x:t>
  </x:si>
  <x:si>
    <x:t xml:space="preserve">https://www.google.com/maps/search/?api=1&amp;query=Rompin%20State%20Park%2C%20Pahang%2C%20Malaysia</x:t>
  </x:si>
  <x:si>
    <x:t xml:space="preserve">MC0156</x:t>
  </x:si>
  <x:si>
    <x:t xml:space="preserve">Lanjut Beach</x:t>
  </x:si>
  <x:si>
    <x:t xml:space="preserve">beach; fishing; coast</x:t>
  </x:si>
  <x:si>
    <x:t xml:space="preserve">A beach in Rompin district, Pahang.</x:t>
  </x:si>
  <x:si>
    <x:t xml:space="preserve">https://www.google.com/maps/search/?api=1&amp;query=Lanjut%20Beach%2C%20Pahang%2C%20Malaysia</x:t>
  </x:si>
  <x:si>
    <x:t xml:space="preserve">MC0157</x:t>
  </x:si>
  <x:si>
    <x:t xml:space="preserve">Juara Turtle Project</x:t>
  </x:si>
  <x:si>
    <x:t xml:space="preserve">Tioman</x:t>
  </x:si>
  <x:si>
    <x:t xml:space="preserve">turtles; conservation; island</x:t>
  </x:si>
  <x:si>
    <x:t xml:space="preserve">A volunteer-run sea turtle conservation project on Tioman Island's Juara Beach.</x:t>
  </x:si>
  <x:si>
    <x:t xml:space="preserve">https://www.google.com/maps/search/?api=1&amp;query=Juara%20Turtle%20Project%2C%20Pahang%2C%20Malaysia</x:t>
  </x:si>
  <x:si>
    <x:t xml:space="preserve">MC0158</x:t>
  </x:si>
  <x:si>
    <x:t xml:space="preserve">Asah Waterfall</x:t>
  </x:si>
  <x:si>
    <x:t xml:space="preserve">waterfall; island; hiking</x:t>
  </x:si>
  <x:si>
    <x:t xml:space="preserve">A waterfall on Tioman Island near Juara village.</x:t>
  </x:si>
  <x:si>
    <x:t xml:space="preserve">https://www.google.com/maps/search/?api=1&amp;query=Asah%20Waterfall%2C%20Pahang%2C%20Malaysia</x:t>
  </x:si>
  <x:si>
    <x:t xml:space="preserve">MC0159</x:t>
  </x:si>
  <x:si>
    <x:t xml:space="preserve">Kuala Tahan</x:t>
  </x:si>
  <x:si>
    <x:t xml:space="preserve">national park gateway; river; village</x:t>
  </x:si>
  <x:si>
    <x:t xml:space="preserve">The main gateway settlement to Taman Negara national park in Jerantut district.</x:t>
  </x:si>
  <x:si>
    <x:t xml:space="preserve">https://www.google.com/maps/search/?api=1&amp;query=Kuala%20Tahan%2C%20Pahang%2C%20Malaysia</x:t>
  </x:si>
  <x:si>
    <x:t xml:space="preserve">MC0160</x:t>
  </x:si>
  <x:si>
    <x:t xml:space="preserve">Canopy Walkway Taman Negara</x:t>
  </x:si>
  <x:si>
    <x:t xml:space="preserve">canopy walk; rainforest; wildlife</x:t>
  </x:si>
  <x:si>
    <x:t xml:space="preserve">One of the world's longest rainforest canopy walkways, suspended within Taman Negara near Kuala Tahan.</x:t>
  </x:si>
  <x:si>
    <x:t xml:space="preserve">https://www.google.com/maps/search/?api=1&amp;query=Canopy%20Walkway%20Taman%20Negara%2C%20Pahang%2C%20Malaysia</x:t>
  </x:si>
  <x:si>
    <x:t xml:space="preserve">MC0161</x:t>
  </x:si>
  <x:si>
    <x:t xml:space="preserve">Kota Gelanggi Caves</x:t>
  </x:si>
  <x:si>
    <x:t xml:space="preserve">caves; limestone; history</x:t>
  </x:si>
  <x:si>
    <x:t xml:space="preserve">A limestone cave system in Jerantut district, Pahang.</x:t>
  </x:si>
  <x:si>
    <x:t xml:space="preserve">https://www.google.com/maps/search/?api=1&amp;query=Kota%20Gelanggi%20Caves%2C%20Pahang%2C%20Malaysia</x:t>
  </x:si>
  <x:si>
    <x:t xml:space="preserve">MC0162</x:t>
  </x:si>
  <x:si>
    <x:t xml:space="preserve">Kuala Gandah National Elephant Conservation Centre</x:t>
  </x:si>
  <x:si>
    <x:t xml:space="preserve">Temerloh</x:t>
  </x:si>
  <x:si>
    <x:t xml:space="preserve">elephants; conservation; education</x:t>
  </x:si>
  <x:si>
    <x:t xml:space="preserve">A government-run centre in Temerloh district caring for relocated wild elephants, with public feeding and bathing programmes.</x:t>
  </x:si>
  <x:si>
    <x:t xml:space="preserve">https://www.google.com/maps/search/?api=1&amp;query=Kuala%20Gandah%20National%20Elephant%20Conservation%20Centre%2C%20Pahang%2C%20Malaysia</x:t>
  </x:si>
  <x:si>
    <x:t xml:space="preserve">MC0163</x:t>
  </x:si>
  <x:si>
    <x:t xml:space="preserve">Deerland Park</x:t>
  </x:si>
  <x:si>
    <x:t xml:space="preserve">deer; nature; family</x:t>
  </x:si>
  <x:si>
    <x:t xml:space="preserve">A wildlife park in Temerloh featuring deer and other animals.</x:t>
  </x:si>
  <x:si>
    <x:t xml:space="preserve">https://www.google.com/maps/search/?api=1&amp;query=Deerland%20Park%2C%20Pahang%2C%20Malaysia</x:t>
  </x:si>
  <x:si>
    <x:t xml:space="preserve">MC0164</x:t>
  </x:si>
  <x:si>
    <x:t xml:space="preserve">Chamang Waterfall</x:t>
  </x:si>
  <x:si>
    <x:t xml:space="preserve">A popular multi-tiered waterfall in Bentong district, Pahang.</x:t>
  </x:si>
  <x:si>
    <x:t xml:space="preserve">https://www.google.com/maps/search/?api=1&amp;query=Chamang%20Waterfall%2C%20Pahang%2C%20Malaysia</x:t>
  </x:si>
  <x:si>
    <x:t xml:space="preserve">MC0165</x:t>
  </x:si>
  <x:si>
    <x:t xml:space="preserve">Bentong Walk</x:t>
  </x:si>
  <x:si>
    <x:t xml:space="preserve">night market; food; town</x:t>
  </x:si>
  <x:si>
    <x:t xml:space="preserve">A heritage shophouse walking trail through Bentong town, Pahang.</x:t>
  </x:si>
  <x:si>
    <x:t xml:space="preserve">https://www.google.com/maps/search/?api=1&amp;query=Bentong%20Walk%2C%20Pahang%2C%20Malaysia</x:t>
  </x:si>
  <x:si>
    <x:t xml:space="preserve">MC0166</x:t>
  </x:si>
  <x:si>
    <x:t xml:space="preserve">Sungai Chiling Fish Sanctuary</x:t>
  </x:si>
  <x:si>
    <x:t xml:space="preserve">river; hiking; fish sanctuary</x:t>
  </x:si>
  <x:si>
    <x:t xml:space="preserve">A protected river stretch in Raub district known for its fish sanctuary and swimming pools.</x:t>
  </x:si>
  <x:si>
    <x:t xml:space="preserve">https://www.google.com/maps/search/?api=1&amp;query=Sungai%20Chiling%20Fish%20Sanctuary%2C%20Pahang%2C%20Malaysia</x:t>
  </x:si>
  <x:si>
    <x:t xml:space="preserve">MC0167</x:t>
  </x:si>
  <x:si>
    <x:t xml:space="preserve">Boh Sungei Palas Tea Centre</x:t>
  </x:si>
  <x:si>
    <x:t xml:space="preserve">tea plantation; scenery; cafe</x:t>
  </x:si>
  <x:si>
    <x:t xml:space="preserve">A working tea plantation and visitor centre run by the Boh Tea company in Cameron Highlands.</x:t>
  </x:si>
  <x:si>
    <x:t xml:space="preserve">https://www.google.com/maps/search/?api=1&amp;query=Boh%20Sungei%20Palas%20Tea%20Centre%2C%20Pahang%2C%20Malaysia</x:t>
  </x:si>
  <x:si>
    <x:t xml:space="preserve">MC0168</x:t>
  </x:si>
  <x:si>
    <x:t xml:space="preserve">Agro Technology Park MARDI</x:t>
  </x:si>
  <x:si>
    <x:t xml:space="preserve">agriculture; gardens; education</x:t>
  </x:si>
  <x:si>
    <x:t xml:space="preserve">An agricultural research park in Cameron Highlands showcasing highland crop cultivation.</x:t>
  </x:si>
  <x:si>
    <x:t xml:space="preserve">https://www.google.com/maps/search/?api=1&amp;query=Agro%20Technology%20Park%20MARDI%2C%20Pahang%2C%20Malaysia</x:t>
  </x:si>
  <x:si>
    <x:t xml:space="preserve">MC0169</x:t>
  </x:si>
  <x:si>
    <x:t xml:space="preserve">Lubuk Yu Recreational Forest</x:t>
  </x:si>
  <x:si>
    <x:t xml:space="preserve">Maran</x:t>
  </x:si>
  <x:si>
    <x:t xml:space="preserve">river; forest; picnic</x:t>
  </x:si>
  <x:si>
    <x:t xml:space="preserve">A waterfall-based forest recreation area in Maran district, Pahang.</x:t>
  </x:si>
  <x:si>
    <x:t xml:space="preserve">https://www.google.com/maps/search/?api=1&amp;query=Lubuk%20Yu%20Recreational%20Forest%2C%20Pahang%2C%20Malaysia</x:t>
  </x:si>
  <x:si>
    <x:t xml:space="preserve">MC0170</x:t>
  </x:si>
  <x:si>
    <x:t xml:space="preserve">Bukit Panchor State Park</x:t>
  </x:si>
  <x:si>
    <x:t xml:space="preserve">Penang</x:t>
  </x:si>
  <x:si>
    <x:t xml:space="preserve">Nibong Tebal</x:t>
  </x:si>
  <x:si>
    <x:t xml:space="preserve">Lowland dipterocarp forest; peat swamp; hiking; trekking; caves; bat cave; wildlife; birdwatching; river; wetland boardwalk; mangroves; camping; picnicking; nature study</x:t>
  </x:si>
  <x:si>
    <x:t xml:space="preserve">A state recreation park within Bukit Panchor Permanent Forest Reserve near Nibong Tebal. Its lowland dipterocarp and peat-swamp environment supports forest walks, wildlife and birdwatching, river and wetland exploration, caves, camping and other nature-based recreation.</x:t>
  </x:si>
  <x:si>
    <x:t xml:space="preserve">https://www.forestry.gov.my/en/semenanjung-malaysia/taman-negeri-bukit-panchor ; https://www.mypenang.gov.my/nature-adventure/recreation/bukit-panchor-state-park/?lg=en ; https://www.penang-insider.com/bukit-panchor-state-park-penang/</x:t>
  </x:si>
  <x:si>
    <x:t xml:space="preserve">https://ebrochures.malaysia.travel/en/malaysia-travel-guide/penang/</x:t>
  </x:si>
  <x:si>
    <x:t xml:space="preserve">A005</x:t>
  </x:si>
  <x:si>
    <x:t xml:space="preserve">MC0171</x:t>
  </x:si>
  <x:si>
    <x:t xml:space="preserve">Penang National Park</x:t>
  </x:si>
  <x:si>
    <x:t xml:space="preserve">Teluk Bahang</x:t>
  </x:si>
  <x:si>
    <x:t xml:space="preserve">National park; rainforest; beaches; jungle trekking; hiking; wildlife; birdwatching; meromictic lake; turtle conservation; camping; picnicking; fishing; boat trips; lighthouse; mangroves; nature study</x:t>
  </x:si>
  <x:si>
    <x:t xml:space="preserve">A protected coastal rainforest at the northwestern tip of Penang Island, entered mainly from Teluk Bahang. It combines jungle trails, beaches, wildlife observation and boat trips with attractions such as Kerachut Beach, the meromictic lake, turtle conservation centre and Muka Head Lighthouse.</x:t>
  </x:si>
  <x:si>
    <x:t xml:space="preserve">https://www.wildlife.gov.my/en/taman-negara-pulau-pinang/ ; https://www.mypenang.gov.my/nature-adventure/parks-gardens/penang-national-park/?lg=en ; https://files.wildlife.gov.my/wildlife-wp-media/2025/09/12060821/PERATURAN_PERATURAN_TNPP.pdf</x:t>
  </x:si>
  <x:si>
    <x:t xml:space="preserve">A006</x:t>
  </x:si>
  <x:si>
    <x:t xml:space="preserve">MC0172</x:t>
  </x:si>
  <x:si>
    <x:t xml:space="preserve">George Town UNESCO World Heritage Site</x:t>
  </x:si>
  <x:si>
    <x:t xml:space="preserve">George Town</x:t>
  </x:si>
  <x:si>
    <x:t xml:space="preserve">heritage; history; architecture; street art; culture; walking</x:t>
  </x:si>
  <x:si>
    <x:t xml:space="preserve">Penang's historic capital, inscribed as a UNESCO World Heritage Site in 2008 for its unique multicultural architecture and streetscapes.</x:t>
  </x:si>
  <x:si>
    <x:t xml:space="preserve">A081</x:t>
  </x:si>
  <x:si>
    <x:t xml:space="preserve">MC0173</x:t>
  </x:si>
  <x:si>
    <x:t xml:space="preserve">Penang Hill</x:t>
  </x:si>
  <x:si>
    <x:t xml:space="preserve">hill; scenery; cool climate; relaxation; nature; funicular</x:t>
  </x:si>
  <x:si>
    <x:t xml:space="preserve">A hill resort above George Town reached by funicular railway, offering panoramic views and cooler temperatures.</x:t>
  </x:si>
  <x:si>
    <x:t xml:space="preserve">A082</x:t>
  </x:si>
  <x:si>
    <x:t xml:space="preserve">MC0174</x:t>
  </x:si>
  <x:si>
    <x:t xml:space="preserve">Kek Lok Si Temple</x:t>
  </x:si>
  <x:si>
    <x:t xml:space="preserve">Air Itam</x:t>
  </x:si>
  <x:si>
    <x:t xml:space="preserve">temple; culture; architecture; heritage; photography</x:t>
  </x:si>
  <x:si>
    <x:t xml:space="preserve">One of the largest Buddhist temple complexes in Southeast Asia, in Air Itam, known for its multi-tiered pagoda and giant Kuan Yin statue.</x:t>
  </x:si>
  <x:si>
    <x:t xml:space="preserve">https://www.google.com/maps/search/?api=1&amp;query=Kek%20Lok%20Si%20Temple%2C%20Penang%2C%20Malaysia</x:t>
  </x:si>
  <x:si>
    <x:t xml:space="preserve">A083</x:t>
  </x:si>
  <x:si>
    <x:t xml:space="preserve">MC0175</x:t>
  </x:si>
  <x:si>
    <x:t xml:space="preserve">Tropical Spice Garden</x:t>
  </x:si>
  <x:si>
    <x:t xml:space="preserve">garden; nature; walking; education; relaxation</x:t>
  </x:si>
  <x:si>
    <x:t xml:space="preserve">A landscaped garden in Teluk Bahang, Penang, showcasing tropical spice and medicinal plants.</x:t>
  </x:si>
  <x:si>
    <x:t xml:space="preserve">A084</x:t>
  </x:si>
  <x:si>
    <x:t xml:space="preserve">MC0176</x:t>
  </x:si>
  <x:si>
    <x:t xml:space="preserve">Entopia by Penang Butterfly Farm</x:t>
  </x:si>
  <x:si>
    <x:t xml:space="preserve">butterflies; insects; nature; family; children; education</x:t>
  </x:si>
  <x:si>
    <x:t xml:space="preserve">A walk-in butterfly and insect sanctuary in Teluk Bahang, Penang.</x:t>
  </x:si>
  <x:si>
    <x:t xml:space="preserve">A085</x:t>
  </x:si>
  <x:si>
    <x:t xml:space="preserve">MC0177</x:t>
  </x:si>
  <x:si>
    <x:t xml:space="preserve">ESCAPE Penang</x:t>
  </x:si>
  <x:si>
    <x:t xml:space="preserve">theme park; adventure; family; water park; outdoor activities</x:t>
  </x:si>
  <x:si>
    <x:t xml:space="preserve">An outdoor adventure theme park in Teluk Bahang, Penang, with obstacle courses and a water park.</x:t>
  </x:si>
  <x:si>
    <x:t xml:space="preserve">A086</x:t>
  </x:si>
  <x:si>
    <x:t xml:space="preserve">MC0178</x:t>
  </x:si>
  <x:si>
    <x:t xml:space="preserve">Batu Ferringhi Beach</x:t>
  </x:si>
  <x:si>
    <x:t xml:space="preserve">Batu Ferringhi</x:t>
  </x:si>
  <x:si>
    <x:t xml:space="preserve">beach; relaxation; water sports; food; shopping</x:t>
  </x:si>
  <x:si>
    <x:t xml:space="preserve">Penang's main resort beach strip, known for its hotels, night market and water sports.</x:t>
  </x:si>
  <x:si>
    <x:t xml:space="preserve">https://www.google.com/maps/search/?api=1&amp;query=Batu%20Ferringhi%20Beach%2C%20Penang%2C%20Malaysia</x:t>
  </x:si>
  <x:si>
    <x:t xml:space="preserve">A087</x:t>
  </x:si>
  <x:si>
    <x:t xml:space="preserve">MC0179</x:t>
  </x:si>
  <x:si>
    <x:t xml:space="preserve">Penang Botanic Gardens</x:t>
  </x:si>
  <x:si>
    <x:t xml:space="preserve">garden; walking; nature; relaxation; wildlife</x:t>
  </x:si>
  <x:si>
    <x:t xml:space="preserve">A colonial-era botanical garden in George Town, also known as the Waterfall Gardens.</x:t>
  </x:si>
  <x:si>
    <x:t xml:space="preserve">A088</x:t>
  </x:si>
  <x:si>
    <x:t xml:space="preserve">MC0180</x:t>
  </x:si>
  <x:si>
    <x:t xml:space="preserve">Pinang Peranakan Mansion</x:t>
  </x:si>
  <x:si>
    <x:t xml:space="preserve">Peranakan; mansion; museum</x:t>
  </x:si>
  <x:si>
    <x:t xml:space="preserve">A restored 19th-century mansion museum in George Town showcasing opulent Straits Chinese (Peranakan) heritage and antiques.</x:t>
  </x:si>
  <x:si>
    <x:t xml:space="preserve">Penang expansion batch</x:t>
  </x:si>
  <x:si>
    <x:t xml:space="preserve">MC0181</x:t>
  </x:si>
  <x:si>
    <x:t xml:space="preserve">Khoo Kongsi</x:t>
  </x:si>
  <x:si>
    <x:t xml:space="preserve">clan house; architecture; culture</x:t>
  </x:si>
  <x:si>
    <x:t xml:space="preserve">An elaborately decorated clan temple and clanhouse complex in George Town built by the Khoo family.</x:t>
  </x:si>
  <x:si>
    <x:t xml:space="preserve">https://www.google.com/maps/search/?api=1&amp;query=Khoo%20Kongsi%2C%20Penang%2C%20Malaysia</x:t>
  </x:si>
  <x:si>
    <x:t xml:space="preserve">MC0182</x:t>
  </x:si>
  <x:si>
    <x:t xml:space="preserve">Cheong Fatt Tze Mansion</x:t>
  </x:si>
  <x:si>
    <x:t xml:space="preserve">mansion; architecture; history</x:t>
  </x:si>
  <x:si>
    <x:t xml:space="preserve">An indigo-blue heritage mansion in George Town, known as the Blue Mansion, built by a 19th-century Chinese business magnate.</x:t>
  </x:si>
  <x:si>
    <x:t xml:space="preserve">https://www.google.com/maps/search/?api=1&amp;query=Cheong%20Fatt%20Tze%20Mansion%2C%20Penang%2C%20Malaysia</x:t>
  </x:si>
  <x:si>
    <x:t xml:space="preserve">MC0183</x:t>
  </x:si>
  <x:si>
    <x:t xml:space="preserve">Fort Cornwallis</x:t>
  </x:si>
  <x:si>
    <x:t xml:space="preserve">fort; colonial history; landmark</x:t>
  </x:si>
  <x:si>
    <x:t xml:space="preserve">A star-shaped fort in George Town built by the British East India Company, marking the founding site of the city.</x:t>
  </x:si>
  <x:si>
    <x:t xml:space="preserve">https://www.google.com/maps/search/?api=1&amp;query=Fort%20Cornwallis%2C%20Penang%2C%20Malaysia</x:t>
  </x:si>
  <x:si>
    <x:t xml:space="preserve">MC0184</x:t>
  </x:si>
  <x:si>
    <x:t xml:space="preserve">Penang State Museum and Art Gallery</x:t>
  </x:si>
  <x:si>
    <x:t xml:space="preserve">state history; art; museum</x:t>
  </x:si>
  <x:si>
    <x:t xml:space="preserve">A museum in George Town documenting Penang's multicultural history and communities.</x:t>
  </x:si>
  <x:si>
    <x:t xml:space="preserve">https://www.google.com/maps/search/?api=1&amp;query=Penang%20State%20Museum%20and%20Art%20Gallery%2C%20Penang%2C%20Malaysia</x:t>
  </x:si>
  <x:si>
    <x:t xml:space="preserve">MC0185</x:t>
  </x:si>
  <x:si>
    <x:t xml:space="preserve">Clan Jetties</x:t>
  </x:si>
  <x:si>
    <x:t xml:space="preserve">water village; heritage; community</x:t>
  </x:si>
  <x:si>
    <x:t xml:space="preserve">Waterfront settlements built on stilts by Chinese clan communities in George Town, the best known being Chew Jetty.</x:t>
  </x:si>
  <x:si>
    <x:t xml:space="preserve">https://www.google.com/maps/search/?api=1&amp;query=Clan%20Jetties%2C%20Penang%2C%20Malaysia</x:t>
  </x:si>
  <x:si>
    <x:t xml:space="preserve">MC0186</x:t>
  </x:si>
  <x:si>
    <x:t xml:space="preserve">Hin Bus Depot</x:t>
  </x:si>
  <x:si>
    <x:t xml:space="preserve">art; creative space; market</x:t>
  </x:si>
  <x:si>
    <x:t xml:space="preserve">A converted former bus depot in George Town, now an arts and events space known for murals and exhibitions.</x:t>
  </x:si>
  <x:si>
    <x:t xml:space="preserve">https://www.google.com/maps/search/?api=1&amp;query=Hin%20Bus%20Depot%2C%20Penang%2C%20Malaysia</x:t>
  </x:si>
  <x:si>
    <x:t xml:space="preserve">MC0187</x:t>
  </x:si>
  <x:si>
    <x:t xml:space="preserve">Air Itam Market</x:t>
  </x:si>
  <x:si>
    <x:t xml:space="preserve">market; local food; neighbourhood</x:t>
  </x:si>
  <x:si>
    <x:t xml:space="preserve">A wet market and food hub near Kek Lok Si Temple in Air Itam, Penang.</x:t>
  </x:si>
  <x:si>
    <x:t xml:space="preserve">https://www.google.com/maps/search/?api=1&amp;query=Air%20Itam%20Market%2C%20Penang%2C%20Malaysia</x:t>
  </x:si>
  <x:si>
    <x:t xml:space="preserve">MC0188</x:t>
  </x:si>
  <x:si>
    <x:t xml:space="preserve">Saanen Dairy Goat Farm</x:t>
  </x:si>
  <x:si>
    <x:t xml:space="preserve">Balik Pulau</x:t>
  </x:si>
  <x:si>
    <x:t xml:space="preserve">farm; dairy; rural</x:t>
  </x:si>
  <x:si>
    <x:t xml:space="preserve">A goat dairy farm in Balik Pulau, Penang, open for visits and fresh dairy products.</x:t>
  </x:si>
  <x:si>
    <x:t xml:space="preserve">https://www.google.com/maps/search/?api=1&amp;query=Saanen%20Dairy%20Goat%20Farm%2C%20Penang%2C%20Malaysia</x:t>
  </x:si>
  <x:si>
    <x:t xml:space="preserve">MC0189</x:t>
  </x:si>
  <x:si>
    <x:t xml:space="preserve">Audi Dream Farm</x:t>
  </x:si>
  <x:si>
    <x:t xml:space="preserve">farm; animals; family</x:t>
  </x:si>
  <x:si>
    <x:t xml:space="preserve">A family-run farm in Balik Pulau, Penang, offering animal encounters and agro-tourism activities.</x:t>
  </x:si>
  <x:si>
    <x:t xml:space="preserve">https://www.google.com/maps/search/?api=1&amp;query=Audi%20Dream%20Farm%2C%20Penang%2C%20Malaysia</x:t>
  </x:si>
  <x:si>
    <x:t xml:space="preserve">MC0190</x:t>
  </x:si>
  <x:si>
    <x:t xml:space="preserve">Penang War Museum</x:t>
  </x:si>
  <x:si>
    <x:t xml:space="preserve">Bayan Lepas</x:t>
  </x:si>
  <x:si>
    <x:t xml:space="preserve">war history; fort; museum</x:t>
  </x:si>
  <x:si>
    <x:t xml:space="preserve">A former British military fort in Bayan Lepas, Penang, now a museum documenting the Second World War in the region.</x:t>
  </x:si>
  <x:si>
    <x:t xml:space="preserve">https://www.google.com/maps/search/?api=1&amp;query=Penang%20War%20Museum%2C%20Penang%2C%20Malaysia</x:t>
  </x:si>
  <x:si>
    <x:t xml:space="preserve">MC0191</x:t>
  </x:si>
  <x:si>
    <x:t xml:space="preserve">Snake Temple</x:t>
  </x:si>
  <x:si>
    <x:t xml:space="preserve">temple; snakes; culture</x:t>
  </x:si>
  <x:si>
    <x:t xml:space="preserve">A Chinese temple in Bayan Lepas, Penang, historically known for housing live pit vipers among its altars.</x:t>
  </x:si>
  <x:si>
    <x:t xml:space="preserve">https://www.google.com/maps/search/?api=1&amp;query=Snake%20Temple%2C%20Penang%2C%20Malaysia</x:t>
  </x:si>
  <x:si>
    <x:t xml:space="preserve">MC0192</x:t>
  </x:si>
  <x:si>
    <x:t xml:space="preserve">St Anne's Church</x:t>
  </x:si>
  <x:si>
    <x:t xml:space="preserve">Bukit Mertajam</x:t>
  </x:si>
  <x:si>
    <x:t xml:space="preserve">church; pilgrimage; heritage</x:t>
  </x:si>
  <x:si>
    <x:t xml:space="preserve">A Catholic church in Bukit Mertajam, Penang, known for its annual pilgrimage feast day drawing large crowds.</x:t>
  </x:si>
  <x:si>
    <x:t xml:space="preserve">https://www.google.com/maps/search/?api=1&amp;query=St%20Anne's%20Church%2C%20Penang%2C%20Malaysia</x:t>
  </x:si>
  <x:si>
    <x:t xml:space="preserve">MC0193</x:t>
  </x:si>
  <x:si>
    <x:t xml:space="preserve">Mengkuang Dam</x:t>
  </x:si>
  <x:si>
    <x:t xml:space="preserve">Seberang Perai</x:t>
  </x:si>
  <x:si>
    <x:t xml:space="preserve">reservoir; walking; scenery</x:t>
  </x:si>
  <x:si>
    <x:t xml:space="preserve">A reservoir dam in Seberang Perai, Penang, popular for scenic drives and photography.</x:t>
  </x:si>
  <x:si>
    <x:t xml:space="preserve">https://www.google.com/maps/search/?api=1&amp;query=Mengkuang%20Dam%2C%20Penang%2C%20Malaysia</x:t>
  </x:si>
  <x:si>
    <x:t xml:space="preserve">MC0194</x:t>
  </x:si>
  <x:si>
    <x:t xml:space="preserve">Penang Bird Park</x:t>
  </x:si>
  <x:si>
    <x:t xml:space="preserve">birds; family; gardens</x:t>
  </x:si>
  <x:si>
    <x:t xml:space="preserve">A bird park in Seberang Perai, Penang, with walk-in aviaries of various bird species.</x:t>
  </x:si>
  <x:si>
    <x:t xml:space="preserve">MC0195</x:t>
  </x:si>
  <x:si>
    <x:t xml:space="preserve">Pangkor Island</x:t>
  </x:si>
  <x:si>
    <x:t xml:space="preserve">Perak</x:t>
  </x:si>
  <x:si>
    <x:t xml:space="preserve">Manjung</x:t>
  </x:si>
  <x:si>
    <x:t xml:space="preserve">Beach; island; relaxation; snorkelling; kayaking; jet skiing; island hopping; jungle trekking; hornbill feeding; wildlife; fishing villages; seafood; heritage; Dutch Fort; temples; mosques; sunset; duty-free shopping</x:t>
  </x:si>
  <x:si>
    <x:t xml:space="preserve">Perak's popular tropical island getaway in the Manjung district, known for beaches, fishing villages, seafood, wildlife and heritage sites. Visitors can combine water activities with jungle trekking, hornbill feeding, temple and mosque visits, and exploration of the Dutch Fort.</x:t>
  </x:si>
  <x:si>
    <x:t xml:space="preserve">https://www.tourismperakmalaysia.com/pangkor-island/ ; https://www.malaysia.travel/explore/pangkor-island</x:t>
  </x:si>
  <x:si>
    <x:t xml:space="preserve">https://ebrochures.malaysia.travel/en/malaysia-travel-guide/perak/</x:t>
  </x:si>
  <x:si>
    <x:t xml:space="preserve">A003</x:t>
  </x:si>
  <x:si>
    <x:t xml:space="preserve">MC0196</x:t>
  </x:si>
  <x:si>
    <x:t xml:space="preserve">Sungai Klah Hot Springs</x:t>
  </x:si>
  <x:si>
    <x:t xml:space="preserve">Sungkai</x:t>
  </x:si>
  <x:si>
    <x:t xml:space="preserve">Hot springs; relaxation; wellness; spa; swimming; water park; private jacuzzi; water reflexology; egg boiling; water slides; forest; family recreation</x:t>
  </x:si>
  <x:si>
    <x:t xml:space="preserve">A managed natural hot-springs park near Sungkai at the foothills of the Titiwangsa Range. Its forest setting combines hot-spring bathing and swimming with spa-style and family activities such as private jacuzzis, water reflexology, egg boiling and water slides.</x:t>
  </x:si>
  <x:si>
    <x:t xml:space="preserve">https://www.tourismperakmalaysia.com/sungai-klah-hot-springs/ ; https://www.feldaresidences.com/hot-spring-water-park/ ; https://www.malaysia.travel/explore/perak-s-top-10-activities-from-the-thrilling-to-relaxing</x:t>
  </x:si>
  <x:si>
    <x:t xml:space="preserve">A004</x:t>
  </x:si>
  <x:si>
    <x:t xml:space="preserve">MC0197</x:t>
  </x:si>
  <x:si>
    <x:t xml:space="preserve">Lost World of Tambun</x:t>
  </x:si>
  <x:si>
    <x:t xml:space="preserve">Ipoh</x:t>
  </x:si>
  <x:si>
    <x:t xml:space="preserve">theme park; hot springs; relaxation; family; water park</x:t>
  </x:si>
  <x:si>
    <x:t xml:space="preserve">A theme park in Ipoh combining water rides, wildlife encounters and hot springs set against limestone hills.</x:t>
  </x:si>
  <x:si>
    <x:t xml:space="preserve">https://www.google.com/maps/search/?api=1&amp;query=Lost%20World%20of%20Tambun%2C%20Perak%2C%20Malaysia</x:t>
  </x:si>
  <x:si>
    <x:t xml:space="preserve">A089</x:t>
  </x:si>
  <x:si>
    <x:t xml:space="preserve">MC0198</x:t>
  </x:si>
  <x:si>
    <x:t xml:space="preserve">Kellie's Castle</x:t>
  </x:si>
  <x:si>
    <x:t xml:space="preserve">Batu Gajah</x:t>
  </x:si>
  <x:si>
    <x:t xml:space="preserve">castle; heritage; history; architecture; photography</x:t>
  </x:si>
  <x:si>
    <x:t xml:space="preserve">An unfinished early-20th-century mansion in Batu Gajah, Perak, built by Scottish planter William Kellie Smith and known for its unusual architecture and legends.</x:t>
  </x:si>
  <x:si>
    <x:t xml:space="preserve">https://www.google.com/maps/search/?api=1&amp;query=Kellie's%20Castle%2C%20Perak%2C%20Malaysia</x:t>
  </x:si>
  <x:si>
    <x:t xml:space="preserve">A090</x:t>
  </x:si>
  <x:si>
    <x:t xml:space="preserve">MC0199</x:t>
  </x:si>
  <x:si>
    <x:t xml:space="preserve">Ipoh Old Town</x:t>
  </x:si>
  <x:si>
    <x:t xml:space="preserve">heritage; street art; local food; history; walking</x:t>
  </x:si>
  <x:si>
    <x:t xml:space="preserve">Ipoh's historic core, known for well-preserved colonial shophouses, street art and famous local food.</x:t>
  </x:si>
  <x:si>
    <x:t xml:space="preserve">https://www.google.com/maps/search/?api=1&amp;query=Ipoh%20Old%20Town%2C%20Perak%2C%20Malaysia</x:t>
  </x:si>
  <x:si>
    <x:t xml:space="preserve">A091</x:t>
  </x:si>
  <x:si>
    <x:t xml:space="preserve">MC0200</x:t>
  </x:si>
  <x:si>
    <x:t xml:space="preserve">Royal Belum State Park</x:t>
  </x:si>
  <x:si>
    <x:t xml:space="preserve">Gerik</x:t>
  </x:si>
  <x:si>
    <x:t xml:space="preserve">rainforest; wildlife; boat trip; nature; adventure</x:t>
  </x:si>
  <x:si>
    <x:t xml:space="preserve">A vast ancient rainforest in Gerik district, Perak, among the world's oldest rainforests, known for wildlife and Orang Asli communities.</x:t>
  </x:si>
  <x:si>
    <x:t xml:space="preserve">https://www.google.com/maps/search/?api=1&amp;query=Royal%20Belum%20State%20Park%2C%20Perak%2C%20Malaysia</x:t>
  </x:si>
  <x:si>
    <x:t xml:space="preserve">A092</x:t>
  </x:si>
  <x:si>
    <x:t xml:space="preserve">MC0201</x:t>
  </x:si>
  <x:si>
    <x:t xml:space="preserve">Taiping Lake Gardens</x:t>
  </x:si>
  <x:si>
    <x:t xml:space="preserve">Taiping</x:t>
  </x:si>
  <x:si>
    <x:t xml:space="preserve">lake; garden; walking; relaxation; family</x:t>
  </x:si>
  <x:si>
    <x:t xml:space="preserve">A landscaped garden built on former tin-mining pools in Taiping, considered one of Malaysia's earliest and most scenic public parks.</x:t>
  </x:si>
  <x:si>
    <x:t xml:space="preserve">https://www.google.com/maps/search/?api=1&amp;query=Taiping%20Lake%20Gardens%2C%20Perak%2C%20Malaysia</x:t>
  </x:si>
  <x:si>
    <x:t xml:space="preserve">A093</x:t>
  </x:si>
  <x:si>
    <x:t xml:space="preserve">MC0202</x:t>
  </x:si>
  <x:si>
    <x:t xml:space="preserve">Perak Cave Temple</x:t>
  </x:si>
  <x:si>
    <x:t xml:space="preserve">cave temple; culture; architecture; religion; scenery</x:t>
  </x:si>
  <x:si>
    <x:t xml:space="preserve">A Chinese Buddhist cave temple in Ipoh built into a limestone hill, with murals and a hilltop viewpoint.</x:t>
  </x:si>
  <x:si>
    <x:t xml:space="preserve">https://www.google.com/maps/search/?api=1&amp;query=Perak%20Cave%20Temple%2C%20Perak%2C%20Malaysia</x:t>
  </x:si>
  <x:si>
    <x:t xml:space="preserve">A094</x:t>
  </x:si>
  <x:si>
    <x:t xml:space="preserve">MC0203</x:t>
  </x:si>
  <x:si>
    <x:t xml:space="preserve">Matang Mangrove Forest Reserve</x:t>
  </x:si>
  <x:si>
    <x:t xml:space="preserve">Kuala Sepetang</x:t>
  </x:si>
  <x:si>
    <x:t xml:space="preserve">mangrove; nature; wildlife; education; river</x:t>
  </x:si>
  <x:si>
    <x:t xml:space="preserve">One of the best-managed mangrove forest reserves in Asia, near Kuala Sepetang, Perak, known for sustainable charcoal production and wildlife.</x:t>
  </x:si>
  <x:si>
    <x:t xml:space="preserve">https://www.google.com/maps/search/?api=1&amp;query=Matang%20Mangrove%20Forest%20Reserve%2C%20Perak%2C%20Malaysia</x:t>
  </x:si>
  <x:si>
    <x:t xml:space="preserve">A095</x:t>
  </x:si>
  <x:si>
    <x:t xml:space="preserve">MC0204</x:t>
  </x:si>
  <x:si>
    <x:t xml:space="preserve">Gua Tempurung</x:t>
  </x:si>
  <x:si>
    <x:t xml:space="preserve">Gopeng</x:t>
  </x:si>
  <x:si>
    <x:t xml:space="preserve">cave; adventure; geology; hiking; nature</x:t>
  </x:si>
  <x:si>
    <x:t xml:space="preserve">One of Peninsular Malaysia's largest limestone cave systems, in Gopeng, offering guided cave tours and adventure caving routes.</x:t>
  </x:si>
  <x:si>
    <x:t xml:space="preserve">https://www.google.com/maps/search/?api=1&amp;query=Gua%20Tempurung%2C%20Perak%2C%20Malaysia</x:t>
  </x:si>
  <x:si>
    <x:t xml:space="preserve">A096</x:t>
  </x:si>
  <x:si>
    <x:t xml:space="preserve">MC0205</x:t>
  </x:si>
  <x:si>
    <x:t xml:space="preserve">Ipoh Old Town Heritage Trail</x:t>
  </x:si>
  <x:si>
    <x:t xml:space="preserve">heritage; street art; food</x:t>
  </x:si>
  <x:si>
    <x:t xml:space="preserve">A self-guided walking trail through Ipoh's colonial-era heritage buildings and street art.</x:t>
  </x:si>
  <x:si>
    <x:t xml:space="preserve">https://www.google.com/maps/search/?api=1&amp;query=Ipoh%20Old%20Town%20Heritage%20Trail%2C%20Perak%2C%20Malaysia</x:t>
  </x:si>
  <x:si>
    <x:t xml:space="preserve">Perak expansion batch</x:t>
  </x:si>
  <x:si>
    <x:t xml:space="preserve">MC0206</x:t>
  </x:si>
  <x:si>
    <x:t xml:space="preserve">Han Chin Pet Soo</x:t>
  </x:si>
  <x:si>
    <x:t xml:space="preserve">tin mining; museum; heritage</x:t>
  </x:si>
  <x:si>
    <x:t xml:space="preserve">A former Hakka tin-miners' clan clubhouse in Ipoh, now a museum on the region's tin-mining Chinese community.</x:t>
  </x:si>
  <x:si>
    <x:t xml:space="preserve">https://www.google.com/maps/search/?api=1&amp;query=Han%20Chin%20Pet%20Soo%2C%20Perak%2C%20Malaysia</x:t>
  </x:si>
  <x:si>
    <x:t xml:space="preserve">MC0207</x:t>
  </x:si>
  <x:si>
    <x:t xml:space="preserve">Ho Yan Hor Museum</x:t>
  </x:si>
  <x:si>
    <x:t xml:space="preserve">heritage house; tea; museum</x:t>
  </x:si>
  <x:si>
    <x:t xml:space="preserve">A museum in Ipoh dedicated to the history of the Ho Yan Hor herbal tea brand and its founder.</x:t>
  </x:si>
  <x:si>
    <x:t xml:space="preserve">https://www.google.com/maps/search/?api=1&amp;query=Ho%20Yan%20Hor%20Museum%2C%20Perak%2C%20Malaysia</x:t>
  </x:si>
  <x:si>
    <x:t xml:space="preserve">MC0208</x:t>
  </x:si>
  <x:si>
    <x:t xml:space="preserve">Kek Lok Tong Cave Temple</x:t>
  </x:si>
  <x:si>
    <x:t xml:space="preserve">cave temple; garden; limestone</x:t>
  </x:si>
  <x:si>
    <x:t xml:space="preserve">A Buddhist cave temple in Ipoh set within a limestone cavern, with a garden and reflective pool at its rear entrance.</x:t>
  </x:si>
  <x:si>
    <x:t xml:space="preserve">https://www.google.com/maps/search/?api=1&amp;query=Kek%20Lok%20Tong%20Cave%20Temple%2C%20Perak%2C%20Malaysia</x:t>
  </x:si>
  <x:si>
    <x:t xml:space="preserve">MC0209</x:t>
  </x:si>
  <x:si>
    <x:t xml:space="preserve">Sam Poh Tong Temple</x:t>
  </x:si>
  <x:si>
    <x:t xml:space="preserve">cave temple; architecture; culture</x:t>
  </x:si>
  <x:si>
    <x:t xml:space="preserve">A Buddhist cave temple in Ipoh built into a limestone outcrop, with a turtle pond and landscaped garden.</x:t>
  </x:si>
  <x:si>
    <x:t xml:space="preserve">https://www.google.com/maps/search/?api=1&amp;query=Sam%20Poh%20Tong%20Temple%2C%20Perak%2C%20Malaysia</x:t>
  </x:si>
  <x:si>
    <x:t xml:space="preserve">MC0210</x:t>
  </x:si>
  <x:si>
    <x:t xml:space="preserve">Gunung Lang Recreational Park</x:t>
  </x:si>
  <x:si>
    <x:t xml:space="preserve">lake; limestone; family</x:t>
  </x:si>
  <x:si>
    <x:t xml:space="preserve">A scenic lakeside park in Ipoh set against limestone cliffs, popular for kayaking and photography.</x:t>
  </x:si>
  <x:si>
    <x:t xml:space="preserve">https://www.google.com/maps/search/?api=1&amp;query=Gunung%20Lang%20Recreational%20Park%2C%20Perak%2C%20Malaysia</x:t>
  </x:si>
  <x:si>
    <x:t xml:space="preserve">MC0211</x:t>
  </x:si>
  <x:si>
    <x:t xml:space="preserve">Ubudiah Mosque</x:t>
  </x:si>
  <x:si>
    <x:t xml:space="preserve">Kuala Kangsar</x:t>
  </x:si>
  <x:si>
    <x:t xml:space="preserve">mosque; architecture; royal town</x:t>
  </x:si>
  <x:si>
    <x:t xml:space="preserve">An ornate gold-domed mosque in Kuala Kangsar, the royal town of Perak, completed in 1917.</x:t>
  </x:si>
  <x:si>
    <x:t xml:space="preserve">https://www.google.com/maps/search/?api=1&amp;query=Ubudiah%20Mosque%2C%20Perak%2C%20Malaysia</x:t>
  </x:si>
  <x:si>
    <x:t xml:space="preserve">MC0212</x:t>
  </x:si>
  <x:si>
    <x:t xml:space="preserve">Royal Museum of Perak</x:t>
  </x:si>
  <x:si>
    <x:t xml:space="preserve">royal heritage; palace; museum</x:t>
  </x:si>
  <x:si>
    <x:t xml:space="preserve">A former royal palace in Kuala Kangsar, Istana Kenangan, now housing exhibits on Perak's royal history.</x:t>
  </x:si>
  <x:si>
    <x:t xml:space="preserve">https://www.google.com/maps/search/?api=1&amp;query=Royal%20Museum%20of%20Perak%2C%20Perak%2C%20Malaysia</x:t>
  </x:si>
  <x:si>
    <x:t xml:space="preserve">MC0213</x:t>
  </x:si>
  <x:si>
    <x:t xml:space="preserve">Victoria Bridge</x:t>
  </x:si>
  <x:si>
    <x:t xml:space="preserve">railway bridge; photography; history</x:t>
  </x:si>
  <x:si>
    <x:t xml:space="preserve">A historic railway bridge in Kuala Kangsar, Perak, built during the British colonial era.</x:t>
  </x:si>
  <x:si>
    <x:t xml:space="preserve">https://www.google.com/maps/search/?api=1&amp;query=Victoria%20Bridge%2C%20Perak%2C%20Malaysia</x:t>
  </x:si>
  <x:si>
    <x:t xml:space="preserve">MC0214</x:t>
  </x:si>
  <x:si>
    <x:t xml:space="preserve">Perak Museum</x:t>
  </x:si>
  <x:si>
    <x:t xml:space="preserve">natural history; museum; heritage</x:t>
  </x:si>
  <x:si>
    <x:t xml:space="preserve">Malaysia's oldest museum, established in Taiping in 1883, covering natural history and regional culture.</x:t>
  </x:si>
  <x:si>
    <x:t xml:space="preserve">https://www.google.com/maps/search/?api=1&amp;query=Perak%20Museum%2C%20Perak%2C%20Malaysia</x:t>
  </x:si>
  <x:si>
    <x:t xml:space="preserve">MC0215</x:t>
  </x:si>
  <x:si>
    <x:t xml:space="preserve">Bukit Larut</x:t>
  </x:si>
  <x:si>
    <x:t xml:space="preserve">highland; forest; viewpoint</x:t>
  </x:si>
  <x:si>
    <x:t xml:space="preserve">Formerly Maxwell Hill, a hill station above Taiping reached by Land Rover, known for its cool climate and heavy rainfall.</x:t>
  </x:si>
  <x:si>
    <x:t xml:space="preserve">https://www.google.com/maps/search/?api=1&amp;query=Bukit%20Larut%2C%20Perak%2C%20Malaysia</x:t>
  </x:si>
  <x:si>
    <x:t xml:space="preserve">MC0216</x:t>
  </x:si>
  <x:si>
    <x:t xml:space="preserve">Kuala Sepetang Charcoal Factory</x:t>
  </x:si>
  <x:si>
    <x:t xml:space="preserve">charcoal; industry; mangrove</x:t>
  </x:si>
  <x:si>
    <x:t xml:space="preserve">A traditional mangrove-wood charcoal production site near Kuala Sepetang, Perak, open to visitors.</x:t>
  </x:si>
  <x:si>
    <x:t xml:space="preserve">https://www.google.com/maps/search/?api=1&amp;query=Kuala%20Sepetang%20Charcoal%20Factory%2C%20Perak%2C%20Malaysia</x:t>
  </x:si>
  <x:si>
    <x:t xml:space="preserve">MC0217</x:t>
  </x:si>
  <x:si>
    <x:t xml:space="preserve">Kinta Tin Mining Museum</x:t>
  </x:si>
  <x:si>
    <x:t xml:space="preserve">Kampar</x:t>
  </x:si>
  <x:si>
    <x:t xml:space="preserve">tin mining; history; museum</x:t>
  </x:si>
  <x:si>
    <x:t xml:space="preserve">A museum in Kampar, Perak, documenting the Kinta Valley's tin-mining heritage.</x:t>
  </x:si>
  <x:si>
    <x:t xml:space="preserve">https://www.google.com/maps/search/?api=1&amp;query=Kinta%20Tin%20Mining%20Museum%2C%20Perak%2C%20Malaysia</x:t>
  </x:si>
  <x:si>
    <x:t xml:space="preserve">MC0218</x:t>
  </x:si>
  <x:si>
    <x:t xml:space="preserve">Ulu Geroh Rafflesia Trail</x:t>
  </x:si>
  <x:si>
    <x:t xml:space="preserve">rafflesia; village guide; hiking</x:t>
  </x:si>
  <x:si>
    <x:t xml:space="preserve">A jungle trail near Gopeng, run with the local Orang Asli community, offering seasonal viewings of the giant Rafflesia flower.</x:t>
  </x:si>
  <x:si>
    <x:t xml:space="preserve">https://www.google.com/maps/search/?api=1&amp;query=Ulu%20Geroh%20Rafflesia%20Trail%2C%20Perak%2C%20Malaysia</x:t>
  </x:si>
  <x:si>
    <x:t xml:space="preserve">MC0219</x:t>
  </x:si>
  <x:si>
    <x:t xml:space="preserve">Lenggong Valley Archaeological Gallery</x:t>
  </x:si>
  <x:si>
    <x:t xml:space="preserve">Lenggong</x:t>
  </x:si>
  <x:si>
    <x:t xml:space="preserve">archaeology; UNESCO; museum</x:t>
  </x:si>
  <x:si>
    <x:t xml:space="preserve">A gallery near the UNESCO-listed Lenggong Valley showcasing prehistoric archaeological finds, including ancient stone tools.</x:t>
  </x:si>
  <x:si>
    <x:t xml:space="preserve">https://www.google.com/maps/search/?api=1&amp;query=Lenggong%20Valley%20Archaeological%20Gallery%2C%20Perak%2C%20Malaysia</x:t>
  </x:si>
  <x:si>
    <x:t xml:space="preserve">MC0220</x:t>
  </x:si>
  <x:si>
    <x:t xml:space="preserve">Temengor Lake</x:t>
  </x:si>
  <x:si>
    <x:t xml:space="preserve">lake; rainforest; boating</x:t>
  </x:si>
  <x:si>
    <x:t xml:space="preserve">A large reservoir lake near Gerik, Perak, surrounded by rainforest and known for fishing and hornbill-watching.</x:t>
  </x:si>
  <x:si>
    <x:t xml:space="preserve">https://www.google.com/maps/search/?api=1&amp;query=Temengor%20Lake%2C%20Perak%2C%20Malaysia</x:t>
  </x:si>
  <x:si>
    <x:t xml:space="preserve">MC0221</x:t>
  </x:si>
  <x:si>
    <x:t xml:space="preserve">Leaning Tower of Teluk Intan</x:t>
  </x:si>
  <x:si>
    <x:t xml:space="preserve">Teluk Intan</x:t>
  </x:si>
  <x:si>
    <x:t xml:space="preserve">tower; landmark; history</x:t>
  </x:si>
  <x:si>
    <x:t xml:space="preserve">A distinctive leaning clock tower in Teluk Intan, built in 1885 and often compared to the Leaning Tower of Pisa.</x:t>
  </x:si>
  <x:si>
    <x:t xml:space="preserve">https://www.google.com/maps/search/?api=1&amp;query=Leaning%20Tower%20of%20Teluk%20Intan%2C%20Perak%2C%20Malaysia</x:t>
  </x:si>
  <x:si>
    <x:t xml:space="preserve">MC0222</x:t>
  </x:si>
  <x:si>
    <x:t xml:space="preserve">Dutch Fort Pangkor</x:t>
  </x:si>
  <x:si>
    <x:t xml:space="preserve">fort; island; history</x:t>
  </x:si>
  <x:si>
    <x:t xml:space="preserve">A small 17th-century Dutch fort ruin on the Perak mainland opposite Pangkor Island.</x:t>
  </x:si>
  <x:si>
    <x:t xml:space="preserve">https://www.google.com/maps/search/?api=1&amp;query=Dutch%20Fort%20Pangkor%2C%20Perak%2C%20Malaysia</x:t>
  </x:si>
  <x:si>
    <x:t xml:space="preserve">MC0223</x:t>
  </x:si>
  <x:si>
    <x:t xml:space="preserve">Tanjung Tualang Tin Dredge No. 5</x:t>
  </x:si>
  <x:si>
    <x:t xml:space="preserve">Tanjung Tualang</x:t>
  </x:si>
  <x:si>
    <x:t xml:space="preserve">industrial heritage; mining; museum</x:t>
  </x:si>
  <x:si>
    <x:t xml:space="preserve">A preserved historic tin dredge, now a museum illustrating Malaysia's tin-mining industry, near Tanjung Tualang, Perak.</x:t>
  </x:si>
  <x:si>
    <x:t xml:space="preserve">https://www.google.com/maps/search/?api=1&amp;query=Tanjung%20Tualang%20Tin%20Dredge%20No.%205%2C%20Perak%2C%20Malaysia</x:t>
  </x:si>
  <x:si>
    <x:t xml:space="preserve">MC0224</x:t>
  </x:si>
  <x:si>
    <x:t xml:space="preserve">Gua Kelam Recreational Park</x:t>
  </x:si>
  <x:si>
    <x:t xml:space="preserve">Perlis</x:t>
  </x:si>
  <x:si>
    <x:t xml:space="preserve">Kaki Bukit</x:t>
  </x:si>
  <x:si>
    <x:t xml:space="preserve">Limestone cave; show cave; cave exploration; geology; rock formations; bats; tin-mining heritage; suspension bridge; wooden walkway; underground stream; river; swimming; wet trail; dry trail; caving; adventure; photography; gallery; virtual reality; ATV; camping; nature education; family recreation</x:t>
  </x:si>
  <x:si>
    <x:t xml:space="preserve">A limestone-cave and ecotourism complex near Kaki Bukit, centred on the 370-metre Gua Kelam 1 showcave. A lit wooden suspension walkway follows an underground stream past cave formations, bats and remnants of historic tin mining, while Gua Kelam 2 offers more demanding guided dry and wet caving experiences.</x:t>
  </x:si>
  <x:si>
    <x:t xml:space="preserve">https://www.malaysia.travel/explore/gua-kelam-recreational-park ; https://www.forestry.gov.my/en/semenanjung-malaysia/taman-negeri-perlis ; https://forestry.perlis.gov.my/eko-pelancongan/gua-kelam ; https://explore.perlis.gov.my/bm/Destination/View/r4Hnz ; https://geopark.perlis.gov.my/tour-item/lombong-gua-kelam/ ; https://ebrochures.malaysia.travel/en/malaysia-travel-guide/perlis/ ; https://www.malaysia.travel/explore/3d2n-in-perlis-a-weekend-guide</x:t>
  </x:si>
  <x:si>
    <x:t xml:space="preserve">https://ebrochures.malaysia.travel/en/malaysia-travel-guide/perlis/</x:t>
  </x:si>
  <x:si>
    <x:t xml:space="preserve">A017</x:t>
  </x:si>
  <x:si>
    <x:t xml:space="preserve">MC0225</x:t>
  </x:si>
  <x:si>
    <x:t xml:space="preserve">Timah Tasoh Lake</x:t>
  </x:si>
  <x:si>
    <x:t xml:space="preserve">Beseri</x:t>
  </x:si>
  <x:si>
    <x:t xml:space="preserve">Lake; reservoir; dam; water catchment; sunset; scenic view; mountains; birdwatching; migratory birds; wetland; wildlife; fishing; freshwater fish; aquaculture; photography; relaxation; picnicking; camping; boating; boat cruise; kayaking; sailing; water sports; orchards; rural tourism</x:t>
  </x:si>
  <x:si>
    <x:t xml:space="preserve">A large man-made reservoir near Beseri in northern Perlis, formed where Sungai Timah and Sungai Tasoh meet. Surrounded by hills and greenery, the lake is known for sunset views, migratory birds, freshwater fishing and peaceful lakeside recreation, with selected tourism and water activities around the wider reservoir area.</x:t>
  </x:si>
  <x:si>
    <x:t xml:space="preserve">https://www.malaysia.travel/explore/timah-tasoh-lake ; https://www.malaysia.travel/index.php/explore/timah-tasoh-lake ; https://tourism.perlis.gov.my/tour-item/tasik-timah-tasoh/ ; https://explore.perlis.gov.my/Destination/view/OJkEf ; https://explore.perlis.gov.my/Destination/view/KNZl3 ; https://ebrochures.malaysia.travel/en/birdwatching-paradise/perlis/ ; https://jps.perlis.gov.my/index.php/galeri/arkib-berita/339-pembukaan-pintu-alur-limpah-barat-empangan-timah-tasoh-2</x:t>
  </x:si>
  <x:si>
    <x:t xml:space="preserve">A018</x:t>
  </x:si>
  <x:si>
    <x:t xml:space="preserve">MC0226</x:t>
  </x:si>
  <x:si>
    <x:t xml:space="preserve">Wang Kelian Viewpoint</x:t>
  </x:si>
  <x:si>
    <x:t xml:space="preserve">Wang Kelian</x:t>
  </x:si>
  <x:si>
    <x:t xml:space="preserve">viewpoint; scenery; sunrise; nature; photography</x:t>
  </x:si>
  <x:si>
    <x:t xml:space="preserve">A scenic viewpoint near the Malaysia-Thailand border within Perlis State Park.</x:t>
  </x:si>
  <x:si>
    <x:t xml:space="preserve">https://www.google.com/maps/search/?api=1&amp;query=Wang%20Kelian%20View%20Point%2C%20Perlis%2C%20Malaysia</x:t>
  </x:si>
  <x:si>
    <x:t xml:space="preserve">A097</x:t>
  </x:si>
  <x:si>
    <x:t xml:space="preserve">MC0227</x:t>
  </x:si>
  <x:si>
    <x:t xml:space="preserve">Perlis State Park</x:t>
  </x:si>
  <x:si>
    <x:t xml:space="preserve">forest; hiking; caves; wildlife; nature</x:t>
  </x:si>
  <x:si>
    <x:t xml:space="preserve">Malaysia's smallest state park, a limestone forest reserve near Wang Kelian known for caves and hiking trails.</x:t>
  </x:si>
  <x:si>
    <x:t xml:space="preserve">https://www.google.com/maps/search/?api=1&amp;query=Perlis%20State%20Park%2C%20Perlis%2C%20Malaysia</x:t>
  </x:si>
  <x:si>
    <x:t xml:space="preserve">A098</x:t>
  </x:si>
  <x:si>
    <x:t xml:space="preserve">MC0228</x:t>
  </x:si>
  <x:si>
    <x:t xml:space="preserve">Padang Besar Market</x:t>
  </x:si>
  <x:si>
    <x:t xml:space="preserve">Padang Besar</x:t>
  </x:si>
  <x:si>
    <x:t xml:space="preserve">market; shopping; local food; border town; culture</x:t>
  </x:si>
  <x:si>
    <x:t xml:space="preserve">A cross-border market town at the Malaysia-Thailand border known for duty-free shopping.</x:t>
  </x:si>
  <x:si>
    <x:t xml:space="preserve">https://www.google.com/maps/search/?api=1&amp;query=Padang%20Besar%20Market%2C%20Perlis%2C%20Malaysia</x:t>
  </x:si>
  <x:si>
    <x:t xml:space="preserve">A099</x:t>
  </x:si>
  <x:si>
    <x:t xml:space="preserve">MC0229</x:t>
  </x:si>
  <x:si>
    <x:t xml:space="preserve">Kota Kayang Museum</x:t>
  </x:si>
  <x:si>
    <x:t xml:space="preserve">Kuala Perlis</x:t>
  </x:si>
  <x:si>
    <x:t xml:space="preserve">museum; history; archaeology; heritage; culture</x:t>
  </x:si>
  <x:si>
    <x:t xml:space="preserve">A small archaeological and historical museum in Kuala Perlis.</x:t>
  </x:si>
  <x:si>
    <x:t xml:space="preserve">https://www.google.com/maps/search/?api=1&amp;query=Kota%20Kayang%20Museum%2C%20Perlis%2C%20Malaysia</x:t>
  </x:si>
  <x:si>
    <x:t xml:space="preserve">A100</x:t>
  </x:si>
  <x:si>
    <x:t xml:space="preserve">MC0230</x:t>
  </x:si>
  <x:si>
    <x:t xml:space="preserve">Tasik Melati Recreational Park</x:t>
  </x:si>
  <x:si>
    <x:t xml:space="preserve">Kangar</x:t>
  </x:si>
  <x:si>
    <x:t xml:space="preserve">lake; walking; relaxation; family; nature</x:t>
  </x:si>
  <x:si>
    <x:t xml:space="preserve">A lake recreational park near Kangar, Perlis, with boating and a small zoo.</x:t>
  </x:si>
  <x:si>
    <x:t xml:space="preserve">https://www.google.com/maps/search/?api=1&amp;query=Tasik%20Melati%20Recreational%20Park%2C%20Perlis%2C%20Malaysia</x:t>
  </x:si>
  <x:si>
    <x:t xml:space="preserve">A101</x:t>
  </x:si>
  <x:si>
    <x:t xml:space="preserve">MC0231</x:t>
  </x:si>
  <x:si>
    <x:t xml:space="preserve">Perlis Snake and Reptile Farm</x:t>
  </x:si>
  <x:si>
    <x:t xml:space="preserve">Sungai Batu Pahat</x:t>
  </x:si>
  <x:si>
    <x:t xml:space="preserve">reptiles; snakes; family; education; wildlife</x:t>
  </x:si>
  <x:si>
    <x:t xml:space="preserve">A reptile park in Sungai Batu Pahat district, Perlis, showcasing snakes and other reptiles.</x:t>
  </x:si>
  <x:si>
    <x:t xml:space="preserve">https://www.google.com/maps/search/?api=1&amp;query=Perlis%20Snake%20and%20Reptile%20Farm%2C%20Perlis%2C%20Malaysia</x:t>
  </x:si>
  <x:si>
    <x:t xml:space="preserve">A102</x:t>
  </x:si>
  <x:si>
    <x:t xml:space="preserve">MC0232</x:t>
  </x:si>
  <x:si>
    <x:t xml:space="preserve">Al-Hussain Mosque</x:t>
  </x:si>
  <x:si>
    <x:t xml:space="preserve">mosque; architecture; religion; sunset; photography</x:t>
  </x:si>
  <x:si>
    <x:t xml:space="preserve">A landmark mosque in Kuala Perlis built on stilts over the water, giving it a floating appearance.</x:t>
  </x:si>
  <x:si>
    <x:t xml:space="preserve">https://www.google.com/maps/search/?api=1&amp;query=Al-Hussain%20Mosque%2C%20Perlis%2C%20Malaysia</x:t>
  </x:si>
  <x:si>
    <x:t xml:space="preserve">A103</x:t>
  </x:si>
  <x:si>
    <x:t xml:space="preserve">MC0233</x:t>
  </x:si>
  <x:si>
    <x:t xml:space="preserve">Bukit Ayer Recreational Forest</x:t>
  </x:si>
  <x:si>
    <x:t xml:space="preserve">forest; waterfall; picnic; relaxation; family</x:t>
  </x:si>
  <x:si>
    <x:t xml:space="preserve">A forest recreation area in Sungai Batu Pahat district, Perlis, with waterfalls.</x:t>
  </x:si>
  <x:si>
    <x:t xml:space="preserve">https://www.google.com/maps/search/?api=1&amp;query=Bukit%20Ayer%20Recreational%20Forest%2C%20Perlis%2C%20Malaysia</x:t>
  </x:si>
  <x:si>
    <x:t xml:space="preserve">A104</x:t>
  </x:si>
  <x:si>
    <x:t xml:space="preserve">MC0234</x:t>
  </x:si>
  <x:si>
    <x:t xml:space="preserve">viewpoint; sunrise; countryside</x:t>
  </x:si>
  <x:si>
    <x:t xml:space="preserve">A scenic border viewpoint within Perlis State Park near Wang Kelian.</x:t>
  </x:si>
  <x:si>
    <x:t xml:space="preserve">https://www.google.com/maps/search/?api=1&amp;query=Wang%20Kelian%20Viewpoint%2C%20Perlis%2C%20Malaysia</x:t>
  </x:si>
  <x:si>
    <x:t xml:space="preserve">Perlis expansion batch</x:t>
  </x:si>
  <x:si>
    <x:t xml:space="preserve">Rejected</x:t>
  </x:si>
  <x:si>
    <x:t xml:space="preserve">Duplicate of MC0226 – Wang Kelian Viewpoint. Retained only for audit history; do not import into the application database.</x:t>
  </x:si>
  <x:si>
    <x:t xml:space="preserve">MC0235</x:t>
  </x:si>
  <x:si>
    <x:t xml:space="preserve">Tasik Melati</x:t>
  </x:si>
  <x:si>
    <x:t xml:space="preserve">lake; wetland; boardwalk</x:t>
  </x:si>
  <x:si>
    <x:t xml:space="preserve">A lake recreational park in Beseri district near Kangar, popular for boating and picnics.</x:t>
  </x:si>
  <x:si>
    <x:t xml:space="preserve">https://www.google.com/maps/search/?api=1&amp;query=Tasik%20Melati%2C%20Perlis%2C%20Malaysia</x:t>
  </x:si>
  <x:si>
    <x:t xml:space="preserve">MC0236</x:t>
  </x:si>
  <x:si>
    <x:t xml:space="preserve">Kuala Perlis Waterfront</x:t>
  </x:si>
  <x:si>
    <x:t xml:space="preserve">seafood; sunset; waterfront</x:t>
  </x:si>
  <x:si>
    <x:t xml:space="preserve">A waterfront promenade in Kuala Perlis known for seafood restaurants and ferry connections to Langkawi.</x:t>
  </x:si>
  <x:si>
    <x:t xml:space="preserve">https://www.google.com/maps/search/?api=1&amp;query=Kuala%20Perlis%20Waterfront%2C%20Perlis%2C%20Malaysia</x:t>
  </x:si>
  <x:si>
    <x:t xml:space="preserve">MC0237</x:t>
  </x:si>
  <x:si>
    <x:t xml:space="preserve">Perlis Royal Gallery</x:t>
  </x:si>
  <x:si>
    <x:t xml:space="preserve">Arau</x:t>
  </x:si>
  <x:si>
    <x:t xml:space="preserve">A museum in Arau, Perlis, showcasing the state's royal family history and regalia.</x:t>
  </x:si>
  <x:si>
    <x:t xml:space="preserve">https://www.google.com/maps/search/?api=1&amp;query=Perlis%20Royal%20Gallery%2C%20Perlis%2C%20Malaysia</x:t>
  </x:si>
  <x:si>
    <x:t xml:space="preserve">MC0238</x:t>
  </x:si>
  <x:si>
    <x:t xml:space="preserve">Arau Palace Grounds</x:t>
  </x:si>
  <x:si>
    <x:t xml:space="preserve">royal town; architecture; landmark</x:t>
  </x:si>
  <x:si>
    <x:t xml:space="preserve">The royal town of Arau, home to Istana Arau, the official palace of the Raja of Perlis.</x:t>
  </x:si>
  <x:si>
    <x:t xml:space="preserve">https://www.google.com/maps/search/?api=1&amp;query=Arau%20Palace%20Grounds%2C%20Perlis%2C%20Malaysia</x:t>
  </x:si>
  <x:si>
    <x:t xml:space="preserve">MC0239</x:t>
  </x:si>
  <x:si>
    <x:t xml:space="preserve">Syed Alwi Mosque</x:t>
  </x:si>
  <x:si>
    <x:t xml:space="preserve">mosque; heritage; architecture</x:t>
  </x:si>
  <x:si>
    <x:t xml:space="preserve">A mosque in Kangar, Perlis, named after a former Raja of Perlis.</x:t>
  </x:si>
  <x:si>
    <x:t xml:space="preserve">https://www.google.com/maps/search/?api=1&amp;query=Syed%20Alwi%20Mosque%2C%20Perlis%2C%20Malaysia</x:t>
  </x:si>
  <x:si>
    <x:t xml:space="preserve">MC0240</x:t>
  </x:si>
  <x:si>
    <x:t xml:space="preserve">Taman Rekreasi Sungai Batu Pahat</x:t>
  </x:si>
  <x:si>
    <x:t xml:space="preserve">park; river; family</x:t>
  </x:si>
  <x:si>
    <x:t xml:space="preserve">A river recreational park in Kangar district, Perlis.</x:t>
  </x:si>
  <x:si>
    <x:t xml:space="preserve">https://www.google.com/maps/search/?api=1&amp;query=Taman%20Rekreasi%20Sungai%20Batu%20Pahat%2C%20Perlis%2C%20Malaysia</x:t>
  </x:si>
  <x:si>
    <x:t xml:space="preserve">MC0241</x:t>
  </x:si>
  <x:si>
    <x:t xml:space="preserve">Bukit Keteri</x:t>
  </x:si>
  <x:si>
    <x:t xml:space="preserve">Chuping</x:t>
  </x:si>
  <x:si>
    <x:t xml:space="preserve">rock climbing; limestone; viewpoint</x:t>
  </x:si>
  <x:si>
    <x:t xml:space="preserve">A hiking hill in Chuping district, Perlis, known for a nearby blue lake view.</x:t>
  </x:si>
  <x:si>
    <x:t xml:space="preserve">https://www.google.com/maps/search/?api=1&amp;query=Bukit%20Keteri%2C%20Perlis%2C%20Malaysia</x:t>
  </x:si>
  <x:si>
    <x:t xml:space="preserve">MC0242</x:t>
  </x:si>
  <x:si>
    <x:t xml:space="preserve">Bukit Chabang</x:t>
  </x:si>
  <x:si>
    <x:t xml:space="preserve">hiking; twin peaks; countryside</x:t>
  </x:si>
  <x:si>
    <x:t xml:space="preserve">A hiking spot in Chuping district, Perlis, near the Thai border.</x:t>
  </x:si>
  <x:si>
    <x:t xml:space="preserve">https://www.google.com/maps/search/?api=1&amp;query=Bukit%20Chabang%2C%20Perlis%2C%20Malaysia</x:t>
  </x:si>
  <x:si>
    <x:t xml:space="preserve">MC0243</x:t>
  </x:si>
  <x:si>
    <x:t xml:space="preserve">Ladang Nipah Kipli</x:t>
  </x:si>
  <x:si>
    <x:t xml:space="preserve">Kuala Sanglang</x:t>
  </x:si>
  <x:si>
    <x:t xml:space="preserve">nipah farm; local food; village</x:t>
  </x:si>
  <x:si>
    <x:t xml:space="preserve">A nipah palm plantation and agro-tourism site in Kuala Sanglang, Perlis.</x:t>
  </x:si>
  <x:si>
    <x:t xml:space="preserve">https://www.google.com/maps/search/?api=1&amp;query=Ladang%20Nipah%20Kipli%2C%20Perlis%2C%20Malaysia</x:t>
  </x:si>
  <x:si>
    <x:t xml:space="preserve">MC0244</x:t>
  </x:si>
  <x:si>
    <x:t xml:space="preserve">Harumanis Mango Plantation Experience</x:t>
  </x:si>
  <x:si>
    <x:t xml:space="preserve">Simpang Empat</x:t>
  </x:si>
  <x:si>
    <x:t xml:space="preserve">Seasonal</x:t>
  </x:si>
  <x:si>
    <x:t xml:space="preserve">mango; orchard; agrotourism</x:t>
  </x:si>
  <x:si>
    <x:t xml:space="preserve">An orchard tour experience in Simpang Empat, Perlis, showcasing the state's famous Harumanis mango variety, best visited during the seasonal harvest.</x:t>
  </x:si>
  <x:si>
    <x:t xml:space="preserve">https://www.google.com/maps/search/?api=1&amp;query=Harumanis%20Mango%20Plantation%20Experience%2C%20Perlis%2C%20Malaysia</x:t>
  </x:si>
  <x:si>
    <x:t xml:space="preserve">MC0245</x:t>
  </x:si>
  <x:si>
    <x:t xml:space="preserve">Kinabalu Park</x:t>
  </x:si>
  <x:si>
    <x:t xml:space="preserve">Sabah</x:t>
  </x:si>
  <x:si>
    <x:t xml:space="preserve">Ranau / Kota Belud / Kota Marudu</x:t>
  </x:si>
  <x:si>
    <x:t xml:space="preserve">UNESCO World Heritage Site; UNESCO Global Geopark; Mount Kinabalu; rainforest; montane forest; subalpine habitat; biodiversity; endemic flora; wildlife; birdwatching; hiking; jungle trekking; nature trails; botanical garden; mountain climbing; sunrise; waterfalls; hot springs; canopy walkway; photography; geology; conservation; research; nature education; camping</x:t>
  </x:si>
  <x:si>
    <x:t xml:space="preserve">Malaysia's first UNESCO World Heritage Site is a 754-square-kilometre protected mountain landscape centred on Mount Kinabalu. From its highland headquarters, visitors can explore botanical gardens, forest trails, galleries and exceptional biodiversity, while separately booked climbers can attempt the 4,095.2-metre summit.</x:t>
  </x:si>
  <x:si>
    <x:t xml:space="preserve">https://www.malaysia.travel/explore/kinabalu-park ; https://www.malaysia.travel/index.php/explore/kinabalu-park ; https://www.sabahparks.org.my/kinabalu-park ; https://sabahparks.org.my/index.php/kinabalu-park/mount-kinabalu ; https://reservation.sabahparks.org.my/mountain-climbing/tickets ; https://www.sabahparks.org.my/index.php/services/mount-kinabalu-climbing ; https://ebrochures.malaysia.travel/en/cool-highlands/kinabalu-park/ ; https://ebrochures.malaysia.travel/en/birdwatching-paradise/sabah/</x:t>
  </x:si>
  <x:si>
    <x:t xml:space="preserve">https://ebrochures.malaysia.travel/en/malaysia-travel-guide/sabah/</x:t>
  </x:si>
  <x:si>
    <x:t xml:space="preserve">A019</x:t>
  </x:si>
  <x:si>
    <x:t xml:space="preserve">MC0246</x:t>
  </x:si>
  <x:si>
    <x:t xml:space="preserve">Bohey Dulang Island</x:t>
  </x:si>
  <x:si>
    <x:t xml:space="preserve">Semporna</x:t>
  </x:si>
  <x:si>
    <x:t xml:space="preserve">Island; marine park; volcanic island; crater lagoon; panoramic viewpoint; hiking; jungle trekking; nature trail; forest; birdwatching; hornbills; wildlife; coral reef; marine life; snorkelling; scuba diving; giant clam hatchery; seaweed farming; island hopping; boating; photography; geology; conservation; Bajau Laut culture; honeymoon</x:t>
  </x:si>
  <x:si>
    <x:t xml:space="preserve">A 313-hectare volcanic island in Tun Sakaran Marine Park, reached by speedboat from Semporna. Its challenging forest trail climbs to a 353-metre peak overlooking the crater lagoon and surrounding reefs, while nearby waters support snorkelling, diving and rich marine life.</x:t>
  </x:si>
  <x:si>
    <x:t xml:space="preserve">https://www.malaysia.travel/explore/bohey-dulang-island ; https://sabahtourism.com/destination/bohey-dulang/ ; https://www.sabahparks.org.my/tun-sakaran-marine-park ; https://sabahparks.org.my/tun-sakaran-marine-park/activities-facilities ; https://sabahtourism.com/destination/tun-sakaran-marine-park/ ; https://mdsemporna.sabah.gov.my/2025/01/01/bohey-dulang/ ; https://mapcarta.com/15813028</x:t>
  </x:si>
  <x:si>
    <x:t xml:space="preserve">A020</x:t>
  </x:si>
  <x:si>
    <x:t xml:space="preserve">MC0247</x:t>
  </x:si>
  <x:si>
    <x:t xml:space="preserve">Tunku Abdul Rahman Park</x:t>
  </x:si>
  <x:si>
    <x:t xml:space="preserve">Kota Kinabalu</x:t>
  </x:si>
  <x:si>
    <x:t xml:space="preserve">island; beach; snorkelling; relaxation; marine life</x:t>
  </x:si>
  <x:si>
    <x:t xml:space="preserve">A marine park of five islands off Kota Kinabalu, popular for snorkelling, diving and beach day trips.</x:t>
  </x:si>
  <x:si>
    <x:t xml:space="preserve">https://www.google.com/maps/search/?api=1&amp;query=Tunku%20Abdul%20Rahman%20Park%2C%20Sabah%2C%20Malaysia</x:t>
  </x:si>
  <x:si>
    <x:t xml:space="preserve">A105</x:t>
  </x:si>
  <x:si>
    <x:t xml:space="preserve">MC0248</x:t>
  </x:si>
  <x:si>
    <x:t xml:space="preserve">Sepilok Orangutan Rehabilitation Centre</x:t>
  </x:si>
  <x:si>
    <x:t xml:space="preserve">Sandakan</x:t>
  </x:si>
  <x:si>
    <x:t xml:space="preserve">orangutan; primate; primates; rehabilitation; rehabilitated wildlife; conservation; protected sanctuary; wildlife; education; nature</x:t>
  </x:si>
  <x:si>
    <x:t xml:space="preserve">A protected wildlife rehabilitation centre near Sandakan that cares for orphaned and injured orangutans, which are primates, before preparing them for release into the wild.</x:t>
  </x:si>
  <x:si>
    <x:t xml:space="preserve">https://www.google.com/maps/search/?api=1&amp;query=Sepilok%20Orangutan%20Rehabilitation%20Centre%2C%20Sabah%2C%20Malaysia</x:t>
  </x:si>
  <x:si>
    <x:t xml:space="preserve">A106</x:t>
  </x:si>
  <x:si>
    <x:t xml:space="preserve">MC0249</x:t>
  </x:si>
  <x:si>
    <x:t xml:space="preserve">Sabah State Museum</x:t>
  </x:si>
  <x:si>
    <x:t xml:space="preserve">museum; history; culture; heritage; indoor</x:t>
  </x:si>
  <x:si>
    <x:t xml:space="preserve">A museum in Kota Kinabalu covering Sabah's natural history, ethnography and colonial past.</x:t>
  </x:si>
  <x:si>
    <x:t xml:space="preserve">https://www.google.com/maps/search/?api=1&amp;query=Sabah%20State%20Museum%2C%20Sabah%2C%20Malaysia</x:t>
  </x:si>
  <x:si>
    <x:t xml:space="preserve">A107</x:t>
  </x:si>
  <x:si>
    <x:t xml:space="preserve">MC0250</x:t>
  </x:si>
  <x:si>
    <x:t xml:space="preserve">Mari Mari Cultural Village</x:t>
  </x:si>
  <x:si>
    <x:t xml:space="preserve">indigenous culture; heritage; performance; food; education</x:t>
  </x:si>
  <x:si>
    <x:t xml:space="preserve">A living cultural village near Kota Kinabalu showcasing the traditions of Sabah's indigenous ethnic groups.</x:t>
  </x:si>
  <x:si>
    <x:t xml:space="preserve">https://www.google.com/maps/search/?api=1&amp;query=Mari%20Mari%20Cultural%20Village%2C%20Sabah%2C%20Malaysia</x:t>
  </x:si>
  <x:si>
    <x:t xml:space="preserve">A108</x:t>
  </x:si>
  <x:si>
    <x:t xml:space="preserve">MC0251</x:t>
  </x:si>
  <x:si>
    <x:t xml:space="preserve">Poring Hot Spring</x:t>
  </x:si>
  <x:si>
    <x:t xml:space="preserve">Ranau</x:t>
  </x:si>
  <x:si>
    <x:t xml:space="preserve">hot springs; relaxation; nature; canopy walk; wellness</x:t>
  </x:si>
  <x:si>
    <x:t xml:space="preserve">A hot spring and canopy walkway attraction within Kinabalu Park in Ranau district, Sabah.</x:t>
  </x:si>
  <x:si>
    <x:t xml:space="preserve">https://www.google.com/maps/search/?api=1&amp;query=Poring%20Hot%20Spring%2C%20Sabah%2C%20Malaysia</x:t>
  </x:si>
  <x:si>
    <x:t xml:space="preserve">A109</x:t>
  </x:si>
  <x:si>
    <x:t xml:space="preserve">MC0252</x:t>
  </x:si>
  <x:si>
    <x:t xml:space="preserve">Danum Valley Conservation Area</x:t>
  </x:si>
  <x:si>
    <x:t xml:space="preserve">Lahad Datu</x:t>
  </x:si>
  <x:si>
    <x:t xml:space="preserve">rainforest; wildlife; conservation; hiking; nature</x:t>
  </x:si>
  <x:si>
    <x:t xml:space="preserve">One of the world's most pristine lowland rainforests, in Lahad Datu district, Sabah, known for wildlife research and eco-tourism.</x:t>
  </x:si>
  <x:si>
    <x:t xml:space="preserve">https://www.google.com/maps/search/?api=1&amp;query=Danum%20Valley%20Conservation%20Area%2C%20Sabah%2C%20Malaysia</x:t>
  </x:si>
  <x:si>
    <x:t xml:space="preserve">A110</x:t>
  </x:si>
  <x:si>
    <x:t xml:space="preserve">MC0253</x:t>
  </x:si>
  <x:si>
    <x:t xml:space="preserve">Tip of Borneo</x:t>
  </x:si>
  <x:si>
    <x:t xml:space="preserve">Kudat</x:t>
  </x:si>
  <x:si>
    <x:t xml:space="preserve">coast; scenery; sunset; photography; relaxation</x:t>
  </x:si>
  <x:si>
    <x:t xml:space="preserve">The northernmost point of Borneo island, in Kudat district, Sabah, known for its dramatic coastal viewpoint.</x:t>
  </x:si>
  <x:si>
    <x:t xml:space="preserve">https://www.google.com/maps/search/?api=1&amp;query=Tip%20of%20Borneo%2C%20Sabah%2C%20Malaysia</x:t>
  </x:si>
  <x:si>
    <x:t xml:space="preserve">A111</x:t>
  </x:si>
  <x:si>
    <x:t xml:space="preserve">MC0254</x:t>
  </x:si>
  <x:si>
    <x:t xml:space="preserve">Lok Kawi Wildlife Park</x:t>
  </x:si>
  <x:si>
    <x:t xml:space="preserve">Penampang</x:t>
  </x:si>
  <x:si>
    <x:t xml:space="preserve">A zoo and wildlife park near Penampang, Sabah, housing Bornean species including orangutans and elephants.</x:t>
  </x:si>
  <x:si>
    <x:t xml:space="preserve">https://www.google.com/maps/search/?api=1&amp;query=Lok%20Kawi%20Wildlife%20Park%2C%20Sabah%2C%20Malaysia</x:t>
  </x:si>
  <x:si>
    <x:t xml:space="preserve">A112</x:t>
  </x:si>
  <x:si>
    <x:t xml:space="preserve">MC0255</x:t>
  </x:si>
  <x:si>
    <x:t xml:space="preserve">Signal Hill Observatory Platform</x:t>
  </x:si>
  <x:si>
    <x:t xml:space="preserve">viewpoint; city; sunset</x:t>
  </x:si>
  <x:si>
    <x:t xml:space="preserve">A hilltop viewpoint in Kota Kinabalu offering panoramic city and harbour views.</x:t>
  </x:si>
  <x:si>
    <x:t xml:space="preserve">https://www.google.com/maps/search/?api=1&amp;query=Signal%20Hill%20Observatory%20Platform%2C%20Sabah%2C%20Malaysia</x:t>
  </x:si>
  <x:si>
    <x:t xml:space="preserve">Sabah expansion batch</x:t>
  </x:si>
  <x:si>
    <x:t xml:space="preserve">MC0256</x:t>
  </x:si>
  <x:si>
    <x:t xml:space="preserve">Kota Kinabalu City Mosque</x:t>
  </x:si>
  <x:si>
    <x:t xml:space="preserve">mosque; lagoon; architecture</x:t>
  </x:si>
  <x:si>
    <x:t xml:space="preserve">A large waterfront mosque in Kota Kinabalu known as the floating mosque for its reflection in a surrounding lagoon.</x:t>
  </x:si>
  <x:si>
    <x:t xml:space="preserve">https://www.google.com/maps/search/?api=1&amp;query=Kota%20Kinabalu%20City%20Mosque%2C%20Sabah%2C%20Malaysia</x:t>
  </x:si>
  <x:si>
    <x:t xml:space="preserve">MC0257</x:t>
  </x:si>
  <x:si>
    <x:t xml:space="preserve">Gaya Street Sunday Market</x:t>
  </x:si>
  <x:si>
    <x:t xml:space="preserve">market; crafts; food</x:t>
  </x:si>
  <x:si>
    <x:t xml:space="preserve">A popular weekly street market in Kota Kinabalu selling local produce, crafts and food.</x:t>
  </x:si>
  <x:si>
    <x:t xml:space="preserve">https://www.google.com/maps/search/?api=1&amp;query=Gaya%20Street%20Sunday%20Market%2C%20Sabah%2C%20Malaysia</x:t>
  </x:si>
  <x:si>
    <x:t xml:space="preserve">MC0258</x:t>
  </x:si>
  <x:si>
    <x:t xml:space="preserve">Tanjung Aru Beach</x:t>
  </x:si>
  <x:si>
    <x:t xml:space="preserve">beach; sunset; local food</x:t>
  </x:si>
  <x:si>
    <x:t xml:space="preserve">A beach in Kota Kinabalu known for its sunset views and seafood stalls.</x:t>
  </x:si>
  <x:si>
    <x:t xml:space="preserve">https://www.google.com/maps/search/?api=1&amp;query=Tanjung%20Aru%20Beach%2C%20Sabah%2C%20Malaysia</x:t>
  </x:si>
  <x:si>
    <x:t xml:space="preserve">MC0259</x:t>
  </x:si>
  <x:si>
    <x:t xml:space="preserve">Monsopiad Heritage Village</x:t>
  </x:si>
  <x:si>
    <x:t xml:space="preserve">Kadazan culture; heritage; village</x:t>
  </x:si>
  <x:si>
    <x:t xml:space="preserve">A cultural village in Penampang, Sabah, dedicated to Kadazan warrior heritage and traditions.</x:t>
  </x:si>
  <x:si>
    <x:t xml:space="preserve">https://www.google.com/maps/search/?api=1&amp;query=Monsopiad%20Heritage%20Village%2C%20Sabah%2C%20Malaysia</x:t>
  </x:si>
  <x:si>
    <x:t xml:space="preserve">MC0260</x:t>
  </x:si>
  <x:si>
    <x:t xml:space="preserve">Kiulu River</x:t>
  </x:si>
  <x:si>
    <x:t xml:space="preserve">Tamparuli</x:t>
  </x:si>
  <x:si>
    <x:t xml:space="preserve">rafting; countryside; river</x:t>
  </x:si>
  <x:si>
    <x:t xml:space="preserve">A river in Tamparuli district, Sabah, popular for white-water rafting and tubing.</x:t>
  </x:si>
  <x:si>
    <x:t xml:space="preserve">https://www.google.com/maps/search/?api=1&amp;query=Kiulu%20River%2C%20Sabah%2C%20Malaysia</x:t>
  </x:si>
  <x:si>
    <x:t xml:space="preserve">MC0261</x:t>
  </x:si>
  <x:si>
    <x:t xml:space="preserve">Upside Down House Sabah</x:t>
  </x:si>
  <x:si>
    <x:t xml:space="preserve">Tuaran</x:t>
  </x:si>
  <x:si>
    <x:t xml:space="preserve">family; photography; novelty</x:t>
  </x:si>
  <x:si>
    <x:t xml:space="preserve">A novelty attraction house in Tuaran, Sabah, built entirely inverted.</x:t>
  </x:si>
  <x:si>
    <x:t xml:space="preserve">https://www.google.com/maps/search/?api=1&amp;query=Upside%20Down%20House%20Sabah%2C%20Sabah%2C%20Malaysia</x:t>
  </x:si>
  <x:si>
    <x:t xml:space="preserve">MC0262</x:t>
  </x:si>
  <x:si>
    <x:t xml:space="preserve">Mantanani Islands</x:t>
  </x:si>
  <x:si>
    <x:t xml:space="preserve">Kota Belud</x:t>
  </x:si>
  <x:si>
    <x:t xml:space="preserve">island; diving; beach</x:t>
  </x:si>
  <x:si>
    <x:t xml:space="preserve">A group of islands off Kota Belud, Sabah, known for clear waters, coral reefs and turtle sightings.</x:t>
  </x:si>
  <x:si>
    <x:t xml:space="preserve">https://www.google.com/maps/search/?api=1&amp;query=Mantanani%20Islands%2C%20Sabah%2C%20Malaysia</x:t>
  </x:si>
  <x:si>
    <x:t xml:space="preserve">MC0263</x:t>
  </x:si>
  <x:si>
    <x:t xml:space="preserve">Kota Belud Tamu</x:t>
  </x:si>
  <x:si>
    <x:t xml:space="preserve">weekly market; culture; local food</x:t>
  </x:si>
  <x:si>
    <x:t xml:space="preserve">A weekly open-air market in Kota Belud, Sabah, known for its Bajau traders and local produce.</x:t>
  </x:si>
  <x:si>
    <x:t xml:space="preserve">https://www.google.com/maps/search/?api=1&amp;query=Kota%20Belud%20Tamu%2C%20Sabah%2C%20Malaysia</x:t>
  </x:si>
  <x:si>
    <x:t xml:space="preserve">MC0264</x:t>
  </x:si>
  <x:si>
    <x:t xml:space="preserve">Kundasang War Memorial</x:t>
  </x:si>
  <x:si>
    <x:t xml:space="preserve">Kundasang</x:t>
  </x:si>
  <x:si>
    <x:t xml:space="preserve">war memorial; gardens; history</x:t>
  </x:si>
  <x:si>
    <x:t xml:space="preserve">A memorial garden in Kundasang, Sabah, honouring Allied soldiers and Sandakan-Ranau Death March victims of the Second World War.</x:t>
  </x:si>
  <x:si>
    <x:t xml:space="preserve">https://www.google.com/maps/search/?api=1&amp;query=Kundasang%20War%20Memorial%2C%20Sabah%2C%20Malaysia</x:t>
  </x:si>
  <x:si>
    <x:t xml:space="preserve">MC0265</x:t>
  </x:si>
  <x:si>
    <x:t xml:space="preserve">Desa Cattle Dairy Farm</x:t>
  </x:si>
  <x:si>
    <x:t xml:space="preserve">dairy farm; scenery; family</x:t>
  </x:si>
  <x:si>
    <x:t xml:space="preserve">A highland dairy farm in Kundasang, Sabah, popular for scenic views and fresh dairy products.</x:t>
  </x:si>
  <x:si>
    <x:t xml:space="preserve">https://www.google.com/maps/search/?api=1&amp;query=Desa%20Cattle%20Dairy%20Farm%2C%20Sabah%2C%20Malaysia</x:t>
  </x:si>
  <x:si>
    <x:t xml:space="preserve">MC0266</x:t>
  </x:si>
  <x:si>
    <x:t xml:space="preserve">Sabah Tea Garden</x:t>
  </x:si>
  <x:si>
    <x:t xml:space="preserve">tea plantation; highland; cafe</x:t>
  </x:si>
  <x:si>
    <x:t xml:space="preserve">A working tea plantation in Ranau district, Sabah, near Mount Kinabalu, open for tours and stays.</x:t>
  </x:si>
  <x:si>
    <x:t xml:space="preserve">https://www.google.com/maps/search/?api=1&amp;query=Sabah%20Tea%20Garden%2C%20Sabah%2C%20Malaysia</x:t>
  </x:si>
  <x:si>
    <x:t xml:space="preserve">MC0267</x:t>
  </x:si>
  <x:si>
    <x:t xml:space="preserve">Gombizau Honey Bee Farm</x:t>
  </x:si>
  <x:si>
    <x:t xml:space="preserve">honey; village; agrotourism</x:t>
  </x:si>
  <x:si>
    <x:t xml:space="preserve">A stingless bee farm in Kudat district, Sabah, showcasing local honey production.</x:t>
  </x:si>
  <x:si>
    <x:t xml:space="preserve">https://www.google.com/maps/search/?api=1&amp;query=Gombizau%20Honey%20Bee%20Farm%2C%20Sabah%2C%20Malaysia</x:t>
  </x:si>
  <x:si>
    <x:t xml:space="preserve">MC0268</x:t>
  </x:si>
  <x:si>
    <x:t xml:space="preserve">Sumangkap Gong Making Village</x:t>
  </x:si>
  <x:si>
    <x:t xml:space="preserve">gong making; crafts; village</x:t>
  </x:si>
  <x:si>
    <x:t xml:space="preserve">A village in Kudat district, Sabah, known for traditional handmade brass gong craftsmanship.</x:t>
  </x:si>
  <x:si>
    <x:t xml:space="preserve">https://www.google.com/maps/search/?api=1&amp;query=Sumangkap%20Gong%20Making%20Village%2C%20Sabah%2C%20Malaysia</x:t>
  </x:si>
  <x:si>
    <x:t xml:space="preserve">MC0269</x:t>
  </x:si>
  <x:si>
    <x:t xml:space="preserve">Bornean Sun Bear Conservation Centre</x:t>
  </x:si>
  <x:si>
    <x:t xml:space="preserve">sun bear; conservation; education</x:t>
  </x:si>
  <x:si>
    <x:t xml:space="preserve">A conservation centre near Sandakan dedicated to the rescue and rehabilitation of Bornean sun bears.</x:t>
  </x:si>
  <x:si>
    <x:t xml:space="preserve">https://www.google.com/maps/search/?api=1&amp;query=Bornean%20Sun%20Bear%20Conservation%20Centre%2C%20Sabah%2C%20Malaysia</x:t>
  </x:si>
  <x:si>
    <x:t xml:space="preserve">MC0270</x:t>
  </x:si>
  <x:si>
    <x:t xml:space="preserve">Rainforest Discovery Centre</x:t>
  </x:si>
  <x:si>
    <x:t xml:space="preserve">canopy walk; birdwatching; rainforest</x:t>
  </x:si>
  <x:si>
    <x:t xml:space="preserve">A nature education centre near Sandakan with a canopy walkway through lowland rainforest.</x:t>
  </x:si>
  <x:si>
    <x:t xml:space="preserve">https://www.google.com/maps/search/?api=1&amp;query=Rainforest%20Discovery%20Centre%2C%20Sabah%2C%20Malaysia</x:t>
  </x:si>
  <x:si>
    <x:t xml:space="preserve">MC0271</x:t>
  </x:si>
  <x:si>
    <x:t xml:space="preserve">Sandakan Memorial Park</x:t>
  </x:si>
  <x:si>
    <x:t xml:space="preserve">war history; memorial; park</x:t>
  </x:si>
  <x:si>
    <x:t xml:space="preserve">A memorial park in Sandakan on the site of a former Second World War POW camp, honouring Death March victims.</x:t>
  </x:si>
  <x:si>
    <x:t xml:space="preserve">https://www.google.com/maps/search/?api=1&amp;query=Sandakan%20Memorial%20Park%2C%20Sabah%2C%20Malaysia</x:t>
  </x:si>
  <x:si>
    <x:t xml:space="preserve">MC0272</x:t>
  </x:si>
  <x:si>
    <x:t xml:space="preserve">Kinabatangan River</x:t>
  </x:si>
  <x:si>
    <x:t xml:space="preserve">Kinabatangan</x:t>
  </x:si>
  <x:si>
    <x:t xml:space="preserve">river cruise; wildlife; rainforest</x:t>
  </x:si>
  <x:si>
    <x:t xml:space="preserve">Sabah's longest river, renowned for wildlife river cruises spotting proboscis monkeys, orangutans and pygmy elephants.</x:t>
  </x:si>
  <x:si>
    <x:t xml:space="preserve">https://www.google.com/maps/search/?api=1&amp;query=Kinabatangan%20River%2C%20Sabah%2C%20Malaysia</x:t>
  </x:si>
  <x:si>
    <x:t xml:space="preserve">MC0273</x:t>
  </x:si>
  <x:si>
    <x:t xml:space="preserve">Tabin Wildlife Reserve</x:t>
  </x:si>
  <x:si>
    <x:t xml:space="preserve">wildlife; rainforest; mud volcano</x:t>
  </x:si>
  <x:si>
    <x:t xml:space="preserve">A large wildlife reserve in Lahad Datu district, Sabah, known for its mud volcano and diverse rainforest fauna.</x:t>
  </x:si>
  <x:si>
    <x:t xml:space="preserve">https://www.google.com/maps/search/?api=1&amp;query=Tabin%20Wildlife%20Reserve%2C%20Sabah%2C%20Malaysia</x:t>
  </x:si>
  <x:si>
    <x:t xml:space="preserve">MC0274</x:t>
  </x:si>
  <x:si>
    <x:t xml:space="preserve">Tun Sakaran Marine Park</x:t>
  </x:si>
  <x:si>
    <x:t xml:space="preserve">marine park; islands; diving</x:t>
  </x:si>
  <x:si>
    <x:t xml:space="preserve">A marine park off Semporna, Sabah, comprising several islands known for coral reefs and diving.</x:t>
  </x:si>
  <x:si>
    <x:t xml:space="preserve">https://www.google.com/maps/search/?api=1&amp;query=Tun%20Sakaran%20Marine%20Park%2C%20Sabah%2C%20Malaysia</x:t>
  </x:si>
  <x:si>
    <x:t xml:space="preserve">MC0275</x:t>
  </x:si>
  <x:si>
    <x:t xml:space="preserve">Tawau Hills Park</x:t>
  </x:si>
  <x:si>
    <x:t xml:space="preserve">Tawau</x:t>
  </x:si>
  <x:si>
    <x:t xml:space="preserve">rainforest; waterfall; hiking</x:t>
  </x:si>
  <x:si>
    <x:t xml:space="preserve">A rainforest park near Tawau town, Sabah, with hot springs and Malaysia's tallest tropical tree.</x:t>
  </x:si>
  <x:si>
    <x:t xml:space="preserve">https://www.google.com/maps/search/?api=1&amp;query=Tawau%20Hills%20Park%2C%20Sabah%2C%20Malaysia</x:t>
  </x:si>
  <x:si>
    <x:t xml:space="preserve">MC0276</x:t>
  </x:si>
  <x:si>
    <x:t xml:space="preserve">Sabah Agriculture Park</x:t>
  </x:si>
  <x:si>
    <x:t xml:space="preserve">Tenom</x:t>
  </x:si>
  <x:si>
    <x:t xml:space="preserve">An agricultural showcase park in Tenom, Sabah, featuring plantations and demonstration farms.</x:t>
  </x:si>
  <x:si>
    <x:t xml:space="preserve">https://www.google.com/maps/search/?api=1&amp;query=Sabah%20Agriculture%20Park%2C%20Sabah%2C%20Malaysia</x:t>
  </x:si>
  <x:si>
    <x:t xml:space="preserve">MC0277</x:t>
  </x:si>
  <x:si>
    <x:t xml:space="preserve">Batu Sumpah Keningau</x:t>
  </x:si>
  <x:si>
    <x:t xml:space="preserve">Keningau</x:t>
  </x:si>
  <x:si>
    <x:t xml:space="preserve">historic monument; civic history; landmark</x:t>
  </x:si>
  <x:si>
    <x:t xml:space="preserve">A historic monument in Keningau, Sabah, marking the 1964 Sabah Oath Stone agreement among native leaders.</x:t>
  </x:si>
  <x:si>
    <x:t xml:space="preserve">https://www.google.com/maps/search/?api=1&amp;query=Batu%20Sumpah%20Keningau%2C%20Sabah%2C%20Malaysia</x:t>
  </x:si>
  <x:si>
    <x:t xml:space="preserve">MC0278</x:t>
  </x:si>
  <x:si>
    <x:t xml:space="preserve">Bako National Park</x:t>
  </x:si>
  <x:si>
    <x:t xml:space="preserve">Sarawak</x:t>
  </x:si>
  <x:si>
    <x:t xml:space="preserve">Kuching</x:t>
  </x:si>
  <x:si>
    <x:t xml:space="preserve">ASEAN Heritage Park; national park; rainforest; mangrove; peat swamp; kerangas heath forest; dipterocarp forest; coastal cliffs; beaches; sea stacks; rock formations; jungle trekking; hiking; nature trails; wildlife; proboscis monkey; silvered langur; long-tailed macaque; bearded pig; monitor lizard; birdwatching; pitcher plants; night walk; photography; geology; conservation; nature education; camping; boat ride</x:t>
  </x:si>
  <x:si>
    <x:t xml:space="preserve">Sarawak's oldest national park protects 2,727 hectares of rainforest, mangroves, heath forest, beaches and rugged coastal formations. Reached by boat from Kampung Bako, its 18 colour-coded trails offer wildlife watching, pitcher plants, sea-stack views and hikes ranging from gentle walks to full-day routes.</x:t>
  </x:si>
  <x:si>
    <x:t xml:space="preserve">https://www.malaysia.travel/explore/bako-national-park ; https://www.malaysia.travel/index.php/explore/bako-national-park ; https://bakonationalpark.com/ ; https://sfc.sarawak.gov.my/web/subpage/webpage_view/49 ; https://forestry.sarawak.gov.my/web/subpage/webpage_view/1024 ; https://service.sarawak.gov.my/web/web/home/sla_view/211/690/ ; https://forestry.sarawak.gov.my/web/subpage/webpage_view/1012 ; https://www.malaysia.travel/explore/exploring-sarawak-a-treasure-trove-of-natural-wonders ; https://mapcarta.com/Bako_National_Park</x:t>
  </x:si>
  <x:si>
    <x:t xml:space="preserve">https://ebrochures.malaysia.travel/en/malaysia-travel-guide/sarawak/</x:t>
  </x:si>
  <x:si>
    <x:t xml:space="preserve">A021</x:t>
  </x:si>
  <x:si>
    <x:t xml:space="preserve">MC0279</x:t>
  </x:si>
  <x:si>
    <x:t xml:space="preserve">Gunung Mulu National Park</x:t>
  </x:si>
  <x:si>
    <x:t xml:space="preserve">Miri / Mulu</x:t>
  </x:si>
  <x:si>
    <x:t xml:space="preserve">UNESCO World Heritage Site; national park; tropical rainforest; limestone karst; caves; cave exploration; show caves; adventure caving; Sarawak Chamber; Deer Cave; Lang Cave; Clearwater Cave; Cave of the Winds; Garden of Eden; underground river; bats; bat exodus; limestone pinnacles; Gunung Api; Mount Mulu; mountain climbing; jungle trekking; hiking; canopy walk; longboat; waterfalls; birdwatching; wildlife; orchids; pitcher plants; endemic species; geology; biodiversity; conservation; research; photography; Penan culture</x:t>
  </x:si>
  <x:si>
    <x:t xml:space="preserve">A remote UNESCO World Heritage Site protecting 528.64 square kilometres of equatorial rainforest, mountains, limestone pinnacles and immense cave systems. Visitors can explore show caves, watch the Deer Cave bat exodus, walk the canopy bridge or undertake demanding guided expeditions to the Pinnacles and Mount Mulu.</x:t>
  </x:si>
  <x:si>
    <x:t xml:space="preserve">https://www.malaysia.travel/explore/gunung-mulu-national-park ; https://mulupark.com/about-us/mulu-world-heritage-area/ ; https://mulupark.com/plan-your-trip/ ; https://mulupark.com/tours-activities/ ; https://mulupark.com/clearwater-winds/ ; https://www.malaysia.travel/explore/exploring-sarawak-a-treasure-trove-of-natural-wonders ; https://www.malaysia.travel/explore/echoes-of-the-past-discover-malaysia-s-unesco-world-heritage-sites ; https://ebrochures.malaysia.travel/en/birdwatching-paradise/sarawak/</x:t>
  </x:si>
  <x:si>
    <x:t xml:space="preserve">A022</x:t>
  </x:si>
  <x:si>
    <x:t xml:space="preserve">MC0280</x:t>
  </x:si>
  <x:si>
    <x:t xml:space="preserve">Sarawak Cultural Village</x:t>
  </x:si>
  <x:si>
    <x:t xml:space="preserve">culture; indigenous heritage; performance; family; education</x:t>
  </x:si>
  <x:si>
    <x:t xml:space="preserve">A living museum near Kuching showcasing the traditional houses and lifestyles of Sarawak's various ethnic groups.</x:t>
  </x:si>
  <x:si>
    <x:t xml:space="preserve">https://www.google.com/maps/search/?api=1&amp;query=Sarawak%20Cultural%20Village%2C%20Sarawak%2C%20Malaysia</x:t>
  </x:si>
  <x:si>
    <x:t xml:space="preserve">A113</x:t>
  </x:si>
  <x:si>
    <x:t xml:space="preserve">MC0281</x:t>
  </x:si>
  <x:si>
    <x:t xml:space="preserve">Semenggoh Wildlife Centre</x:t>
  </x:si>
  <x:si>
    <x:t xml:space="preserve">orangutan; conservation; wildlife; nature; education</x:t>
  </x:si>
  <x:si>
    <x:t xml:space="preserve">A wildlife rehabilitation centre near Kuching known for its semi-wild orangutan feeding sessions.</x:t>
  </x:si>
  <x:si>
    <x:t xml:space="preserve">https://www.google.com/maps/search/?api=1&amp;query=Semenggoh%20Wildlife%20Centre%2C%20Sarawak%2C%20Malaysia</x:t>
  </x:si>
  <x:si>
    <x:t xml:space="preserve">A114</x:t>
  </x:si>
  <x:si>
    <x:t xml:space="preserve">MC0282</x:t>
  </x:si>
  <x:si>
    <x:t xml:space="preserve">Kuching Waterfront</x:t>
  </x:si>
  <x:si>
    <x:t xml:space="preserve">waterfront; walking; relaxation; food; heritage</x:t>
  </x:si>
  <x:si>
    <x:t xml:space="preserve">A landscaped riverside promenade along the Sarawak River in central Kuching.</x:t>
  </x:si>
  <x:si>
    <x:t xml:space="preserve">https://www.google.com/maps/search/?api=1&amp;query=Kuching%20Waterfront%2C%20Sarawak%2C%20Malaysia</x:t>
  </x:si>
  <x:si>
    <x:t xml:space="preserve">A115</x:t>
  </x:si>
  <x:si>
    <x:t xml:space="preserve">MC0283</x:t>
  </x:si>
  <x:si>
    <x:t xml:space="preserve">Fort Margherita</x:t>
  </x:si>
  <x:si>
    <x:t xml:space="preserve">fort; history; museum; heritage; architecture</x:t>
  </x:si>
  <x:si>
    <x:t xml:space="preserve">A 19th-century fort built by the Brooke dynasty overlooking the Sarawak River in Kuching.</x:t>
  </x:si>
  <x:si>
    <x:t xml:space="preserve">https://www.google.com/maps/search/?api=1&amp;query=Fort%20Margherita%2C%20Sarawak%2C%20Malaysia</x:t>
  </x:si>
  <x:si>
    <x:t xml:space="preserve">A116</x:t>
  </x:si>
  <x:si>
    <x:t xml:space="preserve">MC0284</x:t>
  </x:si>
  <x:si>
    <x:t xml:space="preserve">Niah National Park</x:t>
  </x:si>
  <x:si>
    <x:t xml:space="preserve">Miri</x:t>
  </x:si>
  <x:si>
    <x:t xml:space="preserve">cave; archaeology; hiking; rainforest; heritage</x:t>
  </x:si>
  <x:si>
    <x:t xml:space="preserve">A national park near Miri famous for its vast limestone caves with archaeological significance and swiftlet nests.</x:t>
  </x:si>
  <x:si>
    <x:t xml:space="preserve">https://www.google.com/maps/search/?api=1&amp;query=Niah%20National%20Park%2C%20Sarawak%2C%20Malaysia</x:t>
  </x:si>
  <x:si>
    <x:t xml:space="preserve">A117</x:t>
  </x:si>
  <x:si>
    <x:t xml:space="preserve">MC0285</x:t>
  </x:si>
  <x:si>
    <x:t xml:space="preserve">Kubah National Park</x:t>
  </x:si>
  <x:si>
    <x:t xml:space="preserve">rainforest; hiking; waterfall; wildlife; nature</x:t>
  </x:si>
  <x:si>
    <x:t xml:space="preserve">A rainforest park near Kuching known for its palm species and waterfalls.</x:t>
  </x:si>
  <x:si>
    <x:t xml:space="preserve">https://www.google.com/maps/search/?api=1&amp;query=Kubah%20National%20Park%2C%20Sarawak%2C%20Malaysia</x:t>
  </x:si>
  <x:si>
    <x:t xml:space="preserve">A118</x:t>
  </x:si>
  <x:si>
    <x:t xml:space="preserve">MC0286</x:t>
  </x:si>
  <x:si>
    <x:t xml:space="preserve">Fairy Cave</x:t>
  </x:si>
  <x:si>
    <x:t xml:space="preserve">Bau</x:t>
  </x:si>
  <x:si>
    <x:t xml:space="preserve">cave; limestone; hiking; nature; photography</x:t>
  </x:si>
  <x:si>
    <x:t xml:space="preserve">A large limestone cave in Bau district, Sarawak, with dramatic light shafts, popular for exploration.</x:t>
  </x:si>
  <x:si>
    <x:t xml:space="preserve">https://www.google.com/maps/search/?api=1&amp;query=Fairy%20Cave%2C%20Sarawak%2C%20Malaysia</x:t>
  </x:si>
  <x:si>
    <x:t xml:space="preserve">A119</x:t>
  </x:si>
  <x:si>
    <x:t xml:space="preserve">MC0287</x:t>
  </x:si>
  <x:si>
    <x:t xml:space="preserve">Cat Museum</x:t>
  </x:si>
  <x:si>
    <x:t xml:space="preserve">museum; cats; family; culture; indoor</x:t>
  </x:si>
  <x:si>
    <x:t xml:space="preserve">A museum in Kuching dedicated to cat-themed exhibits, reflecting the city's name, which means cat in Malay.</x:t>
  </x:si>
  <x:si>
    <x:t xml:space="preserve">https://www.google.com/maps/search/?api=1&amp;query=Cat%20Museum%2C%20Sarawak%2C%20Malaysia</x:t>
  </x:si>
  <x:si>
    <x:t xml:space="preserve">A120</x:t>
  </x:si>
  <x:si>
    <x:t xml:space="preserve">MC0288</x:t>
  </x:si>
  <x:si>
    <x:t xml:space="preserve">Sarawak Museum Complex</x:t>
  </x:si>
  <x:si>
    <x:t xml:space="preserve">Borneo cultures; museum; history</x:t>
  </x:si>
  <x:si>
    <x:t xml:space="preserve">Borneo's oldest museum, in Kuching, covering the region's natural history, ethnography and archaeology.</x:t>
  </x:si>
  <x:si>
    <x:t xml:space="preserve">https://www.google.com/maps/search/?api=1&amp;query=Sarawak%20Museum%20Complex%2C%20Sarawak%2C%20Malaysia</x:t>
  </x:si>
  <x:si>
    <x:t xml:space="preserve">Sarawak expansion batch</x:t>
  </x:si>
  <x:si>
    <x:t xml:space="preserve">MC0289</x:t>
  </x:si>
  <x:si>
    <x:t xml:space="preserve">Darul Hana Bridge</x:t>
  </x:si>
  <x:si>
    <x:t xml:space="preserve">pedestrian bridge; architecture; river</x:t>
  </x:si>
  <x:si>
    <x:t xml:space="preserve">A pedestrian bridge across the Sarawak River in Kuching connecting the old town to the new waterfront.</x:t>
  </x:si>
  <x:si>
    <x:t xml:space="preserve">https://www.google.com/maps/search/?api=1&amp;query=Darul%20Hana%20Bridge%2C%20Sarawak%2C%20Malaysia</x:t>
  </x:si>
  <x:si>
    <x:t xml:space="preserve">MC0290</x:t>
  </x:si>
  <x:si>
    <x:t xml:space="preserve">Fort Margherita and Brooke Gallery</x:t>
  </x:si>
  <x:si>
    <x:t xml:space="preserve">fort; Brooke history; museum</x:t>
  </x:si>
  <x:si>
    <x:t xml:space="preserve">A Brooke-era fort in Kuching, now housing a gallery on the history of the Brooke dynasty's rule over Sarawak.</x:t>
  </x:si>
  <x:si>
    <x:t xml:space="preserve">https://www.google.com/maps/search/?api=1&amp;query=Fort%20Margherita%20and%20Brooke%20Gallery%2C%20Sarawak%2C%20Malaysia</x:t>
  </x:si>
  <x:si>
    <x:t xml:space="preserve">MC0291</x:t>
  </x:si>
  <x:si>
    <x:t xml:space="preserve">Main Bazaar</x:t>
  </x:si>
  <x:si>
    <x:t xml:space="preserve">handicrafts; heritage shops; waterfront</x:t>
  </x:si>
  <x:si>
    <x:t xml:space="preserve">Kuching's oldest street, lined with antique shops, art galleries and handicraft stores.</x:t>
  </x:si>
  <x:si>
    <x:t xml:space="preserve">https://www.google.com/maps/search/?api=1&amp;query=Main%20Bazaar%2C%20Sarawak%2C%20Malaysia</x:t>
  </x:si>
  <x:si>
    <x:t xml:space="preserve">MC0292</x:t>
  </x:si>
  <x:si>
    <x:t xml:space="preserve">Damai Beach</x:t>
  </x:si>
  <x:si>
    <x:t xml:space="preserve">Santubong</x:t>
  </x:si>
  <x:si>
    <x:t xml:space="preserve">beach; mountain; resort</x:t>
  </x:si>
  <x:si>
    <x:t xml:space="preserve">A beach resort area near Santubong, close to Kuching, popular for its mountain backdrop.</x:t>
  </x:si>
  <x:si>
    <x:t xml:space="preserve">https://www.google.com/maps/search/?api=1&amp;query=Damai%20Beach%2C%20Sarawak%2C%20Malaysia</x:t>
  </x:si>
  <x:si>
    <x:t xml:space="preserve">MC0293</x:t>
  </x:si>
  <x:si>
    <x:t xml:space="preserve">Fairy Cave Nature Reserve</x:t>
  </x:si>
  <x:si>
    <x:t xml:space="preserve">limestone cave; hiking; viewpoint</x:t>
  </x:si>
  <x:si>
    <x:t xml:space="preserve">A limestone show cave in Bau district, Sarawak, known for its cathedral-like chambers and shafts of light.</x:t>
  </x:si>
  <x:si>
    <x:t xml:space="preserve">https://www.google.com/maps/search/?api=1&amp;query=Fairy%20Cave%20Nature%20Reserve%2C%20Sarawak%2C%20Malaysia</x:t>
  </x:si>
  <x:si>
    <x:t xml:space="preserve">MC0294</x:t>
  </x:si>
  <x:si>
    <x:t xml:space="preserve">Wind Cave Nature Reserve</x:t>
  </x:si>
  <x:si>
    <x:t xml:space="preserve">cave; bats; river</x:t>
  </x:si>
  <x:si>
    <x:t xml:space="preserve">A limestone cave system in Bau district, Sarawak, known for its bat colonies and underground river.</x:t>
  </x:si>
  <x:si>
    <x:t xml:space="preserve">https://www.google.com/maps/search/?api=1&amp;query=Wind%20Cave%20Nature%20Reserve%2C%20Sarawak%2C%20Malaysia</x:t>
  </x:si>
  <x:si>
    <x:t xml:space="preserve">MC0295</x:t>
  </x:si>
  <x:si>
    <x:t xml:space="preserve">Annah Rais Longhouse</x:t>
  </x:si>
  <x:si>
    <x:t xml:space="preserve">Padawan</x:t>
  </x:si>
  <x:si>
    <x:t xml:space="preserve">Bidayuh; longhouse; village</x:t>
  </x:si>
  <x:si>
    <x:t xml:space="preserve">A traditional Bidayuh longhouse settlement near Kuching offering cultural homestay experiences.</x:t>
  </x:si>
  <x:si>
    <x:t xml:space="preserve">https://www.google.com/maps/search/?api=1&amp;query=Annah%20Rais%20Longhouse%2C%20Sarawak%2C%20Malaysia</x:t>
  </x:si>
  <x:si>
    <x:t xml:space="preserve">MC0296</x:t>
  </x:si>
  <x:si>
    <x:t xml:space="preserve">Gunung Gading National Park</x:t>
  </x:si>
  <x:si>
    <x:t xml:space="preserve">Lundu</x:t>
  </x:si>
  <x:si>
    <x:t xml:space="preserve">rafflesia; hiking; rainforest</x:t>
  </x:si>
  <x:si>
    <x:t xml:space="preserve">A national park in Lundu district, Sarawak, famous for seasonal Rafflesia flower sightings.</x:t>
  </x:si>
  <x:si>
    <x:t xml:space="preserve">https://www.google.com/maps/search/?api=1&amp;query=Gunung%20Gading%20National%20Park%2C%20Sarawak%2C%20Malaysia</x:t>
  </x:si>
  <x:si>
    <x:t xml:space="preserve">MC0297</x:t>
  </x:si>
  <x:si>
    <x:t xml:space="preserve">Tanjung Datu National Park</x:t>
  </x:si>
  <x:si>
    <x:t xml:space="preserve">remote coast; rainforest; turtles</x:t>
  </x:si>
  <x:si>
    <x:t xml:space="preserve">A remote coastal rainforest park in Lundu district, Sarawak, known for pristine beaches and marine life.</x:t>
  </x:si>
  <x:si>
    <x:t xml:space="preserve">https://www.google.com/maps/search/?api=1&amp;query=Tanjung%20Datu%20National%20Park%2C%20Sarawak%2C%20Malaysia</x:t>
  </x:si>
  <x:si>
    <x:t xml:space="preserve">MC0298</x:t>
  </x:si>
  <x:si>
    <x:t xml:space="preserve">Batang Ai National Park</x:t>
  </x:si>
  <x:si>
    <x:t xml:space="preserve">Sri Aman</x:t>
  </x:si>
  <x:si>
    <x:t xml:space="preserve">rainforest; lake; Iban culture</x:t>
  </x:si>
  <x:si>
    <x:t xml:space="preserve">A rainforest park around the Batang Ai reservoir in Sri Aman, Sarawak, known for Iban longhouses and orangutan habitat.</x:t>
  </x:si>
  <x:si>
    <x:t xml:space="preserve">https://www.google.com/maps/search/?api=1&amp;query=Batang%20Ai%20National%20Park%2C%20Sarawak%2C%20Malaysia</x:t>
  </x:si>
  <x:si>
    <x:t xml:space="preserve">MC0299</x:t>
  </x:si>
  <x:si>
    <x:t xml:space="preserve">Fort Alice</x:t>
  </x:si>
  <x:si>
    <x:t xml:space="preserve">fort; local history; museum</x:t>
  </x:si>
  <x:si>
    <x:t xml:space="preserve">A 19th-century Brooke-era fort in Sri Aman town, Sarawak.</x:t>
  </x:si>
  <x:si>
    <x:t xml:space="preserve">https://www.google.com/maps/search/?api=1&amp;query=Fort%20Alice%2C%20Sarawak%2C%20Malaysia</x:t>
  </x:si>
  <x:si>
    <x:t xml:space="preserve">MC0300</x:t>
  </x:si>
  <x:si>
    <x:t xml:space="preserve">Sibu Central Market</x:t>
  </x:si>
  <x:si>
    <x:t xml:space="preserve">Sibu</x:t>
  </x:si>
  <x:si>
    <x:t xml:space="preserve">market; local produce; food</x:t>
  </x:si>
  <x:si>
    <x:t xml:space="preserve">One of the largest markets in Sarawak, in Sibu, known for its wide range of local produce and food.</x:t>
  </x:si>
  <x:si>
    <x:t xml:space="preserve">https://www.google.com/maps/search/?api=1&amp;query=Sibu%20Central%20Market%2C%20Sarawak%2C%20Malaysia</x:t>
  </x:si>
  <x:si>
    <x:t xml:space="preserve">MC0301</x:t>
  </x:si>
  <x:si>
    <x:t xml:space="preserve">Sibu Heritage Centre</x:t>
  </x:si>
  <x:si>
    <x:t xml:space="preserve">town history; culture; museum</x:t>
  </x:si>
  <x:si>
    <x:t xml:space="preserve">A museum in Sibu documenting the town's Foochow Chinese settlement history.</x:t>
  </x:si>
  <x:si>
    <x:t xml:space="preserve">https://www.google.com/maps/search/?api=1&amp;query=Sibu%20Heritage%20Centre%2C%20Sarawak%2C%20Malaysia</x:t>
  </x:si>
  <x:si>
    <x:t xml:space="preserve">MC0302</x:t>
  </x:si>
  <x:si>
    <x:t xml:space="preserve">Lamin Dana Cultural Boutique Lodge</x:t>
  </x:si>
  <x:si>
    <x:t xml:space="preserve">Mukah</x:t>
  </x:si>
  <x:si>
    <x:t xml:space="preserve">Melanau culture; village; crafts</x:t>
  </x:si>
  <x:si>
    <x:t xml:space="preserve">A Melanau cultural lodge in Mukah district, Sarawak.</x:t>
  </x:si>
  <x:si>
    <x:t xml:space="preserve">https://www.google.com/maps/search/?api=1&amp;query=Lamin%20Dana%20Cultural%20Boutique%20Lodge%2C%20Sarawak%2C%20Malaysia</x:t>
  </x:si>
  <x:si>
    <x:t xml:space="preserve">MC0303</x:t>
  </x:si>
  <x:si>
    <x:t xml:space="preserve">Similajau National Park</x:t>
  </x:si>
  <x:si>
    <x:t xml:space="preserve">Bintulu</x:t>
  </x:si>
  <x:si>
    <x:t xml:space="preserve">coast; rainforest; hiking</x:t>
  </x:si>
  <x:si>
    <x:t xml:space="preserve">A coastal rainforest park near Bintulu, Sarawak, known for its beaches and wildlife.</x:t>
  </x:si>
  <x:si>
    <x:t xml:space="preserve">https://www.google.com/maps/search/?api=1&amp;query=Similajau%20National%20Park%2C%20Sarawak%2C%20Malaysia</x:t>
  </x:si>
  <x:si>
    <x:t xml:space="preserve">MC0304</x:t>
  </x:si>
  <x:si>
    <x:t xml:space="preserve">Taman Tumbina</x:t>
  </x:si>
  <x:si>
    <x:t xml:space="preserve">botanical garden; animals; family</x:t>
  </x:si>
  <x:si>
    <x:t xml:space="preserve">A wildlife and botanical park in Bintulu, Sarawak, combining a zoo and gardens.</x:t>
  </x:si>
  <x:si>
    <x:t xml:space="preserve">https://www.google.com/maps/search/?api=1&amp;query=Taman%20Tumbina%2C%20Sarawak%2C%20Malaysia</x:t>
  </x:si>
  <x:si>
    <x:t xml:space="preserve">MC0305</x:t>
  </x:si>
  <x:si>
    <x:t xml:space="preserve">Miri-Sibuti Coral Reefs National Park</x:t>
  </x:si>
  <x:si>
    <x:t xml:space="preserve">diving; coral reefs; marine park</x:t>
  </x:si>
  <x:si>
    <x:t xml:space="preserve">A marine park off Miri, Sarawak, protecting coral reefs and popular for diving.</x:t>
  </x:si>
  <x:si>
    <x:t xml:space="preserve">https://www.google.com/maps/search/?api=1&amp;query=Miri-Sibuti%20Coral%20Reefs%20National%20Park%2C%20Sarawak%2C%20Malaysia</x:t>
  </x:si>
  <x:si>
    <x:t xml:space="preserve">MC0306</x:t>
  </x:si>
  <x:si>
    <x:t xml:space="preserve">Canada Hill and The Grand Old Lady</x:t>
  </x:si>
  <x:si>
    <x:t xml:space="preserve">oil history; viewpoint; museum</x:t>
  </x:si>
  <x:si>
    <x:t xml:space="preserve">A hill in Miri, Sarawak, home to the Grand Old Lady, Malaysia's first oil well, and a related petroleum museum.</x:t>
  </x:si>
  <x:si>
    <x:t xml:space="preserve">https://www.google.com/maps/search/?api=1&amp;query=Canada%20Hill%20and%20The%20Grand%20Old%20Lady%2C%20Sarawak%2C%20Malaysia</x:t>
  </x:si>
  <x:si>
    <x:t xml:space="preserve">MC0307</x:t>
  </x:si>
  <x:si>
    <x:t xml:space="preserve">Bukit Mas</x:t>
  </x:si>
  <x:si>
    <x:t xml:space="preserve">Limbang</x:t>
  </x:si>
  <x:si>
    <x:t xml:space="preserve">hill; hiking; viewpoint</x:t>
  </x:si>
  <x:si>
    <x:t xml:space="preserve">A hill and nature site in Limbang district, Sarawak.</x:t>
  </x:si>
  <x:si>
    <x:t xml:space="preserve">https://www.google.com/maps/search/?api=1&amp;query=Bukit%20Mas%2C%20Sarawak%2C%20Malaysia</x:t>
  </x:si>
  <x:si>
    <x:t xml:space="preserve">MC0308</x:t>
  </x:si>
  <x:si>
    <x:t xml:space="preserve">Ba'kelalan Highlands</x:t>
  </x:si>
  <x:si>
    <x:t xml:space="preserve">Lawas</x:t>
  </x:si>
  <x:si>
    <x:t xml:space="preserve">highland village; Lun Bawang; salt</x:t>
  </x:si>
  <x:si>
    <x:t xml:space="preserve">A remote highland farming community near the Kalimantan border in Lawas district, Sarawak, known for rice terraces and apple orchards.</x:t>
  </x:si>
  <x:si>
    <x:t xml:space="preserve">https://www.google.com/maps/search/?api=1&amp;query=Ba'kelalan%20Highlands%2C%20Sarawak%2C%20Malaysia</x:t>
  </x:si>
  <x:si>
    <x:t xml:space="preserve">MC0309</x:t>
  </x:si>
  <x:si>
    <x:t xml:space="preserve">Bario Highlands</x:t>
  </x:si>
  <x:si>
    <x:t xml:space="preserve">Bario</x:t>
  </x:si>
  <x:si>
    <x:t xml:space="preserve">Kelabit culture; highland; trekking</x:t>
  </x:si>
  <x:si>
    <x:t xml:space="preserve">A remote highland region in the Kelabit Highlands, Sarawak, accessible mainly by air, known for trekking and Kelabit longhouse culture.</x:t>
  </x:si>
  <x:si>
    <x:t xml:space="preserve">https://www.google.com/maps/search/?api=1&amp;query=Bario%20Highlands%2C%20Sarawak%2C%20Malaysia</x:t>
  </x:si>
  <x:si>
    <x:t xml:space="preserve">MC0310</x:t>
  </x:si>
  <x:si>
    <x:t xml:space="preserve">Bakun Lake</x:t>
  </x:si>
  <x:si>
    <x:t xml:space="preserve">Belaga</x:t>
  </x:si>
  <x:si>
    <x:t xml:space="preserve">lake; interior; boating</x:t>
  </x:si>
  <x:si>
    <x:t xml:space="preserve">A large reservoir formed by the Bakun Dam in Belaga district, Sarawak.</x:t>
  </x:si>
  <x:si>
    <x:t xml:space="preserve">https://www.google.com/maps/search/?api=1&amp;query=Bakun%20Lake%2C%20Sarawak%2C%20Malaysia</x:t>
  </x:si>
  <x:si>
    <x:t xml:space="preserve">MC0311</x:t>
  </x:si>
  <x:si>
    <x:t xml:space="preserve">Pulau Ketam</x:t>
  </x:si>
  <x:si>
    <x:t xml:space="preserve">Selangor</x:t>
  </x:si>
  <x:si>
    <x:t xml:space="preserve">Klang / Port Klang</x:t>
  </x:si>
  <x:si>
    <x:t xml:space="preserve">Island; fishing village; stilt houses; mangrove; mudflats; Chinese heritage; Hokkien culture; Teochew culture; seafood; crab; fishing; seafood processing; temples; Hock Leng Keng Temple; murals; colourful houses; boardwalk; cycling; electric scooter; walking; village life; cultural tourism; photography; boat ride; ferry; homestay; local food; car-free destination</x:t>
  </x:si>
  <x:si>
    <x:t xml:space="preserve">A car-free mangrove island off Port Klang, known for its Chinese fishing villages built on stilts above tidal mudflats. Visitors explore narrow boardwalks on foot or bicycle, observe the working fishing community, visit colourful temples and murals, and enjoy seafood—especially locally caught crab.</x:t>
  </x:si>
  <x:si>
    <x:t xml:space="preserve">https://www.malaysia.travel/explore/pulau-ketam ; https://www.pulauketam.com/v3/ferry-schedule/ ; https://selangor.travel/wp-content/uploads/2017/04/TS2025_DIRECTORY_Screen_Sp-1.pdf ; https://selangor.travel/exploring-royal-klang-a-journey-through-heritage-culture-and-flavours/ ; https://selangor.travel/wp-content/uploads/2023/03/TS_SPLENDID-SELANGOR-TRAVEL-ITINERARY_compressed.pdf ; https://www.mbdk.gov.my/en/tourism/tourist-spot ; https://mygeoname.mygeoportal.gov.my/pdf/10.pdf</x:t>
  </x:si>
  <x:si>
    <x:t xml:space="preserve">https://ebrochures.malaysia.travel/en/malaysia-travel-guide/selangor/</x:t>
  </x:si>
  <x:si>
    <x:t xml:space="preserve">A023</x:t>
  </x:si>
  <x:si>
    <x:t xml:space="preserve">MC0312</x:t>
  </x:si>
  <x:si>
    <x:t xml:space="preserve">Batu Caves</x:t>
  </x:si>
  <x:si>
    <x:t xml:space="preserve">Gombak / Batu Caves</x:t>
  </x:si>
  <x:si>
    <x:t xml:space="preserve">Hindu temple; pilgrimage; Thaipusam; Lord Murugan; Sri Subramaniar Swamy Temple; Temple Cave; Cathedral Cave; Ramayana Cave; Cave Villa; limestone cave; 272 steps; rainbow staircase; Tamil culture; Indian heritage; religious tourism; cultural tourism; architecture; geology; photography; monkeys; festival; KTM Komuter</x:t>
  </x:si>
  <x:si>
    <x:t xml:space="preserve">An important Hindu pilgrimage complex within a limestone hill in Gombak. Visitors pass the monumental golden Lord Murugan statue and climb 272 colourful steps to the Temple Cave, while the site becomes a major centre of worship and celebration during Thaipusam.</x:t>
  </x:si>
  <x:si>
    <x:t xml:space="preserve">https://www.malaysia.travel/explore/batu-caves ; https://www.malaysia.travel/explore/4-top-cultural-destinations-in-selangor ; https://selangor.travel/listing/batu-caves/ ; https://www.tourism.gov.my/media/view/vm2026-strenghtens-visibility-at-thaipusam-festival-batu-caves ; https://www.ktmb.com.my/komuter.html ; https://www.ktmb.com.my/TrainTime.html ; https://www.mps.gov.my/ms/batu-caves ; https://www.mindat.org/loc-312776.html</x:t>
  </x:si>
  <x:si>
    <x:t xml:space="preserve">A024</x:t>
  </x:si>
  <x:si>
    <x:t xml:space="preserve">MC0313</x:t>
  </x:si>
  <x:si>
    <x:t xml:space="preserve">Sunway Lagoon</x:t>
  </x:si>
  <x:si>
    <x:t xml:space="preserve">Petaling Jaya / Bandar Sunway</x:t>
  </x:si>
  <x:si>
    <x:t xml:space="preserve">Theme park; water park; Sunway Lost Lagoon; amusement park; wildlife park; X Park; Scream Park; Captain Quack Land; Night Park; water slides; wave pool; thrill rides; roller coaster; wildlife; family attraction; children's attractions; adventure; bungy jump; flying fox; go kart; bird and animal encounters; live entertainment; swimming; photography; nightlife; shopping nearby; Sunway City</x:t>
  </x:si>
  <x:si>
    <x:t xml:space="preserve">A large multi-park attraction in Bandar Sunway combining water rides, amusement rides, wildlife encounters, adventure activities, a scare attraction and an evening park. Its seven experiences and more than 90 rides and attractions cater to families, children and thrill-seekers, subject to individual height, age, weight and health restrictions.</x:t>
  </x:si>
  <x:si>
    <x:t xml:space="preserve">https://www.malaysia.travel/explore/sunway-lagoon ; https://sunwaylagoon.com/ ; https://sunwaylagoon.com/pricing/ ; https://sunwaylagoon.com/etickets/ ; https://sunwaylagoon.com/frequently-asked-questions/ ; https://sunwaylagoon.com/park-rules/ ; https://sunwaylagoon.com/how-to-get-here/ ; https://sunwaylagoon.com/quack-xpress/</x:t>
  </x:si>
  <x:si>
    <x:t xml:space="preserve">A028</x:t>
  </x:si>
  <x:si>
    <x:t xml:space="preserve">MC0314</x:t>
  </x:si>
  <x:si>
    <x:t xml:space="preserve">i-City Theme Park</x:t>
  </x:si>
  <x:si>
    <x:t xml:space="preserve">Shah Alam</x:t>
  </x:si>
  <x:si>
    <x:t xml:space="preserve">theme park; lights; family; children; night activity</x:t>
  </x:si>
  <x:si>
    <x:t xml:space="preserve">A mixed leisure and theme park complex in Shah Alam known for its digital light displays and water park.</x:t>
  </x:si>
  <x:si>
    <x:t xml:space="preserve">https://www.google.com/maps/search/?api=1&amp;query=i-City%20Theme%20Park%2C%20Selangor%2C%20Malaysia</x:t>
  </x:si>
  <x:si>
    <x:t xml:space="preserve">A121</x:t>
  </x:si>
  <x:si>
    <x:t xml:space="preserve">MC0315</x:t>
  </x:si>
  <x:si>
    <x:t xml:space="preserve">Sky Mirror Kuala Selangor</x:t>
  </x:si>
  <x:si>
    <x:t xml:space="preserve">Kuala Selangor</x:t>
  </x:si>
  <x:si>
    <x:t xml:space="preserve">sandbank; photography; boat trip; nature; scenery</x:t>
  </x:si>
  <x:si>
    <x:t xml:space="preserve">A tidal sandbank off Kuala Selangor that creates a mirror-like reflection at low tide, accessible by boat.</x:t>
  </x:si>
  <x:si>
    <x:t xml:space="preserve">https://www.google.com/maps/search/?api=1&amp;query=Sky%20Mirror%20Kuala%20Selangor%2C%20Selangor%2C%20Malaysia</x:t>
  </x:si>
  <x:si>
    <x:t xml:space="preserve">A122</x:t>
  </x:si>
  <x:si>
    <x:t xml:space="preserve">MC0316</x:t>
  </x:si>
  <x:si>
    <x:t xml:space="preserve">Kuala Selangor Nature Park</x:t>
  </x:si>
  <x:si>
    <x:t xml:space="preserve">mangrove; birdwatching; walking; wildlife; relaxation</x:t>
  </x:si>
  <x:si>
    <x:t xml:space="preserve">A mangrove nature reserve near Kuala Selangor known for silvered leaf monkeys, birdlife and nearby firefly viewing.</x:t>
  </x:si>
  <x:si>
    <x:t xml:space="preserve">https://www.google.com/maps/search/?api=1&amp;query=Kuala%20Selangor%20Nature%20Park%2C%20Selangor%2C%20Malaysia</x:t>
  </x:si>
  <x:si>
    <x:t xml:space="preserve">A123</x:t>
  </x:si>
  <x:si>
    <x:t xml:space="preserve">MC0317</x:t>
  </x:si>
  <x:si>
    <x:t xml:space="preserve">Sekinchan Paddy Fields</x:t>
  </x:si>
  <x:si>
    <x:t xml:space="preserve">Sekinchan</x:t>
  </x:si>
  <x:si>
    <x:t xml:space="preserve">paddy fields; scenery; photography; rural culture; relaxation</x:t>
  </x:si>
  <x:si>
    <x:t xml:space="preserve">Expansive rice paddy fields in Sekinchan, Selangor, a popular photography and agro-tourism destination.</x:t>
  </x:si>
  <x:si>
    <x:t xml:space="preserve">https://www.google.com/maps/search/?api=1&amp;query=Sekinchan%20Paddy%20Fields%2C%20Selangor%2C%20Malaysia</x:t>
  </x:si>
  <x:si>
    <x:t xml:space="preserve">A124</x:t>
  </x:si>
  <x:si>
    <x:t xml:space="preserve">MC0318</x:t>
  </x:si>
  <x:si>
    <x:t xml:space="preserve">Sultan Salahuddin Abdul Aziz Shah Mosque</x:t>
  </x:si>
  <x:si>
    <x:t xml:space="preserve">mosque; architecture; religion; photography; culture</x:t>
  </x:si>
  <x:si>
    <x:t xml:space="preserve">Selangor's state mosque in Shah Alam, one of the largest mosques in Southeast Asia, known for its large blue dome.</x:t>
  </x:si>
  <x:si>
    <x:t xml:space="preserve">https://www.google.com/maps/search/?api=1&amp;query=Sultan%20Salahuddin%20Abdul%20Aziz%20Shah%20Mosque%2C%20Selangor%2C%20Malaysia</x:t>
  </x:si>
  <x:si>
    <x:t xml:space="preserve">A125</x:t>
  </x:si>
  <x:si>
    <x:t xml:space="preserve">MC0319</x:t>
  </x:si>
  <x:si>
    <x:t xml:space="preserve">Farm in the City</x:t>
  </x:si>
  <x:si>
    <x:t xml:space="preserve">Seri Kembangan</x:t>
  </x:si>
  <x:si>
    <x:t xml:space="preserve">animals; farm; family; children; education</x:t>
  </x:si>
  <x:si>
    <x:t xml:space="preserve">A family-oriented agro-tourism park in Seri Kembangan, Selangor, with farm animals and interactive activities.</x:t>
  </x:si>
  <x:si>
    <x:t xml:space="preserve">https://www.google.com/maps/search/?api=1&amp;query=Farm%20in%20the%20City%2C%20Selangor%2C%20Malaysia</x:t>
  </x:si>
  <x:si>
    <x:t xml:space="preserve">A126</x:t>
  </x:si>
  <x:si>
    <x:t xml:space="preserve">MC0320</x:t>
  </x:si>
  <x:si>
    <x:t xml:space="preserve">National Botanical Garden Shah Alam</x:t>
  </x:si>
  <x:si>
    <x:t xml:space="preserve">garden; nature; walking; family; relaxation</x:t>
  </x:si>
  <x:si>
    <x:t xml:space="preserve">A large botanical garden in Shah Alam with themed plant sections and a canopy walk.</x:t>
  </x:si>
  <x:si>
    <x:t xml:space="preserve">https://www.google.com/maps/search/?api=1&amp;query=National%20Botanical%20Garden%20Shah%20Alam%2C%20Selangor%2C%20Malaysia</x:t>
  </x:si>
  <x:si>
    <x:t xml:space="preserve">A127</x:t>
  </x:si>
  <x:si>
    <x:t xml:space="preserve">MC0321</x:t>
  </x:si>
  <x:si>
    <x:t xml:space="preserve">Sultan Salahuddin Abdul Aziz Mosque</x:t>
  </x:si>
  <x:si>
    <x:t xml:space="preserve">blue mosque; architecture; landmark</x:t>
  </x:si>
  <x:si>
    <x:t xml:space="preserve">Selangor's state mosque in Shah Alam, notable for one of the largest domes in the world and its blue-and-white architecture.</x:t>
  </x:si>
  <x:si>
    <x:t xml:space="preserve">https://www.google.com/maps/search/?api=1&amp;query=Sultan%20Salahuddin%20Abdul%20Aziz%20Mosque%2C%20Selangor%2C%20Malaysia</x:t>
  </x:si>
  <x:si>
    <x:t xml:space="preserve">Selangor expansion batch</x:t>
  </x:si>
  <x:si>
    <x:t xml:space="preserve">MC0322</x:t>
  </x:si>
  <x:si>
    <x:t xml:space="preserve">Selangor State Museum</x:t>
  </x:si>
  <x:si>
    <x:t xml:space="preserve">state history; museum; culture</x:t>
  </x:si>
  <x:si>
    <x:t xml:space="preserve">A museum in Shah Alam, also known as Muzium Sultan Alam Shah, documenting Selangor's history and culture.</x:t>
  </x:si>
  <x:si>
    <x:t xml:space="preserve">https://www.google.com/maps/search/?api=1&amp;query=Selangor%20State%20Museum%2C%20Selangor%2C%20Malaysia</x:t>
  </x:si>
  <x:si>
    <x:t xml:space="preserve">MC0323</x:t>
  </x:si>
  <x:si>
    <x:t xml:space="preserve">National Botanic Gardens Shah Alam</x:t>
  </x:si>
  <x:si>
    <x:t xml:space="preserve">botanical garden; cycling; family</x:t>
  </x:si>
  <x:si>
    <x:t xml:space="preserve">A landscaped botanical garden in Shah Alam featuring themed gardens and a canopy walkway.</x:t>
  </x:si>
  <x:si>
    <x:t xml:space="preserve">https://www.google.com/maps/search/?api=1&amp;query=National%20Botanic%20Gardens%20Shah%20Alam%2C%20Selangor%2C%20Malaysia</x:t>
  </x:si>
  <x:si>
    <x:t xml:space="preserve">MC0324</x:t>
  </x:si>
  <x:si>
    <x:t xml:space="preserve">Raja Tun Uda Library</x:t>
  </x:si>
  <x:si>
    <x:t xml:space="preserve">library; family; architecture</x:t>
  </x:si>
  <x:si>
    <x:t xml:space="preserve">A public library and cultural landmark in Shah Alam known for its distinctive architecture.</x:t>
  </x:si>
  <x:si>
    <x:t xml:space="preserve">https://www.google.com/maps/search/?api=1&amp;query=Raja%20Tun%20Uda%20Library%2C%20Selangor%2C%20Malaysia</x:t>
  </x:si>
  <x:si>
    <x:t xml:space="preserve">MC0325</x:t>
  </x:si>
  <x:si>
    <x:t xml:space="preserve">Sultan Abdul Aziz Royal Gallery</x:t>
  </x:si>
  <x:si>
    <x:t xml:space="preserve">Klang</x:t>
  </x:si>
  <x:si>
    <x:t xml:space="preserve">A royal gallery in Klang showcasing Selangor's royal history and regalia.</x:t>
  </x:si>
  <x:si>
    <x:t xml:space="preserve">https://www.google.com/maps/search/?api=1&amp;query=Sultan%20Abdul%20Aziz%20Royal%20Gallery%2C%20Selangor%2C%20Malaysia</x:t>
  </x:si>
  <x:si>
    <x:t xml:space="preserve">MC0326</x:t>
  </x:si>
  <x:si>
    <x:t xml:space="preserve">Klang Heritage Walk</x:t>
  </x:si>
  <x:si>
    <x:t xml:space="preserve">heritage buildings; food; walking</x:t>
  </x:si>
  <x:si>
    <x:t xml:space="preserve">A heritage trail through Klang's historic royal town, passing colonial buildings and temples.</x:t>
  </x:si>
  <x:si>
    <x:t xml:space="preserve">https://www.google.com/maps/search/?api=1&amp;query=Klang%20Heritage%20Walk%2C%20Selangor%2C%20Malaysia</x:t>
  </x:si>
  <x:si>
    <x:t xml:space="preserve">MC0327</x:t>
  </x:si>
  <x:si>
    <x:t xml:space="preserve">Bukit Melawati</x:t>
  </x:si>
  <x:si>
    <x:t xml:space="preserve">fort; lighthouse; monkeys</x:t>
  </x:si>
  <x:si>
    <x:t xml:space="preserve">A historic hill in Kuala Selangor with a former fort, lighthouse and views over the river mouth.</x:t>
  </x:si>
  <x:si>
    <x:t xml:space="preserve">https://www.google.com/maps/search/?api=1&amp;query=Bukit%20Melawati%2C%20Selangor%2C%20Malaysia</x:t>
  </x:si>
  <x:si>
    <x:t xml:space="preserve">MC0328</x:t>
  </x:si>
  <x:si>
    <x:t xml:space="preserve">Kampung Kuantan Fireflies</x:t>
  </x:si>
  <x:si>
    <x:t xml:space="preserve">fireflies; river; night boat</x:t>
  </x:si>
  <x:si>
    <x:t xml:space="preserve">A riverside village near Kuala Selangor famous for synchronised firefly-watching boat rides.</x:t>
  </x:si>
  <x:si>
    <x:t xml:space="preserve">https://www.google.com/maps/search/?api=1&amp;query=Kampung%20Kuantan%20Fireflies%2C%20Selangor%2C%20Malaysia</x:t>
  </x:si>
  <x:si>
    <x:t xml:space="preserve">MC0329</x:t>
  </x:si>
  <x:si>
    <x:t xml:space="preserve">Pantai Redang Sekinchan</x:t>
  </x:si>
  <x:si>
    <x:t xml:space="preserve">beach; fishing village; sunset</x:t>
  </x:si>
  <x:si>
    <x:t xml:space="preserve">A coastal recreational beach area in Sekinchan, Selangor.</x:t>
  </x:si>
  <x:si>
    <x:t xml:space="preserve">https://www.google.com/maps/search/?api=1&amp;query=Pantai%20Redang%20Sekinchan%2C%20Selangor%2C%20Malaysia</x:t>
  </x:si>
  <x:si>
    <x:t xml:space="preserve">MC0330</x:t>
  </x:si>
  <x:si>
    <x:t xml:space="preserve">Sabak Bernam Museum</x:t>
  </x:si>
  <x:si>
    <x:t xml:space="preserve">Sabak Bernam</x:t>
  </x:si>
  <x:si>
    <x:t xml:space="preserve">agriculture; local history; museum</x:t>
  </x:si>
  <x:si>
    <x:t xml:space="preserve">A small district museum in Sabak Bernam, Selangor.</x:t>
  </x:si>
  <x:si>
    <x:t xml:space="preserve">https://www.google.com/maps/search/?api=1&amp;query=Sabak%20Bernam%20Museum%2C%20Selangor%2C%20Malaysia</x:t>
  </x:si>
  <x:si>
    <x:t xml:space="preserve">MC0331</x:t>
  </x:si>
  <x:si>
    <x:t xml:space="preserve">Kuala Kubu Bharu Heritage Town</x:t>
  </x:si>
  <x:si>
    <x:t xml:space="preserve">Hulu Selangor</x:t>
  </x:si>
  <x:si>
    <x:t xml:space="preserve">heritage town; murals; food</x:t>
  </x:si>
  <x:si>
    <x:t xml:space="preserve">A small historic town in Hulu Selangor known for its colonial-era shophouses and nearby waterfalls.</x:t>
  </x:si>
  <x:si>
    <x:t xml:space="preserve">https://www.google.com/maps/search/?api=1&amp;query=Kuala%20Kubu%20Bharu%20Heritage%20Town%2C%20Selangor%2C%20Malaysia</x:t>
  </x:si>
  <x:si>
    <x:t xml:space="preserve">MC0332</x:t>
  </x:si>
  <x:si>
    <x:t xml:space="preserve">Sungai Chiling Waterfall</x:t>
  </x:si>
  <x:si>
    <x:t xml:space="preserve">waterfall; hiking; river</x:t>
  </x:si>
  <x:si>
    <x:t xml:space="preserve">A popular waterfall and hiking trail in Hulu Selangor district.</x:t>
  </x:si>
  <x:si>
    <x:t xml:space="preserve">https://www.google.com/maps/search/?api=1&amp;query=Sungai%20Chiling%20Waterfall%2C%20Selangor%2C%20Malaysia</x:t>
  </x:si>
  <x:si>
    <x:t xml:space="preserve">MC0333</x:t>
  </x:si>
  <x:si>
    <x:t xml:space="preserve">Kanching Recreational Forest</x:t>
  </x:si>
  <x:si>
    <x:t xml:space="preserve">Rawang</x:t>
  </x:si>
  <x:si>
    <x:t xml:space="preserve">waterfall; forest; hiking</x:t>
  </x:si>
  <x:si>
    <x:t xml:space="preserve">A waterfall recreational forest in Rawang, Selangor, popular with hikers.</x:t>
  </x:si>
  <x:si>
    <x:t xml:space="preserve">https://www.google.com/maps/search/?api=1&amp;query=Kanching%20Recreational%20Forest%2C%20Selangor%2C%20Malaysia</x:t>
  </x:si>
  <x:si>
    <x:t xml:space="preserve">MC0334</x:t>
  </x:si>
  <x:si>
    <x:t xml:space="preserve">FRIM Forest Skywalk</x:t>
  </x:si>
  <x:si>
    <x:t xml:space="preserve">Gombak</x:t>
  </x:si>
  <x:si>
    <x:t xml:space="preserve">forest; canopy; education</x:t>
  </x:si>
  <x:si>
    <x:t xml:space="preserve">A canopy walkway within the Forest Research Institute Malaysia in Gombak, suspended above tropical rainforest.</x:t>
  </x:si>
  <x:si>
    <x:t xml:space="preserve">https://www.google.com/maps/search/?api=1&amp;query=FRIM%20Forest%20Skywalk%2C%20Selangor%2C%20Malaysia</x:t>
  </x:si>
  <x:si>
    <x:t xml:space="preserve">MC0335</x:t>
  </x:si>
  <x:si>
    <x:t xml:space="preserve">Taman Jaya</x:t>
  </x:si>
  <x:si>
    <x:t xml:space="preserve">Petaling Jaya</x:t>
  </x:si>
  <x:si>
    <x:t xml:space="preserve">urban park; lake; walking</x:t>
  </x:si>
  <x:si>
    <x:t xml:space="preserve">A lake park in Petaling Jaya popular for jogging and family outings.</x:t>
  </x:si>
  <x:si>
    <x:t xml:space="preserve">https://www.google.com/maps/search/?api=1&amp;query=Taman%20Jaya%2C%20Selangor%2C%20Malaysia</x:t>
  </x:si>
  <x:si>
    <x:t xml:space="preserve">MC0336</x:t>
  </x:si>
  <x:si>
    <x:t xml:space="preserve">Subang Ria Recreational Park</x:t>
  </x:si>
  <x:si>
    <x:t xml:space="preserve">Subang Jaya</x:t>
  </x:si>
  <x:si>
    <x:t xml:space="preserve">lake; park; family</x:t>
  </x:si>
  <x:si>
    <x:t xml:space="preserve">A recreational lake park in Subang Jaya with a mini water theme park.</x:t>
  </x:si>
  <x:si>
    <x:t xml:space="preserve">https://www.google.com/maps/search/?api=1&amp;query=Subang%20Ria%20Recreational%20Park%2C%20Selangor%2C%20Malaysia</x:t>
  </x:si>
  <x:si>
    <x:t xml:space="preserve">MC0337</x:t>
  </x:si>
  <x:si>
    <x:t xml:space="preserve">Sepang International Circuit</x:t>
  </x:si>
  <x:si>
    <x:t xml:space="preserve">Sepang</x:t>
  </x:si>
  <x:si>
    <x:t xml:space="preserve">motorsport; events; landmark</x:t>
  </x:si>
  <x:si>
    <x:t xml:space="preserve">A motorsport racing circuit in Sepang, Selangor, that has hosted major international races.</x:t>
  </x:si>
  <x:si>
    <x:t xml:space="preserve">https://www.google.com/maps/search/?api=1&amp;query=Sepang%20International%20Circuit%2C%20Selangor%2C%20Malaysia</x:t>
  </x:si>
  <x:si>
    <x:t xml:space="preserve">MC0338</x:t>
  </x:si>
  <x:si>
    <x:t xml:space="preserve">Bagan Lalang Beach</x:t>
  </x:si>
  <x:si>
    <x:t xml:space="preserve">beach; seafood; sunset</x:t>
  </x:si>
  <x:si>
    <x:t xml:space="preserve">A beach in Sepang district, Selangor, popular for kite-flying and water sports.</x:t>
  </x:si>
  <x:si>
    <x:t xml:space="preserve">https://www.google.com/maps/search/?api=1&amp;query=Bagan%20Lalang%20Beach%2C%20Selangor%2C%20Malaysia</x:t>
  </x:si>
  <x:si>
    <x:t xml:space="preserve">MC0339</x:t>
  </x:si>
  <x:si>
    <x:t xml:space="preserve">Mah Meri Cultural Village</x:t>
  </x:si>
  <x:si>
    <x:t xml:space="preserve">Banting</x:t>
  </x:si>
  <x:si>
    <x:t xml:space="preserve">indigenous culture; masks; crafts</x:t>
  </x:si>
  <x:si>
    <x:t xml:space="preserve">A cultural village in Banting, Selangor, showcasing the traditions and wood-carving craft of the Mah Meri indigenous community.</x:t>
  </x:si>
  <x:si>
    <x:t xml:space="preserve">https://www.google.com/maps/search/?api=1&amp;query=Mah%20Meri%20Cultural%20Village%2C%20Selangor%2C%20Malaysia</x:t>
  </x:si>
  <x:si>
    <x:t xml:space="preserve">MC0340</x:t>
  </x:si>
  <x:si>
    <x:t xml:space="preserve">Pulau Tenggol</x:t>
  </x:si>
  <x:si>
    <x:t xml:space="preserve">Terengganu</x:t>
  </x:si>
  <x:si>
    <x:t xml:space="preserve">Dungun / Kuala Dungun</x:t>
  </x:si>
  <x:si>
    <x:t xml:space="preserve">Island; marine park; South China Sea; scuba diving; snorkelling; wall diving; drift diving; wreck diving; coral reef; marine life; whale shark; blacktip reef shark; turtle; nudibranch; batfish; underwater photography; strong currents; beach; rocky cliffs; boat trip; day trip; resort; nature; adventure; conservation</x:t>
  </x:si>
  <x:si>
    <x:t xml:space="preserve">A small, comparatively secluded marine-park island off Kuala Dungun, renowned for clear water, coral gardens, steep underwater walls, wrecks and diverse marine life. Its strong currents and numerous dive sites make it especially attractive to experienced scuba divers, while sheltered areas also support snorkelling.</x:t>
  </x:si>
  <x:si>
    <x:t xml:space="preserve">https://www.malaysia.travel/explore/pulau-tenggol-terengganu-a-thalassophile-s-heaven ; https://mpd.gov.my/index.php/en/visitors/places-of-interest/pulau-tenggol ; https://ebrochures.malaysia.travel/en/islands-and-beaches/islands-of-terengganu/ ; https://ebrochures.malaysia.travel/en/dive-in-paradise/pulau-tenggol/ ; https://www.malaysia.travel/explore/5-most-beautiful-islands-to-discover-in-terengganu ; https://www.dof.gov.my/en/services/marine-park-resource-management/marine-park-management/ ; https://www.dof.gov.my/en/services/marine-park-resource-management/conservation-charge-fee-rates/ ; https://mygeoname.mygeoportal.gov.my/exportpdf00.jsp?kodnegeri=11 ; https://www.tenggol.com.my/go-diving/</x:t>
  </x:si>
  <x:si>
    <x:t xml:space="preserve">https://ebrochures.malaysia.travel/en/malaysia-travel-guide/terengganu/</x:t>
  </x:si>
  <x:si>
    <x:t xml:space="preserve">A025</x:t>
  </x:si>
  <x:si>
    <x:t xml:space="preserve">MC0341</x:t>
  </x:si>
  <x:si>
    <x:t xml:space="preserve">Chemerong Forest Reserve</x:t>
  </x:si>
  <x:si>
    <x:t xml:space="preserve">Dungun / Hulu Dungun</x:t>
  </x:si>
  <x:si>
    <x:t xml:space="preserve">Forest reserve; forest eco park; Pasir Raja Forest Reserve; Chemerong Waterfall; CBL trail; Chemerong-Berembun-Langsir; Mount Berembun; Langsir Waterfall; hill dipterocarp forest; jungle trekking; hiking; camping; waterfall; river; swimming; Jeram Lesung Pool; giant Chengal tree; nature; adventure; photography; guided hike; multi-day expedition</x:t>
  </x:si>
  <x:si>
    <x:t xml:space="preserve">A hill-dipterocarp recreation forest in Hulu Dungun centred on Chemerong Waterfall and the demanding Chemerong-Berembun-Langsir hiking circuit. Casual visitors can use the recreation area, while experienced hikers undertake guided waterfall, mountain and multi-day camping routes through the reserve.</x:t>
  </x:si>
  <x:si>
    <x:t xml:space="preserve">https://www.malaysia.travel/explore/chemerong-forest-reserve ; https://trgforestry.terengganu.gov.my/index.php?option=com_content&amp;view=article&amp;id=83&amp;Itemid=339&amp;lang=en ; https://www.forestry.gov.my/my/terengganu/taman-eko-rimba-chemerong ; https://www.forestry.gov.my/index.php/my/perkhidmatan/info-perhutanan/hutan-lipur-hutan-taman-negeri ; https://ebrochures.malaysia.travel/en/malaysia-travel-guide/terengganu/ ; https://ebrochures.malaysia.travel/en/adventure-with-nature/jungle-trekking/</x:t>
  </x:si>
  <x:si>
    <x:t xml:space="preserve">A026</x:t>
  </x:si>
  <x:si>
    <x:t xml:space="preserve">MC0342</x:t>
  </x:si>
  <x:si>
    <x:t xml:space="preserve">Redang Island</x:t>
  </x:si>
  <x:si>
    <x:t xml:space="preserve">Kuala Nerus</x:t>
  </x:si>
  <x:si>
    <x:t xml:space="preserve">island; beach; snorkelling; diving; relaxation</x:t>
  </x:si>
  <x:si>
    <x:t xml:space="preserve">An island off Kuala Nerus, Terengganu, known for its clear turquoise waters and coral reefs, popular for diving and snorkelling.</x:t>
  </x:si>
  <x:si>
    <x:t xml:space="preserve">https://www.google.com/maps/search/?api=1&amp;query=Redang%20Island%2C%20Terengganu%2C%20Malaysia</x:t>
  </x:si>
  <x:si>
    <x:t xml:space="preserve">A128</x:t>
  </x:si>
  <x:si>
    <x:t xml:space="preserve">MC0343</x:t>
  </x:si>
  <x:si>
    <x:t xml:space="preserve">Perhentian Islands</x:t>
  </x:si>
  <x:si>
    <x:t xml:space="preserve">Besut</x:t>
  </x:si>
  <x:si>
    <x:t xml:space="preserve">A pair of islands off Besut, Terengganu, renowned for coral reefs, turtles and backpacker-friendly beaches.</x:t>
  </x:si>
  <x:si>
    <x:t xml:space="preserve">https://www.google.com/maps/search/?api=1&amp;query=Perhentian%20Islands%2C%20Terengganu%2C%20Malaysia</x:t>
  </x:si>
  <x:si>
    <x:t xml:space="preserve">A129</x:t>
  </x:si>
  <x:si>
    <x:t xml:space="preserve">MC0344</x:t>
  </x:si>
  <x:si>
    <x:t xml:space="preserve">Islamic Civilisation Park</x:t>
  </x:si>
  <x:si>
    <x:t xml:space="preserve">Kuala Terengganu</x:t>
  </x:si>
  <x:si>
    <x:t xml:space="preserve">Islamic architecture; monuments; family; culture; education</x:t>
  </x:si>
  <x:si>
    <x:t xml:space="preserve">A park in Kuala Terengganu featuring scale replicas of famous Islamic monuments from around the world.</x:t>
  </x:si>
  <x:si>
    <x:t xml:space="preserve">https://www.google.com/maps/search/?api=1&amp;query=Islamic%20Civilisation%20Park%2C%20Terengganu%2C%20Malaysia</x:t>
  </x:si>
  <x:si>
    <x:t xml:space="preserve">A130</x:t>
  </x:si>
  <x:si>
    <x:t xml:space="preserve">MC0345</x:t>
  </x:si>
  <x:si>
    <x:t xml:space="preserve">Terengganu State Museum</x:t>
  </x:si>
  <x:si>
    <x:t xml:space="preserve">museum; culture; heritage; history; indoor</x:t>
  </x:si>
  <x:si>
    <x:t xml:space="preserve">One of the largest museums in Southeast Asia, in Kuala Terengganu, covering the state's maritime and Islamic heritage.</x:t>
  </x:si>
  <x:si>
    <x:t xml:space="preserve">https://www.google.com/maps/search/?api=1&amp;query=Terengganu%20State%20Museum%2C%20Terengganu%2C%20Malaysia</x:t>
  </x:si>
  <x:si>
    <x:t xml:space="preserve">A131</x:t>
  </x:si>
  <x:si>
    <x:t xml:space="preserve">MC0346</x:t>
  </x:si>
  <x:si>
    <x:t xml:space="preserve">Crystal Mosque</x:t>
  </x:si>
  <x:si>
    <x:t xml:space="preserve">mosque; architecture; religion; photography; waterfront</x:t>
  </x:si>
  <x:si>
    <x:t xml:space="preserve">A striking glass-and-steel mosque in Kuala Terengganu, illuminated at night and set on Wan Man Island.</x:t>
  </x:si>
  <x:si>
    <x:t xml:space="preserve">https://www.google.com/maps/search/?api=1&amp;query=Crystal%20Mosque%2C%20Terengganu%2C%20Malaysia</x:t>
  </x:si>
  <x:si>
    <x:t xml:space="preserve">A132</x:t>
  </x:si>
  <x:si>
    <x:t xml:space="preserve">MC0347</x:t>
  </x:si>
  <x:si>
    <x:t xml:space="preserve">Kenyir Lake</x:t>
  </x:si>
  <x:si>
    <x:t xml:space="preserve">Hulu Terengganu</x:t>
  </x:si>
  <x:si>
    <x:t xml:space="preserve">lake; boat trip; fishing; nature; relaxation; adventure</x:t>
  </x:si>
  <x:si>
    <x:t xml:space="preserve">Malaysia's largest man-made lake, in Hulu Terengganu, surrounded by rainforest and popular for fishing and eco-tourism.</x:t>
  </x:si>
  <x:si>
    <x:t xml:space="preserve">https://www.google.com/maps/search/?api=1&amp;query=Kenyir%20Lake%2C%20Terengganu%2C%20Malaysia</x:t>
  </x:si>
  <x:si>
    <x:t xml:space="preserve">A133</x:t>
  </x:si>
  <x:si>
    <x:t xml:space="preserve">MC0348</x:t>
  </x:si>
  <x:si>
    <x:t xml:space="preserve">Rantau Abang Turtle Information Centre</x:t>
  </x:si>
  <x:si>
    <x:t xml:space="preserve">Dungun</x:t>
  </x:si>
  <x:si>
    <x:t xml:space="preserve">turtles; conservation; education; wildlife; family</x:t>
  </x:si>
  <x:si>
    <x:t xml:space="preserve">A conservation and education centre in Dungun, Terengganu, dedicated to sea turtle protection.</x:t>
  </x:si>
  <x:si>
    <x:t xml:space="preserve">https://www.google.com/maps/search/?api=1&amp;query=Rantau%20Abang%20Turtle%20Information%20Centre%2C%20Terengganu%2C%20Malaysia</x:t>
  </x:si>
  <x:si>
    <x:t xml:space="preserve">A134</x:t>
  </x:si>
  <x:si>
    <x:t xml:space="preserve">MC0349</x:t>
  </x:si>
  <x:si>
    <x:t xml:space="preserve">Kampung Cina Kuala Terengganu</x:t>
  </x:si>
  <x:si>
    <x:t xml:space="preserve">heritage; culture; food; architecture; walking</x:t>
  </x:si>
  <x:si>
    <x:t xml:space="preserve">Kuala Terengganu's historic Chinatown, known for its riverside shophouses and temples.</x:t>
  </x:si>
  <x:si>
    <x:t xml:space="preserve">https://www.google.com/maps/search/?api=1&amp;query=Kampung%20Cina%20Kuala%20Terengganu%2C%20Terengganu%2C%20Malaysia</x:t>
  </x:si>
  <x:si>
    <x:t xml:space="preserve">A135</x:t>
  </x:si>
  <x:si>
    <x:t xml:space="preserve">MC0350</x:t>
  </x:si>
  <x:si>
    <x:t xml:space="preserve">Pasar Payang</x:t>
  </x:si>
  <x:si>
    <x:t xml:space="preserve">market; batik; local food</x:t>
  </x:si>
  <x:si>
    <x:t xml:space="preserve">Kuala Terengganu's main market, known for local textiles like batik and songket, plus fresh produce and seafood.</x:t>
  </x:si>
  <x:si>
    <x:t xml:space="preserve">https://www.google.com/maps/search/?api=1&amp;query=Pasar%20Payang%2C%20Terengganu%2C%20Malaysia</x:t>
  </x:si>
  <x:si>
    <x:t xml:space="preserve">Terengganu expansion batch</x:t>
  </x:si>
  <x:si>
    <x:t xml:space="preserve">MC0351</x:t>
  </x:si>
  <x:si>
    <x:t xml:space="preserve">Kampung Cina</x:t>
  </x:si>
  <x:si>
    <x:t xml:space="preserve">heritage street; murals; food</x:t>
  </x:si>
  <x:si>
    <x:t xml:space="preserve">The historic Chinatown quarter of Kuala Terengganu along the waterfront.</x:t>
  </x:si>
  <x:si>
    <x:t xml:space="preserve">https://www.google.com/maps/search/?api=1&amp;query=Kampung%20Cina%2C%20Terengganu%2C%20Malaysia</x:t>
  </x:si>
  <x:si>
    <x:t xml:space="preserve">MC0352</x:t>
  </x:si>
  <x:si>
    <x:t xml:space="preserve">Pulau Duyong</x:t>
  </x:si>
  <x:si>
    <x:t xml:space="preserve">boatbuilding; village; river</x:t>
  </x:si>
  <x:si>
    <x:t xml:space="preserve">A river island in Kuala Terengganu traditionally known for wooden boat-building craftsmanship.</x:t>
  </x:si>
  <x:si>
    <x:t xml:space="preserve">https://www.google.com/maps/search/?api=1&amp;query=Pulau%20Duyong%2C%20Terengganu%2C%20Malaysia</x:t>
  </x:si>
  <x:si>
    <x:t xml:space="preserve">MC0353</x:t>
  </x:si>
  <x:si>
    <x:t xml:space="preserve">Tengku Tengah Zaharah Mosque</x:t>
  </x:si>
  <x:si>
    <x:t xml:space="preserve">floating mosque; architecture; lagoon</x:t>
  </x:si>
  <x:si>
    <x:t xml:space="preserve">A mosque in Kuala Nerus, Terengganu, built to appear as if floating on the Terengganu River lagoon.</x:t>
  </x:si>
  <x:si>
    <x:t xml:space="preserve">https://www.google.com/maps/search/?api=1&amp;query=Tengku%20Tengah%20Zaharah%20Mosque%2C%20Terengganu%2C%20Malaysia</x:t>
  </x:si>
  <x:si>
    <x:t xml:space="preserve">MC0354</x:t>
  </x:si>
  <x:si>
    <x:t xml:space="preserve">Setiu Wetlands</x:t>
  </x:si>
  <x:si>
    <x:t xml:space="preserve">Setiu</x:t>
  </x:si>
  <x:si>
    <x:t xml:space="preserve">wetland; mangrove; wildlife</x:t>
  </x:si>
  <x:si>
    <x:t xml:space="preserve">An ecologically rich wetland area in Setiu district, Terengganu, known for its diverse birdlife and lagoon system.</x:t>
  </x:si>
  <x:si>
    <x:t xml:space="preserve">https://www.google.com/maps/search/?api=1&amp;query=Setiu%20Wetlands%2C%20Terengganu%2C%20Malaysia</x:t>
  </x:si>
  <x:si>
    <x:t xml:space="preserve">MC0355</x:t>
  </x:si>
  <x:si>
    <x:t xml:space="preserve">Penarik Beach</x:t>
  </x:si>
  <x:si>
    <x:t xml:space="preserve">beach; fishing village; seafood</x:t>
  </x:si>
  <x:si>
    <x:t xml:space="preserve">A quiet beach in Setiu district, Terengganu, known for its casuarina trees.</x:t>
  </x:si>
  <x:si>
    <x:t xml:space="preserve">https://www.google.com/maps/search/?api=1&amp;query=Penarik%20Beach%2C%20Terengganu%2C%20Malaysia</x:t>
  </x:si>
  <x:si>
    <x:t xml:space="preserve">MC0356</x:t>
  </x:si>
  <x:si>
    <x:t xml:space="preserve">Lang Tengah Island</x:t>
  </x:si>
  <x:si>
    <x:t xml:space="preserve">A small island off Setiu district, Terengganu, known for pristine reefs and boutique island resorts.</x:t>
  </x:si>
  <x:si>
    <x:t xml:space="preserve">https://www.google.com/maps/search/?api=1&amp;query=Lang%20Tengah%20Island%2C%20Terengganu%2C%20Malaysia</x:t>
  </x:si>
  <x:si>
    <x:t xml:space="preserve">MC0357</x:t>
  </x:si>
  <x:si>
    <x:t xml:space="preserve">Perhentian Besar Island</x:t>
  </x:si>
  <x:si>
    <x:t xml:space="preserve">island; snorkelling; beach</x:t>
  </x:si>
  <x:si>
    <x:t xml:space="preserve">The larger of the two Perhentian Islands, known for family-friendly beaches and resorts.</x:t>
  </x:si>
  <x:si>
    <x:t xml:space="preserve">https://www.google.com/maps/search/?api=1&amp;query=Perhentian%20Besar%20Island%2C%20Terengganu%2C%20Malaysia</x:t>
  </x:si>
  <x:si>
    <x:t xml:space="preserve">MC0358</x:t>
  </x:si>
  <x:si>
    <x:t xml:space="preserve">Perhentian Kecil Island</x:t>
  </x:si>
  <x:si>
    <x:t xml:space="preserve">island; diving; village</x:t>
  </x:si>
  <x:si>
    <x:t xml:space="preserve">The smaller Perhentian Island, popular with backpackers for its budget accommodation and nightlife.</x:t>
  </x:si>
  <x:si>
    <x:t xml:space="preserve">https://www.google.com/maps/search/?api=1&amp;query=Perhentian%20Kecil%20Island%2C%20Terengganu%2C%20Malaysia</x:t>
  </x:si>
  <x:si>
    <x:t xml:space="preserve">MC0359</x:t>
  </x:si>
  <x:si>
    <x:t xml:space="preserve">Lata Tembakah Waterfall</x:t>
  </x:si>
  <x:si>
    <x:t xml:space="preserve">A waterfall recreational spot in Besut district, Terengganu.</x:t>
  </x:si>
  <x:si>
    <x:t xml:space="preserve">https://www.google.com/maps/search/?api=1&amp;query=Lata%20Tembakah%20Waterfall%2C%20Terengganu%2C%20Malaysia</x:t>
  </x:si>
  <x:si>
    <x:t xml:space="preserve">MC0360</x:t>
  </x:si>
  <x:si>
    <x:t xml:space="preserve">Kapas Island</x:t>
  </x:si>
  <x:si>
    <x:t xml:space="preserve">Marang</x:t>
  </x:si>
  <x:si>
    <x:t xml:space="preserve">A small island off Marang, Terengganu, known for clear water and turtle sightings.</x:t>
  </x:si>
  <x:si>
    <x:t xml:space="preserve">https://www.google.com/maps/search/?api=1&amp;query=Kapas%20Island%2C%20Terengganu%2C%20Malaysia</x:t>
  </x:si>
  <x:si>
    <x:t xml:space="preserve">MC0361</x:t>
  </x:si>
  <x:si>
    <x:t xml:space="preserve">Kelulut Beach</x:t>
  </x:si>
  <x:si>
    <x:t xml:space="preserve">beach; coast; recreation</x:t>
  </x:si>
  <x:si>
    <x:t xml:space="preserve">A beach in Marang district, Terengganu.</x:t>
  </x:si>
  <x:si>
    <x:t xml:space="preserve">https://www.google.com/maps/search/?api=1&amp;query=Kelulut%20Beach%2C%20Terengganu%2C%20Malaysia</x:t>
  </x:si>
  <x:si>
    <x:t xml:space="preserve">MC0362</x:t>
  </x:si>
  <x:si>
    <x:t xml:space="preserve">Tenggol Island</x:t>
  </x:si>
  <x:si>
    <x:t xml:space="preserve">island; diving; marine life</x:t>
  </x:si>
  <x:si>
    <x:t xml:space="preserve">An island off Dungun, Terengganu, popular for diving with soft corals and marine life.</x:t>
  </x:si>
  <x:si>
    <x:t xml:space="preserve">https://www.google.com/maps/search/?api=1&amp;query=Tenggol%20Island%2C%20Terengganu%2C%20Malaysia</x:t>
  </x:si>
  <x:si>
    <x:t xml:space="preserve">MC0363</x:t>
  </x:si>
  <x:si>
    <x:t xml:space="preserve">Chemerong Waterfall</x:t>
  </x:si>
  <x:si>
    <x:t xml:space="preserve">waterfall; trekking; rainforest</x:t>
  </x:si>
  <x:si>
    <x:t xml:space="preserve">A tall waterfall in Dungun district, Terengganu, among the tallest in the Peninsula, popular with hikers.</x:t>
  </x:si>
  <x:si>
    <x:t xml:space="preserve">https://www.google.com/maps/search/?api=1&amp;query=Chemerong%20Waterfall%2C%20Terengganu%2C%20Malaysia</x:t>
  </x:si>
  <x:si>
    <x:t xml:space="preserve">MC0364</x:t>
  </x:si>
  <x:si>
    <x:t xml:space="preserve">Bukit Besi Museum</x:t>
  </x:si>
  <x:si>
    <x:t xml:space="preserve">mining history; museum; town</x:t>
  </x:si>
  <x:si>
    <x:t xml:space="preserve">A museum in Dungun, Terengganu, documenting the area's former iron-ore mining town history.</x:t>
  </x:si>
  <x:si>
    <x:t xml:space="preserve">https://www.google.com/maps/search/?api=1&amp;query=Bukit%20Besi%20Museum%2C%20Terengganu%2C%20Malaysia</x:t>
  </x:si>
  <x:si>
    <x:t xml:space="preserve">MC0365</x:t>
  </x:si>
  <x:si>
    <x:t xml:space="preserve">Kemasik Beach</x:t>
  </x:si>
  <x:si>
    <x:t xml:space="preserve">Kemaman</x:t>
  </x:si>
  <x:si>
    <x:t xml:space="preserve">beach; rock formation; coast</x:t>
  </x:si>
  <x:si>
    <x:t xml:space="preserve">A beach in Kemaman district, Terengganu, known for its unique rock formations.</x:t>
  </x:si>
  <x:si>
    <x:t xml:space="preserve">https://www.google.com/maps/search/?api=1&amp;query=Kemasik%20Beach%2C%20Terengganu%2C%20Malaysia</x:t>
  </x:si>
  <x:si>
    <x:t xml:space="preserve">MC0366</x:t>
  </x:si>
  <x:si>
    <x:t xml:space="preserve">Yak Yah Firefly Sanctuary</x:t>
  </x:si>
  <x:si>
    <x:t xml:space="preserve">A firefly-watching river site in Kemaman district, Terengganu.</x:t>
  </x:si>
  <x:si>
    <x:t xml:space="preserve">https://www.google.com/maps/search/?api=1&amp;query=Yak%20Yah%20Firefly%20Sanctuary%2C%20Terengganu%2C%20Malaysia</x:t>
  </x:si>
  <x:si>
    <x:t xml:space="preserve">MC0367</x:t>
  </x:si>
  <x:si>
    <x:t xml:space="preserve">Lake Kenyir</x:t>
  </x:si>
  <x:si>
    <x:t xml:space="preserve">lake; islands; rainforest</x:t>
  </x:si>
  <x:si>
    <x:t xml:space="preserve">Malaysia's largest man-made lake, in Hulu Terengganu, offering houseboats, waterfalls and jungle trekking.</x:t>
  </x:si>
  <x:si>
    <x:t xml:space="preserve">https://www.google.com/maps/search/?api=1&amp;query=Lake%20Kenyir%2C%20Terengganu%2C%20Malaysia</x:t>
  </x:si>
  <x:si>
    <x:t xml:space="preserve">MC0368</x:t>
  </x:si>
  <x:si>
    <x:t xml:space="preserve">Kenyir Elephant Conservation Village</x:t>
  </x:si>
  <x:si>
    <x:t xml:space="preserve">elephants; conservation; forest</x:t>
  </x:si>
  <x:si>
    <x:t xml:space="preserve">An elephant conservation site near Kenyir Lake in Hulu Terengganu district.</x:t>
  </x:si>
  <x:si>
    <x:t xml:space="preserve">https://www.google.com/maps/search/?api=1&amp;query=Kenyir%20Elephant%20Conservation%20Village%2C%20Terengganu%2C%20Malaysia</x:t>
  </x:si>
  <x:si>
    <x:t xml:space="preserve">MC0369</x:t>
  </x:si>
  <x:si>
    <x:t xml:space="preserve">Sekayu Recreational Forest</x:t>
  </x:si>
  <x:si>
    <x:t xml:space="preserve">A waterfall recreational forest in Hulu Terengganu district, Terengganu.</x:t>
  </x:si>
  <x:si>
    <x:t xml:space="preserve">https://www.google.com/maps/search/?api=1&amp;query=Sekayu%20Recreational%20Forest%2C%20Terengganu%2C%20Malaysia</x:t>
  </x:si>
  <x:si>
    <x:t xml:space="preserve">MC0370</x:t>
  </x:si>
  <x:si>
    <x:t xml:space="preserve">Kelah Sanctuary</x:t>
  </x:si>
  <x:si>
    <x:t xml:space="preserve">fish sanctuary; river; rainforest</x:t>
  </x:si>
  <x:si>
    <x:t xml:space="preserve">A river sanctuary for Malaysian mahseer (kelah) fish in Hulu Terengganu district.</x:t>
  </x:si>
  <x:si>
    <x:t xml:space="preserve">https://www.google.com/maps/search/?api=1&amp;query=Kelah%20Sanctuary%2C%20Terengganu%2C%20Malaysia</x:t>
  </x:si>
  <x:si>
    <x:t xml:space="preserve">MC0371</x:t>
  </x:si>
  <x:si>
    <x:t xml:space="preserve">Rantau Abang Turtle Beach</x:t>
  </x:si>
  <x:si>
    <x:t xml:space="preserve">Rantau Abang</x:t>
  </x:si>
  <x:si>
    <x:t xml:space="preserve">turtles; beach; conservation</x:t>
  </x:si>
  <x:si>
    <x:t xml:space="preserve">A beach in Rantau Abang, Terengganu, historically known as a major leatherback turtle nesting site.</x:t>
  </x:si>
  <x:si>
    <x:t xml:space="preserve">https://www.google.com/maps/search/?api=1&amp;query=Rantau%20Abang%20Turtle%20Beach%2C%20Terengganu%2C%20Malaysia</x:t>
  </x:si>
  <x:si>
    <x:t xml:space="preserve">MC0372</x:t>
  </x:si>
  <x:si>
    <x:t xml:space="preserve">KL Bird Park</x:t>
  </x:si>
  <x:si>
    <x:t xml:space="preserve">W.P. Kuala Lumpur</x:t>
  </x:si>
  <x:si>
    <x:t xml:space="preserve">Perdana Botanical Gardens / Tasik Perdana</x:t>
  </x:si>
  <x:si>
    <x:t xml:space="preserve">Bird park; aviary; free-flight aviary; wildlife; birds; birdwatching; ecotourism; family attraction; education; conservation; photography; bird show; bird feeding; hornbill; flamingo; parrot; macaw; eagle; ostrich; Birds of Paradise; Rhinoceros Hornbill; landscaped park; nature; outdoor walking; Kuala Lumpur Lake Gardens</x:t>
  </x:si>
  <x:si>
    <x:t xml:space="preserve">A 20.9-acre bird park beside Perdana Botanical Gardens, housing about 3,000 local and international birds from more than 200 species. Its four zones combine large free-flight walk-in aviaries with hornbills, parrots, flightless birds, feeding sessions, educational displays and scheduled bird shows.</x:t>
  </x:si>
  <x:si>
    <x:t xml:space="preserve">https://www.malaysia.travel/explore/kl-bird-park ; https://www.klbirdpark.com/ ; https://www.klbirdpark.com/plan-your-visit/ ; https://www.klbirdpark.com/contacts/ ; https://www.malaysia.travel/storage/files/pdf/2026-Malaysia-Surreal-Experience.pdf ; https://ebrochures.malaysia.travel/en/malaysia-travel-guide/kuala-lumpur/ ; https://www.findlatitudeandlongitude.com/l/Kuala%2BLumpur%2BBird%2BPark%252C%2B920%252C%2BJalan%2BCenderawasih%252C%2BPerdana%2BBotanical%2BGardens%252C%2BKuala%2BLumpur%252C%2BKuala%2BLumpur%252C%2BMalaysia%252C%2B50480/6564055/</x:t>
  </x:si>
  <x:si>
    <x:t xml:space="preserve">https://ebrochures.malaysia.travel/en/malaysia-travel-guide/kuala-lumpur/</x:t>
  </x:si>
  <x:si>
    <x:t xml:space="preserve">A027</x:t>
  </x:si>
  <x:si>
    <x:t xml:space="preserve">MC0373</x:t>
  </x:si>
  <x:si>
    <x:t xml:space="preserve">Petronas Twin Towers</x:t>
  </x:si>
  <x:si>
    <x:t xml:space="preserve">Kuala Lumpur City Centre</x:t>
  </x:si>
  <x:si>
    <x:t xml:space="preserve">architecture; city view; shopping; photography; landmark</x:t>
  </x:si>
  <x:si>
    <x:t xml:space="preserve">An 88-storey twin skyscraper in KLCC, once the world's tallest buildings, with a Skybridge and observation deck.</x:t>
  </x:si>
  <x:si>
    <x:t xml:space="preserve">https://www.google.com/maps/search/?api=1&amp;query=Petronas%20Twin%20Towers%2C%20Kuala%20Lumpur%2C%20Malaysia</x:t>
  </x:si>
  <x:si>
    <x:t xml:space="preserve">A136</x:t>
  </x:si>
  <x:si>
    <x:t xml:space="preserve">MC0374</x:t>
  </x:si>
  <x:si>
    <x:t xml:space="preserve">KLCC Park</x:t>
  </x:si>
  <x:si>
    <x:t xml:space="preserve">urban park; walking; relaxation; family; scenery</x:t>
  </x:si>
  <x:si>
    <x:t xml:space="preserve">A landscaped park at the foot of the Petronas Twin Towers, featuring the Lake Symphony fountain show and a wading pool.</x:t>
  </x:si>
  <x:si>
    <x:t xml:space="preserve">https://www.google.com/maps/search/?api=1&amp;query=KLCC%20Park%2C%20Kuala%20Lumpur%2C%20Malaysia</x:t>
  </x:si>
  <x:si>
    <x:t xml:space="preserve">A137</x:t>
  </x:si>
  <x:si>
    <x:t xml:space="preserve">MC0375</x:t>
  </x:si>
  <x:si>
    <x:t xml:space="preserve">Aquaria KLCC</x:t>
  </x:si>
  <x:si>
    <x:t xml:space="preserve">An aquarium beneath the Kuala Lumpur Convention Centre showcasing marine and freshwater species via a walk-through tunnel.</x:t>
  </x:si>
  <x:si>
    <x:t xml:space="preserve">https://www.google.com/maps/search/?api=1&amp;query=Aquaria%20KLCC%2C%20Kuala%20Lumpur%2C%20Malaysia</x:t>
  </x:si>
  <x:si>
    <x:t xml:space="preserve">A138</x:t>
  </x:si>
  <x:si>
    <x:t xml:space="preserve">MC0376</x:t>
  </x:si>
  <x:si>
    <x:t xml:space="preserve">Central Market Kuala Lumpur</x:t>
  </x:si>
  <x:si>
    <x:t xml:space="preserve">City Centre</x:t>
  </x:si>
  <x:si>
    <x:t xml:space="preserve">market; handicrafts; shopping; culture; local food</x:t>
  </x:si>
  <x:si>
    <x:t xml:space="preserve">A historic Art Deco market building in downtown Kuala Lumpur, now a hub for arts, crafts and cultural souvenirs.</x:t>
  </x:si>
  <x:si>
    <x:t xml:space="preserve">https://www.google.com/maps/search/?api=1&amp;query=Central%20Market%20Kuala%20Lumpur%2C%20Kuala%20Lumpur%2C%20Malaysia</x:t>
  </x:si>
  <x:si>
    <x:t xml:space="preserve">A139</x:t>
  </x:si>
  <x:si>
    <x:t xml:space="preserve">MC0377</x:t>
  </x:si>
  <x:si>
    <x:t xml:space="preserve">Perdana Botanical Gardens</x:t>
  </x:si>
  <x:si>
    <x:t xml:space="preserve">Lake Gardens</x:t>
  </x:si>
  <x:si>
    <x:t xml:space="preserve">garden; walking; relaxation; nature; family</x:t>
  </x:si>
  <x:si>
    <x:t xml:space="preserve">Kuala Lumpur's main public garden, formerly the Lake Gardens, featuring landscaped grounds, a lake and a deer park.</x:t>
  </x:si>
  <x:si>
    <x:t xml:space="preserve">https://www.google.com/maps/search/?api=1&amp;query=Perdana%20Botanical%20Gardens%2C%20Kuala%20Lumpur%2C%20Malaysia</x:t>
  </x:si>
  <x:si>
    <x:t xml:space="preserve">A140</x:t>
  </x:si>
  <x:si>
    <x:t xml:space="preserve">MC0378</x:t>
  </x:si>
  <x:si>
    <x:t xml:space="preserve">Islamic Arts Museum Malaysia</x:t>
  </x:si>
  <x:si>
    <x:t xml:space="preserve">museum; Islamic art; culture; architecture; indoor</x:t>
  </x:si>
  <x:si>
    <x:t xml:space="preserve">A museum in the Lake Gardens area of Kuala Lumpur with one of the region's most comprehensive collections of Islamic decorative arts.</x:t>
  </x:si>
  <x:si>
    <x:t xml:space="preserve">https://www.google.com/maps/search/?api=1&amp;query=Islamic%20Arts%20Museum%20Malaysia%2C%20Kuala%20Lumpur%2C%20Malaysia</x:t>
  </x:si>
  <x:si>
    <x:t xml:space="preserve">A141</x:t>
  </x:si>
  <x:si>
    <x:t xml:space="preserve">MC0379</x:t>
  </x:si>
  <x:si>
    <x:t xml:space="preserve">National Museum of Malaysia</x:t>
  </x:si>
  <x:si>
    <x:t xml:space="preserve">Brickfields</x:t>
  </x:si>
  <x:si>
    <x:t xml:space="preserve">museum; Malaysian history; culture; heritage; indoor</x:t>
  </x:si>
  <x:si>
    <x:t xml:space="preserve">Kuala Lumpur's main national museum, covering Malaysian history, culture and natural heritage in Minangkabau-inspired architecture.</x:t>
  </x:si>
  <x:si>
    <x:t xml:space="preserve">https://www.google.com/maps/search/?api=1&amp;query=National%20Museum%20of%20Malaysia%2C%20Kuala%20Lumpur%2C%20Malaysia</x:t>
  </x:si>
  <x:si>
    <x:t xml:space="preserve">A142</x:t>
  </x:si>
  <x:si>
    <x:t xml:space="preserve">MC0380</x:t>
  </x:si>
  <x:si>
    <x:t xml:space="preserve">Thean Hou Temple</x:t>
  </x:si>
  <x:si>
    <x:t xml:space="preserve">Seputeh</x:t>
  </x:si>
  <x:si>
    <x:t xml:space="preserve">temple; architecture; culture; religion; photography</x:t>
  </x:si>
  <x:si>
    <x:t xml:space="preserve">A large, colourful Chinese temple in Seputeh, Kuala Lumpur, built on a hilltop and popular for its city views and Chinese New Year decorations.</x:t>
  </x:si>
  <x:si>
    <x:t xml:space="preserve">https://www.google.com/maps/search/?api=1&amp;query=Thean%20Hou%20Temple%2C%20Kuala%20Lumpur%2C%20Malaysia</x:t>
  </x:si>
  <x:si>
    <x:t xml:space="preserve">A143</x:t>
  </x:si>
  <x:si>
    <x:t xml:space="preserve">MC0381</x:t>
  </x:si>
  <x:si>
    <x:t xml:space="preserve">Jalan Alor</x:t>
  </x:si>
  <x:si>
    <x:t xml:space="preserve">Bukit Bintang</x:t>
  </x:si>
  <x:si>
    <x:t xml:space="preserve">street food; local food; night activity; culture; walking</x:t>
  </x:si>
  <x:si>
    <x:t xml:space="preserve">A famous street food strip in Bukit Bintang, Kuala Lumpur, lined with hawker stalls and open-air restaurants.</x:t>
  </x:si>
  <x:si>
    <x:t xml:space="preserve">https://www.google.com/maps/search/?api=1&amp;query=Jalan%20Alor%2C%20Kuala%20Lumpur%2C%20Malaysia</x:t>
  </x:si>
  <x:si>
    <x:t xml:space="preserve">A144</x:t>
  </x:si>
  <x:si>
    <x:t xml:space="preserve">MC0382</x:t>
  </x:si>
  <x:si>
    <x:t xml:space="preserve">Pavilion Kuala Lumpur</x:t>
  </x:si>
  <x:si>
    <x:t xml:space="preserve">shopping; dining; city</x:t>
  </x:si>
  <x:si>
    <x:t xml:space="preserve">A major upscale shopping mall in Bukit Bintang, Kuala Lumpur.</x:t>
  </x:si>
  <x:si>
    <x:t xml:space="preserve">https://www.google.com/maps/search/?api=1&amp;query=Pavilion%20Kuala%20Lumpur%2C%20Kuala%20Lumpur%2C%20Malaysia</x:t>
  </x:si>
  <x:si>
    <x:t xml:space="preserve">Kuala Lumpur expansion batch</x:t>
  </x:si>
  <x:si>
    <x:t xml:space="preserve">MC0383</x:t>
  </x:si>
  <x:si>
    <x:t xml:space="preserve">Petaling Street</x:t>
  </x:si>
  <x:si>
    <x:t xml:space="preserve">Chinatown</x:t>
  </x:si>
  <x:si>
    <x:t xml:space="preserve">market; heritage; food</x:t>
  </x:si>
  <x:si>
    <x:t xml:space="preserve">The heart of Kuala Lumpur's Chinatown, known for its bustling market lane and street food.</x:t>
  </x:si>
  <x:si>
    <x:t xml:space="preserve">https://www.google.com/maps/search/?api=1&amp;query=Petaling%20Street%2C%20Kuala%20Lumpur%2C%20Malaysia</x:t>
  </x:si>
  <x:si>
    <x:t xml:space="preserve">MC0384</x:t>
  </x:si>
  <x:si>
    <x:t xml:space="preserve">Central Market</x:t>
  </x:si>
  <x:si>
    <x:t xml:space="preserve">crafts; heritage; souvenirs</x:t>
  </x:si>
  <x:si>
    <x:t xml:space="preserve">A historic Art Deco heritage crafts market near Kuala Lumpur's Chinatown.</x:t>
  </x:si>
  <x:si>
    <x:t xml:space="preserve">https://www.google.com/maps/search/?api=1&amp;query=Central%20Market%2C%20Kuala%20Lumpur%2C%20Malaysia</x:t>
  </x:si>
  <x:si>
    <x:t xml:space="preserve">MC0385</x:t>
  </x:si>
  <x:si>
    <x:t xml:space="preserve">Kwai Chai Hong</x:t>
  </x:si>
  <x:si>
    <x:t xml:space="preserve">laneway; murals; heritage</x:t>
  </x:si>
  <x:si>
    <x:t xml:space="preserve">A restored heritage back-alley in Kuala Lumpur's Chinatown known for its murals and retro-themed shops.</x:t>
  </x:si>
  <x:si>
    <x:t xml:space="preserve">https://www.google.com/maps/search/?api=1&amp;query=Kwai%20Chai%20Hong%2C%20Kuala%20Lumpur%2C%20Malaysia</x:t>
  </x:si>
  <x:si>
    <x:t xml:space="preserve">MC0386</x:t>
  </x:si>
  <x:si>
    <x:t xml:space="preserve">Sultan Abdul Samad Building</x:t>
  </x:si>
  <x:si>
    <x:t xml:space="preserve">Merdeka Square</x:t>
  </x:si>
  <x:si>
    <x:t xml:space="preserve">colonial architecture; landmark; history</x:t>
  </x:si>
  <x:si>
    <x:t xml:space="preserve">An iconic colonial-era building with a clock tower facing Merdeka Square, formerly housing British administrative offices.</x:t>
  </x:si>
  <x:si>
    <x:t xml:space="preserve">https://www.google.com/maps/search/?api=1&amp;query=Sultan%20Abdul%20Samad%20Building%2C%20Kuala%20Lumpur%2C%20Malaysia</x:t>
  </x:si>
  <x:si>
    <x:t xml:space="preserve">MC0387</x:t>
  </x:si>
  <x:si>
    <x:t xml:space="preserve">Kuala Lumpur City Gallery</x:t>
  </x:si>
  <x:si>
    <x:t xml:space="preserve">city history; models; gallery</x:t>
  </x:si>
  <x:si>
    <x:t xml:space="preserve">An exhibition centre at Merdeka Square showcasing Kuala Lumpur's urban development and history, with a large city model.</x:t>
  </x:si>
  <x:si>
    <x:t xml:space="preserve">https://www.google.com/maps/search/?api=1&amp;query=Kuala%20Lumpur%20City%20Gallery%2C%20Kuala%20Lumpur%2C%20Malaysia</x:t>
  </x:si>
  <x:si>
    <x:t xml:space="preserve">MC0388</x:t>
  </x:si>
  <x:si>
    <x:t xml:space="preserve">Kuala Lumpur Bird Park</x:t>
  </x:si>
  <x:si>
    <x:t xml:space="preserve">birds; aviary; family</x:t>
  </x:si>
  <x:si>
    <x:t xml:space="preserve">One of the world's largest free-flight walk-in aviaries, located in Kuala Lumpur's Lake Gardens.</x:t>
  </x:si>
  <x:si>
    <x:t xml:space="preserve">https://www.google.com/maps/search/?api=1&amp;query=Kuala%20Lumpur%20Bird%20Park%2C%20Kuala%20Lumpur%2C%20Malaysia</x:t>
  </x:si>
  <x:si>
    <x:t xml:space="preserve">MC0389</x:t>
  </x:si>
  <x:si>
    <x:t xml:space="preserve">Little India Brickfields</x:t>
  </x:si>
  <x:si>
    <x:t xml:space="preserve">food; shopping; neighbourhood</x:t>
  </x:si>
  <x:si>
    <x:t xml:space="preserve">A cultural enclave in Brickfields, Kuala Lumpur, known for Indian eateries, textile shops and temples.</x:t>
  </x:si>
  <x:si>
    <x:t xml:space="preserve">https://www.google.com/maps/search/?api=1&amp;query=Little%20India%20Brickfields%2C%20Kuala%20Lumpur%2C%20Malaysia</x:t>
  </x:si>
  <x:si>
    <x:t xml:space="preserve">MC0390</x:t>
  </x:si>
  <x:si>
    <x:t xml:space="preserve">Kampung Baru Food Trail</x:t>
  </x:si>
  <x:si>
    <x:t xml:space="preserve">Kampung Baru</x:t>
  </x:si>
  <x:si>
    <x:t xml:space="preserve">Malay food; village; city</x:t>
  </x:si>
  <x:si>
    <x:t xml:space="preserve">A Malay heritage enclave near KLCC known for traditional food stalls and old wooden houses amid the modern skyline.</x:t>
  </x:si>
  <x:si>
    <x:t xml:space="preserve">https://www.google.com/maps/search/?api=1&amp;query=Kampung%20Baru%20Food%20Trail%2C%20Kuala%20Lumpur%2C%20Malaysia</x:t>
  </x:si>
  <x:si>
    <x:t xml:space="preserve">MC0391</x:t>
  </x:si>
  <x:si>
    <x:t xml:space="preserve">Sentul Depot</x:t>
  </x:si>
  <x:si>
    <x:t xml:space="preserve">Sentul</x:t>
  </x:si>
  <x:si>
    <x:t xml:space="preserve">industrial heritage; arts; events</x:t>
  </x:si>
  <x:si>
    <x:t xml:space="preserve">A former railway depot in Sentul, Kuala Lumpur, redeveloped into an arts and performance space.</x:t>
  </x:si>
  <x:si>
    <x:t xml:space="preserve">https://www.google.com/maps/search/?api=1&amp;query=Sentul%20Depot%2C%20Kuala%20Lumpur%2C%20Malaysia</x:t>
  </x:si>
  <x:si>
    <x:t xml:space="preserve">MC0392</x:t>
  </x:si>
  <x:si>
    <x:t xml:space="preserve">Titiwangsa Lake Gardens</x:t>
  </x:si>
  <x:si>
    <x:t xml:space="preserve">Titiwangsa</x:t>
  </x:si>
  <x:si>
    <x:t xml:space="preserve">lake; skyline; family</x:t>
  </x:si>
  <x:si>
    <x:t xml:space="preserve">A lake park in Titiwangsa, Kuala Lumpur, popular for paddle boating and skyline views of the city.</x:t>
  </x:si>
  <x:si>
    <x:t xml:space="preserve">https://www.google.com/maps/search/?api=1&amp;query=Titiwangsa%20Lake%20Gardens%2C%20Kuala%20Lumpur%2C%20Malaysia</x:t>
  </x:si>
  <x:si>
    <x:t xml:space="preserve">MC0393</x:t>
  </x:si>
  <x:si>
    <x:t xml:space="preserve">Royal Selangor Visitor Centre</x:t>
  </x:si>
  <x:si>
    <x:t xml:space="preserve">Setapak</x:t>
  </x:si>
  <x:si>
    <x:t xml:space="preserve">pewter; factory tour; crafts</x:t>
  </x:si>
  <x:si>
    <x:t xml:space="preserve">A pewter-making visitor centre and factory tour by Royal Selangor in Setapak, Kuala Lumpur.</x:t>
  </x:si>
  <x:si>
    <x:t xml:space="preserve">https://www.google.com/maps/search/?api=1&amp;query=Royal%20Selangor%20Visitor%20Centre%2C%20Kuala%20Lumpur%2C%20Malaysia</x:t>
  </x:si>
  <x:si>
    <x:t xml:space="preserve">MC0394</x:t>
  </x:si>
  <x:si>
    <x:t xml:space="preserve">Taman Tasik Permaisuri</x:t>
  </x:si>
  <x:si>
    <x:t xml:space="preserve">Cheras</x:t>
  </x:si>
  <x:si>
    <x:t xml:space="preserve">lake park; walking; family</x:t>
  </x:si>
  <x:si>
    <x:t xml:space="preserve">A lake park in Cheras, Kuala Lumpur, popular for jogging and family outings.</x:t>
  </x:si>
  <x:si>
    <x:t xml:space="preserve">https://www.google.com/maps/search/?api=1&amp;query=Taman%20Tasik%20Permaisuri%2C%20Kuala%20Lumpur%2C%20Malaysia</x:t>
  </x:si>
  <x:si>
    <x:t xml:space="preserve">MC0395</x:t>
  </x:si>
  <x:si>
    <x:t xml:space="preserve">Bukit Kembara Trail</x:t>
  </x:si>
  <x:si>
    <x:t xml:space="preserve">Ampang</x:t>
  </x:si>
  <x:si>
    <x:t xml:space="preserve">hiking; reservoir; forest</x:t>
  </x:si>
  <x:si>
    <x:t xml:space="preserve">A hiking trail in the Ampang forest reserve area of Kuala Lumpur.</x:t>
  </x:si>
  <x:si>
    <x:t xml:space="preserve">https://www.google.com/maps/search/?api=1&amp;query=Bukit%20Kembara%20Trail%2C%20Kuala%20Lumpur%2C%20Malaysia</x:t>
  </x:si>
  <x:si>
    <x:t xml:space="preserve">MC0396</x:t>
  </x:si>
  <x:si>
    <x:t xml:space="preserve">Saujana Hijau Park</x:t>
  </x:si>
  <x:si>
    <x:t xml:space="preserve">W.P. Putrajaya</x:t>
  </x:si>
  <x:si>
    <x:t xml:space="preserve">Presint 11 / Putrajaya</x:t>
  </x:si>
  <x:si>
    <x:t xml:space="preserve">Urban park; landscaped garden; conifer garden; highland landscape; gymnosperms; pine trees; juniper; thuja; cycads; European Garden; Oriental Garden; English Garden; three hills; jogging; brisk walking; cycling; picnic; playground; viewpoints; photography; wedding photography; OOTD; botanical education; research; guided visit; family recreation; wheelchair-friendly; gazebos; lawns; nature; relaxation</x:t>
  </x:si>
  <x:si>
    <x:t xml:space="preserve">A 117-acre landscaped park in Putrajaya's Precinct 11, spread across three hills and known for conifers and other gymnosperms. Its English, Oriental and European themed gardens, broad paths, lawns, gazebos and viewpoints support jogging, walking, cycling, picnics, photography and nature education.</x:t>
  </x:si>
  <x:si>
    <x:t xml:space="preserve">https://www.malaysia.travel/explore/saujana-hijau-park ; https://www.ppj.gov.my/en/second-menu/taman-saujana-hijau ; https://www.ppj.gov.my/en/second-page/latar-belakang-taman ; https://www.ppj.gov.my/second-page/perkhidmatan-aktiviti-rekreasi-5 ; https://www.ppj.gov.my/second-page/fasiliti-5 ; https://www.ppj.gov.my/second-page/waktu-operasi-taman-3 ; https://taman.ppj.gov.my/ ; https://mygeoname.mygeoportal.gov.my/exportpdf00.jsp?kodnegeri=16</x:t>
  </x:si>
  <x:si>
    <x:t xml:space="preserve">https://ebrochures.malaysia.travel/en/malaysia-travel-guide/putrajaya/</x:t>
  </x:si>
  <x:si>
    <x:t xml:space="preserve">A031</x:t>
  </x:si>
  <x:si>
    <x:t xml:space="preserve">MC0397</x:t>
  </x:si>
  <x:si>
    <x:t xml:space="preserve">Putrajaya Wetlands Park</x:t>
  </x:si>
  <x:si>
    <x:t xml:space="preserve">Presint 13 / Putrajaya</x:t>
  </x:si>
  <x:si>
    <x:t xml:space="preserve">Constructed freshwater wetland; wetland park; urban ecology; green lung; 24 wetland cells; open lake; natural water filtration; birdwatching; migratory birds; local birds; freshwater fish; aquatic wildlife; flora and fauna; Nature Interpretation Centre; Wetland Studio; Lookout Tower; Flamingo Pond; Swan Lake; walking trails; lakeside promenade; jogging; brisk walking; cycling; picnic; photography; guided visit; environmental education; research; camping; glamping; fishing; kayaking; buggy; adventure activities; family recreation; wheelchair-friendly</x:t>
  </x:si>
  <x:si>
    <x:t xml:space="preserve">A major public park in Precinct 13 that serves as the visitor gateway to Putrajaya's constructed freshwater wetland system of lakes and 24 wetland cells. It combines water-filtration ecology, bird and aquatic habitats, walking and cycling routes, interpretation facilities, viewpoints and family recreation.</x:t>
  </x:si>
  <x:si>
    <x:t xml:space="preserve">https://www.malaysia.travel/explore/putrajaya-wetlands-park ; https://www.ppj.gov.my/en/second-menu/taman-wetland ; https://www.ppj.gov.my/en/page/taman-wetland-putrajaya?slug=eko-pelancongan ; https://www.ppj.gov.my/index.php/second-page/latar-belakang-taman-6 ; https://gerbang.ppj.gov.my/second-page/perkhidmatan-aktiviti-rekreasi-7 ; https://www.ppj.gov.my/second-page/fasiliti-2 ; https://www.ppj.gov.my/index.php/second-page/waktu-operasi-taman-5 ; https://www.ppj.gov.my/second-page/kadar-sewaan-perkhidmatan ; https://taman.ppj.gov.my/</x:t>
  </x:si>
  <x:si>
    <x:t xml:space="preserve">A032</x:t>
  </x:si>
  <x:si>
    <x:t xml:space="preserve">MC0398</x:t>
  </x:si>
  <x:si>
    <x:t xml:space="preserve">Putra Mosque</x:t>
  </x:si>
  <x:si>
    <x:t xml:space="preserve">Putrajaya</x:t>
  </x:si>
  <x:si>
    <x:t xml:space="preserve">mosque; architecture; religion; lakeside; photography</x:t>
  </x:si>
  <x:si>
    <x:t xml:space="preserve">Putrajaya's pink-domed mosque, built from rose-tinted granite and overlooking Putrajaya Lake.</x:t>
  </x:si>
  <x:si>
    <x:t xml:space="preserve">https://www.google.com/maps/search/?api=1&amp;query=Putra%20Mosque%2C%20W.P.%20Putrajaya%2C%20Malaysia</x:t>
  </x:si>
  <x:si>
    <x:t xml:space="preserve">A145</x:t>
  </x:si>
  <x:si>
    <x:t xml:space="preserve">MC0399</x:t>
  </x:si>
  <x:si>
    <x:t xml:space="preserve">Putrajaya Botanical Garden</x:t>
  </x:si>
  <x:si>
    <x:t xml:space="preserve">garden; walking; cycling; relaxation; nature</x:t>
  </x:si>
  <x:si>
    <x:t xml:space="preserve">A large botanical garden in Putrajaya showcasing tropical flora across themed sections.</x:t>
  </x:si>
  <x:si>
    <x:t xml:space="preserve">https://www.google.com/maps/search/?api=1&amp;query=Putrajaya%20Botanical%20Garden%2C%20W.P.%20Putrajaya%2C%20Malaysia</x:t>
  </x:si>
  <x:si>
    <x:t xml:space="preserve">A146</x:t>
  </x:si>
  <x:si>
    <x:t xml:space="preserve">MC0400</x:t>
  </x:si>
  <x:si>
    <x:t xml:space="preserve">Putrajaya Lake</x:t>
  </x:si>
  <x:si>
    <x:t xml:space="preserve">lake; scenery; walking; relaxation; recreation</x:t>
  </x:si>
  <x:si>
    <x:t xml:space="preserve">A large man-made lake at the centre of Putrajaya used for recreation, boating and water sports events.</x:t>
  </x:si>
  <x:si>
    <x:t xml:space="preserve">https://www.google.com/maps/search/?api=1&amp;query=Putrajaya%20Lake%2C%20W.P.%20Putrajaya%2C%20Malaysia</x:t>
  </x:si>
  <x:si>
    <x:t xml:space="preserve">A147</x:t>
  </x:si>
  <x:si>
    <x:t xml:space="preserve">MC0401</x:t>
  </x:si>
  <x:si>
    <x:t xml:space="preserve">Cruise Tasik Putrajaya</x:t>
  </x:si>
  <x:si>
    <x:t xml:space="preserve">lake cruise; sightseeing; relaxation; architecture; family</x:t>
  </x:si>
  <x:si>
    <x:t xml:space="preserve">A scenic boat cruise on Putrajaya Lake passing the city's landmark bridges and government buildings.</x:t>
  </x:si>
  <x:si>
    <x:t xml:space="preserve">https://www.google.com/maps/search/?api=1&amp;query=Cruise%20Tasik%20Putrajaya%2C%20W.P.%20Putrajaya%2C%20Malaysia</x:t>
  </x:si>
  <x:si>
    <x:t xml:space="preserve">A148</x:t>
  </x:si>
  <x:si>
    <x:t xml:space="preserve">MC0402</x:t>
  </x:si>
  <x:si>
    <x:t xml:space="preserve">Moroccan Pavilion Putrajaya</x:t>
  </x:si>
  <x:si>
    <x:t xml:space="preserve">architecture; culture; photography; garden; indoor</x:t>
  </x:si>
  <x:si>
    <x:t xml:space="preserve">A Moroccan-style pavilion and garden on the shores of Putrajaya Lake.</x:t>
  </x:si>
  <x:si>
    <x:t xml:space="preserve">https://www.google.com/maps/search/?api=1&amp;query=Moroccan%20Pavilion%20Putrajaya%2C%20W.P.%20Putrajaya%2C%20Malaysia</x:t>
  </x:si>
  <x:si>
    <x:t xml:space="preserve">A149</x:t>
  </x:si>
  <x:si>
    <x:t xml:space="preserve">MC0403</x:t>
  </x:si>
  <x:si>
    <x:t xml:space="preserve">Millennium Monument</x:t>
  </x:si>
  <x:si>
    <x:t xml:space="preserve">monument; history; lakeside; walking; photography</x:t>
  </x:si>
  <x:si>
    <x:t xml:space="preserve">A monument in Putrajaya commemorating Malaysia's development milestones.</x:t>
  </x:si>
  <x:si>
    <x:t xml:space="preserve">https://www.google.com/maps/search/?api=1&amp;query=Millennium%20Monument%2C%20W.P.%20Putrajaya%2C%20Malaysia</x:t>
  </x:si>
  <x:si>
    <x:t xml:space="preserve">A150</x:t>
  </x:si>
  <x:si>
    <x:t xml:space="preserve">MC0404</x:t>
  </x:si>
  <x:si>
    <x:t xml:space="preserve">Seri Wawasan Bridge</x:t>
  </x:si>
  <x:si>
    <x:t xml:space="preserve">bridge; architecture; night view; photography; sightseeing</x:t>
  </x:si>
  <x:si>
    <x:t xml:space="preserve">A cable-stayed bridge in Putrajaya, one of several architecturally distinct bridges spanning the lake.</x:t>
  </x:si>
  <x:si>
    <x:t xml:space="preserve">https://www.google.com/maps/search/?api=1&amp;query=Seri%20Wawasan%20Bridge%2C%20W.P.%20Putrajaya%2C%20Malaysia</x:t>
  </x:si>
  <x:si>
    <x:t xml:space="preserve">A151</x:t>
  </x:si>
  <x:si>
    <x:t xml:space="preserve">MC0405</x:t>
  </x:si>
  <x:si>
    <x:t xml:space="preserve">Anjung Floria</x:t>
  </x:si>
  <x:si>
    <x:t xml:space="preserve">garden; flowers; walking; relaxation; family</x:t>
  </x:si>
  <x:si>
    <x:t xml:space="preserve">A flower garden along Putrajaya Lake, popular for photography.</x:t>
  </x:si>
  <x:si>
    <x:t xml:space="preserve">https://www.google.com/maps/search/?api=1&amp;query=Anjung%20Floria%2C%20W.P.%20Putrajaya%2C%20Malaysia</x:t>
  </x:si>
  <x:si>
    <x:t xml:space="preserve">A152</x:t>
  </x:si>
  <x:si>
    <x:t xml:space="preserve">MC0406</x:t>
  </x:si>
  <x:si>
    <x:t xml:space="preserve">Perdana Putra</x:t>
  </x:si>
  <x:si>
    <x:t xml:space="preserve">Precinct 1</x:t>
  </x:si>
  <x:si>
    <x:t xml:space="preserve">civic architecture; landmark; photography</x:t>
  </x:si>
  <x:si>
    <x:t xml:space="preserve">The Malaysian Prime Minister's office building in Precinct 1, Putrajaya, a landmark with a green dome overlooking the city.</x:t>
  </x:si>
  <x:si>
    <x:t xml:space="preserve">https://www.google.com/maps/search/?api=1&amp;query=Perdana%20Putra%2C%20W.P.%20Putrajaya%2C%20Malaysia</x:t>
  </x:si>
  <x:si>
    <x:t xml:space="preserve">W.P. Putrajaya expansion batch</x:t>
  </x:si>
  <x:si>
    <x:t xml:space="preserve">MC0407</x:t>
  </x:si>
  <x:si>
    <x:t xml:space="preserve">Tuanku Mizan Zainal Abidin Mosque</x:t>
  </x:si>
  <x:si>
    <x:t xml:space="preserve">Precinct 3</x:t>
  </x:si>
  <x:si>
    <x:t xml:space="preserve">iron mosque; architecture; landmark</x:t>
  </x:si>
  <x:si>
    <x:t xml:space="preserve">A large mosque in Precinct 3, Putrajaya, known as the Iron Mosque for its steel structure.</x:t>
  </x:si>
  <x:si>
    <x:t xml:space="preserve">https://www.google.com/maps/search/?api=1&amp;query=Tuanku%20Mizan%20Zainal%20Abidin%20Mosque%2C%20W.P.%20Putrajaya%2C%20Malaysia</x:t>
  </x:si>
  <x:si>
    <x:t xml:space="preserve">MC0408</x:t>
  </x:si>
  <x:si>
    <x:t xml:space="preserve">Seri Gemilang Bridge</x:t>
  </x:si>
  <x:si>
    <x:t xml:space="preserve">Precinct 4</x:t>
  </x:si>
  <x:si>
    <x:t xml:space="preserve">bridge; architecture; photography</x:t>
  </x:si>
  <x:si>
    <x:t xml:space="preserve">A landmark bridge in Putrajaya connecting government precincts across the lake.</x:t>
  </x:si>
  <x:si>
    <x:t xml:space="preserve">https://www.google.com/maps/search/?api=1&amp;query=Seri%20Gemilang%20Bridge%2C%20W.P.%20Putrajaya%2C%20Malaysia</x:t>
  </x:si>
  <x:si>
    <x:t xml:space="preserve">MC0409</x:t>
  </x:si>
  <x:si>
    <x:t xml:space="preserve">China-Malaysia Friendship Garden</x:t>
  </x:si>
  <x:si>
    <x:t xml:space="preserve">Precinct 16</x:t>
  </x:si>
  <x:si>
    <x:t xml:space="preserve">garden; landscaping; photography</x:t>
  </x:si>
  <x:si>
    <x:t xml:space="preserve">A garden in Precinct 16, Putrajaya, commemorating diplomatic ties between China and Malaysia.</x:t>
  </x:si>
  <x:si>
    <x:t xml:space="preserve">https://www.google.com/maps/search/?api=1&amp;query=China-Malaysia%20Friendship%20Garden%2C%20W.P.%20Putrajaya%2C%20Malaysia</x:t>
  </x:si>
  <x:si>
    <x:t xml:space="preserve">MC0410</x:t>
  </x:si>
  <x:si>
    <x:t xml:space="preserve">Taman Saujana Hijau</x:t>
  </x:si>
  <x:si>
    <x:t xml:space="preserve">Precinct 19</x:t>
  </x:si>
  <x:si>
    <x:t xml:space="preserve">landscape park; cycling; sunrise</x:t>
  </x:si>
  <x:si>
    <x:t xml:space="preserve">A large public park in Precinct 19, Putrajaya, used for events and recreation.</x:t>
  </x:si>
  <x:si>
    <x:t xml:space="preserve">https://www.google.com/maps/search/?api=1&amp;query=Taman%20Saujana%20Hijau%2C%20W.P.%20Putrajaya%2C%20Malaysia</x:t>
  </x:si>
  <x:si>
    <x:t xml:space="preserve">MC0411</x:t>
  </x:si>
  <x:si>
    <x:t xml:space="preserve">Putrajaya Steps</x:t>
  </x:si>
  <x:si>
    <x:t xml:space="preserve">stairs; viewpoint; civic space</x:t>
  </x:si>
  <x:si>
    <x:t xml:space="preserve">A landscaped promenade and staircase feature near Precinct 1, Putrajaya, by the lake.</x:t>
  </x:si>
  <x:si>
    <x:t xml:space="preserve">https://www.google.com/maps/search/?api=1&amp;query=Putrajaya%20Steps%2C%20W.P.%20Putrajaya%2C%20Malaysia</x:t>
  </x:si>
  <x:si>
    <x:t xml:space="preserve">MC0412</x:t>
  </x:si>
  <x:si>
    <x:t xml:space="preserve">Marina Putrajaya</x:t>
  </x:si>
  <x:si>
    <x:t xml:space="preserve">Precinct 6</x:t>
  </x:si>
  <x:si>
    <x:t xml:space="preserve">water sports; lakeside; family</x:t>
  </x:si>
  <x:si>
    <x:t xml:space="preserve">A waterfront marina and leisure precinct in Precinct 6, Putrajaya, used for water sports and lake cruises.</x:t>
  </x:si>
  <x:si>
    <x:t xml:space="preserve">https://www.google.com/maps/search/?api=1&amp;query=Marina%20Putrajaya%2C%20W.P.%20Putrajaya%2C%20Malaysia</x:t>
  </x:si>
  <x:si>
    <x:t xml:space="preserve">MC0413</x:t>
  </x:si>
  <x:si>
    <x:t xml:space="preserve">Labuan War Cemetery</x:t>
  </x:si>
  <x:si>
    <x:t xml:space="preserve">W.P. Labuan</x:t>
  </x:si>
  <x:si>
    <x:t xml:space="preserve">Labuan / Victoria</x:t>
  </x:si>
  <x:si>
    <x:t xml:space="preserve">World War II; war cemetery; memorial; Commonwealth War Graves Commission; North Borneo; Borneo Campaign; Sandakan Death Marches; prisoners of war; Commonwealth forces; Australian history; British history; Indian history; New Zealand history; military history; heritage; remembrance; education; reflection; cemetery; Labuan Memorial; Labuan Cremation Memorial; Remembrance Day; photography</x:t>
  </x:si>
  <x:si>
    <x:t xml:space="preserve">A Commonwealth war cemetery and memorial on Jalan Tanjung Batu containing 3,922 Second World War burials gathered from across Borneo. Its landscaped grounds, Labuan Memorial and Cremation Memorial commemorate Commonwealth personnel and preserve the history of the Borneo campaign, prisoner-of-war camps and Sandakan death marches.</x:t>
  </x:si>
  <x:si>
    <x:t xml:space="preserve">https://www.malaysia.travel/explore/the-labuan-war-cemetery-a-journey-through-north-borneo-s-history ; https://www.cwgc.org/visit-us/find-cemeteries-memorials/cemetery-details/17000/labuan-war-cemetery/ ; https://ebrochures.malaysia.travel/en/malaysia-travel-guide/labuan/ ; https://www.malaysia.travel/events/remembrance-day ; https://www.pl.gov.my/wp-content/uploads/2026/04/BUKU-LAPORAN-2023-PL_compressed.pdf</x:t>
  </x:si>
  <x:si>
    <x:t xml:space="preserve">https://ebrochures.malaysia.travel/en/malaysia-travel-guide/labuan/</x:t>
  </x:si>
  <x:si>
    <x:t xml:space="preserve">A029</x:t>
  </x:si>
  <x:si>
    <x:t xml:space="preserve">MC0414</x:t>
  </x:si>
  <x:si>
    <x:t xml:space="preserve">Pantai Layang-Layangan</x:t>
  </x:si>
  <x:si>
    <x:t xml:space="preserve">Layang-Layangan / Labuan Island</x:t>
  </x:si>
  <x:si>
    <x:t xml:space="preserve">Beach; island coastline; South China Sea; west coast; sunset; United Nations Beach; UN'08; COBSEA; clean beach; seaside walk; cycling; beach volleyball; picnic; horse riding; live music; restaurants; nature; sand crabs; beach wildlife; family recreation; couples; photography; relaxation; Peace Park; Surrender Point</x:t>
  </x:si>
  <x:si>
    <x:t xml:space="preserve">A long public beach on Labuan's west coast facing the South China Sea and forming part of the UN'08 beach stretch. It is known for clean coastal scenery, sand-crab patterns and sunset views, with opportunities for walking, cycling, beach volleyball, picnics and evening food or live music nearby.</x:t>
  </x:si>
  <x:si>
    <x:t xml:space="preserve">https://www.malaysia.travel/explore/pantai-layang-layangan ; https://www.pl.gov.my/pantai-awam/?lang=en ; https://mygeoname.mygeoportal.gov.my/exportpdf00.jsp?kodnegeri=15 ; https://www.pl.gov.my/wp-content/uploads/2026/04/BUKU-LAPORAN-2023-PL_compressed.pdf</x:t>
  </x:si>
  <x:si>
    <x:t xml:space="preserve">A030</x:t>
  </x:si>
  <x:si>
    <x:t xml:space="preserve">MC0415</x:t>
  </x:si>
  <x:si>
    <x:t xml:space="preserve">Labuan Marine Museum</x:t>
  </x:si>
  <x:si>
    <x:t xml:space="preserve">Labuan</x:t>
  </x:si>
  <x:si>
    <x:t xml:space="preserve">marine museum; aquarium; education; family; indoor</x:t>
  </x:si>
  <x:si>
    <x:t xml:space="preserve">A museum in Labuan showcasing marine biodiversity and maritime heritage.</x:t>
  </x:si>
  <x:si>
    <x:t xml:space="preserve">https://www.google.com/maps/search/?api=1&amp;query=Labuan%20Marine%20Museum%2C%20W.P.%20Labuan%2C%20Malaysia</x:t>
  </x:si>
  <x:si>
    <x:t xml:space="preserve">A153</x:t>
  </x:si>
  <x:si>
    <x:t xml:space="preserve">MC0416</x:t>
  </x:si>
  <x:si>
    <x:t xml:space="preserve">Chimney Museum</x:t>
  </x:si>
  <x:si>
    <x:t xml:space="preserve">Tanjung Kubong</x:t>
  </x:si>
  <x:si>
    <x:t xml:space="preserve">museum; coal mining; history; heritage; architecture</x:t>
  </x:si>
  <x:si>
    <x:t xml:space="preserve">A preserved 19th-century brick chimney in Tanjung Kubong, Labuan, a remnant of the island's colonial coal-mining industry.</x:t>
  </x:si>
  <x:si>
    <x:t xml:space="preserve">https://www.google.com/maps/search/?api=1&amp;query=Chimney%20Museum%2C%20W.P.%20Labuan%2C%20Malaysia</x:t>
  </x:si>
  <x:si>
    <x:t xml:space="preserve">A154</x:t>
  </x:si>
  <x:si>
    <x:t xml:space="preserve">MC0417</x:t>
  </x:si>
  <x:si>
    <x:t xml:space="preserve">Labuan Bird Park</x:t>
  </x:si>
  <x:si>
    <x:t xml:space="preserve">birds; wildlife; family; children; education</x:t>
  </x:si>
  <x:si>
    <x:t xml:space="preserve">A bird park in Tanjung Kubong, Labuan, with walk-in aviaries.</x:t>
  </x:si>
  <x:si>
    <x:t xml:space="preserve">https://www.google.com/maps/search/?api=1&amp;query=Labuan%20Bird%20Park%2C%20W.P.%20Labuan%2C%20Malaysia</x:t>
  </x:si>
  <x:si>
    <x:t xml:space="preserve">A155</x:t>
  </x:si>
  <x:si>
    <x:t xml:space="preserve">MC0418</x:t>
  </x:si>
  <x:si>
    <x:t xml:space="preserve">Peace Park</x:t>
  </x:si>
  <x:si>
    <x:t xml:space="preserve">Layang-Layangan</x:t>
  </x:si>
  <x:si>
    <x:t xml:space="preserve">memorial; garden; walking; history; relaxation</x:t>
  </x:si>
  <x:si>
    <x:t xml:space="preserve">A memorial park in Layang-Layangan, Labuan, commemorating Second World War surrender ceremonies.</x:t>
  </x:si>
  <x:si>
    <x:t xml:space="preserve">https://www.google.com/maps/search/?api=1&amp;query=Peace%20Park%2C%20W.P.%20Labuan%2C%20Malaysia</x:t>
  </x:si>
  <x:si>
    <x:t xml:space="preserve">A156</x:t>
  </x:si>
  <x:si>
    <x:t xml:space="preserve">MC0419</x:t>
  </x:si>
  <x:si>
    <x:t xml:space="preserve">Surrender Point</x:t>
  </x:si>
  <x:si>
    <x:t xml:space="preserve">war history; memorial; heritage; education; outdoor</x:t>
  </x:si>
  <x:si>
    <x:t xml:space="preserve">A historic site in Layang-Layangan, Labuan, marking the site of the Japanese surrender to Allied forces in 1945.</x:t>
  </x:si>
  <x:si>
    <x:t xml:space="preserve">https://www.google.com/maps/search/?api=1&amp;query=Surrender%20Point%2C%20W.P.%20Labuan%2C%20Malaysia</x:t>
  </x:si>
  <x:si>
    <x:t xml:space="preserve">A157</x:t>
  </x:si>
  <x:si>
    <x:t xml:space="preserve">MC0420</x:t>
  </x:si>
  <x:si>
    <x:t xml:space="preserve">Labuan International Sea Sports Complex</x:t>
  </x:si>
  <x:si>
    <x:t xml:space="preserve">sea sports; recreation; family; waterfront; events</x:t>
  </x:si>
  <x:si>
    <x:t xml:space="preserve">A waterfront sports complex in Labuan used for sailing and water-sports events.</x:t>
  </x:si>
  <x:si>
    <x:t xml:space="preserve">https://www.google.com/maps/search/?api=1&amp;query=Labuan%20International%20Sea%20Sports%20Complex%2C%20W.P.%20Labuan%2C%20Malaysia</x:t>
  </x:si>
  <x:si>
    <x:t xml:space="preserve">A158</x:t>
  </x:si>
  <x:si>
    <x:t xml:space="preserve">MC0421</x:t>
  </x:si>
  <x:si>
    <x:t xml:space="preserve">Patau-Patau Water Village</x:t>
  </x:si>
  <x:si>
    <x:t xml:space="preserve">water village; local culture; heritage; walking; photography</x:t>
  </x:si>
  <x:si>
    <x:t xml:space="preserve">A stilt water village in Labuan town.</x:t>
  </x:si>
  <x:si>
    <x:t xml:space="preserve">https://www.google.com/maps/search/?api=1&amp;query=Patau-Patau%20Water%20Village%2C%20W.P.%20Labuan%2C%20Malaysia</x:t>
  </x:si>
  <x:si>
    <x:t xml:space="preserve">A159</x:t>
  </x:si>
  <x:si>
    <x:t xml:space="preserve">MC0422</x:t>
  </x:si>
  <x:si>
    <x:t xml:space="preserve">Rusukan Besar Island</x:t>
  </x:si>
  <x:si>
    <x:t xml:space="preserve">island; beach; snorkelling; marine life; relaxation</x:t>
  </x:si>
  <x:si>
    <x:t xml:space="preserve">An island off Labuan known for diving and marine park status.</x:t>
  </x:si>
  <x:si>
    <x:t xml:space="preserve">https://www.google.com/maps/search/?api=1&amp;query=Rusukan%20Besar%20Island%2C%20W.P.%20Labuan%2C%20Malaysia</x:t>
  </x:si>
  <x:si>
    <x:t xml:space="preserve">A160</x:t>
  </x:si>
  <x:si>
    <x:t xml:space="preserve">MC0423</x:t>
  </x:si>
  <x:si>
    <x:t xml:space="preserve">Labuan Museum</x:t>
  </x:si>
  <x:si>
    <x:t xml:space="preserve">Bandar Labuan</x:t>
  </x:si>
  <x:si>
    <x:t xml:space="preserve">island history; museum; culture</x:t>
  </x:si>
  <x:si>
    <x:t xml:space="preserve">A museum in Bandar Labuan covering the island's history and culture.</x:t>
  </x:si>
  <x:si>
    <x:t xml:space="preserve">https://www.google.com/maps/search/?api=1&amp;query=Labuan%20Museum%2C%20W.P.%20Labuan%2C%20Malaysia</x:t>
  </x:si>
  <x:si>
    <x:t xml:space="preserve">W.P. Labuan expansion batch</x:t>
  </x:si>
  <x:si>
    <x:t xml:space="preserve">MC0424</x:t>
  </x:si>
  <x:si>
    <x:t xml:space="preserve">Labuan Botanical Garden</x:t>
  </x:si>
  <x:si>
    <x:t xml:space="preserve">garden; walking; heritage</x:t>
  </x:si>
  <x:si>
    <x:t xml:space="preserve">A botanical garden in Bandar Labuan with landscaped tropical plant collections.</x:t>
  </x:si>
  <x:si>
    <x:t xml:space="preserve">https://www.google.com/maps/search/?api=1&amp;query=Labuan%20Botanical%20Garden%2C%20W.P.%20Labuan%2C%20Malaysia</x:t>
  </x:si>
  <x:si>
    <x:t xml:space="preserve">MC0425</x:t>
  </x:si>
  <x:si>
    <x:t xml:space="preserve">Labuan Weekend Tamu</x:t>
  </x:si>
  <x:si>
    <x:t xml:space="preserve">market; food; crafts</x:t>
  </x:si>
  <x:si>
    <x:t xml:space="preserve">A weekend market in Bandar Labuan selling local produce and goods.</x:t>
  </x:si>
  <x:si>
    <x:t xml:space="preserve">https://www.google.com/maps/search/?api=1&amp;query=Labuan%20Weekend%20Tamu%2C%20W.P.%20Labuan%2C%20Malaysia</x:t>
  </x:si>
  <x:si>
    <x:t xml:space="preserve">MC0426</x:t>
  </x:si>
  <x:si>
    <x:t xml:space="preserve">Labuan Clock Tower</x:t>
  </x:si>
  <x:si>
    <x:t xml:space="preserve">Tanjung Purun</x:t>
  </x:si>
  <x:si>
    <x:t xml:space="preserve">clock tower; landmark; history</x:t>
  </x:si>
  <x:si>
    <x:t xml:space="preserve">A heritage clock tower landmark in Tanjung Purun, Labuan.</x:t>
  </x:si>
  <x:si>
    <x:t xml:space="preserve">https://www.google.com/maps/search/?api=1&amp;query=Labuan%20Clock%20Tower%2C%20W.P.%20Labuan%2C%20Malaysia</x:t>
  </x:si>
  <x:si>
    <x:t xml:space="preserve">MC0427</x:t>
  </x:si>
  <x:si>
    <x:t xml:space="preserve">Bebuloh Water Village</x:t>
  </x:si>
  <x:si>
    <x:t xml:space="preserve">Kampung Bebuloh</x:t>
  </x:si>
  <x:si>
    <x:t xml:space="preserve">water village; community; local life</x:t>
  </x:si>
  <x:si>
    <x:t xml:space="preserve">A traditional stilt water village in Kampung Bebuloh, Labuan.</x:t>
  </x:si>
  <x:si>
    <x:t xml:space="preserve">https://www.google.com/maps/search/?api=1&amp;query=Bebuloh%20Water%20Village%2C%20W.P.%20Labuan%2C%20Malaysia</x:t>
  </x:si>
  <x:si>
    <x:t xml:space="preserve">MC0428</x:t>
  </x:si>
  <x:si>
    <x:t xml:space="preserve">Pohon Batu Beach</x:t>
  </x:si>
  <x:si>
    <x:t xml:space="preserve">Pohon Batu</x:t>
  </x:si>
  <x:si>
    <x:t xml:space="preserve">beach; sunset; recreation</x:t>
  </x:si>
  <x:si>
    <x:t xml:space="preserve">A beach in Pohon Batu, Labuan.</x:t>
  </x:si>
  <x:si>
    <x:t xml:space="preserve">https://www.google.com/maps/search/?api=1&amp;query=Pohon%20Batu%20Beach%2C%20W.P.%20Labuan%2C%20Malaysia</x:t>
  </x:si>
  <x:si>
    <x:t xml:space="preserve">MC0429</x:t>
  </x:si>
  <x:si>
    <x:t xml:space="preserve">Pancur Hitam Beach</x:t>
  </x:si>
  <x:si>
    <x:t xml:space="preserve">Pancur Hitam</x:t>
  </x:si>
  <x:si>
    <x:t xml:space="preserve">beach; park; family</x:t>
  </x:si>
  <x:si>
    <x:t xml:space="preserve">A beach in Pancur Hitam, Labuan.</x:t>
  </x:si>
  <x:si>
    <x:t xml:space="preserve">https://www.google.com/maps/search/?api=1&amp;query=Pancur%20Hitam%20Beach%2C%20W.P.%20Labuan%2C%20Malaysia</x:t>
  </x:si>
  <x:si>
    <x:t xml:space="preserve">MC0430</x:t>
  </x:si>
  <x:si>
    <x:t xml:space="preserve">Kinabenuwa Mangrove Ecology Park</x:t>
  </x:si>
  <x:si>
    <x:t xml:space="preserve">Kinabenuwa</x:t>
  </x:si>
  <x:si>
    <x:t xml:space="preserve">mangrove; boardwalk; ecology</x:t>
  </x:si>
  <x:si>
    <x:t xml:space="preserve">A mangrove eco-park in Kinabenuwa, Labuan.</x:t>
  </x:si>
  <x:si>
    <x:t xml:space="preserve">https://www.google.com/maps/search/?api=1&amp;query=Kinabenuwa%20Mangrove%20Ecology%20Park%2C%20W.P.%20Labuan%2C%20Malaysia</x:t>
  </x:si>
  <x:si>
    <x:t xml:space="preserve">MC0431</x:t>
  </x:si>
  <x:si>
    <x:t xml:space="preserve">Pulau Rusukan Besar Marine Park</x:t>
  </x:si>
  <x:si>
    <x:t xml:space="preserve">Rusukan Besar</x:t>
  </x:si>
  <x:si>
    <x:t xml:space="preserve">island; snorkelling; marine park</x:t>
  </x:si>
  <x:si>
    <x:t xml:space="preserve">A marine park island off Labuan protecting coral reefs, popular for diving.</x:t>
  </x:si>
  <x:si>
    <x:t xml:space="preserve">https://www.google.com/maps/search/?api=1&amp;query=Pulau%20Rusukan%20Besar%20Marine%20Park%2C%20W.P.%20Labuan%2C%20Malaysia</x:t>
  </x:si>
  <x:si>
    <x:t xml:space="preserve">State-by-State Review Queue</x:t>
  </x:si>
  <x:si>
    <x:t xml:space="preserve">Counts update automatically when Review Status or Coverage Lens is changed in the Catalogue sheet.</x:t>
  </x:si>
  <x:si>
    <x:t xml:space="preserve">Candidates</x:t>
  </x:si>
  <x:si>
    <x:t xml:space="preserve">Unclassified / Other</x:t>
  </x:si>
  <x:si>
    <x:t xml:space="preserve">Pending Review</x:t>
  </x:si>
  <x:si>
    <x:t xml:space="preserve">Non-map Source Links</x:t>
  </x:si>
  <x:si>
    <x:t xml:space="preserve">Reviewed</x:t>
  </x:si>
  <x:si>
    <x:t xml:space="preserve">Review %</x:t>
  </x:si>
  <x:si>
    <x:t xml:space="preserve">TOTAL</x:t>
  </x:si>
  <x:si>
    <x:t xml:space="preserve">Source Index and Research Basis</x:t>
  </x:si>
  <x:si>
    <x:t xml:space="preserve">These links support candidate discovery. They do not make a row verified; review the exact attraction page and current visitor information before approval.</x:t>
  </x:si>
  <x:si>
    <x:t xml:space="preserve">Tourism Malaysia Guide</x:t>
  </x:si>
  <x:si>
    <x:t xml:space="preserve">Coverage Role</x:t>
  </x:si>
  <x:si>
    <x:t xml:space="preserve">Per-row Discovery Link</x:t>
  </x:si>
  <x:si>
    <x:t xml:space="preserve">Required Reviewer Action</x:t>
  </x:si>
  <x:si>
    <x:t xml:space="preserve">Official state-level discovery guide</x:t>
  </x:si>
  <x:si>
    <x:t xml:space="preserve">See Candidate Source URL in Catalogue</x:t>
  </x:si>
  <x:si>
    <x:t xml:space="preserve">Confirm exact place, authoritative source, current access and suitable metadata</x:t>
  </x:si>
  <x:si>
    <x:t xml:space="preserve">How to Review Master Candidates</x:t>
  </x:si>
  <x:si>
    <x:t xml:space="preserve">Recommended review sequence</x:t>
  </x:si>
  <x:si>
    <x:t xml:space="preserve">1</x:t>
  </x:si>
  <x:si>
    <x:t xml:space="preserve">Open the Candidate Source URL</x:t>
  </x:si>
  <x:si>
    <x:t xml:space="preserve">Confirm the place exists and the name/locality are correct.</x:t>
  </x:si>
  <x:si>
    <x:t xml:space="preserve">2</x:t>
  </x:si>
  <x:si>
    <x:t xml:space="preserve">Find an authoritative page</x:t>
  </x:si>
  <x:si>
    <x:t xml:space="preserve">Prefer attraction operator, government, park authority, museum, UNESCO or established tourism body.</x:t>
  </x:si>
  <x:si>
    <x:t xml:space="preserve">3</x:t>
  </x:si>
  <x:si>
    <x:t xml:space="preserve">Check current visitor relevance</x:t>
  </x:si>
  <x:si>
    <x:t xml:space="preserve">Confirm public access, seasonality, closures, booking requirements and whether it is suitable for recommendation.</x:t>
  </x:si>
  <x:si>
    <x:t xml:space="preserve">4</x:t>
  </x:si>
  <x:si>
    <x:t xml:space="preserve">Improve classification</x:t>
  </x:si>
  <x:si>
    <x:t xml:space="preserve">Update category, coverage lens, setting, tags and description using supported facts only.</x:t>
  </x:si>
  <x:si>
    <x:t xml:space="preserve">5</x:t>
  </x:si>
  <x:si>
    <x:t xml:space="preserve">Set Review Status</x:t>
  </x:si>
  <x:si>
    <x:t xml:space="preserve">Choose Approved only when the attraction and sources are sufficient; otherwise use Needs More Research or Rejected.</x:t>
  </x:si>
  <x:si>
    <x:t xml:space="preserve">Status meanings</x:t>
  </x:si>
  <x:si>
    <x:t xml:space="preserve">Status</x:t>
  </x:si>
  <x:si>
    <x:t xml:space="preserve">Use when</x:t>
  </x:si>
  <x:si>
    <x:t xml:space="preserve">Colour</x:t>
  </x:si>
  <x:si>
    <x:t xml:space="preserve">Default for every generated or imported candidate</x:t>
  </x:si>
  <x:si>
    <x:t xml:space="preserve">Amber</x:t>
  </x:si>
  <x:si>
    <x:t xml:space="preserve">Approved</x:t>
  </x:si>
  <x:si>
    <x:t xml:space="preserve">Place and key source evidence have been checked</x:t>
  </x:si>
  <x:si>
    <x:t xml:space="preserve">Green</x:t>
  </x:si>
  <x:si>
    <x:t xml:space="preserve">Needs More Research</x:t>
  </x:si>
  <x:si>
    <x:t xml:space="preserve">Promising candidate but evidence or current details are incomplete</x:t>
  </x:si>
  <x:si>
    <x:t xml:space="preserve">Blue</x:t>
  </x:si>
  <x:si>
    <x:t xml:space="preserve">Duplicate, closed, unsuitable, mislocated or unsupported</x:t>
  </x:si>
  <x:si>
    <x:t xml:space="preserve">Red</x:t>
  </x:si>
  <x:si>
    <x:t xml:space="preserve">Important scope note</x:t>
  </x:si>
  <x:si>
    <x:t xml:space="preserve">This workbook is a best-effort research queue, not a verified tourism database. Descriptions on expansion rows are deliberately cautious and should not be used as chatbot facts until the corresponding row is approved and migrated into the production dataset.</x:t>
  </x:si>
  <x:si>
    <x:t xml:space="preserve">Source rule: Google Maps search links are discovery aids only. Before approving a place, add at least one direct official, government, tourism-board, or attraction-operator source and record the review date.</x:t>
  </x:si>
</x:sst>
</file>

<file path=xl/styles.xml><?xml version="1.0" encoding="utf-8"?>
<x:styleSheet xmlns:x="http://schemas.openxmlformats.org/spreadsheetml/2006/main">
  <x:numFmts count="2">
    <x:numFmt numFmtId="168" formatCode="yyyy\-mm\-dd"/>
    <x:numFmt numFmtId="169" formatCode="0.0%"/>
  </x:numFmts>
  <x:fonts count="17">
    <x:font>
      <x:sz val="10"/>
      <x:name val="Arial"/>
    </x:font>
    <x:font>
      <x:sz val="10"/>
      <x:name val="Arial"/>
    </x:font>
    <x:font>
      <x:b/>
      <x:sz val="18"/>
      <x:color rgb="FFFFFFFF"/>
      <x:name val="Aptos Display"/>
    </x:font>
    <x:font>
      <x:i/>
      <x:sz val="10"/>
      <x:color rgb="FF1F1F1F"/>
      <x:name val="Aptos"/>
    </x:font>
    <x:font>
      <x:b/>
      <x:sz val="10"/>
      <x:color rgb="FFFFFFFF"/>
      <x:name val="Aptos"/>
    </x:font>
    <x:font>
      <x:sz val="10"/>
      <x:name val="Aptos"/>
    </x:font>
    <x:font>
      <x:b/>
      <x:sz val="17"/>
      <x:color rgb="FFFFFFFF"/>
      <x:name val="Aptos Display"/>
    </x:font>
    <x:font>
      <x:i/>
      <x:sz val="10"/>
      <x:name val="Aptos"/>
    </x:font>
    <x:font>
      <x:i/>
      <x:sz val="11"/>
      <x:name val="Calibri"/>
    </x:font>
    <x:font>
      <x:b/>
      <x:sz val="11"/>
      <x:color rgb="FFFFFFFF"/>
      <x:name val="Calibri"/>
    </x:font>
    <x:font>
      <x:b/>
      <x:sz val="11"/>
      <x:name val="Calibri"/>
    </x:font>
    <x:font>
      <x:sz val="11"/>
      <x:name val="Calibri"/>
    </x:font>
    <x:font>
      <x:sz val="11"/>
      <x:color rgb="FF7F6000"/>
      <x:name val="Calibri"/>
    </x:font>
    <x:font>
      <x:b/>
      <x:sz val="10"/>
      <x:color rgb="FF7F6000"/>
      <x:name val="Arial"/>
    </x:font>
    <x:font>
      <x:b/>
      <x:sz val="14"/>
      <x:color rgb="FFFFFFFF"/>
      <x:name val="Arial"/>
    </x:font>
    <x:font>
      <x:b/>
      <x:sz val="10"/>
      <x:color rgb="FFFFFFFF"/>
      <x:name val="Arial"/>
    </x:font>
    <x:font>
      <x:b/>
      <x:sz val="16"/>
      <x:color rgb="FFFFFFFF"/>
      <x:name val="Arial"/>
    </x:font>
  </x:fonts>
  <x:fills count="21">
    <x:fill>
      <x:patternFill patternType="none"/>
    </x:fill>
    <x:fill>
      <x:patternFill patternType="gray125"/>
    </x:fill>
    <x:fill>
      <x:patternFill patternType="solid">
        <x:fgColor rgb="FF17365D"/>
      </x:patternFill>
    </x:fill>
    <x:fill>
      <x:patternFill patternType="solid">
        <x:fgColor rgb="FFD9EAF7"/>
      </x:patternFill>
    </x:fill>
    <x:fill>
      <x:patternFill patternType="solid">
        <x:fgColor rgb="FF2F75B5"/>
      </x:patternFill>
    </x:fill>
    <x:fill>
      <x:patternFill patternType="solid">
        <x:fgColor rgb="FF1F4E78"/>
      </x:patternFill>
    </x:fill>
    <x:fill>
      <x:patternFill patternType="solid">
        <x:fgColor rgb="FFFFF2CC"/>
      </x:patternFill>
    </x:fill>
    <x:fill>
      <x:patternFill patternType="solid">
        <x:fgColor rgb="FF1E3A5F"/>
      </x:patternFill>
    </x:fill>
    <x:fill>
      <x:patternFill patternType="solid">
        <x:fgColor rgb="FF2F75B5"/>
      </x:patternFill>
    </x:fill>
    <x:fill>
      <x:patternFill patternType="solid">
        <x:fgColor rgb="FF2F75B5"/>
      </x:patternFill>
    </x:fill>
    <x:fill>
      <x:patternFill patternType="solid">
        <x:fgColor rgb="FF1E3A5F"/>
      </x:patternFill>
    </x:fill>
    <x:fill>
      <x:patternFill patternType="solid">
        <x:fgColor rgb="FF2F75B5"/>
      </x:patternFill>
    </x:fill>
    <x:fill>
      <x:patternFill patternType="solid">
        <x:fgColor rgb="FF1E3A5F"/>
      </x:patternFill>
    </x:fill>
    <x:fill>
      <x:patternFill patternType="solid">
        <x:fgColor rgb="FF2F75B5"/>
      </x:patternFill>
    </x:fill>
    <x:fill>
      <x:patternFill patternType="solid">
        <x:fgColor rgb="FF1E3A5F"/>
      </x:patternFill>
    </x:fill>
    <x:fill>
      <x:patternFill patternType="solid">
        <x:fgColor rgb="FF2F75B5"/>
      </x:patternFill>
    </x:fill>
    <x:fill>
      <x:patternFill patternType="solid">
        <x:fgColor rgb="FF1E3A5F"/>
      </x:patternFill>
    </x:fill>
    <x:fill>
      <x:patternFill patternType="solid">
        <x:fgColor rgb="FF2F75B5"/>
      </x:patternFill>
    </x:fill>
    <x:fill>
      <x:patternFill patternType="solid">
        <x:fgColor rgb="FF1E3A5F"/>
      </x:patternFill>
    </x:fill>
    <x:fill>
      <x:patternFill patternType="solid">
        <x:fgColor rgb="FF2F75B5"/>
      </x:patternFill>
    </x:fill>
    <x:fill>
      <x:patternFill patternType="solid">
        <x:fgColor rgb="FF1E3A5F"/>
      </x:patternFill>
    </x:fill>
  </x:fills>
  <x:borders count="14">
    <x:border/>
    <x:border>
      <x:bottom style="thin">
        <x:color rgb="FFD9E2F3"/>
      </x:bottom>
    </x:border>
    <x:border>
      <x:top style="thin">
        <x:color rgb="FFD9E2F3"/>
      </x:top>
      <x:bottom style="thin">
        <x:color rgb="FFD9E2F3"/>
      </x:bottom>
    </x:border>
    <x:border>
      <x:top style="thin">
        <x:color rgb="FFD9E2F3"/>
      </x:top>
    </x:border>
    <x:border>
      <x:bottom style="double">
        <x:color rgb="FF17365D"/>
      </x:bottom>
    </x:border>
    <x:border>
      <x:right style="thin">
        <x:color rgb="FFD9E2F3"/>
      </x:right>
      <x:bottom style="thin">
        <x:color rgb="FFD9E2F3"/>
      </x:bottom>
    </x:border>
    <x:border>
      <x:left style="thin">
        <x:color rgb="FFD9E2F3"/>
      </x:left>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right style="thin">
        <x:color rgb="FFD9E2F3"/>
      </x:right>
      <x:top style="thin">
        <x:color rgb="FFD9E2F3"/>
      </x:top>
    </x:border>
    <x:border>
      <x:left style="thin">
        <x:color rgb="FFD9E2F3"/>
      </x:left>
      <x:top style="thin">
        <x:color rgb="FFD9E2F3"/>
      </x:top>
    </x:border>
  </x:borders>
  <x:cellStyleXfs count="2">
    <x:xf numFmtId="0" fontId="0" fillId="0" borderId="0"/>
    <x:xf numFmtId="0" fontId="1" fillId="0" borderId="0"/>
  </x:cellStyleXfs>
  <x:cellXfs count="104">
    <x:xf numFmtId="0" fontId="0" fillId="0" borderId="0" xfId="0"/>
    <x:xf numFmtId="0" fontId="13" fillId="6" borderId="0" xfId="1" applyFont="1" applyFill="1" applyAlignment="1">
      <x:alignment wrapText="1"/>
    </x:xf>
    <x:xf numFmtId="0" fontId="12" fillId="6" borderId="0" xfId="1" applyFont="1" applyFill="1" applyAlignment="1">
      <x:alignment vertical="center" wrapText="1"/>
    </x:xf>
    <x:xf numFmtId="0" fontId="9" fillId="4" borderId="0" xfId="1" applyFont="1" applyFill="1"/>
    <x:xf numFmtId="0" fontId="8" fillId="3" borderId="0" xfId="1" applyFont="1" applyFill="1" applyAlignment="1">
      <x:alignment wrapText="1"/>
    </x:xf>
    <x:xf numFmtId="0" fontId="7" fillId="3" borderId="0" xfId="1" applyFont="1" applyFill="1"/>
    <x:xf numFmtId="0" fontId="6" fillId="2" borderId="0" xfId="1" applyFont="1" applyFill="1"/>
    <x:xf numFmtId="0" fontId="3" fillId="3" borderId="0" xfId="1" applyFont="1" applyFill="1" applyAlignment="1">
      <x:alignment vertical="center" wrapText="1"/>
    </x:xf>
    <x:xf numFmtId="0" fontId="2" fillId="2" borderId="0" xfId="1" applyFont="1" applyFill="1" applyAlignment="1">
      <x:alignment vertical="center"/>
    </x:xf>
    <x:xf numFmtId="0" fontId="1" fillId="0" borderId="0" xfId="1"/>
    <x:xf numFmtId="0" fontId="4" fillId="4" borderId="0" xfId="1" applyFont="1" applyFill="1" applyAlignment="1">
      <x:alignment vertical="center" wrapText="1"/>
    </x:xf>
    <x:xf numFmtId="0" fontId="4" fillId="5" borderId="0" xfId="1" applyFont="1" applyFill="1" applyAlignment="1">
      <x:alignment vertical="center" wrapText="1"/>
    </x:xf>
    <x:xf numFmtId="0" fontId="5" fillId="0" borderId="1" xfId="1" applyFont="1" applyBorder="1" applyAlignment="1">
      <x:alignment vertical="top"/>
    </x:xf>
    <x:xf numFmtId="0" fontId="5" fillId="0" borderId="1" xfId="1" applyFont="1" applyBorder="1" applyAlignment="1">
      <x:alignment vertical="top" wrapText="1"/>
    </x:xf>
    <x:xf numFmtId="168" fontId="5" fillId="0" borderId="1" xfId="1" applyNumberFormat="1" applyFont="1" applyBorder="1" applyAlignment="1">
      <x:alignment vertical="top"/>
    </x:xf>
    <x:xf numFmtId="0" fontId="5" fillId="0" borderId="1" xfId="1" applyFont="1" applyBorder="1" applyAlignment="1">
      <x:alignment horizontal="center" vertical="top"/>
    </x:xf>
    <x:xf numFmtId="0" fontId="5" fillId="0" borderId="2" xfId="1" applyFont="1" applyBorder="1" applyAlignment="1">
      <x:alignment vertical="top"/>
    </x:xf>
    <x:xf numFmtId="0" fontId="5" fillId="0" borderId="2" xfId="1" applyFont="1" applyBorder="1" applyAlignment="1">
      <x:alignment vertical="top" wrapText="1"/>
    </x:xf>
    <x:xf numFmtId="168" fontId="5" fillId="0" borderId="2" xfId="1" applyNumberFormat="1" applyFont="1" applyBorder="1" applyAlignment="1">
      <x:alignment vertical="top"/>
    </x:xf>
    <x:xf numFmtId="0" fontId="5" fillId="0" borderId="2" xfId="1" applyFont="1" applyBorder="1" applyAlignment="1">
      <x:alignment horizontal="center" vertical="top"/>
    </x:xf>
    <x:xf numFmtId="0" fontId="5" fillId="0" borderId="3" xfId="1" applyFont="1" applyBorder="1" applyAlignment="1">
      <x:alignment vertical="top"/>
    </x:xf>
    <x:xf numFmtId="0" fontId="5" fillId="0" borderId="3" xfId="1" applyFont="1" applyBorder="1" applyAlignment="1">
      <x:alignment vertical="top" wrapText="1"/>
    </x:xf>
    <x:xf numFmtId="168" fontId="5" fillId="0" borderId="3" xfId="1" applyNumberFormat="1" applyFont="1" applyBorder="1" applyAlignment="1">
      <x:alignment vertical="top"/>
    </x:xf>
    <x:xf numFmtId="0" fontId="5" fillId="0" borderId="3" xfId="1" applyFont="1" applyBorder="1" applyAlignment="1">
      <x:alignment horizontal="center" vertical="top"/>
    </x:xf>
    <x:xf numFmtId="0" fontId="5" fillId="0" borderId="0" xfId="1" applyFont="1"/>
    <x:xf numFmtId="0" fontId="4" fillId="4" borderId="0" xfId="1" applyFont="1" applyFill="1" applyAlignment="1">
      <x:alignment wrapText="1"/>
    </x:xf>
    <x:xf numFmtId="0" fontId="5" fillId="0" borderId="1" xfId="1" applyFont="1" applyBorder="1"/>
    <x:xf numFmtId="169" fontId="5" fillId="0" borderId="1" xfId="1" applyNumberFormat="1" applyFont="1" applyBorder="1"/>
    <x:xf numFmtId="0" fontId="5" fillId="0" borderId="2" xfId="1" applyFont="1" applyBorder="1"/>
    <x:xf numFmtId="169" fontId="5" fillId="0" borderId="2" xfId="1" applyNumberFormat="1" applyFont="1" applyBorder="1"/>
    <x:xf numFmtId="0" fontId="5" fillId="0" borderId="3" xfId="1" applyFont="1" applyBorder="1"/>
    <x:xf numFmtId="169" fontId="5" fillId="0" borderId="3" xfId="1" applyNumberFormat="1" applyFont="1" applyBorder="1"/>
    <x:xf numFmtId="169" fontId="5" fillId="0" borderId="0" xfId="1" applyNumberFormat="1" applyFont="1"/>
    <x:xf numFmtId="0" fontId="4" fillId="2" borderId="4" xfId="1" applyFont="1" applyFill="1" applyBorder="1"/>
    <x:xf numFmtId="169" fontId="4" fillId="2" borderId="4" xfId="1" applyNumberFormat="1" applyFont="1" applyFill="1" applyBorder="1"/>
    <x:xf numFmtId="0" fontId="9" fillId="4" borderId="0" xfId="1" applyFont="1" applyFill="1" applyAlignment="1">
      <x:alignment wrapText="1"/>
    </x:xf>
    <x:xf numFmtId="0" fontId="5" fillId="0" borderId="1" xfId="1" applyFont="1" applyBorder="1" applyAlignment="1">
      <x:alignment wrapText="1"/>
    </x:xf>
    <x:xf numFmtId="0" fontId="5" fillId="0" borderId="2" xfId="1" applyFont="1" applyBorder="1" applyAlignment="1">
      <x:alignment wrapText="1"/>
    </x:xf>
    <x:xf numFmtId="0" fontId="5" fillId="0" borderId="3" xfId="1" applyFont="1" applyBorder="1" applyAlignment="1">
      <x:alignment wrapText="1"/>
    </x:xf>
    <x:xf numFmtId="0" fontId="10" fillId="3" borderId="0" xfId="1" applyFont="1" applyFill="1"/>
    <x:xf numFmtId="0" fontId="11" fillId="0" borderId="1" xfId="1" applyFont="1" applyBorder="1" applyAlignment="1">
      <x:alignment wrapText="1"/>
    </x:xf>
    <x:xf numFmtId="0" fontId="11" fillId="0" borderId="2" xfId="1" applyFont="1" applyBorder="1" applyAlignment="1">
      <x:alignment wrapText="1"/>
    </x:xf>
    <x:xf numFmtId="0" fontId="11" fillId="0" borderId="3" xfId="1" applyFont="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x:xf numFmtId="0" fontId="14" fillId="7" borderId="0" xfId="0" applyNumberFormat="1" applyFont="1" applyFill="1" applyBorder="1"/>
    <x:xf numFmtId="0" fontId="0" fillId="8" borderId="0" xfId="0" applyNumberFormat="1" applyFont="1" applyFill="1" applyBorder="1"/>
    <x:xf numFmtId="0" fontId="15" fillId="8" borderId="0"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0" fillId="9" borderId="0" xfId="0" applyNumberFormat="1" applyFont="1" applyFill="1" applyBorder="1" applyAlignment="1">
      <x:alignment wrapText="1"/>
    </x:xf>
    <x:xf numFmtId="0" fontId="15" fillId="9" borderId="0" xfId="0" applyNumberFormat="1" applyFont="1" applyFill="1" applyBorder="1" applyAlignment="1">
      <x:alignment wrapText="1"/>
    </x:xf>
    <x:xf numFmtId="0" fontId="15" fillId="9" borderId="0" xfId="0" applyNumberFormat="1" applyFont="1" applyFill="1" applyBorder="1" applyAlignment="1">
      <x:alignment horizontal="center" wrapText="1"/>
    </x:xf>
    <x:xf numFmtId="0" fontId="15" fillId="9" borderId="0" xfId="0" applyNumberFormat="1" applyFont="1" applyFill="1" applyBorder="1" applyAlignment="1">
      <x:alignment horizontal="center" vertical="center" wrapText="1"/>
    </x:xf>
    <x:xf numFmtId="0" fontId="14" fillId="10" borderId="0" xfId="0" applyNumberFormat="1" applyFont="1" applyFill="1" applyBorder="1"/>
    <x:xf numFmtId="0" fontId="15" fillId="9" borderId="0" xfId="0" applyNumberFormat="1" applyFont="1" applyFill="1" applyBorder="1"/>
    <x:xf numFmtId="0" fontId="15" fillId="4" borderId="0" xfId="0" applyNumberFormat="1" applyFont="1" applyFill="1" applyBorder="1" applyAlignment="1">
      <x:alignment horizontal="center" vertical="center" wrapText="1"/>
    </x:xf>
    <x:xf numFmtId="0" fontId="15" fillId="11" borderId="0" xfId="0" applyNumberFormat="1" applyFont="1" applyFill="1" applyBorder="1" applyAlignment="1">
      <x:alignment horizontal="center" vertical="center" wrapText="1"/>
    </x:xf>
    <x:xf numFmtId="0" fontId="14" fillId="12" borderId="0" xfId="0" applyNumberFormat="1" applyFont="1" applyFill="1" applyBorder="1"/>
    <x:xf numFmtId="0" fontId="15" fillId="11" borderId="0" xfId="0" applyNumberFormat="1" applyFont="1" applyFill="1" applyBorder="1"/>
    <x:xf numFmtId="0" fontId="15" fillId="13" borderId="0" xfId="0" applyNumberFormat="1" applyFont="1" applyFill="1" applyBorder="1" applyAlignment="1">
      <x:alignment horizontal="center" vertical="center" wrapText="1"/>
    </x:xf>
    <x:xf numFmtId="0" fontId="14" fillId="14" borderId="0" xfId="0" applyNumberFormat="1" applyFont="1" applyFill="1" applyBorder="1"/>
    <x:xf numFmtId="0" fontId="15" fillId="13" borderId="0" xfId="0" applyNumberFormat="1" applyFont="1" applyFill="1" applyBorder="1"/>
    <x:xf numFmtId="0" fontId="15" fillId="15" borderId="0" xfId="0" applyNumberFormat="1" applyFont="1" applyFill="1" applyBorder="1" applyAlignment="1">
      <x:alignment horizontal="center" vertical="center" wrapText="1"/>
    </x:xf>
    <x:xf numFmtId="0" fontId="14" fillId="16" borderId="0" xfId="0" applyNumberFormat="1" applyFont="1" applyFill="1" applyBorder="1"/>
    <x:xf numFmtId="0" fontId="15" fillId="15" borderId="0" xfId="0" applyNumberFormat="1" applyFont="1" applyFill="1" applyBorder="1"/>
    <x:xf numFmtId="0" fontId="0" fillId="17" borderId="0" xfId="0" applyNumberFormat="1" applyFont="1" applyFill="1" applyBorder="1" applyAlignment="1">
      <x:alignment wrapText="1"/>
    </x:xf>
    <x:xf numFmtId="0" fontId="15" fillId="17" borderId="0" xfId="0" applyNumberFormat="1" applyFont="1" applyFill="1" applyBorder="1" applyAlignment="1">
      <x:alignment wrapText="1"/>
    </x:xf>
    <x:xf numFmtId="0" fontId="15" fillId="17" borderId="0" xfId="0" applyNumberFormat="1" applyFont="1" applyFill="1" applyBorder="1" applyAlignment="1">
      <x:alignment horizontal="center" wrapText="1"/>
    </x:xf>
    <x:xf numFmtId="0" fontId="15" fillId="17" borderId="0" xfId="0" applyNumberFormat="1" applyFont="1" applyFill="1" applyBorder="1" applyAlignment="1">
      <x:alignment horizontal="center" vertical="center" wrapText="1"/>
    </x:xf>
    <x:xf numFmtId="0" fontId="0" fillId="18" borderId="0" xfId="0" applyNumberFormat="1" applyFont="1" applyFill="1" applyBorder="1"/>
    <x:xf numFmtId="0" fontId="14" fillId="18" borderId="0" xfId="0" applyNumberFormat="1" applyFont="1" applyFill="1" applyBorder="1"/>
    <x:xf numFmtId="0" fontId="0" fillId="17" borderId="0" xfId="0" applyNumberFormat="1" applyFont="1" applyFill="1" applyBorder="1"/>
    <x:xf numFmtId="0" fontId="15" fillId="17" borderId="0" xfId="0" applyNumberFormat="1" applyFont="1" applyFill="1" applyBorder="1"/>
    <x:xf numFmtId="0" fontId="16" fillId="18" borderId="0" xfId="0" applyNumberFormat="1" applyFont="1" applyFill="1" applyBorder="1"/>
    <x:xf numFmtId="0" fontId="16" fillId="18" borderId="0" xfId="0" applyNumberFormat="1" applyFont="1" applyFill="1" applyBorder="1" applyAlignment="1">
      <x:alignment horizontal="center"/>
    </x:xf>
    <x:xf numFmtId="0" fontId="16" fillId="18" borderId="0" xfId="0" applyNumberFormat="1" applyFont="1" applyFill="1" applyBorder="1" applyAlignment="1">
      <x:alignment horizontal="center" vertical="center"/>
    </x:xf>
    <x:xf numFmtId="0" fontId="16" fillId="18" borderId="0" xfId="0" applyNumberFormat="1" applyFont="1" applyFill="1" applyBorder="1" applyAlignment="1">
      <x:alignment horizontal="center" vertical="center" wrapText="1"/>
    </x:xf>
    <x:xf numFmtId="0" fontId="15" fillId="19" borderId="0" xfId="0" applyNumberFormat="1" applyFont="1" applyFill="1" applyBorder="1" applyAlignment="1">
      <x:alignment horizontal="center" vertical="center" wrapText="1"/>
    </x:xf>
    <x:xf numFmtId="0" fontId="14" fillId="20" borderId="0" xfId="0" applyNumberFormat="1" applyFont="1" applyFill="1" applyBorder="1"/>
    <x:xf numFmtId="0" fontId="15" fillId="19" borderId="0" xfId="0" applyNumberFormat="1" applyFont="1" applyFill="1" applyBorder="1"/>
    <x:xf numFmtId="0" fontId="0" fillId="20" borderId="0" xfId="0" applyNumberFormat="1" applyFont="1" applyFill="1" applyBorder="1"/>
    <x:xf numFmtId="0" fontId="16" fillId="20" borderId="0" xfId="0" applyNumberFormat="1" applyFont="1" applyFill="1" applyBorder="1"/>
    <x:xf numFmtId="0" fontId="16" fillId="20" borderId="0" xfId="0" applyNumberFormat="1" applyFont="1" applyFill="1" applyBorder="1" applyAlignment="1">
      <x:alignment horizontal="center"/>
    </x:xf>
    <x:xf numFmtId="0" fontId="16" fillId="20" borderId="0" xfId="0" applyNumberFormat="1" applyFont="1" applyFill="1" applyBorder="1" applyAlignment="1">
      <x:alignment horizontal="center" vertical="center"/>
    </x:xf>
    <x:xf numFmtId="0" fontId="0" fillId="19" borderId="0" xfId="0" applyNumberFormat="1" applyFont="1" applyFill="1" applyBorder="1"/>
    <x:xf numFmtId="0" fontId="16" fillId="20" borderId="0" xfId="0" applyNumberFormat="1" applyFont="1" applyFill="1" applyBorder="1" applyAlignment="1">
      <x:alignment horizontal="center" vertical="center" wrapText="1"/>
    </x:xf>
    <x:xf numFmtId="0" fontId="15" fillId="19" borderId="0" xfId="0" applyNumberFormat="1" applyFont="1" applyFill="1" applyBorder="1" applyAlignment="1">
      <x:alignment wrapText="1"/>
    </x:xf>
  </x:cellXfs>
  <x:cellStyles count="2">
    <x:cellStyle name="Normal" xfId="0"/>
    <x:cellStyle name="Normal 2" xfId="1"/>
  </x:cellStyles>
  <x:dxfs count="12">
    <x:dxf>
      <x:font>
        <x:b/>
        <x:color rgb="FF9C0006"/>
      </x:font>
      <x:fill>
        <x:patternFill>
          <x:bgColor rgb="FFFCE4D6"/>
        </x:patternFill>
      </x:fill>
    </x:dxf>
    <x:dxf>
      <x:font>
        <x:color rgb="FF9C0006"/>
      </x:font>
      <x:fill>
        <x:patternFill>
          <x:bgColor rgb="FFFCE4D6"/>
        </x:patternFill>
      </x:fill>
    </x:dxf>
    <x:dxf>
      <x:font>
        <x:color rgb="FF375623"/>
      </x:font>
      <x:fill>
        <x:patternFill>
          <x:bgColor rgb="FFE2F0D9"/>
        </x:patternFill>
      </x:fill>
    </x:dxf>
    <x:dxf>
      <x:font>
        <x:color rgb="FF7F6000"/>
      </x:font>
      <x:fill>
        <x:patternFill>
          <x:bgColor rgb="FFFFF2CC"/>
        </x:patternFill>
      </x:fill>
    </x:dxf>
    <x:dxf>
      <x:fill>
        <x:patternFill>
          <x:bgColor rgb="FFC6EAF5"/>
        </x:patternFill>
      </x:fill>
    </x:dxf>
    <x:dxf>
      <x:fill>
        <x:patternFill>
          <x:bgColor rgb="FFC6EAF5"/>
        </x:patternFill>
      </x:fill>
    </x:dxf>
    <x:dxf>
      <x:fill>
        <x:patternFill>
          <x:bgColor rgb="FFC6EAF5"/>
        </x:patternFill>
      </x:fill>
    </x:dxf>
    <x:dxf>
      <x:fill>
        <x:patternFill>
          <x:bgColor rgb="FFC6EAF5"/>
        </x:patternFill>
      </x:fill>
    </x:dxf>
    <x:dxf>
      <x:font>
        <x:b/>
        <x:color rgb="FF375623"/>
      </x:font>
      <x:fill>
        <x:patternFill>
          <x:bgColor rgb="FFE2F0D9"/>
        </x:patternFill>
      </x:fill>
    </x:dxf>
    <x:dxf>
      <x:font>
        <x:b/>
        <x:color rgb="FF9C0006"/>
      </x:font>
      <x:fill>
        <x:patternFill>
          <x:bgColor rgb="FFFCE4D6"/>
        </x:patternFill>
      </x:fill>
    </x:dxf>
    <x:dxf>
      <x:font>
        <x:b/>
        <x:color rgb="FF375623"/>
      </x:font>
      <x:fill>
        <x:patternFill patternType="solid">
          <x:bgColor rgb="FFE2F0D9"/>
        </x:patternFill>
      </x:fill>
    </x:dxf>
    <x:dxf>
      <x:font>
        <x:b/>
        <x:color rgb="FF9C0006"/>
      </x:font>
      <x:fill>
        <x:patternFill patternType="solid">
          <x:bgColor rgb="FFFCE4D6"/>
        </x:patternFill>
      </x:fill>
    </x:dxf>
  </x:dxfs>
  <x:colors>
    <x:indexedColors>
      <x:rgbColor rgb="FF000000"/>
      <x:rgbColor rgb="FFFFFFFF"/>
      <x:rgbColor rgb="FFFF0000"/>
      <x:rgbColor rgb="FF00FF00"/>
      <x:rgbColor rgb="FF0000FF"/>
      <x:rgbColor rgb="FFFFFF00"/>
      <x:rgbColor rgb="FFFF00FF"/>
      <x:rgbColor rgb="FF00FFFF"/>
      <x:rgbColor rgb="FF9C0006"/>
      <x:rgbColor rgb="FF008000"/>
      <x:rgbColor rgb="FF000080"/>
      <x:rgbColor rgb="FF7F6000"/>
      <x:rgbColor rgb="FF800080"/>
      <x:rgbColor rgb="FF008080"/>
      <x:rgbColor rgb="FFC0C0C0"/>
      <x:rgbColor rgb="FF808080"/>
      <x:rgbColor rgb="FF9999FF"/>
      <x:rgbColor rgb="FF993366"/>
      <x:rgbColor rgb="FFFFF2CC"/>
      <x:rgbColor rgb="FFD9EAF7"/>
      <x:rgbColor rgb="FF660066"/>
      <x:rgbColor rgb="FFFF8080"/>
      <x:rgbColor rgb="FF0066CC"/>
      <x:rgbColor rgb="FFD9E2F3"/>
      <x:rgbColor rgb="FF000080"/>
      <x:rgbColor rgb="FFFF00FF"/>
      <x:rgbColor rgb="FFFFFF00"/>
      <x:rgbColor rgb="FF00FFFF"/>
      <x:rgbColor rgb="FF800080"/>
      <x:rgbColor rgb="FF800000"/>
      <x:rgbColor rgb="FF008080"/>
      <x:rgbColor rgb="FF0000FF"/>
      <x:rgbColor rgb="FF00CCFF"/>
      <x:rgbColor rgb="FFCCFFFF"/>
      <x:rgbColor rgb="FFE2F0D9"/>
      <x:rgbColor rgb="FFFFFF99"/>
      <x:rgbColor rgb="FF99CCFF"/>
      <x:rgbColor rgb="FFFF99CC"/>
      <x:rgbColor rgb="FFCC99FF"/>
      <x:rgbColor rgb="FFFCE4D6"/>
      <x:rgbColor rgb="FF2F75B5"/>
      <x:rgbColor rgb="FF33CCCC"/>
      <x:rgbColor rgb="FF99CC00"/>
      <x:rgbColor rgb="FFFFCC00"/>
      <x:rgbColor rgb="FFFF9900"/>
      <x:rgbColor rgb="FFFF6600"/>
      <x:rgbColor rgb="FF666699"/>
      <x:rgbColor rgb="FF969696"/>
      <x:rgbColor rgb="FF17365D"/>
      <x:rgbColor rgb="FF339966"/>
      <x:rgbColor rgb="FF003300"/>
      <x:rgbColor rgb="FF375623"/>
      <x:rgbColor rgb="FF993300"/>
      <x:rgbColor rgb="FF993366"/>
      <x:rgbColor rgb="FF1F4E78"/>
      <x:rgbColor rgb="FF1F1F1F"/>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5bc6288dd15c47ec" /><Relationship Type="http://schemas.openxmlformats.org/officeDocument/2006/relationships/theme" Target="/xl/theme/theme1.xml" Id="R7433f451c2b54363" /><Relationship Type="http://schemas.openxmlformats.org/officeDocument/2006/relationships/sharedStrings" Target="/xl/sharedStrings.xml" Id="Rf27f984baf3d4ee3" /><Relationship Type="http://schemas.openxmlformats.org/officeDocument/2006/relationships/worksheet" Target="/xl/worksheets/sheet1.xml" Id="R29083f6c43a74d3d" /><Relationship Type="http://schemas.openxmlformats.org/officeDocument/2006/relationships/worksheet" Target="/xl/worksheets/sheet2.xml" Id="R57684c9e0b1e4133" /><Relationship Type="http://schemas.openxmlformats.org/officeDocument/2006/relationships/worksheet" Target="/xl/worksheets/sheet3.xml" Id="R19493689146f4630" /><Relationship Type="http://schemas.openxmlformats.org/officeDocument/2006/relationships/worksheet" Target="/xl/worksheets/sheet4.xml" Id="R92cf15664c6e45e9" /><Relationship Type="http://schemas.openxmlformats.org/officeDocument/2006/relationships/worksheet" Target="/xl/worksheets/sheet5.xml" Id="R3698ab0f9ef1447b" /></Relationships>
</file>

<file path=xl/tables/table1.xml><?xml version="1.0" encoding="utf-8"?>
<x:table xmlns:x="http://schemas.openxmlformats.org/spreadsheetml/2006/main" id="1" name="MasterCandidatesTable" displayName="MasterCandidatesTable" ref="A3:R434" totalsRowShown="0">
  <x:tableColumns count="18">
    <x:tableColumn id="1" name="Candidate ID"/>
    <x:tableColumn id="2" name="Attraction Name"/>
    <x:tableColumn id="3" name="State / Territory"/>
    <x:tableColumn id="4" name="City / District"/>
    <x:tableColumn id="5" name="Primary Category"/>
    <x:tableColumn id="6" name="Coverage Lens"/>
    <x:tableColumn id="7" name="Setting"/>
    <x:tableColumn id="8" name="Interests / Tags"/>
    <x:tableColumn id="9" name="Candidate Description"/>
    <x:tableColumn id="10" name="Discovery / Source Link(s)"/>
    <x:tableColumn id="11" name="State Tourism Guide URL"/>
    <x:tableColumn id="12" name="Source Basis"/>
    <x:tableColumn id="13" name="Origin Batch"/>
    <x:tableColumn id="14" name="Existing Record ID"/>
    <x:tableColumn id="15" name="Date Added"/>
    <x:tableColumn id="16" name="Review Status"/>
    <x:tableColumn id="17" name="Reviewer Notes"/>
    <x:tableColumn id="18" name="Source Status"/>
  </x:tableColumns>
  <x:tableStyleInfo showFirstColumn="0" showLastColumn="0" showRowStripes="1" showColumnStripes="0"/>
</x:table>
</file>

<file path=xl/tables/table2.xml><?xml version="1.0" encoding="utf-8"?>
<x:table xmlns:x="http://schemas.openxmlformats.org/spreadsheetml/2006/main" id="2" name="SourceIndexTable" displayName="SourceIndexTable" ref="A4:E20" totalsRowShown="0">
  <x:tableColumns count="5">
    <x:tableColumn id="1" name="State / Territory"/>
    <x:tableColumn id="2" name="Tourism Malaysia Guide"/>
    <x:tableColumn id="3" name="Coverage Role"/>
    <x:tableColumn id="4" name="Per-row Discovery Link"/>
    <x:tableColumn id="5" name="Required Reviewer Action"/>
  </x:tableColumns>
  <x:tableStyleInfo showFirstColumn="0" showLastColumn="0" showRowStripes="1" showColumnStripes="0"/>
</x:table>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110bec3a777242db" /></Relationships>
</file>

<file path=xl/worksheets/_rels/sheet3.xml.rels>&#65279;<?xml version="1.0" encoding="utf-8"?><Relationships xmlns="http://schemas.openxmlformats.org/package/2006/relationships"><Relationship Type="http://schemas.openxmlformats.org/officeDocument/2006/relationships/table" Target="/xl/tables/table2.xml" Id="Rf3680399597b4e62" /></Relationships>
</file>

<file path=xl/worksheets/sheet1.xml><?xml version="1.0" encoding="utf-8"?>
<x:worksheet xmlns:x="http://schemas.openxmlformats.org/spreadsheetml/2006/main">
  <x:sheetViews>
    <x:sheetView showGridLines="0" workbookViewId="0"/>
  </x:sheetViews>
  <x:sheetFormatPr defaultColWidth="8.7109375" defaultRowHeight="12.75"/>
  <x:cols>
    <x:col min="1" max="1" width="14" style="9" customWidth="1"/>
    <x:col min="2" max="2" width="31" style="9" customWidth="1"/>
    <x:col min="3" max="3" width="19" style="9" customWidth="1"/>
    <x:col min="4" max="5" width="22" style="9" customWidth="1"/>
    <x:col min="6" max="6" width="16" style="9" customWidth="1"/>
    <x:col min="7" max="7" width="15" style="9" customWidth="1"/>
    <x:col min="8" max="8" width="34" style="9" customWidth="1"/>
    <x:col min="9" max="9" width="58" style="9" customWidth="1"/>
    <x:col min="10" max="10" width="44" style="9" customWidth="1"/>
    <x:col min="11" max="11" width="42" style="9" customWidth="1"/>
    <x:col min="12" max="12" width="34" style="9" customWidth="1"/>
    <x:col min="13" max="13" width="27" style="9" customWidth="1"/>
    <x:col min="14" max="14" width="16" style="9" customWidth="1"/>
    <x:col min="15" max="15" width="13" style="9" customWidth="1"/>
    <x:col min="16" max="16" width="18" style="9" customWidth="1"/>
    <x:col min="17" max="17" width="34" style="9" customWidth="1"/>
    <x:col min="18" max="18" width="17" style="9" customWidth="1"/>
    <x:col min="19" max="19" width="17" hidden="0" customWidth="1"/>
    <x:col min="20" max="20" width="19" hidden="0" customWidth="1"/>
    <x:col min="21" max="21" width="19" hidden="0" customWidth="1"/>
    <x:col min="22" max="22" width="19" hidden="0" customWidth="1"/>
    <x:col min="23" max="23" width="19" hidden="0" customWidth="1"/>
    <x:col min="24" max="24" width="19" hidden="0" customWidth="1"/>
    <x:col min="25" max="25" width="25" hidden="0" customWidth="1"/>
    <x:col min="26" max="26" width="42" hidden="0" customWidth="1"/>
    <x:col min="27" max="27" width="24" hidden="0" customWidth="1"/>
    <x:col min="28" max="28" width="48" hidden="0" customWidth="1"/>
    <x:col min="29" max="29" width="68" hidden="0" customWidth="1"/>
    <x:col min="30" max="30" width="22" hidden="0" customWidth="1"/>
  </x:cols>
  <x:sheetData>
    <x:row r="1" ht="30" customHeight="1">
      <x:c r="A1" s="8" t="s">
        <x:v>0</x:v>
      </x:c>
      <x:c r="B1" s="8"/>
      <x:c r="C1" s="8"/>
      <x:c r="D1" s="8"/>
      <x:c r="E1" s="8"/>
      <x:c r="F1" s="8"/>
      <x:c r="G1" s="8"/>
      <x:c r="H1" s="8"/>
      <x:c r="I1" s="8"/>
      <x:c r="J1" s="8"/>
      <x:c r="K1" s="8"/>
      <x:c r="L1" s="8"/>
      <x:c r="M1" s="8"/>
      <x:c r="N1" s="8"/>
      <x:c r="O1" s="8"/>
      <x:c r="P1" s="8"/>
      <x:c r="Q1" s="8"/>
      <x:c r="R1" s="8"/>
    </x:row>
    <x:row r="2" ht="30" customHeight="1">
      <x:c r="A2" s="7" t="s">
        <x:v>1</x:v>
      </x:c>
      <x:c r="B2" s="7"/>
      <x:c r="C2" s="7"/>
      <x:c r="D2" s="7"/>
      <x:c r="E2" s="7"/>
      <x:c r="F2" s="7"/>
      <x:c r="G2" s="7"/>
      <x:c r="H2" s="7"/>
      <x:c r="I2" s="7"/>
      <x:c r="J2" s="7"/>
      <x:c r="K2" s="7"/>
      <x:c r="L2" s="7"/>
      <x:c r="M2" s="7"/>
      <x:c r="N2" s="7"/>
      <x:c r="O2" s="7"/>
      <x:c r="P2" s="7"/>
      <x:c r="Q2" s="7"/>
      <x:c r="R2" s="7"/>
    </x:row>
    <x:row r="3" ht="34" customHeight="1">
      <x:c r="A3" s="10" t="s">
        <x:v>2</x:v>
      </x:c>
      <x:c r="B3" s="10" t="s">
        <x:v>3</x:v>
      </x:c>
      <x:c r="C3" s="10" t="s">
        <x:v>4</x:v>
      </x:c>
      <x:c r="D3" s="10" t="s">
        <x:v>5</x:v>
      </x:c>
      <x:c r="E3" s="10" t="s">
        <x:v>6</x:v>
      </x:c>
      <x:c r="F3" s="10" t="s">
        <x:v>7</x:v>
      </x:c>
      <x:c r="G3" s="10" t="s">
        <x:v>8</x:v>
      </x:c>
      <x:c r="H3" s="10" t="s">
        <x:v>9</x:v>
      </x:c>
      <x:c r="I3" s="10" t="s">
        <x:v>10</x:v>
      </x:c>
      <x:c r="J3" s="10" t="s">
        <x:v>11</x:v>
      </x:c>
      <x:c r="K3" s="10" t="s">
        <x:v>12</x:v>
      </x:c>
      <x:c r="L3" s="10" t="s">
        <x:v>13</x:v>
      </x:c>
      <x:c r="M3" s="10" t="s">
        <x:v>14</x:v>
      </x:c>
      <x:c r="N3" s="10" t="s">
        <x:v>15</x:v>
      </x:c>
      <x:c r="O3" s="10" t="s">
        <x:v>16</x:v>
      </x:c>
      <x:c r="P3" s="11" t="s">
        <x:v>17</x:v>
      </x:c>
      <x:c r="Q3" s="11" t="s">
        <x:v>18</x:v>
      </x:c>
      <x:c r="R3" s="11" t="s">
        <x:v>19</x:v>
      </x:c>
      <x:c r="S3" s="79" t="str">
        <x:v>Walking Difficulty</x:v>
      </x:c>
      <x:c r="T3" s="79" t="str">
        <x:v>Step-Free Access</x:v>
      </x:c>
      <x:c r="U3" s="79" t="str">
        <x:v>Resting Seats Available</x:v>
      </x:c>
      <x:c r="V3" s="79" t="str">
        <x:v>Accessible Toilet</x:v>
      </x:c>
      <x:c r="W3" s="79" t="str">
        <x:v>Parking Proximity</x:v>
      </x:c>
      <x:c r="X3" s="79" t="str">
        <x:v>Shelter Available</x:v>
      </x:c>
      <x:c r="Y3" s="79" t="str">
        <x:v>Elderly Suitability</x:v>
      </x:c>
      <x:c r="Z3" s="79" t="str">
        <x:v>Elderly Accessibility Notes</x:v>
      </x:c>
      <x:c r="AA3" s="94" t="str">
        <x:v>Elderly Recommendation Eligibility</x:v>
      </x:c>
      <x:c r="AB3" s="94" t="str">
        <x:v>Accessibility Evidence Source</x:v>
      </x:c>
      <x:c r="AC3" s="94" t="str">
        <x:v>Accessibility Screening Notes</x:v>
      </x:c>
      <x:c r="AD3" s="94" t="str">
        <x:v>Accessibility Screening Date</x:v>
      </x:c>
    </x:row>
    <x:row r="4" ht="60" customHeight="1">
      <x:c r="A4" s="12" t="s">
        <x:v>20</x:v>
      </x:c>
      <x:c r="B4" s="12" t="s">
        <x:v>21</x:v>
      </x:c>
      <x:c r="C4" s="12" t="s">
        <x:v>22</x:v>
      </x:c>
      <x:c r="D4" s="12" t="s">
        <x:v>23</x:v>
      </x:c>
      <x:c r="E4" s="12" t="s">
        <x:v>24</x:v>
      </x:c>
      <x:c r="F4" s="12" t="s">
        <x:v>25</x:v>
      </x:c>
      <x:c r="G4" s="12" t="s">
        <x:v>26</x:v>
      </x:c>
      <x:c r="H4" s="13" t="s">
        <x:v>27</x:v>
      </x:c>
      <x:c r="I4" s="13" t="s">
        <x:v>28</x:v>
      </x:c>
      <x:c r="J4" s="13" t="s">
        <x:v>29</x:v>
      </x:c>
      <x:c r="K4" s="13" t="s">
        <x:v>30</x:v>
      </x:c>
      <x:c r="L4" s="13" t="s">
        <x:v>31</x:v>
      </x:c>
      <x:c r="M4" s="13" t="s">
        <x:v>32</x:v>
      </x:c>
      <x:c r="N4" s="12" t="s">
        <x:v>33</x:v>
      </x:c>
      <x:c r="O4" s="14">
        <x:v>46249</x:v>
      </x:c>
      <x:c r="P4" s="15" t="s">
        <x:v>34</x:v>
      </x:c>
      <x:c r="Q4" s="13"/>
      <x:c r="R4" s="15" t="str">
        <x:f t="shared" ref="R4:R67" si="0">IF(J4="","Missing Link",IF(AND(ISNUMBER(SEARCH("google.com/maps",J4)),ISERROR(SEARCH(";",J4))),"Discovery Link Only","Source Link Present"))</x:f>
        <x:v>Source Link Present</x:v>
      </x:c>
      <x:c r="S4" s="43" t="str">
        <x:v>Unknown</x:v>
      </x:c>
      <x:c r="T4" s="43" t="str">
        <x:v>Unknown</x:v>
      </x:c>
      <x:c r="U4" s="43" t="str">
        <x:v>Unknown</x:v>
      </x:c>
      <x:c r="V4" s="43" t="str">
        <x:v>Unknown</x:v>
      </x:c>
      <x:c r="W4" s="43" t="str">
        <x:v>Unknown</x:v>
      </x:c>
      <x:c r="X4" s="43" t="str">
        <x:v>Unknown</x:v>
      </x:c>
      <x:c r="Y4" s="43" t="str">
        <x:v>Unknown</x:v>
      </x:c>
      <x:c r="Z4" s="43"/>
      <x:c r="AA4" s="43" t="str">
        <x:v>Excluded</x:v>
      </x:c>
      <x:c r="AB4" s="43" t="str">
        <x:v>No qualifying evidence source recorded</x:v>
      </x:c>
      <x:c r="AC4" s="43" t="str">
        <x:v>Excluded from Maya's elderly recommendation results because no source-backed elderly accessibility feature is recorded in the reviewed data. This does not mean the attraction is inaccessible.</x:v>
      </x:c>
      <x:c r="AD4" s="43" t="str">
        <x:v>2026-08-16</x:v>
      </x:c>
    </x:row>
    <x:row r="5" ht="60" customHeight="1">
      <x:c r="A5" s="16" t="s">
        <x:v>35</x:v>
      </x:c>
      <x:c r="B5" s="16" t="s">
        <x:v>36</x:v>
      </x:c>
      <x:c r="C5" s="16" t="s">
        <x:v>22</x:v>
      </x:c>
      <x:c r="D5" s="16" t="s">
        <x:v>23</x:v>
      </x:c>
      <x:c r="E5" s="16" t="s">
        <x:v>37</x:v>
      </x:c>
      <x:c r="F5" s="16" t="s">
        <x:v>25</x:v>
      </x:c>
      <x:c r="G5" s="16" t="s">
        <x:v>26</x:v>
      </x:c>
      <x:c r="H5" s="17" t="s">
        <x:v>38</x:v>
      </x:c>
      <x:c r="I5" s="17" t="s">
        <x:v>39</x:v>
      </x:c>
      <x:c r="J5" s="17" t="s">
        <x:v>40</x:v>
      </x:c>
      <x:c r="K5" s="17" t="s">
        <x:v>30</x:v>
      </x:c>
      <x:c r="L5" s="17" t="s">
        <x:v>31</x:v>
      </x:c>
      <x:c r="M5" s="17" t="s">
        <x:v>32</x:v>
      </x:c>
      <x:c r="N5" s="16" t="s">
        <x:v>41</x:v>
      </x:c>
      <x:c r="O5" s="18">
        <x:v>46249</x:v>
      </x:c>
      <x:c r="P5" s="19" t="s">
        <x:v>34</x:v>
      </x:c>
      <x:c r="Q5" s="17"/>
      <x:c r="R5" s="19" t="str">
        <x:f t="shared" si="0"/>
        <x:v>Source Link Present</x:v>
      </x:c>
      <x:c r="S5" s="43" t="str">
        <x:v>Unknown</x:v>
      </x:c>
      <x:c r="T5" s="43" t="str">
        <x:v>Unknown</x:v>
      </x:c>
      <x:c r="U5" s="43" t="str">
        <x:v>Unknown</x:v>
      </x:c>
      <x:c r="V5" s="43" t="str">
        <x:v>Unknown</x:v>
      </x:c>
      <x:c r="W5" s="43" t="str">
        <x:v>Unknown</x:v>
      </x:c>
      <x:c r="X5" s="43" t="str">
        <x:v>Unknown</x:v>
      </x:c>
      <x:c r="Y5" s="43" t="str">
        <x:v>Unknown</x:v>
      </x:c>
      <x:c r="Z5" s="43"/>
      <x:c r="AA5" s="43" t="str">
        <x:v>Excluded</x:v>
      </x:c>
      <x:c r="AB5" s="43" t="str">
        <x:v>No qualifying evidence source recorded</x:v>
      </x:c>
      <x:c r="AC5" s="43" t="str">
        <x:v>Excluded from Maya's elderly recommendation results because no source-backed elderly accessibility feature is recorded in the reviewed data. This does not mean the attraction is inaccessible.</x:v>
      </x:c>
      <x:c r="AD5" s="43" t="str">
        <x:v>2026-08-16</x:v>
      </x:c>
    </x:row>
    <x:row r="6" ht="60" customHeight="1">
      <x:c r="A6" s="16" t="s">
        <x:v>42</x:v>
      </x:c>
      <x:c r="B6" s="16" t="s">
        <x:v>43</x:v>
      </x:c>
      <x:c r="C6" s="16" t="s">
        <x:v>22</x:v>
      </x:c>
      <x:c r="D6" s="16" t="s">
        <x:v>44</x:v>
      </x:c>
      <x:c r="E6" s="16" t="s">
        <x:v>45</x:v>
      </x:c>
      <x:c r="F6" s="16" t="s">
        <x:v>25</x:v>
      </x:c>
      <x:c r="G6" s="16" t="s">
        <x:v>46</x:v>
      </x:c>
      <x:c r="H6" s="17" t="s">
        <x:v>47</x:v>
      </x:c>
      <x:c r="I6" s="17" t="s">
        <x:v>48</x:v>
      </x:c>
      <x:c r="J6" s="17" t="s">
        <x:v>49</x:v>
      </x:c>
      <x:c r="K6" s="17" t="s">
        <x:v>30</x:v>
      </x:c>
      <x:c r="L6" s="17" t="s">
        <x:v>31</x:v>
      </x:c>
      <x:c r="M6" s="17" t="s">
        <x:v>32</x:v>
      </x:c>
      <x:c r="N6" s="16" t="s">
        <x:v>50</x:v>
      </x:c>
      <x:c r="O6" s="18">
        <x:v>46249</x:v>
      </x:c>
      <x:c r="P6" s="19" t="s">
        <x:v>34</x:v>
      </x:c>
      <x:c r="Q6" s="17"/>
      <x:c r="R6" s="19" t="str">
        <x:f t="shared" si="0"/>
        <x:v>Source Link Present</x:v>
      </x:c>
      <x:c r="S6" s="43" t="str">
        <x:v>Unknown</x:v>
      </x:c>
      <x:c r="T6" s="43" t="str">
        <x:v>Unknown</x:v>
      </x:c>
      <x:c r="U6" s="43" t="str">
        <x:v>Unknown</x:v>
      </x:c>
      <x:c r="V6" s="43" t="str">
        <x:v>Unknown</x:v>
      </x:c>
      <x:c r="W6" s="43" t="str">
        <x:v>Unknown</x:v>
      </x:c>
      <x:c r="X6" s="43" t="str">
        <x:v>Unknown</x:v>
      </x:c>
      <x:c r="Y6" s="43" t="str">
        <x:v>Unknown</x:v>
      </x:c>
      <x:c r="Z6" s="43"/>
      <x:c r="AA6" s="43" t="str">
        <x:v>Excluded</x:v>
      </x:c>
      <x:c r="AB6" s="43" t="str">
        <x:v>No qualifying evidence source recorded</x:v>
      </x:c>
      <x:c r="AC6" s="43" t="str">
        <x:v>Excluded from Maya's elderly recommendation results because no source-backed elderly accessibility feature is recorded in the reviewed data. This does not mean the attraction is inaccessible.</x:v>
      </x:c>
      <x:c r="AD6" s="43" t="str">
        <x:v>2026-08-16</x:v>
      </x:c>
    </x:row>
    <x:row r="7" ht="60" customHeight="1">
      <x:c r="A7" s="16" t="s">
        <x:v>51</x:v>
      </x:c>
      <x:c r="B7" s="16" t="s">
        <x:v>52</x:v>
      </x:c>
      <x:c r="C7" s="16" t="s">
        <x:v>22</x:v>
      </x:c>
      <x:c r="D7" s="16" t="s">
        <x:v>53</x:v>
      </x:c>
      <x:c r="E7" s="16" t="s">
        <x:v>54</x:v>
      </x:c>
      <x:c r="F7" s="16" t="s">
        <x:v>25</x:v>
      </x:c>
      <x:c r="G7" s="16" t="s">
        <x:v>46</x:v>
      </x:c>
      <x:c r="H7" s="17" t="s">
        <x:v>55</x:v>
      </x:c>
      <x:c r="I7" s="17" t="s">
        <x:v>56</x:v>
      </x:c>
      <x:c r="J7" s="17" t="s">
        <x:v>57</x:v>
      </x:c>
      <x:c r="K7" s="17" t="s">
        <x:v>30</x:v>
      </x:c>
      <x:c r="L7" s="17" t="s">
        <x:v>58</x:v>
      </x:c>
      <x:c r="M7" s="17" t="s">
        <x:v>59</x:v>
      </x:c>
      <x:c r="N7" s="16" t="s">
        <x:v>60</x:v>
      </x:c>
      <x:c r="O7" s="18">
        <x:v>46249</x:v>
      </x:c>
      <x:c r="P7" s="19" t="s">
        <x:v>34</x:v>
      </x:c>
      <x:c r="Q7" s="17"/>
      <x:c r="R7" s="19" t="str">
        <x:f t="shared" si="0"/>
        <x:v>Discovery Link Only</x:v>
      </x:c>
      <x:c r="S7" s="43" t="str">
        <x:v>Unknown</x:v>
      </x:c>
      <x:c r="T7" s="43" t="str">
        <x:v>Unknown</x:v>
      </x:c>
      <x:c r="U7" s="43" t="str">
        <x:v>Unknown</x:v>
      </x:c>
      <x:c r="V7" s="43" t="str">
        <x:v>Unknown</x:v>
      </x:c>
      <x:c r="W7" s="43" t="str">
        <x:v>Unknown</x:v>
      </x:c>
      <x:c r="X7" s="43" t="str">
        <x:v>Unknown</x:v>
      </x:c>
      <x:c r="Y7" s="43" t="str">
        <x:v>Unknown</x:v>
      </x:c>
      <x:c r="Z7" s="43"/>
      <x:c r="AA7" s="43" t="str">
        <x:v>Excluded</x:v>
      </x:c>
      <x:c r="AB7" s="43" t="str">
        <x:v>No qualifying evidence source recorded</x:v>
      </x:c>
      <x:c r="AC7" s="43" t="str">
        <x:v>Excluded from Maya's elderly recommendation results because no source-backed elderly accessibility feature is recorded in the reviewed data. This does not mean the attraction is inaccessible.</x:v>
      </x:c>
      <x:c r="AD7" s="43" t="str">
        <x:v>2026-08-16</x:v>
      </x:c>
    </x:row>
    <x:row r="8" ht="60" customHeight="1">
      <x:c r="A8" s="16" t="s">
        <x:v>61</x:v>
      </x:c>
      <x:c r="B8" s="16" t="s">
        <x:v>62</x:v>
      </x:c>
      <x:c r="C8" s="16" t="s">
        <x:v>22</x:v>
      </x:c>
      <x:c r="D8" s="16" t="s">
        <x:v>63</x:v>
      </x:c>
      <x:c r="E8" s="16" t="s">
        <x:v>64</x:v>
      </x:c>
      <x:c r="F8" s="16" t="s">
        <x:v>25</x:v>
      </x:c>
      <x:c r="G8" s="16" t="s">
        <x:v>26</x:v>
      </x:c>
      <x:c r="H8" s="17" t="s">
        <x:v>65</x:v>
      </x:c>
      <x:c r="I8" s="17" t="s">
        <x:v>66</x:v>
      </x:c>
      <x:c r="J8" s="17" t="s">
        <x:v>67</x:v>
      </x:c>
      <x:c r="K8" s="17" t="s">
        <x:v>30</x:v>
      </x:c>
      <x:c r="L8" s="17" t="s">
        <x:v>58</x:v>
      </x:c>
      <x:c r="M8" s="17" t="s">
        <x:v>59</x:v>
      </x:c>
      <x:c r="N8" s="16" t="s">
        <x:v>68</x:v>
      </x:c>
      <x:c r="O8" s="18">
        <x:v>46249</x:v>
      </x:c>
      <x:c r="P8" s="19" t="s">
        <x:v>34</x:v>
      </x:c>
      <x:c r="Q8" s="17"/>
      <x:c r="R8" s="19" t="str">
        <x:f t="shared" si="0"/>
        <x:v>Discovery Link Only</x:v>
      </x:c>
      <x:c r="S8" s="43" t="str">
        <x:v>Unknown</x:v>
      </x:c>
      <x:c r="T8" s="43" t="str">
        <x:v>Unknown</x:v>
      </x:c>
      <x:c r="U8" s="43" t="str">
        <x:v>Unknown</x:v>
      </x:c>
      <x:c r="V8" s="43" t="str">
        <x:v>Unknown</x:v>
      </x:c>
      <x:c r="W8" s="43" t="str">
        <x:v>Unknown</x:v>
      </x:c>
      <x:c r="X8" s="43" t="str">
        <x:v>Unknown</x:v>
      </x:c>
      <x:c r="Y8" s="43" t="str">
        <x:v>Unknown</x:v>
      </x:c>
      <x:c r="Z8" s="43"/>
      <x:c r="AA8" s="43" t="str">
        <x:v>Excluded</x:v>
      </x:c>
      <x:c r="AB8" s="43" t="str">
        <x:v>No qualifying evidence source recorded</x:v>
      </x:c>
      <x:c r="AC8" s="43" t="str">
        <x:v>Excluded from Maya's elderly recommendation results because no source-backed elderly accessibility feature is recorded in the reviewed data. This does not mean the attraction is inaccessible.</x:v>
      </x:c>
      <x:c r="AD8" s="43" t="str">
        <x:v>2026-08-16</x:v>
      </x:c>
    </x:row>
    <x:row r="9" ht="60" customHeight="1">
      <x:c r="A9" s="16" t="s">
        <x:v>69</x:v>
      </x:c>
      <x:c r="B9" s="16" t="s">
        <x:v>70</x:v>
      </x:c>
      <x:c r="C9" s="16" t="s">
        <x:v>22</x:v>
      </x:c>
      <x:c r="D9" s="16" t="s">
        <x:v>71</x:v>
      </x:c>
      <x:c r="E9" s="16" t="s">
        <x:v>72</x:v>
      </x:c>
      <x:c r="F9" s="16" t="s">
        <x:v>25</x:v>
      </x:c>
      <x:c r="G9" s="16" t="s">
        <x:v>26</x:v>
      </x:c>
      <x:c r="H9" s="17" t="s">
        <x:v>73</x:v>
      </x:c>
      <x:c r="I9" s="17" t="s">
        <x:v>74</x:v>
      </x:c>
      <x:c r="J9" s="17" t="s">
        <x:v>75</x:v>
      </x:c>
      <x:c r="K9" s="17" t="s">
        <x:v>30</x:v>
      </x:c>
      <x:c r="L9" s="17" t="s">
        <x:v>58</x:v>
      </x:c>
      <x:c r="M9" s="17" t="s">
        <x:v>59</x:v>
      </x:c>
      <x:c r="N9" s="16" t="s">
        <x:v>76</x:v>
      </x:c>
      <x:c r="O9" s="18">
        <x:v>46249</x:v>
      </x:c>
      <x:c r="P9" s="19" t="s">
        <x:v>34</x:v>
      </x:c>
      <x:c r="Q9" s="17"/>
      <x:c r="R9" s="19" t="str">
        <x:f t="shared" si="0"/>
        <x:v>Discovery Link Only</x:v>
      </x:c>
      <x:c r="S9" s="43" t="str">
        <x:v>Unknown</x:v>
      </x:c>
      <x:c r="T9" s="43" t="str">
        <x:v>Unknown</x:v>
      </x:c>
      <x:c r="U9" s="43" t="str">
        <x:v>Unknown</x:v>
      </x:c>
      <x:c r="V9" s="43" t="str">
        <x:v>Unknown</x:v>
      </x:c>
      <x:c r="W9" s="43" t="str">
        <x:v>Unknown</x:v>
      </x:c>
      <x:c r="X9" s="43" t="str">
        <x:v>Unknown</x:v>
      </x:c>
      <x:c r="Y9" s="43" t="str">
        <x:v>Unknown</x:v>
      </x:c>
      <x:c r="Z9" s="43"/>
      <x:c r="AA9" s="43" t="str">
        <x:v>Excluded</x:v>
      </x:c>
      <x:c r="AB9" s="43" t="str">
        <x:v>No qualifying evidence source recorded</x:v>
      </x:c>
      <x:c r="AC9" s="43" t="str">
        <x:v>Excluded from Maya's elderly recommendation results because no source-backed elderly accessibility feature is recorded in the reviewed data. This does not mean the attraction is inaccessible.</x:v>
      </x:c>
      <x:c r="AD9" s="43" t="str">
        <x:v>2026-08-16</x:v>
      </x:c>
    </x:row>
    <x:row r="10" ht="60" customHeight="1">
      <x:c r="A10" s="16" t="s">
        <x:v>77</x:v>
      </x:c>
      <x:c r="B10" s="16" t="s">
        <x:v>78</x:v>
      </x:c>
      <x:c r="C10" s="16" t="s">
        <x:v>22</x:v>
      </x:c>
      <x:c r="D10" s="16" t="s">
        <x:v>79</x:v>
      </x:c>
      <x:c r="E10" s="16" t="s">
        <x:v>45</x:v>
      </x:c>
      <x:c r="F10" s="16" t="s">
        <x:v>25</x:v>
      </x:c>
      <x:c r="G10" s="16" t="s">
        <x:v>26</x:v>
      </x:c>
      <x:c r="H10" s="17" t="s">
        <x:v>80</x:v>
      </x:c>
      <x:c r="I10" s="17" t="s">
        <x:v>81</x:v>
      </x:c>
      <x:c r="J10" s="17" t="s">
        <x:v>82</x:v>
      </x:c>
      <x:c r="K10" s="17" t="s">
        <x:v>30</x:v>
      </x:c>
      <x:c r="L10" s="17" t="s">
        <x:v>58</x:v>
      </x:c>
      <x:c r="M10" s="17" t="s">
        <x:v>59</x:v>
      </x:c>
      <x:c r="N10" s="16" t="s">
        <x:v>83</x:v>
      </x:c>
      <x:c r="O10" s="18">
        <x:v>46249</x:v>
      </x:c>
      <x:c r="P10" s="19" t="s">
        <x:v>34</x:v>
      </x:c>
      <x:c r="Q10" s="17"/>
      <x:c r="R10" s="19" t="str">
        <x:f t="shared" si="0"/>
        <x:v>Discovery Link Only</x:v>
      </x:c>
      <x:c r="S10" s="43" t="str">
        <x:v>Unknown</x:v>
      </x:c>
      <x:c r="T10" s="43" t="str">
        <x:v>Unknown</x:v>
      </x:c>
      <x:c r="U10" s="43" t="str">
        <x:v>Unknown</x:v>
      </x:c>
      <x:c r="V10" s="43" t="str">
        <x:v>Unknown</x:v>
      </x:c>
      <x:c r="W10" s="43" t="str">
        <x:v>Unknown</x:v>
      </x:c>
      <x:c r="X10" s="43" t="str">
        <x:v>Unknown</x:v>
      </x:c>
      <x:c r="Y10" s="43" t="str">
        <x:v>Unknown</x:v>
      </x:c>
      <x:c r="Z10" s="43"/>
      <x:c r="AA10" s="43" t="str">
        <x:v>Excluded</x:v>
      </x:c>
      <x:c r="AB10" s="43" t="str">
        <x:v>No qualifying evidence source recorded</x:v>
      </x:c>
      <x:c r="AC10" s="43" t="str">
        <x:v>Excluded from Maya's elderly recommendation results because no source-backed elderly accessibility feature is recorded in the reviewed data. This does not mean the attraction is inaccessible.</x:v>
      </x:c>
      <x:c r="AD10" s="43" t="str">
        <x:v>2026-08-16</x:v>
      </x:c>
    </x:row>
    <x:row r="11" ht="60" customHeight="1">
      <x:c r="A11" s="16" t="s">
        <x:v>84</x:v>
      </x:c>
      <x:c r="B11" s="16" t="s">
        <x:v>85</x:v>
      </x:c>
      <x:c r="C11" s="16" t="s">
        <x:v>22</x:v>
      </x:c>
      <x:c r="D11" s="16" t="s">
        <x:v>86</x:v>
      </x:c>
      <x:c r="E11" s="16" t="s">
        <x:v>45</x:v>
      </x:c>
      <x:c r="F11" s="16" t="s">
        <x:v>25</x:v>
      </x:c>
      <x:c r="G11" s="16" t="s">
        <x:v>26</x:v>
      </x:c>
      <x:c r="H11" s="17" t="s">
        <x:v>87</x:v>
      </x:c>
      <x:c r="I11" s="17" t="s">
        <x:v>88</x:v>
      </x:c>
      <x:c r="J11" s="17" t="s">
        <x:v>89</x:v>
      </x:c>
      <x:c r="K11" s="17" t="s">
        <x:v>30</x:v>
      </x:c>
      <x:c r="L11" s="17" t="s">
        <x:v>58</x:v>
      </x:c>
      <x:c r="M11" s="17" t="s">
        <x:v>59</x:v>
      </x:c>
      <x:c r="N11" s="16" t="s">
        <x:v>90</x:v>
      </x:c>
      <x:c r="O11" s="18">
        <x:v>46249</x:v>
      </x:c>
      <x:c r="P11" s="19" t="s">
        <x:v>34</x:v>
      </x:c>
      <x:c r="Q11" s="17"/>
      <x:c r="R11" s="19" t="str">
        <x:f t="shared" si="0"/>
        <x:v>Discovery Link Only</x:v>
      </x:c>
      <x:c r="S11" s="43" t="str">
        <x:v>Unknown</x:v>
      </x:c>
      <x:c r="T11" s="43" t="str">
        <x:v>Unknown</x:v>
      </x:c>
      <x:c r="U11" s="43" t="str">
        <x:v>Unknown</x:v>
      </x:c>
      <x:c r="V11" s="43" t="str">
        <x:v>Unknown</x:v>
      </x:c>
      <x:c r="W11" s="43" t="str">
        <x:v>Unknown</x:v>
      </x:c>
      <x:c r="X11" s="43" t="str">
        <x:v>Unknown</x:v>
      </x:c>
      <x:c r="Y11" s="43" t="str">
        <x:v>Unknown</x:v>
      </x:c>
      <x:c r="Z11" s="43"/>
      <x:c r="AA11" s="43" t="str">
        <x:v>Excluded</x:v>
      </x:c>
      <x:c r="AB11" s="43" t="str">
        <x:v>No qualifying evidence source recorded</x:v>
      </x:c>
      <x:c r="AC11" s="43" t="str">
        <x:v>Excluded from Maya's elderly recommendation results because no source-backed elderly accessibility feature is recorded in the reviewed data. This does not mean the attraction is inaccessible.</x:v>
      </x:c>
      <x:c r="AD11" s="43" t="str">
        <x:v>2026-08-16</x:v>
      </x:c>
    </x:row>
    <x:row r="12" ht="60" customHeight="1">
      <x:c r="A12" s="16" t="s">
        <x:v>91</x:v>
      </x:c>
      <x:c r="B12" s="16" t="s">
        <x:v>92</x:v>
      </x:c>
      <x:c r="C12" s="16" t="s">
        <x:v>22</x:v>
      </x:c>
      <x:c r="D12" s="16" t="s">
        <x:v>71</x:v>
      </x:c>
      <x:c r="E12" s="16" t="s">
        <x:v>37</x:v>
      </x:c>
      <x:c r="F12" s="16" t="s">
        <x:v>25</x:v>
      </x:c>
      <x:c r="G12" s="16" t="s">
        <x:v>26</x:v>
      </x:c>
      <x:c r="H12" s="17" t="s">
        <x:v>93</x:v>
      </x:c>
      <x:c r="I12" s="17" t="s">
        <x:v>94</x:v>
      </x:c>
      <x:c r="J12" s="17" t="s">
        <x:v>95</x:v>
      </x:c>
      <x:c r="K12" s="17" t="s">
        <x:v>30</x:v>
      </x:c>
      <x:c r="L12" s="17" t="s">
        <x:v>58</x:v>
      </x:c>
      <x:c r="M12" s="17" t="s">
        <x:v>59</x:v>
      </x:c>
      <x:c r="N12" s="16" t="s">
        <x:v>96</x:v>
      </x:c>
      <x:c r="O12" s="18">
        <x:v>46249</x:v>
      </x:c>
      <x:c r="P12" s="19" t="s">
        <x:v>34</x:v>
      </x:c>
      <x:c r="Q12" s="17"/>
      <x:c r="R12" s="19" t="str">
        <x:f t="shared" si="0"/>
        <x:v>Discovery Link Only</x:v>
      </x:c>
      <x:c r="S12" s="43" t="str">
        <x:v>Unknown</x:v>
      </x:c>
      <x:c r="T12" s="43" t="str">
        <x:v>Unknown</x:v>
      </x:c>
      <x:c r="U12" s="43" t="str">
        <x:v>Unknown</x:v>
      </x:c>
      <x:c r="V12" s="43" t="str">
        <x:v>Unknown</x:v>
      </x:c>
      <x:c r="W12" s="43" t="str">
        <x:v>Unknown</x:v>
      </x:c>
      <x:c r="X12" s="43" t="str">
        <x:v>Unknown</x:v>
      </x:c>
      <x:c r="Y12" s="43" t="str">
        <x:v>Unknown</x:v>
      </x:c>
      <x:c r="Z12" s="43"/>
      <x:c r="AA12" s="43" t="str">
        <x:v>Excluded</x:v>
      </x:c>
      <x:c r="AB12" s="43" t="str">
        <x:v>No qualifying evidence source recorded</x:v>
      </x:c>
      <x:c r="AC12" s="43" t="str">
        <x:v>Excluded from Maya's elderly recommendation results because no source-backed elderly accessibility feature is recorded in the reviewed data. This does not mean the attraction is inaccessible.</x:v>
      </x:c>
      <x:c r="AD12" s="43" t="str">
        <x:v>2026-08-16</x:v>
      </x:c>
    </x:row>
    <x:row r="13" ht="60" customHeight="1">
      <x:c r="A13" s="16" t="s">
        <x:v>97</x:v>
      </x:c>
      <x:c r="B13" s="16" t="s">
        <x:v>98</x:v>
      </x:c>
      <x:c r="C13" s="16" t="s">
        <x:v>22</x:v>
      </x:c>
      <x:c r="D13" s="16" t="s">
        <x:v>23</x:v>
      </x:c>
      <x:c r="E13" s="16" t="s">
        <x:v>99</x:v>
      </x:c>
      <x:c r="F13" s="16" t="s">
        <x:v>25</x:v>
      </x:c>
      <x:c r="G13" s="16" t="s">
        <x:v>46</x:v>
      </x:c>
      <x:c r="H13" s="17" t="s">
        <x:v>100</x:v>
      </x:c>
      <x:c r="I13" s="17" t="s">
        <x:v>101</x:v>
      </x:c>
      <x:c r="J13" s="17" t="s">
        <x:v>102</x:v>
      </x:c>
      <x:c r="K13" s="17" t="s">
        <x:v>30</x:v>
      </x:c>
      <x:c r="L13" s="17" t="s">
        <x:v>58</x:v>
      </x:c>
      <x:c r="M13" s="17" t="s">
        <x:v>59</x:v>
      </x:c>
      <x:c r="N13" s="16" t="s">
        <x:v>103</x:v>
      </x:c>
      <x:c r="O13" s="18">
        <x:v>46249</x:v>
      </x:c>
      <x:c r="P13" s="19" t="s">
        <x:v>34</x:v>
      </x:c>
      <x:c r="Q13" s="17"/>
      <x:c r="R13" s="19" t="str">
        <x:f t="shared" si="0"/>
        <x:v>Discovery Link Only</x:v>
      </x:c>
      <x:c r="S13" s="43" t="str">
        <x:v>Unknown</x:v>
      </x:c>
      <x:c r="T13" s="43" t="str">
        <x:v>Unknown</x:v>
      </x:c>
      <x:c r="U13" s="43" t="str">
        <x:v>Unknown</x:v>
      </x:c>
      <x:c r="V13" s="43" t="str">
        <x:v>Unknown</x:v>
      </x:c>
      <x:c r="W13" s="43" t="str">
        <x:v>Unknown</x:v>
      </x:c>
      <x:c r="X13" s="43" t="str">
        <x:v>Unknown</x:v>
      </x:c>
      <x:c r="Y13" s="43" t="str">
        <x:v>Unknown</x:v>
      </x:c>
      <x:c r="Z13" s="43"/>
      <x:c r="AA13" s="43" t="str">
        <x:v>Excluded</x:v>
      </x:c>
      <x:c r="AB13" s="43" t="str">
        <x:v>No qualifying evidence source recorded</x:v>
      </x:c>
      <x:c r="AC13" s="43" t="str">
        <x:v>Excluded from Maya's elderly recommendation results because no source-backed elderly accessibility feature is recorded in the reviewed data. This does not mean the attraction is inaccessible.</x:v>
      </x:c>
      <x:c r="AD13" s="43" t="str">
        <x:v>2026-08-16</x:v>
      </x:c>
    </x:row>
    <x:row r="14" ht="60" customHeight="1">
      <x:c r="A14" s="16" t="s">
        <x:v>104</x:v>
      </x:c>
      <x:c r="B14" s="16" t="s">
        <x:v>105</x:v>
      </x:c>
      <x:c r="C14" s="16" t="s">
        <x:v>22</x:v>
      </x:c>
      <x:c r="D14" s="16" t="s">
        <x:v>23</x:v>
      </x:c>
      <x:c r="E14" s="16" t="s">
        <x:v>106</x:v>
      </x:c>
      <x:c r="F14" s="16" t="s">
        <x:v>107</x:v>
      </x:c>
      <x:c r="G14" s="16" t="s">
        <x:v>46</x:v>
      </x:c>
      <x:c r="H14" s="17" t="s">
        <x:v>108</x:v>
      </x:c>
      <x:c r="I14" s="17" t="s">
        <x:v>109</x:v>
      </x:c>
      <x:c r="J14" s="17" t="s">
        <x:v>110</x:v>
      </x:c>
      <x:c r="K14" s="17" t="s">
        <x:v>30</x:v>
      </x:c>
      <x:c r="L14" s="17" t="s">
        <x:v>111</x:v>
      </x:c>
      <x:c r="M14" s="17" t="s">
        <x:v>112</x:v>
      </x:c>
      <x:c r="N14" s="16"/>
      <x:c r="O14" s="18">
        <x:v>46249</x:v>
      </x:c>
      <x:c r="P14" s="19" t="s">
        <x:v>34</x:v>
      </x:c>
      <x:c r="Q14" s="17"/>
      <x:c r="R14" s="19" t="str">
        <x:f t="shared" si="0"/>
        <x:v>Discovery Link Only</x:v>
      </x:c>
      <x:c r="S14" s="43" t="str">
        <x:v>Unknown</x:v>
      </x:c>
      <x:c r="T14" s="43" t="str">
        <x:v>Unknown</x:v>
      </x:c>
      <x:c r="U14" s="43" t="str">
        <x:v>Unknown</x:v>
      </x:c>
      <x:c r="V14" s="43" t="str">
        <x:v>Unknown</x:v>
      </x:c>
      <x:c r="W14" s="43" t="str">
        <x:v>Unknown</x:v>
      </x:c>
      <x:c r="X14" s="43" t="str">
        <x:v>Unknown</x:v>
      </x:c>
      <x:c r="Y14" s="43" t="str">
        <x:v>Unknown</x:v>
      </x:c>
      <x:c r="Z14" s="43"/>
      <x:c r="AA14" s="43" t="str">
        <x:v>Excluded</x:v>
      </x:c>
      <x:c r="AB14" s="43" t="str">
        <x:v>No qualifying evidence source recorded</x:v>
      </x:c>
      <x:c r="AC14" s="43" t="str">
        <x:v>Excluded from Maya's elderly recommendation results because no source-backed elderly accessibility feature is recorded in the reviewed data. This does not mean the attraction is inaccessible.</x:v>
      </x:c>
      <x:c r="AD14" s="43" t="str">
        <x:v>2026-08-16</x:v>
      </x:c>
    </x:row>
    <x:row r="15" ht="60" customHeight="1">
      <x:c r="A15" s="16" t="s">
        <x:v>113</x:v>
      </x:c>
      <x:c r="B15" s="16" t="s">
        <x:v>114</x:v>
      </x:c>
      <x:c r="C15" s="16" t="s">
        <x:v>22</x:v>
      </x:c>
      <x:c r="D15" s="16" t="s">
        <x:v>23</x:v>
      </x:c>
      <x:c r="E15" s="16" t="s">
        <x:v>115</x:v>
      </x:c>
      <x:c r="F15" s="16" t="s">
        <x:v>107</x:v>
      </x:c>
      <x:c r="G15" s="16" t="s">
        <x:v>46</x:v>
      </x:c>
      <x:c r="H15" s="17" t="s">
        <x:v>116</x:v>
      </x:c>
      <x:c r="I15" s="17" t="s">
        <x:v>117</x:v>
      </x:c>
      <x:c r="J15" s="17" t="s">
        <x:v>118</x:v>
      </x:c>
      <x:c r="K15" s="17" t="s">
        <x:v>30</x:v>
      </x:c>
      <x:c r="L15" s="17" t="s">
        <x:v>111</x:v>
      </x:c>
      <x:c r="M15" s="17" t="s">
        <x:v>112</x:v>
      </x:c>
      <x:c r="N15" s="16"/>
      <x:c r="O15" s="18">
        <x:v>46249</x:v>
      </x:c>
      <x:c r="P15" s="19" t="s">
        <x:v>34</x:v>
      </x:c>
      <x:c r="Q15" s="17"/>
      <x:c r="R15" s="19" t="str">
        <x:f t="shared" si="0"/>
        <x:v>Discovery Link Only</x:v>
      </x:c>
      <x:c r="S15" s="43" t="str">
        <x:v>Unknown</x:v>
      </x:c>
      <x:c r="T15" s="43" t="str">
        <x:v>Unknown</x:v>
      </x:c>
      <x:c r="U15" s="43" t="str">
        <x:v>Unknown</x:v>
      </x:c>
      <x:c r="V15" s="43" t="str">
        <x:v>Unknown</x:v>
      </x:c>
      <x:c r="W15" s="43" t="str">
        <x:v>Unknown</x:v>
      </x:c>
      <x:c r="X15" s="43" t="str">
        <x:v>Unknown</x:v>
      </x:c>
      <x:c r="Y15" s="43" t="str">
        <x:v>Unknown</x:v>
      </x:c>
      <x:c r="Z15" s="43"/>
      <x:c r="AA15" s="43" t="str">
        <x:v>Excluded</x:v>
      </x:c>
      <x:c r="AB15" s="43" t="str">
        <x:v>No qualifying evidence source recorded</x:v>
      </x:c>
      <x:c r="AC15" s="43" t="str">
        <x:v>Excluded from Maya's elderly recommendation results because no source-backed elderly accessibility feature is recorded in the reviewed data. This does not mean the attraction is inaccessible.</x:v>
      </x:c>
      <x:c r="AD15" s="43" t="str">
        <x:v>2026-08-16</x:v>
      </x:c>
    </x:row>
    <x:row r="16" ht="60" customHeight="1">
      <x:c r="A16" s="16" t="s">
        <x:v>119</x:v>
      </x:c>
      <x:c r="B16" s="16" t="s">
        <x:v>120</x:v>
      </x:c>
      <x:c r="C16" s="16" t="s">
        <x:v>22</x:v>
      </x:c>
      <x:c r="D16" s="16" t="s">
        <x:v>23</x:v>
      </x:c>
      <x:c r="E16" s="16" t="s">
        <x:v>115</x:v>
      </x:c>
      <x:c r="F16" s="16" t="s">
        <x:v>121</x:v>
      </x:c>
      <x:c r="G16" s="16" t="s">
        <x:v>46</x:v>
      </x:c>
      <x:c r="H16" s="17" t="s">
        <x:v>122</x:v>
      </x:c>
      <x:c r="I16" s="17" t="s">
        <x:v>123</x:v>
      </x:c>
      <x:c r="J16" s="17" t="s">
        <x:v>124</x:v>
      </x:c>
      <x:c r="K16" s="17" t="s">
        <x:v>30</x:v>
      </x:c>
      <x:c r="L16" s="17" t="s">
        <x:v>111</x:v>
      </x:c>
      <x:c r="M16" s="17" t="s">
        <x:v>112</x:v>
      </x:c>
      <x:c r="N16" s="16"/>
      <x:c r="O16" s="18">
        <x:v>46249</x:v>
      </x:c>
      <x:c r="P16" s="19" t="s">
        <x:v>34</x:v>
      </x:c>
      <x:c r="Q16" s="17"/>
      <x:c r="R16" s="19" t="str">
        <x:f t="shared" si="0"/>
        <x:v>Discovery Link Only</x:v>
      </x:c>
      <x:c r="S16" s="43" t="str">
        <x:v>Unknown</x:v>
      </x:c>
      <x:c r="T16" s="43" t="str">
        <x:v>Unknown</x:v>
      </x:c>
      <x:c r="U16" s="43" t="str">
        <x:v>Unknown</x:v>
      </x:c>
      <x:c r="V16" s="43" t="str">
        <x:v>Unknown</x:v>
      </x:c>
      <x:c r="W16" s="43" t="str">
        <x:v>Unknown</x:v>
      </x:c>
      <x:c r="X16" s="43" t="str">
        <x:v>Unknown</x:v>
      </x:c>
      <x:c r="Y16" s="43" t="str">
        <x:v>Unknown</x:v>
      </x:c>
      <x:c r="Z16" s="43"/>
      <x:c r="AA16" s="43" t="str">
        <x:v>Excluded</x:v>
      </x:c>
      <x:c r="AB16" s="43" t="str">
        <x:v>No qualifying evidence source recorded</x:v>
      </x:c>
      <x:c r="AC16" s="43" t="str">
        <x:v>Excluded from Maya's elderly recommendation results because no source-backed elderly accessibility feature is recorded in the reviewed data. This does not mean the attraction is inaccessible.</x:v>
      </x:c>
      <x:c r="AD16" s="43" t="str">
        <x:v>2026-08-16</x:v>
      </x:c>
    </x:row>
    <x:row r="17" ht="60" customHeight="1">
      <x:c r="A17" s="16" t="s">
        <x:v>125</x:v>
      </x:c>
      <x:c r="B17" s="16" t="s">
        <x:v>126</x:v>
      </x:c>
      <x:c r="C17" s="16" t="s">
        <x:v>22</x:v>
      </x:c>
      <x:c r="D17" s="16" t="s">
        <x:v>23</x:v>
      </x:c>
      <x:c r="E17" s="16" t="s">
        <x:v>106</x:v>
      </x:c>
      <x:c r="F17" s="16" t="s">
        <x:v>127</x:v>
      </x:c>
      <x:c r="G17" s="16" t="s">
        <x:v>46</x:v>
      </x:c>
      <x:c r="H17" s="17" t="s">
        <x:v>128</x:v>
      </x:c>
      <x:c r="I17" s="17" t="s">
        <x:v>129</x:v>
      </x:c>
      <x:c r="J17" s="17" t="s">
        <x:v>130</x:v>
      </x:c>
      <x:c r="K17" s="17" t="s">
        <x:v>30</x:v>
      </x:c>
      <x:c r="L17" s="17" t="s">
        <x:v>111</x:v>
      </x:c>
      <x:c r="M17" s="17" t="s">
        <x:v>112</x:v>
      </x:c>
      <x:c r="N17" s="16"/>
      <x:c r="O17" s="18">
        <x:v>46249</x:v>
      </x:c>
      <x:c r="P17" s="19" t="s">
        <x:v>34</x:v>
      </x:c>
      <x:c r="Q17" s="17"/>
      <x:c r="R17" s="19" t="str">
        <x:f t="shared" si="0"/>
        <x:v>Discovery Link Only</x:v>
      </x:c>
      <x:c r="S17" s="43" t="str">
        <x:v>Unknown</x:v>
      </x:c>
      <x:c r="T17" s="43" t="str">
        <x:v>Unknown</x:v>
      </x:c>
      <x:c r="U17" s="43" t="str">
        <x:v>Unknown</x:v>
      </x:c>
      <x:c r="V17" s="43" t="str">
        <x:v>Unknown</x:v>
      </x:c>
      <x:c r="W17" s="43" t="str">
        <x:v>Unknown</x:v>
      </x:c>
      <x:c r="X17" s="43" t="str">
        <x:v>Unknown</x:v>
      </x:c>
      <x:c r="Y17" s="43" t="str">
        <x:v>Unknown</x:v>
      </x:c>
      <x:c r="Z17" s="43"/>
      <x:c r="AA17" s="43" t="str">
        <x:v>Excluded</x:v>
      </x:c>
      <x:c r="AB17" s="43" t="str">
        <x:v>No qualifying evidence source recorded</x:v>
      </x:c>
      <x:c r="AC17" s="43" t="str">
        <x:v>Excluded from Maya's elderly recommendation results because no source-backed elderly accessibility feature is recorded in the reviewed data. This does not mean the attraction is inaccessible.</x:v>
      </x:c>
      <x:c r="AD17" s="43" t="str">
        <x:v>2026-08-16</x:v>
      </x:c>
    </x:row>
    <x:row r="18" ht="60" customHeight="1">
      <x:c r="A18" s="16" t="s">
        <x:v>131</x:v>
      </x:c>
      <x:c r="B18" s="16" t="s">
        <x:v>132</x:v>
      </x:c>
      <x:c r="C18" s="16" t="s">
        <x:v>22</x:v>
      </x:c>
      <x:c r="D18" s="16" t="s">
        <x:v>23</x:v>
      </x:c>
      <x:c r="E18" s="16" t="s">
        <x:v>133</x:v>
      </x:c>
      <x:c r="F18" s="16" t="s">
        <x:v>107</x:v>
      </x:c>
      <x:c r="G18" s="16" t="s">
        <x:v>134</x:v>
      </x:c>
      <x:c r="H18" s="17" t="s">
        <x:v>135</x:v>
      </x:c>
      <x:c r="I18" s="17" t="s">
        <x:v>136</x:v>
      </x:c>
      <x:c r="J18" s="17" t="s">
        <x:v>137</x:v>
      </x:c>
      <x:c r="K18" s="17" t="s">
        <x:v>30</x:v>
      </x:c>
      <x:c r="L18" s="17" t="s">
        <x:v>111</x:v>
      </x:c>
      <x:c r="M18" s="17" t="s">
        <x:v>112</x:v>
      </x:c>
      <x:c r="N18" s="16"/>
      <x:c r="O18" s="18">
        <x:v>46249</x:v>
      </x:c>
      <x:c r="P18" s="19" t="s">
        <x:v>34</x:v>
      </x:c>
      <x:c r="Q18" s="17"/>
      <x:c r="R18" s="19" t="str">
        <x:f t="shared" si="0"/>
        <x:v>Discovery Link Only</x:v>
      </x:c>
      <x:c r="S18" s="43" t="str">
        <x:v>Unknown</x:v>
      </x:c>
      <x:c r="T18" s="43" t="str">
        <x:v>Unknown</x:v>
      </x:c>
      <x:c r="U18" s="43" t="str">
        <x:v>Unknown</x:v>
      </x:c>
      <x:c r="V18" s="43" t="str">
        <x:v>Unknown</x:v>
      </x:c>
      <x:c r="W18" s="43" t="str">
        <x:v>Unknown</x:v>
      </x:c>
      <x:c r="X18" s="43" t="str">
        <x:v>Unknown</x:v>
      </x:c>
      <x:c r="Y18" s="43" t="str">
        <x:v>Unknown</x:v>
      </x:c>
      <x:c r="Z18" s="43"/>
      <x:c r="AA18" s="43" t="str">
        <x:v>Excluded</x:v>
      </x:c>
      <x:c r="AB18" s="43" t="str">
        <x:v>No qualifying evidence source recorded</x:v>
      </x:c>
      <x:c r="AC18" s="43" t="str">
        <x:v>Excluded from Maya's elderly recommendation results because no source-backed elderly accessibility feature is recorded in the reviewed data. This does not mean the attraction is inaccessible.</x:v>
      </x:c>
      <x:c r="AD18" s="43" t="str">
        <x:v>2026-08-16</x:v>
      </x:c>
    </x:row>
    <x:row r="19" ht="60" customHeight="1">
      <x:c r="A19" s="16" t="s">
        <x:v>138</x:v>
      </x:c>
      <x:c r="B19" s="16" t="s">
        <x:v>139</x:v>
      </x:c>
      <x:c r="C19" s="16" t="s">
        <x:v>22</x:v>
      </x:c>
      <x:c r="D19" s="16" t="s">
        <x:v>53</x:v>
      </x:c>
      <x:c r="E19" s="16" t="s">
        <x:v>140</x:v>
      </x:c>
      <x:c r="F19" s="16" t="s">
        <x:v>107</x:v>
      </x:c>
      <x:c r="G19" s="16" t="s">
        <x:v>46</x:v>
      </x:c>
      <x:c r="H19" s="17" t="s">
        <x:v>141</x:v>
      </x:c>
      <x:c r="I19" s="17" t="s">
        <x:v>142</x:v>
      </x:c>
      <x:c r="J19" s="17" t="s">
        <x:v>143</x:v>
      </x:c>
      <x:c r="K19" s="17" t="s">
        <x:v>30</x:v>
      </x:c>
      <x:c r="L19" s="17" t="s">
        <x:v>111</x:v>
      </x:c>
      <x:c r="M19" s="17" t="s">
        <x:v>112</x:v>
      </x:c>
      <x:c r="N19" s="16"/>
      <x:c r="O19" s="18">
        <x:v>46249</x:v>
      </x:c>
      <x:c r="P19" s="19" t="s">
        <x:v>34</x:v>
      </x:c>
      <x:c r="Q19" s="17"/>
      <x:c r="R19" s="19" t="str">
        <x:f t="shared" si="0"/>
        <x:v>Discovery Link Only</x:v>
      </x:c>
      <x:c r="S19" s="43" t="str">
        <x:v>Unknown</x:v>
      </x:c>
      <x:c r="T19" s="43" t="str">
        <x:v>Unknown</x:v>
      </x:c>
      <x:c r="U19" s="43" t="str">
        <x:v>Unknown</x:v>
      </x:c>
      <x:c r="V19" s="43" t="str">
        <x:v>Unknown</x:v>
      </x:c>
      <x:c r="W19" s="43" t="str">
        <x:v>Unknown</x:v>
      </x:c>
      <x:c r="X19" s="43" t="str">
        <x:v>Unknown</x:v>
      </x:c>
      <x:c r="Y19" s="43" t="str">
        <x:v>Unknown</x:v>
      </x:c>
      <x:c r="Z19" s="43"/>
      <x:c r="AA19" s="43" t="str">
        <x:v>Excluded</x:v>
      </x:c>
      <x:c r="AB19" s="43" t="str">
        <x:v>No qualifying evidence source recorded</x:v>
      </x:c>
      <x:c r="AC19" s="43" t="str">
        <x:v>Excluded from Maya's elderly recommendation results because no source-backed elderly accessibility feature is recorded in the reviewed data. This does not mean the attraction is inaccessible.</x:v>
      </x:c>
      <x:c r="AD19" s="43" t="str">
        <x:v>2026-08-16</x:v>
      </x:c>
    </x:row>
    <x:row r="20" ht="60" customHeight="1">
      <x:c r="A20" s="16" t="s">
        <x:v>144</x:v>
      </x:c>
      <x:c r="B20" s="16" t="s">
        <x:v>145</x:v>
      </x:c>
      <x:c r="C20" s="16" t="s">
        <x:v>22</x:v>
      </x:c>
      <x:c r="D20" s="16" t="s">
        <x:v>53</x:v>
      </x:c>
      <x:c r="E20" s="16" t="s">
        <x:v>140</x:v>
      </x:c>
      <x:c r="F20" s="16" t="s">
        <x:v>121</x:v>
      </x:c>
      <x:c r="G20" s="16" t="s">
        <x:v>46</x:v>
      </x:c>
      <x:c r="H20" s="17" t="s">
        <x:v>146</x:v>
      </x:c>
      <x:c r="I20" s="17" t="s">
        <x:v>147</x:v>
      </x:c>
      <x:c r="J20" s="17" t="s">
        <x:v>148</x:v>
      </x:c>
      <x:c r="K20" s="17" t="s">
        <x:v>30</x:v>
      </x:c>
      <x:c r="L20" s="17" t="s">
        <x:v>111</x:v>
      </x:c>
      <x:c r="M20" s="17" t="s">
        <x:v>112</x:v>
      </x:c>
      <x:c r="N20" s="16"/>
      <x:c r="O20" s="18">
        <x:v>46249</x:v>
      </x:c>
      <x:c r="P20" s="19" t="s">
        <x:v>34</x:v>
      </x:c>
      <x:c r="Q20" s="17"/>
      <x:c r="R20" s="19" t="str">
        <x:f t="shared" si="0"/>
        <x:v>Discovery Link Only</x:v>
      </x:c>
      <x:c r="S20" s="43" t="str">
        <x:v>Unknown</x:v>
      </x:c>
      <x:c r="T20" s="43" t="str">
        <x:v>Unknown</x:v>
      </x:c>
      <x:c r="U20" s="43" t="str">
        <x:v>Unknown</x:v>
      </x:c>
      <x:c r="V20" s="43" t="str">
        <x:v>Unknown</x:v>
      </x:c>
      <x:c r="W20" s="43" t="str">
        <x:v>Unknown</x:v>
      </x:c>
      <x:c r="X20" s="43" t="str">
        <x:v>Unknown</x:v>
      </x:c>
      <x:c r="Y20" s="43" t="str">
        <x:v>Unknown</x:v>
      </x:c>
      <x:c r="Z20" s="43"/>
      <x:c r="AA20" s="43" t="str">
        <x:v>Excluded</x:v>
      </x:c>
      <x:c r="AB20" s="43" t="str">
        <x:v>No qualifying evidence source recorded</x:v>
      </x:c>
      <x:c r="AC20" s="43" t="str">
        <x:v>Excluded from Maya's elderly recommendation results because no source-backed elderly accessibility feature is recorded in the reviewed data. This does not mean the attraction is inaccessible.</x:v>
      </x:c>
      <x:c r="AD20" s="43" t="str">
        <x:v>2026-08-16</x:v>
      </x:c>
    </x:row>
    <x:row r="21" ht="60" customHeight="1">
      <x:c r="A21" s="16" t="s">
        <x:v>149</x:v>
      </x:c>
      <x:c r="B21" s="16" t="s">
        <x:v>150</x:v>
      </x:c>
      <x:c r="C21" s="16" t="s">
        <x:v>22</x:v>
      </x:c>
      <x:c r="D21" s="16" t="s">
        <x:v>86</x:v>
      </x:c>
      <x:c r="E21" s="16" t="s">
        <x:v>151</x:v>
      </x:c>
      <x:c r="F21" s="16" t="s">
        <x:v>107</x:v>
      </x:c>
      <x:c r="G21" s="16" t="s">
        <x:v>134</x:v>
      </x:c>
      <x:c r="H21" s="17" t="s">
        <x:v>152</x:v>
      </x:c>
      <x:c r="I21" s="17" t="s">
        <x:v>153</x:v>
      </x:c>
      <x:c r="J21" s="17" t="s">
        <x:v>154</x:v>
      </x:c>
      <x:c r="K21" s="17" t="s">
        <x:v>30</x:v>
      </x:c>
      <x:c r="L21" s="17" t="s">
        <x:v>111</x:v>
      </x:c>
      <x:c r="M21" s="17" t="s">
        <x:v>112</x:v>
      </x:c>
      <x:c r="N21" s="16"/>
      <x:c r="O21" s="18">
        <x:v>46249</x:v>
      </x:c>
      <x:c r="P21" s="19" t="s">
        <x:v>34</x:v>
      </x:c>
      <x:c r="Q21" s="17"/>
      <x:c r="R21" s="19" t="str">
        <x:f t="shared" si="0"/>
        <x:v>Discovery Link Only</x:v>
      </x:c>
      <x:c r="S21" s="43" t="str">
        <x:v>Unknown</x:v>
      </x:c>
      <x:c r="T21" s="43" t="str">
        <x:v>Unknown</x:v>
      </x:c>
      <x:c r="U21" s="43" t="str">
        <x:v>Unknown</x:v>
      </x:c>
      <x:c r="V21" s="43" t="str">
        <x:v>Unknown</x:v>
      </x:c>
      <x:c r="W21" s="43" t="str">
        <x:v>Unknown</x:v>
      </x:c>
      <x:c r="X21" s="43" t="str">
        <x:v>Unknown</x:v>
      </x:c>
      <x:c r="Y21" s="43" t="str">
        <x:v>Unknown</x:v>
      </x:c>
      <x:c r="Z21" s="43"/>
      <x:c r="AA21" s="43" t="str">
        <x:v>Excluded</x:v>
      </x:c>
      <x:c r="AB21" s="43" t="str">
        <x:v>No qualifying evidence source recorded</x:v>
      </x:c>
      <x:c r="AC21" s="43" t="str">
        <x:v>Excluded from Maya's elderly recommendation results because no source-backed elderly accessibility feature is recorded in the reviewed data. This does not mean the attraction is inaccessible.</x:v>
      </x:c>
      <x:c r="AD21" s="43" t="str">
        <x:v>2026-08-16</x:v>
      </x:c>
    </x:row>
    <x:row r="22" ht="60" customHeight="1">
      <x:c r="A22" s="16" t="s">
        <x:v>155</x:v>
      </x:c>
      <x:c r="B22" s="16" t="s">
        <x:v>156</x:v>
      </x:c>
      <x:c r="C22" s="16" t="s">
        <x:v>22</x:v>
      </x:c>
      <x:c r="D22" s="16" t="s">
        <x:v>71</x:v>
      </x:c>
      <x:c r="E22" s="16" t="s">
        <x:v>45</x:v>
      </x:c>
      <x:c r="F22" s="16" t="s">
        <x:v>107</x:v>
      </x:c>
      <x:c r="G22" s="16" t="s">
        <x:v>26</x:v>
      </x:c>
      <x:c r="H22" s="17" t="s">
        <x:v>157</x:v>
      </x:c>
      <x:c r="I22" s="17" t="s">
        <x:v>158</x:v>
      </x:c>
      <x:c r="J22" s="17" t="s">
        <x:v>159</x:v>
      </x:c>
      <x:c r="K22" s="17" t="s">
        <x:v>30</x:v>
      </x:c>
      <x:c r="L22" s="17" t="s">
        <x:v>111</x:v>
      </x:c>
      <x:c r="M22" s="17" t="s">
        <x:v>112</x:v>
      </x:c>
      <x:c r="N22" s="16"/>
      <x:c r="O22" s="18">
        <x:v>46249</x:v>
      </x:c>
      <x:c r="P22" s="19" t="s">
        <x:v>34</x:v>
      </x:c>
      <x:c r="Q22" s="17"/>
      <x:c r="R22" s="19" t="str">
        <x:f t="shared" si="0"/>
        <x:v>Discovery Link Only</x:v>
      </x:c>
      <x:c r="S22" s="43" t="str">
        <x:v>Unknown</x:v>
      </x:c>
      <x:c r="T22" s="43" t="str">
        <x:v>Unknown</x:v>
      </x:c>
      <x:c r="U22" s="43" t="str">
        <x:v>Unknown</x:v>
      </x:c>
      <x:c r="V22" s="43" t="str">
        <x:v>Unknown</x:v>
      </x:c>
      <x:c r="W22" s="43" t="str">
        <x:v>Unknown</x:v>
      </x:c>
      <x:c r="X22" s="43" t="str">
        <x:v>Unknown</x:v>
      </x:c>
      <x:c r="Y22" s="43" t="str">
        <x:v>Unknown</x:v>
      </x:c>
      <x:c r="Z22" s="43"/>
      <x:c r="AA22" s="43" t="str">
        <x:v>Excluded</x:v>
      </x:c>
      <x:c r="AB22" s="43" t="str">
        <x:v>No qualifying evidence source recorded</x:v>
      </x:c>
      <x:c r="AC22" s="43" t="str">
        <x:v>Excluded from Maya's elderly recommendation results because no source-backed elderly accessibility feature is recorded in the reviewed data. This does not mean the attraction is inaccessible.</x:v>
      </x:c>
      <x:c r="AD22" s="43" t="str">
        <x:v>2026-08-16</x:v>
      </x:c>
    </x:row>
    <x:row r="23" ht="60" customHeight="1">
      <x:c r="A23" s="16" t="s">
        <x:v>160</x:v>
      </x:c>
      <x:c r="B23" s="16" t="s">
        <x:v>161</x:v>
      </x:c>
      <x:c r="C23" s="16" t="s">
        <x:v>22</x:v>
      </x:c>
      <x:c r="D23" s="16" t="s">
        <x:v>71</x:v>
      </x:c>
      <x:c r="E23" s="16" t="s">
        <x:v>162</x:v>
      </x:c>
      <x:c r="F23" s="16" t="s">
        <x:v>121</x:v>
      </x:c>
      <x:c r="G23" s="16" t="s">
        <x:v>46</x:v>
      </x:c>
      <x:c r="H23" s="17" t="s">
        <x:v>163</x:v>
      </x:c>
      <x:c r="I23" s="17" t="s">
        <x:v>164</x:v>
      </x:c>
      <x:c r="J23" s="17" t="s">
        <x:v>165</x:v>
      </x:c>
      <x:c r="K23" s="17" t="s">
        <x:v>30</x:v>
      </x:c>
      <x:c r="L23" s="17" t="s">
        <x:v>111</x:v>
      </x:c>
      <x:c r="M23" s="17" t="s">
        <x:v>112</x:v>
      </x:c>
      <x:c r="N23" s="16"/>
      <x:c r="O23" s="18">
        <x:v>46249</x:v>
      </x:c>
      <x:c r="P23" s="19" t="s">
        <x:v>34</x:v>
      </x:c>
      <x:c r="Q23" s="17"/>
      <x:c r="R23" s="19" t="str">
        <x:f t="shared" si="0"/>
        <x:v>Discovery Link Only</x:v>
      </x:c>
      <x:c r="S23" s="43" t="str">
        <x:v>Unknown</x:v>
      </x:c>
      <x:c r="T23" s="43" t="str">
        <x:v>Unknown</x:v>
      </x:c>
      <x:c r="U23" s="43" t="str">
        <x:v>Unknown</x:v>
      </x:c>
      <x:c r="V23" s="43" t="str">
        <x:v>Unknown</x:v>
      </x:c>
      <x:c r="W23" s="43" t="str">
        <x:v>Unknown</x:v>
      </x:c>
      <x:c r="X23" s="43" t="str">
        <x:v>Unknown</x:v>
      </x:c>
      <x:c r="Y23" s="43" t="str">
        <x:v>Unknown</x:v>
      </x:c>
      <x:c r="Z23" s="43"/>
      <x:c r="AA23" s="43" t="str">
        <x:v>Excluded</x:v>
      </x:c>
      <x:c r="AB23" s="43" t="str">
        <x:v>No qualifying evidence source recorded</x:v>
      </x:c>
      <x:c r="AC23" s="43" t="str">
        <x:v>Excluded from Maya's elderly recommendation results because no source-backed elderly accessibility feature is recorded in the reviewed data. This does not mean the attraction is inaccessible.</x:v>
      </x:c>
      <x:c r="AD23" s="43" t="str">
        <x:v>2026-08-16</x:v>
      </x:c>
    </x:row>
    <x:row r="24" ht="60" customHeight="1">
      <x:c r="A24" s="16" t="s">
        <x:v>166</x:v>
      </x:c>
      <x:c r="B24" s="16" t="s">
        <x:v>167</x:v>
      </x:c>
      <x:c r="C24" s="16" t="s">
        <x:v>22</x:v>
      </x:c>
      <x:c r="D24" s="16" t="s">
        <x:v>71</x:v>
      </x:c>
      <x:c r="E24" s="16" t="s">
        <x:v>140</x:v>
      </x:c>
      <x:c r="F24" s="16" t="s">
        <x:v>121</x:v>
      </x:c>
      <x:c r="G24" s="16" t="s">
        <x:v>46</x:v>
      </x:c>
      <x:c r="H24" s="17" t="s">
        <x:v>168</x:v>
      </x:c>
      <x:c r="I24" s="17" t="s">
        <x:v>169</x:v>
      </x:c>
      <x:c r="J24" s="17" t="s">
        <x:v>170</x:v>
      </x:c>
      <x:c r="K24" s="17" t="s">
        <x:v>30</x:v>
      </x:c>
      <x:c r="L24" s="17" t="s">
        <x:v>111</x:v>
      </x:c>
      <x:c r="M24" s="17" t="s">
        <x:v>112</x:v>
      </x:c>
      <x:c r="N24" s="16"/>
      <x:c r="O24" s="18">
        <x:v>46249</x:v>
      </x:c>
      <x:c r="P24" s="19" t="s">
        <x:v>34</x:v>
      </x:c>
      <x:c r="Q24" s="17"/>
      <x:c r="R24" s="19" t="str">
        <x:f t="shared" si="0"/>
        <x:v>Discovery Link Only</x:v>
      </x:c>
      <x:c r="S24" s="43" t="str">
        <x:v>Unknown</x:v>
      </x:c>
      <x:c r="T24" s="43" t="str">
        <x:v>Unknown</x:v>
      </x:c>
      <x:c r="U24" s="43" t="str">
        <x:v>Unknown</x:v>
      </x:c>
      <x:c r="V24" s="43" t="str">
        <x:v>Unknown</x:v>
      </x:c>
      <x:c r="W24" s="43" t="str">
        <x:v>Unknown</x:v>
      </x:c>
      <x:c r="X24" s="43" t="str">
        <x:v>Unknown</x:v>
      </x:c>
      <x:c r="Y24" s="43" t="str">
        <x:v>Unknown</x:v>
      </x:c>
      <x:c r="Z24" s="43"/>
      <x:c r="AA24" s="43" t="str">
        <x:v>Excluded</x:v>
      </x:c>
      <x:c r="AB24" s="43" t="str">
        <x:v>No qualifying evidence source recorded</x:v>
      </x:c>
      <x:c r="AC24" s="43" t="str">
        <x:v>Excluded from Maya's elderly recommendation results because no source-backed elderly accessibility feature is recorded in the reviewed data. This does not mean the attraction is inaccessible.</x:v>
      </x:c>
      <x:c r="AD24" s="43" t="str">
        <x:v>2026-08-16</x:v>
      </x:c>
    </x:row>
    <x:row r="25" ht="60" customHeight="1">
      <x:c r="A25" s="16" t="s">
        <x:v>171</x:v>
      </x:c>
      <x:c r="B25" s="16" t="s">
        <x:v>172</x:v>
      </x:c>
      <x:c r="C25" s="16" t="s">
        <x:v>22</x:v>
      </x:c>
      <x:c r="D25" s="16" t="s">
        <x:v>173</x:v>
      </x:c>
      <x:c r="E25" s="16" t="s">
        <x:v>72</x:v>
      </x:c>
      <x:c r="F25" s="16" t="s">
        <x:v>107</x:v>
      </x:c>
      <x:c r="G25" s="16" t="s">
        <x:v>26</x:v>
      </x:c>
      <x:c r="H25" s="17" t="s">
        <x:v>174</x:v>
      </x:c>
      <x:c r="I25" s="17" t="s">
        <x:v>175</x:v>
      </x:c>
      <x:c r="J25" s="17" t="s">
        <x:v>176</x:v>
      </x:c>
      <x:c r="K25" s="17" t="s">
        <x:v>30</x:v>
      </x:c>
      <x:c r="L25" s="17" t="s">
        <x:v>111</x:v>
      </x:c>
      <x:c r="M25" s="17" t="s">
        <x:v>112</x:v>
      </x:c>
      <x:c r="N25" s="16"/>
      <x:c r="O25" s="18">
        <x:v>46249</x:v>
      </x:c>
      <x:c r="P25" s="19" t="s">
        <x:v>34</x:v>
      </x:c>
      <x:c r="Q25" s="17"/>
      <x:c r="R25" s="19" t="str">
        <x:f t="shared" si="0"/>
        <x:v>Discovery Link Only</x:v>
      </x:c>
      <x:c r="S25" s="43" t="str">
        <x:v>Unknown</x:v>
      </x:c>
      <x:c r="T25" s="43" t="str">
        <x:v>Unknown</x:v>
      </x:c>
      <x:c r="U25" s="43" t="str">
        <x:v>Unknown</x:v>
      </x:c>
      <x:c r="V25" s="43" t="str">
        <x:v>Unknown</x:v>
      </x:c>
      <x:c r="W25" s="43" t="str">
        <x:v>Unknown</x:v>
      </x:c>
      <x:c r="X25" s="43" t="str">
        <x:v>Unknown</x:v>
      </x:c>
      <x:c r="Y25" s="43" t="str">
        <x:v>Unknown</x:v>
      </x:c>
      <x:c r="Z25" s="43"/>
      <x:c r="AA25" s="43" t="str">
        <x:v>Excluded</x:v>
      </x:c>
      <x:c r="AB25" s="43" t="str">
        <x:v>No qualifying evidence source recorded</x:v>
      </x:c>
      <x:c r="AC25" s="43" t="str">
        <x:v>Excluded from Maya's elderly recommendation results because no source-backed elderly accessibility feature is recorded in the reviewed data. This does not mean the attraction is inaccessible.</x:v>
      </x:c>
      <x:c r="AD25" s="43" t="str">
        <x:v>2026-08-16</x:v>
      </x:c>
    </x:row>
    <x:row r="26" ht="60" customHeight="1">
      <x:c r="A26" s="16" t="s">
        <x:v>177</x:v>
      </x:c>
      <x:c r="B26" s="16" t="s">
        <x:v>178</x:v>
      </x:c>
      <x:c r="C26" s="16" t="s">
        <x:v>22</x:v>
      </x:c>
      <x:c r="D26" s="16" t="s">
        <x:v>173</x:v>
      </x:c>
      <x:c r="E26" s="16" t="s">
        <x:v>72</x:v>
      </x:c>
      <x:c r="F26" s="16" t="s">
        <x:v>127</x:v>
      </x:c>
      <x:c r="G26" s="16" t="s">
        <x:v>26</x:v>
      </x:c>
      <x:c r="H26" s="17" t="s">
        <x:v>179</x:v>
      </x:c>
      <x:c r="I26" s="17" t="s">
        <x:v>180</x:v>
      </x:c>
      <x:c r="J26" s="17" t="s">
        <x:v>181</x:v>
      </x:c>
      <x:c r="K26" s="17" t="s">
        <x:v>30</x:v>
      </x:c>
      <x:c r="L26" s="17" t="s">
        <x:v>111</x:v>
      </x:c>
      <x:c r="M26" s="17" t="s">
        <x:v>112</x:v>
      </x:c>
      <x:c r="N26" s="16"/>
      <x:c r="O26" s="18">
        <x:v>46249</x:v>
      </x:c>
      <x:c r="P26" s="19" t="s">
        <x:v>34</x:v>
      </x:c>
      <x:c r="Q26" s="17"/>
      <x:c r="R26" s="19" t="str">
        <x:f t="shared" si="0"/>
        <x:v>Discovery Link Only</x:v>
      </x:c>
      <x:c r="S26" s="43" t="str">
        <x:v>Unknown</x:v>
      </x:c>
      <x:c r="T26" s="43" t="str">
        <x:v>Unknown</x:v>
      </x:c>
      <x:c r="U26" s="43" t="str">
        <x:v>Unknown</x:v>
      </x:c>
      <x:c r="V26" s="43" t="str">
        <x:v>Unknown</x:v>
      </x:c>
      <x:c r="W26" s="43" t="str">
        <x:v>Unknown</x:v>
      </x:c>
      <x:c r="X26" s="43" t="str">
        <x:v>Unknown</x:v>
      </x:c>
      <x:c r="Y26" s="43" t="str">
        <x:v>Unknown</x:v>
      </x:c>
      <x:c r="Z26" s="43"/>
      <x:c r="AA26" s="43" t="str">
        <x:v>Excluded</x:v>
      </x:c>
      <x:c r="AB26" s="43" t="str">
        <x:v>No qualifying evidence source recorded</x:v>
      </x:c>
      <x:c r="AC26" s="43" t="str">
        <x:v>Excluded from Maya's elderly recommendation results because no source-backed elderly accessibility feature is recorded in the reviewed data. This does not mean the attraction is inaccessible.</x:v>
      </x:c>
      <x:c r="AD26" s="43" t="str">
        <x:v>2026-08-16</x:v>
      </x:c>
    </x:row>
    <x:row r="27" ht="60" customHeight="1">
      <x:c r="A27" s="16" t="s">
        <x:v>182</x:v>
      </x:c>
      <x:c r="B27" s="16" t="s">
        <x:v>183</x:v>
      </x:c>
      <x:c r="C27" s="16" t="s">
        <x:v>22</x:v>
      </x:c>
      <x:c r="D27" s="16" t="s">
        <x:v>173</x:v>
      </x:c>
      <x:c r="E27" s="16" t="s">
        <x:v>72</x:v>
      </x:c>
      <x:c r="F27" s="16" t="s">
        <x:v>127</x:v>
      </x:c>
      <x:c r="G27" s="16" t="s">
        <x:v>26</x:v>
      </x:c>
      <x:c r="H27" s="17" t="s">
        <x:v>184</x:v>
      </x:c>
      <x:c r="I27" s="17" t="s">
        <x:v>185</x:v>
      </x:c>
      <x:c r="J27" s="17" t="s">
        <x:v>186</x:v>
      </x:c>
      <x:c r="K27" s="17" t="s">
        <x:v>30</x:v>
      </x:c>
      <x:c r="L27" s="17" t="s">
        <x:v>111</x:v>
      </x:c>
      <x:c r="M27" s="17" t="s">
        <x:v>112</x:v>
      </x:c>
      <x:c r="N27" s="16"/>
      <x:c r="O27" s="18">
        <x:v>46249</x:v>
      </x:c>
      <x:c r="P27" s="19" t="s">
        <x:v>34</x:v>
      </x:c>
      <x:c r="Q27" s="17"/>
      <x:c r="R27" s="19" t="str">
        <x:f t="shared" si="0"/>
        <x:v>Discovery Link Only</x:v>
      </x:c>
      <x:c r="S27" s="43" t="str">
        <x:v>Unknown</x:v>
      </x:c>
      <x:c r="T27" s="43" t="str">
        <x:v>Unknown</x:v>
      </x:c>
      <x:c r="U27" s="43" t="str">
        <x:v>Unknown</x:v>
      </x:c>
      <x:c r="V27" s="43" t="str">
        <x:v>Unknown</x:v>
      </x:c>
      <x:c r="W27" s="43" t="str">
        <x:v>Unknown</x:v>
      </x:c>
      <x:c r="X27" s="43" t="str">
        <x:v>Unknown</x:v>
      </x:c>
      <x:c r="Y27" s="43" t="str">
        <x:v>Unknown</x:v>
      </x:c>
      <x:c r="Z27" s="43"/>
      <x:c r="AA27" s="43" t="str">
        <x:v>Excluded</x:v>
      </x:c>
      <x:c r="AB27" s="43" t="str">
        <x:v>No qualifying evidence source recorded</x:v>
      </x:c>
      <x:c r="AC27" s="43" t="str">
        <x:v>Excluded from Maya's elderly recommendation results because no source-backed elderly accessibility feature is recorded in the reviewed data. This does not mean the attraction is inaccessible.</x:v>
      </x:c>
      <x:c r="AD27" s="43" t="str">
        <x:v>2026-08-16</x:v>
      </x:c>
    </x:row>
    <x:row r="28" ht="60" customHeight="1">
      <x:c r="A28" s="16" t="s">
        <x:v>187</x:v>
      </x:c>
      <x:c r="B28" s="16" t="s">
        <x:v>188</x:v>
      </x:c>
      <x:c r="C28" s="16" t="s">
        <x:v>22</x:v>
      </x:c>
      <x:c r="D28" s="16" t="s">
        <x:v>173</x:v>
      </x:c>
      <x:c r="E28" s="16" t="s">
        <x:v>72</x:v>
      </x:c>
      <x:c r="F28" s="16" t="s">
        <x:v>121</x:v>
      </x:c>
      <x:c r="G28" s="16" t="s">
        <x:v>26</x:v>
      </x:c>
      <x:c r="H28" s="17" t="s">
        <x:v>189</x:v>
      </x:c>
      <x:c r="I28" s="17" t="s">
        <x:v>190</x:v>
      </x:c>
      <x:c r="J28" s="17" t="s">
        <x:v>191</x:v>
      </x:c>
      <x:c r="K28" s="17" t="s">
        <x:v>30</x:v>
      </x:c>
      <x:c r="L28" s="17" t="s">
        <x:v>111</x:v>
      </x:c>
      <x:c r="M28" s="17" t="s">
        <x:v>112</x:v>
      </x:c>
      <x:c r="N28" s="16"/>
      <x:c r="O28" s="18">
        <x:v>46249</x:v>
      </x:c>
      <x:c r="P28" s="19" t="s">
        <x:v>34</x:v>
      </x:c>
      <x:c r="Q28" s="17"/>
      <x:c r="R28" s="19" t="str">
        <x:f t="shared" si="0"/>
        <x:v>Discovery Link Only</x:v>
      </x:c>
      <x:c r="S28" s="43" t="str">
        <x:v>Unknown</x:v>
      </x:c>
      <x:c r="T28" s="43" t="str">
        <x:v>Unknown</x:v>
      </x:c>
      <x:c r="U28" s="43" t="str">
        <x:v>Unknown</x:v>
      </x:c>
      <x:c r="V28" s="43" t="str">
        <x:v>Unknown</x:v>
      </x:c>
      <x:c r="W28" s="43" t="str">
        <x:v>Unknown</x:v>
      </x:c>
      <x:c r="X28" s="43" t="str">
        <x:v>Unknown</x:v>
      </x:c>
      <x:c r="Y28" s="43" t="str">
        <x:v>Unknown</x:v>
      </x:c>
      <x:c r="Z28" s="43"/>
      <x:c r="AA28" s="43" t="str">
        <x:v>Excluded</x:v>
      </x:c>
      <x:c r="AB28" s="43" t="str">
        <x:v>No qualifying evidence source recorded</x:v>
      </x:c>
      <x:c r="AC28" s="43" t="str">
        <x:v>Excluded from Maya's elderly recommendation results because no source-backed elderly accessibility feature is recorded in the reviewed data. This does not mean the attraction is inaccessible.</x:v>
      </x:c>
      <x:c r="AD28" s="43" t="str">
        <x:v>2026-08-16</x:v>
      </x:c>
    </x:row>
    <x:row r="29" ht="60" customHeight="1">
      <x:c r="A29" s="16" t="s">
        <x:v>192</x:v>
      </x:c>
      <x:c r="B29" s="16" t="s">
        <x:v>193</x:v>
      </x:c>
      <x:c r="C29" s="16" t="s">
        <x:v>22</x:v>
      </x:c>
      <x:c r="D29" s="16" t="s">
        <x:v>173</x:v>
      </x:c>
      <x:c r="E29" s="16" t="s">
        <x:v>45</x:v>
      </x:c>
      <x:c r="F29" s="16" t="s">
        <x:v>194</x:v>
      </x:c>
      <x:c r="G29" s="16" t="s">
        <x:v>26</x:v>
      </x:c>
      <x:c r="H29" s="17" t="s">
        <x:v>195</x:v>
      </x:c>
      <x:c r="I29" s="17" t="s">
        <x:v>196</x:v>
      </x:c>
      <x:c r="J29" s="17" t="s">
        <x:v>197</x:v>
      </x:c>
      <x:c r="K29" s="17" t="s">
        <x:v>30</x:v>
      </x:c>
      <x:c r="L29" s="17" t="s">
        <x:v>111</x:v>
      </x:c>
      <x:c r="M29" s="17" t="s">
        <x:v>112</x:v>
      </x:c>
      <x:c r="N29" s="16"/>
      <x:c r="O29" s="18">
        <x:v>46249</x:v>
      </x:c>
      <x:c r="P29" s="19" t="s">
        <x:v>34</x:v>
      </x:c>
      <x:c r="Q29" s="17"/>
      <x:c r="R29" s="19" t="str">
        <x:f t="shared" si="0"/>
        <x:v>Discovery Link Only</x:v>
      </x:c>
      <x:c r="S29" s="43" t="str">
        <x:v>Unknown</x:v>
      </x:c>
      <x:c r="T29" s="43" t="str">
        <x:v>Unknown</x:v>
      </x:c>
      <x:c r="U29" s="43" t="str">
        <x:v>Unknown</x:v>
      </x:c>
      <x:c r="V29" s="43" t="str">
        <x:v>Unknown</x:v>
      </x:c>
      <x:c r="W29" s="43" t="str">
        <x:v>Unknown</x:v>
      </x:c>
      <x:c r="X29" s="43" t="str">
        <x:v>Unknown</x:v>
      </x:c>
      <x:c r="Y29" s="43" t="str">
        <x:v>Unknown</x:v>
      </x:c>
      <x:c r="Z29" s="43"/>
      <x:c r="AA29" s="43" t="str">
        <x:v>Excluded</x:v>
      </x:c>
      <x:c r="AB29" s="43" t="str">
        <x:v>No qualifying evidence source recorded</x:v>
      </x:c>
      <x:c r="AC29" s="43" t="str">
        <x:v>Excluded from Maya's elderly recommendation results because no source-backed elderly accessibility feature is recorded in the reviewed data. This does not mean the attraction is inaccessible.</x:v>
      </x:c>
      <x:c r="AD29" s="43" t="str">
        <x:v>2026-08-16</x:v>
      </x:c>
    </x:row>
    <x:row r="30" ht="60" customHeight="1">
      <x:c r="A30" s="16" t="s">
        <x:v>198</x:v>
      </x:c>
      <x:c r="B30" s="16" t="s">
        <x:v>199</x:v>
      </x:c>
      <x:c r="C30" s="16" t="s">
        <x:v>22</x:v>
      </x:c>
      <x:c r="D30" s="16" t="s">
        <x:v>79</x:v>
      </x:c>
      <x:c r="E30" s="16" t="s">
        <x:v>99</x:v>
      </x:c>
      <x:c r="F30" s="16" t="s">
        <x:v>121</x:v>
      </x:c>
      <x:c r="G30" s="16" t="s">
        <x:v>46</x:v>
      </x:c>
      <x:c r="H30" s="17" t="s">
        <x:v>200</x:v>
      </x:c>
      <x:c r="I30" s="17" t="s">
        <x:v>201</x:v>
      </x:c>
      <x:c r="J30" s="17" t="s">
        <x:v>202</x:v>
      </x:c>
      <x:c r="K30" s="17" t="s">
        <x:v>30</x:v>
      </x:c>
      <x:c r="L30" s="17" t="s">
        <x:v>111</x:v>
      </x:c>
      <x:c r="M30" s="17" t="s">
        <x:v>112</x:v>
      </x:c>
      <x:c r="N30" s="16"/>
      <x:c r="O30" s="18">
        <x:v>46249</x:v>
      </x:c>
      <x:c r="P30" s="19" t="s">
        <x:v>34</x:v>
      </x:c>
      <x:c r="Q30" s="17"/>
      <x:c r="R30" s="19" t="str">
        <x:f t="shared" si="0"/>
        <x:v>Discovery Link Only</x:v>
      </x:c>
      <x:c r="S30" s="43" t="str">
        <x:v>Unknown</x:v>
      </x:c>
      <x:c r="T30" s="43" t="str">
        <x:v>Unknown</x:v>
      </x:c>
      <x:c r="U30" s="43" t="str">
        <x:v>Unknown</x:v>
      </x:c>
      <x:c r="V30" s="43" t="str">
        <x:v>Unknown</x:v>
      </x:c>
      <x:c r="W30" s="43" t="str">
        <x:v>Unknown</x:v>
      </x:c>
      <x:c r="X30" s="43" t="str">
        <x:v>Unknown</x:v>
      </x:c>
      <x:c r="Y30" s="43" t="str">
        <x:v>Unknown</x:v>
      </x:c>
      <x:c r="Z30" s="43"/>
      <x:c r="AA30" s="43" t="str">
        <x:v>Excluded</x:v>
      </x:c>
      <x:c r="AB30" s="43" t="str">
        <x:v>No qualifying evidence source recorded</x:v>
      </x:c>
      <x:c r="AC30" s="43" t="str">
        <x:v>Excluded from Maya's elderly recommendation results because no source-backed elderly accessibility feature is recorded in the reviewed data. This does not mean the attraction is inaccessible.</x:v>
      </x:c>
      <x:c r="AD30" s="43" t="str">
        <x:v>2026-08-16</x:v>
      </x:c>
    </x:row>
    <x:row r="31" ht="60" customHeight="1">
      <x:c r="A31" s="16" t="s">
        <x:v>203</x:v>
      </x:c>
      <x:c r="B31" s="16" t="s">
        <x:v>204</x:v>
      </x:c>
      <x:c r="C31" s="16" t="s">
        <x:v>22</x:v>
      </x:c>
      <x:c r="D31" s="16" t="s">
        <x:v>79</x:v>
      </x:c>
      <x:c r="E31" s="16" t="s">
        <x:v>45</x:v>
      </x:c>
      <x:c r="F31" s="16" t="s">
        <x:v>127</x:v>
      </x:c>
      <x:c r="G31" s="16" t="s">
        <x:v>26</x:v>
      </x:c>
      <x:c r="H31" s="17" t="s">
        <x:v>205</x:v>
      </x:c>
      <x:c r="I31" s="17" t="s">
        <x:v>206</x:v>
      </x:c>
      <x:c r="J31" s="17" t="s">
        <x:v>207</x:v>
      </x:c>
      <x:c r="K31" s="17" t="s">
        <x:v>30</x:v>
      </x:c>
      <x:c r="L31" s="17" t="s">
        <x:v>111</x:v>
      </x:c>
      <x:c r="M31" s="17" t="s">
        <x:v>112</x:v>
      </x:c>
      <x:c r="N31" s="16"/>
      <x:c r="O31" s="18">
        <x:v>46249</x:v>
      </x:c>
      <x:c r="P31" s="19" t="s">
        <x:v>34</x:v>
      </x:c>
      <x:c r="Q31" s="17"/>
      <x:c r="R31" s="19" t="str">
        <x:f t="shared" si="0"/>
        <x:v>Discovery Link Only</x:v>
      </x:c>
      <x:c r="S31" s="43" t="str">
        <x:v>Unknown</x:v>
      </x:c>
      <x:c r="T31" s="43" t="str">
        <x:v>Unknown</x:v>
      </x:c>
      <x:c r="U31" s="43" t="str">
        <x:v>Unknown</x:v>
      </x:c>
      <x:c r="V31" s="43" t="str">
        <x:v>Unknown</x:v>
      </x:c>
      <x:c r="W31" s="43" t="str">
        <x:v>Unknown</x:v>
      </x:c>
      <x:c r="X31" s="43" t="str">
        <x:v>Unknown</x:v>
      </x:c>
      <x:c r="Y31" s="43" t="str">
        <x:v>Unknown</x:v>
      </x:c>
      <x:c r="Z31" s="43"/>
      <x:c r="AA31" s="43" t="str">
        <x:v>Excluded</x:v>
      </x:c>
      <x:c r="AB31" s="43" t="str">
        <x:v>No qualifying evidence source recorded</x:v>
      </x:c>
      <x:c r="AC31" s="43" t="str">
        <x:v>Excluded from Maya's elderly recommendation results because no source-backed elderly accessibility feature is recorded in the reviewed data. This does not mean the attraction is inaccessible.</x:v>
      </x:c>
      <x:c r="AD31" s="43" t="str">
        <x:v>2026-08-16</x:v>
      </x:c>
    </x:row>
    <x:row r="32" ht="60" customHeight="1">
      <x:c r="A32" s="16" t="s">
        <x:v>208</x:v>
      </x:c>
      <x:c r="B32" s="16" t="s">
        <x:v>209</x:v>
      </x:c>
      <x:c r="C32" s="16" t="s">
        <x:v>22</x:v>
      </x:c>
      <x:c r="D32" s="16" t="s">
        <x:v>210</x:v>
      </x:c>
      <x:c r="E32" s="16" t="s">
        <x:v>72</x:v>
      </x:c>
      <x:c r="F32" s="16" t="s">
        <x:v>121</x:v>
      </x:c>
      <x:c r="G32" s="16" t="s">
        <x:v>26</x:v>
      </x:c>
      <x:c r="H32" s="17" t="s">
        <x:v>211</x:v>
      </x:c>
      <x:c r="I32" s="17" t="s">
        <x:v>212</x:v>
      </x:c>
      <x:c r="J32" s="17" t="s">
        <x:v>213</x:v>
      </x:c>
      <x:c r="K32" s="17" t="s">
        <x:v>30</x:v>
      </x:c>
      <x:c r="L32" s="17" t="s">
        <x:v>111</x:v>
      </x:c>
      <x:c r="M32" s="17" t="s">
        <x:v>112</x:v>
      </x:c>
      <x:c r="N32" s="16"/>
      <x:c r="O32" s="18">
        <x:v>46249</x:v>
      </x:c>
      <x:c r="P32" s="19" t="s">
        <x:v>34</x:v>
      </x:c>
      <x:c r="Q32" s="17"/>
      <x:c r="R32" s="19" t="str">
        <x:f t="shared" si="0"/>
        <x:v>Discovery Link Only</x:v>
      </x:c>
      <x:c r="S32" s="43" t="str">
        <x:v>Unknown</x:v>
      </x:c>
      <x:c r="T32" s="43" t="str">
        <x:v>Unknown</x:v>
      </x:c>
      <x:c r="U32" s="43" t="str">
        <x:v>Unknown</x:v>
      </x:c>
      <x:c r="V32" s="43" t="str">
        <x:v>Unknown</x:v>
      </x:c>
      <x:c r="W32" s="43" t="str">
        <x:v>Unknown</x:v>
      </x:c>
      <x:c r="X32" s="43" t="str">
        <x:v>Unknown</x:v>
      </x:c>
      <x:c r="Y32" s="43" t="str">
        <x:v>Unknown</x:v>
      </x:c>
      <x:c r="Z32" s="43"/>
      <x:c r="AA32" s="43" t="str">
        <x:v>Excluded</x:v>
      </x:c>
      <x:c r="AB32" s="43" t="str">
        <x:v>No qualifying evidence source recorded</x:v>
      </x:c>
      <x:c r="AC32" s="43" t="str">
        <x:v>Excluded from Maya's elderly recommendation results because no source-backed elderly accessibility feature is recorded in the reviewed data. This does not mean the attraction is inaccessible.</x:v>
      </x:c>
      <x:c r="AD32" s="43" t="str">
        <x:v>2026-08-16</x:v>
      </x:c>
    </x:row>
    <x:row r="33" ht="60" customHeight="1">
      <x:c r="A33" s="16" t="s">
        <x:v>214</x:v>
      </x:c>
      <x:c r="B33" s="16" t="s">
        <x:v>215</x:v>
      </x:c>
      <x:c r="C33" s="16" t="s">
        <x:v>22</x:v>
      </x:c>
      <x:c r="D33" s="16" t="s">
        <x:v>210</x:v>
      </x:c>
      <x:c r="E33" s="16" t="s">
        <x:v>106</x:v>
      </x:c>
      <x:c r="F33" s="16" t="s">
        <x:v>127</x:v>
      </x:c>
      <x:c r="G33" s="16" t="s">
        <x:v>46</x:v>
      </x:c>
      <x:c r="H33" s="17" t="s">
        <x:v>216</x:v>
      </x:c>
      <x:c r="I33" s="17" t="s">
        <x:v>217</x:v>
      </x:c>
      <x:c r="J33" s="17" t="s">
        <x:v>218</x:v>
      </x:c>
      <x:c r="K33" s="17" t="s">
        <x:v>30</x:v>
      </x:c>
      <x:c r="L33" s="17" t="s">
        <x:v>111</x:v>
      </x:c>
      <x:c r="M33" s="17" t="s">
        <x:v>112</x:v>
      </x:c>
      <x:c r="N33" s="16"/>
      <x:c r="O33" s="18">
        <x:v>46249</x:v>
      </x:c>
      <x:c r="P33" s="19" t="s">
        <x:v>34</x:v>
      </x:c>
      <x:c r="Q33" s="17"/>
      <x:c r="R33" s="19" t="str">
        <x:f t="shared" si="0"/>
        <x:v>Discovery Link Only</x:v>
      </x:c>
      <x:c r="S33" s="43" t="str">
        <x:v>Unknown</x:v>
      </x:c>
      <x:c r="T33" s="43" t="str">
        <x:v>Unknown</x:v>
      </x:c>
      <x:c r="U33" s="43" t="str">
        <x:v>Unknown</x:v>
      </x:c>
      <x:c r="V33" s="43" t="str">
        <x:v>Unknown</x:v>
      </x:c>
      <x:c r="W33" s="43" t="str">
        <x:v>Unknown</x:v>
      </x:c>
      <x:c r="X33" s="43" t="str">
        <x:v>Unknown</x:v>
      </x:c>
      <x:c r="Y33" s="43" t="str">
        <x:v>Unknown</x:v>
      </x:c>
      <x:c r="Z33" s="43"/>
      <x:c r="AA33" s="43" t="str">
        <x:v>Excluded</x:v>
      </x:c>
      <x:c r="AB33" s="43" t="str">
        <x:v>No qualifying evidence source recorded</x:v>
      </x:c>
      <x:c r="AC33" s="43" t="str">
        <x:v>Excluded from Maya's elderly recommendation results because no source-backed elderly accessibility feature is recorded in the reviewed data. This does not mean the attraction is inaccessible.</x:v>
      </x:c>
      <x:c r="AD33" s="43" t="str">
        <x:v>2026-08-16</x:v>
      </x:c>
    </x:row>
    <x:row r="34" ht="60" customHeight="1">
      <x:c r="A34" s="16" t="s">
        <x:v>219</x:v>
      </x:c>
      <x:c r="B34" s="16" t="s">
        <x:v>220</x:v>
      </x:c>
      <x:c r="C34" s="16" t="s">
        <x:v>22</x:v>
      </x:c>
      <x:c r="D34" s="16" t="s">
        <x:v>221</x:v>
      </x:c>
      <x:c r="E34" s="16" t="s">
        <x:v>24</x:v>
      </x:c>
      <x:c r="F34" s="16" t="s">
        <x:v>121</x:v>
      </x:c>
      <x:c r="G34" s="16" t="s">
        <x:v>26</x:v>
      </x:c>
      <x:c r="H34" s="17" t="s">
        <x:v>222</x:v>
      </x:c>
      <x:c r="I34" s="17" t="s">
        <x:v>223</x:v>
      </x:c>
      <x:c r="J34" s="17" t="s">
        <x:v>224</x:v>
      </x:c>
      <x:c r="K34" s="17" t="s">
        <x:v>30</x:v>
      </x:c>
      <x:c r="L34" s="17" t="s">
        <x:v>111</x:v>
      </x:c>
      <x:c r="M34" s="17" t="s">
        <x:v>112</x:v>
      </x:c>
      <x:c r="N34" s="16"/>
      <x:c r="O34" s="18">
        <x:v>46249</x:v>
      </x:c>
      <x:c r="P34" s="19" t="s">
        <x:v>34</x:v>
      </x:c>
      <x:c r="Q34" s="17"/>
      <x:c r="R34" s="19" t="str">
        <x:f t="shared" si="0"/>
        <x:v>Discovery Link Only</x:v>
      </x:c>
      <x:c r="S34" s="43" t="str">
        <x:v>Unknown</x:v>
      </x:c>
      <x:c r="T34" s="43" t="str">
        <x:v>Unknown</x:v>
      </x:c>
      <x:c r="U34" s="43" t="str">
        <x:v>Unknown</x:v>
      </x:c>
      <x:c r="V34" s="43" t="str">
        <x:v>Unknown</x:v>
      </x:c>
      <x:c r="W34" s="43" t="str">
        <x:v>Unknown</x:v>
      </x:c>
      <x:c r="X34" s="43" t="str">
        <x:v>Unknown</x:v>
      </x:c>
      <x:c r="Y34" s="43" t="str">
        <x:v>Unknown</x:v>
      </x:c>
      <x:c r="Z34" s="43"/>
      <x:c r="AA34" s="43" t="str">
        <x:v>Excluded</x:v>
      </x:c>
      <x:c r="AB34" s="43" t="str">
        <x:v>No qualifying evidence source recorded</x:v>
      </x:c>
      <x:c r="AC34" s="43" t="str">
        <x:v>Excluded from Maya's elderly recommendation results because no source-backed elderly accessibility feature is recorded in the reviewed data. This does not mean the attraction is inaccessible.</x:v>
      </x:c>
      <x:c r="AD34" s="43" t="str">
        <x:v>2026-08-16</x:v>
      </x:c>
    </x:row>
    <x:row r="35" ht="60" customHeight="1">
      <x:c r="A35" s="16" t="s">
        <x:v>225</x:v>
      </x:c>
      <x:c r="B35" s="16" t="s">
        <x:v>226</x:v>
      </x:c>
      <x:c r="C35" s="16" t="s">
        <x:v>22</x:v>
      </x:c>
      <x:c r="D35" s="16" t="s">
        <x:v>221</x:v>
      </x:c>
      <x:c r="E35" s="16" t="s">
        <x:v>115</x:v>
      </x:c>
      <x:c r="F35" s="16" t="s">
        <x:v>121</x:v>
      </x:c>
      <x:c r="G35" s="16" t="s">
        <x:v>46</x:v>
      </x:c>
      <x:c r="H35" s="17" t="s">
        <x:v>227</x:v>
      </x:c>
      <x:c r="I35" s="17" t="s">
        <x:v>228</x:v>
      </x:c>
      <x:c r="J35" s="17" t="s">
        <x:v>229</x:v>
      </x:c>
      <x:c r="K35" s="17" t="s">
        <x:v>30</x:v>
      </x:c>
      <x:c r="L35" s="17" t="s">
        <x:v>111</x:v>
      </x:c>
      <x:c r="M35" s="17" t="s">
        <x:v>112</x:v>
      </x:c>
      <x:c r="N35" s="16"/>
      <x:c r="O35" s="18">
        <x:v>46249</x:v>
      </x:c>
      <x:c r="P35" s="19" t="s">
        <x:v>34</x:v>
      </x:c>
      <x:c r="Q35" s="17"/>
      <x:c r="R35" s="19" t="str">
        <x:f t="shared" si="0"/>
        <x:v>Discovery Link Only</x:v>
      </x:c>
      <x:c r="S35" s="43" t="str">
        <x:v>Unknown</x:v>
      </x:c>
      <x:c r="T35" s="43" t="str">
        <x:v>Unknown</x:v>
      </x:c>
      <x:c r="U35" s="43" t="str">
        <x:v>Unknown</x:v>
      </x:c>
      <x:c r="V35" s="43" t="str">
        <x:v>Unknown</x:v>
      </x:c>
      <x:c r="W35" s="43" t="str">
        <x:v>Unknown</x:v>
      </x:c>
      <x:c r="X35" s="43" t="str">
        <x:v>Unknown</x:v>
      </x:c>
      <x:c r="Y35" s="43" t="str">
        <x:v>Unknown</x:v>
      </x:c>
      <x:c r="Z35" s="43"/>
      <x:c r="AA35" s="43" t="str">
        <x:v>Excluded</x:v>
      </x:c>
      <x:c r="AB35" s="43" t="str">
        <x:v>No qualifying evidence source recorded</x:v>
      </x:c>
      <x:c r="AC35" s="43" t="str">
        <x:v>Excluded from Maya's elderly recommendation results because no source-backed elderly accessibility feature is recorded in the reviewed data. This does not mean the attraction is inaccessible.</x:v>
      </x:c>
      <x:c r="AD35" s="43" t="str">
        <x:v>2026-08-16</x:v>
      </x:c>
    </x:row>
    <x:row r="36" ht="60" customHeight="1">
      <x:c r="A36" s="16" t="s">
        <x:v>230</x:v>
      </x:c>
      <x:c r="B36" s="16" t="s">
        <x:v>231</x:v>
      </x:c>
      <x:c r="C36" s="16" t="s">
        <x:v>22</x:v>
      </x:c>
      <x:c r="D36" s="16" t="s">
        <x:v>232</x:v>
      </x:c>
      <x:c r="E36" s="16" t="s">
        <x:v>45</x:v>
      </x:c>
      <x:c r="F36" s="16" t="s">
        <x:v>107</x:v>
      </x:c>
      <x:c r="G36" s="16" t="s">
        <x:v>26</x:v>
      </x:c>
      <x:c r="H36" s="17" t="s">
        <x:v>233</x:v>
      </x:c>
      <x:c r="I36" s="17" t="s">
        <x:v>234</x:v>
      </x:c>
      <x:c r="J36" s="17" t="s">
        <x:v>235</x:v>
      </x:c>
      <x:c r="K36" s="17" t="s">
        <x:v>30</x:v>
      </x:c>
      <x:c r="L36" s="17" t="s">
        <x:v>111</x:v>
      </x:c>
      <x:c r="M36" s="17" t="s">
        <x:v>112</x:v>
      </x:c>
      <x:c r="N36" s="16"/>
      <x:c r="O36" s="18">
        <x:v>46249</x:v>
      </x:c>
      <x:c r="P36" s="19" t="s">
        <x:v>34</x:v>
      </x:c>
      <x:c r="Q36" s="17"/>
      <x:c r="R36" s="19" t="str">
        <x:f t="shared" si="0"/>
        <x:v>Discovery Link Only</x:v>
      </x:c>
      <x:c r="S36" s="43" t="str">
        <x:v>Unknown</x:v>
      </x:c>
      <x:c r="T36" s="43" t="str">
        <x:v>Unknown</x:v>
      </x:c>
      <x:c r="U36" s="43" t="str">
        <x:v>Unknown</x:v>
      </x:c>
      <x:c r="V36" s="43" t="str">
        <x:v>Unknown</x:v>
      </x:c>
      <x:c r="W36" s="43" t="str">
        <x:v>Unknown</x:v>
      </x:c>
      <x:c r="X36" s="43" t="str">
        <x:v>Unknown</x:v>
      </x:c>
      <x:c r="Y36" s="43" t="str">
        <x:v>Unknown</x:v>
      </x:c>
      <x:c r="Z36" s="43"/>
      <x:c r="AA36" s="43" t="str">
        <x:v>Excluded</x:v>
      </x:c>
      <x:c r="AB36" s="43" t="str">
        <x:v>No qualifying evidence source recorded</x:v>
      </x:c>
      <x:c r="AC36" s="43" t="str">
        <x:v>Excluded from Maya's elderly recommendation results because no source-backed elderly accessibility feature is recorded in the reviewed data. This does not mean the attraction is inaccessible.</x:v>
      </x:c>
      <x:c r="AD36" s="43" t="str">
        <x:v>2026-08-16</x:v>
      </x:c>
    </x:row>
    <x:row r="37" ht="60" customHeight="1">
      <x:c r="A37" s="16" t="s">
        <x:v>236</x:v>
      </x:c>
      <x:c r="B37" s="16" t="s">
        <x:v>237</x:v>
      </x:c>
      <x:c r="C37" s="16" t="s">
        <x:v>22</x:v>
      </x:c>
      <x:c r="D37" s="16" t="s">
        <x:v>232</x:v>
      </x:c>
      <x:c r="E37" s="16" t="s">
        <x:v>162</x:v>
      </x:c>
      <x:c r="F37" s="16" t="s">
        <x:v>121</x:v>
      </x:c>
      <x:c r="G37" s="16" t="s">
        <x:v>46</x:v>
      </x:c>
      <x:c r="H37" s="17" t="s">
        <x:v>238</x:v>
      </x:c>
      <x:c r="I37" s="17" t="s">
        <x:v>239</x:v>
      </x:c>
      <x:c r="J37" s="17" t="s">
        <x:v>240</x:v>
      </x:c>
      <x:c r="K37" s="17" t="s">
        <x:v>30</x:v>
      </x:c>
      <x:c r="L37" s="17" t="s">
        <x:v>111</x:v>
      </x:c>
      <x:c r="M37" s="17" t="s">
        <x:v>112</x:v>
      </x:c>
      <x:c r="N37" s="16"/>
      <x:c r="O37" s="18">
        <x:v>46249</x:v>
      </x:c>
      <x:c r="P37" s="19" t="s">
        <x:v>34</x:v>
      </x:c>
      <x:c r="Q37" s="17"/>
      <x:c r="R37" s="19" t="str">
        <x:f t="shared" si="0"/>
        <x:v>Discovery Link Only</x:v>
      </x:c>
      <x:c r="S37" s="43" t="str">
        <x:v>Unknown</x:v>
      </x:c>
      <x:c r="T37" s="43" t="str">
        <x:v>Unknown</x:v>
      </x:c>
      <x:c r="U37" s="43" t="str">
        <x:v>Unknown</x:v>
      </x:c>
      <x:c r="V37" s="43" t="str">
        <x:v>Unknown</x:v>
      </x:c>
      <x:c r="W37" s="43" t="str">
        <x:v>Unknown</x:v>
      </x:c>
      <x:c r="X37" s="43" t="str">
        <x:v>Unknown</x:v>
      </x:c>
      <x:c r="Y37" s="43" t="str">
        <x:v>Unknown</x:v>
      </x:c>
      <x:c r="Z37" s="43"/>
      <x:c r="AA37" s="43" t="str">
        <x:v>Excluded</x:v>
      </x:c>
      <x:c r="AB37" s="43" t="str">
        <x:v>No qualifying evidence source recorded</x:v>
      </x:c>
      <x:c r="AC37" s="43" t="str">
        <x:v>Excluded from Maya's elderly recommendation results because no source-backed elderly accessibility feature is recorded in the reviewed data. This does not mean the attraction is inaccessible.</x:v>
      </x:c>
      <x:c r="AD37" s="43" t="str">
        <x:v>2026-08-16</x:v>
      </x:c>
    </x:row>
    <x:row r="38" ht="60" customHeight="1">
      <x:c r="A38" s="16" t="s">
        <x:v>241</x:v>
      </x:c>
      <x:c r="B38" s="16" t="s">
        <x:v>242</x:v>
      </x:c>
      <x:c r="C38" s="16" t="s">
        <x:v>22</x:v>
      </x:c>
      <x:c r="D38" s="16" t="s">
        <x:v>243</x:v>
      </x:c>
      <x:c r="E38" s="16" t="s">
        <x:v>45</x:v>
      </x:c>
      <x:c r="F38" s="16" t="s">
        <x:v>194</x:v>
      </x:c>
      <x:c r="G38" s="16" t="s">
        <x:v>26</x:v>
      </x:c>
      <x:c r="H38" s="17" t="s">
        <x:v>244</x:v>
      </x:c>
      <x:c r="I38" s="17" t="s">
        <x:v>245</x:v>
      </x:c>
      <x:c r="J38" s="17" t="s">
        <x:v>246</x:v>
      </x:c>
      <x:c r="K38" s="17" t="s">
        <x:v>30</x:v>
      </x:c>
      <x:c r="L38" s="17" t="s">
        <x:v>111</x:v>
      </x:c>
      <x:c r="M38" s="17" t="s">
        <x:v>112</x:v>
      </x:c>
      <x:c r="N38" s="16"/>
      <x:c r="O38" s="18">
        <x:v>46249</x:v>
      </x:c>
      <x:c r="P38" s="19" t="s">
        <x:v>34</x:v>
      </x:c>
      <x:c r="Q38" s="17"/>
      <x:c r="R38" s="19" t="str">
        <x:f t="shared" si="0"/>
        <x:v>Discovery Link Only</x:v>
      </x:c>
      <x:c r="S38" s="43" t="str">
        <x:v>Unknown</x:v>
      </x:c>
      <x:c r="T38" s="43" t="str">
        <x:v>Unknown</x:v>
      </x:c>
      <x:c r="U38" s="43" t="str">
        <x:v>Unknown</x:v>
      </x:c>
      <x:c r="V38" s="43" t="str">
        <x:v>Unknown</x:v>
      </x:c>
      <x:c r="W38" s="43" t="str">
        <x:v>Unknown</x:v>
      </x:c>
      <x:c r="X38" s="43" t="str">
        <x:v>Unknown</x:v>
      </x:c>
      <x:c r="Y38" s="43" t="str">
        <x:v>Unknown</x:v>
      </x:c>
      <x:c r="Z38" s="43"/>
      <x:c r="AA38" s="43" t="str">
        <x:v>Excluded</x:v>
      </x:c>
      <x:c r="AB38" s="43" t="str">
        <x:v>No qualifying evidence source recorded</x:v>
      </x:c>
      <x:c r="AC38" s="43" t="str">
        <x:v>Excluded from Maya's elderly recommendation results because no source-backed elderly accessibility feature is recorded in the reviewed data. This does not mean the attraction is inaccessible.</x:v>
      </x:c>
      <x:c r="AD38" s="43" t="str">
        <x:v>2026-08-16</x:v>
      </x:c>
    </x:row>
    <x:row r="39" ht="60" customHeight="1">
      <x:c r="A39" s="16" t="s">
        <x:v>247</x:v>
      </x:c>
      <x:c r="B39" s="16" t="s">
        <x:v>248</x:v>
      </x:c>
      <x:c r="C39" s="16" t="s">
        <x:v>249</x:v>
      </x:c>
      <x:c r="D39" s="16" t="s">
        <x:v>250</x:v>
      </x:c>
      <x:c r="E39" s="16" t="s">
        <x:v>251</x:v>
      </x:c>
      <x:c r="F39" s="16" t="s">
        <x:v>25</x:v>
      </x:c>
      <x:c r="G39" s="16" t="s">
        <x:v>26</x:v>
      </x:c>
      <x:c r="H39" s="17" t="s">
        <x:v>252</x:v>
      </x:c>
      <x:c r="I39" s="17" t="s">
        <x:v>253</x:v>
      </x:c>
      <x:c r="J39" s="17" t="s">
        <x:v>254</x:v>
      </x:c>
      <x:c r="K39" s="17" t="s">
        <x:v>255</x:v>
      </x:c>
      <x:c r="L39" s="17" t="s">
        <x:v>58</x:v>
      </x:c>
      <x:c r="M39" s="17" t="s">
        <x:v>256</x:v>
      </x:c>
      <x:c r="N39" s="16" t="s">
        <x:v>257</x:v>
      </x:c>
      <x:c r="O39" s="18">
        <x:v>46249</x:v>
      </x:c>
      <x:c r="P39" s="19" t="s">
        <x:v>34</x:v>
      </x:c>
      <x:c r="Q39" s="17"/>
      <x:c r="R39" s="19" t="str">
        <x:f t="shared" si="0"/>
        <x:v>Source Link Present</x:v>
      </x:c>
      <x:c r="S39" s="43" t="str">
        <x:v>Unknown</x:v>
      </x:c>
      <x:c r="T39" s="43" t="str">
        <x:v>Unknown</x:v>
      </x:c>
      <x:c r="U39" s="43" t="str">
        <x:v>Unknown</x:v>
      </x:c>
      <x:c r="V39" s="43" t="str">
        <x:v>Unknown</x:v>
      </x:c>
      <x:c r="W39" s="43" t="str">
        <x:v>Unknown</x:v>
      </x:c>
      <x:c r="X39" s="43" t="str">
        <x:v>Unknown</x:v>
      </x:c>
      <x:c r="Y39" s="43" t="str">
        <x:v>Unknown</x:v>
      </x:c>
      <x:c r="Z39" s="43"/>
      <x:c r="AA39" s="43" t="str">
        <x:v>Excluded</x:v>
      </x:c>
      <x:c r="AB39" s="43" t="str">
        <x:v>No qualifying evidence source recorded</x:v>
      </x:c>
      <x:c r="AC39" s="43" t="str">
        <x:v>Excluded from Maya's elderly recommendation results because no source-backed elderly accessibility feature is recorded in the reviewed data. This does not mean the attraction is inaccessible.</x:v>
      </x:c>
      <x:c r="AD39" s="43" t="str">
        <x:v>2026-08-16</x:v>
      </x:c>
    </x:row>
    <x:row r="40" ht="60" customHeight="1">
      <x:c r="A40" s="16" t="s">
        <x:v>258</x:v>
      </x:c>
      <x:c r="B40" s="16" t="s">
        <x:v>259</x:v>
      </x:c>
      <x:c r="C40" s="16" t="s">
        <x:v>249</x:v>
      </x:c>
      <x:c r="D40" s="16" t="s">
        <x:v>260</x:v>
      </x:c>
      <x:c r="E40" s="16" t="s">
        <x:v>72</x:v>
      </x:c>
      <x:c r="F40" s="16" t="s">
        <x:v>25</x:v>
      </x:c>
      <x:c r="G40" s="16" t="s">
        <x:v>26</x:v>
      </x:c>
      <x:c r="H40" s="17" t="s">
        <x:v>261</x:v>
      </x:c>
      <x:c r="I40" s="17" t="s">
        <x:v>262</x:v>
      </x:c>
      <x:c r="J40" s="17" t="s">
        <x:v>263</x:v>
      </x:c>
      <x:c r="K40" s="17" t="s">
        <x:v>255</x:v>
      </x:c>
      <x:c r="L40" s="17" t="s">
        <x:v>58</x:v>
      </x:c>
      <x:c r="M40" s="17" t="s">
        <x:v>256</x:v>
      </x:c>
      <x:c r="N40" s="16" t="s">
        <x:v>264</x:v>
      </x:c>
      <x:c r="O40" s="18">
        <x:v>46249</x:v>
      </x:c>
      <x:c r="P40" s="19" t="s">
        <x:v>34</x:v>
      </x:c>
      <x:c r="Q40" s="17"/>
      <x:c r="R40" s="19" t="str">
        <x:f t="shared" si="0"/>
        <x:v>Source Link Present</x:v>
      </x:c>
      <x:c r="S40" s="43" t="str">
        <x:v>Unknown</x:v>
      </x:c>
      <x:c r="T40" s="43" t="str">
        <x:v>Unknown</x:v>
      </x:c>
      <x:c r="U40" s="43" t="str">
        <x:v>Unknown</x:v>
      </x:c>
      <x:c r="V40" s="43" t="str">
        <x:v>Unknown</x:v>
      </x:c>
      <x:c r="W40" s="43" t="str">
        <x:v>Unknown</x:v>
      </x:c>
      <x:c r="X40" s="43" t="str">
        <x:v>Unknown</x:v>
      </x:c>
      <x:c r="Y40" s="43" t="str">
        <x:v>Unknown</x:v>
      </x:c>
      <x:c r="Z40" s="43"/>
      <x:c r="AA40" s="43" t="str">
        <x:v>Excluded</x:v>
      </x:c>
      <x:c r="AB40" s="43" t="str">
        <x:v>No qualifying evidence source recorded</x:v>
      </x:c>
      <x:c r="AC40" s="43" t="str">
        <x:v>Excluded from Maya's elderly recommendation results because no source-backed elderly accessibility feature is recorded in the reviewed data. This does not mean the attraction is inaccessible.</x:v>
      </x:c>
      <x:c r="AD40" s="43" t="str">
        <x:v>2026-08-16</x:v>
      </x:c>
    </x:row>
    <x:row r="41" ht="60" customHeight="1">
      <x:c r="A41" s="16" t="s">
        <x:v>265</x:v>
      </x:c>
      <x:c r="B41" s="16" t="s">
        <x:v>266</x:v>
      </x:c>
      <x:c r="C41" s="16" t="s">
        <x:v>249</x:v>
      </x:c>
      <x:c r="D41" s="16" t="s">
        <x:v>267</x:v>
      </x:c>
      <x:c r="E41" s="16" t="s">
        <x:v>251</x:v>
      </x:c>
      <x:c r="F41" s="16" t="s">
        <x:v>25</x:v>
      </x:c>
      <x:c r="G41" s="16" t="s">
        <x:v>26</x:v>
      </x:c>
      <x:c r="H41" s="17" t="s">
        <x:v>268</x:v>
      </x:c>
      <x:c r="I41" s="17" t="s">
        <x:v>269</x:v>
      </x:c>
      <x:c r="J41" s="17" t="s">
        <x:v>270</x:v>
      </x:c>
      <x:c r="K41" s="17" t="s">
        <x:v>255</x:v>
      </x:c>
      <x:c r="L41" s="17" t="s">
        <x:v>58</x:v>
      </x:c>
      <x:c r="M41" s="17" t="s">
        <x:v>256</x:v>
      </x:c>
      <x:c r="N41" s="16" t="s">
        <x:v>271</x:v>
      </x:c>
      <x:c r="O41" s="18">
        <x:v>46249</x:v>
      </x:c>
      <x:c r="P41" s="19" t="s">
        <x:v>34</x:v>
      </x:c>
      <x:c r="Q41" s="17"/>
      <x:c r="R41" s="19" t="str">
        <x:f t="shared" si="0"/>
        <x:v>Discovery Link Only</x:v>
      </x:c>
      <x:c r="S41" s="43" t="str">
        <x:v>Unknown</x:v>
      </x:c>
      <x:c r="T41" s="43" t="str">
        <x:v>Unknown</x:v>
      </x:c>
      <x:c r="U41" s="43" t="str">
        <x:v>Unknown</x:v>
      </x:c>
      <x:c r="V41" s="43" t="str">
        <x:v>Unknown</x:v>
      </x:c>
      <x:c r="W41" s="43" t="str">
        <x:v>Unknown</x:v>
      </x:c>
      <x:c r="X41" s="43" t="str">
        <x:v>Unknown</x:v>
      </x:c>
      <x:c r="Y41" s="43" t="str">
        <x:v>Unknown</x:v>
      </x:c>
      <x:c r="Z41" s="43"/>
      <x:c r="AA41" s="43" t="str">
        <x:v>Excluded</x:v>
      </x:c>
      <x:c r="AB41" s="43" t="str">
        <x:v>No qualifying evidence source recorded</x:v>
      </x:c>
      <x:c r="AC41" s="43" t="str">
        <x:v>Excluded from Maya's elderly recommendation results because no source-backed elderly accessibility feature is recorded in the reviewed data. This does not mean the attraction is inaccessible.</x:v>
      </x:c>
      <x:c r="AD41" s="43" t="str">
        <x:v>2026-08-16</x:v>
      </x:c>
    </x:row>
    <x:row r="42" ht="60" customHeight="1">
      <x:c r="A42" s="16" t="s">
        <x:v>272</x:v>
      </x:c>
      <x:c r="B42" s="16" t="s">
        <x:v>273</x:v>
      </x:c>
      <x:c r="C42" s="16" t="s">
        <x:v>249</x:v>
      </x:c>
      <x:c r="D42" s="16" t="s">
        <x:v>267</x:v>
      </x:c>
      <x:c r="E42" s="16" t="s">
        <x:v>45</x:v>
      </x:c>
      <x:c r="F42" s="16" t="s">
        <x:v>25</x:v>
      </x:c>
      <x:c r="G42" s="16" t="s">
        <x:v>26</x:v>
      </x:c>
      <x:c r="H42" s="17" t="s">
        <x:v>274</x:v>
      </x:c>
      <x:c r="I42" s="17" t="s">
        <x:v>275</x:v>
      </x:c>
      <x:c r="J42" s="17" t="s">
        <x:v>276</x:v>
      </x:c>
      <x:c r="K42" s="17" t="s">
        <x:v>255</x:v>
      </x:c>
      <x:c r="L42" s="17" t="s">
        <x:v>58</x:v>
      </x:c>
      <x:c r="M42" s="17" t="s">
        <x:v>256</x:v>
      </x:c>
      <x:c r="N42" s="16" t="s">
        <x:v>277</x:v>
      </x:c>
      <x:c r="O42" s="18">
        <x:v>46249</x:v>
      </x:c>
      <x:c r="P42" s="19" t="s">
        <x:v>34</x:v>
      </x:c>
      <x:c r="Q42" s="17"/>
      <x:c r="R42" s="19" t="str">
        <x:f t="shared" si="0"/>
        <x:v>Discovery Link Only</x:v>
      </x:c>
      <x:c r="S42" s="43" t="str">
        <x:v>Unknown</x:v>
      </x:c>
      <x:c r="T42" s="43" t="str">
        <x:v>Unknown</x:v>
      </x:c>
      <x:c r="U42" s="43" t="str">
        <x:v>Unknown</x:v>
      </x:c>
      <x:c r="V42" s="43" t="str">
        <x:v>Unknown</x:v>
      </x:c>
      <x:c r="W42" s="43" t="str">
        <x:v>Unknown</x:v>
      </x:c>
      <x:c r="X42" s="43" t="str">
        <x:v>Unknown</x:v>
      </x:c>
      <x:c r="Y42" s="43" t="str">
        <x:v>Unknown</x:v>
      </x:c>
      <x:c r="Z42" s="43"/>
      <x:c r="AA42" s="43" t="str">
        <x:v>Excluded</x:v>
      </x:c>
      <x:c r="AB42" s="43" t="str">
        <x:v>No qualifying evidence source recorded</x:v>
      </x:c>
      <x:c r="AC42" s="43" t="str">
        <x:v>Excluded from Maya's elderly recommendation results because no source-backed elderly accessibility feature is recorded in the reviewed data. This does not mean the attraction is inaccessible.</x:v>
      </x:c>
      <x:c r="AD42" s="43" t="str">
        <x:v>2026-08-16</x:v>
      </x:c>
    </x:row>
    <x:row r="43" ht="60" customHeight="1">
      <x:c r="A43" s="16" t="s">
        <x:v>278</x:v>
      </x:c>
      <x:c r="B43" s="16" t="s">
        <x:v>279</x:v>
      </x:c>
      <x:c r="C43" s="16" t="s">
        <x:v>249</x:v>
      </x:c>
      <x:c r="D43" s="16" t="s">
        <x:v>267</x:v>
      </x:c>
      <x:c r="E43" s="16" t="s">
        <x:v>72</x:v>
      </x:c>
      <x:c r="F43" s="16" t="s">
        <x:v>25</x:v>
      </x:c>
      <x:c r="G43" s="16" t="s">
        <x:v>26</x:v>
      </x:c>
      <x:c r="H43" s="17" t="s">
        <x:v>280</x:v>
      </x:c>
      <x:c r="I43" s="17" t="s">
        <x:v>281</x:v>
      </x:c>
      <x:c r="J43" s="17" t="s">
        <x:v>282</x:v>
      </x:c>
      <x:c r="K43" s="17" t="s">
        <x:v>255</x:v>
      </x:c>
      <x:c r="L43" s="17" t="s">
        <x:v>58</x:v>
      </x:c>
      <x:c r="M43" s="17" t="s">
        <x:v>256</x:v>
      </x:c>
      <x:c r="N43" s="16" t="s">
        <x:v>283</x:v>
      </x:c>
      <x:c r="O43" s="18">
        <x:v>46249</x:v>
      </x:c>
      <x:c r="P43" s="19" t="s">
        <x:v>34</x:v>
      </x:c>
      <x:c r="Q43" s="17"/>
      <x:c r="R43" s="19" t="str">
        <x:f t="shared" si="0"/>
        <x:v>Discovery Link Only</x:v>
      </x:c>
      <x:c r="S43" s="43" t="str">
        <x:v>Unknown</x:v>
      </x:c>
      <x:c r="T43" s="43" t="str">
        <x:v>Unknown</x:v>
      </x:c>
      <x:c r="U43" s="43" t="str">
        <x:v>Unknown</x:v>
      </x:c>
      <x:c r="V43" s="43" t="str">
        <x:v>Unknown</x:v>
      </x:c>
      <x:c r="W43" s="43" t="str">
        <x:v>Unknown</x:v>
      </x:c>
      <x:c r="X43" s="43" t="str">
        <x:v>Unknown</x:v>
      </x:c>
      <x:c r="Y43" s="43" t="str">
        <x:v>Unknown</x:v>
      </x:c>
      <x:c r="Z43" s="43"/>
      <x:c r="AA43" s="43" t="str">
        <x:v>Excluded</x:v>
      </x:c>
      <x:c r="AB43" s="43" t="str">
        <x:v>No qualifying evidence source recorded</x:v>
      </x:c>
      <x:c r="AC43" s="43" t="str">
        <x:v>Excluded from Maya's elderly recommendation results because no source-backed elderly accessibility feature is recorded in the reviewed data. This does not mean the attraction is inaccessible.</x:v>
      </x:c>
      <x:c r="AD43" s="43" t="str">
        <x:v>2026-08-16</x:v>
      </x:c>
    </x:row>
    <x:row r="44" ht="60" customHeight="1">
      <x:c r="A44" s="16" t="s">
        <x:v>284</x:v>
      </x:c>
      <x:c r="B44" s="16" t="s">
        <x:v>285</x:v>
      </x:c>
      <x:c r="C44" s="16" t="s">
        <x:v>249</x:v>
      </x:c>
      <x:c r="D44" s="16" t="s">
        <x:v>267</x:v>
      </x:c>
      <x:c r="E44" s="16" t="s">
        <x:v>37</x:v>
      </x:c>
      <x:c r="F44" s="16" t="s">
        <x:v>25</x:v>
      </x:c>
      <x:c r="G44" s="16" t="s">
        <x:v>46</x:v>
      </x:c>
      <x:c r="H44" s="17" t="s">
        <x:v>286</x:v>
      </x:c>
      <x:c r="I44" s="17" t="s">
        <x:v>287</x:v>
      </x:c>
      <x:c r="J44" s="17" t="s">
        <x:v>288</x:v>
      </x:c>
      <x:c r="K44" s="17" t="s">
        <x:v>255</x:v>
      </x:c>
      <x:c r="L44" s="17" t="s">
        <x:v>58</x:v>
      </x:c>
      <x:c r="M44" s="17" t="s">
        <x:v>256</x:v>
      </x:c>
      <x:c r="N44" s="16" t="s">
        <x:v>289</x:v>
      </x:c>
      <x:c r="O44" s="18">
        <x:v>46249</x:v>
      </x:c>
      <x:c r="P44" s="19" t="s">
        <x:v>34</x:v>
      </x:c>
      <x:c r="Q44" s="17"/>
      <x:c r="R44" s="19" t="str">
        <x:f t="shared" si="0"/>
        <x:v>Discovery Link Only</x:v>
      </x:c>
      <x:c r="S44" s="43" t="str">
        <x:v>Unknown</x:v>
      </x:c>
      <x:c r="T44" s="43" t="str">
        <x:v>Unknown</x:v>
      </x:c>
      <x:c r="U44" s="43" t="str">
        <x:v>Unknown</x:v>
      </x:c>
      <x:c r="V44" s="43" t="str">
        <x:v>Unknown</x:v>
      </x:c>
      <x:c r="W44" s="43" t="str">
        <x:v>Unknown</x:v>
      </x:c>
      <x:c r="X44" s="43" t="str">
        <x:v>Unknown</x:v>
      </x:c>
      <x:c r="Y44" s="43" t="str">
        <x:v>Unknown</x:v>
      </x:c>
      <x:c r="Z44" s="43"/>
      <x:c r="AA44" s="43" t="str">
        <x:v>Excluded</x:v>
      </x:c>
      <x:c r="AB44" s="43" t="str">
        <x:v>No qualifying evidence source recorded</x:v>
      </x:c>
      <x:c r="AC44" s="43" t="str">
        <x:v>Excluded from Maya's elderly recommendation results because no source-backed elderly accessibility feature is recorded in the reviewed data. This does not mean the attraction is inaccessible.</x:v>
      </x:c>
      <x:c r="AD44" s="43" t="str">
        <x:v>2026-08-16</x:v>
      </x:c>
    </x:row>
    <x:row r="45" ht="60" customHeight="1">
      <x:c r="A45" s="16" t="s">
        <x:v>290</x:v>
      </x:c>
      <x:c r="B45" s="16" t="s">
        <x:v>291</x:v>
      </x:c>
      <x:c r="C45" s="16" t="s">
        <x:v>249</x:v>
      </x:c>
      <x:c r="D45" s="16" t="s">
        <x:v>267</x:v>
      </x:c>
      <x:c r="E45" s="16" t="s">
        <x:v>54</x:v>
      </x:c>
      <x:c r="F45" s="16" t="s">
        <x:v>25</x:v>
      </x:c>
      <x:c r="G45" s="16" t="s">
        <x:v>134</x:v>
      </x:c>
      <x:c r="H45" s="17" t="s">
        <x:v>292</x:v>
      </x:c>
      <x:c r="I45" s="17" t="s">
        <x:v>293</x:v>
      </x:c>
      <x:c r="J45" s="17" t="s">
        <x:v>294</x:v>
      </x:c>
      <x:c r="K45" s="17" t="s">
        <x:v>255</x:v>
      </x:c>
      <x:c r="L45" s="17" t="s">
        <x:v>58</x:v>
      </x:c>
      <x:c r="M45" s="17" t="s">
        <x:v>256</x:v>
      </x:c>
      <x:c r="N45" s="16" t="s">
        <x:v>295</x:v>
      </x:c>
      <x:c r="O45" s="18">
        <x:v>46249</x:v>
      </x:c>
      <x:c r="P45" s="19" t="s">
        <x:v>34</x:v>
      </x:c>
      <x:c r="Q45" s="17"/>
      <x:c r="R45" s="19" t="str">
        <x:f t="shared" si="0"/>
        <x:v>Discovery Link Only</x:v>
      </x:c>
      <x:c r="S45" s="43" t="str">
        <x:v>Unknown</x:v>
      </x:c>
      <x:c r="T45" s="43" t="str">
        <x:v>Unknown</x:v>
      </x:c>
      <x:c r="U45" s="43" t="str">
        <x:v>Unknown</x:v>
      </x:c>
      <x:c r="V45" s="43" t="str">
        <x:v>Unknown</x:v>
      </x:c>
      <x:c r="W45" s="43" t="str">
        <x:v>Unknown</x:v>
      </x:c>
      <x:c r="X45" s="43" t="str">
        <x:v>Unknown</x:v>
      </x:c>
      <x:c r="Y45" s="43" t="str">
        <x:v>Unknown</x:v>
      </x:c>
      <x:c r="Z45" s="43"/>
      <x:c r="AA45" s="43" t="str">
        <x:v>Excluded</x:v>
      </x:c>
      <x:c r="AB45" s="43" t="str">
        <x:v>No qualifying evidence source recorded</x:v>
      </x:c>
      <x:c r="AC45" s="43" t="str">
        <x:v>Excluded from Maya's elderly recommendation results because no source-backed elderly accessibility feature is recorded in the reviewed data. This does not mean the attraction is inaccessible.</x:v>
      </x:c>
      <x:c r="AD45" s="43" t="str">
        <x:v>2026-08-16</x:v>
      </x:c>
    </x:row>
    <x:row r="46" ht="60" customHeight="1">
      <x:c r="A46" s="16" t="s">
        <x:v>296</x:v>
      </x:c>
      <x:c r="B46" s="16" t="s">
        <x:v>297</x:v>
      </x:c>
      <x:c r="C46" s="16" t="s">
        <x:v>249</x:v>
      </x:c>
      <x:c r="D46" s="16" t="s">
        <x:v>298</x:v>
      </x:c>
      <x:c r="E46" s="16" t="s">
        <x:v>133</x:v>
      </x:c>
      <x:c r="F46" s="16" t="s">
        <x:v>25</x:v>
      </x:c>
      <x:c r="G46" s="16" t="s">
        <x:v>46</x:v>
      </x:c>
      <x:c r="H46" s="17" t="s">
        <x:v>299</x:v>
      </x:c>
      <x:c r="I46" s="17" t="s">
        <x:v>300</x:v>
      </x:c>
      <x:c r="J46" s="17" t="s">
        <x:v>301</x:v>
      </x:c>
      <x:c r="K46" s="17" t="s">
        <x:v>255</x:v>
      </x:c>
      <x:c r="L46" s="17" t="s">
        <x:v>58</x:v>
      </x:c>
      <x:c r="M46" s="17" t="s">
        <x:v>256</x:v>
      </x:c>
      <x:c r="N46" s="16" t="s">
        <x:v>302</x:v>
      </x:c>
      <x:c r="O46" s="18">
        <x:v>46249</x:v>
      </x:c>
      <x:c r="P46" s="19" t="s">
        <x:v>34</x:v>
      </x:c>
      <x:c r="Q46" s="17"/>
      <x:c r="R46" s="19" t="str">
        <x:f t="shared" si="0"/>
        <x:v>Discovery Link Only</x:v>
      </x:c>
      <x:c r="S46" s="43" t="str">
        <x:v>Unknown</x:v>
      </x:c>
      <x:c r="T46" s="43" t="str">
        <x:v>Unknown</x:v>
      </x:c>
      <x:c r="U46" s="43" t="str">
        <x:v>Unknown</x:v>
      </x:c>
      <x:c r="V46" s="43" t="str">
        <x:v>Unknown</x:v>
      </x:c>
      <x:c r="W46" s="43" t="str">
        <x:v>Unknown</x:v>
      </x:c>
      <x:c r="X46" s="43" t="str">
        <x:v>Unknown</x:v>
      </x:c>
      <x:c r="Y46" s="43" t="str">
        <x:v>Unknown</x:v>
      </x:c>
      <x:c r="Z46" s="43"/>
      <x:c r="AA46" s="43" t="str">
        <x:v>Excluded</x:v>
      </x:c>
      <x:c r="AB46" s="43" t="str">
        <x:v>No qualifying evidence source recorded</x:v>
      </x:c>
      <x:c r="AC46" s="43" t="str">
        <x:v>Excluded from Maya's elderly recommendation results because no source-backed elderly accessibility feature is recorded in the reviewed data. This does not mean the attraction is inaccessible.</x:v>
      </x:c>
      <x:c r="AD46" s="43" t="str">
        <x:v>2026-08-16</x:v>
      </x:c>
    </x:row>
    <x:row r="47" ht="60" customHeight="1">
      <x:c r="A47" s="16" t="s">
        <x:v>303</x:v>
      </x:c>
      <x:c r="B47" s="16" t="s">
        <x:v>304</x:v>
      </x:c>
      <x:c r="C47" s="16" t="s">
        <x:v>249</x:v>
      </x:c>
      <x:c r="D47" s="16" t="s">
        <x:v>305</x:v>
      </x:c>
      <x:c r="E47" s="16" t="s">
        <x:v>45</x:v>
      </x:c>
      <x:c r="F47" s="16" t="s">
        <x:v>25</x:v>
      </x:c>
      <x:c r="G47" s="16" t="s">
        <x:v>26</x:v>
      </x:c>
      <x:c r="H47" s="17" t="s">
        <x:v>306</x:v>
      </x:c>
      <x:c r="I47" s="17" t="s">
        <x:v>307</x:v>
      </x:c>
      <x:c r="J47" s="17" t="s">
        <x:v>308</x:v>
      </x:c>
      <x:c r="K47" s="17" t="s">
        <x:v>255</x:v>
      </x:c>
      <x:c r="L47" s="17" t="s">
        <x:v>58</x:v>
      </x:c>
      <x:c r="M47" s="17" t="s">
        <x:v>256</x:v>
      </x:c>
      <x:c r="N47" s="16" t="s">
        <x:v>309</x:v>
      </x:c>
      <x:c r="O47" s="18">
        <x:v>46249</x:v>
      </x:c>
      <x:c r="P47" s="19" t="s">
        <x:v>34</x:v>
      </x:c>
      <x:c r="Q47" s="17"/>
      <x:c r="R47" s="19" t="str">
        <x:f t="shared" si="0"/>
        <x:v>Discovery Link Only</x:v>
      </x:c>
      <x:c r="S47" s="43" t="str">
        <x:v>Unknown</x:v>
      </x:c>
      <x:c r="T47" s="43" t="str">
        <x:v>Unknown</x:v>
      </x:c>
      <x:c r="U47" s="43" t="str">
        <x:v>Unknown</x:v>
      </x:c>
      <x:c r="V47" s="43" t="str">
        <x:v>Unknown</x:v>
      </x:c>
      <x:c r="W47" s="43" t="str">
        <x:v>Unknown</x:v>
      </x:c>
      <x:c r="X47" s="43" t="str">
        <x:v>Unknown</x:v>
      </x:c>
      <x:c r="Y47" s="43" t="str">
        <x:v>Unknown</x:v>
      </x:c>
      <x:c r="Z47" s="43"/>
      <x:c r="AA47" s="43" t="str">
        <x:v>Excluded</x:v>
      </x:c>
      <x:c r="AB47" s="43" t="str">
        <x:v>No qualifying evidence source recorded</x:v>
      </x:c>
      <x:c r="AC47" s="43" t="str">
        <x:v>Excluded from Maya's elderly recommendation results because no source-backed elderly accessibility feature is recorded in the reviewed data. This does not mean the attraction is inaccessible.</x:v>
      </x:c>
      <x:c r="AD47" s="43" t="str">
        <x:v>2026-08-16</x:v>
      </x:c>
    </x:row>
    <x:row r="48" ht="60" customHeight="1">
      <x:c r="A48" s="16" t="s">
        <x:v>310</x:v>
      </x:c>
      <x:c r="B48" s="16" t="s">
        <x:v>311</x:v>
      </x:c>
      <x:c r="C48" s="16" t="s">
        <x:v>249</x:v>
      </x:c>
      <x:c r="D48" s="16" t="s">
        <x:v>312</x:v>
      </x:c>
      <x:c r="E48" s="16" t="s">
        <x:v>151</x:v>
      </x:c>
      <x:c r="F48" s="16" t="s">
        <x:v>121</x:v>
      </x:c>
      <x:c r="G48" s="16" t="s">
        <x:v>46</x:v>
      </x:c>
      <x:c r="H48" s="17" t="s">
        <x:v>313</x:v>
      </x:c>
      <x:c r="I48" s="17" t="s">
        <x:v>314</x:v>
      </x:c>
      <x:c r="J48" s="17" t="s">
        <x:v>315</x:v>
      </x:c>
      <x:c r="K48" s="17" t="s">
        <x:v>255</x:v>
      </x:c>
      <x:c r="L48" s="17" t="s">
        <x:v>58</x:v>
      </x:c>
      <x:c r="M48" s="17" t="s">
        <x:v>256</x:v>
      </x:c>
      <x:c r="N48" s="16" t="s">
        <x:v>316</x:v>
      </x:c>
      <x:c r="O48" s="18">
        <x:v>46249</x:v>
      </x:c>
      <x:c r="P48" s="19" t="s">
        <x:v>34</x:v>
      </x:c>
      <x:c r="Q48" s="17"/>
      <x:c r="R48" s="19" t="str">
        <x:f t="shared" si="0"/>
        <x:v>Discovery Link Only</x:v>
      </x:c>
      <x:c r="S48" s="43" t="str">
        <x:v>Unknown</x:v>
      </x:c>
      <x:c r="T48" s="43" t="str">
        <x:v>Unknown</x:v>
      </x:c>
      <x:c r="U48" s="43" t="str">
        <x:v>Unknown</x:v>
      </x:c>
      <x:c r="V48" s="43" t="str">
        <x:v>Unknown</x:v>
      </x:c>
      <x:c r="W48" s="43" t="str">
        <x:v>Unknown</x:v>
      </x:c>
      <x:c r="X48" s="43" t="str">
        <x:v>Unknown</x:v>
      </x:c>
      <x:c r="Y48" s="43" t="str">
        <x:v>Unknown</x:v>
      </x:c>
      <x:c r="Z48" s="43"/>
      <x:c r="AA48" s="43" t="str">
        <x:v>Excluded</x:v>
      </x:c>
      <x:c r="AB48" s="43" t="str">
        <x:v>No qualifying evidence source recorded</x:v>
      </x:c>
      <x:c r="AC48" s="43" t="str">
        <x:v>Excluded from Maya's elderly recommendation results because no source-backed elderly accessibility feature is recorded in the reviewed data. This does not mean the attraction is inaccessible.</x:v>
      </x:c>
      <x:c r="AD48" s="43" t="str">
        <x:v>2026-08-16</x:v>
      </x:c>
    </x:row>
    <x:row r="49" ht="60" customHeight="1">
      <x:c r="A49" s="16" t="s">
        <x:v>317</x:v>
      </x:c>
      <x:c r="B49" s="16" t="s">
        <x:v>318</x:v>
      </x:c>
      <x:c r="C49" s="16" t="s">
        <x:v>249</x:v>
      </x:c>
      <x:c r="D49" s="16" t="s">
        <x:v>267</x:v>
      </x:c>
      <x:c r="E49" s="16" t="s">
        <x:v>45</x:v>
      </x:c>
      <x:c r="F49" s="16" t="s">
        <x:v>107</x:v>
      </x:c>
      <x:c r="G49" s="16" t="s">
        <x:v>26</x:v>
      </x:c>
      <x:c r="H49" s="17" t="s">
        <x:v>319</x:v>
      </x:c>
      <x:c r="I49" s="17" t="s">
        <x:v>320</x:v>
      </x:c>
      <x:c r="J49" s="17" t="s">
        <x:v>321</x:v>
      </x:c>
      <x:c r="K49" s="17" t="s">
        <x:v>255</x:v>
      </x:c>
      <x:c r="L49" s="17" t="s">
        <x:v>111</x:v>
      </x:c>
      <x:c r="M49" s="17" t="s">
        <x:v>322</x:v>
      </x:c>
      <x:c r="N49" s="16"/>
      <x:c r="O49" s="18">
        <x:v>46249</x:v>
      </x:c>
      <x:c r="P49" s="19" t="s">
        <x:v>34</x:v>
      </x:c>
      <x:c r="Q49" s="17"/>
      <x:c r="R49" s="19" t="str">
        <x:f t="shared" si="0"/>
        <x:v>Discovery Link Only</x:v>
      </x:c>
      <x:c r="S49" s="43" t="str">
        <x:v>Unknown</x:v>
      </x:c>
      <x:c r="T49" s="43" t="str">
        <x:v>Unknown</x:v>
      </x:c>
      <x:c r="U49" s="43" t="str">
        <x:v>Unknown</x:v>
      </x:c>
      <x:c r="V49" s="43" t="str">
        <x:v>Unknown</x:v>
      </x:c>
      <x:c r="W49" s="43" t="str">
        <x:v>Unknown</x:v>
      </x:c>
      <x:c r="X49" s="43" t="str">
        <x:v>Unknown</x:v>
      </x:c>
      <x:c r="Y49" s="43" t="str">
        <x:v>Unknown</x:v>
      </x:c>
      <x:c r="Z49" s="43"/>
      <x:c r="AA49" s="43" t="str">
        <x:v>Excluded</x:v>
      </x:c>
      <x:c r="AB49" s="43" t="str">
        <x:v>No qualifying evidence source recorded</x:v>
      </x:c>
      <x:c r="AC49" s="43" t="str">
        <x:v>Excluded from Maya's elderly recommendation results because no source-backed elderly accessibility feature is recorded in the reviewed data. This does not mean the attraction is inaccessible.</x:v>
      </x:c>
      <x:c r="AD49" s="43" t="str">
        <x:v>2026-08-16</x:v>
      </x:c>
    </x:row>
    <x:row r="50" ht="60" customHeight="1">
      <x:c r="A50" s="16" t="s">
        <x:v>323</x:v>
      </x:c>
      <x:c r="B50" s="16" t="s">
        <x:v>324</x:v>
      </x:c>
      <x:c r="C50" s="16" t="s">
        <x:v>249</x:v>
      </x:c>
      <x:c r="D50" s="16" t="s">
        <x:v>267</x:v>
      </x:c>
      <x:c r="E50" s="16" t="s">
        <x:v>45</x:v>
      </x:c>
      <x:c r="F50" s="16" t="s">
        <x:v>107</x:v>
      </x:c>
      <x:c r="G50" s="16" t="s">
        <x:v>26</x:v>
      </x:c>
      <x:c r="H50" s="17" t="s">
        <x:v>325</x:v>
      </x:c>
      <x:c r="I50" s="17" t="s">
        <x:v>326</x:v>
      </x:c>
      <x:c r="J50" s="17" t="s">
        <x:v>327</x:v>
      </x:c>
      <x:c r="K50" s="17" t="s">
        <x:v>255</x:v>
      </x:c>
      <x:c r="L50" s="17" t="s">
        <x:v>111</x:v>
      </x:c>
      <x:c r="M50" s="17" t="s">
        <x:v>322</x:v>
      </x:c>
      <x:c r="N50" s="16"/>
      <x:c r="O50" s="18">
        <x:v>46249</x:v>
      </x:c>
      <x:c r="P50" s="19" t="s">
        <x:v>34</x:v>
      </x:c>
      <x:c r="Q50" s="17"/>
      <x:c r="R50" s="19" t="str">
        <x:f t="shared" si="0"/>
        <x:v>Discovery Link Only</x:v>
      </x:c>
      <x:c r="S50" s="43" t="str">
        <x:v>Unknown</x:v>
      </x:c>
      <x:c r="T50" s="43" t="str">
        <x:v>Unknown</x:v>
      </x:c>
      <x:c r="U50" s="43" t="str">
        <x:v>Unknown</x:v>
      </x:c>
      <x:c r="V50" s="43" t="str">
        <x:v>Unknown</x:v>
      </x:c>
      <x:c r="W50" s="43" t="str">
        <x:v>Unknown</x:v>
      </x:c>
      <x:c r="X50" s="43" t="str">
        <x:v>Unknown</x:v>
      </x:c>
      <x:c r="Y50" s="43" t="str">
        <x:v>Unknown</x:v>
      </x:c>
      <x:c r="Z50" s="43"/>
      <x:c r="AA50" s="43" t="str">
        <x:v>Excluded</x:v>
      </x:c>
      <x:c r="AB50" s="43" t="str">
        <x:v>No qualifying evidence source recorded</x:v>
      </x:c>
      <x:c r="AC50" s="43" t="str">
        <x:v>Excluded from Maya's elderly recommendation results because no source-backed elderly accessibility feature is recorded in the reviewed data. This does not mean the attraction is inaccessible.</x:v>
      </x:c>
      <x:c r="AD50" s="43" t="str">
        <x:v>2026-08-16</x:v>
      </x:c>
    </x:row>
    <x:row r="51" ht="60" customHeight="1">
      <x:c r="A51" s="16" t="s">
        <x:v>328</x:v>
      </x:c>
      <x:c r="B51" s="16" t="s">
        <x:v>329</x:v>
      </x:c>
      <x:c r="C51" s="16" t="s">
        <x:v>249</x:v>
      </x:c>
      <x:c r="D51" s="16" t="s">
        <x:v>267</x:v>
      </x:c>
      <x:c r="E51" s="16" t="s">
        <x:v>72</x:v>
      </x:c>
      <x:c r="F51" s="16" t="s">
        <x:v>107</x:v>
      </x:c>
      <x:c r="G51" s="16" t="s">
        <x:v>26</x:v>
      </x:c>
      <x:c r="H51" s="17" t="s">
        <x:v>330</x:v>
      </x:c>
      <x:c r="I51" s="17" t="s">
        <x:v>331</x:v>
      </x:c>
      <x:c r="J51" s="17" t="s">
        <x:v>332</x:v>
      </x:c>
      <x:c r="K51" s="17" t="s">
        <x:v>255</x:v>
      </x:c>
      <x:c r="L51" s="17" t="s">
        <x:v>111</x:v>
      </x:c>
      <x:c r="M51" s="17" t="s">
        <x:v>322</x:v>
      </x:c>
      <x:c r="N51" s="16"/>
      <x:c r="O51" s="18">
        <x:v>46249</x:v>
      </x:c>
      <x:c r="P51" s="19" t="s">
        <x:v>34</x:v>
      </x:c>
      <x:c r="Q51" s="17"/>
      <x:c r="R51" s="19" t="str">
        <x:f t="shared" si="0"/>
        <x:v>Discovery Link Only</x:v>
      </x:c>
      <x:c r="S51" s="43" t="str">
        <x:v>Unknown</x:v>
      </x:c>
      <x:c r="T51" s="43" t="str">
        <x:v>Unknown</x:v>
      </x:c>
      <x:c r="U51" s="43" t="str">
        <x:v>Unknown</x:v>
      </x:c>
      <x:c r="V51" s="43" t="str">
        <x:v>Unknown</x:v>
      </x:c>
      <x:c r="W51" s="43" t="str">
        <x:v>Unknown</x:v>
      </x:c>
      <x:c r="X51" s="43" t="str">
        <x:v>Unknown</x:v>
      </x:c>
      <x:c r="Y51" s="43" t="str">
        <x:v>Unknown</x:v>
      </x:c>
      <x:c r="Z51" s="43"/>
      <x:c r="AA51" s="43" t="str">
        <x:v>Excluded</x:v>
      </x:c>
      <x:c r="AB51" s="43" t="str">
        <x:v>No qualifying evidence source recorded</x:v>
      </x:c>
      <x:c r="AC51" s="43" t="str">
        <x:v>Excluded from Maya's elderly recommendation results because no source-backed elderly accessibility feature is recorded in the reviewed data. This does not mean the attraction is inaccessible.</x:v>
      </x:c>
      <x:c r="AD51" s="43" t="str">
        <x:v>2026-08-16</x:v>
      </x:c>
    </x:row>
    <x:row r="52" ht="60" customHeight="1">
      <x:c r="A52" s="16" t="s">
        <x:v>333</x:v>
      </x:c>
      <x:c r="B52" s="16" t="s">
        <x:v>334</x:v>
      </x:c>
      <x:c r="C52" s="16" t="s">
        <x:v>249</x:v>
      </x:c>
      <x:c r="D52" s="16" t="s">
        <x:v>267</x:v>
      </x:c>
      <x:c r="E52" s="16" t="s">
        <x:v>72</x:v>
      </x:c>
      <x:c r="F52" s="16" t="s">
        <x:v>127</x:v>
      </x:c>
      <x:c r="G52" s="16" t="s">
        <x:v>26</x:v>
      </x:c>
      <x:c r="H52" s="17" t="s">
        <x:v>335</x:v>
      </x:c>
      <x:c r="I52" s="17" t="s">
        <x:v>336</x:v>
      </x:c>
      <x:c r="J52" s="17" t="s">
        <x:v>337</x:v>
      </x:c>
      <x:c r="K52" s="17" t="s">
        <x:v>255</x:v>
      </x:c>
      <x:c r="L52" s="17" t="s">
        <x:v>111</x:v>
      </x:c>
      <x:c r="M52" s="17" t="s">
        <x:v>322</x:v>
      </x:c>
      <x:c r="N52" s="16"/>
      <x:c r="O52" s="18">
        <x:v>46249</x:v>
      </x:c>
      <x:c r="P52" s="19" t="s">
        <x:v>34</x:v>
      </x:c>
      <x:c r="Q52" s="17"/>
      <x:c r="R52" s="19" t="str">
        <x:f t="shared" si="0"/>
        <x:v>Discovery Link Only</x:v>
      </x:c>
      <x:c r="S52" s="43" t="str">
        <x:v>Unknown</x:v>
      </x:c>
      <x:c r="T52" s="43" t="str">
        <x:v>Unknown</x:v>
      </x:c>
      <x:c r="U52" s="43" t="str">
        <x:v>Unknown</x:v>
      </x:c>
      <x:c r="V52" s="43" t="str">
        <x:v>Unknown</x:v>
      </x:c>
      <x:c r="W52" s="43" t="str">
        <x:v>Unknown</x:v>
      </x:c>
      <x:c r="X52" s="43" t="str">
        <x:v>Unknown</x:v>
      </x:c>
      <x:c r="Y52" s="43" t="str">
        <x:v>Unknown</x:v>
      </x:c>
      <x:c r="Z52" s="43"/>
      <x:c r="AA52" s="43" t="str">
        <x:v>Excluded</x:v>
      </x:c>
      <x:c r="AB52" s="43" t="str">
        <x:v>No qualifying evidence source recorded</x:v>
      </x:c>
      <x:c r="AC52" s="43" t="str">
        <x:v>Excluded from Maya's elderly recommendation results because no source-backed elderly accessibility feature is recorded in the reviewed data. This does not mean the attraction is inaccessible.</x:v>
      </x:c>
      <x:c r="AD52" s="43" t="str">
        <x:v>2026-08-16</x:v>
      </x:c>
    </x:row>
    <x:row r="53" ht="60" customHeight="1">
      <x:c r="A53" s="16" t="s">
        <x:v>338</x:v>
      </x:c>
      <x:c r="B53" s="16" t="s">
        <x:v>339</x:v>
      </x:c>
      <x:c r="C53" s="16" t="s">
        <x:v>249</x:v>
      </x:c>
      <x:c r="D53" s="16" t="s">
        <x:v>267</x:v>
      </x:c>
      <x:c r="E53" s="16" t="s">
        <x:v>99</x:v>
      </x:c>
      <x:c r="F53" s="16" t="s">
        <x:v>121</x:v>
      </x:c>
      <x:c r="G53" s="16" t="s">
        <x:v>46</x:v>
      </x:c>
      <x:c r="H53" s="17" t="s">
        <x:v>340</x:v>
      </x:c>
      <x:c r="I53" s="17" t="s">
        <x:v>341</x:v>
      </x:c>
      <x:c r="J53" s="17" t="s">
        <x:v>342</x:v>
      </x:c>
      <x:c r="K53" s="17" t="s">
        <x:v>255</x:v>
      </x:c>
      <x:c r="L53" s="17" t="s">
        <x:v>111</x:v>
      </x:c>
      <x:c r="M53" s="17" t="s">
        <x:v>322</x:v>
      </x:c>
      <x:c r="N53" s="16"/>
      <x:c r="O53" s="18">
        <x:v>46249</x:v>
      </x:c>
      <x:c r="P53" s="19" t="s">
        <x:v>34</x:v>
      </x:c>
      <x:c r="Q53" s="17"/>
      <x:c r="R53" s="19" t="str">
        <x:f t="shared" si="0"/>
        <x:v>Discovery Link Only</x:v>
      </x:c>
      <x:c r="S53" s="43" t="str">
        <x:v>Unknown</x:v>
      </x:c>
      <x:c r="T53" s="43" t="str">
        <x:v>Unknown</x:v>
      </x:c>
      <x:c r="U53" s="43" t="str">
        <x:v>Unknown</x:v>
      </x:c>
      <x:c r="V53" s="43" t="str">
        <x:v>Unknown</x:v>
      </x:c>
      <x:c r="W53" s="43" t="str">
        <x:v>Unknown</x:v>
      </x:c>
      <x:c r="X53" s="43" t="str">
        <x:v>Unknown</x:v>
      </x:c>
      <x:c r="Y53" s="43" t="str">
        <x:v>Unknown</x:v>
      </x:c>
      <x:c r="Z53" s="43"/>
      <x:c r="AA53" s="43" t="str">
        <x:v>Excluded</x:v>
      </x:c>
      <x:c r="AB53" s="43" t="str">
        <x:v>No qualifying evidence source recorded</x:v>
      </x:c>
      <x:c r="AC53" s="43" t="str">
        <x:v>Excluded from Maya's elderly recommendation results because no source-backed elderly accessibility feature is recorded in the reviewed data. This does not mean the attraction is inaccessible.</x:v>
      </x:c>
      <x:c r="AD53" s="43" t="str">
        <x:v>2026-08-16</x:v>
      </x:c>
    </x:row>
    <x:row r="54" ht="60" customHeight="1">
      <x:c r="A54" s="16" t="s">
        <x:v>343</x:v>
      </x:c>
      <x:c r="B54" s="16" t="s">
        <x:v>344</x:v>
      </x:c>
      <x:c r="C54" s="16" t="s">
        <x:v>249</x:v>
      </x:c>
      <x:c r="D54" s="16" t="s">
        <x:v>267</x:v>
      </x:c>
      <x:c r="E54" s="16" t="s">
        <x:v>162</x:v>
      </x:c>
      <x:c r="F54" s="16" t="s">
        <x:v>121</x:v>
      </x:c>
      <x:c r="G54" s="16" t="s">
        <x:v>46</x:v>
      </x:c>
      <x:c r="H54" s="17" t="s">
        <x:v>163</x:v>
      </x:c>
      <x:c r="I54" s="17" t="s">
        <x:v>345</x:v>
      </x:c>
      <x:c r="J54" s="17" t="s">
        <x:v>346</x:v>
      </x:c>
      <x:c r="K54" s="17" t="s">
        <x:v>255</x:v>
      </x:c>
      <x:c r="L54" s="17" t="s">
        <x:v>111</x:v>
      </x:c>
      <x:c r="M54" s="17" t="s">
        <x:v>322</x:v>
      </x:c>
      <x:c r="N54" s="16"/>
      <x:c r="O54" s="18">
        <x:v>46249</x:v>
      </x:c>
      <x:c r="P54" s="19" t="s">
        <x:v>34</x:v>
      </x:c>
      <x:c r="Q54" s="17"/>
      <x:c r="R54" s="19" t="str">
        <x:f t="shared" si="0"/>
        <x:v>Discovery Link Only</x:v>
      </x:c>
      <x:c r="S54" s="43" t="str">
        <x:v>Unknown</x:v>
      </x:c>
      <x:c r="T54" s="43" t="str">
        <x:v>Unknown</x:v>
      </x:c>
      <x:c r="U54" s="43" t="str">
        <x:v>Unknown</x:v>
      </x:c>
      <x:c r="V54" s="43" t="str">
        <x:v>Unknown</x:v>
      </x:c>
      <x:c r="W54" s="43" t="str">
        <x:v>Unknown</x:v>
      </x:c>
      <x:c r="X54" s="43" t="str">
        <x:v>Unknown</x:v>
      </x:c>
      <x:c r="Y54" s="43" t="str">
        <x:v>Unknown</x:v>
      </x:c>
      <x:c r="Z54" s="43"/>
      <x:c r="AA54" s="43" t="str">
        <x:v>Excluded</x:v>
      </x:c>
      <x:c r="AB54" s="43" t="str">
        <x:v>No qualifying evidence source recorded</x:v>
      </x:c>
      <x:c r="AC54" s="43" t="str">
        <x:v>Excluded from Maya's elderly recommendation results because no source-backed elderly accessibility feature is recorded in the reviewed data. This does not mean the attraction is inaccessible.</x:v>
      </x:c>
      <x:c r="AD54" s="43" t="str">
        <x:v>2026-08-16</x:v>
      </x:c>
    </x:row>
    <x:row r="55" ht="60" customHeight="1">
      <x:c r="A55" s="16" t="s">
        <x:v>347</x:v>
      </x:c>
      <x:c r="B55" s="16" t="s">
        <x:v>348</x:v>
      </x:c>
      <x:c r="C55" s="16" t="s">
        <x:v>249</x:v>
      </x:c>
      <x:c r="D55" s="16" t="s">
        <x:v>312</x:v>
      </x:c>
      <x:c r="E55" s="16" t="s">
        <x:v>106</x:v>
      </x:c>
      <x:c r="F55" s="16" t="s">
        <x:v>107</x:v>
      </x:c>
      <x:c r="G55" s="16" t="s">
        <x:v>46</x:v>
      </x:c>
      <x:c r="H55" s="17" t="s">
        <x:v>349</x:v>
      </x:c>
      <x:c r="I55" s="17" t="s">
        <x:v>350</x:v>
      </x:c>
      <x:c r="J55" s="17" t="s">
        <x:v>351</x:v>
      </x:c>
      <x:c r="K55" s="17" t="s">
        <x:v>255</x:v>
      </x:c>
      <x:c r="L55" s="17" t="s">
        <x:v>111</x:v>
      </x:c>
      <x:c r="M55" s="17" t="s">
        <x:v>322</x:v>
      </x:c>
      <x:c r="N55" s="16"/>
      <x:c r="O55" s="18">
        <x:v>46249</x:v>
      </x:c>
      <x:c r="P55" s="19" t="s">
        <x:v>34</x:v>
      </x:c>
      <x:c r="Q55" s="17"/>
      <x:c r="R55" s="19" t="str">
        <x:f t="shared" si="0"/>
        <x:v>Discovery Link Only</x:v>
      </x:c>
      <x:c r="S55" s="43" t="str">
        <x:v>Unknown</x:v>
      </x:c>
      <x:c r="T55" s="43" t="str">
        <x:v>Unknown</x:v>
      </x:c>
      <x:c r="U55" s="43" t="str">
        <x:v>Unknown</x:v>
      </x:c>
      <x:c r="V55" s="43" t="str">
        <x:v>Unknown</x:v>
      </x:c>
      <x:c r="W55" s="43" t="str">
        <x:v>Unknown</x:v>
      </x:c>
      <x:c r="X55" s="43" t="str">
        <x:v>Unknown</x:v>
      </x:c>
      <x:c r="Y55" s="43" t="str">
        <x:v>Unknown</x:v>
      </x:c>
      <x:c r="Z55" s="43"/>
      <x:c r="AA55" s="43" t="str">
        <x:v>Excluded</x:v>
      </x:c>
      <x:c r="AB55" s="43" t="str">
        <x:v>No qualifying evidence source recorded</x:v>
      </x:c>
      <x:c r="AC55" s="43" t="str">
        <x:v>Excluded from Maya's elderly recommendation results because no source-backed elderly accessibility feature is recorded in the reviewed data. This does not mean the attraction is inaccessible.</x:v>
      </x:c>
      <x:c r="AD55" s="43" t="str">
        <x:v>2026-08-16</x:v>
      </x:c>
    </x:row>
    <x:row r="56" ht="60" customHeight="1">
      <x:c r="A56" s="16" t="s">
        <x:v>352</x:v>
      </x:c>
      <x:c r="B56" s="16" t="s">
        <x:v>353</x:v>
      </x:c>
      <x:c r="C56" s="16" t="s">
        <x:v>249</x:v>
      </x:c>
      <x:c r="D56" s="16" t="s">
        <x:v>312</x:v>
      </x:c>
      <x:c r="E56" s="16" t="s">
        <x:v>115</x:v>
      </x:c>
      <x:c r="F56" s="16" t="s">
        <x:v>127</x:v>
      </x:c>
      <x:c r="G56" s="16" t="s">
        <x:v>46</x:v>
      </x:c>
      <x:c r="H56" s="17" t="s">
        <x:v>354</x:v>
      </x:c>
      <x:c r="I56" s="17" t="s">
        <x:v>355</x:v>
      </x:c>
      <x:c r="J56" s="17" t="s">
        <x:v>356</x:v>
      </x:c>
      <x:c r="K56" s="17" t="s">
        <x:v>255</x:v>
      </x:c>
      <x:c r="L56" s="17" t="s">
        <x:v>111</x:v>
      </x:c>
      <x:c r="M56" s="17" t="s">
        <x:v>322</x:v>
      </x:c>
      <x:c r="N56" s="16"/>
      <x:c r="O56" s="18">
        <x:v>46249</x:v>
      </x:c>
      <x:c r="P56" s="19" t="s">
        <x:v>34</x:v>
      </x:c>
      <x:c r="Q56" s="17"/>
      <x:c r="R56" s="19" t="str">
        <x:f t="shared" si="0"/>
        <x:v>Discovery Link Only</x:v>
      </x:c>
      <x:c r="S56" s="43" t="str">
        <x:v>Unknown</x:v>
      </x:c>
      <x:c r="T56" s="43" t="str">
        <x:v>Unknown</x:v>
      </x:c>
      <x:c r="U56" s="43" t="str">
        <x:v>Unknown</x:v>
      </x:c>
      <x:c r="V56" s="43" t="str">
        <x:v>Unknown</x:v>
      </x:c>
      <x:c r="W56" s="43" t="str">
        <x:v>Unknown</x:v>
      </x:c>
      <x:c r="X56" s="43" t="str">
        <x:v>Unknown</x:v>
      </x:c>
      <x:c r="Y56" s="43" t="str">
        <x:v>Unknown</x:v>
      </x:c>
      <x:c r="Z56" s="43"/>
      <x:c r="AA56" s="43" t="str">
        <x:v>Excluded</x:v>
      </x:c>
      <x:c r="AB56" s="43" t="str">
        <x:v>No qualifying evidence source recorded</x:v>
      </x:c>
      <x:c r="AC56" s="43" t="str">
        <x:v>Excluded from Maya's elderly recommendation results because no source-backed elderly accessibility feature is recorded in the reviewed data. This does not mean the attraction is inaccessible.</x:v>
      </x:c>
      <x:c r="AD56" s="43" t="str">
        <x:v>2026-08-16</x:v>
      </x:c>
    </x:row>
    <x:row r="57" ht="60" customHeight="1">
      <x:c r="A57" s="16" t="s">
        <x:v>357</x:v>
      </x:c>
      <x:c r="B57" s="16" t="s">
        <x:v>358</x:v>
      </x:c>
      <x:c r="C57" s="16" t="s">
        <x:v>249</x:v>
      </x:c>
      <x:c r="D57" s="16" t="s">
        <x:v>312</x:v>
      </x:c>
      <x:c r="E57" s="16" t="s">
        <x:v>151</x:v>
      </x:c>
      <x:c r="F57" s="16" t="s">
        <x:v>121</x:v>
      </x:c>
      <x:c r="G57" s="16" t="s">
        <x:v>134</x:v>
      </x:c>
      <x:c r="H57" s="17" t="s">
        <x:v>359</x:v>
      </x:c>
      <x:c r="I57" s="17" t="s">
        <x:v>360</x:v>
      </x:c>
      <x:c r="J57" s="17" t="s">
        <x:v>361</x:v>
      </x:c>
      <x:c r="K57" s="17" t="s">
        <x:v>255</x:v>
      </x:c>
      <x:c r="L57" s="17" t="s">
        <x:v>111</x:v>
      </x:c>
      <x:c r="M57" s="17" t="s">
        <x:v>322</x:v>
      </x:c>
      <x:c r="N57" s="16"/>
      <x:c r="O57" s="18">
        <x:v>46249</x:v>
      </x:c>
      <x:c r="P57" s="19" t="s">
        <x:v>34</x:v>
      </x:c>
      <x:c r="Q57" s="17"/>
      <x:c r="R57" s="19" t="str">
        <x:f t="shared" si="0"/>
        <x:v>Discovery Link Only</x:v>
      </x:c>
      <x:c r="S57" s="43" t="str">
        <x:v>Unknown</x:v>
      </x:c>
      <x:c r="T57" s="43" t="str">
        <x:v>Unknown</x:v>
      </x:c>
      <x:c r="U57" s="43" t="str">
        <x:v>Unknown</x:v>
      </x:c>
      <x:c r="V57" s="43" t="str">
        <x:v>Unknown</x:v>
      </x:c>
      <x:c r="W57" s="43" t="str">
        <x:v>Unknown</x:v>
      </x:c>
      <x:c r="X57" s="43" t="str">
        <x:v>Unknown</x:v>
      </x:c>
      <x:c r="Y57" s="43" t="str">
        <x:v>Unknown</x:v>
      </x:c>
      <x:c r="Z57" s="43"/>
      <x:c r="AA57" s="43" t="str">
        <x:v>Excluded</x:v>
      </x:c>
      <x:c r="AB57" s="43" t="str">
        <x:v>No qualifying evidence source recorded</x:v>
      </x:c>
      <x:c r="AC57" s="43" t="str">
        <x:v>Excluded from Maya's elderly recommendation results because no source-backed elderly accessibility feature is recorded in the reviewed data. This does not mean the attraction is inaccessible.</x:v>
      </x:c>
      <x:c r="AD57" s="43" t="str">
        <x:v>2026-08-16</x:v>
      </x:c>
    </x:row>
    <x:row r="58" ht="60" customHeight="1">
      <x:c r="A58" s="16" t="s">
        <x:v>362</x:v>
      </x:c>
      <x:c r="B58" s="16" t="s">
        <x:v>363</x:v>
      </x:c>
      <x:c r="C58" s="16" t="s">
        <x:v>249</x:v>
      </x:c>
      <x:c r="D58" s="16" t="s">
        <x:v>312</x:v>
      </x:c>
      <x:c r="E58" s="16" t="s">
        <x:v>133</x:v>
      </x:c>
      <x:c r="F58" s="16" t="s">
        <x:v>121</x:v>
      </x:c>
      <x:c r="G58" s="16" t="s">
        <x:v>134</x:v>
      </x:c>
      <x:c r="H58" s="17" t="s">
        <x:v>364</x:v>
      </x:c>
      <x:c r="I58" s="17" t="s">
        <x:v>365</x:v>
      </x:c>
      <x:c r="J58" s="17" t="s">
        <x:v>366</x:v>
      </x:c>
      <x:c r="K58" s="17" t="s">
        <x:v>255</x:v>
      </x:c>
      <x:c r="L58" s="17" t="s">
        <x:v>111</x:v>
      </x:c>
      <x:c r="M58" s="17" t="s">
        <x:v>322</x:v>
      </x:c>
      <x:c r="N58" s="16"/>
      <x:c r="O58" s="18">
        <x:v>46249</x:v>
      </x:c>
      <x:c r="P58" s="19" t="s">
        <x:v>34</x:v>
      </x:c>
      <x:c r="Q58" s="17"/>
      <x:c r="R58" s="19" t="str">
        <x:f t="shared" si="0"/>
        <x:v>Discovery Link Only</x:v>
      </x:c>
      <x:c r="S58" s="43" t="str">
        <x:v>Unknown</x:v>
      </x:c>
      <x:c r="T58" s="43" t="str">
        <x:v>Unknown</x:v>
      </x:c>
      <x:c r="U58" s="43" t="str">
        <x:v>Unknown</x:v>
      </x:c>
      <x:c r="V58" s="43" t="str">
        <x:v>Unknown</x:v>
      </x:c>
      <x:c r="W58" s="43" t="str">
        <x:v>Unknown</x:v>
      </x:c>
      <x:c r="X58" s="43" t="str">
        <x:v>Unknown</x:v>
      </x:c>
      <x:c r="Y58" s="43" t="str">
        <x:v>Unknown</x:v>
      </x:c>
      <x:c r="Z58" s="43"/>
      <x:c r="AA58" s="43" t="str">
        <x:v>Excluded</x:v>
      </x:c>
      <x:c r="AB58" s="43" t="str">
        <x:v>No qualifying evidence source recorded</x:v>
      </x:c>
      <x:c r="AC58" s="43" t="str">
        <x:v>Excluded from Maya's elderly recommendation results because no source-backed elderly accessibility feature is recorded in the reviewed data. This does not mean the attraction is inaccessible.</x:v>
      </x:c>
      <x:c r="AD58" s="43" t="str">
        <x:v>2026-08-16</x:v>
      </x:c>
    </x:row>
    <x:row r="59" ht="60" customHeight="1">
      <x:c r="A59" s="16" t="s">
        <x:v>367</x:v>
      </x:c>
      <x:c r="B59" s="16" t="s">
        <x:v>368</x:v>
      </x:c>
      <x:c r="C59" s="16" t="s">
        <x:v>249</x:v>
      </x:c>
      <x:c r="D59" s="16" t="s">
        <x:v>369</x:v>
      </x:c>
      <x:c r="E59" s="16" t="s">
        <x:v>115</x:v>
      </x:c>
      <x:c r="F59" s="16" t="s">
        <x:v>107</x:v>
      </x:c>
      <x:c r="G59" s="16" t="s">
        <x:v>46</x:v>
      </x:c>
      <x:c r="H59" s="17" t="s">
        <x:v>370</x:v>
      </x:c>
      <x:c r="I59" s="17" t="s">
        <x:v>371</x:v>
      </x:c>
      <x:c r="J59" s="17" t="s">
        <x:v>372</x:v>
      </x:c>
      <x:c r="K59" s="17" t="s">
        <x:v>255</x:v>
      </x:c>
      <x:c r="L59" s="17" t="s">
        <x:v>111</x:v>
      </x:c>
      <x:c r="M59" s="17" t="s">
        <x:v>322</x:v>
      </x:c>
      <x:c r="N59" s="16"/>
      <x:c r="O59" s="18">
        <x:v>46249</x:v>
      </x:c>
      <x:c r="P59" s="19" t="s">
        <x:v>34</x:v>
      </x:c>
      <x:c r="Q59" s="17"/>
      <x:c r="R59" s="19" t="str">
        <x:f t="shared" si="0"/>
        <x:v>Discovery Link Only</x:v>
      </x:c>
      <x:c r="S59" s="43" t="str">
        <x:v>Unknown</x:v>
      </x:c>
      <x:c r="T59" s="43" t="str">
        <x:v>Unknown</x:v>
      </x:c>
      <x:c r="U59" s="43" t="str">
        <x:v>Unknown</x:v>
      </x:c>
      <x:c r="V59" s="43" t="str">
        <x:v>Unknown</x:v>
      </x:c>
      <x:c r="W59" s="43" t="str">
        <x:v>Unknown</x:v>
      </x:c>
      <x:c r="X59" s="43" t="str">
        <x:v>Unknown</x:v>
      </x:c>
      <x:c r="Y59" s="43" t="str">
        <x:v>Unknown</x:v>
      </x:c>
      <x:c r="Z59" s="43"/>
      <x:c r="AA59" s="43" t="str">
        <x:v>Excluded</x:v>
      </x:c>
      <x:c r="AB59" s="43" t="str">
        <x:v>No qualifying evidence source recorded</x:v>
      </x:c>
      <x:c r="AC59" s="43" t="str">
        <x:v>Excluded from Maya's elderly recommendation results because no source-backed elderly accessibility feature is recorded in the reviewed data. This does not mean the attraction is inaccessible.</x:v>
      </x:c>
      <x:c r="AD59" s="43" t="str">
        <x:v>2026-08-16</x:v>
      </x:c>
    </x:row>
    <x:row r="60" ht="60" customHeight="1">
      <x:c r="A60" s="16" t="s">
        <x:v>373</x:v>
      </x:c>
      <x:c r="B60" s="16" t="s">
        <x:v>374</x:v>
      </x:c>
      <x:c r="C60" s="16" t="s">
        <x:v>249</x:v>
      </x:c>
      <x:c r="D60" s="16" t="s">
        <x:v>305</x:v>
      </x:c>
      <x:c r="E60" s="16" t="s">
        <x:v>45</x:v>
      </x:c>
      <x:c r="F60" s="16" t="s">
        <x:v>107</x:v>
      </x:c>
      <x:c r="G60" s="16" t="s">
        <x:v>26</x:v>
      </x:c>
      <x:c r="H60" s="17" t="s">
        <x:v>375</x:v>
      </x:c>
      <x:c r="I60" s="17" t="s">
        <x:v>376</x:v>
      </x:c>
      <x:c r="J60" s="17" t="s">
        <x:v>377</x:v>
      </x:c>
      <x:c r="K60" s="17" t="s">
        <x:v>255</x:v>
      </x:c>
      <x:c r="L60" s="17" t="s">
        <x:v>111</x:v>
      </x:c>
      <x:c r="M60" s="17" t="s">
        <x:v>322</x:v>
      </x:c>
      <x:c r="N60" s="16"/>
      <x:c r="O60" s="18">
        <x:v>46249</x:v>
      </x:c>
      <x:c r="P60" s="19" t="s">
        <x:v>34</x:v>
      </x:c>
      <x:c r="Q60" s="17"/>
      <x:c r="R60" s="19" t="str">
        <x:f t="shared" si="0"/>
        <x:v>Discovery Link Only</x:v>
      </x:c>
      <x:c r="S60" s="43" t="str">
        <x:v>Unknown</x:v>
      </x:c>
      <x:c r="T60" s="43" t="str">
        <x:v>Unknown</x:v>
      </x:c>
      <x:c r="U60" s="43" t="str">
        <x:v>Unknown</x:v>
      </x:c>
      <x:c r="V60" s="43" t="str">
        <x:v>Unknown</x:v>
      </x:c>
      <x:c r="W60" s="43" t="str">
        <x:v>Unknown</x:v>
      </x:c>
      <x:c r="X60" s="43" t="str">
        <x:v>Unknown</x:v>
      </x:c>
      <x:c r="Y60" s="43" t="str">
        <x:v>Unknown</x:v>
      </x:c>
      <x:c r="Z60" s="43"/>
      <x:c r="AA60" s="43" t="str">
        <x:v>Excluded</x:v>
      </x:c>
      <x:c r="AB60" s="43" t="str">
        <x:v>No qualifying evidence source recorded</x:v>
      </x:c>
      <x:c r="AC60" s="43" t="str">
        <x:v>Excluded from Maya's elderly recommendation results because no source-backed elderly accessibility feature is recorded in the reviewed data. This does not mean the attraction is inaccessible.</x:v>
      </x:c>
      <x:c r="AD60" s="43" t="str">
        <x:v>2026-08-16</x:v>
      </x:c>
    </x:row>
    <x:row r="61" ht="60" customHeight="1">
      <x:c r="A61" s="16" t="s">
        <x:v>378</x:v>
      </x:c>
      <x:c r="B61" s="16" t="s">
        <x:v>379</x:v>
      </x:c>
      <x:c r="C61" s="16" t="s">
        <x:v>249</x:v>
      </x:c>
      <x:c r="D61" s="16" t="s">
        <x:v>305</x:v>
      </x:c>
      <x:c r="E61" s="16" t="s">
        <x:v>45</x:v>
      </x:c>
      <x:c r="F61" s="16" t="s">
        <x:v>121</x:v>
      </x:c>
      <x:c r="G61" s="16" t="s">
        <x:v>26</x:v>
      </x:c>
      <x:c r="H61" s="17" t="s">
        <x:v>244</x:v>
      </x:c>
      <x:c r="I61" s="17" t="s">
        <x:v>380</x:v>
      </x:c>
      <x:c r="J61" s="17" t="s">
        <x:v>381</x:v>
      </x:c>
      <x:c r="K61" s="17" t="s">
        <x:v>255</x:v>
      </x:c>
      <x:c r="L61" s="17" t="s">
        <x:v>111</x:v>
      </x:c>
      <x:c r="M61" s="17" t="s">
        <x:v>322</x:v>
      </x:c>
      <x:c r="N61" s="16"/>
      <x:c r="O61" s="18">
        <x:v>46249</x:v>
      </x:c>
      <x:c r="P61" s="19" t="s">
        <x:v>34</x:v>
      </x:c>
      <x:c r="Q61" s="17"/>
      <x:c r="R61" s="19" t="str">
        <x:f t="shared" si="0"/>
        <x:v>Discovery Link Only</x:v>
      </x:c>
      <x:c r="S61" s="43" t="str">
        <x:v>Unknown</x:v>
      </x:c>
      <x:c r="T61" s="43" t="str">
        <x:v>Unknown</x:v>
      </x:c>
      <x:c r="U61" s="43" t="str">
        <x:v>Unknown</x:v>
      </x:c>
      <x:c r="V61" s="43" t="str">
        <x:v>Unknown</x:v>
      </x:c>
      <x:c r="W61" s="43" t="str">
        <x:v>Unknown</x:v>
      </x:c>
      <x:c r="X61" s="43" t="str">
        <x:v>Unknown</x:v>
      </x:c>
      <x:c r="Y61" s="43" t="str">
        <x:v>Unknown</x:v>
      </x:c>
      <x:c r="Z61" s="43"/>
      <x:c r="AA61" s="43" t="str">
        <x:v>Excluded</x:v>
      </x:c>
      <x:c r="AB61" s="43" t="str">
        <x:v>No qualifying evidence source recorded</x:v>
      </x:c>
      <x:c r="AC61" s="43" t="str">
        <x:v>Excluded from Maya's elderly recommendation results because no source-backed elderly accessibility feature is recorded in the reviewed data. This does not mean the attraction is inaccessible.</x:v>
      </x:c>
      <x:c r="AD61" s="43" t="str">
        <x:v>2026-08-16</x:v>
      </x:c>
    </x:row>
    <x:row r="62" ht="60" customHeight="1">
      <x:c r="A62" s="16" t="s">
        <x:v>382</x:v>
      </x:c>
      <x:c r="B62" s="16" t="s">
        <x:v>383</x:v>
      </x:c>
      <x:c r="C62" s="16" t="s">
        <x:v>249</x:v>
      </x:c>
      <x:c r="D62" s="16" t="s">
        <x:v>305</x:v>
      </x:c>
      <x:c r="E62" s="16" t="s">
        <x:v>24</x:v>
      </x:c>
      <x:c r="F62" s="16" t="s">
        <x:v>121</x:v>
      </x:c>
      <x:c r="G62" s="16" t="s">
        <x:v>26</x:v>
      </x:c>
      <x:c r="H62" s="17" t="s">
        <x:v>384</x:v>
      </x:c>
      <x:c r="I62" s="17" t="s">
        <x:v>385</x:v>
      </x:c>
      <x:c r="J62" s="17" t="s">
        <x:v>386</x:v>
      </x:c>
      <x:c r="K62" s="17" t="s">
        <x:v>255</x:v>
      </x:c>
      <x:c r="L62" s="17" t="s">
        <x:v>111</x:v>
      </x:c>
      <x:c r="M62" s="17" t="s">
        <x:v>322</x:v>
      </x:c>
      <x:c r="N62" s="16"/>
      <x:c r="O62" s="18">
        <x:v>46249</x:v>
      </x:c>
      <x:c r="P62" s="19" t="s">
        <x:v>34</x:v>
      </x:c>
      <x:c r="Q62" s="17"/>
      <x:c r="R62" s="19" t="str">
        <x:f t="shared" si="0"/>
        <x:v>Discovery Link Only</x:v>
      </x:c>
      <x:c r="S62" s="43" t="str">
        <x:v>Unknown</x:v>
      </x:c>
      <x:c r="T62" s="43" t="str">
        <x:v>Unknown</x:v>
      </x:c>
      <x:c r="U62" s="43" t="str">
        <x:v>Unknown</x:v>
      </x:c>
      <x:c r="V62" s="43" t="str">
        <x:v>Unknown</x:v>
      </x:c>
      <x:c r="W62" s="43" t="str">
        <x:v>Unknown</x:v>
      </x:c>
      <x:c r="X62" s="43" t="str">
        <x:v>Unknown</x:v>
      </x:c>
      <x:c r="Y62" s="43" t="str">
        <x:v>Unknown</x:v>
      </x:c>
      <x:c r="Z62" s="43"/>
      <x:c r="AA62" s="43" t="str">
        <x:v>Excluded</x:v>
      </x:c>
      <x:c r="AB62" s="43" t="str">
        <x:v>No qualifying evidence source recorded</x:v>
      </x:c>
      <x:c r="AC62" s="43" t="str">
        <x:v>Excluded from Maya's elderly recommendation results because no source-backed elderly accessibility feature is recorded in the reviewed data. This does not mean the attraction is inaccessible.</x:v>
      </x:c>
      <x:c r="AD62" s="43" t="str">
        <x:v>2026-08-16</x:v>
      </x:c>
    </x:row>
    <x:row r="63" ht="60" customHeight="1">
      <x:c r="A63" s="16" t="s">
        <x:v>387</x:v>
      </x:c>
      <x:c r="B63" s="16" t="s">
        <x:v>388</x:v>
      </x:c>
      <x:c r="C63" s="16" t="s">
        <x:v>249</x:v>
      </x:c>
      <x:c r="D63" s="16" t="s">
        <x:v>389</x:v>
      </x:c>
      <x:c r="E63" s="16" t="s">
        <x:v>45</x:v>
      </x:c>
      <x:c r="F63" s="16" t="s">
        <x:v>194</x:v>
      </x:c>
      <x:c r="G63" s="16" t="s">
        <x:v>26</x:v>
      </x:c>
      <x:c r="H63" s="17" t="s">
        <x:v>244</x:v>
      </x:c>
      <x:c r="I63" s="17" t="s">
        <x:v>390</x:v>
      </x:c>
      <x:c r="J63" s="17" t="s">
        <x:v>391</x:v>
      </x:c>
      <x:c r="K63" s="17" t="s">
        <x:v>255</x:v>
      </x:c>
      <x:c r="L63" s="17" t="s">
        <x:v>111</x:v>
      </x:c>
      <x:c r="M63" s="17" t="s">
        <x:v>322</x:v>
      </x:c>
      <x:c r="N63" s="16"/>
      <x:c r="O63" s="18">
        <x:v>46249</x:v>
      </x:c>
      <x:c r="P63" s="19" t="s">
        <x:v>34</x:v>
      </x:c>
      <x:c r="Q63" s="17"/>
      <x:c r="R63" s="19" t="str">
        <x:f t="shared" si="0"/>
        <x:v>Discovery Link Only</x:v>
      </x:c>
      <x:c r="S63" s="43" t="str">
        <x:v>Unknown</x:v>
      </x:c>
      <x:c r="T63" s="43" t="str">
        <x:v>Unknown</x:v>
      </x:c>
      <x:c r="U63" s="43" t="str">
        <x:v>Unknown</x:v>
      </x:c>
      <x:c r="V63" s="43" t="str">
        <x:v>Unknown</x:v>
      </x:c>
      <x:c r="W63" s="43" t="str">
        <x:v>Unknown</x:v>
      </x:c>
      <x:c r="X63" s="43" t="str">
        <x:v>Unknown</x:v>
      </x:c>
      <x:c r="Y63" s="43" t="str">
        <x:v>Unknown</x:v>
      </x:c>
      <x:c r="Z63" s="43"/>
      <x:c r="AA63" s="43" t="str">
        <x:v>Excluded</x:v>
      </x:c>
      <x:c r="AB63" s="43" t="str">
        <x:v>No qualifying evidence source recorded</x:v>
      </x:c>
      <x:c r="AC63" s="43" t="str">
        <x:v>Excluded from Maya's elderly recommendation results because no source-backed elderly accessibility feature is recorded in the reviewed data. This does not mean the attraction is inaccessible.</x:v>
      </x:c>
      <x:c r="AD63" s="43" t="str">
        <x:v>2026-08-16</x:v>
      </x:c>
    </x:row>
    <x:row r="64" ht="60" customHeight="1">
      <x:c r="A64" s="16" t="s">
        <x:v>392</x:v>
      </x:c>
      <x:c r="B64" s="16" t="s">
        <x:v>393</x:v>
      </x:c>
      <x:c r="C64" s="16" t="s">
        <x:v>249</x:v>
      </x:c>
      <x:c r="D64" s="16" t="s">
        <x:v>389</x:v>
      </x:c>
      <x:c r="E64" s="16" t="s">
        <x:v>394</x:v>
      </x:c>
      <x:c r="F64" s="16" t="s">
        <x:v>121</x:v>
      </x:c>
      <x:c r="G64" s="16" t="s">
        <x:v>46</x:v>
      </x:c>
      <x:c r="H64" s="17" t="s">
        <x:v>395</x:v>
      </x:c>
      <x:c r="I64" s="17" t="s">
        <x:v>396</x:v>
      </x:c>
      <x:c r="J64" s="17" t="s">
        <x:v>397</x:v>
      </x:c>
      <x:c r="K64" s="17" t="s">
        <x:v>255</x:v>
      </x:c>
      <x:c r="L64" s="17" t="s">
        <x:v>111</x:v>
      </x:c>
      <x:c r="M64" s="17" t="s">
        <x:v>322</x:v>
      </x:c>
      <x:c r="N64" s="16"/>
      <x:c r="O64" s="18">
        <x:v>46249</x:v>
      </x:c>
      <x:c r="P64" s="19" t="s">
        <x:v>34</x:v>
      </x:c>
      <x:c r="Q64" s="17"/>
      <x:c r="R64" s="19" t="str">
        <x:f t="shared" si="0"/>
        <x:v>Discovery Link Only</x:v>
      </x:c>
      <x:c r="S64" s="43" t="str">
        <x:v>Unknown</x:v>
      </x:c>
      <x:c r="T64" s="43" t="str">
        <x:v>Unknown</x:v>
      </x:c>
      <x:c r="U64" s="43" t="str">
        <x:v>Unknown</x:v>
      </x:c>
      <x:c r="V64" s="43" t="str">
        <x:v>Unknown</x:v>
      </x:c>
      <x:c r="W64" s="43" t="str">
        <x:v>Unknown</x:v>
      </x:c>
      <x:c r="X64" s="43" t="str">
        <x:v>Unknown</x:v>
      </x:c>
      <x:c r="Y64" s="43" t="str">
        <x:v>Unknown</x:v>
      </x:c>
      <x:c r="Z64" s="43"/>
      <x:c r="AA64" s="43" t="str">
        <x:v>Excluded</x:v>
      </x:c>
      <x:c r="AB64" s="43" t="str">
        <x:v>No qualifying evidence source recorded</x:v>
      </x:c>
      <x:c r="AC64" s="43" t="str">
        <x:v>Excluded from Maya's elderly recommendation results because no source-backed elderly accessibility feature is recorded in the reviewed data. This does not mean the attraction is inaccessible.</x:v>
      </x:c>
      <x:c r="AD64" s="43" t="str">
        <x:v>2026-08-16</x:v>
      </x:c>
    </x:row>
    <x:row r="65" ht="60" customHeight="1">
      <x:c r="A65" s="16" t="s">
        <x:v>398</x:v>
      </x:c>
      <x:c r="B65" s="16" t="s">
        <x:v>399</x:v>
      </x:c>
      <x:c r="C65" s="16" t="s">
        <x:v>249</x:v>
      </x:c>
      <x:c r="D65" s="16" t="s">
        <x:v>400</x:v>
      </x:c>
      <x:c r="E65" s="16" t="s">
        <x:v>45</x:v>
      </x:c>
      <x:c r="F65" s="16" t="s">
        <x:v>194</x:v>
      </x:c>
      <x:c r="G65" s="16" t="s">
        <x:v>26</x:v>
      </x:c>
      <x:c r="H65" s="17" t="s">
        <x:v>401</x:v>
      </x:c>
      <x:c r="I65" s="17" t="s">
        <x:v>402</x:v>
      </x:c>
      <x:c r="J65" s="17" t="s">
        <x:v>403</x:v>
      </x:c>
      <x:c r="K65" s="17" t="s">
        <x:v>255</x:v>
      </x:c>
      <x:c r="L65" s="17" t="s">
        <x:v>111</x:v>
      </x:c>
      <x:c r="M65" s="17" t="s">
        <x:v>322</x:v>
      </x:c>
      <x:c r="N65" s="16"/>
      <x:c r="O65" s="18">
        <x:v>46249</x:v>
      </x:c>
      <x:c r="P65" s="19" t="s">
        <x:v>34</x:v>
      </x:c>
      <x:c r="Q65" s="17"/>
      <x:c r="R65" s="19" t="str">
        <x:f t="shared" si="0"/>
        <x:v>Discovery Link Only</x:v>
      </x:c>
      <x:c r="S65" s="43" t="str">
        <x:v>Unknown</x:v>
      </x:c>
      <x:c r="T65" s="43" t="str">
        <x:v>Unknown</x:v>
      </x:c>
      <x:c r="U65" s="43" t="str">
        <x:v>Unknown</x:v>
      </x:c>
      <x:c r="V65" s="43" t="str">
        <x:v>Unknown</x:v>
      </x:c>
      <x:c r="W65" s="43" t="str">
        <x:v>Unknown</x:v>
      </x:c>
      <x:c r="X65" s="43" t="str">
        <x:v>Unknown</x:v>
      </x:c>
      <x:c r="Y65" s="43" t="str">
        <x:v>Unknown</x:v>
      </x:c>
      <x:c r="Z65" s="43"/>
      <x:c r="AA65" s="43" t="str">
        <x:v>Excluded</x:v>
      </x:c>
      <x:c r="AB65" s="43" t="str">
        <x:v>No qualifying evidence source recorded</x:v>
      </x:c>
      <x:c r="AC65" s="43" t="str">
        <x:v>Excluded from Maya's elderly recommendation results because no source-backed elderly accessibility feature is recorded in the reviewed data. This does not mean the attraction is inaccessible.</x:v>
      </x:c>
      <x:c r="AD65" s="43" t="str">
        <x:v>2026-08-16</x:v>
      </x:c>
    </x:row>
    <x:row r="66" ht="60" customHeight="1">
      <x:c r="A66" s="16" t="s">
        <x:v>404</x:v>
      </x:c>
      <x:c r="B66" s="16" t="s">
        <x:v>405</x:v>
      </x:c>
      <x:c r="C66" s="16" t="s">
        <x:v>249</x:v>
      </x:c>
      <x:c r="D66" s="16" t="s">
        <x:v>250</x:v>
      </x:c>
      <x:c r="E66" s="16" t="s">
        <x:v>251</x:v>
      </x:c>
      <x:c r="F66" s="16" t="s">
        <x:v>107</x:v>
      </x:c>
      <x:c r="G66" s="16" t="s">
        <x:v>26</x:v>
      </x:c>
      <x:c r="H66" s="17" t="s">
        <x:v>406</x:v>
      </x:c>
      <x:c r="I66" s="17" t="s">
        <x:v>407</x:v>
      </x:c>
      <x:c r="J66" s="17" t="s">
        <x:v>408</x:v>
      </x:c>
      <x:c r="K66" s="17" t="s">
        <x:v>255</x:v>
      </x:c>
      <x:c r="L66" s="17" t="s">
        <x:v>111</x:v>
      </x:c>
      <x:c r="M66" s="17" t="s">
        <x:v>322</x:v>
      </x:c>
      <x:c r="N66" s="16"/>
      <x:c r="O66" s="18">
        <x:v>46249</x:v>
      </x:c>
      <x:c r="P66" s="19" t="s">
        <x:v>34</x:v>
      </x:c>
      <x:c r="Q66" s="17"/>
      <x:c r="R66" s="19" t="str">
        <x:f t="shared" si="0"/>
        <x:v>Discovery Link Only</x:v>
      </x:c>
      <x:c r="S66" s="43" t="str">
        <x:v>Unknown</x:v>
      </x:c>
      <x:c r="T66" s="43" t="str">
        <x:v>Unknown</x:v>
      </x:c>
      <x:c r="U66" s="43" t="str">
        <x:v>Unknown</x:v>
      </x:c>
      <x:c r="V66" s="43" t="str">
        <x:v>Unknown</x:v>
      </x:c>
      <x:c r="W66" s="43" t="str">
        <x:v>Unknown</x:v>
      </x:c>
      <x:c r="X66" s="43" t="str">
        <x:v>Unknown</x:v>
      </x:c>
      <x:c r="Y66" s="43" t="str">
        <x:v>Unknown</x:v>
      </x:c>
      <x:c r="Z66" s="43"/>
      <x:c r="AA66" s="43" t="str">
        <x:v>Excluded</x:v>
      </x:c>
      <x:c r="AB66" s="43" t="str">
        <x:v>No qualifying evidence source recorded</x:v>
      </x:c>
      <x:c r="AC66" s="43" t="str">
        <x:v>Excluded from Maya's elderly recommendation results because no source-backed elderly accessibility feature is recorded in the reviewed data. This does not mean the attraction is inaccessible.</x:v>
      </x:c>
      <x:c r="AD66" s="43" t="str">
        <x:v>2026-08-16</x:v>
      </x:c>
    </x:row>
    <x:row r="67" ht="60" customHeight="1">
      <x:c r="A67" s="16" t="s">
        <x:v>409</x:v>
      </x:c>
      <x:c r="B67" s="16" t="s">
        <x:v>410</x:v>
      </x:c>
      <x:c r="C67" s="16" t="s">
        <x:v>249</x:v>
      </x:c>
      <x:c r="D67" s="16" t="s">
        <x:v>411</x:v>
      </x:c>
      <x:c r="E67" s="16" t="s">
        <x:v>45</x:v>
      </x:c>
      <x:c r="F67" s="16" t="s">
        <x:v>194</x:v>
      </x:c>
      <x:c r="G67" s="16" t="s">
        <x:v>26</x:v>
      </x:c>
      <x:c r="H67" s="17" t="s">
        <x:v>412</x:v>
      </x:c>
      <x:c r="I67" s="17" t="s">
        <x:v>413</x:v>
      </x:c>
      <x:c r="J67" s="17" t="s">
        <x:v>414</x:v>
      </x:c>
      <x:c r="K67" s="17" t="s">
        <x:v>255</x:v>
      </x:c>
      <x:c r="L67" s="17" t="s">
        <x:v>111</x:v>
      </x:c>
      <x:c r="M67" s="17" t="s">
        <x:v>322</x:v>
      </x:c>
      <x:c r="N67" s="16"/>
      <x:c r="O67" s="18">
        <x:v>46249</x:v>
      </x:c>
      <x:c r="P67" s="19" t="s">
        <x:v>34</x:v>
      </x:c>
      <x:c r="Q67" s="17"/>
      <x:c r="R67" s="19" t="str">
        <x:f t="shared" si="0"/>
        <x:v>Discovery Link Only</x:v>
      </x:c>
      <x:c r="S67" s="43" t="str">
        <x:v>Unknown</x:v>
      </x:c>
      <x:c r="T67" s="43" t="str">
        <x:v>Unknown</x:v>
      </x:c>
      <x:c r="U67" s="43" t="str">
        <x:v>Unknown</x:v>
      </x:c>
      <x:c r="V67" s="43" t="str">
        <x:v>Unknown</x:v>
      </x:c>
      <x:c r="W67" s="43" t="str">
        <x:v>Unknown</x:v>
      </x:c>
      <x:c r="X67" s="43" t="str">
        <x:v>Unknown</x:v>
      </x:c>
      <x:c r="Y67" s="43" t="str">
        <x:v>Unknown</x:v>
      </x:c>
      <x:c r="Z67" s="43"/>
      <x:c r="AA67" s="43" t="str">
        <x:v>Excluded</x:v>
      </x:c>
      <x:c r="AB67" s="43" t="str">
        <x:v>No qualifying evidence source recorded</x:v>
      </x:c>
      <x:c r="AC67" s="43" t="str">
        <x:v>Excluded from Maya's elderly recommendation results because no source-backed elderly accessibility feature is recorded in the reviewed data. This does not mean the attraction is inaccessible.</x:v>
      </x:c>
      <x:c r="AD67" s="43" t="str">
        <x:v>2026-08-16</x:v>
      </x:c>
    </x:row>
    <x:row r="68" ht="60" customHeight="1">
      <x:c r="A68" s="16" t="s">
        <x:v>415</x:v>
      </x:c>
      <x:c r="B68" s="16" t="s">
        <x:v>416</x:v>
      </x:c>
      <x:c r="C68" s="16" t="s">
        <x:v>417</x:v>
      </x:c>
      <x:c r="D68" s="16" t="s">
        <x:v>418</x:v>
      </x:c>
      <x:c r="E68" s="16" t="s">
        <x:v>45</x:v>
      </x:c>
      <x:c r="F68" s="16" t="s">
        <x:v>25</x:v>
      </x:c>
      <x:c r="G68" s="16" t="s">
        <x:v>46</x:v>
      </x:c>
      <x:c r="H68" s="17" t="s">
        <x:v>419</x:v>
      </x:c>
      <x:c r="I68" s="17" t="s">
        <x:v>420</x:v>
      </x:c>
      <x:c r="J68" s="17" t="s">
        <x:v>421</x:v>
      </x:c>
      <x:c r="K68" s="17" t="s">
        <x:v>422</x:v>
      </x:c>
      <x:c r="L68" s="17" t="s">
        <x:v>58</x:v>
      </x:c>
      <x:c r="M68" s="17" t="s">
        <x:v>256</x:v>
      </x:c>
      <x:c r="N68" s="16" t="s">
        <x:v>423</x:v>
      </x:c>
      <x:c r="O68" s="18">
        <x:v>46249</x:v>
      </x:c>
      <x:c r="P68" s="19" t="s">
        <x:v>34</x:v>
      </x:c>
      <x:c r="Q68" s="17"/>
      <x:c r="R68" s="19" t="str">
        <x:f t="shared" ref="R68:R131" si="1">IF(J68="","Missing Link",IF(AND(ISNUMBER(SEARCH("google.com/maps",J68)),ISERROR(SEARCH(";",J68))),"Discovery Link Only","Source Link Present"))</x:f>
        <x:v>Source Link Present</x:v>
      </x:c>
      <x:c r="S68" s="43" t="str">
        <x:v>Unknown</x:v>
      </x:c>
      <x:c r="T68" s="43" t="str">
        <x:v>Unknown</x:v>
      </x:c>
      <x:c r="U68" s="43" t="str">
        <x:v>Unknown</x:v>
      </x:c>
      <x:c r="V68" s="43" t="str">
        <x:v>Unknown</x:v>
      </x:c>
      <x:c r="W68" s="43" t="str">
        <x:v>Unknown</x:v>
      </x:c>
      <x:c r="X68" s="43" t="str">
        <x:v>Unknown</x:v>
      </x:c>
      <x:c r="Y68" s="43" t="str">
        <x:v>Unknown</x:v>
      </x:c>
      <x:c r="Z68" s="43"/>
      <x:c r="AA68" s="43" t="str">
        <x:v>Excluded</x:v>
      </x:c>
      <x:c r="AB68" s="43" t="str">
        <x:v>No qualifying evidence source recorded</x:v>
      </x:c>
      <x:c r="AC68" s="43" t="str">
        <x:v>Excluded from Maya's elderly recommendation results because no source-backed elderly accessibility feature is recorded in the reviewed data. This does not mean the attraction is inaccessible.</x:v>
      </x:c>
      <x:c r="AD68" s="43" t="str">
        <x:v>2026-08-16</x:v>
      </x:c>
    </x:row>
    <x:row r="69" ht="60" customHeight="1">
      <x:c r="A69" s="16" t="s">
        <x:v>424</x:v>
      </x:c>
      <x:c r="B69" s="16" t="s">
        <x:v>425</x:v>
      </x:c>
      <x:c r="C69" s="16" t="s">
        <x:v>417</x:v>
      </x:c>
      <x:c r="D69" s="16" t="s">
        <x:v>426</x:v>
      </x:c>
      <x:c r="E69" s="16" t="s">
        <x:v>162</x:v>
      </x:c>
      <x:c r="F69" s="16" t="s">
        <x:v>121</x:v>
      </x:c>
      <x:c r="G69" s="16" t="s">
        <x:v>134</x:v>
      </x:c>
      <x:c r="H69" s="17" t="s">
        <x:v>427</x:v>
      </x:c>
      <x:c r="I69" s="17" t="s">
        <x:v>428</x:v>
      </x:c>
      <x:c r="J69" s="17" t="s">
        <x:v>429</x:v>
      </x:c>
      <x:c r="K69" s="17" t="s">
        <x:v>422</x:v>
      </x:c>
      <x:c r="L69" s="17" t="s">
        <x:v>58</x:v>
      </x:c>
      <x:c r="M69" s="17" t="s">
        <x:v>256</x:v>
      </x:c>
      <x:c r="N69" s="16" t="s">
        <x:v>430</x:v>
      </x:c>
      <x:c r="O69" s="18">
        <x:v>46249</x:v>
      </x:c>
      <x:c r="P69" s="19" t="s">
        <x:v>34</x:v>
      </x:c>
      <x:c r="Q69" s="17"/>
      <x:c r="R69" s="19" t="str">
        <x:f t="shared" si="1"/>
        <x:v>Discovery Link Only</x:v>
      </x:c>
      <x:c r="S69" s="43" t="str">
        <x:v>Unknown</x:v>
      </x:c>
      <x:c r="T69" s="43" t="str">
        <x:v>Unknown</x:v>
      </x:c>
      <x:c r="U69" s="43" t="str">
        <x:v>Unknown</x:v>
      </x:c>
      <x:c r="V69" s="43" t="str">
        <x:v>Unknown</x:v>
      </x:c>
      <x:c r="W69" s="43" t="str">
        <x:v>Unknown</x:v>
      </x:c>
      <x:c r="X69" s="43" t="str">
        <x:v>Unknown</x:v>
      </x:c>
      <x:c r="Y69" s="43" t="str">
        <x:v>Unknown</x:v>
      </x:c>
      <x:c r="Z69" s="43"/>
      <x:c r="AA69" s="43" t="str">
        <x:v>Excluded</x:v>
      </x:c>
      <x:c r="AB69" s="43" t="str">
        <x:v>No qualifying evidence source recorded</x:v>
      </x:c>
      <x:c r="AC69" s="43" t="str">
        <x:v>Excluded from Maya's elderly recommendation results because no source-backed elderly accessibility feature is recorded in the reviewed data. This does not mean the attraction is inaccessible.</x:v>
      </x:c>
      <x:c r="AD69" s="43" t="str">
        <x:v>2026-08-16</x:v>
      </x:c>
    </x:row>
    <x:row r="70" ht="60" customHeight="1">
      <x:c r="A70" s="16" t="s">
        <x:v>431</x:v>
      </x:c>
      <x:c r="B70" s="16" t="s">
        <x:v>432</x:v>
      </x:c>
      <x:c r="C70" s="16" t="s">
        <x:v>417</x:v>
      </x:c>
      <x:c r="D70" s="16" t="s">
        <x:v>426</x:v>
      </x:c>
      <x:c r="E70" s="16" t="s">
        <x:v>133</x:v>
      </x:c>
      <x:c r="F70" s="16" t="s">
        <x:v>25</x:v>
      </x:c>
      <x:c r="G70" s="16" t="s">
        <x:v>46</x:v>
      </x:c>
      <x:c r="H70" s="17" t="s">
        <x:v>433</x:v>
      </x:c>
      <x:c r="I70" s="17" t="s">
        <x:v>434</x:v>
      </x:c>
      <x:c r="J70" s="17" t="s">
        <x:v>435</x:v>
      </x:c>
      <x:c r="K70" s="17" t="s">
        <x:v>422</x:v>
      </x:c>
      <x:c r="L70" s="17" t="s">
        <x:v>58</x:v>
      </x:c>
      <x:c r="M70" s="17" t="s">
        <x:v>256</x:v>
      </x:c>
      <x:c r="N70" s="16" t="s">
        <x:v>436</x:v>
      </x:c>
      <x:c r="O70" s="18">
        <x:v>46249</x:v>
      </x:c>
      <x:c r="P70" s="19" t="s">
        <x:v>34</x:v>
      </x:c>
      <x:c r="Q70" s="17"/>
      <x:c r="R70" s="19" t="str">
        <x:f t="shared" si="1"/>
        <x:v>Discovery Link Only</x:v>
      </x:c>
      <x:c r="S70" s="43" t="str">
        <x:v>Unknown</x:v>
      </x:c>
      <x:c r="T70" s="43" t="str">
        <x:v>Unknown</x:v>
      </x:c>
      <x:c r="U70" s="43" t="str">
        <x:v>Unknown</x:v>
      </x:c>
      <x:c r="V70" s="43" t="str">
        <x:v>Unknown</x:v>
      </x:c>
      <x:c r="W70" s="43" t="str">
        <x:v>Unknown</x:v>
      </x:c>
      <x:c r="X70" s="43" t="str">
        <x:v>Unknown</x:v>
      </x:c>
      <x:c r="Y70" s="43" t="str">
        <x:v>Unknown</x:v>
      </x:c>
      <x:c r="Z70" s="43"/>
      <x:c r="AA70" s="43" t="str">
        <x:v>Excluded</x:v>
      </x:c>
      <x:c r="AB70" s="43" t="str">
        <x:v>No qualifying evidence source recorded</x:v>
      </x:c>
      <x:c r="AC70" s="43" t="str">
        <x:v>Excluded from Maya's elderly recommendation results because no source-backed elderly accessibility feature is recorded in the reviewed data. This does not mean the attraction is inaccessible.</x:v>
      </x:c>
      <x:c r="AD70" s="43" t="str">
        <x:v>2026-08-16</x:v>
      </x:c>
    </x:row>
    <x:row r="71" ht="60" customHeight="1">
      <x:c r="A71" s="16" t="s">
        <x:v>437</x:v>
      </x:c>
      <x:c r="B71" s="16" t="s">
        <x:v>438</x:v>
      </x:c>
      <x:c r="C71" s="16" t="s">
        <x:v>417</x:v>
      </x:c>
      <x:c r="D71" s="16" t="s">
        <x:v>426</x:v>
      </x:c>
      <x:c r="E71" s="16" t="s">
        <x:v>99</x:v>
      </x:c>
      <x:c r="F71" s="16" t="s">
        <x:v>121</x:v>
      </x:c>
      <x:c r="G71" s="16" t="s">
        <x:v>46</x:v>
      </x:c>
      <x:c r="H71" s="17" t="s">
        <x:v>439</x:v>
      </x:c>
      <x:c r="I71" s="17" t="s">
        <x:v>440</x:v>
      </x:c>
      <x:c r="J71" s="17" t="s">
        <x:v>441</x:v>
      </x:c>
      <x:c r="K71" s="17" t="s">
        <x:v>422</x:v>
      </x:c>
      <x:c r="L71" s="17" t="s">
        <x:v>58</x:v>
      </x:c>
      <x:c r="M71" s="17" t="s">
        <x:v>256</x:v>
      </x:c>
      <x:c r="N71" s="16" t="s">
        <x:v>442</x:v>
      </x:c>
      <x:c r="O71" s="18">
        <x:v>46249</x:v>
      </x:c>
      <x:c r="P71" s="19" t="s">
        <x:v>34</x:v>
      </x:c>
      <x:c r="Q71" s="17"/>
      <x:c r="R71" s="19" t="str">
        <x:f t="shared" si="1"/>
        <x:v>Discovery Link Only</x:v>
      </x:c>
      <x:c r="S71" s="43" t="str">
        <x:v>Unknown</x:v>
      </x:c>
      <x:c r="T71" s="43" t="str">
        <x:v>Unknown</x:v>
      </x:c>
      <x:c r="U71" s="43" t="str">
        <x:v>Unknown</x:v>
      </x:c>
      <x:c r="V71" s="43" t="str">
        <x:v>Unknown</x:v>
      </x:c>
      <x:c r="W71" s="43" t="str">
        <x:v>Unknown</x:v>
      </x:c>
      <x:c r="X71" s="43" t="str">
        <x:v>Unknown</x:v>
      </x:c>
      <x:c r="Y71" s="43" t="str">
        <x:v>Unknown</x:v>
      </x:c>
      <x:c r="Z71" s="43"/>
      <x:c r="AA71" s="43" t="str">
        <x:v>Excluded</x:v>
      </x:c>
      <x:c r="AB71" s="43" t="str">
        <x:v>No qualifying evidence source recorded</x:v>
      </x:c>
      <x:c r="AC71" s="43" t="str">
        <x:v>Excluded from Maya's elderly recommendation results because no source-backed elderly accessibility feature is recorded in the reviewed data. This does not mean the attraction is inaccessible.</x:v>
      </x:c>
      <x:c r="AD71" s="43" t="str">
        <x:v>2026-08-16</x:v>
      </x:c>
    </x:row>
    <x:row r="72" ht="60" customHeight="1">
      <x:c r="A72" s="16" t="s">
        <x:v>443</x:v>
      </x:c>
      <x:c r="B72" s="16" t="s">
        <x:v>444</x:v>
      </x:c>
      <x:c r="C72" s="16" t="s">
        <x:v>417</x:v>
      </x:c>
      <x:c r="D72" s="16" t="s">
        <x:v>445</x:v>
      </x:c>
      <x:c r="E72" s="16" t="s">
        <x:v>106</x:v>
      </x:c>
      <x:c r="F72" s="16" t="s">
        <x:v>25</x:v>
      </x:c>
      <x:c r="G72" s="16" t="s">
        <x:v>46</x:v>
      </x:c>
      <x:c r="H72" s="17" t="s">
        <x:v>446</x:v>
      </x:c>
      <x:c r="I72" s="17" t="s">
        <x:v>447</x:v>
      </x:c>
      <x:c r="J72" s="17" t="s">
        <x:v>448</x:v>
      </x:c>
      <x:c r="K72" s="17" t="s">
        <x:v>422</x:v>
      </x:c>
      <x:c r="L72" s="17" t="s">
        <x:v>58</x:v>
      </x:c>
      <x:c r="M72" s="17" t="s">
        <x:v>256</x:v>
      </x:c>
      <x:c r="N72" s="16" t="s">
        <x:v>449</x:v>
      </x:c>
      <x:c r="O72" s="18">
        <x:v>46249</x:v>
      </x:c>
      <x:c r="P72" s="19" t="s">
        <x:v>34</x:v>
      </x:c>
      <x:c r="Q72" s="17"/>
      <x:c r="R72" s="19" t="str">
        <x:f t="shared" si="1"/>
        <x:v>Discovery Link Only</x:v>
      </x:c>
      <x:c r="S72" s="43" t="str">
        <x:v>Unknown</x:v>
      </x:c>
      <x:c r="T72" s="43" t="str">
        <x:v>Unknown</x:v>
      </x:c>
      <x:c r="U72" s="43" t="str">
        <x:v>Unknown</x:v>
      </x:c>
      <x:c r="V72" s="43" t="str">
        <x:v>Unknown</x:v>
      </x:c>
      <x:c r="W72" s="43" t="str">
        <x:v>Unknown</x:v>
      </x:c>
      <x:c r="X72" s="43" t="str">
        <x:v>Unknown</x:v>
      </x:c>
      <x:c r="Y72" s="43" t="str">
        <x:v>Unknown</x:v>
      </x:c>
      <x:c r="Z72" s="43"/>
      <x:c r="AA72" s="43" t="str">
        <x:v>Excluded</x:v>
      </x:c>
      <x:c r="AB72" s="43" t="str">
        <x:v>No qualifying evidence source recorded</x:v>
      </x:c>
      <x:c r="AC72" s="43" t="str">
        <x:v>Excluded from Maya's elderly recommendation results because no source-backed elderly accessibility feature is recorded in the reviewed data. This does not mean the attraction is inaccessible.</x:v>
      </x:c>
      <x:c r="AD72" s="43" t="str">
        <x:v>2026-08-16</x:v>
      </x:c>
    </x:row>
    <x:row r="73" ht="60" customHeight="1">
      <x:c r="A73" s="16" t="s">
        <x:v>450</x:v>
      </x:c>
      <x:c r="B73" s="16" t="s">
        <x:v>451</x:v>
      </x:c>
      <x:c r="C73" s="16" t="s">
        <x:v>417</x:v>
      </x:c>
      <x:c r="D73" s="16" t="s">
        <x:v>426</x:v>
      </x:c>
      <x:c r="E73" s="16" t="s">
        <x:v>72</x:v>
      </x:c>
      <x:c r="F73" s="16" t="s">
        <x:v>25</x:v>
      </x:c>
      <x:c r="G73" s="16" t="s">
        <x:v>26</x:v>
      </x:c>
      <x:c r="H73" s="17" t="s">
        <x:v>452</x:v>
      </x:c>
      <x:c r="I73" s="17" t="s">
        <x:v>453</x:v>
      </x:c>
      <x:c r="J73" s="17" t="s">
        <x:v>454</x:v>
      </x:c>
      <x:c r="K73" s="17" t="s">
        <x:v>422</x:v>
      </x:c>
      <x:c r="L73" s="17" t="s">
        <x:v>58</x:v>
      </x:c>
      <x:c r="M73" s="17" t="s">
        <x:v>256</x:v>
      </x:c>
      <x:c r="N73" s="16" t="s">
        <x:v>455</x:v>
      </x:c>
      <x:c r="O73" s="18">
        <x:v>46249</x:v>
      </x:c>
      <x:c r="P73" s="19" t="s">
        <x:v>34</x:v>
      </x:c>
      <x:c r="Q73" s="17"/>
      <x:c r="R73" s="19" t="str">
        <x:f t="shared" si="1"/>
        <x:v>Discovery Link Only</x:v>
      </x:c>
      <x:c r="S73" s="43" t="str">
        <x:v>Unknown</x:v>
      </x:c>
      <x:c r="T73" s="43" t="str">
        <x:v>Unknown</x:v>
      </x:c>
      <x:c r="U73" s="43" t="str">
        <x:v>Unknown</x:v>
      </x:c>
      <x:c r="V73" s="43" t="str">
        <x:v>Unknown</x:v>
      </x:c>
      <x:c r="W73" s="43" t="str">
        <x:v>Unknown</x:v>
      </x:c>
      <x:c r="X73" s="43" t="str">
        <x:v>Unknown</x:v>
      </x:c>
      <x:c r="Y73" s="43" t="str">
        <x:v>Unknown</x:v>
      </x:c>
      <x:c r="Z73" s="43"/>
      <x:c r="AA73" s="43" t="str">
        <x:v>Excluded</x:v>
      </x:c>
      <x:c r="AB73" s="43" t="str">
        <x:v>No qualifying evidence source recorded</x:v>
      </x:c>
      <x:c r="AC73" s="43" t="str">
        <x:v>Excluded from Maya's elderly recommendation results because no source-backed elderly accessibility feature is recorded in the reviewed data. This does not mean the attraction is inaccessible.</x:v>
      </x:c>
      <x:c r="AD73" s="43" t="str">
        <x:v>2026-08-16</x:v>
      </x:c>
    </x:row>
    <x:row r="74" ht="60" customHeight="1">
      <x:c r="A74" s="16" t="s">
        <x:v>456</x:v>
      </x:c>
      <x:c r="B74" s="16" t="s">
        <x:v>457</x:v>
      </x:c>
      <x:c r="C74" s="16" t="s">
        <x:v>417</x:v>
      </x:c>
      <x:c r="D74" s="16" t="s">
        <x:v>458</x:v>
      </x:c>
      <x:c r="E74" s="16" t="s">
        <x:v>72</x:v>
      </x:c>
      <x:c r="F74" s="16" t="s">
        <x:v>25</x:v>
      </x:c>
      <x:c r="G74" s="16" t="s">
        <x:v>26</x:v>
      </x:c>
      <x:c r="H74" s="17" t="s">
        <x:v>459</x:v>
      </x:c>
      <x:c r="I74" s="17" t="s">
        <x:v>460</x:v>
      </x:c>
      <x:c r="J74" s="17" t="s">
        <x:v>461</x:v>
      </x:c>
      <x:c r="K74" s="17" t="s">
        <x:v>422</x:v>
      </x:c>
      <x:c r="L74" s="17" t="s">
        <x:v>58</x:v>
      </x:c>
      <x:c r="M74" s="17" t="s">
        <x:v>256</x:v>
      </x:c>
      <x:c r="N74" s="16" t="s">
        <x:v>462</x:v>
      </x:c>
      <x:c r="O74" s="18">
        <x:v>46249</x:v>
      </x:c>
      <x:c r="P74" s="19" t="s">
        <x:v>34</x:v>
      </x:c>
      <x:c r="Q74" s="17"/>
      <x:c r="R74" s="19" t="str">
        <x:f t="shared" si="1"/>
        <x:v>Discovery Link Only</x:v>
      </x:c>
      <x:c r="S74" s="43" t="str">
        <x:v>Unknown</x:v>
      </x:c>
      <x:c r="T74" s="43" t="str">
        <x:v>Unknown</x:v>
      </x:c>
      <x:c r="U74" s="43" t="str">
        <x:v>Unknown</x:v>
      </x:c>
      <x:c r="V74" s="43" t="str">
        <x:v>Unknown</x:v>
      </x:c>
      <x:c r="W74" s="43" t="str">
        <x:v>Unknown</x:v>
      </x:c>
      <x:c r="X74" s="43" t="str">
        <x:v>Unknown</x:v>
      </x:c>
      <x:c r="Y74" s="43" t="str">
        <x:v>Unknown</x:v>
      </x:c>
      <x:c r="Z74" s="43"/>
      <x:c r="AA74" s="43" t="str">
        <x:v>Excluded</x:v>
      </x:c>
      <x:c r="AB74" s="43" t="str">
        <x:v>No qualifying evidence source recorded</x:v>
      </x:c>
      <x:c r="AC74" s="43" t="str">
        <x:v>Excluded from Maya's elderly recommendation results because no source-backed elderly accessibility feature is recorded in the reviewed data. This does not mean the attraction is inaccessible.</x:v>
      </x:c>
      <x:c r="AD74" s="43" t="str">
        <x:v>2026-08-16</x:v>
      </x:c>
    </x:row>
    <x:row r="75" ht="60" customHeight="1">
      <x:c r="A75" s="16" t="s">
        <x:v>463</x:v>
      </x:c>
      <x:c r="B75" s="16" t="s">
        <x:v>464</x:v>
      </x:c>
      <x:c r="C75" s="16" t="s">
        <x:v>417</x:v>
      </x:c>
      <x:c r="D75" s="16" t="s">
        <x:v>465</x:v>
      </x:c>
      <x:c r="E75" s="16" t="s">
        <x:v>251</x:v>
      </x:c>
      <x:c r="F75" s="16" t="s">
        <x:v>25</x:v>
      </x:c>
      <x:c r="G75" s="16" t="s">
        <x:v>26</x:v>
      </x:c>
      <x:c r="H75" s="17" t="s">
        <x:v>466</x:v>
      </x:c>
      <x:c r="I75" s="17" t="s">
        <x:v>467</x:v>
      </x:c>
      <x:c r="J75" s="17" t="s">
        <x:v>468</x:v>
      </x:c>
      <x:c r="K75" s="17" t="s">
        <x:v>422</x:v>
      </x:c>
      <x:c r="L75" s="17" t="s">
        <x:v>58</x:v>
      </x:c>
      <x:c r="M75" s="17" t="s">
        <x:v>256</x:v>
      </x:c>
      <x:c r="N75" s="16" t="s">
        <x:v>469</x:v>
      </x:c>
      <x:c r="O75" s="18">
        <x:v>46249</x:v>
      </x:c>
      <x:c r="P75" s="19" t="s">
        <x:v>34</x:v>
      </x:c>
      <x:c r="Q75" s="17"/>
      <x:c r="R75" s="19" t="str">
        <x:f t="shared" si="1"/>
        <x:v>Discovery Link Only</x:v>
      </x:c>
      <x:c r="S75" s="43" t="str">
        <x:v>Unknown</x:v>
      </x:c>
      <x:c r="T75" s="43" t="str">
        <x:v>Unknown</x:v>
      </x:c>
      <x:c r="U75" s="43" t="str">
        <x:v>Unknown</x:v>
      </x:c>
      <x:c r="V75" s="43" t="str">
        <x:v>Unknown</x:v>
      </x:c>
      <x:c r="W75" s="43" t="str">
        <x:v>Unknown</x:v>
      </x:c>
      <x:c r="X75" s="43" t="str">
        <x:v>Unknown</x:v>
      </x:c>
      <x:c r="Y75" s="43" t="str">
        <x:v>Unknown</x:v>
      </x:c>
      <x:c r="Z75" s="43"/>
      <x:c r="AA75" s="43" t="str">
        <x:v>Excluded</x:v>
      </x:c>
      <x:c r="AB75" s="43" t="str">
        <x:v>No qualifying evidence source recorded</x:v>
      </x:c>
      <x:c r="AC75" s="43" t="str">
        <x:v>Excluded from Maya's elderly recommendation results because no source-backed elderly accessibility feature is recorded in the reviewed data. This does not mean the attraction is inaccessible.</x:v>
      </x:c>
      <x:c r="AD75" s="43" t="str">
        <x:v>2026-08-16</x:v>
      </x:c>
    </x:row>
    <x:row r="76" ht="60" customHeight="1">
      <x:c r="A76" s="16" t="s">
        <x:v>470</x:v>
      </x:c>
      <x:c r="B76" s="16" t="s">
        <x:v>471</x:v>
      </x:c>
      <x:c r="C76" s="16" t="s">
        <x:v>417</x:v>
      </x:c>
      <x:c r="D76" s="16" t="s">
        <x:v>426</x:v>
      </x:c>
      <x:c r="E76" s="16" t="s">
        <x:v>45</x:v>
      </x:c>
      <x:c r="F76" s="16" t="s">
        <x:v>121</x:v>
      </x:c>
      <x:c r="G76" s="16" t="s">
        <x:v>26</x:v>
      </x:c>
      <x:c r="H76" s="17" t="s">
        <x:v>472</x:v>
      </x:c>
      <x:c r="I76" s="17" t="s">
        <x:v>473</x:v>
      </x:c>
      <x:c r="J76" s="17" t="s">
        <x:v>474</x:v>
      </x:c>
      <x:c r="K76" s="17" t="s">
        <x:v>422</x:v>
      </x:c>
      <x:c r="L76" s="17" t="s">
        <x:v>58</x:v>
      </x:c>
      <x:c r="M76" s="17" t="s">
        <x:v>256</x:v>
      </x:c>
      <x:c r="N76" s="16" t="s">
        <x:v>475</x:v>
      </x:c>
      <x:c r="O76" s="18">
        <x:v>46249</x:v>
      </x:c>
      <x:c r="P76" s="19" t="s">
        <x:v>34</x:v>
      </x:c>
      <x:c r="Q76" s="17"/>
      <x:c r="R76" s="19" t="str">
        <x:f t="shared" si="1"/>
        <x:v>Discovery Link Only</x:v>
      </x:c>
      <x:c r="S76" s="43" t="str">
        <x:v>Unknown</x:v>
      </x:c>
      <x:c r="T76" s="43" t="str">
        <x:v>Unknown</x:v>
      </x:c>
      <x:c r="U76" s="43" t="str">
        <x:v>Unknown</x:v>
      </x:c>
      <x:c r="V76" s="43" t="str">
        <x:v>Unknown</x:v>
      </x:c>
      <x:c r="W76" s="43" t="str">
        <x:v>Unknown</x:v>
      </x:c>
      <x:c r="X76" s="43" t="str">
        <x:v>Unknown</x:v>
      </x:c>
      <x:c r="Y76" s="43" t="str">
        <x:v>Unknown</x:v>
      </x:c>
      <x:c r="Z76" s="43"/>
      <x:c r="AA76" s="43" t="str">
        <x:v>Excluded</x:v>
      </x:c>
      <x:c r="AB76" s="43" t="str">
        <x:v>No qualifying evidence source recorded</x:v>
      </x:c>
      <x:c r="AC76" s="43" t="str">
        <x:v>Excluded from Maya's elderly recommendation results because no source-backed elderly accessibility feature is recorded in the reviewed data. This does not mean the attraction is inaccessible.</x:v>
      </x:c>
      <x:c r="AD76" s="43" t="str">
        <x:v>2026-08-16</x:v>
      </x:c>
    </x:row>
    <x:row r="77" ht="60" customHeight="1">
      <x:c r="A77" s="16" t="s">
        <x:v>476</x:v>
      </x:c>
      <x:c r="B77" s="16" t="s">
        <x:v>477</x:v>
      </x:c>
      <x:c r="C77" s="16" t="s">
        <x:v>417</x:v>
      </x:c>
      <x:c r="D77" s="16" t="s">
        <x:v>426</x:v>
      </x:c>
      <x:c r="E77" s="16" t="s">
        <x:v>106</x:v>
      </x:c>
      <x:c r="F77" s="16" t="s">
        <x:v>25</x:v>
      </x:c>
      <x:c r="G77" s="16" t="s">
        <x:v>46</x:v>
      </x:c>
      <x:c r="H77" s="17" t="s">
        <x:v>478</x:v>
      </x:c>
      <x:c r="I77" s="17" t="s">
        <x:v>479</x:v>
      </x:c>
      <x:c r="J77" s="17" t="s">
        <x:v>480</x:v>
      </x:c>
      <x:c r="K77" s="17" t="s">
        <x:v>422</x:v>
      </x:c>
      <x:c r="L77" s="17" t="s">
        <x:v>58</x:v>
      </x:c>
      <x:c r="M77" s="17" t="s">
        <x:v>256</x:v>
      </x:c>
      <x:c r="N77" s="16" t="s">
        <x:v>481</x:v>
      </x:c>
      <x:c r="O77" s="18">
        <x:v>46249</x:v>
      </x:c>
      <x:c r="P77" s="19" t="s">
        <x:v>34</x:v>
      </x:c>
      <x:c r="Q77" s="17"/>
      <x:c r="R77" s="19" t="str">
        <x:f t="shared" si="1"/>
        <x:v>Discovery Link Only</x:v>
      </x:c>
      <x:c r="S77" s="43" t="str">
        <x:v>Unknown</x:v>
      </x:c>
      <x:c r="T77" s="43" t="str">
        <x:v>Unknown</x:v>
      </x:c>
      <x:c r="U77" s="43" t="str">
        <x:v>Unknown</x:v>
      </x:c>
      <x:c r="V77" s="43" t="str">
        <x:v>Unknown</x:v>
      </x:c>
      <x:c r="W77" s="43" t="str">
        <x:v>Unknown</x:v>
      </x:c>
      <x:c r="X77" s="43" t="str">
        <x:v>Unknown</x:v>
      </x:c>
      <x:c r="Y77" s="43" t="str">
        <x:v>Unknown</x:v>
      </x:c>
      <x:c r="Z77" s="43"/>
      <x:c r="AA77" s="43" t="str">
        <x:v>Excluded</x:v>
      </x:c>
      <x:c r="AB77" s="43" t="str">
        <x:v>No qualifying evidence source recorded</x:v>
      </x:c>
      <x:c r="AC77" s="43" t="str">
        <x:v>Excluded from Maya's elderly recommendation results because no source-backed elderly accessibility feature is recorded in the reviewed data. This does not mean the attraction is inaccessible.</x:v>
      </x:c>
      <x:c r="AD77" s="43" t="str">
        <x:v>2026-08-16</x:v>
      </x:c>
    </x:row>
    <x:row r="78" ht="60" customHeight="1">
      <x:c r="A78" s="16" t="s">
        <x:v>482</x:v>
      </x:c>
      <x:c r="B78" s="16" t="s">
        <x:v>483</x:v>
      </x:c>
      <x:c r="C78" s="16" t="s">
        <x:v>417</x:v>
      </x:c>
      <x:c r="D78" s="16" t="s">
        <x:v>426</x:v>
      </x:c>
      <x:c r="E78" s="16" t="s">
        <x:v>133</x:v>
      </x:c>
      <x:c r="F78" s="16" t="s">
        <x:v>121</x:v>
      </x:c>
      <x:c r="G78" s="16" t="s">
        <x:v>134</x:v>
      </x:c>
      <x:c r="H78" s="17" t="s">
        <x:v>484</x:v>
      </x:c>
      <x:c r="I78" s="17" t="s">
        <x:v>485</x:v>
      </x:c>
      <x:c r="J78" s="17" t="s">
        <x:v>486</x:v>
      </x:c>
      <x:c r="K78" s="17" t="s">
        <x:v>422</x:v>
      </x:c>
      <x:c r="L78" s="17" t="s">
        <x:v>111</x:v>
      </x:c>
      <x:c r="M78" s="17" t="s">
        <x:v>487</x:v>
      </x:c>
      <x:c r="N78" s="16"/>
      <x:c r="O78" s="18">
        <x:v>46249</x:v>
      </x:c>
      <x:c r="P78" s="19" t="s">
        <x:v>34</x:v>
      </x:c>
      <x:c r="Q78" s="17"/>
      <x:c r="R78" s="19" t="str">
        <x:f t="shared" si="1"/>
        <x:v>Discovery Link Only</x:v>
      </x:c>
      <x:c r="S78" s="43" t="str">
        <x:v>Unknown</x:v>
      </x:c>
      <x:c r="T78" s="43" t="str">
        <x:v>Unknown</x:v>
      </x:c>
      <x:c r="U78" s="43" t="str">
        <x:v>Unknown</x:v>
      </x:c>
      <x:c r="V78" s="43" t="str">
        <x:v>Unknown</x:v>
      </x:c>
      <x:c r="W78" s="43" t="str">
        <x:v>Unknown</x:v>
      </x:c>
      <x:c r="X78" s="43" t="str">
        <x:v>Unknown</x:v>
      </x:c>
      <x:c r="Y78" s="43" t="str">
        <x:v>Unknown</x:v>
      </x:c>
      <x:c r="Z78" s="43"/>
      <x:c r="AA78" s="43" t="str">
        <x:v>Excluded</x:v>
      </x:c>
      <x:c r="AB78" s="43" t="str">
        <x:v>No qualifying evidence source recorded</x:v>
      </x:c>
      <x:c r="AC78" s="43" t="str">
        <x:v>Excluded from Maya's elderly recommendation results because no source-backed elderly accessibility feature is recorded in the reviewed data. This does not mean the attraction is inaccessible.</x:v>
      </x:c>
      <x:c r="AD78" s="43" t="str">
        <x:v>2026-08-16</x:v>
      </x:c>
    </x:row>
    <x:row r="79" ht="60" customHeight="1">
      <x:c r="A79" s="16" t="s">
        <x:v>488</x:v>
      </x:c>
      <x:c r="B79" s="16" t="s">
        <x:v>489</x:v>
      </x:c>
      <x:c r="C79" s="16" t="s">
        <x:v>417</x:v>
      </x:c>
      <x:c r="D79" s="16" t="s">
        <x:v>426</x:v>
      </x:c>
      <x:c r="E79" s="16" t="s">
        <x:v>99</x:v>
      </x:c>
      <x:c r="F79" s="16" t="s">
        <x:v>121</x:v>
      </x:c>
      <x:c r="G79" s="16" t="s">
        <x:v>46</x:v>
      </x:c>
      <x:c r="H79" s="17" t="s">
        <x:v>490</x:v>
      </x:c>
      <x:c r="I79" s="17" t="s">
        <x:v>491</x:v>
      </x:c>
      <x:c r="J79" s="17" t="s">
        <x:v>492</x:v>
      </x:c>
      <x:c r="K79" s="17" t="s">
        <x:v>422</x:v>
      </x:c>
      <x:c r="L79" s="17" t="s">
        <x:v>111</x:v>
      </x:c>
      <x:c r="M79" s="17" t="s">
        <x:v>487</x:v>
      </x:c>
      <x:c r="N79" s="16"/>
      <x:c r="O79" s="18">
        <x:v>46249</x:v>
      </x:c>
      <x:c r="P79" s="19" t="s">
        <x:v>34</x:v>
      </x:c>
      <x:c r="Q79" s="17"/>
      <x:c r="R79" s="19" t="str">
        <x:f t="shared" si="1"/>
        <x:v>Discovery Link Only</x:v>
      </x:c>
      <x:c r="S79" s="43" t="str">
        <x:v>Unknown</x:v>
      </x:c>
      <x:c r="T79" s="43" t="str">
        <x:v>Unknown</x:v>
      </x:c>
      <x:c r="U79" s="43" t="str">
        <x:v>Unknown</x:v>
      </x:c>
      <x:c r="V79" s="43" t="str">
        <x:v>Unknown</x:v>
      </x:c>
      <x:c r="W79" s="43" t="str">
        <x:v>Unknown</x:v>
      </x:c>
      <x:c r="X79" s="43" t="str">
        <x:v>Unknown</x:v>
      </x:c>
      <x:c r="Y79" s="43" t="str">
        <x:v>Unknown</x:v>
      </x:c>
      <x:c r="Z79" s="43"/>
      <x:c r="AA79" s="43" t="str">
        <x:v>Excluded</x:v>
      </x:c>
      <x:c r="AB79" s="43" t="str">
        <x:v>No qualifying evidence source recorded</x:v>
      </x:c>
      <x:c r="AC79" s="43" t="str">
        <x:v>Excluded from Maya's elderly recommendation results because no source-backed elderly accessibility feature is recorded in the reviewed data. This does not mean the attraction is inaccessible.</x:v>
      </x:c>
      <x:c r="AD79" s="43" t="str">
        <x:v>2026-08-16</x:v>
      </x:c>
    </x:row>
    <x:row r="80" ht="60" customHeight="1">
      <x:c r="A80" s="16" t="s">
        <x:v>493</x:v>
      </x:c>
      <x:c r="B80" s="16" t="s">
        <x:v>494</x:v>
      </x:c>
      <x:c r="C80" s="16" t="s">
        <x:v>417</x:v>
      </x:c>
      <x:c r="D80" s="16" t="s">
        <x:v>445</x:v>
      </x:c>
      <x:c r="E80" s="16" t="s">
        <x:v>106</x:v>
      </x:c>
      <x:c r="F80" s="16" t="s">
        <x:v>127</x:v>
      </x:c>
      <x:c r="G80" s="16" t="s">
        <x:v>46</x:v>
      </x:c>
      <x:c r="H80" s="17" t="s">
        <x:v>495</x:v>
      </x:c>
      <x:c r="I80" s="17" t="s">
        <x:v>496</x:v>
      </x:c>
      <x:c r="J80" s="17" t="s">
        <x:v>497</x:v>
      </x:c>
      <x:c r="K80" s="17" t="s">
        <x:v>422</x:v>
      </x:c>
      <x:c r="L80" s="17" t="s">
        <x:v>111</x:v>
      </x:c>
      <x:c r="M80" s="17" t="s">
        <x:v>487</x:v>
      </x:c>
      <x:c r="N80" s="16"/>
      <x:c r="O80" s="18">
        <x:v>46249</x:v>
      </x:c>
      <x:c r="P80" s="19" t="s">
        <x:v>34</x:v>
      </x:c>
      <x:c r="Q80" s="17"/>
      <x:c r="R80" s="19" t="str">
        <x:f t="shared" si="1"/>
        <x:v>Discovery Link Only</x:v>
      </x:c>
      <x:c r="S80" s="43" t="str">
        <x:v>Unknown</x:v>
      </x:c>
      <x:c r="T80" s="43" t="str">
        <x:v>Unknown</x:v>
      </x:c>
      <x:c r="U80" s="43" t="str">
        <x:v>Unknown</x:v>
      </x:c>
      <x:c r="V80" s="43" t="str">
        <x:v>Unknown</x:v>
      </x:c>
      <x:c r="W80" s="43" t="str">
        <x:v>Unknown</x:v>
      </x:c>
      <x:c r="X80" s="43" t="str">
        <x:v>Unknown</x:v>
      </x:c>
      <x:c r="Y80" s="43" t="str">
        <x:v>Unknown</x:v>
      </x:c>
      <x:c r="Z80" s="43"/>
      <x:c r="AA80" s="43" t="str">
        <x:v>Excluded</x:v>
      </x:c>
      <x:c r="AB80" s="43" t="str">
        <x:v>No qualifying evidence source recorded</x:v>
      </x:c>
      <x:c r="AC80" s="43" t="str">
        <x:v>Excluded from Maya's elderly recommendation results because no source-backed elderly accessibility feature is recorded in the reviewed data. This does not mean the attraction is inaccessible.</x:v>
      </x:c>
      <x:c r="AD80" s="43" t="str">
        <x:v>2026-08-16</x:v>
      </x:c>
    </x:row>
    <x:row r="81" ht="60" customHeight="1">
      <x:c r="A81" s="16" t="s">
        <x:v>498</x:v>
      </x:c>
      <x:c r="B81" s="16" t="s">
        <x:v>499</x:v>
      </x:c>
      <x:c r="C81" s="16" t="s">
        <x:v>417</x:v>
      </x:c>
      <x:c r="D81" s="16" t="s">
        <x:v>445</x:v>
      </x:c>
      <x:c r="E81" s="16" t="s">
        <x:v>72</x:v>
      </x:c>
      <x:c r="F81" s="16" t="s">
        <x:v>121</x:v>
      </x:c>
      <x:c r="G81" s="16" t="s">
        <x:v>26</x:v>
      </x:c>
      <x:c r="H81" s="17" t="s">
        <x:v>500</x:v>
      </x:c>
      <x:c r="I81" s="17" t="s">
        <x:v>501</x:v>
      </x:c>
      <x:c r="J81" s="17" t="s">
        <x:v>502</x:v>
      </x:c>
      <x:c r="K81" s="17" t="s">
        <x:v>422</x:v>
      </x:c>
      <x:c r="L81" s="17" t="s">
        <x:v>111</x:v>
      </x:c>
      <x:c r="M81" s="17" t="s">
        <x:v>487</x:v>
      </x:c>
      <x:c r="N81" s="16"/>
      <x:c r="O81" s="18">
        <x:v>46249</x:v>
      </x:c>
      <x:c r="P81" s="19" t="s">
        <x:v>34</x:v>
      </x:c>
      <x:c r="Q81" s="17"/>
      <x:c r="R81" s="19" t="str">
        <x:f t="shared" si="1"/>
        <x:v>Discovery Link Only</x:v>
      </x:c>
      <x:c r="S81" s="43" t="str">
        <x:v>Unknown</x:v>
      </x:c>
      <x:c r="T81" s="43" t="str">
        <x:v>Unknown</x:v>
      </x:c>
      <x:c r="U81" s="43" t="str">
        <x:v>Unknown</x:v>
      </x:c>
      <x:c r="V81" s="43" t="str">
        <x:v>Unknown</x:v>
      </x:c>
      <x:c r="W81" s="43" t="str">
        <x:v>Unknown</x:v>
      </x:c>
      <x:c r="X81" s="43" t="str">
        <x:v>Unknown</x:v>
      </x:c>
      <x:c r="Y81" s="43" t="str">
        <x:v>Unknown</x:v>
      </x:c>
      <x:c r="Z81" s="43"/>
      <x:c r="AA81" s="43" t="str">
        <x:v>Excluded</x:v>
      </x:c>
      <x:c r="AB81" s="43" t="str">
        <x:v>No qualifying evidence source recorded</x:v>
      </x:c>
      <x:c r="AC81" s="43" t="str">
        <x:v>Excluded from Maya's elderly recommendation results because no source-backed elderly accessibility feature is recorded in the reviewed data. This does not mean the attraction is inaccessible.</x:v>
      </x:c>
      <x:c r="AD81" s="43" t="str">
        <x:v>2026-08-16</x:v>
      </x:c>
    </x:row>
    <x:row r="82" ht="60" customHeight="1">
      <x:c r="A82" s="16" t="s">
        <x:v>503</x:v>
      </x:c>
      <x:c r="B82" s="16" t="s">
        <x:v>504</x:v>
      </x:c>
      <x:c r="C82" s="16" t="s">
        <x:v>417</x:v>
      </x:c>
      <x:c r="D82" s="16" t="s">
        <x:v>458</x:v>
      </x:c>
      <x:c r="E82" s="16" t="s">
        <x:v>72</x:v>
      </x:c>
      <x:c r="F82" s="16" t="s">
        <x:v>121</x:v>
      </x:c>
      <x:c r="G82" s="16" t="s">
        <x:v>26</x:v>
      </x:c>
      <x:c r="H82" s="17" t="s">
        <x:v>505</x:v>
      </x:c>
      <x:c r="I82" s="17" t="s">
        <x:v>506</x:v>
      </x:c>
      <x:c r="J82" s="17" t="s">
        <x:v>507</x:v>
      </x:c>
      <x:c r="K82" s="17" t="s">
        <x:v>422</x:v>
      </x:c>
      <x:c r="L82" s="17" t="s">
        <x:v>111</x:v>
      </x:c>
      <x:c r="M82" s="17" t="s">
        <x:v>487</x:v>
      </x:c>
      <x:c r="N82" s="16"/>
      <x:c r="O82" s="18">
        <x:v>46249</x:v>
      </x:c>
      <x:c r="P82" s="19" t="s">
        <x:v>34</x:v>
      </x:c>
      <x:c r="Q82" s="17"/>
      <x:c r="R82" s="19" t="str">
        <x:f t="shared" si="1"/>
        <x:v>Discovery Link Only</x:v>
      </x:c>
      <x:c r="S82" s="43" t="str">
        <x:v>Unknown</x:v>
      </x:c>
      <x:c r="T82" s="43" t="str">
        <x:v>Unknown</x:v>
      </x:c>
      <x:c r="U82" s="43" t="str">
        <x:v>Unknown</x:v>
      </x:c>
      <x:c r="V82" s="43" t="str">
        <x:v>Unknown</x:v>
      </x:c>
      <x:c r="W82" s="43" t="str">
        <x:v>Unknown</x:v>
      </x:c>
      <x:c r="X82" s="43" t="str">
        <x:v>Unknown</x:v>
      </x:c>
      <x:c r="Y82" s="43" t="str">
        <x:v>Unknown</x:v>
      </x:c>
      <x:c r="Z82" s="43"/>
      <x:c r="AA82" s="43" t="str">
        <x:v>Excluded</x:v>
      </x:c>
      <x:c r="AB82" s="43" t="str">
        <x:v>No qualifying evidence source recorded</x:v>
      </x:c>
      <x:c r="AC82" s="43" t="str">
        <x:v>Excluded from Maya's elderly recommendation results because no source-backed elderly accessibility feature is recorded in the reviewed data. This does not mean the attraction is inaccessible.</x:v>
      </x:c>
      <x:c r="AD82" s="43" t="str">
        <x:v>2026-08-16</x:v>
      </x:c>
    </x:row>
    <x:row r="83" ht="60" customHeight="1">
      <x:c r="A83" s="16" t="s">
        <x:v>508</x:v>
      </x:c>
      <x:c r="B83" s="16" t="s">
        <x:v>509</x:v>
      </x:c>
      <x:c r="C83" s="16" t="s">
        <x:v>417</x:v>
      </x:c>
      <x:c r="D83" s="16" t="s">
        <x:v>510</x:v>
      </x:c>
      <x:c r="E83" s="16" t="s">
        <x:v>45</x:v>
      </x:c>
      <x:c r="F83" s="16" t="s">
        <x:v>121</x:v>
      </x:c>
      <x:c r="G83" s="16" t="s">
        <x:v>26</x:v>
      </x:c>
      <x:c r="H83" s="17" t="s">
        <x:v>244</x:v>
      </x:c>
      <x:c r="I83" s="17" t="s">
        <x:v>511</x:v>
      </x:c>
      <x:c r="J83" s="17" t="s">
        <x:v>512</x:v>
      </x:c>
      <x:c r="K83" s="17" t="s">
        <x:v>422</x:v>
      </x:c>
      <x:c r="L83" s="17" t="s">
        <x:v>111</x:v>
      </x:c>
      <x:c r="M83" s="17" t="s">
        <x:v>487</x:v>
      </x:c>
      <x:c r="N83" s="16"/>
      <x:c r="O83" s="18">
        <x:v>46249</x:v>
      </x:c>
      <x:c r="P83" s="19" t="s">
        <x:v>34</x:v>
      </x:c>
      <x:c r="Q83" s="17"/>
      <x:c r="R83" s="19" t="str">
        <x:f t="shared" si="1"/>
        <x:v>Discovery Link Only</x:v>
      </x:c>
      <x:c r="S83" s="43" t="str">
        <x:v>Unknown</x:v>
      </x:c>
      <x:c r="T83" s="43" t="str">
        <x:v>Unknown</x:v>
      </x:c>
      <x:c r="U83" s="43" t="str">
        <x:v>Unknown</x:v>
      </x:c>
      <x:c r="V83" s="43" t="str">
        <x:v>Unknown</x:v>
      </x:c>
      <x:c r="W83" s="43" t="str">
        <x:v>Unknown</x:v>
      </x:c>
      <x:c r="X83" s="43" t="str">
        <x:v>Unknown</x:v>
      </x:c>
      <x:c r="Y83" s="43" t="str">
        <x:v>Unknown</x:v>
      </x:c>
      <x:c r="Z83" s="43"/>
      <x:c r="AA83" s="43" t="str">
        <x:v>Excluded</x:v>
      </x:c>
      <x:c r="AB83" s="43" t="str">
        <x:v>No qualifying evidence source recorded</x:v>
      </x:c>
      <x:c r="AC83" s="43" t="str">
        <x:v>Excluded from Maya's elderly recommendation results because no source-backed elderly accessibility feature is recorded in the reviewed data. This does not mean the attraction is inaccessible.</x:v>
      </x:c>
      <x:c r="AD83" s="43" t="str">
        <x:v>2026-08-16</x:v>
      </x:c>
    </x:row>
    <x:row r="84" ht="60" customHeight="1">
      <x:c r="A84" s="16" t="s">
        <x:v>513</x:v>
      </x:c>
      <x:c r="B84" s="16" t="s">
        <x:v>514</x:v>
      </x:c>
      <x:c r="C84" s="16" t="s">
        <x:v>417</x:v>
      </x:c>
      <x:c r="D84" s="16" t="s">
        <x:v>510</x:v>
      </x:c>
      <x:c r="E84" s="16" t="s">
        <x:v>72</x:v>
      </x:c>
      <x:c r="F84" s="16" t="s">
        <x:v>121</x:v>
      </x:c>
      <x:c r="G84" s="16" t="s">
        <x:v>26</x:v>
      </x:c>
      <x:c r="H84" s="17" t="s">
        <x:v>515</x:v>
      </x:c>
      <x:c r="I84" s="17" t="s">
        <x:v>516</x:v>
      </x:c>
      <x:c r="J84" s="17" t="s">
        <x:v>517</x:v>
      </x:c>
      <x:c r="K84" s="17" t="s">
        <x:v>422</x:v>
      </x:c>
      <x:c r="L84" s="17" t="s">
        <x:v>111</x:v>
      </x:c>
      <x:c r="M84" s="17" t="s">
        <x:v>487</x:v>
      </x:c>
      <x:c r="N84" s="16"/>
      <x:c r="O84" s="18">
        <x:v>46249</x:v>
      </x:c>
      <x:c r="P84" s="19" t="s">
        <x:v>34</x:v>
      </x:c>
      <x:c r="Q84" s="17"/>
      <x:c r="R84" s="19" t="str">
        <x:f t="shared" si="1"/>
        <x:v>Discovery Link Only</x:v>
      </x:c>
      <x:c r="S84" s="43" t="str">
        <x:v>Unknown</x:v>
      </x:c>
      <x:c r="T84" s="43" t="str">
        <x:v>Unknown</x:v>
      </x:c>
      <x:c r="U84" s="43" t="str">
        <x:v>Unknown</x:v>
      </x:c>
      <x:c r="V84" s="43" t="str">
        <x:v>Unknown</x:v>
      </x:c>
      <x:c r="W84" s="43" t="str">
        <x:v>Unknown</x:v>
      </x:c>
      <x:c r="X84" s="43" t="str">
        <x:v>Unknown</x:v>
      </x:c>
      <x:c r="Y84" s="43" t="str">
        <x:v>Unknown</x:v>
      </x:c>
      <x:c r="Z84" s="43"/>
      <x:c r="AA84" s="43" t="str">
        <x:v>Excluded</x:v>
      </x:c>
      <x:c r="AB84" s="43" t="str">
        <x:v>No qualifying evidence source recorded</x:v>
      </x:c>
      <x:c r="AC84" s="43" t="str">
        <x:v>Excluded from Maya's elderly recommendation results because no source-backed elderly accessibility feature is recorded in the reviewed data. This does not mean the attraction is inaccessible.</x:v>
      </x:c>
      <x:c r="AD84" s="43" t="str">
        <x:v>2026-08-16</x:v>
      </x:c>
    </x:row>
    <x:row r="85" ht="60" customHeight="1">
      <x:c r="A85" s="16" t="s">
        <x:v>518</x:v>
      </x:c>
      <x:c r="B85" s="16" t="s">
        <x:v>519</x:v>
      </x:c>
      <x:c r="C85" s="16" t="s">
        <x:v>417</x:v>
      </x:c>
      <x:c r="D85" s="16" t="s">
        <x:v>465</x:v>
      </x:c>
      <x:c r="E85" s="16" t="s">
        <x:v>45</x:v>
      </x:c>
      <x:c r="F85" s="16" t="s">
        <x:v>107</x:v>
      </x:c>
      <x:c r="G85" s="16" t="s">
        <x:v>26</x:v>
      </x:c>
      <x:c r="H85" s="17" t="s">
        <x:v>520</x:v>
      </x:c>
      <x:c r="I85" s="17" t="s">
        <x:v>521</x:v>
      </x:c>
      <x:c r="J85" s="17" t="s">
        <x:v>522</x:v>
      </x:c>
      <x:c r="K85" s="17" t="s">
        <x:v>422</x:v>
      </x:c>
      <x:c r="L85" s="17" t="s">
        <x:v>111</x:v>
      </x:c>
      <x:c r="M85" s="17" t="s">
        <x:v>487</x:v>
      </x:c>
      <x:c r="N85" s="16"/>
      <x:c r="O85" s="18">
        <x:v>46249</x:v>
      </x:c>
      <x:c r="P85" s="19" t="s">
        <x:v>34</x:v>
      </x:c>
      <x:c r="Q85" s="17"/>
      <x:c r="R85" s="19" t="str">
        <x:f t="shared" si="1"/>
        <x:v>Discovery Link Only</x:v>
      </x:c>
      <x:c r="S85" s="43" t="str">
        <x:v>Unknown</x:v>
      </x:c>
      <x:c r="T85" s="43" t="str">
        <x:v>Unknown</x:v>
      </x:c>
      <x:c r="U85" s="43" t="str">
        <x:v>Unknown</x:v>
      </x:c>
      <x:c r="V85" s="43" t="str">
        <x:v>Unknown</x:v>
      </x:c>
      <x:c r="W85" s="43" t="str">
        <x:v>Unknown</x:v>
      </x:c>
      <x:c r="X85" s="43" t="str">
        <x:v>Unknown</x:v>
      </x:c>
      <x:c r="Y85" s="43" t="str">
        <x:v>Unknown</x:v>
      </x:c>
      <x:c r="Z85" s="43"/>
      <x:c r="AA85" s="43" t="str">
        <x:v>Excluded</x:v>
      </x:c>
      <x:c r="AB85" s="43" t="str">
        <x:v>No qualifying evidence source recorded</x:v>
      </x:c>
      <x:c r="AC85" s="43" t="str">
        <x:v>Excluded from Maya's elderly recommendation results because no source-backed elderly accessibility feature is recorded in the reviewed data. This does not mean the attraction is inaccessible.</x:v>
      </x:c>
      <x:c r="AD85" s="43" t="str">
        <x:v>2026-08-16</x:v>
      </x:c>
    </x:row>
    <x:row r="86" ht="60" customHeight="1">
      <x:c r="A86" s="16" t="s">
        <x:v>523</x:v>
      </x:c>
      <x:c r="B86" s="16" t="s">
        <x:v>524</x:v>
      </x:c>
      <x:c r="C86" s="16" t="s">
        <x:v>417</x:v>
      </x:c>
      <x:c r="D86" s="16" t="s">
        <x:v>418</x:v>
      </x:c>
      <x:c r="E86" s="16" t="s">
        <x:v>115</x:v>
      </x:c>
      <x:c r="F86" s="16" t="s">
        <x:v>127</x:v>
      </x:c>
      <x:c r="G86" s="16" t="s">
        <x:v>46</x:v>
      </x:c>
      <x:c r="H86" s="17" t="s">
        <x:v>525</x:v>
      </x:c>
      <x:c r="I86" s="17" t="s">
        <x:v>526</x:v>
      </x:c>
      <x:c r="J86" s="17" t="s">
        <x:v>527</x:v>
      </x:c>
      <x:c r="K86" s="17" t="s">
        <x:v>422</x:v>
      </x:c>
      <x:c r="L86" s="17" t="s">
        <x:v>111</x:v>
      </x:c>
      <x:c r="M86" s="17" t="s">
        <x:v>487</x:v>
      </x:c>
      <x:c r="N86" s="16"/>
      <x:c r="O86" s="18">
        <x:v>46249</x:v>
      </x:c>
      <x:c r="P86" s="19" t="s">
        <x:v>34</x:v>
      </x:c>
      <x:c r="Q86" s="17"/>
      <x:c r="R86" s="19" t="str">
        <x:f t="shared" si="1"/>
        <x:v>Discovery Link Only</x:v>
      </x:c>
      <x:c r="S86" s="43" t="str">
        <x:v>Unknown</x:v>
      </x:c>
      <x:c r="T86" s="43" t="str">
        <x:v>Unknown</x:v>
      </x:c>
      <x:c r="U86" s="43" t="str">
        <x:v>Unknown</x:v>
      </x:c>
      <x:c r="V86" s="43" t="str">
        <x:v>Unknown</x:v>
      </x:c>
      <x:c r="W86" s="43" t="str">
        <x:v>Unknown</x:v>
      </x:c>
      <x:c r="X86" s="43" t="str">
        <x:v>Unknown</x:v>
      </x:c>
      <x:c r="Y86" s="43" t="str">
        <x:v>Unknown</x:v>
      </x:c>
      <x:c r="Z86" s="43"/>
      <x:c r="AA86" s="43" t="str">
        <x:v>Excluded</x:v>
      </x:c>
      <x:c r="AB86" s="43" t="str">
        <x:v>No qualifying evidence source recorded</x:v>
      </x:c>
      <x:c r="AC86" s="43" t="str">
        <x:v>Excluded from Maya's elderly recommendation results because no source-backed elderly accessibility feature is recorded in the reviewed data. This does not mean the attraction is inaccessible.</x:v>
      </x:c>
      <x:c r="AD86" s="43" t="str">
        <x:v>2026-08-16</x:v>
      </x:c>
    </x:row>
    <x:row r="87" ht="60" customHeight="1">
      <x:c r="A87" s="16" t="s">
        <x:v>528</x:v>
      </x:c>
      <x:c r="B87" s="16" t="s">
        <x:v>529</x:v>
      </x:c>
      <x:c r="C87" s="16" t="s">
        <x:v>417</x:v>
      </x:c>
      <x:c r="D87" s="16" t="s">
        <x:v>418</x:v>
      </x:c>
      <x:c r="E87" s="16" t="s">
        <x:v>45</x:v>
      </x:c>
      <x:c r="F87" s="16" t="s">
        <x:v>127</x:v>
      </x:c>
      <x:c r="G87" s="16" t="s">
        <x:v>26</x:v>
      </x:c>
      <x:c r="H87" s="17" t="s">
        <x:v>530</x:v>
      </x:c>
      <x:c r="I87" s="17" t="s">
        <x:v>531</x:v>
      </x:c>
      <x:c r="J87" s="17" t="s">
        <x:v>532</x:v>
      </x:c>
      <x:c r="K87" s="17" t="s">
        <x:v>422</x:v>
      </x:c>
      <x:c r="L87" s="17" t="s">
        <x:v>111</x:v>
      </x:c>
      <x:c r="M87" s="17" t="s">
        <x:v>487</x:v>
      </x:c>
      <x:c r="N87" s="16"/>
      <x:c r="O87" s="18">
        <x:v>46249</x:v>
      </x:c>
      <x:c r="P87" s="19" t="s">
        <x:v>34</x:v>
      </x:c>
      <x:c r="Q87" s="17"/>
      <x:c r="R87" s="19" t="str">
        <x:f t="shared" si="1"/>
        <x:v>Discovery Link Only</x:v>
      </x:c>
      <x:c r="S87" s="43" t="str">
        <x:v>Unknown</x:v>
      </x:c>
      <x:c r="T87" s="43" t="str">
        <x:v>Unknown</x:v>
      </x:c>
      <x:c r="U87" s="43" t="str">
        <x:v>Unknown</x:v>
      </x:c>
      <x:c r="V87" s="43" t="str">
        <x:v>Unknown</x:v>
      </x:c>
      <x:c r="W87" s="43" t="str">
        <x:v>Unknown</x:v>
      </x:c>
      <x:c r="X87" s="43" t="str">
        <x:v>Unknown</x:v>
      </x:c>
      <x:c r="Y87" s="43" t="str">
        <x:v>Unknown</x:v>
      </x:c>
      <x:c r="Z87" s="43"/>
      <x:c r="AA87" s="43" t="str">
        <x:v>Excluded</x:v>
      </x:c>
      <x:c r="AB87" s="43" t="str">
        <x:v>No qualifying evidence source recorded</x:v>
      </x:c>
      <x:c r="AC87" s="43" t="str">
        <x:v>Excluded from Maya's elderly recommendation results because no source-backed elderly accessibility feature is recorded in the reviewed data. This does not mean the attraction is inaccessible.</x:v>
      </x:c>
      <x:c r="AD87" s="43" t="str">
        <x:v>2026-08-16</x:v>
      </x:c>
    </x:row>
    <x:row r="88" ht="60" customHeight="1">
      <x:c r="A88" s="16" t="s">
        <x:v>533</x:v>
      </x:c>
      <x:c r="B88" s="16" t="s">
        <x:v>534</x:v>
      </x:c>
      <x:c r="C88" s="16" t="s">
        <x:v>417</x:v>
      </x:c>
      <x:c r="D88" s="16" t="s">
        <x:v>535</x:v>
      </x:c>
      <x:c r="E88" s="16" t="s">
        <x:v>45</x:v>
      </x:c>
      <x:c r="F88" s="16" t="s">
        <x:v>194</x:v>
      </x:c>
      <x:c r="G88" s="16" t="s">
        <x:v>26</x:v>
      </x:c>
      <x:c r="H88" s="17" t="s">
        <x:v>536</x:v>
      </x:c>
      <x:c r="I88" s="17" t="s">
        <x:v>537</x:v>
      </x:c>
      <x:c r="J88" s="17" t="s">
        <x:v>538</x:v>
      </x:c>
      <x:c r="K88" s="17" t="s">
        <x:v>422</x:v>
      </x:c>
      <x:c r="L88" s="17" t="s">
        <x:v>111</x:v>
      </x:c>
      <x:c r="M88" s="17" t="s">
        <x:v>487</x:v>
      </x:c>
      <x:c r="N88" s="16"/>
      <x:c r="O88" s="18">
        <x:v>46249</x:v>
      </x:c>
      <x:c r="P88" s="19" t="s">
        <x:v>34</x:v>
      </x:c>
      <x:c r="Q88" s="17"/>
      <x:c r="R88" s="19" t="str">
        <x:f t="shared" si="1"/>
        <x:v>Discovery Link Only</x:v>
      </x:c>
      <x:c r="S88" s="43" t="str">
        <x:v>Unknown</x:v>
      </x:c>
      <x:c r="T88" s="43" t="str">
        <x:v>Unknown</x:v>
      </x:c>
      <x:c r="U88" s="43" t="str">
        <x:v>Unknown</x:v>
      </x:c>
      <x:c r="V88" s="43" t="str">
        <x:v>Unknown</x:v>
      </x:c>
      <x:c r="W88" s="43" t="str">
        <x:v>Unknown</x:v>
      </x:c>
      <x:c r="X88" s="43" t="str">
        <x:v>Unknown</x:v>
      </x:c>
      <x:c r="Y88" s="43" t="str">
        <x:v>Unknown</x:v>
      </x:c>
      <x:c r="Z88" s="43"/>
      <x:c r="AA88" s="43" t="str">
        <x:v>Excluded</x:v>
      </x:c>
      <x:c r="AB88" s="43" t="str">
        <x:v>No qualifying evidence source recorded</x:v>
      </x:c>
      <x:c r="AC88" s="43" t="str">
        <x:v>Excluded from Maya's elderly recommendation results because no source-backed elderly accessibility feature is recorded in the reviewed data. This does not mean the attraction is inaccessible.</x:v>
      </x:c>
      <x:c r="AD88" s="43" t="str">
        <x:v>2026-08-16</x:v>
      </x:c>
    </x:row>
    <x:row r="89" ht="60" customHeight="1">
      <x:c r="A89" s="16" t="s">
        <x:v>539</x:v>
      </x:c>
      <x:c r="B89" s="16" t="s">
        <x:v>540</x:v>
      </x:c>
      <x:c r="C89" s="16" t="s">
        <x:v>417</x:v>
      </x:c>
      <x:c r="D89" s="16" t="s">
        <x:v>535</x:v>
      </x:c>
      <x:c r="E89" s="16" t="s">
        <x:v>45</x:v>
      </x:c>
      <x:c r="F89" s="16" t="s">
        <x:v>194</x:v>
      </x:c>
      <x:c r="G89" s="16" t="s">
        <x:v>26</x:v>
      </x:c>
      <x:c r="H89" s="17" t="s">
        <x:v>244</x:v>
      </x:c>
      <x:c r="I89" s="17" t="s">
        <x:v>541</x:v>
      </x:c>
      <x:c r="J89" s="17" t="s">
        <x:v>542</x:v>
      </x:c>
      <x:c r="K89" s="17" t="s">
        <x:v>422</x:v>
      </x:c>
      <x:c r="L89" s="17" t="s">
        <x:v>111</x:v>
      </x:c>
      <x:c r="M89" s="17" t="s">
        <x:v>487</x:v>
      </x:c>
      <x:c r="N89" s="16"/>
      <x:c r="O89" s="18">
        <x:v>46249</x:v>
      </x:c>
      <x:c r="P89" s="19" t="s">
        <x:v>34</x:v>
      </x:c>
      <x:c r="Q89" s="17"/>
      <x:c r="R89" s="19" t="str">
        <x:f t="shared" si="1"/>
        <x:v>Discovery Link Only</x:v>
      </x:c>
      <x:c r="S89" s="43" t="str">
        <x:v>Unknown</x:v>
      </x:c>
      <x:c r="T89" s="43" t="str">
        <x:v>Unknown</x:v>
      </x:c>
      <x:c r="U89" s="43" t="str">
        <x:v>Unknown</x:v>
      </x:c>
      <x:c r="V89" s="43" t="str">
        <x:v>Unknown</x:v>
      </x:c>
      <x:c r="W89" s="43" t="str">
        <x:v>Unknown</x:v>
      </x:c>
      <x:c r="X89" s="43" t="str">
        <x:v>Unknown</x:v>
      </x:c>
      <x:c r="Y89" s="43" t="str">
        <x:v>Unknown</x:v>
      </x:c>
      <x:c r="Z89" s="43"/>
      <x:c r="AA89" s="43" t="str">
        <x:v>Excluded</x:v>
      </x:c>
      <x:c r="AB89" s="43" t="str">
        <x:v>No qualifying evidence source recorded</x:v>
      </x:c>
      <x:c r="AC89" s="43" t="str">
        <x:v>Excluded from Maya's elderly recommendation results because no source-backed elderly accessibility feature is recorded in the reviewed data. This does not mean the attraction is inaccessible.</x:v>
      </x:c>
      <x:c r="AD89" s="43" t="str">
        <x:v>2026-08-16</x:v>
      </x:c>
    </x:row>
    <x:row r="90" ht="60" customHeight="1">
      <x:c r="A90" s="16" t="s">
        <x:v>543</x:v>
      </x:c>
      <x:c r="B90" s="16" t="s">
        <x:v>544</x:v>
      </x:c>
      <x:c r="C90" s="16" t="s">
        <x:v>417</x:v>
      </x:c>
      <x:c r="D90" s="16" t="s">
        <x:v>545</x:v>
      </x:c>
      <x:c r="E90" s="16" t="s">
        <x:v>151</x:v>
      </x:c>
      <x:c r="F90" s="16" t="s">
        <x:v>121</x:v>
      </x:c>
      <x:c r="G90" s="16" t="s">
        <x:v>134</x:v>
      </x:c>
      <x:c r="H90" s="17" t="s">
        <x:v>546</x:v>
      </x:c>
      <x:c r="I90" s="17" t="s">
        <x:v>547</x:v>
      </x:c>
      <x:c r="J90" s="17" t="s">
        <x:v>548</x:v>
      </x:c>
      <x:c r="K90" s="17" t="s">
        <x:v>422</x:v>
      </x:c>
      <x:c r="L90" s="17" t="s">
        <x:v>111</x:v>
      </x:c>
      <x:c r="M90" s="17" t="s">
        <x:v>487</x:v>
      </x:c>
      <x:c r="N90" s="16"/>
      <x:c r="O90" s="18">
        <x:v>46249</x:v>
      </x:c>
      <x:c r="P90" s="19" t="s">
        <x:v>34</x:v>
      </x:c>
      <x:c r="Q90" s="17"/>
      <x:c r="R90" s="19" t="str">
        <x:f t="shared" si="1"/>
        <x:v>Discovery Link Only</x:v>
      </x:c>
      <x:c r="S90" s="43" t="str">
        <x:v>Unknown</x:v>
      </x:c>
      <x:c r="T90" s="43" t="str">
        <x:v>Unknown</x:v>
      </x:c>
      <x:c r="U90" s="43" t="str">
        <x:v>Unknown</x:v>
      </x:c>
      <x:c r="V90" s="43" t="str">
        <x:v>Unknown</x:v>
      </x:c>
      <x:c r="W90" s="43" t="str">
        <x:v>Unknown</x:v>
      </x:c>
      <x:c r="X90" s="43" t="str">
        <x:v>Unknown</x:v>
      </x:c>
      <x:c r="Y90" s="43" t="str">
        <x:v>Unknown</x:v>
      </x:c>
      <x:c r="Z90" s="43"/>
      <x:c r="AA90" s="43" t="str">
        <x:v>Excluded</x:v>
      </x:c>
      <x:c r="AB90" s="43" t="str">
        <x:v>No qualifying evidence source recorded</x:v>
      </x:c>
      <x:c r="AC90" s="43" t="str">
        <x:v>Excluded from Maya's elderly recommendation results because no source-backed elderly accessibility feature is recorded in the reviewed data. This does not mean the attraction is inaccessible.</x:v>
      </x:c>
      <x:c r="AD90" s="43" t="str">
        <x:v>2026-08-16</x:v>
      </x:c>
    </x:row>
    <x:row r="91" ht="60" customHeight="1">
      <x:c r="A91" s="16" t="s">
        <x:v>549</x:v>
      </x:c>
      <x:c r="B91" s="16" t="s">
        <x:v>550</x:v>
      </x:c>
      <x:c r="C91" s="16" t="s">
        <x:v>417</x:v>
      </x:c>
      <x:c r="D91" s="16" t="s">
        <x:v>551</x:v>
      </x:c>
      <x:c r="E91" s="16" t="s">
        <x:v>45</x:v>
      </x:c>
      <x:c r="F91" s="16" t="s">
        <x:v>194</x:v>
      </x:c>
      <x:c r="G91" s="16" t="s">
        <x:v>26</x:v>
      </x:c>
      <x:c r="H91" s="17" t="s">
        <x:v>552</x:v>
      </x:c>
      <x:c r="I91" s="17" t="s">
        <x:v>553</x:v>
      </x:c>
      <x:c r="J91" s="17" t="s">
        <x:v>554</x:v>
      </x:c>
      <x:c r="K91" s="17" t="s">
        <x:v>422</x:v>
      </x:c>
      <x:c r="L91" s="17" t="s">
        <x:v>111</x:v>
      </x:c>
      <x:c r="M91" s="17" t="s">
        <x:v>487</x:v>
      </x:c>
      <x:c r="N91" s="16"/>
      <x:c r="O91" s="18">
        <x:v>46249</x:v>
      </x:c>
      <x:c r="P91" s="19" t="s">
        <x:v>34</x:v>
      </x:c>
      <x:c r="Q91" s="17"/>
      <x:c r="R91" s="19" t="str">
        <x:f t="shared" si="1"/>
        <x:v>Discovery Link Only</x:v>
      </x:c>
      <x:c r="S91" s="43" t="str">
        <x:v>Unknown</x:v>
      </x:c>
      <x:c r="T91" s="43" t="str">
        <x:v>Unknown</x:v>
      </x:c>
      <x:c r="U91" s="43" t="str">
        <x:v>Unknown</x:v>
      </x:c>
      <x:c r="V91" s="43" t="str">
        <x:v>Unknown</x:v>
      </x:c>
      <x:c r="W91" s="43" t="str">
        <x:v>Unknown</x:v>
      </x:c>
      <x:c r="X91" s="43" t="str">
        <x:v>Unknown</x:v>
      </x:c>
      <x:c r="Y91" s="43" t="str">
        <x:v>Unknown</x:v>
      </x:c>
      <x:c r="Z91" s="43"/>
      <x:c r="AA91" s="43" t="str">
        <x:v>Excluded</x:v>
      </x:c>
      <x:c r="AB91" s="43" t="str">
        <x:v>No qualifying evidence source recorded</x:v>
      </x:c>
      <x:c r="AC91" s="43" t="str">
        <x:v>Excluded from Maya's elderly recommendation results because no source-backed elderly accessibility feature is recorded in the reviewed data. This does not mean the attraction is inaccessible.</x:v>
      </x:c>
      <x:c r="AD91" s="43" t="str">
        <x:v>2026-08-16</x:v>
      </x:c>
    </x:row>
    <x:row r="92" ht="60" customHeight="1">
      <x:c r="A92" s="16" t="s">
        <x:v>555</x:v>
      </x:c>
      <x:c r="B92" s="16" t="s">
        <x:v>556</x:v>
      </x:c>
      <x:c r="C92" s="16" t="s">
        <x:v>557</x:v>
      </x:c>
      <x:c r="D92" s="16" t="s">
        <x:v>558</x:v>
      </x:c>
      <x:c r="E92" s="16" t="s">
        <x:v>72</x:v>
      </x:c>
      <x:c r="F92" s="16" t="s">
        <x:v>121</x:v>
      </x:c>
      <x:c r="G92" s="16" t="s">
        <x:v>26</x:v>
      </x:c>
      <x:c r="H92" s="17" t="s">
        <x:v>559</x:v>
      </x:c>
      <x:c r="I92" s="17" t="s">
        <x:v>560</x:v>
      </x:c>
      <x:c r="J92" s="17" t="s">
        <x:v>561</x:v>
      </x:c>
      <x:c r="K92" s="17" t="s">
        <x:v>562</x:v>
      </x:c>
      <x:c r="L92" s="17" t="s">
        <x:v>58</x:v>
      </x:c>
      <x:c r="M92" s="17" t="s">
        <x:v>256</x:v>
      </x:c>
      <x:c r="N92" s="16" t="s">
        <x:v>563</x:v>
      </x:c>
      <x:c r="O92" s="18">
        <x:v>46249</x:v>
      </x:c>
      <x:c r="P92" s="19" t="s">
        <x:v>34</x:v>
      </x:c>
      <x:c r="Q92" s="17"/>
      <x:c r="R92" s="19" t="str">
        <x:f t="shared" si="1"/>
        <x:v>Source Link Present</x:v>
      </x:c>
      <x:c r="S92" s="43" t="str">
        <x:v>Unknown</x:v>
      </x:c>
      <x:c r="T92" s="43" t="str">
        <x:v>Unknown</x:v>
      </x:c>
      <x:c r="U92" s="43" t="str">
        <x:v>Unknown</x:v>
      </x:c>
      <x:c r="V92" s="43" t="str">
        <x:v>Unknown</x:v>
      </x:c>
      <x:c r="W92" s="43" t="str">
        <x:v>Unknown</x:v>
      </x:c>
      <x:c r="X92" s="43" t="str">
        <x:v>Unknown</x:v>
      </x:c>
      <x:c r="Y92" s="43" t="str">
        <x:v>Unknown</x:v>
      </x:c>
      <x:c r="Z92" s="43"/>
      <x:c r="AA92" s="43" t="str">
        <x:v>Excluded</x:v>
      </x:c>
      <x:c r="AB92" s="43" t="str">
        <x:v>No qualifying evidence source recorded</x:v>
      </x:c>
      <x:c r="AC92" s="43" t="str">
        <x:v>Excluded from Maya's elderly recommendation results because no source-backed elderly accessibility feature is recorded in the reviewed data. This does not mean the attraction is inaccessible.</x:v>
      </x:c>
      <x:c r="AD92" s="43" t="str">
        <x:v>2026-08-16</x:v>
      </x:c>
    </x:row>
    <x:row r="93" ht="60" customHeight="1">
      <x:c r="A93" s="16" t="s">
        <x:v>564</x:v>
      </x:c>
      <x:c r="B93" s="16" t="s">
        <x:v>565</x:v>
      </x:c>
      <x:c r="C93" s="16" t="s">
        <x:v>557</x:v>
      </x:c>
      <x:c r="D93" s="16" t="s">
        <x:v>566</x:v>
      </x:c>
      <x:c r="E93" s="16" t="s">
        <x:v>72</x:v>
      </x:c>
      <x:c r="F93" s="16" t="s">
        <x:v>121</x:v>
      </x:c>
      <x:c r="G93" s="16" t="s">
        <x:v>26</x:v>
      </x:c>
      <x:c r="H93" s="17" t="s">
        <x:v>567</x:v>
      </x:c>
      <x:c r="I93" s="17" t="s">
        <x:v>568</x:v>
      </x:c>
      <x:c r="J93" s="17" t="s">
        <x:v>569</x:v>
      </x:c>
      <x:c r="K93" s="17" t="s">
        <x:v>562</x:v>
      </x:c>
      <x:c r="L93" s="17" t="s">
        <x:v>58</x:v>
      </x:c>
      <x:c r="M93" s="17" t="s">
        <x:v>256</x:v>
      </x:c>
      <x:c r="N93" s="16" t="s">
        <x:v>570</x:v>
      </x:c>
      <x:c r="O93" s="18">
        <x:v>46249</x:v>
      </x:c>
      <x:c r="P93" s="19" t="s">
        <x:v>34</x:v>
      </x:c>
      <x:c r="Q93" s="17"/>
      <x:c r="R93" s="19" t="str">
        <x:f t="shared" si="1"/>
        <x:v>Source Link Present</x:v>
      </x:c>
      <x:c r="S93" s="43" t="str">
        <x:v>Unknown</x:v>
      </x:c>
      <x:c r="T93" s="43" t="str">
        <x:v>Unknown</x:v>
      </x:c>
      <x:c r="U93" s="43" t="str">
        <x:v>Unknown</x:v>
      </x:c>
      <x:c r="V93" s="43" t="str">
        <x:v>Unknown</x:v>
      </x:c>
      <x:c r="W93" s="43" t="str">
        <x:v>Unknown</x:v>
      </x:c>
      <x:c r="X93" s="43" t="str">
        <x:v>Unknown</x:v>
      </x:c>
      <x:c r="Y93" s="43" t="str">
        <x:v>Unknown</x:v>
      </x:c>
      <x:c r="Z93" s="43"/>
      <x:c r="AA93" s="43" t="str">
        <x:v>Excluded</x:v>
      </x:c>
      <x:c r="AB93" s="43" t="str">
        <x:v>No qualifying evidence source recorded</x:v>
      </x:c>
      <x:c r="AC93" s="43" t="str">
        <x:v>Excluded from Maya's elderly recommendation results because no source-backed elderly accessibility feature is recorded in the reviewed data. This does not mean the attraction is inaccessible.</x:v>
      </x:c>
      <x:c r="AD93" s="43" t="str">
        <x:v>2026-08-16</x:v>
      </x:c>
    </x:row>
    <x:row r="94" ht="60" customHeight="1">
      <x:c r="A94" s="16" t="s">
        <x:v>571</x:v>
      </x:c>
      <x:c r="B94" s="16" t="s">
        <x:v>572</x:v>
      </x:c>
      <x:c r="C94" s="16" t="s">
        <x:v>557</x:v>
      </x:c>
      <x:c r="D94" s="16" t="s">
        <x:v>573</x:v>
      </x:c>
      <x:c r="E94" s="16" t="s">
        <x:v>115</x:v>
      </x:c>
      <x:c r="F94" s="16" t="s">
        <x:v>25</x:v>
      </x:c>
      <x:c r="G94" s="16" t="s">
        <x:v>26</x:v>
      </x:c>
      <x:c r="H94" s="17" t="s">
        <x:v>574</x:v>
      </x:c>
      <x:c r="I94" s="17" t="s">
        <x:v>575</x:v>
      </x:c>
      <x:c r="J94" s="17" t="s">
        <x:v>576</x:v>
      </x:c>
      <x:c r="K94" s="17" t="s">
        <x:v>562</x:v>
      </x:c>
      <x:c r="L94" s="17" t="s">
        <x:v>58</x:v>
      </x:c>
      <x:c r="M94" s="17" t="s">
        <x:v>256</x:v>
      </x:c>
      <x:c r="N94" s="16" t="s">
        <x:v>577</x:v>
      </x:c>
      <x:c r="O94" s="18">
        <x:v>46249</x:v>
      </x:c>
      <x:c r="P94" s="19" t="s">
        <x:v>34</x:v>
      </x:c>
      <x:c r="Q94" s="17"/>
      <x:c r="R94" s="19" t="str">
        <x:f t="shared" si="1"/>
        <x:v>Discovery Link Only</x:v>
      </x:c>
      <x:c r="S94" s="43" t="str">
        <x:v>Unknown</x:v>
      </x:c>
      <x:c r="T94" s="43" t="str">
        <x:v>Unknown</x:v>
      </x:c>
      <x:c r="U94" s="43" t="str">
        <x:v>Unknown</x:v>
      </x:c>
      <x:c r="V94" s="43" t="str">
        <x:v>Unknown</x:v>
      </x:c>
      <x:c r="W94" s="43" t="str">
        <x:v>Unknown</x:v>
      </x:c>
      <x:c r="X94" s="43" t="str">
        <x:v>Unknown</x:v>
      </x:c>
      <x:c r="Y94" s="43" t="str">
        <x:v>Unknown</x:v>
      </x:c>
      <x:c r="Z94" s="43"/>
      <x:c r="AA94" s="43" t="str">
        <x:v>Excluded</x:v>
      </x:c>
      <x:c r="AB94" s="43" t="str">
        <x:v>No qualifying evidence source recorded</x:v>
      </x:c>
      <x:c r="AC94" s="43" t="str">
        <x:v>Excluded from Maya's elderly recommendation results because no source-backed elderly accessibility feature is recorded in the reviewed data. This does not mean the attraction is inaccessible.</x:v>
      </x:c>
      <x:c r="AD94" s="43" t="str">
        <x:v>2026-08-16</x:v>
      </x:c>
    </x:row>
    <x:row r="95" ht="60" customHeight="1">
      <x:c r="A95" s="16" t="s">
        <x:v>578</x:v>
      </x:c>
      <x:c r="B95" s="16" t="s">
        <x:v>579</x:v>
      </x:c>
      <x:c r="C95" s="16" t="s">
        <x:v>557</x:v>
      </x:c>
      <x:c r="D95" s="16" t="s">
        <x:v>573</x:v>
      </x:c>
      <x:c r="E95" s="16" t="s">
        <x:v>133</x:v>
      </x:c>
      <x:c r="F95" s="16" t="s">
        <x:v>25</x:v>
      </x:c>
      <x:c r="G95" s="16" t="s">
        <x:v>46</x:v>
      </x:c>
      <x:c r="H95" s="17" t="s">
        <x:v>580</x:v>
      </x:c>
      <x:c r="I95" s="17" t="s">
        <x:v>581</x:v>
      </x:c>
      <x:c r="J95" s="17" t="s">
        <x:v>582</x:v>
      </x:c>
      <x:c r="K95" s="17" t="s">
        <x:v>562</x:v>
      </x:c>
      <x:c r="L95" s="17" t="s">
        <x:v>58</x:v>
      </x:c>
      <x:c r="M95" s="17" t="s">
        <x:v>256</x:v>
      </x:c>
      <x:c r="N95" s="16" t="s">
        <x:v>583</x:v>
      </x:c>
      <x:c r="O95" s="18">
        <x:v>46249</x:v>
      </x:c>
      <x:c r="P95" s="19" t="s">
        <x:v>34</x:v>
      </x:c>
      <x:c r="Q95" s="17"/>
      <x:c r="R95" s="19" t="str">
        <x:f t="shared" si="1"/>
        <x:v>Discovery Link Only</x:v>
      </x:c>
      <x:c r="S95" s="43" t="str">
        <x:v>Unknown</x:v>
      </x:c>
      <x:c r="T95" s="43" t="str">
        <x:v>Unknown</x:v>
      </x:c>
      <x:c r="U95" s="43" t="str">
        <x:v>Unknown</x:v>
      </x:c>
      <x:c r="V95" s="43" t="str">
        <x:v>Unknown</x:v>
      </x:c>
      <x:c r="W95" s="43" t="str">
        <x:v>Unknown</x:v>
      </x:c>
      <x:c r="X95" s="43" t="str">
        <x:v>Unknown</x:v>
      </x:c>
      <x:c r="Y95" s="43" t="str">
        <x:v>Unknown</x:v>
      </x:c>
      <x:c r="Z95" s="43"/>
      <x:c r="AA95" s="43" t="str">
        <x:v>Excluded</x:v>
      </x:c>
      <x:c r="AB95" s="43" t="str">
        <x:v>No qualifying evidence source recorded</x:v>
      </x:c>
      <x:c r="AC95" s="43" t="str">
        <x:v>Excluded from Maya's elderly recommendation results because no source-backed elderly accessibility feature is recorded in the reviewed data. This does not mean the attraction is inaccessible.</x:v>
      </x:c>
      <x:c r="AD95" s="43" t="str">
        <x:v>2026-08-16</x:v>
      </x:c>
    </x:row>
    <x:row r="96" ht="60" customHeight="1">
      <x:c r="A96" s="16" t="s">
        <x:v>584</x:v>
      </x:c>
      <x:c r="B96" s="16" t="s">
        <x:v>585</x:v>
      </x:c>
      <x:c r="C96" s="16" t="s">
        <x:v>557</x:v>
      </x:c>
      <x:c r="D96" s="16" t="s">
        <x:v>573</x:v>
      </x:c>
      <x:c r="E96" s="16" t="s">
        <x:v>151</x:v>
      </x:c>
      <x:c r="F96" s="16" t="s">
        <x:v>121</x:v>
      </x:c>
      <x:c r="G96" s="16" t="s">
        <x:v>26</x:v>
      </x:c>
      <x:c r="H96" s="17" t="s">
        <x:v>586</x:v>
      </x:c>
      <x:c r="I96" s="17" t="s">
        <x:v>587</x:v>
      </x:c>
      <x:c r="J96" s="17" t="s">
        <x:v>588</x:v>
      </x:c>
      <x:c r="K96" s="17" t="s">
        <x:v>562</x:v>
      </x:c>
      <x:c r="L96" s="17" t="s">
        <x:v>58</x:v>
      </x:c>
      <x:c r="M96" s="17" t="s">
        <x:v>256</x:v>
      </x:c>
      <x:c r="N96" s="16" t="s">
        <x:v>589</x:v>
      </x:c>
      <x:c r="O96" s="18">
        <x:v>46249</x:v>
      </x:c>
      <x:c r="P96" s="19" t="s">
        <x:v>34</x:v>
      </x:c>
      <x:c r="Q96" s="17"/>
      <x:c r="R96" s="19" t="str">
        <x:f t="shared" si="1"/>
        <x:v>Discovery Link Only</x:v>
      </x:c>
      <x:c r="S96" s="43" t="str">
        <x:v>Unknown</x:v>
      </x:c>
      <x:c r="T96" s="43" t="str">
        <x:v>Unknown</x:v>
      </x:c>
      <x:c r="U96" s="43" t="str">
        <x:v>Unknown</x:v>
      </x:c>
      <x:c r="V96" s="43" t="str">
        <x:v>Unknown</x:v>
      </x:c>
      <x:c r="W96" s="43" t="str">
        <x:v>Unknown</x:v>
      </x:c>
      <x:c r="X96" s="43" t="str">
        <x:v>Unknown</x:v>
      </x:c>
      <x:c r="Y96" s="43" t="str">
        <x:v>Unknown</x:v>
      </x:c>
      <x:c r="Z96" s="43"/>
      <x:c r="AA96" s="43" t="str">
        <x:v>Excluded</x:v>
      </x:c>
      <x:c r="AB96" s="43" t="str">
        <x:v>No qualifying evidence source recorded</x:v>
      </x:c>
      <x:c r="AC96" s="43" t="str">
        <x:v>Excluded from Maya's elderly recommendation results because no source-backed elderly accessibility feature is recorded in the reviewed data. This does not mean the attraction is inaccessible.</x:v>
      </x:c>
      <x:c r="AD96" s="43" t="str">
        <x:v>2026-08-16</x:v>
      </x:c>
    </x:row>
    <x:row r="97" ht="60" customHeight="1">
      <x:c r="A97" s="16" t="s">
        <x:v>590</x:v>
      </x:c>
      <x:c r="B97" s="16" t="s">
        <x:v>591</x:v>
      </x:c>
      <x:c r="C97" s="16" t="s">
        <x:v>557</x:v>
      </x:c>
      <x:c r="D97" s="16" t="s">
        <x:v>573</x:v>
      </x:c>
      <x:c r="E97" s="16" t="s">
        <x:v>140</x:v>
      </x:c>
      <x:c r="F97" s="16" t="s">
        <x:v>25</x:v>
      </x:c>
      <x:c r="G97" s="16" t="s">
        <x:v>26</x:v>
      </x:c>
      <x:c r="H97" s="17" t="s">
        <x:v>592</x:v>
      </x:c>
      <x:c r="I97" s="17" t="s">
        <x:v>593</x:v>
      </x:c>
      <x:c r="J97" s="17" t="s">
        <x:v>594</x:v>
      </x:c>
      <x:c r="K97" s="17" t="s">
        <x:v>562</x:v>
      </x:c>
      <x:c r="L97" s="17" t="s">
        <x:v>58</x:v>
      </x:c>
      <x:c r="M97" s="17" t="s">
        <x:v>256</x:v>
      </x:c>
      <x:c r="N97" s="16" t="s">
        <x:v>595</x:v>
      </x:c>
      <x:c r="O97" s="18">
        <x:v>46249</x:v>
      </x:c>
      <x:c r="P97" s="19" t="s">
        <x:v>34</x:v>
      </x:c>
      <x:c r="Q97" s="17"/>
      <x:c r="R97" s="19" t="str">
        <x:f t="shared" si="1"/>
        <x:v>Discovery Link Only</x:v>
      </x:c>
      <x:c r="S97" s="43" t="str">
        <x:v>Unknown</x:v>
      </x:c>
      <x:c r="T97" s="43" t="str">
        <x:v>Unknown</x:v>
      </x:c>
      <x:c r="U97" s="43" t="str">
        <x:v>Unknown</x:v>
      </x:c>
      <x:c r="V97" s="43" t="str">
        <x:v>Unknown</x:v>
      </x:c>
      <x:c r="W97" s="43" t="str">
        <x:v>Unknown</x:v>
      </x:c>
      <x:c r="X97" s="43" t="str">
        <x:v>Unknown</x:v>
      </x:c>
      <x:c r="Y97" s="43" t="str">
        <x:v>Unknown</x:v>
      </x:c>
      <x:c r="Z97" s="43"/>
      <x:c r="AA97" s="43" t="str">
        <x:v>Excluded</x:v>
      </x:c>
      <x:c r="AB97" s="43" t="str">
        <x:v>No qualifying evidence source recorded</x:v>
      </x:c>
      <x:c r="AC97" s="43" t="str">
        <x:v>Excluded from Maya's elderly recommendation results because no source-backed elderly accessibility feature is recorded in the reviewed data. This does not mean the attraction is inaccessible.</x:v>
      </x:c>
      <x:c r="AD97" s="43" t="str">
        <x:v>2026-08-16</x:v>
      </x:c>
    </x:row>
    <x:row r="98" ht="60" customHeight="1">
      <x:c r="A98" s="16" t="s">
        <x:v>596</x:v>
      </x:c>
      <x:c r="B98" s="16" t="s">
        <x:v>597</x:v>
      </x:c>
      <x:c r="C98" s="16" t="s">
        <x:v>557</x:v>
      </x:c>
      <x:c r="D98" s="16" t="s">
        <x:v>573</x:v>
      </x:c>
      <x:c r="E98" s="16" t="s">
        <x:v>133</x:v>
      </x:c>
      <x:c r="F98" s="16" t="s">
        <x:v>25</x:v>
      </x:c>
      <x:c r="G98" s="16" t="s">
        <x:v>46</x:v>
      </x:c>
      <x:c r="H98" s="17" t="s">
        <x:v>598</x:v>
      </x:c>
      <x:c r="I98" s="17" t="s">
        <x:v>599</x:v>
      </x:c>
      <x:c r="J98" s="17" t="s">
        <x:v>600</x:v>
      </x:c>
      <x:c r="K98" s="17" t="s">
        <x:v>562</x:v>
      </x:c>
      <x:c r="L98" s="17" t="s">
        <x:v>58</x:v>
      </x:c>
      <x:c r="M98" s="17" t="s">
        <x:v>256</x:v>
      </x:c>
      <x:c r="N98" s="16" t="s">
        <x:v>601</x:v>
      </x:c>
      <x:c r="O98" s="18">
        <x:v>46249</x:v>
      </x:c>
      <x:c r="P98" s="19" t="s">
        <x:v>34</x:v>
      </x:c>
      <x:c r="Q98" s="17"/>
      <x:c r="R98" s="19" t="str">
        <x:f t="shared" si="1"/>
        <x:v>Discovery Link Only</x:v>
      </x:c>
      <x:c r="S98" s="43" t="str">
        <x:v>Unknown</x:v>
      </x:c>
      <x:c r="T98" s="43" t="str">
        <x:v>Unknown</x:v>
      </x:c>
      <x:c r="U98" s="43" t="str">
        <x:v>Unknown</x:v>
      </x:c>
      <x:c r="V98" s="43" t="str">
        <x:v>Unknown</x:v>
      </x:c>
      <x:c r="W98" s="43" t="str">
        <x:v>Unknown</x:v>
      </x:c>
      <x:c r="X98" s="43" t="str">
        <x:v>Unknown</x:v>
      </x:c>
      <x:c r="Y98" s="43" t="str">
        <x:v>Unknown</x:v>
      </x:c>
      <x:c r="Z98" s="43"/>
      <x:c r="AA98" s="43" t="str">
        <x:v>Excluded</x:v>
      </x:c>
      <x:c r="AB98" s="43" t="str">
        <x:v>No qualifying evidence source recorded</x:v>
      </x:c>
      <x:c r="AC98" s="43" t="str">
        <x:v>Excluded from Maya's elderly recommendation results because no source-backed elderly accessibility feature is recorded in the reviewed data. This does not mean the attraction is inaccessible.</x:v>
      </x:c>
      <x:c r="AD98" s="43" t="str">
        <x:v>2026-08-16</x:v>
      </x:c>
    </x:row>
    <x:row r="99" ht="60" customHeight="1">
      <x:c r="A99" s="16" t="s">
        <x:v>602</x:v>
      </x:c>
      <x:c r="B99" s="16" t="s">
        <x:v>603</x:v>
      </x:c>
      <x:c r="C99" s="16" t="s">
        <x:v>557</x:v>
      </x:c>
      <x:c r="D99" s="16" t="s">
        <x:v>573</x:v>
      </x:c>
      <x:c r="E99" s="16" t="s">
        <x:v>133</x:v>
      </x:c>
      <x:c r="F99" s="16" t="s">
        <x:v>25</x:v>
      </x:c>
      <x:c r="G99" s="16" t="s">
        <x:v>134</x:v>
      </x:c>
      <x:c r="H99" s="17" t="s">
        <x:v>604</x:v>
      </x:c>
      <x:c r="I99" s="17" t="s">
        <x:v>605</x:v>
      </x:c>
      <x:c r="J99" s="17" t="s">
        <x:v>606</x:v>
      </x:c>
      <x:c r="K99" s="17" t="s">
        <x:v>562</x:v>
      </x:c>
      <x:c r="L99" s="17" t="s">
        <x:v>58</x:v>
      </x:c>
      <x:c r="M99" s="17" t="s">
        <x:v>256</x:v>
      </x:c>
      <x:c r="N99" s="16" t="s">
        <x:v>607</x:v>
      </x:c>
      <x:c r="O99" s="18">
        <x:v>46249</x:v>
      </x:c>
      <x:c r="P99" s="19" t="s">
        <x:v>34</x:v>
      </x:c>
      <x:c r="Q99" s="17"/>
      <x:c r="R99" s="19" t="str">
        <x:f t="shared" si="1"/>
        <x:v>Discovery Link Only</x:v>
      </x:c>
      <x:c r="S99" s="43" t="str">
        <x:v>Unknown</x:v>
      </x:c>
      <x:c r="T99" s="43" t="str">
        <x:v>Unknown</x:v>
      </x:c>
      <x:c r="U99" s="43" t="str">
        <x:v>Unknown</x:v>
      </x:c>
      <x:c r="V99" s="43" t="str">
        <x:v>Unknown</x:v>
      </x:c>
      <x:c r="W99" s="43" t="str">
        <x:v>Unknown</x:v>
      </x:c>
      <x:c r="X99" s="43" t="str">
        <x:v>Unknown</x:v>
      </x:c>
      <x:c r="Y99" s="43" t="str">
        <x:v>Unknown</x:v>
      </x:c>
      <x:c r="Z99" s="43"/>
      <x:c r="AA99" s="43" t="str">
        <x:v>Excluded</x:v>
      </x:c>
      <x:c r="AB99" s="43" t="str">
        <x:v>No qualifying evidence source recorded</x:v>
      </x:c>
      <x:c r="AC99" s="43" t="str">
        <x:v>Excluded from Maya's elderly recommendation results because no source-backed elderly accessibility feature is recorded in the reviewed data. This does not mean the attraction is inaccessible.</x:v>
      </x:c>
      <x:c r="AD99" s="43" t="str">
        <x:v>2026-08-16</x:v>
      </x:c>
    </x:row>
    <x:row r="100" ht="60" customHeight="1">
      <x:c r="A100" s="16" t="s">
        <x:v>608</x:v>
      </x:c>
      <x:c r="B100" s="16" t="s">
        <x:v>609</x:v>
      </x:c>
      <x:c r="C100" s="16" t="s">
        <x:v>557</x:v>
      </x:c>
      <x:c r="D100" s="16" t="s">
        <x:v>573</x:v>
      </x:c>
      <x:c r="E100" s="16" t="s">
        <x:v>106</x:v>
      </x:c>
      <x:c r="F100" s="16" t="s">
        <x:v>25</x:v>
      </x:c>
      <x:c r="G100" s="16" t="s">
        <x:v>46</x:v>
      </x:c>
      <x:c r="H100" s="17" t="s">
        <x:v>610</x:v>
      </x:c>
      <x:c r="I100" s="17" t="s">
        <x:v>611</x:v>
      </x:c>
      <x:c r="J100" s="17" t="s">
        <x:v>612</x:v>
      </x:c>
      <x:c r="K100" s="17" t="s">
        <x:v>562</x:v>
      </x:c>
      <x:c r="L100" s="17" t="s">
        <x:v>58</x:v>
      </x:c>
      <x:c r="M100" s="17" t="s">
        <x:v>256</x:v>
      </x:c>
      <x:c r="N100" s="16" t="s">
        <x:v>613</x:v>
      </x:c>
      <x:c r="O100" s="18">
        <x:v>46249</x:v>
      </x:c>
      <x:c r="P100" s="19" t="s">
        <x:v>34</x:v>
      </x:c>
      <x:c r="Q100" s="17"/>
      <x:c r="R100" s="19" t="str">
        <x:f t="shared" si="1"/>
        <x:v>Discovery Link Only</x:v>
      </x:c>
      <x:c r="S100" s="43" t="str">
        <x:v>Unknown</x:v>
      </x:c>
      <x:c r="T100" s="43" t="str">
        <x:v>Unknown</x:v>
      </x:c>
      <x:c r="U100" s="43" t="str">
        <x:v>Unknown</x:v>
      </x:c>
      <x:c r="V100" s="43" t="str">
        <x:v>Unknown</x:v>
      </x:c>
      <x:c r="W100" s="43" t="str">
        <x:v>Unknown</x:v>
      </x:c>
      <x:c r="X100" s="43" t="str">
        <x:v>Unknown</x:v>
      </x:c>
      <x:c r="Y100" s="43" t="str">
        <x:v>Unknown</x:v>
      </x:c>
      <x:c r="Z100" s="43"/>
      <x:c r="AA100" s="43" t="str">
        <x:v>Excluded</x:v>
      </x:c>
      <x:c r="AB100" s="43" t="str">
        <x:v>No qualifying evidence source recorded</x:v>
      </x:c>
      <x:c r="AC100" s="43" t="str">
        <x:v>Excluded from Maya's elderly recommendation results because no source-backed elderly accessibility feature is recorded in the reviewed data. This does not mean the attraction is inaccessible.</x:v>
      </x:c>
      <x:c r="AD100" s="43" t="str">
        <x:v>2026-08-16</x:v>
      </x:c>
    </x:row>
    <x:row r="101" ht="60" customHeight="1">
      <x:c r="A101" s="16" t="s">
        <x:v>614</x:v>
      </x:c>
      <x:c r="B101" s="16" t="s">
        <x:v>615</x:v>
      </x:c>
      <x:c r="C101" s="16" t="s">
        <x:v>557</x:v>
      </x:c>
      <x:c r="D101" s="16" t="s">
        <x:v>616</x:v>
      </x:c>
      <x:c r="E101" s="16" t="s">
        <x:v>24</x:v>
      </x:c>
      <x:c r="F101" s="16" t="s">
        <x:v>25</x:v>
      </x:c>
      <x:c r="G101" s="16" t="s">
        <x:v>26</x:v>
      </x:c>
      <x:c r="H101" s="17" t="s">
        <x:v>617</x:v>
      </x:c>
      <x:c r="I101" s="17" t="s">
        <x:v>618</x:v>
      </x:c>
      <x:c r="J101" s="17" t="s">
        <x:v>619</x:v>
      </x:c>
      <x:c r="K101" s="17" t="s">
        <x:v>562</x:v>
      </x:c>
      <x:c r="L101" s="17" t="s">
        <x:v>58</x:v>
      </x:c>
      <x:c r="M101" s="17" t="s">
        <x:v>256</x:v>
      </x:c>
      <x:c r="N101" s="16" t="s">
        <x:v>620</x:v>
      </x:c>
      <x:c r="O101" s="18">
        <x:v>46249</x:v>
      </x:c>
      <x:c r="P101" s="19" t="s">
        <x:v>34</x:v>
      </x:c>
      <x:c r="Q101" s="17"/>
      <x:c r="R101" s="19" t="str">
        <x:f t="shared" si="1"/>
        <x:v>Discovery Link Only</x:v>
      </x:c>
      <x:c r="S101" s="43" t="str">
        <x:v>Unknown</x:v>
      </x:c>
      <x:c r="T101" s="43" t="str">
        <x:v>Unknown</x:v>
      </x:c>
      <x:c r="U101" s="43" t="str">
        <x:v>Unknown</x:v>
      </x:c>
      <x:c r="V101" s="43" t="str">
        <x:v>Unknown</x:v>
      </x:c>
      <x:c r="W101" s="43" t="str">
        <x:v>Unknown</x:v>
      </x:c>
      <x:c r="X101" s="43" t="str">
        <x:v>Unknown</x:v>
      </x:c>
      <x:c r="Y101" s="43" t="str">
        <x:v>Unknown</x:v>
      </x:c>
      <x:c r="Z101" s="43"/>
      <x:c r="AA101" s="43" t="str">
        <x:v>Excluded</x:v>
      </x:c>
      <x:c r="AB101" s="43" t="str">
        <x:v>No qualifying evidence source recorded</x:v>
      </x:c>
      <x:c r="AC101" s="43" t="str">
        <x:v>Excluded from Maya's elderly recommendation results because no source-backed elderly accessibility feature is recorded in the reviewed data. This does not mean the attraction is inaccessible.</x:v>
      </x:c>
      <x:c r="AD101" s="43" t="str">
        <x:v>2026-08-16</x:v>
      </x:c>
    </x:row>
    <x:row r="102" ht="60" customHeight="1">
      <x:c r="A102" s="16" t="s">
        <x:v>621</x:v>
      </x:c>
      <x:c r="B102" s="16" t="s">
        <x:v>622</x:v>
      </x:c>
      <x:c r="C102" s="16" t="s">
        <x:v>557</x:v>
      </x:c>
      <x:c r="D102" s="16" t="s">
        <x:v>558</x:v>
      </x:c>
      <x:c r="E102" s="16" t="s">
        <x:v>115</x:v>
      </x:c>
      <x:c r="F102" s="16" t="s">
        <x:v>107</x:v>
      </x:c>
      <x:c r="G102" s="16" t="s">
        <x:v>46</x:v>
      </x:c>
      <x:c r="H102" s="17" t="s">
        <x:v>623</x:v>
      </x:c>
      <x:c r="I102" s="17" t="s">
        <x:v>624</x:v>
      </x:c>
      <x:c r="J102" s="17" t="s">
        <x:v>625</x:v>
      </x:c>
      <x:c r="K102" s="17" t="s">
        <x:v>562</x:v>
      </x:c>
      <x:c r="L102" s="17" t="s">
        <x:v>111</x:v>
      </x:c>
      <x:c r="M102" s="17" t="s">
        <x:v>626</x:v>
      </x:c>
      <x:c r="N102" s="16"/>
      <x:c r="O102" s="18">
        <x:v>46249</x:v>
      </x:c>
      <x:c r="P102" s="19" t="s">
        <x:v>34</x:v>
      </x:c>
      <x:c r="Q102" s="17"/>
      <x:c r="R102" s="19" t="str">
        <x:f t="shared" si="1"/>
        <x:v>Discovery Link Only</x:v>
      </x:c>
      <x:c r="S102" s="43" t="str">
        <x:v>Unknown</x:v>
      </x:c>
      <x:c r="T102" s="43" t="str">
        <x:v>Unknown</x:v>
      </x:c>
      <x:c r="U102" s="43" t="str">
        <x:v>Unknown</x:v>
      </x:c>
      <x:c r="V102" s="43" t="str">
        <x:v>Unknown</x:v>
      </x:c>
      <x:c r="W102" s="43" t="str">
        <x:v>Unknown</x:v>
      </x:c>
      <x:c r="X102" s="43" t="str">
        <x:v>Unknown</x:v>
      </x:c>
      <x:c r="Y102" s="43" t="str">
        <x:v>Unknown</x:v>
      </x:c>
      <x:c r="Z102" s="43"/>
      <x:c r="AA102" s="43" t="str">
        <x:v>Excluded</x:v>
      </x:c>
      <x:c r="AB102" s="43" t="str">
        <x:v>No qualifying evidence source recorded</x:v>
      </x:c>
      <x:c r="AC102" s="43" t="str">
        <x:v>Excluded from Maya's elderly recommendation results because no source-backed elderly accessibility feature is recorded in the reviewed data. This does not mean the attraction is inaccessible.</x:v>
      </x:c>
      <x:c r="AD102" s="43" t="str">
        <x:v>2026-08-16</x:v>
      </x:c>
    </x:row>
    <x:row r="103" ht="60" customHeight="1">
      <x:c r="A103" s="16" t="s">
        <x:v>627</x:v>
      </x:c>
      <x:c r="B103" s="16" t="s">
        <x:v>628</x:v>
      </x:c>
      <x:c r="C103" s="16" t="s">
        <x:v>557</x:v>
      </x:c>
      <x:c r="D103" s="16" t="s">
        <x:v>558</x:v>
      </x:c>
      <x:c r="E103" s="16" t="s">
        <x:v>106</x:v>
      </x:c>
      <x:c r="F103" s="16" t="s">
        <x:v>107</x:v>
      </x:c>
      <x:c r="G103" s="16" t="s">
        <x:v>46</x:v>
      </x:c>
      <x:c r="H103" s="17" t="s">
        <x:v>629</x:v>
      </x:c>
      <x:c r="I103" s="17" t="s">
        <x:v>630</x:v>
      </x:c>
      <x:c r="J103" s="17" t="s">
        <x:v>631</x:v>
      </x:c>
      <x:c r="K103" s="17" t="s">
        <x:v>562</x:v>
      </x:c>
      <x:c r="L103" s="17" t="s">
        <x:v>111</x:v>
      </x:c>
      <x:c r="M103" s="17" t="s">
        <x:v>626</x:v>
      </x:c>
      <x:c r="N103" s="16"/>
      <x:c r="O103" s="18">
        <x:v>46249</x:v>
      </x:c>
      <x:c r="P103" s="19" t="s">
        <x:v>34</x:v>
      </x:c>
      <x:c r="Q103" s="17"/>
      <x:c r="R103" s="19" t="str">
        <x:f t="shared" si="1"/>
        <x:v>Discovery Link Only</x:v>
      </x:c>
      <x:c r="S103" s="43" t="str">
        <x:v>Unknown</x:v>
      </x:c>
      <x:c r="T103" s="43" t="str">
        <x:v>Unknown</x:v>
      </x:c>
      <x:c r="U103" s="43" t="str">
        <x:v>Unknown</x:v>
      </x:c>
      <x:c r="V103" s="43" t="str">
        <x:v>Unknown</x:v>
      </x:c>
      <x:c r="W103" s="43" t="str">
        <x:v>Unknown</x:v>
      </x:c>
      <x:c r="X103" s="43" t="str">
        <x:v>Unknown</x:v>
      </x:c>
      <x:c r="Y103" s="43" t="str">
        <x:v>Unknown</x:v>
      </x:c>
      <x:c r="Z103" s="43"/>
      <x:c r="AA103" s="43" t="str">
        <x:v>Excluded</x:v>
      </x:c>
      <x:c r="AB103" s="43" t="str">
        <x:v>No qualifying evidence source recorded</x:v>
      </x:c>
      <x:c r="AC103" s="43" t="str">
        <x:v>Excluded from Maya's elderly recommendation results because no source-backed elderly accessibility feature is recorded in the reviewed data. This does not mean the attraction is inaccessible.</x:v>
      </x:c>
      <x:c r="AD103" s="43" t="str">
        <x:v>2026-08-16</x:v>
      </x:c>
    </x:row>
    <x:row r="104" ht="60" customHeight="1">
      <x:c r="A104" s="16" t="s">
        <x:v>632</x:v>
      </x:c>
      <x:c r="B104" s="16" t="s">
        <x:v>633</x:v>
      </x:c>
      <x:c r="C104" s="16" t="s">
        <x:v>557</x:v>
      </x:c>
      <x:c r="D104" s="16" t="s">
        <x:v>558</x:v>
      </x:c>
      <x:c r="E104" s="16" t="s">
        <x:v>115</x:v>
      </x:c>
      <x:c r="F104" s="16" t="s">
        <x:v>107</x:v>
      </x:c>
      <x:c r="G104" s="16" t="s">
        <x:v>46</x:v>
      </x:c>
      <x:c r="H104" s="17" t="s">
        <x:v>634</x:v>
      </x:c>
      <x:c r="I104" s="17" t="s">
        <x:v>635</x:v>
      </x:c>
      <x:c r="J104" s="17" t="s">
        <x:v>636</x:v>
      </x:c>
      <x:c r="K104" s="17" t="s">
        <x:v>562</x:v>
      </x:c>
      <x:c r="L104" s="17" t="s">
        <x:v>111</x:v>
      </x:c>
      <x:c r="M104" s="17" t="s">
        <x:v>626</x:v>
      </x:c>
      <x:c r="N104" s="16"/>
      <x:c r="O104" s="18">
        <x:v>46249</x:v>
      </x:c>
      <x:c r="P104" s="19" t="s">
        <x:v>34</x:v>
      </x:c>
      <x:c r="Q104" s="17"/>
      <x:c r="R104" s="19" t="str">
        <x:f t="shared" si="1"/>
        <x:v>Discovery Link Only</x:v>
      </x:c>
      <x:c r="S104" s="43" t="str">
        <x:v>Unknown</x:v>
      </x:c>
      <x:c r="T104" s="43" t="str">
        <x:v>Unknown</x:v>
      </x:c>
      <x:c r="U104" s="43" t="str">
        <x:v>Unknown</x:v>
      </x:c>
      <x:c r="V104" s="43" t="str">
        <x:v>Unknown</x:v>
      </x:c>
      <x:c r="W104" s="43" t="str">
        <x:v>Unknown</x:v>
      </x:c>
      <x:c r="X104" s="43" t="str">
        <x:v>Unknown</x:v>
      </x:c>
      <x:c r="Y104" s="43" t="str">
        <x:v>Unknown</x:v>
      </x:c>
      <x:c r="Z104" s="43"/>
      <x:c r="AA104" s="43" t="str">
        <x:v>Excluded</x:v>
      </x:c>
      <x:c r="AB104" s="43" t="str">
        <x:v>No qualifying evidence source recorded</x:v>
      </x:c>
      <x:c r="AC104" s="43" t="str">
        <x:v>Excluded from Maya's elderly recommendation results because no source-backed elderly accessibility feature is recorded in the reviewed data. This does not mean the attraction is inaccessible.</x:v>
      </x:c>
      <x:c r="AD104" s="43" t="str">
        <x:v>2026-08-16</x:v>
      </x:c>
    </x:row>
    <x:row r="105" ht="60" customHeight="1">
      <x:c r="A105" s="16" t="s">
        <x:v>637</x:v>
      </x:c>
      <x:c r="B105" s="16" t="s">
        <x:v>638</x:v>
      </x:c>
      <x:c r="C105" s="16" t="s">
        <x:v>557</x:v>
      </x:c>
      <x:c r="D105" s="16" t="s">
        <x:v>558</x:v>
      </x:c>
      <x:c r="E105" s="16" t="s">
        <x:v>106</x:v>
      </x:c>
      <x:c r="F105" s="16" t="s">
        <x:v>127</x:v>
      </x:c>
      <x:c r="G105" s="16" t="s">
        <x:v>46</x:v>
      </x:c>
      <x:c r="H105" s="17" t="s">
        <x:v>108</x:v>
      </x:c>
      <x:c r="I105" s="17" t="s">
        <x:v>639</x:v>
      </x:c>
      <x:c r="J105" s="17" t="s">
        <x:v>640</x:v>
      </x:c>
      <x:c r="K105" s="17" t="s">
        <x:v>562</x:v>
      </x:c>
      <x:c r="L105" s="17" t="s">
        <x:v>111</x:v>
      </x:c>
      <x:c r="M105" s="17" t="s">
        <x:v>626</x:v>
      </x:c>
      <x:c r="N105" s="16"/>
      <x:c r="O105" s="18">
        <x:v>46249</x:v>
      </x:c>
      <x:c r="P105" s="19" t="s">
        <x:v>34</x:v>
      </x:c>
      <x:c r="Q105" s="17"/>
      <x:c r="R105" s="19" t="str">
        <x:f t="shared" si="1"/>
        <x:v>Discovery Link Only</x:v>
      </x:c>
      <x:c r="S105" s="43" t="str">
        <x:v>Unknown</x:v>
      </x:c>
      <x:c r="T105" s="43" t="str">
        <x:v>Unknown</x:v>
      </x:c>
      <x:c r="U105" s="43" t="str">
        <x:v>Unknown</x:v>
      </x:c>
      <x:c r="V105" s="43" t="str">
        <x:v>Unknown</x:v>
      </x:c>
      <x:c r="W105" s="43" t="str">
        <x:v>Unknown</x:v>
      </x:c>
      <x:c r="X105" s="43" t="str">
        <x:v>Unknown</x:v>
      </x:c>
      <x:c r="Y105" s="43" t="str">
        <x:v>Unknown</x:v>
      </x:c>
      <x:c r="Z105" s="43"/>
      <x:c r="AA105" s="43" t="str">
        <x:v>Excluded</x:v>
      </x:c>
      <x:c r="AB105" s="43" t="str">
        <x:v>No qualifying evidence source recorded</x:v>
      </x:c>
      <x:c r="AC105" s="43" t="str">
        <x:v>Excluded from Maya's elderly recommendation results because no source-backed elderly accessibility feature is recorded in the reviewed data. This does not mean the attraction is inaccessible.</x:v>
      </x:c>
      <x:c r="AD105" s="43" t="str">
        <x:v>2026-08-16</x:v>
      </x:c>
    </x:row>
    <x:row r="106" ht="60" customHeight="1">
      <x:c r="A106" s="16" t="s">
        <x:v>641</x:v>
      </x:c>
      <x:c r="B106" s="16" t="s">
        <x:v>642</x:v>
      </x:c>
      <x:c r="C106" s="16" t="s">
        <x:v>557</x:v>
      </x:c>
      <x:c r="D106" s="16" t="s">
        <x:v>558</x:v>
      </x:c>
      <x:c r="E106" s="16" t="s">
        <x:v>133</x:v>
      </x:c>
      <x:c r="F106" s="16" t="s">
        <x:v>121</x:v>
      </x:c>
      <x:c r="G106" s="16" t="s">
        <x:v>134</x:v>
      </x:c>
      <x:c r="H106" s="17" t="s">
        <x:v>643</x:v>
      </x:c>
      <x:c r="I106" s="17" t="s">
        <x:v>644</x:v>
      </x:c>
      <x:c r="J106" s="17" t="s">
        <x:v>645</x:v>
      </x:c>
      <x:c r="K106" s="17" t="s">
        <x:v>562</x:v>
      </x:c>
      <x:c r="L106" s="17" t="s">
        <x:v>111</x:v>
      </x:c>
      <x:c r="M106" s="17" t="s">
        <x:v>626</x:v>
      </x:c>
      <x:c r="N106" s="16"/>
      <x:c r="O106" s="18">
        <x:v>46249</x:v>
      </x:c>
      <x:c r="P106" s="19" t="s">
        <x:v>34</x:v>
      </x:c>
      <x:c r="Q106" s="17"/>
      <x:c r="R106" s="19" t="str">
        <x:f t="shared" si="1"/>
        <x:v>Discovery Link Only</x:v>
      </x:c>
      <x:c r="S106" s="43" t="str">
        <x:v>Unknown</x:v>
      </x:c>
      <x:c r="T106" s="43" t="str">
        <x:v>Unknown</x:v>
      </x:c>
      <x:c r="U106" s="43" t="str">
        <x:v>Unknown</x:v>
      </x:c>
      <x:c r="V106" s="43" t="str">
        <x:v>Unknown</x:v>
      </x:c>
      <x:c r="W106" s="43" t="str">
        <x:v>Unknown</x:v>
      </x:c>
      <x:c r="X106" s="43" t="str">
        <x:v>Unknown</x:v>
      </x:c>
      <x:c r="Y106" s="43" t="str">
        <x:v>Unknown</x:v>
      </x:c>
      <x:c r="Z106" s="43"/>
      <x:c r="AA106" s="43" t="str">
        <x:v>Excluded</x:v>
      </x:c>
      <x:c r="AB106" s="43" t="str">
        <x:v>No qualifying evidence source recorded</x:v>
      </x:c>
      <x:c r="AC106" s="43" t="str">
        <x:v>Excluded from Maya's elderly recommendation results because no source-backed elderly accessibility feature is recorded in the reviewed data. This does not mean the attraction is inaccessible.</x:v>
      </x:c>
      <x:c r="AD106" s="43" t="str">
        <x:v>2026-08-16</x:v>
      </x:c>
    </x:row>
    <x:row r="107" ht="60" customHeight="1">
      <x:c r="A107" s="16" t="s">
        <x:v>646</x:v>
      </x:c>
      <x:c r="B107" s="16" t="s">
        <x:v>647</x:v>
      </x:c>
      <x:c r="C107" s="16" t="s">
        <x:v>557</x:v>
      </x:c>
      <x:c r="D107" s="16" t="s">
        <x:v>558</x:v>
      </x:c>
      <x:c r="E107" s="16" t="s">
        <x:v>140</x:v>
      </x:c>
      <x:c r="F107" s="16" t="s">
        <x:v>107</x:v>
      </x:c>
      <x:c r="G107" s="16" t="s">
        <x:v>46</x:v>
      </x:c>
      <x:c r="H107" s="17" t="s">
        <x:v>648</x:v>
      </x:c>
      <x:c r="I107" s="17" t="s">
        <x:v>649</x:v>
      </x:c>
      <x:c r="J107" s="17" t="s">
        <x:v>650</x:v>
      </x:c>
      <x:c r="K107" s="17" t="s">
        <x:v>562</x:v>
      </x:c>
      <x:c r="L107" s="17" t="s">
        <x:v>111</x:v>
      </x:c>
      <x:c r="M107" s="17" t="s">
        <x:v>626</x:v>
      </x:c>
      <x:c r="N107" s="16"/>
      <x:c r="O107" s="18">
        <x:v>46249</x:v>
      </x:c>
      <x:c r="P107" s="19" t="s">
        <x:v>34</x:v>
      </x:c>
      <x:c r="Q107" s="17"/>
      <x:c r="R107" s="19" t="str">
        <x:f t="shared" si="1"/>
        <x:v>Discovery Link Only</x:v>
      </x:c>
      <x:c r="S107" s="43" t="str">
        <x:v>Unknown</x:v>
      </x:c>
      <x:c r="T107" s="43" t="str">
        <x:v>Unknown</x:v>
      </x:c>
      <x:c r="U107" s="43" t="str">
        <x:v>Unknown</x:v>
      </x:c>
      <x:c r="V107" s="43" t="str">
        <x:v>Unknown</x:v>
      </x:c>
      <x:c r="W107" s="43" t="str">
        <x:v>Unknown</x:v>
      </x:c>
      <x:c r="X107" s="43" t="str">
        <x:v>Unknown</x:v>
      </x:c>
      <x:c r="Y107" s="43" t="str">
        <x:v>Unknown</x:v>
      </x:c>
      <x:c r="Z107" s="43"/>
      <x:c r="AA107" s="43" t="str">
        <x:v>Excluded</x:v>
      </x:c>
      <x:c r="AB107" s="43" t="str">
        <x:v>No qualifying evidence source recorded</x:v>
      </x:c>
      <x:c r="AC107" s="43" t="str">
        <x:v>Excluded from Maya's elderly recommendation results because no source-backed elderly accessibility feature is recorded in the reviewed data. This does not mean the attraction is inaccessible.</x:v>
      </x:c>
      <x:c r="AD107" s="43" t="str">
        <x:v>2026-08-16</x:v>
      </x:c>
    </x:row>
    <x:row r="108" ht="60" customHeight="1">
      <x:c r="A108" s="16" t="s">
        <x:v>651</x:v>
      </x:c>
      <x:c r="B108" s="16" t="s">
        <x:v>652</x:v>
      </x:c>
      <x:c r="C108" s="16" t="s">
        <x:v>557</x:v>
      </x:c>
      <x:c r="D108" s="16" t="s">
        <x:v>558</x:v>
      </x:c>
      <x:c r="E108" s="16" t="s">
        <x:v>99</x:v>
      </x:c>
      <x:c r="F108" s="16" t="s">
        <x:v>121</x:v>
      </x:c>
      <x:c r="G108" s="16" t="s">
        <x:v>46</x:v>
      </x:c>
      <x:c r="H108" s="17" t="s">
        <x:v>653</x:v>
      </x:c>
      <x:c r="I108" s="17" t="s">
        <x:v>654</x:v>
      </x:c>
      <x:c r="J108" s="17" t="s">
        <x:v>655</x:v>
      </x:c>
      <x:c r="K108" s="17" t="s">
        <x:v>562</x:v>
      </x:c>
      <x:c r="L108" s="17" t="s">
        <x:v>111</x:v>
      </x:c>
      <x:c r="M108" s="17" t="s">
        <x:v>626</x:v>
      </x:c>
      <x:c r="N108" s="16"/>
      <x:c r="O108" s="18">
        <x:v>46249</x:v>
      </x:c>
      <x:c r="P108" s="19" t="s">
        <x:v>34</x:v>
      </x:c>
      <x:c r="Q108" s="17"/>
      <x:c r="R108" s="19" t="str">
        <x:f t="shared" si="1"/>
        <x:v>Discovery Link Only</x:v>
      </x:c>
      <x:c r="S108" s="43" t="str">
        <x:v>Unknown</x:v>
      </x:c>
      <x:c r="T108" s="43" t="str">
        <x:v>Unknown</x:v>
      </x:c>
      <x:c r="U108" s="43" t="str">
        <x:v>Unknown</x:v>
      </x:c>
      <x:c r="V108" s="43" t="str">
        <x:v>Unknown</x:v>
      </x:c>
      <x:c r="W108" s="43" t="str">
        <x:v>Unknown</x:v>
      </x:c>
      <x:c r="X108" s="43" t="str">
        <x:v>Unknown</x:v>
      </x:c>
      <x:c r="Y108" s="43" t="str">
        <x:v>Unknown</x:v>
      </x:c>
      <x:c r="Z108" s="43"/>
      <x:c r="AA108" s="43" t="str">
        <x:v>Excluded</x:v>
      </x:c>
      <x:c r="AB108" s="43" t="str">
        <x:v>No qualifying evidence source recorded</x:v>
      </x:c>
      <x:c r="AC108" s="43" t="str">
        <x:v>Excluded from Maya's elderly recommendation results because no source-backed elderly accessibility feature is recorded in the reviewed data. This does not mean the attraction is inaccessible.</x:v>
      </x:c>
      <x:c r="AD108" s="43" t="str">
        <x:v>2026-08-16</x:v>
      </x:c>
    </x:row>
    <x:row r="109" ht="60" customHeight="1">
      <x:c r="A109" s="16" t="s">
        <x:v>656</x:v>
      </x:c>
      <x:c r="B109" s="16" t="s">
        <x:v>657</x:v>
      </x:c>
      <x:c r="C109" s="16" t="s">
        <x:v>557</x:v>
      </x:c>
      <x:c r="D109" s="16" t="s">
        <x:v>616</x:v>
      </x:c>
      <x:c r="E109" s="16" t="s">
        <x:v>37</x:v>
      </x:c>
      <x:c r="F109" s="16" t="s">
        <x:v>107</x:v>
      </x:c>
      <x:c r="G109" s="16" t="s">
        <x:v>26</x:v>
      </x:c>
      <x:c r="H109" s="17" t="s">
        <x:v>658</x:v>
      </x:c>
      <x:c r="I109" s="17" t="s">
        <x:v>659</x:v>
      </x:c>
      <x:c r="J109" s="17" t="s">
        <x:v>660</x:v>
      </x:c>
      <x:c r="K109" s="17" t="s">
        <x:v>562</x:v>
      </x:c>
      <x:c r="L109" s="17" t="s">
        <x:v>111</x:v>
      </x:c>
      <x:c r="M109" s="17" t="s">
        <x:v>626</x:v>
      </x:c>
      <x:c r="N109" s="16"/>
      <x:c r="O109" s="18">
        <x:v>46249</x:v>
      </x:c>
      <x:c r="P109" s="19" t="s">
        <x:v>34</x:v>
      </x:c>
      <x:c r="Q109" s="17"/>
      <x:c r="R109" s="19" t="str">
        <x:f t="shared" si="1"/>
        <x:v>Discovery Link Only</x:v>
      </x:c>
      <x:c r="S109" s="43" t="str">
        <x:v>Unknown</x:v>
      </x:c>
      <x:c r="T109" s="43" t="str">
        <x:v>Unknown</x:v>
      </x:c>
      <x:c r="U109" s="43" t="str">
        <x:v>Unknown</x:v>
      </x:c>
      <x:c r="V109" s="43" t="str">
        <x:v>Unknown</x:v>
      </x:c>
      <x:c r="W109" s="43" t="str">
        <x:v>Unknown</x:v>
      </x:c>
      <x:c r="X109" s="43" t="str">
        <x:v>Unknown</x:v>
      </x:c>
      <x:c r="Y109" s="43" t="str">
        <x:v>Unknown</x:v>
      </x:c>
      <x:c r="Z109" s="43"/>
      <x:c r="AA109" s="43" t="str">
        <x:v>Excluded</x:v>
      </x:c>
      <x:c r="AB109" s="43" t="str">
        <x:v>No qualifying evidence source recorded</x:v>
      </x:c>
      <x:c r="AC109" s="43" t="str">
        <x:v>Excluded from Maya's elderly recommendation results because no source-backed elderly accessibility feature is recorded in the reviewed data. This does not mean the attraction is inaccessible.</x:v>
      </x:c>
      <x:c r="AD109" s="43" t="str">
        <x:v>2026-08-16</x:v>
      </x:c>
    </x:row>
    <x:row r="110" ht="60" customHeight="1">
      <x:c r="A110" s="16" t="s">
        <x:v>661</x:v>
      </x:c>
      <x:c r="B110" s="16" t="s">
        <x:v>662</x:v>
      </x:c>
      <x:c r="C110" s="16" t="s">
        <x:v>557</x:v>
      </x:c>
      <x:c r="D110" s="16" t="s">
        <x:v>616</x:v>
      </x:c>
      <x:c r="E110" s="16" t="s">
        <x:v>99</x:v>
      </x:c>
      <x:c r="F110" s="16" t="s">
        <x:v>121</x:v>
      </x:c>
      <x:c r="G110" s="16" t="s">
        <x:v>46</x:v>
      </x:c>
      <x:c r="H110" s="17" t="s">
        <x:v>663</x:v>
      </x:c>
      <x:c r="I110" s="17" t="s">
        <x:v>664</x:v>
      </x:c>
      <x:c r="J110" s="17" t="s">
        <x:v>665</x:v>
      </x:c>
      <x:c r="K110" s="17" t="s">
        <x:v>562</x:v>
      </x:c>
      <x:c r="L110" s="17" t="s">
        <x:v>111</x:v>
      </x:c>
      <x:c r="M110" s="17" t="s">
        <x:v>626</x:v>
      </x:c>
      <x:c r="N110" s="16"/>
      <x:c r="O110" s="18">
        <x:v>46249</x:v>
      </x:c>
      <x:c r="P110" s="19" t="s">
        <x:v>34</x:v>
      </x:c>
      <x:c r="Q110" s="17"/>
      <x:c r="R110" s="19" t="str">
        <x:f t="shared" si="1"/>
        <x:v>Discovery Link Only</x:v>
      </x:c>
      <x:c r="S110" s="43" t="str">
        <x:v>Unknown</x:v>
      </x:c>
      <x:c r="T110" s="43" t="str">
        <x:v>Unknown</x:v>
      </x:c>
      <x:c r="U110" s="43" t="str">
        <x:v>Unknown</x:v>
      </x:c>
      <x:c r="V110" s="43" t="str">
        <x:v>Unknown</x:v>
      </x:c>
      <x:c r="W110" s="43" t="str">
        <x:v>Unknown</x:v>
      </x:c>
      <x:c r="X110" s="43" t="str">
        <x:v>Unknown</x:v>
      </x:c>
      <x:c r="Y110" s="43" t="str">
        <x:v>Unknown</x:v>
      </x:c>
      <x:c r="Z110" s="43"/>
      <x:c r="AA110" s="43" t="str">
        <x:v>Excluded</x:v>
      </x:c>
      <x:c r="AB110" s="43" t="str">
        <x:v>No qualifying evidence source recorded</x:v>
      </x:c>
      <x:c r="AC110" s="43" t="str">
        <x:v>Excluded from Maya's elderly recommendation results because no source-backed elderly accessibility feature is recorded in the reviewed data. This does not mean the attraction is inaccessible.</x:v>
      </x:c>
      <x:c r="AD110" s="43" t="str">
        <x:v>2026-08-16</x:v>
      </x:c>
    </x:row>
    <x:row r="111" ht="60" customHeight="1">
      <x:c r="A111" s="16" t="s">
        <x:v>666</x:v>
      </x:c>
      <x:c r="B111" s="16" t="s">
        <x:v>667</x:v>
      </x:c>
      <x:c r="C111" s="16" t="s">
        <x:v>557</x:v>
      </x:c>
      <x:c r="D111" s="16" t="s">
        <x:v>616</x:v>
      </x:c>
      <x:c r="E111" s="16" t="s">
        <x:v>54</x:v>
      </x:c>
      <x:c r="F111" s="16" t="s">
        <x:v>127</x:v>
      </x:c>
      <x:c r="G111" s="16" t="s">
        <x:v>46</x:v>
      </x:c>
      <x:c r="H111" s="17" t="s">
        <x:v>668</x:v>
      </x:c>
      <x:c r="I111" s="17" t="s">
        <x:v>669</x:v>
      </x:c>
      <x:c r="J111" s="17" t="s">
        <x:v>670</x:v>
      </x:c>
      <x:c r="K111" s="17" t="s">
        <x:v>562</x:v>
      </x:c>
      <x:c r="L111" s="17" t="s">
        <x:v>111</x:v>
      </x:c>
      <x:c r="M111" s="17" t="s">
        <x:v>626</x:v>
      </x:c>
      <x:c r="N111" s="16"/>
      <x:c r="O111" s="18">
        <x:v>46249</x:v>
      </x:c>
      <x:c r="P111" s="19" t="s">
        <x:v>34</x:v>
      </x:c>
      <x:c r="Q111" s="17"/>
      <x:c r="R111" s="19" t="str">
        <x:f t="shared" si="1"/>
        <x:v>Discovery Link Only</x:v>
      </x:c>
      <x:c r="S111" s="43" t="str">
        <x:v>Unknown</x:v>
      </x:c>
      <x:c r="T111" s="43" t="str">
        <x:v>Unknown</x:v>
      </x:c>
      <x:c r="U111" s="43" t="str">
        <x:v>Unknown</x:v>
      </x:c>
      <x:c r="V111" s="43" t="str">
        <x:v>Unknown</x:v>
      </x:c>
      <x:c r="W111" s="43" t="str">
        <x:v>Unknown</x:v>
      </x:c>
      <x:c r="X111" s="43" t="str">
        <x:v>Unknown</x:v>
      </x:c>
      <x:c r="Y111" s="43" t="str">
        <x:v>Unknown</x:v>
      </x:c>
      <x:c r="Z111" s="43"/>
      <x:c r="AA111" s="43" t="str">
        <x:v>Excluded</x:v>
      </x:c>
      <x:c r="AB111" s="43" t="str">
        <x:v>No qualifying evidence source recorded</x:v>
      </x:c>
      <x:c r="AC111" s="43" t="str">
        <x:v>Excluded from Maya's elderly recommendation results because no source-backed elderly accessibility feature is recorded in the reviewed data. This does not mean the attraction is inaccessible.</x:v>
      </x:c>
      <x:c r="AD111" s="43" t="str">
        <x:v>2026-08-16</x:v>
      </x:c>
    </x:row>
    <x:row r="112" ht="60" customHeight="1">
      <x:c r="A112" s="16" t="s">
        <x:v>671</x:v>
      </x:c>
      <x:c r="B112" s="16" t="s">
        <x:v>672</x:v>
      </x:c>
      <x:c r="C112" s="16" t="s">
        <x:v>557</x:v>
      </x:c>
      <x:c r="D112" s="16" t="s">
        <x:v>566</x:v>
      </x:c>
      <x:c r="E112" s="16" t="s">
        <x:v>37</x:v>
      </x:c>
      <x:c r="F112" s="16" t="s">
        <x:v>107</x:v>
      </x:c>
      <x:c r="G112" s="16" t="s">
        <x:v>26</x:v>
      </x:c>
      <x:c r="H112" s="17" t="s">
        <x:v>673</x:v>
      </x:c>
      <x:c r="I112" s="17" t="s">
        <x:v>674</x:v>
      </x:c>
      <x:c r="J112" s="17" t="s">
        <x:v>675</x:v>
      </x:c>
      <x:c r="K112" s="17" t="s">
        <x:v>562</x:v>
      </x:c>
      <x:c r="L112" s="17" t="s">
        <x:v>111</x:v>
      </x:c>
      <x:c r="M112" s="17" t="s">
        <x:v>626</x:v>
      </x:c>
      <x:c r="N112" s="16"/>
      <x:c r="O112" s="18">
        <x:v>46249</x:v>
      </x:c>
      <x:c r="P112" s="19" t="s">
        <x:v>34</x:v>
      </x:c>
      <x:c r="Q112" s="17"/>
      <x:c r="R112" s="19" t="str">
        <x:f t="shared" si="1"/>
        <x:v>Discovery Link Only</x:v>
      </x:c>
      <x:c r="S112" s="43" t="str">
        <x:v>Unknown</x:v>
      </x:c>
      <x:c r="T112" s="43" t="str">
        <x:v>Unknown</x:v>
      </x:c>
      <x:c r="U112" s="43" t="str">
        <x:v>Unknown</x:v>
      </x:c>
      <x:c r="V112" s="43" t="str">
        <x:v>Unknown</x:v>
      </x:c>
      <x:c r="W112" s="43" t="str">
        <x:v>Unknown</x:v>
      </x:c>
      <x:c r="X112" s="43" t="str">
        <x:v>Unknown</x:v>
      </x:c>
      <x:c r="Y112" s="43" t="str">
        <x:v>Unknown</x:v>
      </x:c>
      <x:c r="Z112" s="43"/>
      <x:c r="AA112" s="43" t="str">
        <x:v>Excluded</x:v>
      </x:c>
      <x:c r="AB112" s="43" t="str">
        <x:v>No qualifying evidence source recorded</x:v>
      </x:c>
      <x:c r="AC112" s="43" t="str">
        <x:v>Excluded from Maya's elderly recommendation results because no source-backed elderly accessibility feature is recorded in the reviewed data. This does not mean the attraction is inaccessible.</x:v>
      </x:c>
      <x:c r="AD112" s="43" t="str">
        <x:v>2026-08-16</x:v>
      </x:c>
    </x:row>
    <x:row r="113" ht="60" customHeight="1">
      <x:c r="A113" s="16" t="s">
        <x:v>676</x:v>
      </x:c>
      <x:c r="B113" s="16" t="s">
        <x:v>677</x:v>
      </x:c>
      <x:c r="C113" s="16" t="s">
        <x:v>557</x:v>
      </x:c>
      <x:c r="D113" s="16" t="s">
        <x:v>566</x:v>
      </x:c>
      <x:c r="E113" s="16" t="s">
        <x:v>151</x:v>
      </x:c>
      <x:c r="F113" s="16" t="s">
        <x:v>107</x:v>
      </x:c>
      <x:c r="G113" s="16" t="s">
        <x:v>134</x:v>
      </x:c>
      <x:c r="H113" s="17" t="s">
        <x:v>678</x:v>
      </x:c>
      <x:c r="I113" s="17" t="s">
        <x:v>679</x:v>
      </x:c>
      <x:c r="J113" s="17" t="s">
        <x:v>680</x:v>
      </x:c>
      <x:c r="K113" s="17" t="s">
        <x:v>562</x:v>
      </x:c>
      <x:c r="L113" s="17" t="s">
        <x:v>111</x:v>
      </x:c>
      <x:c r="M113" s="17" t="s">
        <x:v>626</x:v>
      </x:c>
      <x:c r="N113" s="16"/>
      <x:c r="O113" s="18">
        <x:v>46249</x:v>
      </x:c>
      <x:c r="P113" s="19" t="s">
        <x:v>34</x:v>
      </x:c>
      <x:c r="Q113" s="17"/>
      <x:c r="R113" s="19" t="str">
        <x:f t="shared" si="1"/>
        <x:v>Discovery Link Only</x:v>
      </x:c>
      <x:c r="S113" s="43" t="str">
        <x:v>Unknown</x:v>
      </x:c>
      <x:c r="T113" s="43" t="str">
        <x:v>Unknown</x:v>
      </x:c>
      <x:c r="U113" s="43" t="str">
        <x:v>Unknown</x:v>
      </x:c>
      <x:c r="V113" s="43" t="str">
        <x:v>Unknown</x:v>
      </x:c>
      <x:c r="W113" s="43" t="str">
        <x:v>Unknown</x:v>
      </x:c>
      <x:c r="X113" s="43" t="str">
        <x:v>Unknown</x:v>
      </x:c>
      <x:c r="Y113" s="43" t="str">
        <x:v>Unknown</x:v>
      </x:c>
      <x:c r="Z113" s="43"/>
      <x:c r="AA113" s="43" t="str">
        <x:v>Excluded</x:v>
      </x:c>
      <x:c r="AB113" s="43" t="str">
        <x:v>No qualifying evidence source recorded</x:v>
      </x:c>
      <x:c r="AC113" s="43" t="str">
        <x:v>Excluded from Maya's elderly recommendation results because no source-backed elderly accessibility feature is recorded in the reviewed data. This does not mean the attraction is inaccessible.</x:v>
      </x:c>
      <x:c r="AD113" s="43" t="str">
        <x:v>2026-08-16</x:v>
      </x:c>
    </x:row>
    <x:row r="114" ht="60" customHeight="1">
      <x:c r="A114" s="16" t="s">
        <x:v>681</x:v>
      </x:c>
      <x:c r="B114" s="16" t="s">
        <x:v>682</x:v>
      </x:c>
      <x:c r="C114" s="16" t="s">
        <x:v>557</x:v>
      </x:c>
      <x:c r="D114" s="16" t="s">
        <x:v>683</x:v>
      </x:c>
      <x:c r="E114" s="16" t="s">
        <x:v>394</x:v>
      </x:c>
      <x:c r="F114" s="16" t="s">
        <x:v>121</x:v>
      </x:c>
      <x:c r="G114" s="16" t="s">
        <x:v>46</x:v>
      </x:c>
      <x:c r="H114" s="17" t="s">
        <x:v>684</x:v>
      </x:c>
      <x:c r="I114" s="17" t="s">
        <x:v>685</x:v>
      </x:c>
      <x:c r="J114" s="17" t="s">
        <x:v>686</x:v>
      </x:c>
      <x:c r="K114" s="17" t="s">
        <x:v>562</x:v>
      </x:c>
      <x:c r="L114" s="17" t="s">
        <x:v>111</x:v>
      </x:c>
      <x:c r="M114" s="17" t="s">
        <x:v>626</x:v>
      </x:c>
      <x:c r="N114" s="16"/>
      <x:c r="O114" s="18">
        <x:v>46249</x:v>
      </x:c>
      <x:c r="P114" s="19" t="s">
        <x:v>34</x:v>
      </x:c>
      <x:c r="Q114" s="17"/>
      <x:c r="R114" s="19" t="str">
        <x:f t="shared" si="1"/>
        <x:v>Discovery Link Only</x:v>
      </x:c>
      <x:c r="S114" s="43" t="str">
        <x:v>Unknown</x:v>
      </x:c>
      <x:c r="T114" s="43" t="str">
        <x:v>Unknown</x:v>
      </x:c>
      <x:c r="U114" s="43" t="str">
        <x:v>Unknown</x:v>
      </x:c>
      <x:c r="V114" s="43" t="str">
        <x:v>Unknown</x:v>
      </x:c>
      <x:c r="W114" s="43" t="str">
        <x:v>Unknown</x:v>
      </x:c>
      <x:c r="X114" s="43" t="str">
        <x:v>Unknown</x:v>
      </x:c>
      <x:c r="Y114" s="43" t="str">
        <x:v>Unknown</x:v>
      </x:c>
      <x:c r="Z114" s="43"/>
      <x:c r="AA114" s="43" t="str">
        <x:v>Excluded</x:v>
      </x:c>
      <x:c r="AB114" s="43" t="str">
        <x:v>No qualifying evidence source recorded</x:v>
      </x:c>
      <x:c r="AC114" s="43" t="str">
        <x:v>Excluded from Maya's elderly recommendation results because no source-backed elderly accessibility feature is recorded in the reviewed data. This does not mean the attraction is inaccessible.</x:v>
      </x:c>
      <x:c r="AD114" s="43" t="str">
        <x:v>2026-08-16</x:v>
      </x:c>
    </x:row>
    <x:row r="115" ht="60" customHeight="1">
      <x:c r="A115" s="16" t="s">
        <x:v>687</x:v>
      </x:c>
      <x:c r="B115" s="16" t="s">
        <x:v>688</x:v>
      </x:c>
      <x:c r="C115" s="16" t="s">
        <x:v>557</x:v>
      </x:c>
      <x:c r="D115" s="16" t="s">
        <x:v>683</x:v>
      </x:c>
      <x:c r="E115" s="16" t="s">
        <x:v>45</x:v>
      </x:c>
      <x:c r="F115" s="16" t="s">
        <x:v>194</x:v>
      </x:c>
      <x:c r="G115" s="16" t="s">
        <x:v>26</x:v>
      </x:c>
      <x:c r="H115" s="17" t="s">
        <x:v>244</x:v>
      </x:c>
      <x:c r="I115" s="17" t="s">
        <x:v>689</x:v>
      </x:c>
      <x:c r="J115" s="17" t="s">
        <x:v>690</x:v>
      </x:c>
      <x:c r="K115" s="17" t="s">
        <x:v>562</x:v>
      </x:c>
      <x:c r="L115" s="17" t="s">
        <x:v>111</x:v>
      </x:c>
      <x:c r="M115" s="17" t="s">
        <x:v>626</x:v>
      </x:c>
      <x:c r="N115" s="16"/>
      <x:c r="O115" s="18">
        <x:v>46249</x:v>
      </x:c>
      <x:c r="P115" s="19" t="s">
        <x:v>34</x:v>
      </x:c>
      <x:c r="Q115" s="17"/>
      <x:c r="R115" s="19" t="str">
        <x:f t="shared" si="1"/>
        <x:v>Discovery Link Only</x:v>
      </x:c>
      <x:c r="S115" s="43" t="str">
        <x:v>Unknown</x:v>
      </x:c>
      <x:c r="T115" s="43" t="str">
        <x:v>Unknown</x:v>
      </x:c>
      <x:c r="U115" s="43" t="str">
        <x:v>Unknown</x:v>
      </x:c>
      <x:c r="V115" s="43" t="str">
        <x:v>Unknown</x:v>
      </x:c>
      <x:c r="W115" s="43" t="str">
        <x:v>Unknown</x:v>
      </x:c>
      <x:c r="X115" s="43" t="str">
        <x:v>Unknown</x:v>
      </x:c>
      <x:c r="Y115" s="43" t="str">
        <x:v>Unknown</x:v>
      </x:c>
      <x:c r="Z115" s="43"/>
      <x:c r="AA115" s="43" t="str">
        <x:v>Excluded</x:v>
      </x:c>
      <x:c r="AB115" s="43" t="str">
        <x:v>No qualifying evidence source recorded</x:v>
      </x:c>
      <x:c r="AC115" s="43" t="str">
        <x:v>Excluded from Maya's elderly recommendation results because no source-backed elderly accessibility feature is recorded in the reviewed data. This does not mean the attraction is inaccessible.</x:v>
      </x:c>
      <x:c r="AD115" s="43" t="str">
        <x:v>2026-08-16</x:v>
      </x:c>
    </x:row>
    <x:row r="116" ht="60" customHeight="1">
      <x:c r="A116" s="16" t="s">
        <x:v>691</x:v>
      </x:c>
      <x:c r="B116" s="16" t="s">
        <x:v>692</x:v>
      </x:c>
      <x:c r="C116" s="16" t="s">
        <x:v>557</x:v>
      </x:c>
      <x:c r="D116" s="16" t="s">
        <x:v>693</x:v>
      </x:c>
      <x:c r="E116" s="16" t="s">
        <x:v>72</x:v>
      </x:c>
      <x:c r="F116" s="16" t="s">
        <x:v>121</x:v>
      </x:c>
      <x:c r="G116" s="16" t="s">
        <x:v>26</x:v>
      </x:c>
      <x:c r="H116" s="17" t="s">
        <x:v>694</x:v>
      </x:c>
      <x:c r="I116" s="17" t="s">
        <x:v>695</x:v>
      </x:c>
      <x:c r="J116" s="17" t="s">
        <x:v>696</x:v>
      </x:c>
      <x:c r="K116" s="17" t="s">
        <x:v>562</x:v>
      </x:c>
      <x:c r="L116" s="17" t="s">
        <x:v>111</x:v>
      </x:c>
      <x:c r="M116" s="17" t="s">
        <x:v>626</x:v>
      </x:c>
      <x:c r="N116" s="16"/>
      <x:c r="O116" s="18">
        <x:v>46249</x:v>
      </x:c>
      <x:c r="P116" s="19" t="s">
        <x:v>34</x:v>
      </x:c>
      <x:c r="Q116" s="17"/>
      <x:c r="R116" s="19" t="str">
        <x:f t="shared" si="1"/>
        <x:v>Discovery Link Only</x:v>
      </x:c>
      <x:c r="S116" s="43" t="str">
        <x:v>Unknown</x:v>
      </x:c>
      <x:c r="T116" s="43" t="str">
        <x:v>Unknown</x:v>
      </x:c>
      <x:c r="U116" s="43" t="str">
        <x:v>Unknown</x:v>
      </x:c>
      <x:c r="V116" s="43" t="str">
        <x:v>Unknown</x:v>
      </x:c>
      <x:c r="W116" s="43" t="str">
        <x:v>Unknown</x:v>
      </x:c>
      <x:c r="X116" s="43" t="str">
        <x:v>Unknown</x:v>
      </x:c>
      <x:c r="Y116" s="43" t="str">
        <x:v>Unknown</x:v>
      </x:c>
      <x:c r="Z116" s="43"/>
      <x:c r="AA116" s="43" t="str">
        <x:v>Excluded</x:v>
      </x:c>
      <x:c r="AB116" s="43" t="str">
        <x:v>No qualifying evidence source recorded</x:v>
      </x:c>
      <x:c r="AC116" s="43" t="str">
        <x:v>Excluded from Maya's elderly recommendation results because no source-backed elderly accessibility feature is recorded in the reviewed data. This does not mean the attraction is inaccessible.</x:v>
      </x:c>
      <x:c r="AD116" s="43" t="str">
        <x:v>2026-08-16</x:v>
      </x:c>
    </x:row>
    <x:row r="117" ht="60" customHeight="1">
      <x:c r="A117" s="16" t="s">
        <x:v>697</x:v>
      </x:c>
      <x:c r="B117" s="16" t="s">
        <x:v>698</x:v>
      </x:c>
      <x:c r="C117" s="16" t="s">
        <x:v>557</x:v>
      </x:c>
      <x:c r="D117" s="16" t="s">
        <x:v>699</x:v>
      </x:c>
      <x:c r="E117" s="16" t="s">
        <x:v>133</x:v>
      </x:c>
      <x:c r="F117" s="16" t="s">
        <x:v>127</x:v>
      </x:c>
      <x:c r="G117" s="16" t="s">
        <x:v>134</x:v>
      </x:c>
      <x:c r="H117" s="17" t="s">
        <x:v>700</x:v>
      </x:c>
      <x:c r="I117" s="17" t="s">
        <x:v>701</x:v>
      </x:c>
      <x:c r="J117" s="17" t="s">
        <x:v>702</x:v>
      </x:c>
      <x:c r="K117" s="17" t="s">
        <x:v>562</x:v>
      </x:c>
      <x:c r="L117" s="17" t="s">
        <x:v>111</x:v>
      </x:c>
      <x:c r="M117" s="17" t="s">
        <x:v>626</x:v>
      </x:c>
      <x:c r="N117" s="16"/>
      <x:c r="O117" s="18">
        <x:v>46249</x:v>
      </x:c>
      <x:c r="P117" s="19" t="s">
        <x:v>34</x:v>
      </x:c>
      <x:c r="Q117" s="17"/>
      <x:c r="R117" s="19" t="str">
        <x:f t="shared" si="1"/>
        <x:v>Discovery Link Only</x:v>
      </x:c>
      <x:c r="S117" s="43" t="str">
        <x:v>Unknown</x:v>
      </x:c>
      <x:c r="T117" s="43" t="str">
        <x:v>Unknown</x:v>
      </x:c>
      <x:c r="U117" s="43" t="str">
        <x:v>Unknown</x:v>
      </x:c>
      <x:c r="V117" s="43" t="str">
        <x:v>Unknown</x:v>
      </x:c>
      <x:c r="W117" s="43" t="str">
        <x:v>Unknown</x:v>
      </x:c>
      <x:c r="X117" s="43" t="str">
        <x:v>Unknown</x:v>
      </x:c>
      <x:c r="Y117" s="43" t="str">
        <x:v>Unknown</x:v>
      </x:c>
      <x:c r="Z117" s="43"/>
      <x:c r="AA117" s="43" t="str">
        <x:v>Excluded</x:v>
      </x:c>
      <x:c r="AB117" s="43" t="str">
        <x:v>No qualifying evidence source recorded</x:v>
      </x:c>
      <x:c r="AC117" s="43" t="str">
        <x:v>Excluded from Maya's elderly recommendation results because no source-backed elderly accessibility feature is recorded in the reviewed data. This does not mean the attraction is inaccessible.</x:v>
      </x:c>
      <x:c r="AD117" s="43" t="str">
        <x:v>2026-08-16</x:v>
      </x:c>
    </x:row>
    <x:row r="118" ht="60" customHeight="1">
      <x:c r="A118" s="16" t="s">
        <x:v>703</x:v>
      </x:c>
      <x:c r="B118" s="16" t="s">
        <x:v>704</x:v>
      </x:c>
      <x:c r="C118" s="16" t="s">
        <x:v>705</x:v>
      </x:c>
      <x:c r="D118" s="16" t="s">
        <x:v>704</x:v>
      </x:c>
      <x:c r="E118" s="16" t="s">
        <x:v>72</x:v>
      </x:c>
      <x:c r="F118" s="16" t="s">
        <x:v>25</x:v>
      </x:c>
      <x:c r="G118" s="16" t="s">
        <x:v>46</x:v>
      </x:c>
      <x:c r="H118" s="17" t="s">
        <x:v>706</x:v>
      </x:c>
      <x:c r="I118" s="17" t="s">
        <x:v>707</x:v>
      </x:c>
      <x:c r="J118" s="17" t="s">
        <x:v>708</x:v>
      </x:c>
      <x:c r="K118" s="17" t="s">
        <x:v>709</x:v>
      </x:c>
      <x:c r="L118" s="17" t="s">
        <x:v>58</x:v>
      </x:c>
      <x:c r="M118" s="17" t="s">
        <x:v>256</x:v>
      </x:c>
      <x:c r="N118" s="16" t="s">
        <x:v>710</x:v>
      </x:c>
      <x:c r="O118" s="18">
        <x:v>46249</x:v>
      </x:c>
      <x:c r="P118" s="19" t="s">
        <x:v>34</x:v>
      </x:c>
      <x:c r="Q118" s="17"/>
      <x:c r="R118" s="19" t="str">
        <x:f t="shared" si="1"/>
        <x:v>Source Link Present</x:v>
      </x:c>
      <x:c r="S118" s="43" t="str">
        <x:v>Unknown</x:v>
      </x:c>
      <x:c r="T118" s="43" t="str">
        <x:v>Unknown</x:v>
      </x:c>
      <x:c r="U118" s="43" t="str">
        <x:v>Unknown</x:v>
      </x:c>
      <x:c r="V118" s="43" t="str">
        <x:v>Unknown</x:v>
      </x:c>
      <x:c r="W118" s="43" t="str">
        <x:v>Unknown</x:v>
      </x:c>
      <x:c r="X118" s="43" t="str">
        <x:v>Unknown</x:v>
      </x:c>
      <x:c r="Y118" s="43" t="str">
        <x:v>Unknown</x:v>
      </x:c>
      <x:c r="Z118" s="43"/>
      <x:c r="AA118" s="43" t="str">
        <x:v>Excluded</x:v>
      </x:c>
      <x:c r="AB118" s="43" t="str">
        <x:v>No qualifying evidence source recorded</x:v>
      </x:c>
      <x:c r="AC118" s="43" t="str">
        <x:v>Excluded from Maya's elderly recommendation results because no source-backed elderly accessibility feature is recorded in the reviewed data. This does not mean the attraction is inaccessible.</x:v>
      </x:c>
      <x:c r="AD118" s="43" t="str">
        <x:v>2026-08-16</x:v>
      </x:c>
    </x:row>
    <x:row r="119" ht="60" customHeight="1">
      <x:c r="A119" s="16" t="s">
        <x:v>711</x:v>
      </x:c>
      <x:c r="B119" s="16" t="s">
        <x:v>712</x:v>
      </x:c>
      <x:c r="C119" s="16" t="s">
        <x:v>705</x:v>
      </x:c>
      <x:c r="D119" s="16" t="s">
        <x:v>713</x:v>
      </x:c>
      <x:c r="E119" s="16" t="s">
        <x:v>45</x:v>
      </x:c>
      <x:c r="F119" s="16" t="s">
        <x:v>25</x:v>
      </x:c>
      <x:c r="G119" s="16" t="s">
        <x:v>26</x:v>
      </x:c>
      <x:c r="H119" s="17" t="s">
        <x:v>714</x:v>
      </x:c>
      <x:c r="I119" s="17" t="s">
        <x:v>715</x:v>
      </x:c>
      <x:c r="J119" s="17" t="s">
        <x:v>716</x:v>
      </x:c>
      <x:c r="K119" s="17" t="s">
        <x:v>709</x:v>
      </x:c>
      <x:c r="L119" s="17" t="s">
        <x:v>58</x:v>
      </x:c>
      <x:c r="M119" s="17" t="s">
        <x:v>256</x:v>
      </x:c>
      <x:c r="N119" s="16" t="s">
        <x:v>717</x:v>
      </x:c>
      <x:c r="O119" s="18">
        <x:v>46249</x:v>
      </x:c>
      <x:c r="P119" s="19" t="s">
        <x:v>34</x:v>
      </x:c>
      <x:c r="Q119" s="17"/>
      <x:c r="R119" s="19" t="str">
        <x:f t="shared" si="1"/>
        <x:v>Source Link Present</x:v>
      </x:c>
      <x:c r="S119" s="43" t="str">
        <x:v>Unknown</x:v>
      </x:c>
      <x:c r="T119" s="43" t="str">
        <x:v>Unknown</x:v>
      </x:c>
      <x:c r="U119" s="43" t="str">
        <x:v>Unknown</x:v>
      </x:c>
      <x:c r="V119" s="43" t="str">
        <x:v>Unknown</x:v>
      </x:c>
      <x:c r="W119" s="43" t="str">
        <x:v>Unknown</x:v>
      </x:c>
      <x:c r="X119" s="43" t="str">
        <x:v>Unknown</x:v>
      </x:c>
      <x:c r="Y119" s="43" t="str">
        <x:v>Unknown</x:v>
      </x:c>
      <x:c r="Z119" s="43"/>
      <x:c r="AA119" s="43" t="str">
        <x:v>Excluded</x:v>
      </x:c>
      <x:c r="AB119" s="43" t="str">
        <x:v>No qualifying evidence source recorded</x:v>
      </x:c>
      <x:c r="AC119" s="43" t="str">
        <x:v>Excluded from Maya's elderly recommendation results because no source-backed elderly accessibility feature is recorded in the reviewed data. This does not mean the attraction is inaccessible.</x:v>
      </x:c>
      <x:c r="AD119" s="43" t="str">
        <x:v>2026-08-16</x:v>
      </x:c>
    </x:row>
    <x:row r="120" ht="60" customHeight="1">
      <x:c r="A120" s="16" t="s">
        <x:v>718</x:v>
      </x:c>
      <x:c r="B120" s="16" t="s">
        <x:v>719</x:v>
      </x:c>
      <x:c r="C120" s="16" t="s">
        <x:v>705</x:v>
      </x:c>
      <x:c r="D120" s="16" t="s">
        <x:v>704</x:v>
      </x:c>
      <x:c r="E120" s="16" t="s">
        <x:v>133</x:v>
      </x:c>
      <x:c r="F120" s="16" t="s">
        <x:v>25</x:v>
      </x:c>
      <x:c r="G120" s="16" t="s">
        <x:v>46</x:v>
      </x:c>
      <x:c r="H120" s="17" t="s">
        <x:v>720</x:v>
      </x:c>
      <x:c r="I120" s="17" t="s">
        <x:v>721</x:v>
      </x:c>
      <x:c r="J120" s="17" t="s">
        <x:v>722</x:v>
      </x:c>
      <x:c r="K120" s="17" t="s">
        <x:v>709</x:v>
      </x:c>
      <x:c r="L120" s="17" t="s">
        <x:v>58</x:v>
      </x:c>
      <x:c r="M120" s="17" t="s">
        <x:v>256</x:v>
      </x:c>
      <x:c r="N120" s="16" t="s">
        <x:v>723</x:v>
      </x:c>
      <x:c r="O120" s="18">
        <x:v>46249</x:v>
      </x:c>
      <x:c r="P120" s="19" t="s">
        <x:v>34</x:v>
      </x:c>
      <x:c r="Q120" s="17"/>
      <x:c r="R120" s="19" t="str">
        <x:f t="shared" si="1"/>
        <x:v>Discovery Link Only</x:v>
      </x:c>
      <x:c r="S120" s="43" t="str">
        <x:v>Unknown</x:v>
      </x:c>
      <x:c r="T120" s="43" t="str">
        <x:v>Unknown</x:v>
      </x:c>
      <x:c r="U120" s="43" t="str">
        <x:v>Unknown</x:v>
      </x:c>
      <x:c r="V120" s="43" t="str">
        <x:v>Unknown</x:v>
      </x:c>
      <x:c r="W120" s="43" t="str">
        <x:v>Unknown</x:v>
      </x:c>
      <x:c r="X120" s="43" t="str">
        <x:v>Unknown</x:v>
      </x:c>
      <x:c r="Y120" s="43" t="str">
        <x:v>Unknown</x:v>
      </x:c>
      <x:c r="Z120" s="43"/>
      <x:c r="AA120" s="43" t="str">
        <x:v>Excluded</x:v>
      </x:c>
      <x:c r="AB120" s="43" t="str">
        <x:v>No qualifying evidence source recorded</x:v>
      </x:c>
      <x:c r="AC120" s="43" t="str">
        <x:v>Excluded from Maya's elderly recommendation results because no source-backed elderly accessibility feature is recorded in the reviewed data. This does not mean the attraction is inaccessible.</x:v>
      </x:c>
      <x:c r="AD120" s="43" t="str">
        <x:v>2026-08-16</x:v>
      </x:c>
    </x:row>
    <x:row r="121" ht="60" customHeight="1">
      <x:c r="A121" s="16" t="s">
        <x:v>724</x:v>
      </x:c>
      <x:c r="B121" s="16" t="s">
        <x:v>725</x:v>
      </x:c>
      <x:c r="C121" s="16" t="s">
        <x:v>705</x:v>
      </x:c>
      <x:c r="D121" s="16" t="s">
        <x:v>704</x:v>
      </x:c>
      <x:c r="E121" s="16" t="s">
        <x:v>115</x:v>
      </x:c>
      <x:c r="F121" s="16" t="s">
        <x:v>25</x:v>
      </x:c>
      <x:c r="G121" s="16" t="s">
        <x:v>26</x:v>
      </x:c>
      <x:c r="H121" s="17" t="s">
        <x:v>726</x:v>
      </x:c>
      <x:c r="I121" s="17" t="s">
        <x:v>727</x:v>
      </x:c>
      <x:c r="J121" s="17" t="s">
        <x:v>728</x:v>
      </x:c>
      <x:c r="K121" s="17" t="s">
        <x:v>709</x:v>
      </x:c>
      <x:c r="L121" s="17" t="s">
        <x:v>58</x:v>
      </x:c>
      <x:c r="M121" s="17" t="s">
        <x:v>256</x:v>
      </x:c>
      <x:c r="N121" s="16" t="s">
        <x:v>729</x:v>
      </x:c>
      <x:c r="O121" s="18">
        <x:v>46249</x:v>
      </x:c>
      <x:c r="P121" s="19" t="s">
        <x:v>34</x:v>
      </x:c>
      <x:c r="Q121" s="17"/>
      <x:c r="R121" s="19" t="str">
        <x:f t="shared" si="1"/>
        <x:v>Discovery Link Only</x:v>
      </x:c>
      <x:c r="S121" s="43" t="str">
        <x:v>Unknown</x:v>
      </x:c>
      <x:c r="T121" s="43" t="str">
        <x:v>Unknown</x:v>
      </x:c>
      <x:c r="U121" s="43" t="str">
        <x:v>Unknown</x:v>
      </x:c>
      <x:c r="V121" s="43" t="str">
        <x:v>Unknown</x:v>
      </x:c>
      <x:c r="W121" s="43" t="str">
        <x:v>Unknown</x:v>
      </x:c>
      <x:c r="X121" s="43" t="str">
        <x:v>Unknown</x:v>
      </x:c>
      <x:c r="Y121" s="43" t="str">
        <x:v>Unknown</x:v>
      </x:c>
      <x:c r="Z121" s="43"/>
      <x:c r="AA121" s="43" t="str">
        <x:v>Excluded</x:v>
      </x:c>
      <x:c r="AB121" s="43" t="str">
        <x:v>No qualifying evidence source recorded</x:v>
      </x:c>
      <x:c r="AC121" s="43" t="str">
        <x:v>Excluded from Maya's elderly recommendation results because no source-backed elderly accessibility feature is recorded in the reviewed data. This does not mean the attraction is inaccessible.</x:v>
      </x:c>
      <x:c r="AD121" s="43" t="str">
        <x:v>2026-08-16</x:v>
      </x:c>
    </x:row>
    <x:row r="122" ht="60" customHeight="1">
      <x:c r="A122" s="16" t="s">
        <x:v>730</x:v>
      </x:c>
      <x:c r="B122" s="16" t="s">
        <x:v>731</x:v>
      </x:c>
      <x:c r="C122" s="16" t="s">
        <x:v>705</x:v>
      </x:c>
      <x:c r="D122" s="16" t="s">
        <x:v>732</x:v>
      </x:c>
      <x:c r="E122" s="16" t="s">
        <x:v>133</x:v>
      </x:c>
      <x:c r="F122" s="16" t="s">
        <x:v>25</x:v>
      </x:c>
      <x:c r="G122" s="16" t="s">
        <x:v>46</x:v>
      </x:c>
      <x:c r="H122" s="17" t="s">
        <x:v>733</x:v>
      </x:c>
      <x:c r="I122" s="17" t="s">
        <x:v>734</x:v>
      </x:c>
      <x:c r="J122" s="17" t="s">
        <x:v>735</x:v>
      </x:c>
      <x:c r="K122" s="17" t="s">
        <x:v>709</x:v>
      </x:c>
      <x:c r="L122" s="17" t="s">
        <x:v>58</x:v>
      </x:c>
      <x:c r="M122" s="17" t="s">
        <x:v>256</x:v>
      </x:c>
      <x:c r="N122" s="16" t="s">
        <x:v>736</x:v>
      </x:c>
      <x:c r="O122" s="18">
        <x:v>46249</x:v>
      </x:c>
      <x:c r="P122" s="19" t="s">
        <x:v>34</x:v>
      </x:c>
      <x:c r="Q122" s="17"/>
      <x:c r="R122" s="19" t="str">
        <x:f t="shared" si="1"/>
        <x:v>Discovery Link Only</x:v>
      </x:c>
      <x:c r="S122" s="43" t="str">
        <x:v>Unknown</x:v>
      </x:c>
      <x:c r="T122" s="43" t="str">
        <x:v>Unknown</x:v>
      </x:c>
      <x:c r="U122" s="43" t="str">
        <x:v>Unknown</x:v>
      </x:c>
      <x:c r="V122" s="43" t="str">
        <x:v>Unknown</x:v>
      </x:c>
      <x:c r="W122" s="43" t="str">
        <x:v>Unknown</x:v>
      </x:c>
      <x:c r="X122" s="43" t="str">
        <x:v>Unknown</x:v>
      </x:c>
      <x:c r="Y122" s="43" t="str">
        <x:v>Unknown</x:v>
      </x:c>
      <x:c r="Z122" s="43"/>
      <x:c r="AA122" s="43" t="str">
        <x:v>Excluded</x:v>
      </x:c>
      <x:c r="AB122" s="43" t="str">
        <x:v>No qualifying evidence source recorded</x:v>
      </x:c>
      <x:c r="AC122" s="43" t="str">
        <x:v>Excluded from Maya's elderly recommendation results because no source-backed elderly accessibility feature is recorded in the reviewed data. This does not mean the attraction is inaccessible.</x:v>
      </x:c>
      <x:c r="AD122" s="43" t="str">
        <x:v>2026-08-16</x:v>
      </x:c>
    </x:row>
    <x:row r="123" ht="60" customHeight="1">
      <x:c r="A123" s="16" t="s">
        <x:v>737</x:v>
      </x:c>
      <x:c r="B123" s="16" t="s">
        <x:v>738</x:v>
      </x:c>
      <x:c r="C123" s="16" t="s">
        <x:v>705</x:v>
      </x:c>
      <x:c r="D123" s="16" t="s">
        <x:v>713</x:v>
      </x:c>
      <x:c r="E123" s="16" t="s">
        <x:v>133</x:v>
      </x:c>
      <x:c r="F123" s="16" t="s">
        <x:v>25</x:v>
      </x:c>
      <x:c r="G123" s="16" t="s">
        <x:v>46</x:v>
      </x:c>
      <x:c r="H123" s="17" t="s">
        <x:v>739</x:v>
      </x:c>
      <x:c r="I123" s="17" t="s">
        <x:v>740</x:v>
      </x:c>
      <x:c r="J123" s="17" t="s">
        <x:v>741</x:v>
      </x:c>
      <x:c r="K123" s="17" t="s">
        <x:v>709</x:v>
      </x:c>
      <x:c r="L123" s="17" t="s">
        <x:v>58</x:v>
      </x:c>
      <x:c r="M123" s="17" t="s">
        <x:v>256</x:v>
      </x:c>
      <x:c r="N123" s="16" t="s">
        <x:v>742</x:v>
      </x:c>
      <x:c r="O123" s="18">
        <x:v>46249</x:v>
      </x:c>
      <x:c r="P123" s="19" t="s">
        <x:v>34</x:v>
      </x:c>
      <x:c r="Q123" s="17"/>
      <x:c r="R123" s="19" t="str">
        <x:f t="shared" si="1"/>
        <x:v>Discovery Link Only</x:v>
      </x:c>
      <x:c r="S123" s="43" t="str">
        <x:v>Unknown</x:v>
      </x:c>
      <x:c r="T123" s="43" t="str">
        <x:v>Unknown</x:v>
      </x:c>
      <x:c r="U123" s="43" t="str">
        <x:v>Unknown</x:v>
      </x:c>
      <x:c r="V123" s="43" t="str">
        <x:v>Unknown</x:v>
      </x:c>
      <x:c r="W123" s="43" t="str">
        <x:v>Unknown</x:v>
      </x:c>
      <x:c r="X123" s="43" t="str">
        <x:v>Unknown</x:v>
      </x:c>
      <x:c r="Y123" s="43" t="str">
        <x:v>Unknown</x:v>
      </x:c>
      <x:c r="Z123" s="43"/>
      <x:c r="AA123" s="43" t="str">
        <x:v>Excluded</x:v>
      </x:c>
      <x:c r="AB123" s="43" t="str">
        <x:v>No qualifying evidence source recorded</x:v>
      </x:c>
      <x:c r="AC123" s="43" t="str">
        <x:v>Excluded from Maya's elderly recommendation results because no source-backed elderly accessibility feature is recorded in the reviewed data. This does not mean the attraction is inaccessible.</x:v>
      </x:c>
      <x:c r="AD123" s="43" t="str">
        <x:v>2026-08-16</x:v>
      </x:c>
    </x:row>
    <x:row r="124" ht="60" customHeight="1">
      <x:c r="A124" s="16" t="s">
        <x:v>743</x:v>
      </x:c>
      <x:c r="B124" s="16" t="s">
        <x:v>744</x:v>
      </x:c>
      <x:c r="C124" s="16" t="s">
        <x:v>705</x:v>
      </x:c>
      <x:c r="D124" s="16" t="s">
        <x:v>745</x:v>
      </x:c>
      <x:c r="E124" s="16" t="s">
        <x:v>54</x:v>
      </x:c>
      <x:c r="F124" s="16" t="s">
        <x:v>25</x:v>
      </x:c>
      <x:c r="G124" s="16" t="s">
        <x:v>26</x:v>
      </x:c>
      <x:c r="H124" s="17" t="s">
        <x:v>746</x:v>
      </x:c>
      <x:c r="I124" s="17" t="s">
        <x:v>747</x:v>
      </x:c>
      <x:c r="J124" s="17" t="s">
        <x:v>748</x:v>
      </x:c>
      <x:c r="K124" s="17" t="s">
        <x:v>709</x:v>
      </x:c>
      <x:c r="L124" s="17" t="s">
        <x:v>58</x:v>
      </x:c>
      <x:c r="M124" s="17" t="s">
        <x:v>256</x:v>
      </x:c>
      <x:c r="N124" s="16" t="s">
        <x:v>749</x:v>
      </x:c>
      <x:c r="O124" s="18">
        <x:v>46249</x:v>
      </x:c>
      <x:c r="P124" s="19" t="s">
        <x:v>34</x:v>
      </x:c>
      <x:c r="Q124" s="17"/>
      <x:c r="R124" s="19" t="str">
        <x:f t="shared" si="1"/>
        <x:v>Discovery Link Only</x:v>
      </x:c>
      <x:c r="S124" s="43" t="str">
        <x:v>Unknown</x:v>
      </x:c>
      <x:c r="T124" s="43" t="str">
        <x:v>Unknown</x:v>
      </x:c>
      <x:c r="U124" s="43" t="str">
        <x:v>Unknown</x:v>
      </x:c>
      <x:c r="V124" s="43" t="str">
        <x:v>Unknown</x:v>
      </x:c>
      <x:c r="W124" s="43" t="str">
        <x:v>Unknown</x:v>
      </x:c>
      <x:c r="X124" s="43" t="str">
        <x:v>Unknown</x:v>
      </x:c>
      <x:c r="Y124" s="43" t="str">
        <x:v>Unknown</x:v>
      </x:c>
      <x:c r="Z124" s="43"/>
      <x:c r="AA124" s="43" t="str">
        <x:v>Excluded</x:v>
      </x:c>
      <x:c r="AB124" s="43" t="str">
        <x:v>No qualifying evidence source recorded</x:v>
      </x:c>
      <x:c r="AC124" s="43" t="str">
        <x:v>Excluded from Maya's elderly recommendation results because no source-backed elderly accessibility feature is recorded in the reviewed data. This does not mean the attraction is inaccessible.</x:v>
      </x:c>
      <x:c r="AD124" s="43" t="str">
        <x:v>2026-08-16</x:v>
      </x:c>
    </x:row>
    <x:row r="125" ht="60" customHeight="1">
      <x:c r="A125" s="16" t="s">
        <x:v>750</x:v>
      </x:c>
      <x:c r="B125" s="16" t="s">
        <x:v>751</x:v>
      </x:c>
      <x:c r="C125" s="16" t="s">
        <x:v>705</x:v>
      </x:c>
      <x:c r="D125" s="16" t="s">
        <x:v>713</x:v>
      </x:c>
      <x:c r="E125" s="16" t="s">
        <x:v>251</x:v>
      </x:c>
      <x:c r="F125" s="16" t="s">
        <x:v>25</x:v>
      </x:c>
      <x:c r="G125" s="16" t="s">
        <x:v>26</x:v>
      </x:c>
      <x:c r="H125" s="17" t="s">
        <x:v>752</x:v>
      </x:c>
      <x:c r="I125" s="17" t="s">
        <x:v>753</x:v>
      </x:c>
      <x:c r="J125" s="17" t="s">
        <x:v>754</x:v>
      </x:c>
      <x:c r="K125" s="17" t="s">
        <x:v>709</x:v>
      </x:c>
      <x:c r="L125" s="17" t="s">
        <x:v>58</x:v>
      </x:c>
      <x:c r="M125" s="17" t="s">
        <x:v>256</x:v>
      </x:c>
      <x:c r="N125" s="16" t="s">
        <x:v>755</x:v>
      </x:c>
      <x:c r="O125" s="18">
        <x:v>46249</x:v>
      </x:c>
      <x:c r="P125" s="19" t="s">
        <x:v>34</x:v>
      </x:c>
      <x:c r="Q125" s="17"/>
      <x:c r="R125" s="19" t="str">
        <x:f t="shared" si="1"/>
        <x:v>Discovery Link Only</x:v>
      </x:c>
      <x:c r="S125" s="43" t="str">
        <x:v>Unknown</x:v>
      </x:c>
      <x:c r="T125" s="43" t="str">
        <x:v>Unknown</x:v>
      </x:c>
      <x:c r="U125" s="43" t="str">
        <x:v>Unknown</x:v>
      </x:c>
      <x:c r="V125" s="43" t="str">
        <x:v>Unknown</x:v>
      </x:c>
      <x:c r="W125" s="43" t="str">
        <x:v>Unknown</x:v>
      </x:c>
      <x:c r="X125" s="43" t="str">
        <x:v>Unknown</x:v>
      </x:c>
      <x:c r="Y125" s="43" t="str">
        <x:v>Unknown</x:v>
      </x:c>
      <x:c r="Z125" s="43"/>
      <x:c r="AA125" s="43" t="str">
        <x:v>Excluded</x:v>
      </x:c>
      <x:c r="AB125" s="43" t="str">
        <x:v>No qualifying evidence source recorded</x:v>
      </x:c>
      <x:c r="AC125" s="43" t="str">
        <x:v>Excluded from Maya's elderly recommendation results because no source-backed elderly accessibility feature is recorded in the reviewed data. This does not mean the attraction is inaccessible.</x:v>
      </x:c>
      <x:c r="AD125" s="43" t="str">
        <x:v>2026-08-16</x:v>
      </x:c>
    </x:row>
    <x:row r="126" ht="60" customHeight="1">
      <x:c r="A126" s="16" t="s">
        <x:v>756</x:v>
      </x:c>
      <x:c r="B126" s="16" t="s">
        <x:v>757</x:v>
      </x:c>
      <x:c r="C126" s="16" t="s">
        <x:v>705</x:v>
      </x:c>
      <x:c r="D126" s="16" t="s">
        <x:v>745</x:v>
      </x:c>
      <x:c r="E126" s="16" t="s">
        <x:v>24</x:v>
      </x:c>
      <x:c r="F126" s="16" t="s">
        <x:v>25</x:v>
      </x:c>
      <x:c r="G126" s="16" t="s">
        <x:v>26</x:v>
      </x:c>
      <x:c r="H126" s="17" t="s">
        <x:v>758</x:v>
      </x:c>
      <x:c r="I126" s="17" t="s">
        <x:v>759</x:v>
      </x:c>
      <x:c r="J126" s="17" t="s">
        <x:v>760</x:v>
      </x:c>
      <x:c r="K126" s="17" t="s">
        <x:v>709</x:v>
      </x:c>
      <x:c r="L126" s="17" t="s">
        <x:v>58</x:v>
      </x:c>
      <x:c r="M126" s="17" t="s">
        <x:v>256</x:v>
      </x:c>
      <x:c r="N126" s="16" t="s">
        <x:v>761</x:v>
      </x:c>
      <x:c r="O126" s="18">
        <x:v>46249</x:v>
      </x:c>
      <x:c r="P126" s="19" t="s">
        <x:v>34</x:v>
      </x:c>
      <x:c r="Q126" s="17"/>
      <x:c r="R126" s="19" t="str">
        <x:f t="shared" si="1"/>
        <x:v>Discovery Link Only</x:v>
      </x:c>
      <x:c r="S126" s="43" t="str">
        <x:v>Unknown</x:v>
      </x:c>
      <x:c r="T126" s="43" t="str">
        <x:v>Unknown</x:v>
      </x:c>
      <x:c r="U126" s="43" t="str">
        <x:v>Unknown</x:v>
      </x:c>
      <x:c r="V126" s="43" t="str">
        <x:v>Unknown</x:v>
      </x:c>
      <x:c r="W126" s="43" t="str">
        <x:v>Unknown</x:v>
      </x:c>
      <x:c r="X126" s="43" t="str">
        <x:v>Unknown</x:v>
      </x:c>
      <x:c r="Y126" s="43" t="str">
        <x:v>Unknown</x:v>
      </x:c>
      <x:c r="Z126" s="43"/>
      <x:c r="AA126" s="43" t="str">
        <x:v>Excluded</x:v>
      </x:c>
      <x:c r="AB126" s="43" t="str">
        <x:v>No qualifying evidence source recorded</x:v>
      </x:c>
      <x:c r="AC126" s="43" t="str">
        <x:v>Excluded from Maya's elderly recommendation results because no source-backed elderly accessibility feature is recorded in the reviewed data. This does not mean the attraction is inaccessible.</x:v>
      </x:c>
      <x:c r="AD126" s="43" t="str">
        <x:v>2026-08-16</x:v>
      </x:c>
    </x:row>
    <x:row r="127" ht="60" customHeight="1">
      <x:c r="A127" s="16" t="s">
        <x:v>762</x:v>
      </x:c>
      <x:c r="B127" s="16" t="s">
        <x:v>763</x:v>
      </x:c>
      <x:c r="C127" s="16" t="s">
        <x:v>705</x:v>
      </x:c>
      <x:c r="D127" s="16" t="s">
        <x:v>764</x:v>
      </x:c>
      <x:c r="E127" s="16" t="s">
        <x:v>45</x:v>
      </x:c>
      <x:c r="F127" s="16" t="s">
        <x:v>25</x:v>
      </x:c>
      <x:c r="G127" s="16" t="s">
        <x:v>26</x:v>
      </x:c>
      <x:c r="H127" s="17" t="s">
        <x:v>765</x:v>
      </x:c>
      <x:c r="I127" s="17" t="s">
        <x:v>766</x:v>
      </x:c>
      <x:c r="J127" s="17" t="s">
        <x:v>767</x:v>
      </x:c>
      <x:c r="K127" s="17" t="s">
        <x:v>709</x:v>
      </x:c>
      <x:c r="L127" s="17" t="s">
        <x:v>58</x:v>
      </x:c>
      <x:c r="M127" s="17" t="s">
        <x:v>256</x:v>
      </x:c>
      <x:c r="N127" s="16" t="s">
        <x:v>768</x:v>
      </x:c>
      <x:c r="O127" s="18">
        <x:v>46249</x:v>
      </x:c>
      <x:c r="P127" s="19" t="s">
        <x:v>34</x:v>
      </x:c>
      <x:c r="Q127" s="17"/>
      <x:c r="R127" s="19" t="str">
        <x:f t="shared" si="1"/>
        <x:v>Discovery Link Only</x:v>
      </x:c>
      <x:c r="S127" s="43" t="str">
        <x:v>Unknown</x:v>
      </x:c>
      <x:c r="T127" s="43" t="str">
        <x:v>Unknown</x:v>
      </x:c>
      <x:c r="U127" s="43" t="str">
        <x:v>Unknown</x:v>
      </x:c>
      <x:c r="V127" s="43" t="str">
        <x:v>Unknown</x:v>
      </x:c>
      <x:c r="W127" s="43" t="str">
        <x:v>Unknown</x:v>
      </x:c>
      <x:c r="X127" s="43" t="str">
        <x:v>Unknown</x:v>
      </x:c>
      <x:c r="Y127" s="43" t="str">
        <x:v>Unknown</x:v>
      </x:c>
      <x:c r="Z127" s="43"/>
      <x:c r="AA127" s="43" t="str">
        <x:v>Excluded</x:v>
      </x:c>
      <x:c r="AB127" s="43" t="str">
        <x:v>No qualifying evidence source recorded</x:v>
      </x:c>
      <x:c r="AC127" s="43" t="str">
        <x:v>Excluded from Maya's elderly recommendation results because no source-backed elderly accessibility feature is recorded in the reviewed data. This does not mean the attraction is inaccessible.</x:v>
      </x:c>
      <x:c r="AD127" s="43" t="str">
        <x:v>2026-08-16</x:v>
      </x:c>
    </x:row>
    <x:row r="128" ht="60" customHeight="1">
      <x:c r="A128" s="16" t="s">
        <x:v>769</x:v>
      </x:c>
      <x:c r="B128" s="16" t="s">
        <x:v>770</x:v>
      </x:c>
      <x:c r="C128" s="16" t="s">
        <x:v>705</x:v>
      </x:c>
      <x:c r="D128" s="16" t="s">
        <x:v>745</x:v>
      </x:c>
      <x:c r="E128" s="16" t="s">
        <x:v>133</x:v>
      </x:c>
      <x:c r="F128" s="16" t="s">
        <x:v>107</x:v>
      </x:c>
      <x:c r="G128" s="16" t="s">
        <x:v>134</x:v>
      </x:c>
      <x:c r="H128" s="17" t="s">
        <x:v>771</x:v>
      </x:c>
      <x:c r="I128" s="17" t="s">
        <x:v>772</x:v>
      </x:c>
      <x:c r="J128" s="17" t="s">
        <x:v>773</x:v>
      </x:c>
      <x:c r="K128" s="17" t="s">
        <x:v>709</x:v>
      </x:c>
      <x:c r="L128" s="17" t="s">
        <x:v>111</x:v>
      </x:c>
      <x:c r="M128" s="17" t="s">
        <x:v>774</x:v>
      </x:c>
      <x:c r="N128" s="16"/>
      <x:c r="O128" s="18">
        <x:v>46249</x:v>
      </x:c>
      <x:c r="P128" s="19" t="s">
        <x:v>34</x:v>
      </x:c>
      <x:c r="Q128" s="17"/>
      <x:c r="R128" s="19" t="str">
        <x:f t="shared" si="1"/>
        <x:v>Discovery Link Only</x:v>
      </x:c>
      <x:c r="S128" s="43" t="str">
        <x:v>Unknown</x:v>
      </x:c>
      <x:c r="T128" s="43" t="str">
        <x:v>Unknown</x:v>
      </x:c>
      <x:c r="U128" s="43" t="str">
        <x:v>Unknown</x:v>
      </x:c>
      <x:c r="V128" s="43" t="str">
        <x:v>Unknown</x:v>
      </x:c>
      <x:c r="W128" s="43" t="str">
        <x:v>Unknown</x:v>
      </x:c>
      <x:c r="X128" s="43" t="str">
        <x:v>Unknown</x:v>
      </x:c>
      <x:c r="Y128" s="43" t="str">
        <x:v>Unknown</x:v>
      </x:c>
      <x:c r="Z128" s="43"/>
      <x:c r="AA128" s="43" t="str">
        <x:v>Excluded</x:v>
      </x:c>
      <x:c r="AB128" s="43" t="str">
        <x:v>No qualifying evidence source recorded</x:v>
      </x:c>
      <x:c r="AC128" s="43" t="str">
        <x:v>Excluded from Maya's elderly recommendation results because no source-backed elderly accessibility feature is recorded in the reviewed data. This does not mean the attraction is inaccessible.</x:v>
      </x:c>
      <x:c r="AD128" s="43" t="str">
        <x:v>2026-08-16</x:v>
      </x:c>
    </x:row>
    <x:row r="129" ht="60" customHeight="1">
      <x:c r="A129" s="16" t="s">
        <x:v>775</x:v>
      </x:c>
      <x:c r="B129" s="16" t="s">
        <x:v>776</x:v>
      </x:c>
      <x:c r="C129" s="16" t="s">
        <x:v>705</x:v>
      </x:c>
      <x:c r="D129" s="16" t="s">
        <x:v>745</x:v>
      </x:c>
      <x:c r="E129" s="16" t="s">
        <x:v>24</x:v>
      </x:c>
      <x:c r="F129" s="16" t="s">
        <x:v>121</x:v>
      </x:c>
      <x:c r="G129" s="16" t="s">
        <x:v>26</x:v>
      </x:c>
      <x:c r="H129" s="17" t="s">
        <x:v>777</x:v>
      </x:c>
      <x:c r="I129" s="17" t="s">
        <x:v>778</x:v>
      </x:c>
      <x:c r="J129" s="17" t="s">
        <x:v>779</x:v>
      </x:c>
      <x:c r="K129" s="17" t="s">
        <x:v>709</x:v>
      </x:c>
      <x:c r="L129" s="17" t="s">
        <x:v>111</x:v>
      </x:c>
      <x:c r="M129" s="17" t="s">
        <x:v>774</x:v>
      </x:c>
      <x:c r="N129" s="16"/>
      <x:c r="O129" s="18">
        <x:v>46249</x:v>
      </x:c>
      <x:c r="P129" s="19" t="s">
        <x:v>34</x:v>
      </x:c>
      <x:c r="Q129" s="17"/>
      <x:c r="R129" s="19" t="str">
        <x:f t="shared" si="1"/>
        <x:v>Discovery Link Only</x:v>
      </x:c>
      <x:c r="S129" s="43" t="str">
        <x:v>Unknown</x:v>
      </x:c>
      <x:c r="T129" s="43" t="str">
        <x:v>Unknown</x:v>
      </x:c>
      <x:c r="U129" s="43" t="str">
        <x:v>Unknown</x:v>
      </x:c>
      <x:c r="V129" s="43" t="str">
        <x:v>Unknown</x:v>
      </x:c>
      <x:c r="W129" s="43" t="str">
        <x:v>Unknown</x:v>
      </x:c>
      <x:c r="X129" s="43" t="str">
        <x:v>Unknown</x:v>
      </x:c>
      <x:c r="Y129" s="43" t="str">
        <x:v>Unknown</x:v>
      </x:c>
      <x:c r="Z129" s="43"/>
      <x:c r="AA129" s="43" t="str">
        <x:v>Excluded</x:v>
      </x:c>
      <x:c r="AB129" s="43" t="str">
        <x:v>No qualifying evidence source recorded</x:v>
      </x:c>
      <x:c r="AC129" s="43" t="str">
        <x:v>Excluded from Maya's elderly recommendation results because no source-backed elderly accessibility feature is recorded in the reviewed data. This does not mean the attraction is inaccessible.</x:v>
      </x:c>
      <x:c r="AD129" s="43" t="str">
        <x:v>2026-08-16</x:v>
      </x:c>
    </x:row>
    <x:row r="130" ht="60" customHeight="1">
      <x:c r="A130" s="16" t="s">
        <x:v>780</x:v>
      </x:c>
      <x:c r="B130" s="16" t="s">
        <x:v>781</x:v>
      </x:c>
      <x:c r="C130" s="16" t="s">
        <x:v>705</x:v>
      </x:c>
      <x:c r="D130" s="16" t="s">
        <x:v>745</x:v>
      </x:c>
      <x:c r="E130" s="16" t="s">
        <x:v>106</x:v>
      </x:c>
      <x:c r="F130" s="16" t="s">
        <x:v>121</x:v>
      </x:c>
      <x:c r="G130" s="16" t="s">
        <x:v>46</x:v>
      </x:c>
      <x:c r="H130" s="17" t="s">
        <x:v>782</x:v>
      </x:c>
      <x:c r="I130" s="17" t="s">
        <x:v>783</x:v>
      </x:c>
      <x:c r="J130" s="17" t="s">
        <x:v>784</x:v>
      </x:c>
      <x:c r="K130" s="17" t="s">
        <x:v>709</x:v>
      </x:c>
      <x:c r="L130" s="17" t="s">
        <x:v>111</x:v>
      </x:c>
      <x:c r="M130" s="17" t="s">
        <x:v>774</x:v>
      </x:c>
      <x:c r="N130" s="16"/>
      <x:c r="O130" s="18">
        <x:v>46249</x:v>
      </x:c>
      <x:c r="P130" s="19" t="s">
        <x:v>34</x:v>
      </x:c>
      <x:c r="Q130" s="17"/>
      <x:c r="R130" s="19" t="str">
        <x:f t="shared" si="1"/>
        <x:v>Discovery Link Only</x:v>
      </x:c>
      <x:c r="S130" s="43" t="str">
        <x:v>Unknown</x:v>
      </x:c>
      <x:c r="T130" s="43" t="str">
        <x:v>Unknown</x:v>
      </x:c>
      <x:c r="U130" s="43" t="str">
        <x:v>Unknown</x:v>
      </x:c>
      <x:c r="V130" s="43" t="str">
        <x:v>Unknown</x:v>
      </x:c>
      <x:c r="W130" s="43" t="str">
        <x:v>Unknown</x:v>
      </x:c>
      <x:c r="X130" s="43" t="str">
        <x:v>Unknown</x:v>
      </x:c>
      <x:c r="Y130" s="43" t="str">
        <x:v>Unknown</x:v>
      </x:c>
      <x:c r="Z130" s="43"/>
      <x:c r="AA130" s="43" t="str">
        <x:v>Excluded</x:v>
      </x:c>
      <x:c r="AB130" s="43" t="str">
        <x:v>No qualifying evidence source recorded</x:v>
      </x:c>
      <x:c r="AC130" s="43" t="str">
        <x:v>Excluded from Maya's elderly recommendation results because no source-backed elderly accessibility feature is recorded in the reviewed data. This does not mean the attraction is inaccessible.</x:v>
      </x:c>
      <x:c r="AD130" s="43" t="str">
        <x:v>2026-08-16</x:v>
      </x:c>
    </x:row>
    <x:row r="131" ht="60" customHeight="1">
      <x:c r="A131" s="16" t="s">
        <x:v>785</x:v>
      </x:c>
      <x:c r="B131" s="16" t="s">
        <x:v>786</x:v>
      </x:c>
      <x:c r="C131" s="16" t="s">
        <x:v>705</x:v>
      </x:c>
      <x:c r="D131" s="16" t="s">
        <x:v>745</x:v>
      </x:c>
      <x:c r="E131" s="16" t="s">
        <x:v>133</x:v>
      </x:c>
      <x:c r="F131" s="16" t="s">
        <x:v>121</x:v>
      </x:c>
      <x:c r="G131" s="16" t="s">
        <x:v>134</x:v>
      </x:c>
      <x:c r="H131" s="17" t="s">
        <x:v>787</x:v>
      </x:c>
      <x:c r="I131" s="17" t="s">
        <x:v>788</x:v>
      </x:c>
      <x:c r="J131" s="17" t="s">
        <x:v>789</x:v>
      </x:c>
      <x:c r="K131" s="17" t="s">
        <x:v>709</x:v>
      </x:c>
      <x:c r="L131" s="17" t="s">
        <x:v>111</x:v>
      </x:c>
      <x:c r="M131" s="17" t="s">
        <x:v>774</x:v>
      </x:c>
      <x:c r="N131" s="16"/>
      <x:c r="O131" s="18">
        <x:v>46249</x:v>
      </x:c>
      <x:c r="P131" s="19" t="s">
        <x:v>34</x:v>
      </x:c>
      <x:c r="Q131" s="17"/>
      <x:c r="R131" s="19" t="str">
        <x:f t="shared" si="1"/>
        <x:v>Discovery Link Only</x:v>
      </x:c>
      <x:c r="S131" s="43" t="str">
        <x:v>Unknown</x:v>
      </x:c>
      <x:c r="T131" s="43" t="str">
        <x:v>Unknown</x:v>
      </x:c>
      <x:c r="U131" s="43" t="str">
        <x:v>Unknown</x:v>
      </x:c>
      <x:c r="V131" s="43" t="str">
        <x:v>Unknown</x:v>
      </x:c>
      <x:c r="W131" s="43" t="str">
        <x:v>Unknown</x:v>
      </x:c>
      <x:c r="X131" s="43" t="str">
        <x:v>Unknown</x:v>
      </x:c>
      <x:c r="Y131" s="43" t="str">
        <x:v>Unknown</x:v>
      </x:c>
      <x:c r="Z131" s="43"/>
      <x:c r="AA131" s="43" t="str">
        <x:v>Excluded</x:v>
      </x:c>
      <x:c r="AB131" s="43" t="str">
        <x:v>No qualifying evidence source recorded</x:v>
      </x:c>
      <x:c r="AC131" s="43" t="str">
        <x:v>Excluded from Maya's elderly recommendation results because no source-backed elderly accessibility feature is recorded in the reviewed data. This does not mean the attraction is inaccessible.</x:v>
      </x:c>
      <x:c r="AD131" s="43" t="str">
        <x:v>2026-08-16</x:v>
      </x:c>
    </x:row>
    <x:row r="132" ht="60" customHeight="1">
      <x:c r="A132" s="16" t="s">
        <x:v>790</x:v>
      </x:c>
      <x:c r="B132" s="16" t="s">
        <x:v>791</x:v>
      </x:c>
      <x:c r="C132" s="16" t="s">
        <x:v>705</x:v>
      </x:c>
      <x:c r="D132" s="16" t="s">
        <x:v>713</x:v>
      </x:c>
      <x:c r="E132" s="16" t="s">
        <x:v>133</x:v>
      </x:c>
      <x:c r="F132" s="16" t="s">
        <x:v>107</x:v>
      </x:c>
      <x:c r="G132" s="16" t="s">
        <x:v>134</x:v>
      </x:c>
      <x:c r="H132" s="17" t="s">
        <x:v>792</x:v>
      </x:c>
      <x:c r="I132" s="17" t="s">
        <x:v>793</x:v>
      </x:c>
      <x:c r="J132" s="17" t="s">
        <x:v>794</x:v>
      </x:c>
      <x:c r="K132" s="17" t="s">
        <x:v>709</x:v>
      </x:c>
      <x:c r="L132" s="17" t="s">
        <x:v>111</x:v>
      </x:c>
      <x:c r="M132" s="17" t="s">
        <x:v>774</x:v>
      </x:c>
      <x:c r="N132" s="16"/>
      <x:c r="O132" s="18">
        <x:v>46249</x:v>
      </x:c>
      <x:c r="P132" s="19" t="s">
        <x:v>34</x:v>
      </x:c>
      <x:c r="Q132" s="17"/>
      <x:c r="R132" s="19" t="str">
        <x:f t="shared" ref="R132:R195" si="2">IF(J132="","Missing Link",IF(AND(ISNUMBER(SEARCH("google.com/maps",J132)),ISERROR(SEARCH(";",J132))),"Discovery Link Only","Source Link Present"))</x:f>
        <x:v>Discovery Link Only</x:v>
      </x:c>
      <x:c r="S132" s="43" t="str">
        <x:v>Unknown</x:v>
      </x:c>
      <x:c r="T132" s="43" t="str">
        <x:v>Unknown</x:v>
      </x:c>
      <x:c r="U132" s="43" t="str">
        <x:v>Unknown</x:v>
      </x:c>
      <x:c r="V132" s="43" t="str">
        <x:v>Unknown</x:v>
      </x:c>
      <x:c r="W132" s="43" t="str">
        <x:v>Unknown</x:v>
      </x:c>
      <x:c r="X132" s="43" t="str">
        <x:v>Unknown</x:v>
      </x:c>
      <x:c r="Y132" s="43" t="str">
        <x:v>Unknown</x:v>
      </x:c>
      <x:c r="Z132" s="43"/>
      <x:c r="AA132" s="43" t="str">
        <x:v>Excluded</x:v>
      </x:c>
      <x:c r="AB132" s="43" t="str">
        <x:v>No qualifying evidence source recorded</x:v>
      </x:c>
      <x:c r="AC132" s="43" t="str">
        <x:v>Excluded from Maya's elderly recommendation results because no source-backed elderly accessibility feature is recorded in the reviewed data. This does not mean the attraction is inaccessible.</x:v>
      </x:c>
      <x:c r="AD132" s="43" t="str">
        <x:v>2026-08-16</x:v>
      </x:c>
    </x:row>
    <x:row r="133" ht="60" customHeight="1">
      <x:c r="A133" s="16" t="s">
        <x:v>795</x:v>
      </x:c>
      <x:c r="B133" s="16" t="s">
        <x:v>796</x:v>
      </x:c>
      <x:c r="C133" s="16" t="s">
        <x:v>705</x:v>
      </x:c>
      <x:c r="D133" s="16" t="s">
        <x:v>797</x:v>
      </x:c>
      <x:c r="E133" s="16" t="s">
        <x:v>133</x:v>
      </x:c>
      <x:c r="F133" s="16" t="s">
        <x:v>127</x:v>
      </x:c>
      <x:c r="G133" s="16" t="s">
        <x:v>134</x:v>
      </x:c>
      <x:c r="H133" s="17" t="s">
        <x:v>798</x:v>
      </x:c>
      <x:c r="I133" s="17" t="s">
        <x:v>799</x:v>
      </x:c>
      <x:c r="J133" s="17" t="s">
        <x:v>800</x:v>
      </x:c>
      <x:c r="K133" s="17" t="s">
        <x:v>709</x:v>
      </x:c>
      <x:c r="L133" s="17" t="s">
        <x:v>111</x:v>
      </x:c>
      <x:c r="M133" s="17" t="s">
        <x:v>774</x:v>
      </x:c>
      <x:c r="N133" s="16"/>
      <x:c r="O133" s="18">
        <x:v>46249</x:v>
      </x:c>
      <x:c r="P133" s="19" t="s">
        <x:v>34</x:v>
      </x:c>
      <x:c r="Q133" s="17"/>
      <x:c r="R133" s="19" t="str">
        <x:f t="shared" si="2"/>
        <x:v>Discovery Link Only</x:v>
      </x:c>
      <x:c r="S133" s="43" t="str">
        <x:v>Unknown</x:v>
      </x:c>
      <x:c r="T133" s="43" t="str">
        <x:v>Unknown</x:v>
      </x:c>
      <x:c r="U133" s="43" t="str">
        <x:v>Unknown</x:v>
      </x:c>
      <x:c r="V133" s="43" t="str">
        <x:v>Unknown</x:v>
      </x:c>
      <x:c r="W133" s="43" t="str">
        <x:v>Unknown</x:v>
      </x:c>
      <x:c r="X133" s="43" t="str">
        <x:v>Unknown</x:v>
      </x:c>
      <x:c r="Y133" s="43" t="str">
        <x:v>Unknown</x:v>
      </x:c>
      <x:c r="Z133" s="43"/>
      <x:c r="AA133" s="43" t="str">
        <x:v>Excluded</x:v>
      </x:c>
      <x:c r="AB133" s="43" t="str">
        <x:v>No qualifying evidence source recorded</x:v>
      </x:c>
      <x:c r="AC133" s="43" t="str">
        <x:v>Excluded from Maya's elderly recommendation results because no source-backed elderly accessibility feature is recorded in the reviewed data. This does not mean the attraction is inaccessible.</x:v>
      </x:c>
      <x:c r="AD133" s="43" t="str">
        <x:v>2026-08-16</x:v>
      </x:c>
    </x:row>
    <x:row r="134" ht="60" customHeight="1">
      <x:c r="A134" s="16" t="s">
        <x:v>801</x:v>
      </x:c>
      <x:c r="B134" s="16" t="s">
        <x:v>802</x:v>
      </x:c>
      <x:c r="C134" s="16" t="s">
        <x:v>705</x:v>
      </x:c>
      <x:c r="D134" s="16" t="s">
        <x:v>797</x:v>
      </x:c>
      <x:c r="E134" s="16" t="s">
        <x:v>251</x:v>
      </x:c>
      <x:c r="F134" s="16" t="s">
        <x:v>107</x:v>
      </x:c>
      <x:c r="G134" s="16" t="s">
        <x:v>26</x:v>
      </x:c>
      <x:c r="H134" s="17" t="s">
        <x:v>803</x:v>
      </x:c>
      <x:c r="I134" s="17" t="s">
        <x:v>804</x:v>
      </x:c>
      <x:c r="J134" s="17" t="s">
        <x:v>805</x:v>
      </x:c>
      <x:c r="K134" s="17" t="s">
        <x:v>709</x:v>
      </x:c>
      <x:c r="L134" s="17" t="s">
        <x:v>111</x:v>
      </x:c>
      <x:c r="M134" s="17" t="s">
        <x:v>774</x:v>
      </x:c>
      <x:c r="N134" s="16"/>
      <x:c r="O134" s="18">
        <x:v>46249</x:v>
      </x:c>
      <x:c r="P134" s="19" t="s">
        <x:v>34</x:v>
      </x:c>
      <x:c r="Q134" s="17"/>
      <x:c r="R134" s="19" t="str">
        <x:f t="shared" si="2"/>
        <x:v>Discovery Link Only</x:v>
      </x:c>
      <x:c r="S134" s="43" t="str">
        <x:v>Unknown</x:v>
      </x:c>
      <x:c r="T134" s="43" t="str">
        <x:v>Unknown</x:v>
      </x:c>
      <x:c r="U134" s="43" t="str">
        <x:v>Unknown</x:v>
      </x:c>
      <x:c r="V134" s="43" t="str">
        <x:v>Unknown</x:v>
      </x:c>
      <x:c r="W134" s="43" t="str">
        <x:v>Unknown</x:v>
      </x:c>
      <x:c r="X134" s="43" t="str">
        <x:v>Unknown</x:v>
      </x:c>
      <x:c r="Y134" s="43" t="str">
        <x:v>Unknown</x:v>
      </x:c>
      <x:c r="Z134" s="43"/>
      <x:c r="AA134" s="43" t="str">
        <x:v>Excluded</x:v>
      </x:c>
      <x:c r="AB134" s="43" t="str">
        <x:v>No qualifying evidence source recorded</x:v>
      </x:c>
      <x:c r="AC134" s="43" t="str">
        <x:v>Excluded from Maya's elderly recommendation results because no source-backed elderly accessibility feature is recorded in the reviewed data. This does not mean the attraction is inaccessible.</x:v>
      </x:c>
      <x:c r="AD134" s="43" t="str">
        <x:v>2026-08-16</x:v>
      </x:c>
    </x:row>
    <x:row r="135" ht="60" customHeight="1">
      <x:c r="A135" s="16" t="s">
        <x:v>806</x:v>
      </x:c>
      <x:c r="B135" s="16" t="s">
        <x:v>807</x:v>
      </x:c>
      <x:c r="C135" s="16" t="s">
        <x:v>705</x:v>
      </x:c>
      <x:c r="D135" s="16" t="s">
        <x:v>764</x:v>
      </x:c>
      <x:c r="E135" s="16" t="s">
        <x:v>133</x:v>
      </x:c>
      <x:c r="F135" s="16" t="s">
        <x:v>127</x:v>
      </x:c>
      <x:c r="G135" s="16" t="s">
        <x:v>134</x:v>
      </x:c>
      <x:c r="H135" s="17" t="s">
        <x:v>808</x:v>
      </x:c>
      <x:c r="I135" s="17" t="s">
        <x:v>809</x:v>
      </x:c>
      <x:c r="J135" s="17" t="s">
        <x:v>810</x:v>
      </x:c>
      <x:c r="K135" s="17" t="s">
        <x:v>709</x:v>
      </x:c>
      <x:c r="L135" s="17" t="s">
        <x:v>111</x:v>
      </x:c>
      <x:c r="M135" s="17" t="s">
        <x:v>774</x:v>
      </x:c>
      <x:c r="N135" s="16"/>
      <x:c r="O135" s="18">
        <x:v>46249</x:v>
      </x:c>
      <x:c r="P135" s="19" t="s">
        <x:v>34</x:v>
      </x:c>
      <x:c r="Q135" s="17"/>
      <x:c r="R135" s="19" t="str">
        <x:f t="shared" si="2"/>
        <x:v>Discovery Link Only</x:v>
      </x:c>
      <x:c r="S135" s="43" t="str">
        <x:v>Unknown</x:v>
      </x:c>
      <x:c r="T135" s="43" t="str">
        <x:v>Unknown</x:v>
      </x:c>
      <x:c r="U135" s="43" t="str">
        <x:v>Unknown</x:v>
      </x:c>
      <x:c r="V135" s="43" t="str">
        <x:v>Unknown</x:v>
      </x:c>
      <x:c r="W135" s="43" t="str">
        <x:v>Unknown</x:v>
      </x:c>
      <x:c r="X135" s="43" t="str">
        <x:v>Unknown</x:v>
      </x:c>
      <x:c r="Y135" s="43" t="str">
        <x:v>Unknown</x:v>
      </x:c>
      <x:c r="Z135" s="43"/>
      <x:c r="AA135" s="43" t="str">
        <x:v>Excluded</x:v>
      </x:c>
      <x:c r="AB135" s="43" t="str">
        <x:v>No qualifying evidence source recorded</x:v>
      </x:c>
      <x:c r="AC135" s="43" t="str">
        <x:v>Excluded from Maya's elderly recommendation results because no source-backed elderly accessibility feature is recorded in the reviewed data. This does not mean the attraction is inaccessible.</x:v>
      </x:c>
      <x:c r="AD135" s="43" t="str">
        <x:v>2026-08-16</x:v>
      </x:c>
    </x:row>
    <x:row r="136" ht="60" customHeight="1">
      <x:c r="A136" s="16" t="s">
        <x:v>811</x:v>
      </x:c>
      <x:c r="B136" s="16" t="s">
        <x:v>812</x:v>
      </x:c>
      <x:c r="C136" s="16" t="s">
        <x:v>705</x:v>
      </x:c>
      <x:c r="D136" s="16" t="s">
        <x:v>764</x:v>
      </x:c>
      <x:c r="E136" s="16" t="s">
        <x:v>45</x:v>
      </x:c>
      <x:c r="F136" s="16" t="s">
        <x:v>194</x:v>
      </x:c>
      <x:c r="G136" s="16" t="s">
        <x:v>26</x:v>
      </x:c>
      <x:c r="H136" s="17" t="s">
        <x:v>813</x:v>
      </x:c>
      <x:c r="I136" s="17" t="s">
        <x:v>814</x:v>
      </x:c>
      <x:c r="J136" s="17" t="s">
        <x:v>815</x:v>
      </x:c>
      <x:c r="K136" s="17" t="s">
        <x:v>709</x:v>
      </x:c>
      <x:c r="L136" s="17" t="s">
        <x:v>111</x:v>
      </x:c>
      <x:c r="M136" s="17" t="s">
        <x:v>774</x:v>
      </x:c>
      <x:c r="N136" s="16"/>
      <x:c r="O136" s="18">
        <x:v>46249</x:v>
      </x:c>
      <x:c r="P136" s="19" t="s">
        <x:v>34</x:v>
      </x:c>
      <x:c r="Q136" s="17"/>
      <x:c r="R136" s="19" t="str">
        <x:f t="shared" si="2"/>
        <x:v>Discovery Link Only</x:v>
      </x:c>
      <x:c r="S136" s="43" t="str">
        <x:v>Unknown</x:v>
      </x:c>
      <x:c r="T136" s="43" t="str">
        <x:v>Unknown</x:v>
      </x:c>
      <x:c r="U136" s="43" t="str">
        <x:v>Unknown</x:v>
      </x:c>
      <x:c r="V136" s="43" t="str">
        <x:v>Unknown</x:v>
      </x:c>
      <x:c r="W136" s="43" t="str">
        <x:v>Unknown</x:v>
      </x:c>
      <x:c r="X136" s="43" t="str">
        <x:v>Unknown</x:v>
      </x:c>
      <x:c r="Y136" s="43" t="str">
        <x:v>Unknown</x:v>
      </x:c>
      <x:c r="Z136" s="43"/>
      <x:c r="AA136" s="43" t="str">
        <x:v>Excluded</x:v>
      </x:c>
      <x:c r="AB136" s="43" t="str">
        <x:v>No qualifying evidence source recorded</x:v>
      </x:c>
      <x:c r="AC136" s="43" t="str">
        <x:v>Excluded from Maya's elderly recommendation results because no source-backed elderly accessibility feature is recorded in the reviewed data. This does not mean the attraction is inaccessible.</x:v>
      </x:c>
      <x:c r="AD136" s="43" t="str">
        <x:v>2026-08-16</x:v>
      </x:c>
    </x:row>
    <x:row r="137" ht="60" customHeight="1">
      <x:c r="A137" s="16" t="s">
        <x:v>816</x:v>
      </x:c>
      <x:c r="B137" s="16" t="s">
        <x:v>817</x:v>
      </x:c>
      <x:c r="C137" s="16" t="s">
        <x:v>705</x:v>
      </x:c>
      <x:c r="D137" s="16" t="s">
        <x:v>818</x:v>
      </x:c>
      <x:c r="E137" s="16" t="s">
        <x:v>133</x:v>
      </x:c>
      <x:c r="F137" s="16" t="s">
        <x:v>127</x:v>
      </x:c>
      <x:c r="G137" s="16" t="s">
        <x:v>134</x:v>
      </x:c>
      <x:c r="H137" s="17" t="s">
        <x:v>819</x:v>
      </x:c>
      <x:c r="I137" s="17" t="s">
        <x:v>820</x:v>
      </x:c>
      <x:c r="J137" s="17" t="s">
        <x:v>821</x:v>
      </x:c>
      <x:c r="K137" s="17" t="s">
        <x:v>709</x:v>
      </x:c>
      <x:c r="L137" s="17" t="s">
        <x:v>111</x:v>
      </x:c>
      <x:c r="M137" s="17" t="s">
        <x:v>774</x:v>
      </x:c>
      <x:c r="N137" s="16"/>
      <x:c r="O137" s="18">
        <x:v>46249</x:v>
      </x:c>
      <x:c r="P137" s="19" t="s">
        <x:v>34</x:v>
      </x:c>
      <x:c r="Q137" s="17"/>
      <x:c r="R137" s="19" t="str">
        <x:f t="shared" si="2"/>
        <x:v>Discovery Link Only</x:v>
      </x:c>
      <x:c r="S137" s="43" t="str">
        <x:v>Unknown</x:v>
      </x:c>
      <x:c r="T137" s="43" t="str">
        <x:v>Unknown</x:v>
      </x:c>
      <x:c r="U137" s="43" t="str">
        <x:v>Unknown</x:v>
      </x:c>
      <x:c r="V137" s="43" t="str">
        <x:v>Unknown</x:v>
      </x:c>
      <x:c r="W137" s="43" t="str">
        <x:v>Unknown</x:v>
      </x:c>
      <x:c r="X137" s="43" t="str">
        <x:v>Unknown</x:v>
      </x:c>
      <x:c r="Y137" s="43" t="str">
        <x:v>Unknown</x:v>
      </x:c>
      <x:c r="Z137" s="43"/>
      <x:c r="AA137" s="43" t="str">
        <x:v>Excluded</x:v>
      </x:c>
      <x:c r="AB137" s="43" t="str">
        <x:v>No qualifying evidence source recorded</x:v>
      </x:c>
      <x:c r="AC137" s="43" t="str">
        <x:v>Excluded from Maya's elderly recommendation results because no source-backed elderly accessibility feature is recorded in the reviewed data. This does not mean the attraction is inaccessible.</x:v>
      </x:c>
      <x:c r="AD137" s="43" t="str">
        <x:v>2026-08-16</x:v>
      </x:c>
    </x:row>
    <x:row r="138" ht="60" customHeight="1">
      <x:c r="A138" s="16" t="s">
        <x:v>822</x:v>
      </x:c>
      <x:c r="B138" s="16" t="s">
        <x:v>823</x:v>
      </x:c>
      <x:c r="C138" s="16" t="s">
        <x:v>705</x:v>
      </x:c>
      <x:c r="D138" s="16" t="s">
        <x:v>818</x:v>
      </x:c>
      <x:c r="E138" s="16" t="s">
        <x:v>45</x:v>
      </x:c>
      <x:c r="F138" s="16" t="s">
        <x:v>194</x:v>
      </x:c>
      <x:c r="G138" s="16" t="s">
        <x:v>26</x:v>
      </x:c>
      <x:c r="H138" s="17" t="s">
        <x:v>824</x:v>
      </x:c>
      <x:c r="I138" s="17" t="s">
        <x:v>825</x:v>
      </x:c>
      <x:c r="J138" s="17" t="s">
        <x:v>826</x:v>
      </x:c>
      <x:c r="K138" s="17" t="s">
        <x:v>709</x:v>
      </x:c>
      <x:c r="L138" s="17" t="s">
        <x:v>111</x:v>
      </x:c>
      <x:c r="M138" s="17" t="s">
        <x:v>774</x:v>
      </x:c>
      <x:c r="N138" s="16"/>
      <x:c r="O138" s="18">
        <x:v>46249</x:v>
      </x:c>
      <x:c r="P138" s="19" t="s">
        <x:v>34</x:v>
      </x:c>
      <x:c r="Q138" s="17"/>
      <x:c r="R138" s="19" t="str">
        <x:f t="shared" si="2"/>
        <x:v>Discovery Link Only</x:v>
      </x:c>
      <x:c r="S138" s="43" t="str">
        <x:v>Unknown</x:v>
      </x:c>
      <x:c r="T138" s="43" t="str">
        <x:v>Unknown</x:v>
      </x:c>
      <x:c r="U138" s="43" t="str">
        <x:v>Unknown</x:v>
      </x:c>
      <x:c r="V138" s="43" t="str">
        <x:v>Unknown</x:v>
      </x:c>
      <x:c r="W138" s="43" t="str">
        <x:v>Unknown</x:v>
      </x:c>
      <x:c r="X138" s="43" t="str">
        <x:v>Unknown</x:v>
      </x:c>
      <x:c r="Y138" s="43" t="str">
        <x:v>Unknown</x:v>
      </x:c>
      <x:c r="Z138" s="43"/>
      <x:c r="AA138" s="43" t="str">
        <x:v>Excluded</x:v>
      </x:c>
      <x:c r="AB138" s="43" t="str">
        <x:v>No qualifying evidence source recorded</x:v>
      </x:c>
      <x:c r="AC138" s="43" t="str">
        <x:v>Excluded from Maya's elderly recommendation results because no source-backed elderly accessibility feature is recorded in the reviewed data. This does not mean the attraction is inaccessible.</x:v>
      </x:c>
      <x:c r="AD138" s="43" t="str">
        <x:v>2026-08-16</x:v>
      </x:c>
    </x:row>
    <x:row r="139" ht="60" customHeight="1">
      <x:c r="A139" s="16" t="s">
        <x:v>827</x:v>
      </x:c>
      <x:c r="B139" s="16" t="s">
        <x:v>828</x:v>
      </x:c>
      <x:c r="C139" s="16" t="s">
        <x:v>705</x:v>
      </x:c>
      <x:c r="D139" s="16" t="s">
        <x:v>704</x:v>
      </x:c>
      <x:c r="E139" s="16" t="s">
        <x:v>72</x:v>
      </x:c>
      <x:c r="F139" s="16" t="s">
        <x:v>107</x:v>
      </x:c>
      <x:c r="G139" s="16" t="s">
        <x:v>26</x:v>
      </x:c>
      <x:c r="H139" s="17" t="s">
        <x:v>829</x:v>
      </x:c>
      <x:c r="I139" s="17" t="s">
        <x:v>830</x:v>
      </x:c>
      <x:c r="J139" s="17" t="s">
        <x:v>831</x:v>
      </x:c>
      <x:c r="K139" s="17" t="s">
        <x:v>709</x:v>
      </x:c>
      <x:c r="L139" s="17" t="s">
        <x:v>111</x:v>
      </x:c>
      <x:c r="M139" s="17" t="s">
        <x:v>774</x:v>
      </x:c>
      <x:c r="N139" s="16"/>
      <x:c r="O139" s="18">
        <x:v>46249</x:v>
      </x:c>
      <x:c r="P139" s="19" t="s">
        <x:v>34</x:v>
      </x:c>
      <x:c r="Q139" s="17"/>
      <x:c r="R139" s="19" t="str">
        <x:f t="shared" si="2"/>
        <x:v>Discovery Link Only</x:v>
      </x:c>
      <x:c r="S139" s="43" t="str">
        <x:v>Unknown</x:v>
      </x:c>
      <x:c r="T139" s="43" t="str">
        <x:v>Unknown</x:v>
      </x:c>
      <x:c r="U139" s="43" t="str">
        <x:v>Unknown</x:v>
      </x:c>
      <x:c r="V139" s="43" t="str">
        <x:v>Unknown</x:v>
      </x:c>
      <x:c r="W139" s="43" t="str">
        <x:v>Unknown</x:v>
      </x:c>
      <x:c r="X139" s="43" t="str">
        <x:v>Unknown</x:v>
      </x:c>
      <x:c r="Y139" s="43" t="str">
        <x:v>Unknown</x:v>
      </x:c>
      <x:c r="Z139" s="43"/>
      <x:c r="AA139" s="43" t="str">
        <x:v>Excluded</x:v>
      </x:c>
      <x:c r="AB139" s="43" t="str">
        <x:v>No qualifying evidence source recorded</x:v>
      </x:c>
      <x:c r="AC139" s="43" t="str">
        <x:v>Excluded from Maya's elderly recommendation results because no source-backed elderly accessibility feature is recorded in the reviewed data. This does not mean the attraction is inaccessible.</x:v>
      </x:c>
      <x:c r="AD139" s="43" t="str">
        <x:v>2026-08-16</x:v>
      </x:c>
    </x:row>
    <x:row r="140" ht="60" customHeight="1">
      <x:c r="A140" s="16" t="s">
        <x:v>832</x:v>
      </x:c>
      <x:c r="B140" s="16" t="s">
        <x:v>833</x:v>
      </x:c>
      <x:c r="C140" s="16" t="s">
        <x:v>705</x:v>
      </x:c>
      <x:c r="D140" s="16" t="s">
        <x:v>704</x:v>
      </x:c>
      <x:c r="E140" s="16" t="s">
        <x:v>115</x:v>
      </x:c>
      <x:c r="F140" s="16" t="s">
        <x:v>127</x:v>
      </x:c>
      <x:c r="G140" s="16" t="s">
        <x:v>46</x:v>
      </x:c>
      <x:c r="H140" s="17" t="s">
        <x:v>834</x:v>
      </x:c>
      <x:c r="I140" s="17" t="s">
        <x:v>835</x:v>
      </x:c>
      <x:c r="J140" s="17" t="s">
        <x:v>836</x:v>
      </x:c>
      <x:c r="K140" s="17" t="s">
        <x:v>709</x:v>
      </x:c>
      <x:c r="L140" s="17" t="s">
        <x:v>111</x:v>
      </x:c>
      <x:c r="M140" s="17" t="s">
        <x:v>774</x:v>
      </x:c>
      <x:c r="N140" s="16"/>
      <x:c r="O140" s="18">
        <x:v>46249</x:v>
      </x:c>
      <x:c r="P140" s="19" t="s">
        <x:v>34</x:v>
      </x:c>
      <x:c r="Q140" s="17"/>
      <x:c r="R140" s="19" t="str">
        <x:f t="shared" si="2"/>
        <x:v>Discovery Link Only</x:v>
      </x:c>
      <x:c r="S140" s="43" t="str">
        <x:v>Unknown</x:v>
      </x:c>
      <x:c r="T140" s="43" t="str">
        <x:v>Unknown</x:v>
      </x:c>
      <x:c r="U140" s="43" t="str">
        <x:v>Unknown</x:v>
      </x:c>
      <x:c r="V140" s="43" t="str">
        <x:v>Unknown</x:v>
      </x:c>
      <x:c r="W140" s="43" t="str">
        <x:v>Unknown</x:v>
      </x:c>
      <x:c r="X140" s="43" t="str">
        <x:v>Unknown</x:v>
      </x:c>
      <x:c r="Y140" s="43" t="str">
        <x:v>Unknown</x:v>
      </x:c>
      <x:c r="Z140" s="43"/>
      <x:c r="AA140" s="43" t="str">
        <x:v>Excluded</x:v>
      </x:c>
      <x:c r="AB140" s="43" t="str">
        <x:v>No qualifying evidence source recorded</x:v>
      </x:c>
      <x:c r="AC140" s="43" t="str">
        <x:v>Excluded from Maya's elderly recommendation results because no source-backed elderly accessibility feature is recorded in the reviewed data. This does not mean the attraction is inaccessible.</x:v>
      </x:c>
      <x:c r="AD140" s="43" t="str">
        <x:v>2026-08-16</x:v>
      </x:c>
    </x:row>
    <x:row r="141" ht="60" customHeight="1">
      <x:c r="A141" s="16" t="s">
        <x:v>837</x:v>
      </x:c>
      <x:c r="B141" s="16" t="s">
        <x:v>838</x:v>
      </x:c>
      <x:c r="C141" s="16" t="s">
        <x:v>705</x:v>
      </x:c>
      <x:c r="D141" s="16" t="s">
        <x:v>839</x:v>
      </x:c>
      <x:c r="E141" s="16" t="s">
        <x:v>45</x:v>
      </x:c>
      <x:c r="F141" s="16" t="s">
        <x:v>121</x:v>
      </x:c>
      <x:c r="G141" s="16" t="s">
        <x:v>26</x:v>
      </x:c>
      <x:c r="H141" s="17" t="s">
        <x:v>840</x:v>
      </x:c>
      <x:c r="I141" s="17" t="s">
        <x:v>841</x:v>
      </x:c>
      <x:c r="J141" s="17" t="s">
        <x:v>842</x:v>
      </x:c>
      <x:c r="K141" s="17" t="s">
        <x:v>709</x:v>
      </x:c>
      <x:c r="L141" s="17" t="s">
        <x:v>111</x:v>
      </x:c>
      <x:c r="M141" s="17" t="s">
        <x:v>774</x:v>
      </x:c>
      <x:c r="N141" s="16"/>
      <x:c r="O141" s="18">
        <x:v>46249</x:v>
      </x:c>
      <x:c r="P141" s="19" t="s">
        <x:v>34</x:v>
      </x:c>
      <x:c r="Q141" s="17"/>
      <x:c r="R141" s="19" t="str">
        <x:f t="shared" si="2"/>
        <x:v>Discovery Link Only</x:v>
      </x:c>
      <x:c r="S141" s="43" t="str">
        <x:v>Unknown</x:v>
      </x:c>
      <x:c r="T141" s="43" t="str">
        <x:v>Unknown</x:v>
      </x:c>
      <x:c r="U141" s="43" t="str">
        <x:v>Unknown</x:v>
      </x:c>
      <x:c r="V141" s="43" t="str">
        <x:v>Unknown</x:v>
      </x:c>
      <x:c r="W141" s="43" t="str">
        <x:v>Unknown</x:v>
      </x:c>
      <x:c r="X141" s="43" t="str">
        <x:v>Unknown</x:v>
      </x:c>
      <x:c r="Y141" s="43" t="str">
        <x:v>Unknown</x:v>
      </x:c>
      <x:c r="Z141" s="43"/>
      <x:c r="AA141" s="43" t="str">
        <x:v>Excluded</x:v>
      </x:c>
      <x:c r="AB141" s="43" t="str">
        <x:v>No qualifying evidence source recorded</x:v>
      </x:c>
      <x:c r="AC141" s="43" t="str">
        <x:v>Excluded from Maya's elderly recommendation results because no source-backed elderly accessibility feature is recorded in the reviewed data. This does not mean the attraction is inaccessible.</x:v>
      </x:c>
      <x:c r="AD141" s="43" t="str">
        <x:v>2026-08-16</x:v>
      </x:c>
    </x:row>
    <x:row r="142" ht="60" customHeight="1">
      <x:c r="A142" s="16" t="s">
        <x:v>843</x:v>
      </x:c>
      <x:c r="B142" s="16" t="s">
        <x:v>844</x:v>
      </x:c>
      <x:c r="C142" s="16" t="s">
        <x:v>705</x:v>
      </x:c>
      <x:c r="D142" s="16" t="s">
        <x:v>845</x:v>
      </x:c>
      <x:c r="E142" s="16" t="s">
        <x:v>115</x:v>
      </x:c>
      <x:c r="F142" s="16" t="s">
        <x:v>127</x:v>
      </x:c>
      <x:c r="G142" s="16" t="s">
        <x:v>46</x:v>
      </x:c>
      <x:c r="H142" s="17" t="s">
        <x:v>846</x:v>
      </x:c>
      <x:c r="I142" s="17" t="s">
        <x:v>847</x:v>
      </x:c>
      <x:c r="J142" s="17" t="s">
        <x:v>848</x:v>
      </x:c>
      <x:c r="K142" s="17" t="s">
        <x:v>709</x:v>
      </x:c>
      <x:c r="L142" s="17" t="s">
        <x:v>111</x:v>
      </x:c>
      <x:c r="M142" s="17" t="s">
        <x:v>774</x:v>
      </x:c>
      <x:c r="N142" s="16"/>
      <x:c r="O142" s="18">
        <x:v>46249</x:v>
      </x:c>
      <x:c r="P142" s="19" t="s">
        <x:v>34</x:v>
      </x:c>
      <x:c r="Q142" s="17"/>
      <x:c r="R142" s="19" t="str">
        <x:f t="shared" si="2"/>
        <x:v>Discovery Link Only</x:v>
      </x:c>
      <x:c r="S142" s="43" t="str">
        <x:v>Unknown</x:v>
      </x:c>
      <x:c r="T142" s="43" t="str">
        <x:v>Unknown</x:v>
      </x:c>
      <x:c r="U142" s="43" t="str">
        <x:v>Unknown</x:v>
      </x:c>
      <x:c r="V142" s="43" t="str">
        <x:v>Unknown</x:v>
      </x:c>
      <x:c r="W142" s="43" t="str">
        <x:v>Unknown</x:v>
      </x:c>
      <x:c r="X142" s="43" t="str">
        <x:v>Unknown</x:v>
      </x:c>
      <x:c r="Y142" s="43" t="str">
        <x:v>Unknown</x:v>
      </x:c>
      <x:c r="Z142" s="43"/>
      <x:c r="AA142" s="43" t="str">
        <x:v>Excluded</x:v>
      </x:c>
      <x:c r="AB142" s="43" t="str">
        <x:v>No qualifying evidence source recorded</x:v>
      </x:c>
      <x:c r="AC142" s="43" t="str">
        <x:v>Excluded from Maya's elderly recommendation results because no source-backed elderly accessibility feature is recorded in the reviewed data. This does not mean the attraction is inaccessible.</x:v>
      </x:c>
      <x:c r="AD142" s="43" t="str">
        <x:v>2026-08-16</x:v>
      </x:c>
    </x:row>
    <x:row r="143" ht="60" customHeight="1">
      <x:c r="A143" s="16" t="s">
        <x:v>849</x:v>
      </x:c>
      <x:c r="B143" s="16" t="s">
        <x:v>850</x:v>
      </x:c>
      <x:c r="C143" s="16" t="s">
        <x:v>851</x:v>
      </x:c>
      <x:c r="D143" s="16" t="s">
        <x:v>850</x:v>
      </x:c>
      <x:c r="E143" s="16" t="s">
        <x:v>54</x:v>
      </x:c>
      <x:c r="F143" s="16" t="s">
        <x:v>25</x:v>
      </x:c>
      <x:c r="G143" s="16" t="s">
        <x:v>46</x:v>
      </x:c>
      <x:c r="H143" s="17" t="s">
        <x:v>852</x:v>
      </x:c>
      <x:c r="I143" s="17" t="s">
        <x:v>853</x:v>
      </x:c>
      <x:c r="J143" s="17" t="s">
        <x:v>854</x:v>
      </x:c>
      <x:c r="K143" s="17" t="s">
        <x:v>855</x:v>
      </x:c>
      <x:c r="L143" s="17" t="s">
        <x:v>58</x:v>
      </x:c>
      <x:c r="M143" s="17" t="s">
        <x:v>256</x:v>
      </x:c>
      <x:c r="N143" s="16" t="s">
        <x:v>856</x:v>
      </x:c>
      <x:c r="O143" s="18">
        <x:v>46249</x:v>
      </x:c>
      <x:c r="P143" s="19" t="s">
        <x:v>34</x:v>
      </x:c>
      <x:c r="Q143" s="17"/>
      <x:c r="R143" s="19" t="str">
        <x:f t="shared" si="2"/>
        <x:v>Source Link Present</x:v>
      </x:c>
      <x:c r="S143" s="43" t="str">
        <x:v>Unknown</x:v>
      </x:c>
      <x:c r="T143" s="43" t="str">
        <x:v>Unknown</x:v>
      </x:c>
      <x:c r="U143" s="43" t="str">
        <x:v>Unknown</x:v>
      </x:c>
      <x:c r="V143" s="43" t="str">
        <x:v>Unknown</x:v>
      </x:c>
      <x:c r="W143" s="43" t="str">
        <x:v>Unknown</x:v>
      </x:c>
      <x:c r="X143" s="43" t="str">
        <x:v>Unknown</x:v>
      </x:c>
      <x:c r="Y143" s="43" t="str">
        <x:v>Unknown</x:v>
      </x:c>
      <x:c r="Z143" s="43"/>
      <x:c r="AA143" s="43" t="str">
        <x:v>Excluded</x:v>
      </x:c>
      <x:c r="AB143" s="43" t="str">
        <x:v>No qualifying evidence source recorded</x:v>
      </x:c>
      <x:c r="AC143" s="43" t="str">
        <x:v>Excluded from Maya's elderly recommendation results because no source-backed elderly accessibility feature is recorded in the reviewed data. This does not mean the attraction is inaccessible.</x:v>
      </x:c>
      <x:c r="AD143" s="43" t="str">
        <x:v>2026-08-16</x:v>
      </x:c>
    </x:row>
    <x:row r="144" ht="60" customHeight="1">
      <x:c r="A144" s="16" t="s">
        <x:v>857</x:v>
      </x:c>
      <x:c r="B144" s="16" t="s">
        <x:v>858</x:v>
      </x:c>
      <x:c r="C144" s="16" t="s">
        <x:v>851</x:v>
      </x:c>
      <x:c r="D144" s="16" t="s">
        <x:v>858</x:v>
      </x:c>
      <x:c r="E144" s="16" t="s">
        <x:v>45</x:v>
      </x:c>
      <x:c r="F144" s="16" t="s">
        <x:v>121</x:v>
      </x:c>
      <x:c r="G144" s="16" t="s">
        <x:v>46</x:v>
      </x:c>
      <x:c r="H144" s="17" t="s">
        <x:v>859</x:v>
      </x:c>
      <x:c r="I144" s="17" t="s">
        <x:v>860</x:v>
      </x:c>
      <x:c r="J144" s="17" t="s">
        <x:v>861</x:v>
      </x:c>
      <x:c r="K144" s="17" t="s">
        <x:v>855</x:v>
      </x:c>
      <x:c r="L144" s="17" t="s">
        <x:v>58</x:v>
      </x:c>
      <x:c r="M144" s="17" t="s">
        <x:v>256</x:v>
      </x:c>
      <x:c r="N144" s="16" t="s">
        <x:v>862</x:v>
      </x:c>
      <x:c r="O144" s="18">
        <x:v>46249</x:v>
      </x:c>
      <x:c r="P144" s="19" t="s">
        <x:v>34</x:v>
      </x:c>
      <x:c r="Q144" s="17"/>
      <x:c r="R144" s="19" t="str">
        <x:f t="shared" si="2"/>
        <x:v>Source Link Present</x:v>
      </x:c>
      <x:c r="S144" s="43" t="str">
        <x:v>Unknown</x:v>
      </x:c>
      <x:c r="T144" s="43" t="str">
        <x:v>Unknown</x:v>
      </x:c>
      <x:c r="U144" s="43" t="str">
        <x:v>Unknown</x:v>
      </x:c>
      <x:c r="V144" s="43" t="str">
        <x:v>Unknown</x:v>
      </x:c>
      <x:c r="W144" s="43" t="str">
        <x:v>Unknown</x:v>
      </x:c>
      <x:c r="X144" s="43" t="str">
        <x:v>Unknown</x:v>
      </x:c>
      <x:c r="Y144" s="43" t="str">
        <x:v>Unknown</x:v>
      </x:c>
      <x:c r="Z144" s="43"/>
      <x:c r="AA144" s="43" t="str">
        <x:v>Excluded</x:v>
      </x:c>
      <x:c r="AB144" s="43" t="str">
        <x:v>No qualifying evidence source recorded</x:v>
      </x:c>
      <x:c r="AC144" s="43" t="str">
        <x:v>Excluded from Maya's elderly recommendation results because no source-backed elderly accessibility feature is recorded in the reviewed data. This does not mean the attraction is inaccessible.</x:v>
      </x:c>
      <x:c r="AD144" s="43" t="str">
        <x:v>2026-08-16</x:v>
      </x:c>
    </x:row>
    <x:row r="145" ht="60" customHeight="1">
      <x:c r="A145" s="16" t="s">
        <x:v>863</x:v>
      </x:c>
      <x:c r="B145" s="16" t="s">
        <x:v>864</x:v>
      </x:c>
      <x:c r="C145" s="16" t="s">
        <x:v>851</x:v>
      </x:c>
      <x:c r="D145" s="16" t="s">
        <x:v>865</x:v>
      </x:c>
      <x:c r="E145" s="16" t="s">
        <x:v>251</x:v>
      </x:c>
      <x:c r="F145" s="16" t="s">
        <x:v>25</x:v>
      </x:c>
      <x:c r="G145" s="16" t="s">
        <x:v>26</x:v>
      </x:c>
      <x:c r="H145" s="17" t="s">
        <x:v>866</x:v>
      </x:c>
      <x:c r="I145" s="17" t="s">
        <x:v>867</x:v>
      </x:c>
      <x:c r="J145" s="17" t="s">
        <x:v>868</x:v>
      </x:c>
      <x:c r="K145" s="17" t="s">
        <x:v>855</x:v>
      </x:c>
      <x:c r="L145" s="17" t="s">
        <x:v>58</x:v>
      </x:c>
      <x:c r="M145" s="17" t="s">
        <x:v>256</x:v>
      </x:c>
      <x:c r="N145" s="16" t="s">
        <x:v>869</x:v>
      </x:c>
      <x:c r="O145" s="18">
        <x:v>46249</x:v>
      </x:c>
      <x:c r="P145" s="19" t="s">
        <x:v>34</x:v>
      </x:c>
      <x:c r="Q145" s="17"/>
      <x:c r="R145" s="19" t="str">
        <x:f t="shared" si="2"/>
        <x:v>Discovery Link Only</x:v>
      </x:c>
      <x:c r="S145" s="43" t="str">
        <x:v>Unknown</x:v>
      </x:c>
      <x:c r="T145" s="43" t="str">
        <x:v>Unknown</x:v>
      </x:c>
      <x:c r="U145" s="43" t="str">
        <x:v>Unknown</x:v>
      </x:c>
      <x:c r="V145" s="43" t="str">
        <x:v>Unknown</x:v>
      </x:c>
      <x:c r="W145" s="43" t="str">
        <x:v>Unknown</x:v>
      </x:c>
      <x:c r="X145" s="43" t="str">
        <x:v>Unknown</x:v>
      </x:c>
      <x:c r="Y145" s="43" t="str">
        <x:v>Unknown</x:v>
      </x:c>
      <x:c r="Z145" s="43"/>
      <x:c r="AA145" s="43" t="str">
        <x:v>Excluded</x:v>
      </x:c>
      <x:c r="AB145" s="43" t="str">
        <x:v>No qualifying evidence source recorded</x:v>
      </x:c>
      <x:c r="AC145" s="43" t="str">
        <x:v>Excluded from Maya's elderly recommendation results because no source-backed elderly accessibility feature is recorded in the reviewed data. This does not mean the attraction is inaccessible.</x:v>
      </x:c>
      <x:c r="AD145" s="43" t="str">
        <x:v>2026-08-16</x:v>
      </x:c>
    </x:row>
    <x:row r="146" ht="60" customHeight="1">
      <x:c r="A146" s="16" t="s">
        <x:v>870</x:v>
      </x:c>
      <x:c r="B146" s="16" t="s">
        <x:v>871</x:v>
      </x:c>
      <x:c r="C146" s="16" t="s">
        <x:v>851</x:v>
      </x:c>
      <x:c r="D146" s="16" t="s">
        <x:v>872</x:v>
      </x:c>
      <x:c r="E146" s="16" t="s">
        <x:v>394</x:v>
      </x:c>
      <x:c r="F146" s="16" t="s">
        <x:v>25</x:v>
      </x:c>
      <x:c r="G146" s="16" t="s">
        <x:v>26</x:v>
      </x:c>
      <x:c r="H146" s="17" t="s">
        <x:v>873</x:v>
      </x:c>
      <x:c r="I146" s="17" t="s">
        <x:v>874</x:v>
      </x:c>
      <x:c r="J146" s="17" t="s">
        <x:v>875</x:v>
      </x:c>
      <x:c r="K146" s="17" t="s">
        <x:v>855</x:v>
      </x:c>
      <x:c r="L146" s="17" t="s">
        <x:v>58</x:v>
      </x:c>
      <x:c r="M146" s="17" t="s">
        <x:v>256</x:v>
      </x:c>
      <x:c r="N146" s="16" t="s">
        <x:v>876</x:v>
      </x:c>
      <x:c r="O146" s="18">
        <x:v>46249</x:v>
      </x:c>
      <x:c r="P146" s="19" t="s">
        <x:v>34</x:v>
      </x:c>
      <x:c r="Q146" s="17"/>
      <x:c r="R146" s="19" t="str">
        <x:f t="shared" si="2"/>
        <x:v>Discovery Link Only</x:v>
      </x:c>
      <x:c r="S146" s="43" t="str">
        <x:v>Unknown</x:v>
      </x:c>
      <x:c r="T146" s="43" t="str">
        <x:v>Unknown</x:v>
      </x:c>
      <x:c r="U146" s="43" t="str">
        <x:v>Unknown</x:v>
      </x:c>
      <x:c r="V146" s="43" t="str">
        <x:v>Unknown</x:v>
      </x:c>
      <x:c r="W146" s="43" t="str">
        <x:v>Unknown</x:v>
      </x:c>
      <x:c r="X146" s="43" t="str">
        <x:v>Unknown</x:v>
      </x:c>
      <x:c r="Y146" s="43" t="str">
        <x:v>Unknown</x:v>
      </x:c>
      <x:c r="Z146" s="43"/>
      <x:c r="AA146" s="43" t="str">
        <x:v>Excluded</x:v>
      </x:c>
      <x:c r="AB146" s="43" t="str">
        <x:v>No qualifying evidence source recorded</x:v>
      </x:c>
      <x:c r="AC146" s="43" t="str">
        <x:v>Excluded from Maya's elderly recommendation results because no source-backed elderly accessibility feature is recorded in the reviewed data. This does not mean the attraction is inaccessible.</x:v>
      </x:c>
      <x:c r="AD146" s="43" t="str">
        <x:v>2026-08-16</x:v>
      </x:c>
    </x:row>
    <x:row r="147" ht="60" customHeight="1">
      <x:c r="A147" s="16" t="s">
        <x:v>877</x:v>
      </x:c>
      <x:c r="B147" s="16" t="s">
        <x:v>878</x:v>
      </x:c>
      <x:c r="C147" s="16" t="s">
        <x:v>851</x:v>
      </x:c>
      <x:c r="D147" s="16" t="s">
        <x:v>879</x:v>
      </x:c>
      <x:c r="E147" s="16" t="s">
        <x:v>72</x:v>
      </x:c>
      <x:c r="F147" s="16" t="s">
        <x:v>25</x:v>
      </x:c>
      <x:c r="G147" s="16" t="s">
        <x:v>26</x:v>
      </x:c>
      <x:c r="H147" s="17" t="s">
        <x:v>880</x:v>
      </x:c>
      <x:c r="I147" s="17" t="s">
        <x:v>881</x:v>
      </x:c>
      <x:c r="J147" s="17" t="s">
        <x:v>882</x:v>
      </x:c>
      <x:c r="K147" s="17" t="s">
        <x:v>855</x:v>
      </x:c>
      <x:c r="L147" s="17" t="s">
        <x:v>58</x:v>
      </x:c>
      <x:c r="M147" s="17" t="s">
        <x:v>256</x:v>
      </x:c>
      <x:c r="N147" s="16" t="s">
        <x:v>883</x:v>
      </x:c>
      <x:c r="O147" s="18">
        <x:v>46249</x:v>
      </x:c>
      <x:c r="P147" s="19" t="s">
        <x:v>34</x:v>
      </x:c>
      <x:c r="Q147" s="17"/>
      <x:c r="R147" s="19" t="str">
        <x:f t="shared" si="2"/>
        <x:v>Discovery Link Only</x:v>
      </x:c>
      <x:c r="S147" s="43" t="str">
        <x:v>Unknown</x:v>
      </x:c>
      <x:c r="T147" s="43" t="str">
        <x:v>Unknown</x:v>
      </x:c>
      <x:c r="U147" s="43" t="str">
        <x:v>Unknown</x:v>
      </x:c>
      <x:c r="V147" s="43" t="str">
        <x:v>Unknown</x:v>
      </x:c>
      <x:c r="W147" s="43" t="str">
        <x:v>Unknown</x:v>
      </x:c>
      <x:c r="X147" s="43" t="str">
        <x:v>Unknown</x:v>
      </x:c>
      <x:c r="Y147" s="43" t="str">
        <x:v>Unknown</x:v>
      </x:c>
      <x:c r="Z147" s="43"/>
      <x:c r="AA147" s="43" t="str">
        <x:v>Excluded</x:v>
      </x:c>
      <x:c r="AB147" s="43" t="str">
        <x:v>No qualifying evidence source recorded</x:v>
      </x:c>
      <x:c r="AC147" s="43" t="str">
        <x:v>Excluded from Maya's elderly recommendation results because no source-backed elderly accessibility feature is recorded in the reviewed data. This does not mean the attraction is inaccessible.</x:v>
      </x:c>
      <x:c r="AD147" s="43" t="str">
        <x:v>2026-08-16</x:v>
      </x:c>
    </x:row>
    <x:row r="148" ht="60" customHeight="1">
      <x:c r="A148" s="16" t="s">
        <x:v>884</x:v>
      </x:c>
      <x:c r="B148" s="16" t="s">
        <x:v>885</x:v>
      </x:c>
      <x:c r="C148" s="16" t="s">
        <x:v>851</x:v>
      </x:c>
      <x:c r="D148" s="16" t="s">
        <x:v>886</x:v>
      </x:c>
      <x:c r="E148" s="16" t="s">
        <x:v>37</x:v>
      </x:c>
      <x:c r="F148" s="16" t="s">
        <x:v>25</x:v>
      </x:c>
      <x:c r="G148" s="16" t="s">
        <x:v>26</x:v>
      </x:c>
      <x:c r="H148" s="17" t="s">
        <x:v>887</x:v>
      </x:c>
      <x:c r="I148" s="17" t="s">
        <x:v>888</x:v>
      </x:c>
      <x:c r="J148" s="17" t="s">
        <x:v>889</x:v>
      </x:c>
      <x:c r="K148" s="17" t="s">
        <x:v>855</x:v>
      </x:c>
      <x:c r="L148" s="17" t="s">
        <x:v>58</x:v>
      </x:c>
      <x:c r="M148" s="17" t="s">
        <x:v>256</x:v>
      </x:c>
      <x:c r="N148" s="16" t="s">
        <x:v>890</x:v>
      </x:c>
      <x:c r="O148" s="18">
        <x:v>46249</x:v>
      </x:c>
      <x:c r="P148" s="19" t="s">
        <x:v>34</x:v>
      </x:c>
      <x:c r="Q148" s="17"/>
      <x:c r="R148" s="19" t="str">
        <x:f t="shared" si="2"/>
        <x:v>Discovery Link Only</x:v>
      </x:c>
      <x:c r="S148" s="43" t="str">
        <x:v>Unknown</x:v>
      </x:c>
      <x:c r="T148" s="43" t="str">
        <x:v>Unknown</x:v>
      </x:c>
      <x:c r="U148" s="43" t="str">
        <x:v>Unknown</x:v>
      </x:c>
      <x:c r="V148" s="43" t="str">
        <x:v>Unknown</x:v>
      </x:c>
      <x:c r="W148" s="43" t="str">
        <x:v>Unknown</x:v>
      </x:c>
      <x:c r="X148" s="43" t="str">
        <x:v>Unknown</x:v>
      </x:c>
      <x:c r="Y148" s="43" t="str">
        <x:v>Unknown</x:v>
      </x:c>
      <x:c r="Z148" s="43"/>
      <x:c r="AA148" s="43" t="str">
        <x:v>Excluded</x:v>
      </x:c>
      <x:c r="AB148" s="43" t="str">
        <x:v>No qualifying evidence source recorded</x:v>
      </x:c>
      <x:c r="AC148" s="43" t="str">
        <x:v>Excluded from Maya's elderly recommendation results because no source-backed elderly accessibility feature is recorded in the reviewed data. This does not mean the attraction is inaccessible.</x:v>
      </x:c>
      <x:c r="AD148" s="43" t="str">
        <x:v>2026-08-16</x:v>
      </x:c>
    </x:row>
    <x:row r="149" ht="60" customHeight="1">
      <x:c r="A149" s="16" t="s">
        <x:v>891</x:v>
      </x:c>
      <x:c r="B149" s="16" t="s">
        <x:v>892</x:v>
      </x:c>
      <x:c r="C149" s="16" t="s">
        <x:v>851</x:v>
      </x:c>
      <x:c r="D149" s="16" t="s">
        <x:v>879</x:v>
      </x:c>
      <x:c r="E149" s="16" t="s">
        <x:v>45</x:v>
      </x:c>
      <x:c r="F149" s="16" t="s">
        <x:v>25</x:v>
      </x:c>
      <x:c r="G149" s="16" t="s">
        <x:v>26</x:v>
      </x:c>
      <x:c r="H149" s="17" t="s">
        <x:v>893</x:v>
      </x:c>
      <x:c r="I149" s="17" t="s">
        <x:v>894</x:v>
      </x:c>
      <x:c r="J149" s="17" t="s">
        <x:v>895</x:v>
      </x:c>
      <x:c r="K149" s="17" t="s">
        <x:v>855</x:v>
      </x:c>
      <x:c r="L149" s="17" t="s">
        <x:v>58</x:v>
      </x:c>
      <x:c r="M149" s="17" t="s">
        <x:v>256</x:v>
      </x:c>
      <x:c r="N149" s="16" t="s">
        <x:v>896</x:v>
      </x:c>
      <x:c r="O149" s="18">
        <x:v>46249</x:v>
      </x:c>
      <x:c r="P149" s="19" t="s">
        <x:v>34</x:v>
      </x:c>
      <x:c r="Q149" s="17"/>
      <x:c r="R149" s="19" t="str">
        <x:f t="shared" si="2"/>
        <x:v>Discovery Link Only</x:v>
      </x:c>
      <x:c r="S149" s="43" t="str">
        <x:v>Unknown</x:v>
      </x:c>
      <x:c r="T149" s="43" t="str">
        <x:v>Unknown</x:v>
      </x:c>
      <x:c r="U149" s="43" t="str">
        <x:v>Unknown</x:v>
      </x:c>
      <x:c r="V149" s="43" t="str">
        <x:v>Unknown</x:v>
      </x:c>
      <x:c r="W149" s="43" t="str">
        <x:v>Unknown</x:v>
      </x:c>
      <x:c r="X149" s="43" t="str">
        <x:v>Unknown</x:v>
      </x:c>
      <x:c r="Y149" s="43" t="str">
        <x:v>Unknown</x:v>
      </x:c>
      <x:c r="Z149" s="43"/>
      <x:c r="AA149" s="43" t="str">
        <x:v>Excluded</x:v>
      </x:c>
      <x:c r="AB149" s="43" t="str">
        <x:v>No qualifying evidence source recorded</x:v>
      </x:c>
      <x:c r="AC149" s="43" t="str">
        <x:v>Excluded from Maya's elderly recommendation results because no source-backed elderly accessibility feature is recorded in the reviewed data. This does not mean the attraction is inaccessible.</x:v>
      </x:c>
      <x:c r="AD149" s="43" t="str">
        <x:v>2026-08-16</x:v>
      </x:c>
    </x:row>
    <x:row r="150" ht="60" customHeight="1">
      <x:c r="A150" s="16" t="s">
        <x:v>897</x:v>
      </x:c>
      <x:c r="B150" s="16" t="s">
        <x:v>898</x:v>
      </x:c>
      <x:c r="C150" s="16" t="s">
        <x:v>851</x:v>
      </x:c>
      <x:c r="D150" s="16" t="s">
        <x:v>899</x:v>
      </x:c>
      <x:c r="E150" s="16" t="s">
        <x:v>54</x:v>
      </x:c>
      <x:c r="F150" s="16" t="s">
        <x:v>25</x:v>
      </x:c>
      <x:c r="G150" s="16" t="s">
        <x:v>46</x:v>
      </x:c>
      <x:c r="H150" s="17" t="s">
        <x:v>900</x:v>
      </x:c>
      <x:c r="I150" s="17" t="s">
        <x:v>901</x:v>
      </x:c>
      <x:c r="J150" s="17" t="s">
        <x:v>902</x:v>
      </x:c>
      <x:c r="K150" s="17" t="s">
        <x:v>855</x:v>
      </x:c>
      <x:c r="L150" s="17" t="s">
        <x:v>58</x:v>
      </x:c>
      <x:c r="M150" s="17" t="s">
        <x:v>256</x:v>
      </x:c>
      <x:c r="N150" s="16" t="s">
        <x:v>903</x:v>
      </x:c>
      <x:c r="O150" s="18">
        <x:v>46249</x:v>
      </x:c>
      <x:c r="P150" s="19" t="s">
        <x:v>34</x:v>
      </x:c>
      <x:c r="Q150" s="17"/>
      <x:c r="R150" s="19" t="str">
        <x:f t="shared" si="2"/>
        <x:v>Discovery Link Only</x:v>
      </x:c>
      <x:c r="S150" s="43" t="str">
        <x:v>Unknown</x:v>
      </x:c>
      <x:c r="T150" s="43" t="str">
        <x:v>Unknown</x:v>
      </x:c>
      <x:c r="U150" s="43" t="str">
        <x:v>Unknown</x:v>
      </x:c>
      <x:c r="V150" s="43" t="str">
        <x:v>Unknown</x:v>
      </x:c>
      <x:c r="W150" s="43" t="str">
        <x:v>Unknown</x:v>
      </x:c>
      <x:c r="X150" s="43" t="str">
        <x:v>Unknown</x:v>
      </x:c>
      <x:c r="Y150" s="43" t="str">
        <x:v>Unknown</x:v>
      </x:c>
      <x:c r="Z150" s="43"/>
      <x:c r="AA150" s="43" t="str">
        <x:v>Excluded</x:v>
      </x:c>
      <x:c r="AB150" s="43" t="str">
        <x:v>No qualifying evidence source recorded</x:v>
      </x:c>
      <x:c r="AC150" s="43" t="str">
        <x:v>Excluded from Maya's elderly recommendation results because no source-backed elderly accessibility feature is recorded in the reviewed data. This does not mean the attraction is inaccessible.</x:v>
      </x:c>
      <x:c r="AD150" s="43" t="str">
        <x:v>2026-08-16</x:v>
      </x:c>
    </x:row>
    <x:row r="151" ht="60" customHeight="1">
      <x:c r="A151" s="16" t="s">
        <x:v>904</x:v>
      </x:c>
      <x:c r="B151" s="16" t="s">
        <x:v>905</x:v>
      </x:c>
      <x:c r="C151" s="16" t="s">
        <x:v>851</x:v>
      </x:c>
      <x:c r="D151" s="16" t="s">
        <x:v>879</x:v>
      </x:c>
      <x:c r="E151" s="16" t="s">
        <x:v>72</x:v>
      </x:c>
      <x:c r="F151" s="16" t="s">
        <x:v>25</x:v>
      </x:c>
      <x:c r="G151" s="16" t="s">
        <x:v>26</x:v>
      </x:c>
      <x:c r="H151" s="17" t="s">
        <x:v>906</x:v>
      </x:c>
      <x:c r="I151" s="17" t="s">
        <x:v>907</x:v>
      </x:c>
      <x:c r="J151" s="17" t="s">
        <x:v>908</x:v>
      </x:c>
      <x:c r="K151" s="17" t="s">
        <x:v>855</x:v>
      </x:c>
      <x:c r="L151" s="17" t="s">
        <x:v>58</x:v>
      </x:c>
      <x:c r="M151" s="17" t="s">
        <x:v>256</x:v>
      </x:c>
      <x:c r="N151" s="16" t="s">
        <x:v>909</x:v>
      </x:c>
      <x:c r="O151" s="18">
        <x:v>46249</x:v>
      </x:c>
      <x:c r="P151" s="19" t="s">
        <x:v>34</x:v>
      </x:c>
      <x:c r="Q151" s="17"/>
      <x:c r="R151" s="19" t="str">
        <x:f t="shared" si="2"/>
        <x:v>Discovery Link Only</x:v>
      </x:c>
      <x:c r="S151" s="43" t="str">
        <x:v>Unknown</x:v>
      </x:c>
      <x:c r="T151" s="43" t="str">
        <x:v>Unknown</x:v>
      </x:c>
      <x:c r="U151" s="43" t="str">
        <x:v>Unknown</x:v>
      </x:c>
      <x:c r="V151" s="43" t="str">
        <x:v>Unknown</x:v>
      </x:c>
      <x:c r="W151" s="43" t="str">
        <x:v>Unknown</x:v>
      </x:c>
      <x:c r="X151" s="43" t="str">
        <x:v>Unknown</x:v>
      </x:c>
      <x:c r="Y151" s="43" t="str">
        <x:v>Unknown</x:v>
      </x:c>
      <x:c r="Z151" s="43"/>
      <x:c r="AA151" s="43" t="str">
        <x:v>Excluded</x:v>
      </x:c>
      <x:c r="AB151" s="43" t="str">
        <x:v>No qualifying evidence source recorded</x:v>
      </x:c>
      <x:c r="AC151" s="43" t="str">
        <x:v>Excluded from Maya's elderly recommendation results because no source-backed elderly accessibility feature is recorded in the reviewed data. This does not mean the attraction is inaccessible.</x:v>
      </x:c>
      <x:c r="AD151" s="43" t="str">
        <x:v>2026-08-16</x:v>
      </x:c>
    </x:row>
    <x:row r="152" ht="60" customHeight="1">
      <x:c r="A152" s="16" t="s">
        <x:v>910</x:v>
      </x:c>
      <x:c r="B152" s="16" t="s">
        <x:v>911</x:v>
      </x:c>
      <x:c r="C152" s="16" t="s">
        <x:v>851</x:v>
      </x:c>
      <x:c r="D152" s="16" t="s">
        <x:v>858</x:v>
      </x:c>
      <x:c r="E152" s="16" t="s">
        <x:v>45</x:v>
      </x:c>
      <x:c r="F152" s="16" t="s">
        <x:v>25</x:v>
      </x:c>
      <x:c r="G152" s="16" t="s">
        <x:v>26</x:v>
      </x:c>
      <x:c r="H152" s="17" t="s">
        <x:v>912</x:v>
      </x:c>
      <x:c r="I152" s="17" t="s">
        <x:v>913</x:v>
      </x:c>
      <x:c r="J152" s="17" t="s">
        <x:v>914</x:v>
      </x:c>
      <x:c r="K152" s="17" t="s">
        <x:v>855</x:v>
      </x:c>
      <x:c r="L152" s="17" t="s">
        <x:v>58</x:v>
      </x:c>
      <x:c r="M152" s="17" t="s">
        <x:v>256</x:v>
      </x:c>
      <x:c r="N152" s="16" t="s">
        <x:v>915</x:v>
      </x:c>
      <x:c r="O152" s="18">
        <x:v>46249</x:v>
      </x:c>
      <x:c r="P152" s="19" t="s">
        <x:v>34</x:v>
      </x:c>
      <x:c r="Q152" s="17"/>
      <x:c r="R152" s="19" t="str">
        <x:f t="shared" si="2"/>
        <x:v>Discovery Link Only</x:v>
      </x:c>
      <x:c r="S152" s="43" t="str">
        <x:v>Unknown</x:v>
      </x:c>
      <x:c r="T152" s="43" t="str">
        <x:v>Unknown</x:v>
      </x:c>
      <x:c r="U152" s="43" t="str">
        <x:v>Unknown</x:v>
      </x:c>
      <x:c r="V152" s="43" t="str">
        <x:v>Unknown</x:v>
      </x:c>
      <x:c r="W152" s="43" t="str">
        <x:v>Unknown</x:v>
      </x:c>
      <x:c r="X152" s="43" t="str">
        <x:v>Unknown</x:v>
      </x:c>
      <x:c r="Y152" s="43" t="str">
        <x:v>Unknown</x:v>
      </x:c>
      <x:c r="Z152" s="43"/>
      <x:c r="AA152" s="43" t="str">
        <x:v>Excluded</x:v>
      </x:c>
      <x:c r="AB152" s="43" t="str">
        <x:v>No qualifying evidence source recorded</x:v>
      </x:c>
      <x:c r="AC152" s="43" t="str">
        <x:v>Excluded from Maya's elderly recommendation results because no source-backed elderly accessibility feature is recorded in the reviewed data. This does not mean the attraction is inaccessible.</x:v>
      </x:c>
      <x:c r="AD152" s="43" t="str">
        <x:v>2026-08-16</x:v>
      </x:c>
    </x:row>
    <x:row r="153" ht="60" customHeight="1">
      <x:c r="A153" s="16" t="s">
        <x:v>916</x:v>
      </x:c>
      <x:c r="B153" s="16" t="s">
        <x:v>917</x:v>
      </x:c>
      <x:c r="C153" s="16" t="s">
        <x:v>851</x:v>
      </x:c>
      <x:c r="D153" s="16" t="s">
        <x:v>879</x:v>
      </x:c>
      <x:c r="E153" s="16" t="s">
        <x:v>106</x:v>
      </x:c>
      <x:c r="F153" s="16" t="s">
        <x:v>107</x:v>
      </x:c>
      <x:c r="G153" s="16" t="s">
        <x:v>46</x:v>
      </x:c>
      <x:c r="H153" s="17" t="s">
        <x:v>349</x:v>
      </x:c>
      <x:c r="I153" s="17" t="s">
        <x:v>918</x:v>
      </x:c>
      <x:c r="J153" s="17" t="s">
        <x:v>919</x:v>
      </x:c>
      <x:c r="K153" s="17" t="s">
        <x:v>855</x:v>
      </x:c>
      <x:c r="L153" s="17" t="s">
        <x:v>111</x:v>
      </x:c>
      <x:c r="M153" s="17" t="s">
        <x:v>920</x:v>
      </x:c>
      <x:c r="N153" s="16"/>
      <x:c r="O153" s="18">
        <x:v>46249</x:v>
      </x:c>
      <x:c r="P153" s="19" t="s">
        <x:v>34</x:v>
      </x:c>
      <x:c r="Q153" s="17"/>
      <x:c r="R153" s="19" t="str">
        <x:f t="shared" si="2"/>
        <x:v>Discovery Link Only</x:v>
      </x:c>
      <x:c r="S153" s="43" t="str">
        <x:v>Unknown</x:v>
      </x:c>
      <x:c r="T153" s="43" t="str">
        <x:v>Unknown</x:v>
      </x:c>
      <x:c r="U153" s="43" t="str">
        <x:v>Unknown</x:v>
      </x:c>
      <x:c r="V153" s="43" t="str">
        <x:v>Unknown</x:v>
      </x:c>
      <x:c r="W153" s="43" t="str">
        <x:v>Unknown</x:v>
      </x:c>
      <x:c r="X153" s="43" t="str">
        <x:v>Unknown</x:v>
      </x:c>
      <x:c r="Y153" s="43" t="str">
        <x:v>Unknown</x:v>
      </x:c>
      <x:c r="Z153" s="43"/>
      <x:c r="AA153" s="43" t="str">
        <x:v>Excluded</x:v>
      </x:c>
      <x:c r="AB153" s="43" t="str">
        <x:v>No qualifying evidence source recorded</x:v>
      </x:c>
      <x:c r="AC153" s="43" t="str">
        <x:v>Excluded from Maya's elderly recommendation results because no source-backed elderly accessibility feature is recorded in the reviewed data. This does not mean the attraction is inaccessible.</x:v>
      </x:c>
      <x:c r="AD153" s="43" t="str">
        <x:v>2026-08-16</x:v>
      </x:c>
    </x:row>
    <x:row r="154" ht="60" customHeight="1">
      <x:c r="A154" s="16" t="s">
        <x:v>921</x:v>
      </x:c>
      <x:c r="B154" s="16" t="s">
        <x:v>922</x:v>
      </x:c>
      <x:c r="C154" s="16" t="s">
        <x:v>851</x:v>
      </x:c>
      <x:c r="D154" s="16" t="s">
        <x:v>879</x:v>
      </x:c>
      <x:c r="E154" s="16" t="s">
        <x:v>24</x:v>
      </x:c>
      <x:c r="F154" s="16" t="s">
        <x:v>121</x:v>
      </x:c>
      <x:c r="G154" s="16" t="s">
        <x:v>26</x:v>
      </x:c>
      <x:c r="H154" s="17" t="s">
        <x:v>923</x:v>
      </x:c>
      <x:c r="I154" s="17" t="s">
        <x:v>924</x:v>
      </x:c>
      <x:c r="J154" s="17" t="s">
        <x:v>925</x:v>
      </x:c>
      <x:c r="K154" s="17" t="s">
        <x:v>855</x:v>
      </x:c>
      <x:c r="L154" s="17" t="s">
        <x:v>111</x:v>
      </x:c>
      <x:c r="M154" s="17" t="s">
        <x:v>920</x:v>
      </x:c>
      <x:c r="N154" s="16"/>
      <x:c r="O154" s="18">
        <x:v>46249</x:v>
      </x:c>
      <x:c r="P154" s="19" t="s">
        <x:v>34</x:v>
      </x:c>
      <x:c r="Q154" s="17"/>
      <x:c r="R154" s="19" t="str">
        <x:f t="shared" si="2"/>
        <x:v>Discovery Link Only</x:v>
      </x:c>
      <x:c r="S154" s="43" t="str">
        <x:v>Unknown</x:v>
      </x:c>
      <x:c r="T154" s="43" t="str">
        <x:v>Unknown</x:v>
      </x:c>
      <x:c r="U154" s="43" t="str">
        <x:v>Unknown</x:v>
      </x:c>
      <x:c r="V154" s="43" t="str">
        <x:v>Unknown</x:v>
      </x:c>
      <x:c r="W154" s="43" t="str">
        <x:v>Unknown</x:v>
      </x:c>
      <x:c r="X154" s="43" t="str">
        <x:v>Unknown</x:v>
      </x:c>
      <x:c r="Y154" s="43" t="str">
        <x:v>Unknown</x:v>
      </x:c>
      <x:c r="Z154" s="43"/>
      <x:c r="AA154" s="43" t="str">
        <x:v>Excluded</x:v>
      </x:c>
      <x:c r="AB154" s="43" t="str">
        <x:v>No qualifying evidence source recorded</x:v>
      </x:c>
      <x:c r="AC154" s="43" t="str">
        <x:v>Excluded from Maya's elderly recommendation results because no source-backed elderly accessibility feature is recorded in the reviewed data. This does not mean the attraction is inaccessible.</x:v>
      </x:c>
      <x:c r="AD154" s="43" t="str">
        <x:v>2026-08-16</x:v>
      </x:c>
    </x:row>
    <x:row r="155" ht="60" customHeight="1">
      <x:c r="A155" s="16" t="s">
        <x:v>926</x:v>
      </x:c>
      <x:c r="B155" s="16" t="s">
        <x:v>927</x:v>
      </x:c>
      <x:c r="C155" s="16" t="s">
        <x:v>851</x:v>
      </x:c>
      <x:c r="D155" s="16" t="s">
        <x:v>928</x:v>
      </x:c>
      <x:c r="E155" s="16" t="s">
        <x:v>133</x:v>
      </x:c>
      <x:c r="F155" s="16" t="s">
        <x:v>107</x:v>
      </x:c>
      <x:c r="G155" s="16" t="s">
        <x:v>134</x:v>
      </x:c>
      <x:c r="H155" s="17" t="s">
        <x:v>929</x:v>
      </x:c>
      <x:c r="I155" s="17" t="s">
        <x:v>930</x:v>
      </x:c>
      <x:c r="J155" s="17" t="s">
        <x:v>931</x:v>
      </x:c>
      <x:c r="K155" s="17" t="s">
        <x:v>855</x:v>
      </x:c>
      <x:c r="L155" s="17" t="s">
        <x:v>111</x:v>
      </x:c>
      <x:c r="M155" s="17" t="s">
        <x:v>920</x:v>
      </x:c>
      <x:c r="N155" s="16"/>
      <x:c r="O155" s="18">
        <x:v>46249</x:v>
      </x:c>
      <x:c r="P155" s="19" t="s">
        <x:v>34</x:v>
      </x:c>
      <x:c r="Q155" s="17"/>
      <x:c r="R155" s="19" t="str">
        <x:f t="shared" si="2"/>
        <x:v>Discovery Link Only</x:v>
      </x:c>
      <x:c r="S155" s="43" t="str">
        <x:v>Unknown</x:v>
      </x:c>
      <x:c r="T155" s="43" t="str">
        <x:v>Unknown</x:v>
      </x:c>
      <x:c r="U155" s="43" t="str">
        <x:v>Unknown</x:v>
      </x:c>
      <x:c r="V155" s="43" t="str">
        <x:v>Unknown</x:v>
      </x:c>
      <x:c r="W155" s="43" t="str">
        <x:v>Unknown</x:v>
      </x:c>
      <x:c r="X155" s="43" t="str">
        <x:v>Unknown</x:v>
      </x:c>
      <x:c r="Y155" s="43" t="str">
        <x:v>Unknown</x:v>
      </x:c>
      <x:c r="Z155" s="43"/>
      <x:c r="AA155" s="43" t="str">
        <x:v>Excluded</x:v>
      </x:c>
      <x:c r="AB155" s="43" t="str">
        <x:v>No qualifying evidence source recorded</x:v>
      </x:c>
      <x:c r="AC155" s="43" t="str">
        <x:v>Excluded from Maya's elderly recommendation results because no source-backed elderly accessibility feature is recorded in the reviewed data. This does not mean the attraction is inaccessible.</x:v>
      </x:c>
      <x:c r="AD155" s="43" t="str">
        <x:v>2026-08-16</x:v>
      </x:c>
    </x:row>
    <x:row r="156" ht="60" customHeight="1">
      <x:c r="A156" s="16" t="s">
        <x:v>932</x:v>
      </x:c>
      <x:c r="B156" s="16" t="s">
        <x:v>933</x:v>
      </x:c>
      <x:c r="C156" s="16" t="s">
        <x:v>851</x:v>
      </x:c>
      <x:c r="D156" s="16" t="s">
        <x:v>928</x:v>
      </x:c>
      <x:c r="E156" s="16" t="s">
        <x:v>99</x:v>
      </x:c>
      <x:c r="F156" s="16" t="s">
        <x:v>127</x:v>
      </x:c>
      <x:c r="G156" s="16" t="s">
        <x:v>46</x:v>
      </x:c>
      <x:c r="H156" s="17" t="s">
        <x:v>934</x:v>
      </x:c>
      <x:c r="I156" s="17" t="s">
        <x:v>935</x:v>
      </x:c>
      <x:c r="J156" s="17" t="s">
        <x:v>936</x:v>
      </x:c>
      <x:c r="K156" s="17" t="s">
        <x:v>855</x:v>
      </x:c>
      <x:c r="L156" s="17" t="s">
        <x:v>111</x:v>
      </x:c>
      <x:c r="M156" s="17" t="s">
        <x:v>920</x:v>
      </x:c>
      <x:c r="N156" s="16"/>
      <x:c r="O156" s="18">
        <x:v>46249</x:v>
      </x:c>
      <x:c r="P156" s="19" t="s">
        <x:v>34</x:v>
      </x:c>
      <x:c r="Q156" s="17"/>
      <x:c r="R156" s="19" t="str">
        <x:f t="shared" si="2"/>
        <x:v>Discovery Link Only</x:v>
      </x:c>
      <x:c r="S156" s="43" t="str">
        <x:v>Unknown</x:v>
      </x:c>
      <x:c r="T156" s="43" t="str">
        <x:v>Unknown</x:v>
      </x:c>
      <x:c r="U156" s="43" t="str">
        <x:v>Unknown</x:v>
      </x:c>
      <x:c r="V156" s="43" t="str">
        <x:v>Unknown</x:v>
      </x:c>
      <x:c r="W156" s="43" t="str">
        <x:v>Unknown</x:v>
      </x:c>
      <x:c r="X156" s="43" t="str">
        <x:v>Unknown</x:v>
      </x:c>
      <x:c r="Y156" s="43" t="str">
        <x:v>Unknown</x:v>
      </x:c>
      <x:c r="Z156" s="43"/>
      <x:c r="AA156" s="43" t="str">
        <x:v>Excluded</x:v>
      </x:c>
      <x:c r="AB156" s="43" t="str">
        <x:v>No qualifying evidence source recorded</x:v>
      </x:c>
      <x:c r="AC156" s="43" t="str">
        <x:v>Excluded from Maya's elderly recommendation results because no source-backed elderly accessibility feature is recorded in the reviewed data. This does not mean the attraction is inaccessible.</x:v>
      </x:c>
      <x:c r="AD156" s="43" t="str">
        <x:v>2026-08-16</x:v>
      </x:c>
    </x:row>
    <x:row r="157" ht="60" customHeight="1">
      <x:c r="A157" s="16" t="s">
        <x:v>937</x:v>
      </x:c>
      <x:c r="B157" s="16" t="s">
        <x:v>938</x:v>
      </x:c>
      <x:c r="C157" s="16" t="s">
        <x:v>851</x:v>
      </x:c>
      <x:c r="D157" s="16" t="s">
        <x:v>939</x:v>
      </x:c>
      <x:c r="E157" s="16" t="s">
        <x:v>37</x:v>
      </x:c>
      <x:c r="F157" s="16" t="s">
        <x:v>107</x:v>
      </x:c>
      <x:c r="G157" s="16" t="s">
        <x:v>26</x:v>
      </x:c>
      <x:c r="H157" s="17" t="s">
        <x:v>940</x:v>
      </x:c>
      <x:c r="I157" s="17" t="s">
        <x:v>941</x:v>
      </x:c>
      <x:c r="J157" s="17" t="s">
        <x:v>942</x:v>
      </x:c>
      <x:c r="K157" s="17" t="s">
        <x:v>855</x:v>
      </x:c>
      <x:c r="L157" s="17" t="s">
        <x:v>111</x:v>
      </x:c>
      <x:c r="M157" s="17" t="s">
        <x:v>920</x:v>
      </x:c>
      <x:c r="N157" s="16"/>
      <x:c r="O157" s="18">
        <x:v>46249</x:v>
      </x:c>
      <x:c r="P157" s="19" t="s">
        <x:v>34</x:v>
      </x:c>
      <x:c r="Q157" s="17"/>
      <x:c r="R157" s="19" t="str">
        <x:f t="shared" si="2"/>
        <x:v>Discovery Link Only</x:v>
      </x:c>
      <x:c r="S157" s="43" t="str">
        <x:v>Unknown</x:v>
      </x:c>
      <x:c r="T157" s="43" t="str">
        <x:v>Unknown</x:v>
      </x:c>
      <x:c r="U157" s="43" t="str">
        <x:v>Unknown</x:v>
      </x:c>
      <x:c r="V157" s="43" t="str">
        <x:v>Unknown</x:v>
      </x:c>
      <x:c r="W157" s="43" t="str">
        <x:v>Unknown</x:v>
      </x:c>
      <x:c r="X157" s="43" t="str">
        <x:v>Unknown</x:v>
      </x:c>
      <x:c r="Y157" s="43" t="str">
        <x:v>Unknown</x:v>
      </x:c>
      <x:c r="Z157" s="43"/>
      <x:c r="AA157" s="43" t="str">
        <x:v>Excluded</x:v>
      </x:c>
      <x:c r="AB157" s="43" t="str">
        <x:v>No qualifying evidence source recorded</x:v>
      </x:c>
      <x:c r="AC157" s="43" t="str">
        <x:v>Excluded from Maya's elderly recommendation results because no source-backed elderly accessibility feature is recorded in the reviewed data. This does not mean the attraction is inaccessible.</x:v>
      </x:c>
      <x:c r="AD157" s="43" t="str">
        <x:v>2026-08-16</x:v>
      </x:c>
    </x:row>
    <x:row r="158" ht="60" customHeight="1">
      <x:c r="A158" s="16" t="s">
        <x:v>943</x:v>
      </x:c>
      <x:c r="B158" s="16" t="s">
        <x:v>944</x:v>
      </x:c>
      <x:c r="C158" s="16" t="s">
        <x:v>851</x:v>
      </x:c>
      <x:c r="D158" s="16" t="s">
        <x:v>945</x:v>
      </x:c>
      <x:c r="E158" s="16" t="s">
        <x:v>45</x:v>
      </x:c>
      <x:c r="F158" s="16" t="s">
        <x:v>194</x:v>
      </x:c>
      <x:c r="G158" s="16" t="s">
        <x:v>26</x:v>
      </x:c>
      <x:c r="H158" s="17" t="s">
        <x:v>946</x:v>
      </x:c>
      <x:c r="I158" s="17" t="s">
        <x:v>947</x:v>
      </x:c>
      <x:c r="J158" s="17" t="s">
        <x:v>948</x:v>
      </x:c>
      <x:c r="K158" s="17" t="s">
        <x:v>855</x:v>
      </x:c>
      <x:c r="L158" s="17" t="s">
        <x:v>111</x:v>
      </x:c>
      <x:c r="M158" s="17" t="s">
        <x:v>920</x:v>
      </x:c>
      <x:c r="N158" s="16"/>
      <x:c r="O158" s="18">
        <x:v>46249</x:v>
      </x:c>
      <x:c r="P158" s="19" t="s">
        <x:v>34</x:v>
      </x:c>
      <x:c r="Q158" s="17"/>
      <x:c r="R158" s="19" t="str">
        <x:f t="shared" si="2"/>
        <x:v>Discovery Link Only</x:v>
      </x:c>
      <x:c r="S158" s="43" t="str">
        <x:v>Unknown</x:v>
      </x:c>
      <x:c r="T158" s="43" t="str">
        <x:v>Unknown</x:v>
      </x:c>
      <x:c r="U158" s="43" t="str">
        <x:v>Unknown</x:v>
      </x:c>
      <x:c r="V158" s="43" t="str">
        <x:v>Unknown</x:v>
      </x:c>
      <x:c r="W158" s="43" t="str">
        <x:v>Unknown</x:v>
      </x:c>
      <x:c r="X158" s="43" t="str">
        <x:v>Unknown</x:v>
      </x:c>
      <x:c r="Y158" s="43" t="str">
        <x:v>Unknown</x:v>
      </x:c>
      <x:c r="Z158" s="43"/>
      <x:c r="AA158" s="43" t="str">
        <x:v>Excluded</x:v>
      </x:c>
      <x:c r="AB158" s="43" t="str">
        <x:v>No qualifying evidence source recorded</x:v>
      </x:c>
      <x:c r="AC158" s="43" t="str">
        <x:v>Excluded from Maya's elderly recommendation results because no source-backed elderly accessibility feature is recorded in the reviewed data. This does not mean the attraction is inaccessible.</x:v>
      </x:c>
      <x:c r="AD158" s="43" t="str">
        <x:v>2026-08-16</x:v>
      </x:c>
    </x:row>
    <x:row r="159" ht="60" customHeight="1">
      <x:c r="A159" s="16" t="s">
        <x:v>949</x:v>
      </x:c>
      <x:c r="B159" s="16" t="s">
        <x:v>950</x:v>
      </x:c>
      <x:c r="C159" s="16" t="s">
        <x:v>851</x:v>
      </x:c>
      <x:c r="D159" s="16" t="s">
        <x:v>945</x:v>
      </x:c>
      <x:c r="E159" s="16" t="s">
        <x:v>72</x:v>
      </x:c>
      <x:c r="F159" s="16" t="s">
        <x:v>127</x:v>
      </x:c>
      <x:c r="G159" s="16" t="s">
        <x:v>26</x:v>
      </x:c>
      <x:c r="H159" s="17" t="s">
        <x:v>951</x:v>
      </x:c>
      <x:c r="I159" s="17" t="s">
        <x:v>952</x:v>
      </x:c>
      <x:c r="J159" s="17" t="s">
        <x:v>953</x:v>
      </x:c>
      <x:c r="K159" s="17" t="s">
        <x:v>855</x:v>
      </x:c>
      <x:c r="L159" s="17" t="s">
        <x:v>111</x:v>
      </x:c>
      <x:c r="M159" s="17" t="s">
        <x:v>920</x:v>
      </x:c>
      <x:c r="N159" s="16"/>
      <x:c r="O159" s="18">
        <x:v>46249</x:v>
      </x:c>
      <x:c r="P159" s="19" t="s">
        <x:v>34</x:v>
      </x:c>
      <x:c r="Q159" s="17"/>
      <x:c r="R159" s="19" t="str">
        <x:f t="shared" si="2"/>
        <x:v>Discovery Link Only</x:v>
      </x:c>
      <x:c r="S159" s="43" t="str">
        <x:v>Unknown</x:v>
      </x:c>
      <x:c r="T159" s="43" t="str">
        <x:v>Unknown</x:v>
      </x:c>
      <x:c r="U159" s="43" t="str">
        <x:v>Unknown</x:v>
      </x:c>
      <x:c r="V159" s="43" t="str">
        <x:v>Unknown</x:v>
      </x:c>
      <x:c r="W159" s="43" t="str">
        <x:v>Unknown</x:v>
      </x:c>
      <x:c r="X159" s="43" t="str">
        <x:v>Unknown</x:v>
      </x:c>
      <x:c r="Y159" s="43" t="str">
        <x:v>Unknown</x:v>
      </x:c>
      <x:c r="Z159" s="43"/>
      <x:c r="AA159" s="43" t="str">
        <x:v>Excluded</x:v>
      </x:c>
      <x:c r="AB159" s="43" t="str">
        <x:v>No qualifying evidence source recorded</x:v>
      </x:c>
      <x:c r="AC159" s="43" t="str">
        <x:v>Excluded from Maya's elderly recommendation results because no source-backed elderly accessibility feature is recorded in the reviewed data. This does not mean the attraction is inaccessible.</x:v>
      </x:c>
      <x:c r="AD159" s="43" t="str">
        <x:v>2026-08-16</x:v>
      </x:c>
    </x:row>
    <x:row r="160" ht="60" customHeight="1">
      <x:c r="A160" s="16" t="s">
        <x:v>954</x:v>
      </x:c>
      <x:c r="B160" s="16" t="s">
        <x:v>955</x:v>
      </x:c>
      <x:c r="C160" s="16" t="s">
        <x:v>851</x:v>
      </x:c>
      <x:c r="D160" s="16" t="s">
        <x:v>956</x:v>
      </x:c>
      <x:c r="E160" s="16" t="s">
        <x:v>37</x:v>
      </x:c>
      <x:c r="F160" s="16" t="s">
        <x:v>121</x:v>
      </x:c>
      <x:c r="G160" s="16" t="s">
        <x:v>26</x:v>
      </x:c>
      <x:c r="H160" s="17" t="s">
        <x:v>957</x:v>
      </x:c>
      <x:c r="I160" s="17" t="s">
        <x:v>958</x:v>
      </x:c>
      <x:c r="J160" s="17" t="s">
        <x:v>959</x:v>
      </x:c>
      <x:c r="K160" s="17" t="s">
        <x:v>855</x:v>
      </x:c>
      <x:c r="L160" s="17" t="s">
        <x:v>111</x:v>
      </x:c>
      <x:c r="M160" s="17" t="s">
        <x:v>920</x:v>
      </x:c>
      <x:c r="N160" s="16"/>
      <x:c r="O160" s="18">
        <x:v>46249</x:v>
      </x:c>
      <x:c r="P160" s="19" t="s">
        <x:v>34</x:v>
      </x:c>
      <x:c r="Q160" s="17"/>
      <x:c r="R160" s="19" t="str">
        <x:f t="shared" si="2"/>
        <x:v>Discovery Link Only</x:v>
      </x:c>
      <x:c r="S160" s="43" t="str">
        <x:v>Unknown</x:v>
      </x:c>
      <x:c r="T160" s="43" t="str">
        <x:v>Unknown</x:v>
      </x:c>
      <x:c r="U160" s="43" t="str">
        <x:v>Unknown</x:v>
      </x:c>
      <x:c r="V160" s="43" t="str">
        <x:v>Unknown</x:v>
      </x:c>
      <x:c r="W160" s="43" t="str">
        <x:v>Unknown</x:v>
      </x:c>
      <x:c r="X160" s="43" t="str">
        <x:v>Unknown</x:v>
      </x:c>
      <x:c r="Y160" s="43" t="str">
        <x:v>Unknown</x:v>
      </x:c>
      <x:c r="Z160" s="43"/>
      <x:c r="AA160" s="43" t="str">
        <x:v>Excluded</x:v>
      </x:c>
      <x:c r="AB160" s="43" t="str">
        <x:v>No qualifying evidence source recorded</x:v>
      </x:c>
      <x:c r="AC160" s="43" t="str">
        <x:v>Excluded from Maya's elderly recommendation results because no source-backed elderly accessibility feature is recorded in the reviewed data. This does not mean the attraction is inaccessible.</x:v>
      </x:c>
      <x:c r="AD160" s="43" t="str">
        <x:v>2026-08-16</x:v>
      </x:c>
    </x:row>
    <x:row r="161" ht="60" customHeight="1">
      <x:c r="A161" s="16" t="s">
        <x:v>960</x:v>
      </x:c>
      <x:c r="B161" s="16" t="s">
        <x:v>961</x:v>
      </x:c>
      <x:c r="C161" s="16" t="s">
        <x:v>851</x:v>
      </x:c>
      <x:c r="D161" s="16" t="s">
        <x:v>956</x:v>
      </x:c>
      <x:c r="E161" s="16" t="s">
        <x:v>45</x:v>
      </x:c>
      <x:c r="F161" s="16" t="s">
        <x:v>127</x:v>
      </x:c>
      <x:c r="G161" s="16" t="s">
        <x:v>26</x:v>
      </x:c>
      <x:c r="H161" s="17" t="s">
        <x:v>962</x:v>
      </x:c>
      <x:c r="I161" s="17" t="s">
        <x:v>963</x:v>
      </x:c>
      <x:c r="J161" s="17" t="s">
        <x:v>964</x:v>
      </x:c>
      <x:c r="K161" s="17" t="s">
        <x:v>855</x:v>
      </x:c>
      <x:c r="L161" s="17" t="s">
        <x:v>111</x:v>
      </x:c>
      <x:c r="M161" s="17" t="s">
        <x:v>920</x:v>
      </x:c>
      <x:c r="N161" s="16"/>
      <x:c r="O161" s="18">
        <x:v>46249</x:v>
      </x:c>
      <x:c r="P161" s="19" t="s">
        <x:v>34</x:v>
      </x:c>
      <x:c r="Q161" s="17"/>
      <x:c r="R161" s="19" t="str">
        <x:f t="shared" si="2"/>
        <x:v>Discovery Link Only</x:v>
      </x:c>
      <x:c r="S161" s="43" t="str">
        <x:v>Unknown</x:v>
      </x:c>
      <x:c r="T161" s="43" t="str">
        <x:v>Unknown</x:v>
      </x:c>
      <x:c r="U161" s="43" t="str">
        <x:v>Unknown</x:v>
      </x:c>
      <x:c r="V161" s="43" t="str">
        <x:v>Unknown</x:v>
      </x:c>
      <x:c r="W161" s="43" t="str">
        <x:v>Unknown</x:v>
      </x:c>
      <x:c r="X161" s="43" t="str">
        <x:v>Unknown</x:v>
      </x:c>
      <x:c r="Y161" s="43" t="str">
        <x:v>Unknown</x:v>
      </x:c>
      <x:c r="Z161" s="43"/>
      <x:c r="AA161" s="43" t="str">
        <x:v>Excluded</x:v>
      </x:c>
      <x:c r="AB161" s="43" t="str">
        <x:v>No qualifying evidence source recorded</x:v>
      </x:c>
      <x:c r="AC161" s="43" t="str">
        <x:v>Excluded from Maya's elderly recommendation results because no source-backed elderly accessibility feature is recorded in the reviewed data. This does not mean the attraction is inaccessible.</x:v>
      </x:c>
      <x:c r="AD161" s="43" t="str">
        <x:v>2026-08-16</x:v>
      </x:c>
    </x:row>
    <x:row r="162" ht="60" customHeight="1">
      <x:c r="A162" s="16" t="s">
        <x:v>965</x:v>
      </x:c>
      <x:c r="B162" s="16" t="s">
        <x:v>966</x:v>
      </x:c>
      <x:c r="C162" s="16" t="s">
        <x:v>851</x:v>
      </x:c>
      <x:c r="D162" s="16" t="s">
        <x:v>865</x:v>
      </x:c>
      <x:c r="E162" s="16" t="s">
        <x:v>45</x:v>
      </x:c>
      <x:c r="F162" s="16" t="s">
        <x:v>107</x:v>
      </x:c>
      <x:c r="G162" s="16" t="s">
        <x:v>26</x:v>
      </x:c>
      <x:c r="H162" s="17" t="s">
        <x:v>967</x:v>
      </x:c>
      <x:c r="I162" s="17" t="s">
        <x:v>968</x:v>
      </x:c>
      <x:c r="J162" s="17" t="s">
        <x:v>969</x:v>
      </x:c>
      <x:c r="K162" s="17" t="s">
        <x:v>855</x:v>
      </x:c>
      <x:c r="L162" s="17" t="s">
        <x:v>111</x:v>
      </x:c>
      <x:c r="M162" s="17" t="s">
        <x:v>920</x:v>
      </x:c>
      <x:c r="N162" s="16"/>
      <x:c r="O162" s="18">
        <x:v>46249</x:v>
      </x:c>
      <x:c r="P162" s="19" t="s">
        <x:v>34</x:v>
      </x:c>
      <x:c r="Q162" s="17"/>
      <x:c r="R162" s="19" t="str">
        <x:f t="shared" si="2"/>
        <x:v>Discovery Link Only</x:v>
      </x:c>
      <x:c r="S162" s="43" t="str">
        <x:v>Unknown</x:v>
      </x:c>
      <x:c r="T162" s="43" t="str">
        <x:v>Unknown</x:v>
      </x:c>
      <x:c r="U162" s="43" t="str">
        <x:v>Unknown</x:v>
      </x:c>
      <x:c r="V162" s="43" t="str">
        <x:v>Unknown</x:v>
      </x:c>
      <x:c r="W162" s="43" t="str">
        <x:v>Unknown</x:v>
      </x:c>
      <x:c r="X162" s="43" t="str">
        <x:v>Unknown</x:v>
      </x:c>
      <x:c r="Y162" s="43" t="str">
        <x:v>Unknown</x:v>
      </x:c>
      <x:c r="Z162" s="43"/>
      <x:c r="AA162" s="43" t="str">
        <x:v>Excluded</x:v>
      </x:c>
      <x:c r="AB162" s="43" t="str">
        <x:v>No qualifying evidence source recorded</x:v>
      </x:c>
      <x:c r="AC162" s="43" t="str">
        <x:v>Excluded from Maya's elderly recommendation results because no source-backed elderly accessibility feature is recorded in the reviewed data. This does not mean the attraction is inaccessible.</x:v>
      </x:c>
      <x:c r="AD162" s="43" t="str">
        <x:v>2026-08-16</x:v>
      </x:c>
    </x:row>
    <x:row r="163" ht="60" customHeight="1">
      <x:c r="A163" s="16" t="s">
        <x:v>970</x:v>
      </x:c>
      <x:c r="B163" s="16" t="s">
        <x:v>971</x:v>
      </x:c>
      <x:c r="C163" s="16" t="s">
        <x:v>851</x:v>
      </x:c>
      <x:c r="D163" s="16" t="s">
        <x:v>865</x:v>
      </x:c>
      <x:c r="E163" s="16" t="s">
        <x:v>251</x:v>
      </x:c>
      <x:c r="F163" s="16" t="s">
        <x:v>107</x:v>
      </x:c>
      <x:c r="G163" s="16" t="s">
        <x:v>26</x:v>
      </x:c>
      <x:c r="H163" s="17" t="s">
        <x:v>972</x:v>
      </x:c>
      <x:c r="I163" s="17" t="s">
        <x:v>973</x:v>
      </x:c>
      <x:c r="J163" s="17" t="s">
        <x:v>974</x:v>
      </x:c>
      <x:c r="K163" s="17" t="s">
        <x:v>855</x:v>
      </x:c>
      <x:c r="L163" s="17" t="s">
        <x:v>111</x:v>
      </x:c>
      <x:c r="M163" s="17" t="s">
        <x:v>920</x:v>
      </x:c>
      <x:c r="N163" s="16"/>
      <x:c r="O163" s="18">
        <x:v>46249</x:v>
      </x:c>
      <x:c r="P163" s="19" t="s">
        <x:v>34</x:v>
      </x:c>
      <x:c r="Q163" s="17"/>
      <x:c r="R163" s="19" t="str">
        <x:f t="shared" si="2"/>
        <x:v>Discovery Link Only</x:v>
      </x:c>
      <x:c r="S163" s="43" t="str">
        <x:v>Unknown</x:v>
      </x:c>
      <x:c r="T163" s="43" t="str">
        <x:v>Unknown</x:v>
      </x:c>
      <x:c r="U163" s="43" t="str">
        <x:v>Unknown</x:v>
      </x:c>
      <x:c r="V163" s="43" t="str">
        <x:v>Unknown</x:v>
      </x:c>
      <x:c r="W163" s="43" t="str">
        <x:v>Unknown</x:v>
      </x:c>
      <x:c r="X163" s="43" t="str">
        <x:v>Unknown</x:v>
      </x:c>
      <x:c r="Y163" s="43" t="str">
        <x:v>Unknown</x:v>
      </x:c>
      <x:c r="Z163" s="43"/>
      <x:c r="AA163" s="43" t="str">
        <x:v>Excluded</x:v>
      </x:c>
      <x:c r="AB163" s="43" t="str">
        <x:v>No qualifying evidence source recorded</x:v>
      </x:c>
      <x:c r="AC163" s="43" t="str">
        <x:v>Excluded from Maya's elderly recommendation results because no source-backed elderly accessibility feature is recorded in the reviewed data. This does not mean the attraction is inaccessible.</x:v>
      </x:c>
      <x:c r="AD163" s="43" t="str">
        <x:v>2026-08-16</x:v>
      </x:c>
    </x:row>
    <x:row r="164" ht="60" customHeight="1">
      <x:c r="A164" s="16" t="s">
        <x:v>975</x:v>
      </x:c>
      <x:c r="B164" s="16" t="s">
        <x:v>976</x:v>
      </x:c>
      <x:c r="C164" s="16" t="s">
        <x:v>851</x:v>
      </x:c>
      <x:c r="D164" s="16" t="s">
        <x:v>865</x:v>
      </x:c>
      <x:c r="E164" s="16" t="s">
        <x:v>45</x:v>
      </x:c>
      <x:c r="F164" s="16" t="s">
        <x:v>127</x:v>
      </x:c>
      <x:c r="G164" s="16" t="s">
        <x:v>26</x:v>
      </x:c>
      <x:c r="H164" s="17" t="s">
        <x:v>977</x:v>
      </x:c>
      <x:c r="I164" s="17" t="s">
        <x:v>978</x:v>
      </x:c>
      <x:c r="J164" s="17" t="s">
        <x:v>979</x:v>
      </x:c>
      <x:c r="K164" s="17" t="s">
        <x:v>855</x:v>
      </x:c>
      <x:c r="L164" s="17" t="s">
        <x:v>111</x:v>
      </x:c>
      <x:c r="M164" s="17" t="s">
        <x:v>920</x:v>
      </x:c>
      <x:c r="N164" s="16"/>
      <x:c r="O164" s="18">
        <x:v>46249</x:v>
      </x:c>
      <x:c r="P164" s="19" t="s">
        <x:v>34</x:v>
      </x:c>
      <x:c r="Q164" s="17"/>
      <x:c r="R164" s="19" t="str">
        <x:f t="shared" si="2"/>
        <x:v>Discovery Link Only</x:v>
      </x:c>
      <x:c r="S164" s="43" t="str">
        <x:v>Unknown</x:v>
      </x:c>
      <x:c r="T164" s="43" t="str">
        <x:v>Unknown</x:v>
      </x:c>
      <x:c r="U164" s="43" t="str">
        <x:v>Unknown</x:v>
      </x:c>
      <x:c r="V164" s="43" t="str">
        <x:v>Unknown</x:v>
      </x:c>
      <x:c r="W164" s="43" t="str">
        <x:v>Unknown</x:v>
      </x:c>
      <x:c r="X164" s="43" t="str">
        <x:v>Unknown</x:v>
      </x:c>
      <x:c r="Y164" s="43" t="str">
        <x:v>Unknown</x:v>
      </x:c>
      <x:c r="Z164" s="43"/>
      <x:c r="AA164" s="43" t="str">
        <x:v>Excluded</x:v>
      </x:c>
      <x:c r="AB164" s="43" t="str">
        <x:v>No qualifying evidence source recorded</x:v>
      </x:c>
      <x:c r="AC164" s="43" t="str">
        <x:v>Excluded from Maya's elderly recommendation results because no source-backed elderly accessibility feature is recorded in the reviewed data. This does not mean the attraction is inaccessible.</x:v>
      </x:c>
      <x:c r="AD164" s="43" t="str">
        <x:v>2026-08-16</x:v>
      </x:c>
    </x:row>
    <x:row r="165" ht="60" customHeight="1">
      <x:c r="A165" s="16" t="s">
        <x:v>980</x:v>
      </x:c>
      <x:c r="B165" s="16" t="s">
        <x:v>981</x:v>
      </x:c>
      <x:c r="C165" s="16" t="s">
        <x:v>851</x:v>
      </x:c>
      <x:c r="D165" s="16" t="s">
        <x:v>982</x:v>
      </x:c>
      <x:c r="E165" s="16" t="s">
        <x:v>37</x:v>
      </x:c>
      <x:c r="F165" s="16" t="s">
        <x:v>107</x:v>
      </x:c>
      <x:c r="G165" s="16" t="s">
        <x:v>26</x:v>
      </x:c>
      <x:c r="H165" s="17" t="s">
        <x:v>983</x:v>
      </x:c>
      <x:c r="I165" s="17" t="s">
        <x:v>984</x:v>
      </x:c>
      <x:c r="J165" s="17" t="s">
        <x:v>985</x:v>
      </x:c>
      <x:c r="K165" s="17" t="s">
        <x:v>855</x:v>
      </x:c>
      <x:c r="L165" s="17" t="s">
        <x:v>111</x:v>
      </x:c>
      <x:c r="M165" s="17" t="s">
        <x:v>920</x:v>
      </x:c>
      <x:c r="N165" s="16"/>
      <x:c r="O165" s="18">
        <x:v>46249</x:v>
      </x:c>
      <x:c r="P165" s="19" t="s">
        <x:v>34</x:v>
      </x:c>
      <x:c r="Q165" s="17"/>
      <x:c r="R165" s="19" t="str">
        <x:f t="shared" si="2"/>
        <x:v>Discovery Link Only</x:v>
      </x:c>
      <x:c r="S165" s="43" t="str">
        <x:v>Unknown</x:v>
      </x:c>
      <x:c r="T165" s="43" t="str">
        <x:v>Unknown</x:v>
      </x:c>
      <x:c r="U165" s="43" t="str">
        <x:v>Unknown</x:v>
      </x:c>
      <x:c r="V165" s="43" t="str">
        <x:v>Unknown</x:v>
      </x:c>
      <x:c r="W165" s="43" t="str">
        <x:v>Unknown</x:v>
      </x:c>
      <x:c r="X165" s="43" t="str">
        <x:v>Unknown</x:v>
      </x:c>
      <x:c r="Y165" s="43" t="str">
        <x:v>Unknown</x:v>
      </x:c>
      <x:c r="Z165" s="43"/>
      <x:c r="AA165" s="43" t="str">
        <x:v>Excluded</x:v>
      </x:c>
      <x:c r="AB165" s="43" t="str">
        <x:v>No qualifying evidence source recorded</x:v>
      </x:c>
      <x:c r="AC165" s="43" t="str">
        <x:v>Excluded from Maya's elderly recommendation results because no source-backed elderly accessibility feature is recorded in the reviewed data. This does not mean the attraction is inaccessible.</x:v>
      </x:c>
      <x:c r="AD165" s="43" t="str">
        <x:v>2026-08-16</x:v>
      </x:c>
    </x:row>
    <x:row r="166" ht="60" customHeight="1">
      <x:c r="A166" s="16" t="s">
        <x:v>986</x:v>
      </x:c>
      <x:c r="B166" s="16" t="s">
        <x:v>987</x:v>
      </x:c>
      <x:c r="C166" s="16" t="s">
        <x:v>851</x:v>
      </x:c>
      <x:c r="D166" s="16" t="s">
        <x:v>982</x:v>
      </x:c>
      <x:c r="E166" s="16" t="s">
        <x:v>37</x:v>
      </x:c>
      <x:c r="F166" s="16" t="s">
        <x:v>121</x:v>
      </x:c>
      <x:c r="G166" s="16" t="s">
        <x:v>26</x:v>
      </x:c>
      <x:c r="H166" s="17" t="s">
        <x:v>988</x:v>
      </x:c>
      <x:c r="I166" s="17" t="s">
        <x:v>989</x:v>
      </x:c>
      <x:c r="J166" s="17" t="s">
        <x:v>990</x:v>
      </x:c>
      <x:c r="K166" s="17" t="s">
        <x:v>855</x:v>
      </x:c>
      <x:c r="L166" s="17" t="s">
        <x:v>111</x:v>
      </x:c>
      <x:c r="M166" s="17" t="s">
        <x:v>920</x:v>
      </x:c>
      <x:c r="N166" s="16"/>
      <x:c r="O166" s="18">
        <x:v>46249</x:v>
      </x:c>
      <x:c r="P166" s="19" t="s">
        <x:v>34</x:v>
      </x:c>
      <x:c r="Q166" s="17"/>
      <x:c r="R166" s="19" t="str">
        <x:f t="shared" si="2"/>
        <x:v>Discovery Link Only</x:v>
      </x:c>
      <x:c r="S166" s="43" t="str">
        <x:v>Unknown</x:v>
      </x:c>
      <x:c r="T166" s="43" t="str">
        <x:v>Unknown</x:v>
      </x:c>
      <x:c r="U166" s="43" t="str">
        <x:v>Unknown</x:v>
      </x:c>
      <x:c r="V166" s="43" t="str">
        <x:v>Unknown</x:v>
      </x:c>
      <x:c r="W166" s="43" t="str">
        <x:v>Unknown</x:v>
      </x:c>
      <x:c r="X166" s="43" t="str">
        <x:v>Unknown</x:v>
      </x:c>
      <x:c r="Y166" s="43" t="str">
        <x:v>Unknown</x:v>
      </x:c>
      <x:c r="Z166" s="43"/>
      <x:c r="AA166" s="43" t="str">
        <x:v>Excluded</x:v>
      </x:c>
      <x:c r="AB166" s="43" t="str">
        <x:v>No qualifying evidence source recorded</x:v>
      </x:c>
      <x:c r="AC166" s="43" t="str">
        <x:v>Excluded from Maya's elderly recommendation results because no source-backed elderly accessibility feature is recorded in the reviewed data. This does not mean the attraction is inaccessible.</x:v>
      </x:c>
      <x:c r="AD166" s="43" t="str">
        <x:v>2026-08-16</x:v>
      </x:c>
    </x:row>
    <x:row r="167" ht="60" customHeight="1">
      <x:c r="A167" s="16" t="s">
        <x:v>991</x:v>
      </x:c>
      <x:c r="B167" s="16" t="s">
        <x:v>992</x:v>
      </x:c>
      <x:c r="C167" s="16" t="s">
        <x:v>851</x:v>
      </x:c>
      <x:c r="D167" s="16" t="s">
        <x:v>899</x:v>
      </x:c>
      <x:c r="E167" s="16" t="s">
        <x:v>45</x:v>
      </x:c>
      <x:c r="F167" s="16" t="s">
        <x:v>107</x:v>
      </x:c>
      <x:c r="G167" s="16" t="s">
        <x:v>26</x:v>
      </x:c>
      <x:c r="H167" s="17" t="s">
        <x:v>244</x:v>
      </x:c>
      <x:c r="I167" s="17" t="s">
        <x:v>993</x:v>
      </x:c>
      <x:c r="J167" s="17" t="s">
        <x:v>994</x:v>
      </x:c>
      <x:c r="K167" s="17" t="s">
        <x:v>855</x:v>
      </x:c>
      <x:c r="L167" s="17" t="s">
        <x:v>111</x:v>
      </x:c>
      <x:c r="M167" s="17" t="s">
        <x:v>920</x:v>
      </x:c>
      <x:c r="N167" s="16"/>
      <x:c r="O167" s="18">
        <x:v>46249</x:v>
      </x:c>
      <x:c r="P167" s="19" t="s">
        <x:v>34</x:v>
      </x:c>
      <x:c r="Q167" s="17"/>
      <x:c r="R167" s="19" t="str">
        <x:f t="shared" si="2"/>
        <x:v>Discovery Link Only</x:v>
      </x:c>
      <x:c r="S167" s="43" t="str">
        <x:v>Unknown</x:v>
      </x:c>
      <x:c r="T167" s="43" t="str">
        <x:v>Unknown</x:v>
      </x:c>
      <x:c r="U167" s="43" t="str">
        <x:v>Unknown</x:v>
      </x:c>
      <x:c r="V167" s="43" t="str">
        <x:v>Unknown</x:v>
      </x:c>
      <x:c r="W167" s="43" t="str">
        <x:v>Unknown</x:v>
      </x:c>
      <x:c r="X167" s="43" t="str">
        <x:v>Unknown</x:v>
      </x:c>
      <x:c r="Y167" s="43" t="str">
        <x:v>Unknown</x:v>
      </x:c>
      <x:c r="Z167" s="43"/>
      <x:c r="AA167" s="43" t="str">
        <x:v>Excluded</x:v>
      </x:c>
      <x:c r="AB167" s="43" t="str">
        <x:v>No qualifying evidence source recorded</x:v>
      </x:c>
      <x:c r="AC167" s="43" t="str">
        <x:v>Excluded from Maya's elderly recommendation results because no source-backed elderly accessibility feature is recorded in the reviewed data. This does not mean the attraction is inaccessible.</x:v>
      </x:c>
      <x:c r="AD167" s="43" t="str">
        <x:v>2026-08-16</x:v>
      </x:c>
    </x:row>
    <x:row r="168" ht="60" customHeight="1">
      <x:c r="A168" s="16" t="s">
        <x:v>995</x:v>
      </x:c>
      <x:c r="B168" s="16" t="s">
        <x:v>996</x:v>
      </x:c>
      <x:c r="C168" s="16" t="s">
        <x:v>851</x:v>
      </x:c>
      <x:c r="D168" s="16" t="s">
        <x:v>899</x:v>
      </x:c>
      <x:c r="E168" s="16" t="s">
        <x:v>140</x:v>
      </x:c>
      <x:c r="F168" s="16" t="s">
        <x:v>121</x:v>
      </x:c>
      <x:c r="G168" s="16" t="s">
        <x:v>46</x:v>
      </x:c>
      <x:c r="H168" s="17" t="s">
        <x:v>997</x:v>
      </x:c>
      <x:c r="I168" s="17" t="s">
        <x:v>998</x:v>
      </x:c>
      <x:c r="J168" s="17" t="s">
        <x:v>999</x:v>
      </x:c>
      <x:c r="K168" s="17" t="s">
        <x:v>855</x:v>
      </x:c>
      <x:c r="L168" s="17" t="s">
        <x:v>111</x:v>
      </x:c>
      <x:c r="M168" s="17" t="s">
        <x:v>920</x:v>
      </x:c>
      <x:c r="N168" s="16"/>
      <x:c r="O168" s="18">
        <x:v>46249</x:v>
      </x:c>
      <x:c r="P168" s="19" t="s">
        <x:v>34</x:v>
      </x:c>
      <x:c r="Q168" s="17"/>
      <x:c r="R168" s="19" t="str">
        <x:f t="shared" si="2"/>
        <x:v>Discovery Link Only</x:v>
      </x:c>
      <x:c r="S168" s="43" t="str">
        <x:v>Unknown</x:v>
      </x:c>
      <x:c r="T168" s="43" t="str">
        <x:v>Unknown</x:v>
      </x:c>
      <x:c r="U168" s="43" t="str">
        <x:v>Unknown</x:v>
      </x:c>
      <x:c r="V168" s="43" t="str">
        <x:v>Unknown</x:v>
      </x:c>
      <x:c r="W168" s="43" t="str">
        <x:v>Unknown</x:v>
      </x:c>
      <x:c r="X168" s="43" t="str">
        <x:v>Unknown</x:v>
      </x:c>
      <x:c r="Y168" s="43" t="str">
        <x:v>Unknown</x:v>
      </x:c>
      <x:c r="Z168" s="43"/>
      <x:c r="AA168" s="43" t="str">
        <x:v>Excluded</x:v>
      </x:c>
      <x:c r="AB168" s="43" t="str">
        <x:v>No qualifying evidence source recorded</x:v>
      </x:c>
      <x:c r="AC168" s="43" t="str">
        <x:v>Excluded from Maya's elderly recommendation results because no source-backed elderly accessibility feature is recorded in the reviewed data. This does not mean the attraction is inaccessible.</x:v>
      </x:c>
      <x:c r="AD168" s="43" t="str">
        <x:v>2026-08-16</x:v>
      </x:c>
    </x:row>
    <x:row r="169" ht="60" customHeight="1">
      <x:c r="A169" s="16" t="s">
        <x:v>1000</x:v>
      </x:c>
      <x:c r="B169" s="16" t="s">
        <x:v>1001</x:v>
      </x:c>
      <x:c r="C169" s="16" t="s">
        <x:v>851</x:v>
      </x:c>
      <x:c r="D169" s="16" t="s">
        <x:v>872</x:v>
      </x:c>
      <x:c r="E169" s="16" t="s">
        <x:v>45</x:v>
      </x:c>
      <x:c r="F169" s="16" t="s">
        <x:v>107</x:v>
      </x:c>
      <x:c r="G169" s="16" t="s">
        <x:v>26</x:v>
      </x:c>
      <x:c r="H169" s="17" t="s">
        <x:v>1002</x:v>
      </x:c>
      <x:c r="I169" s="17" t="s">
        <x:v>1003</x:v>
      </x:c>
      <x:c r="J169" s="17" t="s">
        <x:v>1004</x:v>
      </x:c>
      <x:c r="K169" s="17" t="s">
        <x:v>855</x:v>
      </x:c>
      <x:c r="L169" s="17" t="s">
        <x:v>111</x:v>
      </x:c>
      <x:c r="M169" s="17" t="s">
        <x:v>920</x:v>
      </x:c>
      <x:c r="N169" s="16"/>
      <x:c r="O169" s="18">
        <x:v>46249</x:v>
      </x:c>
      <x:c r="P169" s="19" t="s">
        <x:v>34</x:v>
      </x:c>
      <x:c r="Q169" s="17"/>
      <x:c r="R169" s="19" t="str">
        <x:f t="shared" si="2"/>
        <x:v>Discovery Link Only</x:v>
      </x:c>
      <x:c r="S169" s="43" t="str">
        <x:v>Unknown</x:v>
      </x:c>
      <x:c r="T169" s="43" t="str">
        <x:v>Unknown</x:v>
      </x:c>
      <x:c r="U169" s="43" t="str">
        <x:v>Unknown</x:v>
      </x:c>
      <x:c r="V169" s="43" t="str">
        <x:v>Unknown</x:v>
      </x:c>
      <x:c r="W169" s="43" t="str">
        <x:v>Unknown</x:v>
      </x:c>
      <x:c r="X169" s="43" t="str">
        <x:v>Unknown</x:v>
      </x:c>
      <x:c r="Y169" s="43" t="str">
        <x:v>Unknown</x:v>
      </x:c>
      <x:c r="Z169" s="43"/>
      <x:c r="AA169" s="43" t="str">
        <x:v>Excluded</x:v>
      </x:c>
      <x:c r="AB169" s="43" t="str">
        <x:v>No qualifying evidence source recorded</x:v>
      </x:c>
      <x:c r="AC169" s="43" t="str">
        <x:v>Excluded from Maya's elderly recommendation results because no source-backed elderly accessibility feature is recorded in the reviewed data. This does not mean the attraction is inaccessible.</x:v>
      </x:c>
      <x:c r="AD169" s="43" t="str">
        <x:v>2026-08-16</x:v>
      </x:c>
    </x:row>
    <x:row r="170" ht="60" customHeight="1">
      <x:c r="A170" s="16" t="s">
        <x:v>1005</x:v>
      </x:c>
      <x:c r="B170" s="16" t="s">
        <x:v>1006</x:v>
      </x:c>
      <x:c r="C170" s="16" t="s">
        <x:v>851</x:v>
      </x:c>
      <x:c r="D170" s="16" t="s">
        <x:v>858</x:v>
      </x:c>
      <x:c r="E170" s="16" t="s">
        <x:v>162</x:v>
      </x:c>
      <x:c r="F170" s="16" t="s">
        <x:v>107</x:v>
      </x:c>
      <x:c r="G170" s="16" t="s">
        <x:v>46</x:v>
      </x:c>
      <x:c r="H170" s="17" t="s">
        <x:v>1007</x:v>
      </x:c>
      <x:c r="I170" s="17" t="s">
        <x:v>1008</x:v>
      </x:c>
      <x:c r="J170" s="17" t="s">
        <x:v>1009</x:v>
      </x:c>
      <x:c r="K170" s="17" t="s">
        <x:v>855</x:v>
      </x:c>
      <x:c r="L170" s="17" t="s">
        <x:v>111</x:v>
      </x:c>
      <x:c r="M170" s="17" t="s">
        <x:v>920</x:v>
      </x:c>
      <x:c r="N170" s="16"/>
      <x:c r="O170" s="18">
        <x:v>46249</x:v>
      </x:c>
      <x:c r="P170" s="19" t="s">
        <x:v>34</x:v>
      </x:c>
      <x:c r="Q170" s="17"/>
      <x:c r="R170" s="19" t="str">
        <x:f t="shared" si="2"/>
        <x:v>Discovery Link Only</x:v>
      </x:c>
      <x:c r="S170" s="43" t="str">
        <x:v>Unknown</x:v>
      </x:c>
      <x:c r="T170" s="43" t="str">
        <x:v>Unknown</x:v>
      </x:c>
      <x:c r="U170" s="43" t="str">
        <x:v>Unknown</x:v>
      </x:c>
      <x:c r="V170" s="43" t="str">
        <x:v>Unknown</x:v>
      </x:c>
      <x:c r="W170" s="43" t="str">
        <x:v>Unknown</x:v>
      </x:c>
      <x:c r="X170" s="43" t="str">
        <x:v>Unknown</x:v>
      </x:c>
      <x:c r="Y170" s="43" t="str">
        <x:v>Unknown</x:v>
      </x:c>
      <x:c r="Z170" s="43"/>
      <x:c r="AA170" s="43" t="str">
        <x:v>Excluded</x:v>
      </x:c>
      <x:c r="AB170" s="43" t="str">
        <x:v>No qualifying evidence source recorded</x:v>
      </x:c>
      <x:c r="AC170" s="43" t="str">
        <x:v>Excluded from Maya's elderly recommendation results because no source-backed elderly accessibility feature is recorded in the reviewed data. This does not mean the attraction is inaccessible.</x:v>
      </x:c>
      <x:c r="AD170" s="43" t="str">
        <x:v>2026-08-16</x:v>
      </x:c>
    </x:row>
    <x:row r="171" ht="60" customHeight="1">
      <x:c r="A171" s="16" t="s">
        <x:v>1010</x:v>
      </x:c>
      <x:c r="B171" s="16" t="s">
        <x:v>1011</x:v>
      </x:c>
      <x:c r="C171" s="16" t="s">
        <x:v>851</x:v>
      </x:c>
      <x:c r="D171" s="16" t="s">
        <x:v>858</x:v>
      </x:c>
      <x:c r="E171" s="16" t="s">
        <x:v>162</x:v>
      </x:c>
      <x:c r="F171" s="16" t="s">
        <x:v>121</x:v>
      </x:c>
      <x:c r="G171" s="16" t="s">
        <x:v>46</x:v>
      </x:c>
      <x:c r="H171" s="17" t="s">
        <x:v>1012</x:v>
      </x:c>
      <x:c r="I171" s="17" t="s">
        <x:v>1013</x:v>
      </x:c>
      <x:c r="J171" s="17" t="s">
        <x:v>1014</x:v>
      </x:c>
      <x:c r="K171" s="17" t="s">
        <x:v>855</x:v>
      </x:c>
      <x:c r="L171" s="17" t="s">
        <x:v>111</x:v>
      </x:c>
      <x:c r="M171" s="17" t="s">
        <x:v>920</x:v>
      </x:c>
      <x:c r="N171" s="16"/>
      <x:c r="O171" s="18">
        <x:v>46249</x:v>
      </x:c>
      <x:c r="P171" s="19" t="s">
        <x:v>34</x:v>
      </x:c>
      <x:c r="Q171" s="17"/>
      <x:c r="R171" s="19" t="str">
        <x:f t="shared" si="2"/>
        <x:v>Discovery Link Only</x:v>
      </x:c>
      <x:c r="S171" s="43" t="str">
        <x:v>Unknown</x:v>
      </x:c>
      <x:c r="T171" s="43" t="str">
        <x:v>Unknown</x:v>
      </x:c>
      <x:c r="U171" s="43" t="str">
        <x:v>Unknown</x:v>
      </x:c>
      <x:c r="V171" s="43" t="str">
        <x:v>Unknown</x:v>
      </x:c>
      <x:c r="W171" s="43" t="str">
        <x:v>Unknown</x:v>
      </x:c>
      <x:c r="X171" s="43" t="str">
        <x:v>Unknown</x:v>
      </x:c>
      <x:c r="Y171" s="43" t="str">
        <x:v>Unknown</x:v>
      </x:c>
      <x:c r="Z171" s="43"/>
      <x:c r="AA171" s="43" t="str">
        <x:v>Excluded</x:v>
      </x:c>
      <x:c r="AB171" s="43" t="str">
        <x:v>No qualifying evidence source recorded</x:v>
      </x:c>
      <x:c r="AC171" s="43" t="str">
        <x:v>Excluded from Maya's elderly recommendation results because no source-backed elderly accessibility feature is recorded in the reviewed data. This does not mean the attraction is inaccessible.</x:v>
      </x:c>
      <x:c r="AD171" s="43" t="str">
        <x:v>2026-08-16</x:v>
      </x:c>
    </x:row>
    <x:row r="172" ht="60" customHeight="1">
      <x:c r="A172" s="16" t="s">
        <x:v>1015</x:v>
      </x:c>
      <x:c r="B172" s="16" t="s">
        <x:v>1016</x:v>
      </x:c>
      <x:c r="C172" s="16" t="s">
        <x:v>851</x:v>
      </x:c>
      <x:c r="D172" s="16" t="s">
        <x:v>1017</x:v>
      </x:c>
      <x:c r="E172" s="16" t="s">
        <x:v>45</x:v>
      </x:c>
      <x:c r="F172" s="16" t="s">
        <x:v>194</x:v>
      </x:c>
      <x:c r="G172" s="16" t="s">
        <x:v>26</x:v>
      </x:c>
      <x:c r="H172" s="17" t="s">
        <x:v>1018</x:v>
      </x:c>
      <x:c r="I172" s="17" t="s">
        <x:v>1019</x:v>
      </x:c>
      <x:c r="J172" s="17" t="s">
        <x:v>1020</x:v>
      </x:c>
      <x:c r="K172" s="17" t="s">
        <x:v>855</x:v>
      </x:c>
      <x:c r="L172" s="17" t="s">
        <x:v>111</x:v>
      </x:c>
      <x:c r="M172" s="17" t="s">
        <x:v>920</x:v>
      </x:c>
      <x:c r="N172" s="16"/>
      <x:c r="O172" s="18">
        <x:v>46249</x:v>
      </x:c>
      <x:c r="P172" s="19" t="s">
        <x:v>34</x:v>
      </x:c>
      <x:c r="Q172" s="17"/>
      <x:c r="R172" s="19" t="str">
        <x:f t="shared" si="2"/>
        <x:v>Discovery Link Only</x:v>
      </x:c>
      <x:c r="S172" s="43" t="str">
        <x:v>Unknown</x:v>
      </x:c>
      <x:c r="T172" s="43" t="str">
        <x:v>Unknown</x:v>
      </x:c>
      <x:c r="U172" s="43" t="str">
        <x:v>Unknown</x:v>
      </x:c>
      <x:c r="V172" s="43" t="str">
        <x:v>Unknown</x:v>
      </x:c>
      <x:c r="W172" s="43" t="str">
        <x:v>Unknown</x:v>
      </x:c>
      <x:c r="X172" s="43" t="str">
        <x:v>Unknown</x:v>
      </x:c>
      <x:c r="Y172" s="43" t="str">
        <x:v>Unknown</x:v>
      </x:c>
      <x:c r="Z172" s="43"/>
      <x:c r="AA172" s="43" t="str">
        <x:v>Excluded</x:v>
      </x:c>
      <x:c r="AB172" s="43" t="str">
        <x:v>No qualifying evidence source recorded</x:v>
      </x:c>
      <x:c r="AC172" s="43" t="str">
        <x:v>Excluded from Maya's elderly recommendation results because no source-backed elderly accessibility feature is recorded in the reviewed data. This does not mean the attraction is inaccessible.</x:v>
      </x:c>
      <x:c r="AD172" s="43" t="str">
        <x:v>2026-08-16</x:v>
      </x:c>
    </x:row>
    <x:row r="173" ht="60" customHeight="1">
      <x:c r="A173" s="16" t="s">
        <x:v>1021</x:v>
      </x:c>
      <x:c r="B173" s="16" t="s">
        <x:v>1022</x:v>
      </x:c>
      <x:c r="C173" s="16" t="s">
        <x:v>1023</x:v>
      </x:c>
      <x:c r="D173" s="16" t="s">
        <x:v>1024</x:v>
      </x:c>
      <x:c r="E173" s="16" t="s">
        <x:v>45</x:v>
      </x:c>
      <x:c r="F173" s="16" t="s">
        <x:v>25</x:v>
      </x:c>
      <x:c r="G173" s="16" t="s">
        <x:v>26</x:v>
      </x:c>
      <x:c r="H173" s="17" t="s">
        <x:v>1025</x:v>
      </x:c>
      <x:c r="I173" s="17" t="s">
        <x:v>1026</x:v>
      </x:c>
      <x:c r="J173" s="17" t="s">
        <x:v>1027</x:v>
      </x:c>
      <x:c r="K173" s="17" t="s">
        <x:v>1028</x:v>
      </x:c>
      <x:c r="L173" s="17" t="s">
        <x:v>58</x:v>
      </x:c>
      <x:c r="M173" s="17" t="s">
        <x:v>256</x:v>
      </x:c>
      <x:c r="N173" s="16" t="s">
        <x:v>1029</x:v>
      </x:c>
      <x:c r="O173" s="18">
        <x:v>46249</x:v>
      </x:c>
      <x:c r="P173" s="19" t="s">
        <x:v>34</x:v>
      </x:c>
      <x:c r="Q173" s="17"/>
      <x:c r="R173" s="19" t="str">
        <x:f t="shared" si="2"/>
        <x:v>Source Link Present</x:v>
      </x:c>
      <x:c r="S173" s="43" t="str">
        <x:v>Unknown</x:v>
      </x:c>
      <x:c r="T173" s="43" t="str">
        <x:v>Unknown</x:v>
      </x:c>
      <x:c r="U173" s="43" t="str">
        <x:v>Unknown</x:v>
      </x:c>
      <x:c r="V173" s="43" t="str">
        <x:v>Unknown</x:v>
      </x:c>
      <x:c r="W173" s="43" t="str">
        <x:v>Unknown</x:v>
      </x:c>
      <x:c r="X173" s="43" t="str">
        <x:v>Yes</x:v>
      </x:c>
      <x:c r="Y173" s="43" t="str">
        <x:v>Unknown</x:v>
      </x:c>
      <x:c r="Z173" s="43" t="str">
        <x:v>Official forestry information records parking, toilets, huts and shelters. Activities include trekking, wading and caves, but route difficulty and step-free access are not documented.</x:v>
      </x:c>
      <x:c r="AA173" s="43" t="str">
        <x:v>Eligible</x:v>
      </x:c>
      <x:c r="AB173" s="43" t="str">
        <x:v>https://www.forestry.gov.my/en/semenanjung-malaysia/taman-negeri-bukit-panchor
https://www.mypenang.gov.my/nature-adventure/recreation/bukit-panchor-state-park/?lg=en
https://www.penang-insider.com/bukit-panchor-state-park-penang/</x:v>
      </x:c>
      <x:c r="AC173" s="43" t="str">
        <x:v>Included in Maya's elderly recommendation results: Parking, toilets, huts and shelters are recorded at the recreation area.</x:v>
      </x:c>
      <x:c r="AD173" s="43" t="str">
        <x:v>2026-08-16</x:v>
      </x:c>
    </x:row>
    <x:row r="174" ht="60" customHeight="1">
      <x:c r="A174" s="16" t="s">
        <x:v>1030</x:v>
      </x:c>
      <x:c r="B174" s="16" t="s">
        <x:v>1031</x:v>
      </x:c>
      <x:c r="C174" s="16" t="s">
        <x:v>1023</x:v>
      </x:c>
      <x:c r="D174" s="16" t="s">
        <x:v>1032</x:v>
      </x:c>
      <x:c r="E174" s="16" t="s">
        <x:v>45</x:v>
      </x:c>
      <x:c r="F174" s="16" t="s">
        <x:v>25</x:v>
      </x:c>
      <x:c r="G174" s="16" t="s">
        <x:v>26</x:v>
      </x:c>
      <x:c r="H174" s="17" t="s">
        <x:v>1033</x:v>
      </x:c>
      <x:c r="I174" s="17" t="s">
        <x:v>1034</x:v>
      </x:c>
      <x:c r="J174" s="17" t="s">
        <x:v>1035</x:v>
      </x:c>
      <x:c r="K174" s="17" t="s">
        <x:v>1028</x:v>
      </x:c>
      <x:c r="L174" s="17" t="s">
        <x:v>58</x:v>
      </x:c>
      <x:c r="M174" s="17" t="s">
        <x:v>256</x:v>
      </x:c>
      <x:c r="N174" s="16" t="s">
        <x:v>1036</x:v>
      </x:c>
      <x:c r="O174" s="18">
        <x:v>46249</x:v>
      </x:c>
      <x:c r="P174" s="19" t="s">
        <x:v>34</x:v>
      </x:c>
      <x:c r="Q174" s="17"/>
      <x:c r="R174" s="19" t="str">
        <x:f t="shared" si="2"/>
        <x:v>Source Link Present</x:v>
      </x:c>
      <x:c r="S174" s="43" t="str">
        <x:v>High</x:v>
      </x:c>
      <x:c r="T174" s="43" t="str">
        <x:v>Unknown</x:v>
      </x:c>
      <x:c r="U174" s="43" t="str">
        <x:v>Unknown</x:v>
      </x:c>
      <x:c r="V174" s="43" t="str">
        <x:v>Unknown</x:v>
      </x:c>
      <x:c r="W174" s="43" t="str">
        <x:v>Unknown</x:v>
      </x:c>
      <x:c r="X174" s="43" t="str">
        <x:v>Unknown</x:v>
      </x:c>
      <x:c r="Y174" s="43" t="str">
        <x:v>Unknown</x:v>
      </x:c>
      <x:c r="Z174" s="43" t="str">
        <x:v>The official park information describes jungle routes requiring about two hours of walking. Step-free access, resting seats and accessible toilets are not documented.</x:v>
      </x:c>
      <x:c r="AA174" s="43" t="str">
        <x:v>Excluded</x:v>
      </x:c>
      <x:c r="AB174" s="43" t="str">
        <x:v>No qualifying evidence source recorded</x:v>
      </x:c>
      <x:c r="AC174" s="43" t="str">
        <x:v>Excluded from Maya's elderly recommendation results because no source-backed elderly accessibility feature is recorded in the reviewed data. This does not mean the attraction is inaccessible.</x:v>
      </x:c>
      <x:c r="AD174" s="43" t="str">
        <x:v>2026-08-16</x:v>
      </x:c>
    </x:row>
    <x:row r="175" ht="60" customHeight="1">
      <x:c r="A175" s="16" t="s">
        <x:v>1037</x:v>
      </x:c>
      <x:c r="B175" s="16" t="s">
        <x:v>1038</x:v>
      </x:c>
      <x:c r="C175" s="16" t="s">
        <x:v>1023</x:v>
      </x:c>
      <x:c r="D175" s="16" t="s">
        <x:v>1039</x:v>
      </x:c>
      <x:c r="E175" s="16" t="s">
        <x:v>115</x:v>
      </x:c>
      <x:c r="F175" s="16" t="s">
        <x:v>25</x:v>
      </x:c>
      <x:c r="G175" s="16" t="s">
        <x:v>26</x:v>
      </x:c>
      <x:c r="H175" s="17" t="s">
        <x:v>1040</x:v>
      </x:c>
      <x:c r="I175" s="17" t="s">
        <x:v>1041</x:v>
      </x:c>
      <x:c r="J175" s="17" t="str">
        <x:v>https://www.google.com/maps/search/?api=1&amp;query=George%20Town%20UNESCO%20World%20Heritage%20Site%2C%20Penang%2C%20Malaysia
https://mypenang.gov.my/view_itenary.php?id=THVMRHBRb2V2ODlQc3hRTEkvalB4QT09</x:v>
      </x:c>
      <x:c r="K175" s="17" t="s">
        <x:v>1028</x:v>
      </x:c>
      <x:c r="L175" s="17" t="s">
        <x:v>58</x:v>
      </x:c>
      <x:c r="M175" s="17" t="s">
        <x:v>256</x:v>
      </x:c>
      <x:c r="N175" s="16" t="s">
        <x:v>1042</x:v>
      </x:c>
      <x:c r="O175" s="18">
        <x:v>46249</x:v>
      </x:c>
      <x:c r="P175" s="19" t="s">
        <x:v>34</x:v>
      </x:c>
      <x:c r="Q175" s="17"/>
      <x:c r="R175" s="19" t="str">
        <x:f t="shared" si="2"/>
        <x:v>Discovery Link Only</x:v>
      </x:c>
      <x:c r="S175" s="43" t="str">
        <x:v>High</x:v>
      </x:c>
      <x:c r="T175" s="43" t="str">
        <x:v>Unknown</x:v>
      </x:c>
      <x:c r="U175" s="43" t="str">
        <x:v>Unknown</x:v>
      </x:c>
      <x:c r="V175" s="43" t="str">
        <x:v>Unknown</x:v>
      </x:c>
      <x:c r="W175" s="43" t="str">
        <x:v>Unknown</x:v>
      </x:c>
      <x:c r="X175" s="43" t="str">
        <x:v>Partial</x:v>
      </x:c>
      <x:c r="Y175" s="43" t="str">
        <x:v>Suitable with assistance</x:v>
      </x:c>
      <x:c r="Z175" s="43" t="str">
        <x:v>Penang Global Tourism's full heritage itinerary is a 7–8 hour walking route. Travellers who tire easily can shorten the route and use the free CAT bus or a trishaw between selected areas.</x:v>
      </x:c>
      <x:c r="AA175" s="43" t="str">
        <x:v>Eligible</x:v>
      </x:c>
      <x:c r="AB175" s="43" t="str">
        <x:v>https://mypenang.gov.my/view_itenary.php?id=THVMRHBRb2V2ODlQc3hRTEkvalB4QT09</x:v>
      </x:c>
      <x:c r="AC175" s="43" t="str">
        <x:v>Included in Maya's elderly recommendation results: The free CAT bus and trishaws provide lower-effort alternatives to completing the full walking route.</x:v>
      </x:c>
      <x:c r="AD175" s="43" t="str">
        <x:v>2026-08-16</x:v>
      </x:c>
    </x:row>
    <x:row r="176" ht="60" customHeight="1">
      <x:c r="A176" s="16" t="s">
        <x:v>1043</x:v>
      </x:c>
      <x:c r="B176" s="16" t="s">
        <x:v>1044</x:v>
      </x:c>
      <x:c r="C176" s="16" t="s">
        <x:v>1023</x:v>
      </x:c>
      <x:c r="D176" s="16" t="s">
        <x:v>1039</x:v>
      </x:c>
      <x:c r="E176" s="16" t="s">
        <x:v>394</x:v>
      </x:c>
      <x:c r="F176" s="16" t="s">
        <x:v>25</x:v>
      </x:c>
      <x:c r="G176" s="16" t="s">
        <x:v>46</x:v>
      </x:c>
      <x:c r="H176" s="17" t="s">
        <x:v>1045</x:v>
      </x:c>
      <x:c r="I176" s="17" t="s">
        <x:v>1046</x:v>
      </x:c>
      <x:c r="J176" s="17" t="str">
        <x:v>https://www.google.com/maps/search/?api=1&amp;query=Penang%20Hill%2C%20Penang%2C%20Malaysia
https://penanghill.gov.my/index.php/en/facilities-services</x:v>
      </x:c>
      <x:c r="K176" s="17" t="s">
        <x:v>1028</x:v>
      </x:c>
      <x:c r="L176" s="17" t="s">
        <x:v>58</x:v>
      </x:c>
      <x:c r="M176" s="17" t="s">
        <x:v>256</x:v>
      </x:c>
      <x:c r="N176" s="16" t="s">
        <x:v>1047</x:v>
      </x:c>
      <x:c r="O176" s="18">
        <x:v>46249</x:v>
      </x:c>
      <x:c r="P176" s="19" t="s">
        <x:v>34</x:v>
      </x:c>
      <x:c r="Q176" s="17"/>
      <x:c r="R176" s="19" t="str">
        <x:f t="shared" si="2"/>
        <x:v>Discovery Link Only</x:v>
      </x:c>
      <x:c r="S176" s="43" t="str">
        <x:v>Low</x:v>
      </x:c>
      <x:c r="T176" s="43" t="str">
        <x:v>Yes</x:v>
      </x:c>
      <x:c r="U176" s="43" t="str">
        <x:v>Unknown</x:v>
      </x:c>
      <x:c r="V176" s="43" t="str">
        <x:v>Unknown</x:v>
      </x:c>
      <x:c r="W176" s="43" t="str">
        <x:v>Unknown</x:v>
      </x:c>
      <x:c r="X176" s="43" t="str">
        <x:v>Unknown</x:v>
      </x:c>
      <x:c r="Y176" s="43" t="str">
        <x:v>Suitable with assistance</x:v>
      </x:c>
      <x:c r="Z176" s="43" t="str">
        <x:v>The main visit can use the funicular and designated wheelchair route, reducing physical effort. Staff can assist with boarding. Lightweight wheelchairs are available free of charge, subject to availability and a 100 kg limit; motorised wheelchairs are not allowed in the funicular.</x:v>
      </x:c>
      <x:c r="AA176" s="43" t="str">
        <x:v>Eligible</x:v>
      </x:c>
      <x:c r="AB176" s="43" t="str">
        <x:v>https://penanghill.gov.my/index.php/en/facilities-services</x:v>
      </x:c>
      <x:c r="AC176" s="43" t="str">
        <x:v>Included in Maya's elderly recommendation results: A designated wheelchair route, boarding assistance and loan wheelchairs are documented.</x:v>
      </x:c>
      <x:c r="AD176" s="43" t="str">
        <x:v>2026-08-16</x:v>
      </x:c>
    </x:row>
    <x:row r="177" ht="60" customHeight="1">
      <x:c r="A177" s="16" t="s">
        <x:v>1048</x:v>
      </x:c>
      <x:c r="B177" s="16" t="s">
        <x:v>1049</x:v>
      </x:c>
      <x:c r="C177" s="16" t="s">
        <x:v>1023</x:v>
      </x:c>
      <x:c r="D177" s="16" t="s">
        <x:v>1050</x:v>
      </x:c>
      <x:c r="E177" s="16" t="s">
        <x:v>106</x:v>
      </x:c>
      <x:c r="F177" s="16" t="s">
        <x:v>25</x:v>
      </x:c>
      <x:c r="G177" s="16" t="s">
        <x:v>46</x:v>
      </x:c>
      <x:c r="H177" s="17" t="s">
        <x:v>1051</x:v>
      </x:c>
      <x:c r="I177" s="17" t="s">
        <x:v>1052</x:v>
      </x:c>
      <x:c r="J177" s="17" t="s">
        <x:v>1053</x:v>
      </x:c>
      <x:c r="K177" s="17" t="s">
        <x:v>1028</x:v>
      </x:c>
      <x:c r="L177" s="17" t="s">
        <x:v>58</x:v>
      </x:c>
      <x:c r="M177" s="17" t="s">
        <x:v>256</x:v>
      </x:c>
      <x:c r="N177" s="16" t="s">
        <x:v>1054</x:v>
      </x:c>
      <x:c r="O177" s="18">
        <x:v>46249</x:v>
      </x:c>
      <x:c r="P177" s="19" t="s">
        <x:v>34</x:v>
      </x:c>
      <x:c r="Q177" s="17"/>
      <x:c r="R177" s="19" t="str">
        <x:f t="shared" si="2"/>
        <x:v>Discovery Link Only</x:v>
      </x:c>
      <x:c r="S177" s="43" t="str">
        <x:v>Unknown</x:v>
      </x:c>
      <x:c r="T177" s="43" t="str">
        <x:v>Unknown</x:v>
      </x:c>
      <x:c r="U177" s="43" t="str">
        <x:v>Unknown</x:v>
      </x:c>
      <x:c r="V177" s="43" t="str">
        <x:v>Unknown</x:v>
      </x:c>
      <x:c r="W177" s="43" t="str">
        <x:v>Unknown</x:v>
      </x:c>
      <x:c r="X177" s="43" t="str">
        <x:v>Unknown</x:v>
      </x:c>
      <x:c r="Y177" s="43" t="str">
        <x:v>Unknown</x:v>
      </x:c>
      <x:c r="Z177" s="43"/>
      <x:c r="AA177" s="43" t="str">
        <x:v>Excluded</x:v>
      </x:c>
      <x:c r="AB177" s="43" t="str">
        <x:v>No qualifying evidence source recorded</x:v>
      </x:c>
      <x:c r="AC177" s="43" t="str">
        <x:v>Excluded from Maya's elderly recommendation results because no source-backed elderly accessibility feature is recorded in the reviewed data. This does not mean the attraction is inaccessible.</x:v>
      </x:c>
      <x:c r="AD177" s="43" t="str">
        <x:v>2026-08-16</x:v>
      </x:c>
    </x:row>
    <x:row r="178" ht="60" customHeight="1">
      <x:c r="A178" s="16" t="s">
        <x:v>1055</x:v>
      </x:c>
      <x:c r="B178" s="16" t="s">
        <x:v>1056</x:v>
      </x:c>
      <x:c r="C178" s="16" t="s">
        <x:v>1023</x:v>
      </x:c>
      <x:c r="D178" s="16" t="s">
        <x:v>1032</x:v>
      </x:c>
      <x:c r="E178" s="16" t="s">
        <x:v>45</x:v>
      </x:c>
      <x:c r="F178" s="16" t="s">
        <x:v>25</x:v>
      </x:c>
      <x:c r="G178" s="16" t="s">
        <x:v>26</x:v>
      </x:c>
      <x:c r="H178" s="17" t="s">
        <x:v>1057</x:v>
      </x:c>
      <x:c r="I178" s="17" t="s">
        <x:v>1058</x:v>
      </x:c>
      <x:c r="J178" s="17" t="str">
        <x:v>https://www.google.com/maps/search/?api=1&amp;query=Tropical%20Spice%20Garden%2C%20Penang%2C%20Malaysia
https://tropicalspicegarden.com/</x:v>
      </x:c>
      <x:c r="K178" s="17" t="s">
        <x:v>1028</x:v>
      </x:c>
      <x:c r="L178" s="17" t="s">
        <x:v>58</x:v>
      </x:c>
      <x:c r="M178" s="17" t="s">
        <x:v>256</x:v>
      </x:c>
      <x:c r="N178" s="16" t="s">
        <x:v>1059</x:v>
      </x:c>
      <x:c r="O178" s="18">
        <x:v>46249</x:v>
      </x:c>
      <x:c r="P178" s="19" t="s">
        <x:v>34</x:v>
      </x:c>
      <x:c r="Q178" s="17"/>
      <x:c r="R178" s="19" t="str">
        <x:f t="shared" si="2"/>
        <x:v>Discovery Link Only</x:v>
      </x:c>
      <x:c r="S178" s="43" t="str">
        <x:v>Moderate</x:v>
      </x:c>
      <x:c r="T178" s="43" t="str">
        <x:v>Unknown</x:v>
      </x:c>
      <x:c r="U178" s="43" t="str">
        <x:v>Unknown</x:v>
      </x:c>
      <x:c r="V178" s="43" t="str">
        <x:v>Unknown</x:v>
      </x:c>
      <x:c r="W178" s="43" t="str">
        <x:v>Unknown</x:v>
      </x:c>
      <x:c r="X178" s="43" t="str">
        <x:v>Partial</x:v>
      </x:c>
      <x:c r="Y178" s="43" t="str">
        <x:v>Suitable with assistance</x:v>
      </x:c>
      <x:c r="Z178" s="43" t="str">
        <x:v>The visit covers an eight-acre hillside garden, and the standard audio tour takes about 45 minutes. Visitors with limited stamina may need assistance or additional rest time.</x:v>
      </x:c>
      <x:c r="AA178" s="43" t="str">
        <x:v>Excluded</x:v>
      </x:c>
      <x:c r="AB178" s="43" t="str">
        <x:v>No qualifying evidence source recorded</x:v>
      </x:c>
      <x:c r="AC178" s="43" t="str">
        <x:v>Excluded from Maya's elderly recommendation results because no source-backed elderly accessibility feature is recorded in the reviewed data. This does not mean the attraction is inaccessible.</x:v>
      </x:c>
      <x:c r="AD178" s="43" t="str">
        <x:v>2026-08-16</x:v>
      </x:c>
    </x:row>
    <x:row r="179" ht="60" customHeight="1">
      <x:c r="A179" s="16" t="s">
        <x:v>1060</x:v>
      </x:c>
      <x:c r="B179" s="16" t="s">
        <x:v>1061</x:v>
      </x:c>
      <x:c r="C179" s="16" t="s">
        <x:v>1023</x:v>
      </x:c>
      <x:c r="D179" s="16" t="s">
        <x:v>1032</x:v>
      </x:c>
      <x:c r="E179" s="16" t="s">
        <x:v>37</x:v>
      </x:c>
      <x:c r="F179" s="16" t="s">
        <x:v>25</x:v>
      </x:c>
      <x:c r="G179" s="16" t="s">
        <x:v>46</x:v>
      </x:c>
      <x:c r="H179" s="17" t="s">
        <x:v>1062</x:v>
      </x:c>
      <x:c r="I179" s="17" t="s">
        <x:v>1063</x:v>
      </x:c>
      <x:c r="J179" s="17" t="str">
        <x:v>https://www.google.com/maps/search/?api=1&amp;query=Entopia%20by%20Penang%20Butterfly%20Farm%2C%20Penang%2C%20Malaysia
https://www.entopia.com/faq/</x:v>
      </x:c>
      <x:c r="K179" s="17" t="s">
        <x:v>1028</x:v>
      </x:c>
      <x:c r="L179" s="17" t="s">
        <x:v>58</x:v>
      </x:c>
      <x:c r="M179" s="17" t="s">
        <x:v>256</x:v>
      </x:c>
      <x:c r="N179" s="16" t="s">
        <x:v>1064</x:v>
      </x:c>
      <x:c r="O179" s="18">
        <x:v>46249</x:v>
      </x:c>
      <x:c r="P179" s="19" t="s">
        <x:v>34</x:v>
      </x:c>
      <x:c r="Q179" s="17"/>
      <x:c r="R179" s="19" t="str">
        <x:f t="shared" si="2"/>
        <x:v>Discovery Link Only</x:v>
      </x:c>
      <x:c r="S179" s="43" t="str">
        <x:v>Unknown</x:v>
      </x:c>
      <x:c r="T179" s="43" t="str">
        <x:v>Yes</x:v>
      </x:c>
      <x:c r="U179" s="43" t="str">
        <x:v>Unknown</x:v>
      </x:c>
      <x:c r="V179" s="43" t="str">
        <x:v>Yes</x:v>
      </x:c>
      <x:c r="W179" s="43" t="str">
        <x:v>Near</x:v>
      </x:c>
      <x:c r="X179" s="43" t="str">
        <x:v>Partial</x:v>
      </x:c>
      <x:c r="Y179" s="43" t="str">
        <x:v>Suitable</x:v>
      </x:c>
      <x:c r="Z179" s="43" t="str">
        <x:v>Natureland and The Cocoon are wheelchair accessible. Public lifts, accessible toilets, two loan wheelchairs and designated OKU parking bays near the entrance are available; the outdoor area remains weather-exposed.</x:v>
      </x:c>
      <x:c r="AA179" s="43" t="str">
        <x:v>Eligible</x:v>
      </x:c>
      <x:c r="AB179" s="43" t="str">
        <x:v>https://www.entopia.com/faq/</x:v>
      </x:c>
      <x:c r="AC179" s="43" t="str">
        <x:v>Included in Maya's elderly recommendation results: Wheelchair-accessible visitor areas, lifts, accessible toilets, loan wheelchairs and OKU parking are documented.</x:v>
      </x:c>
      <x:c r="AD179" s="43" t="str">
        <x:v>2026-08-16</x:v>
      </x:c>
    </x:row>
    <x:row r="180" ht="60" customHeight="1">
      <x:c r="A180" s="16" t="s">
        <x:v>1065</x:v>
      </x:c>
      <x:c r="B180" s="16" t="s">
        <x:v>1066</x:v>
      </x:c>
      <x:c r="C180" s="16" t="s">
        <x:v>1023</x:v>
      </x:c>
      <x:c r="D180" s="16" t="s">
        <x:v>1032</x:v>
      </x:c>
      <x:c r="E180" s="16" t="s">
        <x:v>64</x:v>
      </x:c>
      <x:c r="F180" s="16" t="s">
        <x:v>25</x:v>
      </x:c>
      <x:c r="G180" s="16" t="s">
        <x:v>26</x:v>
      </x:c>
      <x:c r="H180" s="17" t="s">
        <x:v>1067</x:v>
      </x:c>
      <x:c r="I180" s="17" t="s">
        <x:v>1068</x:v>
      </x:c>
      <x:c r="J180" s="17" t="str">
        <x:v>https://www.google.com/maps/search/?api=1&amp;query=ESCAPE%20Penang%2C%20Penang%2C%20Malaysia
https://www.escape.my/pg/activities</x:v>
      </x:c>
      <x:c r="K180" s="17" t="s">
        <x:v>1028</x:v>
      </x:c>
      <x:c r="L180" s="17" t="s">
        <x:v>58</x:v>
      </x:c>
      <x:c r="M180" s="17" t="s">
        <x:v>256</x:v>
      </x:c>
      <x:c r="N180" s="16" t="s">
        <x:v>1069</x:v>
      </x:c>
      <x:c r="O180" s="18">
        <x:v>46249</x:v>
      </x:c>
      <x:c r="P180" s="19" t="s">
        <x:v>34</x:v>
      </x:c>
      <x:c r="Q180" s="17"/>
      <x:c r="R180" s="19" t="str">
        <x:f t="shared" si="2"/>
        <x:v>Discovery Link Only</x:v>
      </x:c>
      <x:c r="S180" s="43" t="str">
        <x:v>High</x:v>
      </x:c>
      <x:c r="T180" s="43" t="str">
        <x:v>Unknown</x:v>
      </x:c>
      <x:c r="U180" s="43" t="str">
        <x:v>Unknown</x:v>
      </x:c>
      <x:c r="V180" s="43" t="str">
        <x:v>Unknown</x:v>
      </x:c>
      <x:c r="W180" s="43" t="str">
        <x:v>Unknown</x:v>
      </x:c>
      <x:c r="X180" s="43" t="str">
        <x:v>Partial</x:v>
      </x:c>
      <x:c r="Y180" s="43" t="str">
        <x:v>Suitable with assistance</x:v>
      </x:c>
      <x:c r="Z180" s="43" t="str">
        <x:v>ESCAPE is an outdoor adventure and water park. Many activities involve climbing, balancing, slides or other physical effort, and several have weight or height restrictions; individual activities should be selected according to the traveller's ability.</x:v>
      </x:c>
      <x:c r="AA180" s="43" t="str">
        <x:v>Excluded</x:v>
      </x:c>
      <x:c r="AB180" s="43" t="str">
        <x:v>No qualifying evidence source recorded</x:v>
      </x:c>
      <x:c r="AC180" s="43" t="str">
        <x:v>Excluded from Maya's elderly recommendation results because no source-backed elderly accessibility feature is recorded in the reviewed data. This does not mean the attraction is inaccessible.</x:v>
      </x:c>
      <x:c r="AD180" s="43" t="str">
        <x:v>2026-08-16</x:v>
      </x:c>
    </x:row>
    <x:row r="181" ht="60" customHeight="1">
      <x:c r="A181" s="16" t="s">
        <x:v>1070</x:v>
      </x:c>
      <x:c r="B181" s="16" t="s">
        <x:v>1071</x:v>
      </x:c>
      <x:c r="C181" s="16" t="s">
        <x:v>1023</x:v>
      </x:c>
      <x:c r="D181" s="16" t="s">
        <x:v>1072</x:v>
      </x:c>
      <x:c r="E181" s="16" t="s">
        <x:v>72</x:v>
      </x:c>
      <x:c r="F181" s="16" t="s">
        <x:v>25</x:v>
      </x:c>
      <x:c r="G181" s="16" t="s">
        <x:v>26</x:v>
      </x:c>
      <x:c r="H181" s="17" t="s">
        <x:v>1073</x:v>
      </x:c>
      <x:c r="I181" s="17" t="s">
        <x:v>1074</x:v>
      </x:c>
      <x:c r="J181" s="17" t="s">
        <x:v>1075</x:v>
      </x:c>
      <x:c r="K181" s="17" t="s">
        <x:v>1028</x:v>
      </x:c>
      <x:c r="L181" s="17" t="s">
        <x:v>58</x:v>
      </x:c>
      <x:c r="M181" s="17" t="s">
        <x:v>256</x:v>
      </x:c>
      <x:c r="N181" s="16" t="s">
        <x:v>1076</x:v>
      </x:c>
      <x:c r="O181" s="18">
        <x:v>46249</x:v>
      </x:c>
      <x:c r="P181" s="19" t="s">
        <x:v>34</x:v>
      </x:c>
      <x:c r="Q181" s="17"/>
      <x:c r="R181" s="19" t="str">
        <x:f t="shared" si="2"/>
        <x:v>Discovery Link Only</x:v>
      </x:c>
      <x:c r="S181" s="43" t="str">
        <x:v>Unknown</x:v>
      </x:c>
      <x:c r="T181" s="43" t="str">
        <x:v>Unknown</x:v>
      </x:c>
      <x:c r="U181" s="43" t="str">
        <x:v>Unknown</x:v>
      </x:c>
      <x:c r="V181" s="43" t="str">
        <x:v>Unknown</x:v>
      </x:c>
      <x:c r="W181" s="43" t="str">
        <x:v>Unknown</x:v>
      </x:c>
      <x:c r="X181" s="43" t="str">
        <x:v>Unknown</x:v>
      </x:c>
      <x:c r="Y181" s="43" t="str">
        <x:v>Unknown</x:v>
      </x:c>
      <x:c r="Z181" s="43"/>
      <x:c r="AA181" s="43" t="str">
        <x:v>Excluded</x:v>
      </x:c>
      <x:c r="AB181" s="43" t="str">
        <x:v>No qualifying evidence source recorded</x:v>
      </x:c>
      <x:c r="AC181" s="43" t="str">
        <x:v>Excluded from Maya's elderly recommendation results because no source-backed elderly accessibility feature is recorded in the reviewed data. This does not mean the attraction is inaccessible.</x:v>
      </x:c>
      <x:c r="AD181" s="43" t="str">
        <x:v>2026-08-16</x:v>
      </x:c>
    </x:row>
    <x:row r="182" ht="60" customHeight="1">
      <x:c r="A182" s="16" t="s">
        <x:v>1077</x:v>
      </x:c>
      <x:c r="B182" s="16" t="s">
        <x:v>1078</x:v>
      </x:c>
      <x:c r="C182" s="16" t="s">
        <x:v>1023</x:v>
      </x:c>
      <x:c r="D182" s="16" t="s">
        <x:v>1039</x:v>
      </x:c>
      <x:c r="E182" s="16" t="s">
        <x:v>24</x:v>
      </x:c>
      <x:c r="F182" s="16" t="s">
        <x:v>25</x:v>
      </x:c>
      <x:c r="G182" s="16" t="s">
        <x:v>26</x:v>
      </x:c>
      <x:c r="H182" s="17" t="s">
        <x:v>1079</x:v>
      </x:c>
      <x:c r="I182" s="17" t="s">
        <x:v>1080</x:v>
      </x:c>
      <x:c r="J182" s="17" t="str">
        <x:v>https://www.google.com/maps/search/?api=1&amp;query=Penang%20Botanic%20Gardens%2C%20Penang%2C%20Malaysia
https://botanicalgardens.penang.gov.my/index.php/en/visitors-info/place-to-visit</x:v>
      </x:c>
      <x:c r="K182" s="17" t="s">
        <x:v>1028</x:v>
      </x:c>
      <x:c r="L182" s="17" t="s">
        <x:v>58</x:v>
      </x:c>
      <x:c r="M182" s="17" t="s">
        <x:v>256</x:v>
      </x:c>
      <x:c r="N182" s="16" t="s">
        <x:v>1081</x:v>
      </x:c>
      <x:c r="O182" s="18">
        <x:v>46249</x:v>
      </x:c>
      <x:c r="P182" s="19" t="s">
        <x:v>34</x:v>
      </x:c>
      <x:c r="Q182" s="17"/>
      <x:c r="R182" s="19" t="str">
        <x:f t="shared" si="2"/>
        <x:v>Discovery Link Only</x:v>
      </x:c>
      <x:c r="S182" s="43" t="str">
        <x:v>Moderate</x:v>
      </x:c>
      <x:c r="T182" s="43" t="str">
        <x:v>Partial</x:v>
      </x:c>
      <x:c r="U182" s="43" t="str">
        <x:v>Unknown</x:v>
      </x:c>
      <x:c r="V182" s="43" t="str">
        <x:v>Unknown</x:v>
      </x:c>
      <x:c r="W182" s="43" t="str">
        <x:v>Unknown</x:v>
      </x:c>
      <x:c r="X182" s="43" t="str">
        <x:v>Partial</x:v>
      </x:c>
      <x:c r="Y182" s="43" t="str">
        <x:v>Suitable with assistance</x:v>
      </x:c>
      <x:c r="Z182" s="43" t="str">
        <x:v>The official garden information records wheelchair access, toilets, gazebos and an optional paid tram. Walking effort varies because the site also contains jogging and forest trails.</x:v>
      </x:c>
      <x:c r="AA182" s="43" t="str">
        <x:v>Eligible</x:v>
      </x:c>
      <x:c r="AB182" s="43" t="str">
        <x:v>https://botanicalgardens.penang.gov.my/index.php/en/visitors-info/place-to-visit</x:v>
      </x:c>
      <x:c r="AC182" s="43" t="str">
        <x:v>Included in Maya's elderly recommendation results: Wheelchair access, toilets, gazebos and an optional paid tram are documented.</x:v>
      </x:c>
      <x:c r="AD182" s="43" t="str">
        <x:v>2026-08-16</x:v>
      </x:c>
    </x:row>
    <x:row r="183" ht="60" customHeight="1">
      <x:c r="A183" s="16" t="s">
        <x:v>1082</x:v>
      </x:c>
      <x:c r="B183" s="16" t="s">
        <x:v>1083</x:v>
      </x:c>
      <x:c r="C183" s="16" t="s">
        <x:v>1023</x:v>
      </x:c>
      <x:c r="D183" s="16" t="s">
        <x:v>1039</x:v>
      </x:c>
      <x:c r="E183" s="16" t="s">
        <x:v>133</x:v>
      </x:c>
      <x:c r="F183" s="16" t="s">
        <x:v>107</x:v>
      </x:c>
      <x:c r="G183" s="16" t="s">
        <x:v>134</x:v>
      </x:c>
      <x:c r="H183" s="17" t="s">
        <x:v>1084</x:v>
      </x:c>
      <x:c r="I183" s="17" t="s">
        <x:v>1085</x:v>
      </x:c>
      <x:c r="J183" s="17" t="str">
        <x:v>https://www.google.com/maps/search/?api=1&amp;query=Pinang%20Peranakan%20Mansion%2C%20Penang%2C%20Malaysia
https://www.visitpenang.com/attractions/pinang-peranakan-mansion</x:v>
      </x:c>
      <x:c r="K183" s="17" t="s">
        <x:v>1028</x:v>
      </x:c>
      <x:c r="L183" s="17" t="s">
        <x:v>111</x:v>
      </x:c>
      <x:c r="M183" s="17" t="s">
        <x:v>1086</x:v>
      </x:c>
      <x:c r="N183" s="16"/>
      <x:c r="O183" s="18">
        <x:v>46249</x:v>
      </x:c>
      <x:c r="P183" s="19" t="s">
        <x:v>34</x:v>
      </x:c>
      <x:c r="Q183" s="17"/>
      <x:c r="R183" s="19" t="str">
        <x:f t="shared" si="2"/>
        <x:v>Discovery Link Only</x:v>
      </x:c>
      <x:c r="S183" s="43" t="str">
        <x:v>Moderate</x:v>
      </x:c>
      <x:c r="T183" s="43" t="str">
        <x:v>Partial</x:v>
      </x:c>
      <x:c r="U183" s="43" t="str">
        <x:v>Unknown</x:v>
      </x:c>
      <x:c r="V183" s="43" t="str">
        <x:v>Unknown</x:v>
      </x:c>
      <x:c r="W183" s="43" t="str">
        <x:v>Unknown</x:v>
      </x:c>
      <x:c r="X183" s="43" t="str">
        <x:v>Partial</x:v>
      </x:c>
      <x:c r="Y183" s="43" t="str">
        <x:v>Suitable with assistance</x:v>
      </x:c>
      <x:c r="Z183" s="43" t="str">
        <x:v>Access beyond the ground-floor entrance is limited by uneven tiled floors, narrow doorways and interior steps. Wheelchair and pushchair users may have difficulty reaching all rooms.</x:v>
      </x:c>
      <x:c r="AA183" s="43" t="str">
        <x:v>Eligible</x:v>
      </x:c>
      <x:c r="AB183" s="43" t="str">
        <x:v>https://www.visitpenang.com/attractions/pinang-peranakan-mansion</x:v>
      </x:c>
      <x:c r="AC183" s="43" t="str">
        <x:v>Included in Maya's elderly recommendation results: The ground floor has partial access, although uneven floors, narrow doorways and steps limit the complete visit.</x:v>
      </x:c>
      <x:c r="AD183" s="43" t="str">
        <x:v>2026-08-16</x:v>
      </x:c>
    </x:row>
    <x:row r="184" ht="60" customHeight="1">
      <x:c r="A184" s="16" t="s">
        <x:v>1087</x:v>
      </x:c>
      <x:c r="B184" s="16" t="s">
        <x:v>1088</x:v>
      </x:c>
      <x:c r="C184" s="16" t="s">
        <x:v>1023</x:v>
      </x:c>
      <x:c r="D184" s="16" t="s">
        <x:v>1039</x:v>
      </x:c>
      <x:c r="E184" s="16" t="s">
        <x:v>115</x:v>
      </x:c>
      <x:c r="F184" s="16" t="s">
        <x:v>107</x:v>
      </x:c>
      <x:c r="G184" s="16" t="s">
        <x:v>46</x:v>
      </x:c>
      <x:c r="H184" s="17" t="s">
        <x:v>1089</x:v>
      </x:c>
      <x:c r="I184" s="17" t="s">
        <x:v>1090</x:v>
      </x:c>
      <x:c r="J184" s="17" t="s">
        <x:v>1091</x:v>
      </x:c>
      <x:c r="K184" s="17" t="s">
        <x:v>1028</x:v>
      </x:c>
      <x:c r="L184" s="17" t="s">
        <x:v>111</x:v>
      </x:c>
      <x:c r="M184" s="17" t="s">
        <x:v>1086</x:v>
      </x:c>
      <x:c r="N184" s="16"/>
      <x:c r="O184" s="18">
        <x:v>46249</x:v>
      </x:c>
      <x:c r="P184" s="19" t="s">
        <x:v>34</x:v>
      </x:c>
      <x:c r="Q184" s="17"/>
      <x:c r="R184" s="19" t="str">
        <x:f t="shared" si="2"/>
        <x:v>Discovery Link Only</x:v>
      </x:c>
      <x:c r="S184" s="43" t="str">
        <x:v>Unknown</x:v>
      </x:c>
      <x:c r="T184" s="43" t="str">
        <x:v>Unknown</x:v>
      </x:c>
      <x:c r="U184" s="43" t="str">
        <x:v>Unknown</x:v>
      </x:c>
      <x:c r="V184" s="43" t="str">
        <x:v>Unknown</x:v>
      </x:c>
      <x:c r="W184" s="43" t="str">
        <x:v>Unknown</x:v>
      </x:c>
      <x:c r="X184" s="43" t="str">
        <x:v>Unknown</x:v>
      </x:c>
      <x:c r="Y184" s="43" t="str">
        <x:v>Unknown</x:v>
      </x:c>
      <x:c r="Z184" s="43"/>
      <x:c r="AA184" s="43" t="str">
        <x:v>Excluded</x:v>
      </x:c>
      <x:c r="AB184" s="43" t="str">
        <x:v>No qualifying evidence source recorded</x:v>
      </x:c>
      <x:c r="AC184" s="43" t="str">
        <x:v>Excluded from Maya's elderly recommendation results because no source-backed elderly accessibility feature is recorded in the reviewed data. This does not mean the attraction is inaccessible.</x:v>
      </x:c>
      <x:c r="AD184" s="43" t="str">
        <x:v>2026-08-16</x:v>
      </x:c>
    </x:row>
    <x:row r="185" ht="60" customHeight="1">
      <x:c r="A185" s="16" t="s">
        <x:v>1092</x:v>
      </x:c>
      <x:c r="B185" s="16" t="s">
        <x:v>1093</x:v>
      </x:c>
      <x:c r="C185" s="16" t="s">
        <x:v>1023</x:v>
      </x:c>
      <x:c r="D185" s="16" t="s">
        <x:v>1039</x:v>
      </x:c>
      <x:c r="E185" s="16" t="s">
        <x:v>115</x:v>
      </x:c>
      <x:c r="F185" s="16" t="s">
        <x:v>107</x:v>
      </x:c>
      <x:c r="G185" s="16" t="s">
        <x:v>46</x:v>
      </x:c>
      <x:c r="H185" s="17" t="s">
        <x:v>1094</x:v>
      </x:c>
      <x:c r="I185" s="17" t="s">
        <x:v>1095</x:v>
      </x:c>
      <x:c r="J185" s="17" t="s">
        <x:v>1096</x:v>
      </x:c>
      <x:c r="K185" s="17" t="s">
        <x:v>1028</x:v>
      </x:c>
      <x:c r="L185" s="17" t="s">
        <x:v>111</x:v>
      </x:c>
      <x:c r="M185" s="17" t="s">
        <x:v>1086</x:v>
      </x:c>
      <x:c r="N185" s="16"/>
      <x:c r="O185" s="18">
        <x:v>46249</x:v>
      </x:c>
      <x:c r="P185" s="19" t="s">
        <x:v>34</x:v>
      </x:c>
      <x:c r="Q185" s="17"/>
      <x:c r="R185" s="19" t="str">
        <x:f t="shared" si="2"/>
        <x:v>Discovery Link Only</x:v>
      </x:c>
      <x:c r="S185" s="43" t="str">
        <x:v>Unknown</x:v>
      </x:c>
      <x:c r="T185" s="43" t="str">
        <x:v>Unknown</x:v>
      </x:c>
      <x:c r="U185" s="43" t="str">
        <x:v>Unknown</x:v>
      </x:c>
      <x:c r="V185" s="43" t="str">
        <x:v>Unknown</x:v>
      </x:c>
      <x:c r="W185" s="43" t="str">
        <x:v>Unknown</x:v>
      </x:c>
      <x:c r="X185" s="43" t="str">
        <x:v>Unknown</x:v>
      </x:c>
      <x:c r="Y185" s="43" t="str">
        <x:v>Unknown</x:v>
      </x:c>
      <x:c r="Z185" s="43"/>
      <x:c r="AA185" s="43" t="str">
        <x:v>Excluded</x:v>
      </x:c>
      <x:c r="AB185" s="43" t="str">
        <x:v>No qualifying evidence source recorded</x:v>
      </x:c>
      <x:c r="AC185" s="43" t="str">
        <x:v>Excluded from Maya's elderly recommendation results because no source-backed elderly accessibility feature is recorded in the reviewed data. This does not mean the attraction is inaccessible.</x:v>
      </x:c>
      <x:c r="AD185" s="43" t="str">
        <x:v>2026-08-16</x:v>
      </x:c>
    </x:row>
    <x:row r="186" ht="60" customHeight="1">
      <x:c r="A186" s="16" t="s">
        <x:v>1097</x:v>
      </x:c>
      <x:c r="B186" s="16" t="s">
        <x:v>1098</x:v>
      </x:c>
      <x:c r="C186" s="16" t="s">
        <x:v>1023</x:v>
      </x:c>
      <x:c r="D186" s="16" t="s">
        <x:v>1039</x:v>
      </x:c>
      <x:c r="E186" s="16" t="s">
        <x:v>115</x:v>
      </x:c>
      <x:c r="F186" s="16" t="s">
        <x:v>107</x:v>
      </x:c>
      <x:c r="G186" s="16" t="s">
        <x:v>46</x:v>
      </x:c>
      <x:c r="H186" s="17" t="s">
        <x:v>1099</x:v>
      </x:c>
      <x:c r="I186" s="17" t="s">
        <x:v>1100</x:v>
      </x:c>
      <x:c r="J186" s="17" t="s">
        <x:v>1101</x:v>
      </x:c>
      <x:c r="K186" s="17" t="s">
        <x:v>1028</x:v>
      </x:c>
      <x:c r="L186" s="17" t="s">
        <x:v>111</x:v>
      </x:c>
      <x:c r="M186" s="17" t="s">
        <x:v>1086</x:v>
      </x:c>
      <x:c r="N186" s="16"/>
      <x:c r="O186" s="18">
        <x:v>46249</x:v>
      </x:c>
      <x:c r="P186" s="19" t="s">
        <x:v>34</x:v>
      </x:c>
      <x:c r="Q186" s="17"/>
      <x:c r="R186" s="19" t="str">
        <x:f t="shared" si="2"/>
        <x:v>Discovery Link Only</x:v>
      </x:c>
      <x:c r="S186" s="43" t="str">
        <x:v>Unknown</x:v>
      </x:c>
      <x:c r="T186" s="43" t="str">
        <x:v>Unknown</x:v>
      </x:c>
      <x:c r="U186" s="43" t="str">
        <x:v>Unknown</x:v>
      </x:c>
      <x:c r="V186" s="43" t="str">
        <x:v>Unknown</x:v>
      </x:c>
      <x:c r="W186" s="43" t="str">
        <x:v>Unknown</x:v>
      </x:c>
      <x:c r="X186" s="43" t="str">
        <x:v>Unknown</x:v>
      </x:c>
      <x:c r="Y186" s="43" t="str">
        <x:v>Unknown</x:v>
      </x:c>
      <x:c r="Z186" s="43"/>
      <x:c r="AA186" s="43" t="str">
        <x:v>Excluded</x:v>
      </x:c>
      <x:c r="AB186" s="43" t="str">
        <x:v>No qualifying evidence source recorded</x:v>
      </x:c>
      <x:c r="AC186" s="43" t="str">
        <x:v>Excluded from Maya's elderly recommendation results because no source-backed elderly accessibility feature is recorded in the reviewed data. This does not mean the attraction is inaccessible.</x:v>
      </x:c>
      <x:c r="AD186" s="43" t="str">
        <x:v>2026-08-16</x:v>
      </x:c>
    </x:row>
    <x:row r="187" ht="60" customHeight="1">
      <x:c r="A187" s="16" t="s">
        <x:v>1102</x:v>
      </x:c>
      <x:c r="B187" s="16" t="s">
        <x:v>1103</x:v>
      </x:c>
      <x:c r="C187" s="16" t="s">
        <x:v>1023</x:v>
      </x:c>
      <x:c r="D187" s="16" t="s">
        <x:v>1039</x:v>
      </x:c>
      <x:c r="E187" s="16" t="s">
        <x:v>133</x:v>
      </x:c>
      <x:c r="F187" s="16" t="s">
        <x:v>121</x:v>
      </x:c>
      <x:c r="G187" s="16" t="s">
        <x:v>134</x:v>
      </x:c>
      <x:c r="H187" s="17" t="s">
        <x:v>1104</x:v>
      </x:c>
      <x:c r="I187" s="17" t="s">
        <x:v>1105</x:v>
      </x:c>
      <x:c r="J187" s="17" t="s">
        <x:v>1106</x:v>
      </x:c>
      <x:c r="K187" s="17" t="s">
        <x:v>1028</x:v>
      </x:c>
      <x:c r="L187" s="17" t="s">
        <x:v>111</x:v>
      </x:c>
      <x:c r="M187" s="17" t="s">
        <x:v>1086</x:v>
      </x:c>
      <x:c r="N187" s="16"/>
      <x:c r="O187" s="18">
        <x:v>46249</x:v>
      </x:c>
      <x:c r="P187" s="19" t="s">
        <x:v>34</x:v>
      </x:c>
      <x:c r="Q187" s="17"/>
      <x:c r="R187" s="19" t="str">
        <x:f t="shared" si="2"/>
        <x:v>Discovery Link Only</x:v>
      </x:c>
      <x:c r="S187" s="43" t="str">
        <x:v>Unknown</x:v>
      </x:c>
      <x:c r="T187" s="43" t="str">
        <x:v>Unknown</x:v>
      </x:c>
      <x:c r="U187" s="43" t="str">
        <x:v>Unknown</x:v>
      </x:c>
      <x:c r="V187" s="43" t="str">
        <x:v>Unknown</x:v>
      </x:c>
      <x:c r="W187" s="43" t="str">
        <x:v>Unknown</x:v>
      </x:c>
      <x:c r="X187" s="43" t="str">
        <x:v>Unknown</x:v>
      </x:c>
      <x:c r="Y187" s="43" t="str">
        <x:v>Unknown</x:v>
      </x:c>
      <x:c r="Z187" s="43"/>
      <x:c r="AA187" s="43" t="str">
        <x:v>Excluded</x:v>
      </x:c>
      <x:c r="AB187" s="43" t="str">
        <x:v>No qualifying evidence source recorded</x:v>
      </x:c>
      <x:c r="AC187" s="43" t="str">
        <x:v>Excluded from Maya's elderly recommendation results because no source-backed elderly accessibility feature is recorded in the reviewed data. This does not mean the attraction is inaccessible.</x:v>
      </x:c>
      <x:c r="AD187" s="43" t="str">
        <x:v>2026-08-16</x:v>
      </x:c>
    </x:row>
    <x:row r="188" ht="60" customHeight="1">
      <x:c r="A188" s="16" t="s">
        <x:v>1107</x:v>
      </x:c>
      <x:c r="B188" s="16" t="s">
        <x:v>1108</x:v>
      </x:c>
      <x:c r="C188" s="16" t="s">
        <x:v>1023</x:v>
      </x:c>
      <x:c r="D188" s="16" t="s">
        <x:v>1039</x:v>
      </x:c>
      <x:c r="E188" s="16" t="s">
        <x:v>99</x:v>
      </x:c>
      <x:c r="F188" s="16" t="s">
        <x:v>107</x:v>
      </x:c>
      <x:c r="G188" s="16" t="s">
        <x:v>46</x:v>
      </x:c>
      <x:c r="H188" s="17" t="s">
        <x:v>1109</x:v>
      </x:c>
      <x:c r="I188" s="17" t="s">
        <x:v>1110</x:v>
      </x:c>
      <x:c r="J188" s="17" t="s">
        <x:v>1111</x:v>
      </x:c>
      <x:c r="K188" s="17" t="s">
        <x:v>1028</x:v>
      </x:c>
      <x:c r="L188" s="17" t="s">
        <x:v>111</x:v>
      </x:c>
      <x:c r="M188" s="17" t="s">
        <x:v>1086</x:v>
      </x:c>
      <x:c r="N188" s="16"/>
      <x:c r="O188" s="18">
        <x:v>46249</x:v>
      </x:c>
      <x:c r="P188" s="19" t="s">
        <x:v>34</x:v>
      </x:c>
      <x:c r="Q188" s="17"/>
      <x:c r="R188" s="19" t="str">
        <x:f t="shared" si="2"/>
        <x:v>Discovery Link Only</x:v>
      </x:c>
      <x:c r="S188" s="43" t="str">
        <x:v>Unknown</x:v>
      </x:c>
      <x:c r="T188" s="43" t="str">
        <x:v>Unknown</x:v>
      </x:c>
      <x:c r="U188" s="43" t="str">
        <x:v>Unknown</x:v>
      </x:c>
      <x:c r="V188" s="43" t="str">
        <x:v>Unknown</x:v>
      </x:c>
      <x:c r="W188" s="43" t="str">
        <x:v>Unknown</x:v>
      </x:c>
      <x:c r="X188" s="43" t="str">
        <x:v>Unknown</x:v>
      </x:c>
      <x:c r="Y188" s="43" t="str">
        <x:v>Unknown</x:v>
      </x:c>
      <x:c r="Z188" s="43"/>
      <x:c r="AA188" s="43" t="str">
        <x:v>Excluded</x:v>
      </x:c>
      <x:c r="AB188" s="43" t="str">
        <x:v>No qualifying evidence source recorded</x:v>
      </x:c>
      <x:c r="AC188" s="43" t="str">
        <x:v>Excluded from Maya's elderly recommendation results because no source-backed elderly accessibility feature is recorded in the reviewed data. This does not mean the attraction is inaccessible.</x:v>
      </x:c>
      <x:c r="AD188" s="43" t="str">
        <x:v>2026-08-16</x:v>
      </x:c>
    </x:row>
    <x:row r="189" ht="60" customHeight="1">
      <x:c r="A189" s="16" t="s">
        <x:v>1112</x:v>
      </x:c>
      <x:c r="B189" s="16" t="s">
        <x:v>1113</x:v>
      </x:c>
      <x:c r="C189" s="16" t="s">
        <x:v>1023</x:v>
      </x:c>
      <x:c r="D189" s="16" t="s">
        <x:v>1039</x:v>
      </x:c>
      <x:c r="E189" s="16" t="s">
        <x:v>99</x:v>
      </x:c>
      <x:c r="F189" s="16" t="s">
        <x:v>121</x:v>
      </x:c>
      <x:c r="G189" s="16" t="s">
        <x:v>46</x:v>
      </x:c>
      <x:c r="H189" s="17" t="s">
        <x:v>1114</x:v>
      </x:c>
      <x:c r="I189" s="17" t="s">
        <x:v>1115</x:v>
      </x:c>
      <x:c r="J189" s="17" t="s">
        <x:v>1116</x:v>
      </x:c>
      <x:c r="K189" s="17" t="s">
        <x:v>1028</x:v>
      </x:c>
      <x:c r="L189" s="17" t="s">
        <x:v>111</x:v>
      </x:c>
      <x:c r="M189" s="17" t="s">
        <x:v>1086</x:v>
      </x:c>
      <x:c r="N189" s="16"/>
      <x:c r="O189" s="18">
        <x:v>46249</x:v>
      </x:c>
      <x:c r="P189" s="19" t="s">
        <x:v>34</x:v>
      </x:c>
      <x:c r="Q189" s="17"/>
      <x:c r="R189" s="19" t="str">
        <x:f t="shared" si="2"/>
        <x:v>Discovery Link Only</x:v>
      </x:c>
      <x:c r="S189" s="43" t="str">
        <x:v>Unknown</x:v>
      </x:c>
      <x:c r="T189" s="43" t="str">
        <x:v>Unknown</x:v>
      </x:c>
      <x:c r="U189" s="43" t="str">
        <x:v>Unknown</x:v>
      </x:c>
      <x:c r="V189" s="43" t="str">
        <x:v>Unknown</x:v>
      </x:c>
      <x:c r="W189" s="43" t="str">
        <x:v>Unknown</x:v>
      </x:c>
      <x:c r="X189" s="43" t="str">
        <x:v>Unknown</x:v>
      </x:c>
      <x:c r="Y189" s="43" t="str">
        <x:v>Unknown</x:v>
      </x:c>
      <x:c r="Z189" s="43"/>
      <x:c r="AA189" s="43" t="str">
        <x:v>Excluded</x:v>
      </x:c>
      <x:c r="AB189" s="43" t="str">
        <x:v>No qualifying evidence source recorded</x:v>
      </x:c>
      <x:c r="AC189" s="43" t="str">
        <x:v>Excluded from Maya's elderly recommendation results because no source-backed elderly accessibility feature is recorded in the reviewed data. This does not mean the attraction is inaccessible.</x:v>
      </x:c>
      <x:c r="AD189" s="43" t="str">
        <x:v>2026-08-16</x:v>
      </x:c>
    </x:row>
    <x:row r="190" ht="60" customHeight="1">
      <x:c r="A190" s="16" t="s">
        <x:v>1117</x:v>
      </x:c>
      <x:c r="B190" s="16" t="s">
        <x:v>1118</x:v>
      </x:c>
      <x:c r="C190" s="16" t="s">
        <x:v>1023</x:v>
      </x:c>
      <x:c r="D190" s="16" t="s">
        <x:v>1050</x:v>
      </x:c>
      <x:c r="E190" s="16" t="s">
        <x:v>162</x:v>
      </x:c>
      <x:c r="F190" s="16" t="s">
        <x:v>121</x:v>
      </x:c>
      <x:c r="G190" s="16" t="s">
        <x:v>46</x:v>
      </x:c>
      <x:c r="H190" s="17" t="s">
        <x:v>1119</x:v>
      </x:c>
      <x:c r="I190" s="17" t="s">
        <x:v>1120</x:v>
      </x:c>
      <x:c r="J190" s="17" t="s">
        <x:v>1121</x:v>
      </x:c>
      <x:c r="K190" s="17" t="s">
        <x:v>1028</x:v>
      </x:c>
      <x:c r="L190" s="17" t="s">
        <x:v>111</x:v>
      </x:c>
      <x:c r="M190" s="17" t="s">
        <x:v>1086</x:v>
      </x:c>
      <x:c r="N190" s="16"/>
      <x:c r="O190" s="18">
        <x:v>46249</x:v>
      </x:c>
      <x:c r="P190" s="19" t="s">
        <x:v>34</x:v>
      </x:c>
      <x:c r="Q190" s="17"/>
      <x:c r="R190" s="19" t="str">
        <x:f t="shared" si="2"/>
        <x:v>Discovery Link Only</x:v>
      </x:c>
      <x:c r="S190" s="43" t="str">
        <x:v>Unknown</x:v>
      </x:c>
      <x:c r="T190" s="43" t="str">
        <x:v>Unknown</x:v>
      </x:c>
      <x:c r="U190" s="43" t="str">
        <x:v>Unknown</x:v>
      </x:c>
      <x:c r="V190" s="43" t="str">
        <x:v>Unknown</x:v>
      </x:c>
      <x:c r="W190" s="43" t="str">
        <x:v>Unknown</x:v>
      </x:c>
      <x:c r="X190" s="43" t="str">
        <x:v>Unknown</x:v>
      </x:c>
      <x:c r="Y190" s="43" t="str">
        <x:v>Unknown</x:v>
      </x:c>
      <x:c r="Z190" s="43"/>
      <x:c r="AA190" s="43" t="str">
        <x:v>Excluded</x:v>
      </x:c>
      <x:c r="AB190" s="43" t="str">
        <x:v>No qualifying evidence source recorded</x:v>
      </x:c>
      <x:c r="AC190" s="43" t="str">
        <x:v>Excluded from Maya's elderly recommendation results because no source-backed elderly accessibility feature is recorded in the reviewed data. This does not mean the attraction is inaccessible.</x:v>
      </x:c>
      <x:c r="AD190" s="43" t="str">
        <x:v>2026-08-16</x:v>
      </x:c>
    </x:row>
    <x:row r="191" ht="60" customHeight="1">
      <x:c r="A191" s="16" t="s">
        <x:v>1122</x:v>
      </x:c>
      <x:c r="B191" s="16" t="s">
        <x:v>1123</x:v>
      </x:c>
      <x:c r="C191" s="16" t="s">
        <x:v>1023</x:v>
      </x:c>
      <x:c r="D191" s="16" t="s">
        <x:v>1124</x:v>
      </x:c>
      <x:c r="E191" s="16" t="s">
        <x:v>162</x:v>
      </x:c>
      <x:c r="F191" s="16" t="s">
        <x:v>121</x:v>
      </x:c>
      <x:c r="G191" s="16" t="s">
        <x:v>46</x:v>
      </x:c>
      <x:c r="H191" s="17" t="s">
        <x:v>1125</x:v>
      </x:c>
      <x:c r="I191" s="17" t="s">
        <x:v>1126</x:v>
      </x:c>
      <x:c r="J191" s="17" t="s">
        <x:v>1127</x:v>
      </x:c>
      <x:c r="K191" s="17" t="s">
        <x:v>1028</x:v>
      </x:c>
      <x:c r="L191" s="17" t="s">
        <x:v>111</x:v>
      </x:c>
      <x:c r="M191" s="17" t="s">
        <x:v>1086</x:v>
      </x:c>
      <x:c r="N191" s="16"/>
      <x:c r="O191" s="18">
        <x:v>46249</x:v>
      </x:c>
      <x:c r="P191" s="19" t="s">
        <x:v>34</x:v>
      </x:c>
      <x:c r="Q191" s="17"/>
      <x:c r="R191" s="19" t="str">
        <x:f t="shared" si="2"/>
        <x:v>Discovery Link Only</x:v>
      </x:c>
      <x:c r="S191" s="43" t="str">
        <x:v>Unknown</x:v>
      </x:c>
      <x:c r="T191" s="43" t="str">
        <x:v>Unknown</x:v>
      </x:c>
      <x:c r="U191" s="43" t="str">
        <x:v>Unknown</x:v>
      </x:c>
      <x:c r="V191" s="43" t="str">
        <x:v>Unknown</x:v>
      </x:c>
      <x:c r="W191" s="43" t="str">
        <x:v>Unknown</x:v>
      </x:c>
      <x:c r="X191" s="43" t="str">
        <x:v>Unknown</x:v>
      </x:c>
      <x:c r="Y191" s="43" t="str">
        <x:v>Unknown</x:v>
      </x:c>
      <x:c r="Z191" s="43"/>
      <x:c r="AA191" s="43" t="str">
        <x:v>Excluded</x:v>
      </x:c>
      <x:c r="AB191" s="43" t="str">
        <x:v>No qualifying evidence source recorded</x:v>
      </x:c>
      <x:c r="AC191" s="43" t="str">
        <x:v>Excluded from Maya's elderly recommendation results because no source-backed elderly accessibility feature is recorded in the reviewed data. This does not mean the attraction is inaccessible.</x:v>
      </x:c>
      <x:c r="AD191" s="43" t="str">
        <x:v>2026-08-16</x:v>
      </x:c>
    </x:row>
    <x:row r="192" ht="60" customHeight="1">
      <x:c r="A192" s="16" t="s">
        <x:v>1128</x:v>
      </x:c>
      <x:c r="B192" s="16" t="s">
        <x:v>1129</x:v>
      </x:c>
      <x:c r="C192" s="16" t="s">
        <x:v>1023</x:v>
      </x:c>
      <x:c r="D192" s="16" t="s">
        <x:v>1124</x:v>
      </x:c>
      <x:c r="E192" s="16" t="s">
        <x:v>162</x:v>
      </x:c>
      <x:c r="F192" s="16" t="s">
        <x:v>121</x:v>
      </x:c>
      <x:c r="G192" s="16" t="s">
        <x:v>46</x:v>
      </x:c>
      <x:c r="H192" s="17" t="s">
        <x:v>1130</x:v>
      </x:c>
      <x:c r="I192" s="17" t="s">
        <x:v>1131</x:v>
      </x:c>
      <x:c r="J192" s="17" t="s">
        <x:v>1132</x:v>
      </x:c>
      <x:c r="K192" s="17" t="s">
        <x:v>1028</x:v>
      </x:c>
      <x:c r="L192" s="17" t="s">
        <x:v>111</x:v>
      </x:c>
      <x:c r="M192" s="17" t="s">
        <x:v>1086</x:v>
      </x:c>
      <x:c r="N192" s="16"/>
      <x:c r="O192" s="18">
        <x:v>46249</x:v>
      </x:c>
      <x:c r="P192" s="19" t="s">
        <x:v>34</x:v>
      </x:c>
      <x:c r="Q192" s="17"/>
      <x:c r="R192" s="19" t="str">
        <x:f t="shared" si="2"/>
        <x:v>Discovery Link Only</x:v>
      </x:c>
      <x:c r="S192" s="43" t="str">
        <x:v>Unknown</x:v>
      </x:c>
      <x:c r="T192" s="43" t="str">
        <x:v>Unknown</x:v>
      </x:c>
      <x:c r="U192" s="43" t="str">
        <x:v>Unknown</x:v>
      </x:c>
      <x:c r="V192" s="43" t="str">
        <x:v>Unknown</x:v>
      </x:c>
      <x:c r="W192" s="43" t="str">
        <x:v>Unknown</x:v>
      </x:c>
      <x:c r="X192" s="43" t="str">
        <x:v>Unknown</x:v>
      </x:c>
      <x:c r="Y192" s="43" t="str">
        <x:v>Unknown</x:v>
      </x:c>
      <x:c r="Z192" s="43"/>
      <x:c r="AA192" s="43" t="str">
        <x:v>Excluded</x:v>
      </x:c>
      <x:c r="AB192" s="43" t="str">
        <x:v>No qualifying evidence source recorded</x:v>
      </x:c>
      <x:c r="AC192" s="43" t="str">
        <x:v>Excluded from Maya's elderly recommendation results because no source-backed elderly accessibility feature is recorded in the reviewed data. This does not mean the attraction is inaccessible.</x:v>
      </x:c>
      <x:c r="AD192" s="43" t="str">
        <x:v>2026-08-16</x:v>
      </x:c>
    </x:row>
    <x:row r="193" ht="60" customHeight="1">
      <x:c r="A193" s="16" t="s">
        <x:v>1133</x:v>
      </x:c>
      <x:c r="B193" s="16" t="s">
        <x:v>1134</x:v>
      </x:c>
      <x:c r="C193" s="16" t="s">
        <x:v>1023</x:v>
      </x:c>
      <x:c r="D193" s="16" t="s">
        <x:v>1135</x:v>
      </x:c>
      <x:c r="E193" s="16" t="s">
        <x:v>133</x:v>
      </x:c>
      <x:c r="F193" s="16" t="s">
        <x:v>107</x:v>
      </x:c>
      <x:c r="G193" s="16" t="s">
        <x:v>134</x:v>
      </x:c>
      <x:c r="H193" s="17" t="s">
        <x:v>1136</x:v>
      </x:c>
      <x:c r="I193" s="17" t="s">
        <x:v>1137</x:v>
      </x:c>
      <x:c r="J193" s="17" t="s">
        <x:v>1138</x:v>
      </x:c>
      <x:c r="K193" s="17" t="s">
        <x:v>1028</x:v>
      </x:c>
      <x:c r="L193" s="17" t="s">
        <x:v>111</x:v>
      </x:c>
      <x:c r="M193" s="17" t="s">
        <x:v>1086</x:v>
      </x:c>
      <x:c r="N193" s="16"/>
      <x:c r="O193" s="18">
        <x:v>46249</x:v>
      </x:c>
      <x:c r="P193" s="19" t="s">
        <x:v>34</x:v>
      </x:c>
      <x:c r="Q193" s="17"/>
      <x:c r="R193" s="19" t="str">
        <x:f t="shared" si="2"/>
        <x:v>Discovery Link Only</x:v>
      </x:c>
      <x:c r="S193" s="43" t="str">
        <x:v>Unknown</x:v>
      </x:c>
      <x:c r="T193" s="43" t="str">
        <x:v>Unknown</x:v>
      </x:c>
      <x:c r="U193" s="43" t="str">
        <x:v>Unknown</x:v>
      </x:c>
      <x:c r="V193" s="43" t="str">
        <x:v>Unknown</x:v>
      </x:c>
      <x:c r="W193" s="43" t="str">
        <x:v>Unknown</x:v>
      </x:c>
      <x:c r="X193" s="43" t="str">
        <x:v>Unknown</x:v>
      </x:c>
      <x:c r="Y193" s="43" t="str">
        <x:v>Unknown</x:v>
      </x:c>
      <x:c r="Z193" s="43"/>
      <x:c r="AA193" s="43" t="str">
        <x:v>Excluded</x:v>
      </x:c>
      <x:c r="AB193" s="43" t="str">
        <x:v>No qualifying evidence source recorded</x:v>
      </x:c>
      <x:c r="AC193" s="43" t="str">
        <x:v>Excluded from Maya's elderly recommendation results because no source-backed elderly accessibility feature is recorded in the reviewed data. This does not mean the attraction is inaccessible.</x:v>
      </x:c>
      <x:c r="AD193" s="43" t="str">
        <x:v>2026-08-16</x:v>
      </x:c>
    </x:row>
    <x:row r="194" ht="60" customHeight="1">
      <x:c r="A194" s="16" t="s">
        <x:v>1139</x:v>
      </x:c>
      <x:c r="B194" s="16" t="s">
        <x:v>1140</x:v>
      </x:c>
      <x:c r="C194" s="16" t="s">
        <x:v>1023</x:v>
      </x:c>
      <x:c r="D194" s="16" t="s">
        <x:v>1135</x:v>
      </x:c>
      <x:c r="E194" s="16" t="s">
        <x:v>106</x:v>
      </x:c>
      <x:c r="F194" s="16" t="s">
        <x:v>107</x:v>
      </x:c>
      <x:c r="G194" s="16" t="s">
        <x:v>46</x:v>
      </x:c>
      <x:c r="H194" s="17" t="s">
        <x:v>1141</x:v>
      </x:c>
      <x:c r="I194" s="17" t="s">
        <x:v>1142</x:v>
      </x:c>
      <x:c r="J194" s="17" t="s">
        <x:v>1143</x:v>
      </x:c>
      <x:c r="K194" s="17" t="s">
        <x:v>1028</x:v>
      </x:c>
      <x:c r="L194" s="17" t="s">
        <x:v>111</x:v>
      </x:c>
      <x:c r="M194" s="17" t="s">
        <x:v>1086</x:v>
      </x:c>
      <x:c r="N194" s="16"/>
      <x:c r="O194" s="18">
        <x:v>46249</x:v>
      </x:c>
      <x:c r="P194" s="19" t="s">
        <x:v>34</x:v>
      </x:c>
      <x:c r="Q194" s="17"/>
      <x:c r="R194" s="19" t="str">
        <x:f t="shared" si="2"/>
        <x:v>Discovery Link Only</x:v>
      </x:c>
      <x:c r="S194" s="43" t="str">
        <x:v>Unknown</x:v>
      </x:c>
      <x:c r="T194" s="43" t="str">
        <x:v>Unknown</x:v>
      </x:c>
      <x:c r="U194" s="43" t="str">
        <x:v>Unknown</x:v>
      </x:c>
      <x:c r="V194" s="43" t="str">
        <x:v>Unknown</x:v>
      </x:c>
      <x:c r="W194" s="43" t="str">
        <x:v>Unknown</x:v>
      </x:c>
      <x:c r="X194" s="43" t="str">
        <x:v>Unknown</x:v>
      </x:c>
      <x:c r="Y194" s="43" t="str">
        <x:v>Unknown</x:v>
      </x:c>
      <x:c r="Z194" s="43"/>
      <x:c r="AA194" s="43" t="str">
        <x:v>Excluded</x:v>
      </x:c>
      <x:c r="AB194" s="43" t="str">
        <x:v>No qualifying evidence source recorded</x:v>
      </x:c>
      <x:c r="AC194" s="43" t="str">
        <x:v>Excluded from Maya's elderly recommendation results because no source-backed elderly accessibility feature is recorded in the reviewed data. This does not mean the attraction is inaccessible.</x:v>
      </x:c>
      <x:c r="AD194" s="43" t="str">
        <x:v>2026-08-16</x:v>
      </x:c>
    </x:row>
    <x:row r="195" ht="60" customHeight="1">
      <x:c r="A195" s="16" t="s">
        <x:v>1144</x:v>
      </x:c>
      <x:c r="B195" s="16" t="s">
        <x:v>1145</x:v>
      </x:c>
      <x:c r="C195" s="16" t="s">
        <x:v>1023</x:v>
      </x:c>
      <x:c r="D195" s="16" t="s">
        <x:v>1146</x:v>
      </x:c>
      <x:c r="E195" s="16" t="s">
        <x:v>106</x:v>
      </x:c>
      <x:c r="F195" s="16" t="s">
        <x:v>107</x:v>
      </x:c>
      <x:c r="G195" s="16" t="s">
        <x:v>46</x:v>
      </x:c>
      <x:c r="H195" s="17" t="s">
        <x:v>1147</x:v>
      </x:c>
      <x:c r="I195" s="17" t="s">
        <x:v>1148</x:v>
      </x:c>
      <x:c r="J195" s="17" t="s">
        <x:v>1149</x:v>
      </x:c>
      <x:c r="K195" s="17" t="s">
        <x:v>1028</x:v>
      </x:c>
      <x:c r="L195" s="17" t="s">
        <x:v>111</x:v>
      </x:c>
      <x:c r="M195" s="17" t="s">
        <x:v>1086</x:v>
      </x:c>
      <x:c r="N195" s="16"/>
      <x:c r="O195" s="18">
        <x:v>46249</x:v>
      </x:c>
      <x:c r="P195" s="19" t="s">
        <x:v>34</x:v>
      </x:c>
      <x:c r="Q195" s="17"/>
      <x:c r="R195" s="19" t="str">
        <x:f t="shared" si="2"/>
        <x:v>Discovery Link Only</x:v>
      </x:c>
      <x:c r="S195" s="43" t="str">
        <x:v>Unknown</x:v>
      </x:c>
      <x:c r="T195" s="43" t="str">
        <x:v>Unknown</x:v>
      </x:c>
      <x:c r="U195" s="43" t="str">
        <x:v>Unknown</x:v>
      </x:c>
      <x:c r="V195" s="43" t="str">
        <x:v>Unknown</x:v>
      </x:c>
      <x:c r="W195" s="43" t="str">
        <x:v>Unknown</x:v>
      </x:c>
      <x:c r="X195" s="43" t="str">
        <x:v>Unknown</x:v>
      </x:c>
      <x:c r="Y195" s="43" t="str">
        <x:v>Unknown</x:v>
      </x:c>
      <x:c r="Z195" s="43"/>
      <x:c r="AA195" s="43" t="str">
        <x:v>Excluded</x:v>
      </x:c>
      <x:c r="AB195" s="43" t="str">
        <x:v>No qualifying evidence source recorded</x:v>
      </x:c>
      <x:c r="AC195" s="43" t="str">
        <x:v>Excluded from Maya's elderly recommendation results because no source-backed elderly accessibility feature is recorded in the reviewed data. This does not mean the attraction is inaccessible.</x:v>
      </x:c>
      <x:c r="AD195" s="43" t="str">
        <x:v>2026-08-16</x:v>
      </x:c>
    </x:row>
    <x:row r="196" ht="60" customHeight="1">
      <x:c r="A196" s="16" t="s">
        <x:v>1150</x:v>
      </x:c>
      <x:c r="B196" s="16" t="s">
        <x:v>1151</x:v>
      </x:c>
      <x:c r="C196" s="16" t="s">
        <x:v>1023</x:v>
      </x:c>
      <x:c r="D196" s="16" t="s">
        <x:v>1152</x:v>
      </x:c>
      <x:c r="E196" s="16" t="s">
        <x:v>45</x:v>
      </x:c>
      <x:c r="F196" s="16" t="s">
        <x:v>121</x:v>
      </x:c>
      <x:c r="G196" s="16" t="s">
        <x:v>26</x:v>
      </x:c>
      <x:c r="H196" s="17" t="s">
        <x:v>1153</x:v>
      </x:c>
      <x:c r="I196" s="17" t="s">
        <x:v>1154</x:v>
      </x:c>
      <x:c r="J196" s="17" t="s">
        <x:v>1155</x:v>
      </x:c>
      <x:c r="K196" s="17" t="s">
        <x:v>1028</x:v>
      </x:c>
      <x:c r="L196" s="17" t="s">
        <x:v>111</x:v>
      </x:c>
      <x:c r="M196" s="17" t="s">
        <x:v>1086</x:v>
      </x:c>
      <x:c r="N196" s="16"/>
      <x:c r="O196" s="18">
        <x:v>46249</x:v>
      </x:c>
      <x:c r="P196" s="19" t="s">
        <x:v>34</x:v>
      </x:c>
      <x:c r="Q196" s="17"/>
      <x:c r="R196" s="19" t="str">
        <x:f t="shared" ref="R196:R259" si="3">IF(J196="","Missing Link",IF(AND(ISNUMBER(SEARCH("google.com/maps",J196)),ISERROR(SEARCH(";",J196))),"Discovery Link Only","Source Link Present"))</x:f>
        <x:v>Discovery Link Only</x:v>
      </x:c>
      <x:c r="S196" s="43" t="str">
        <x:v>Unknown</x:v>
      </x:c>
      <x:c r="T196" s="43" t="str">
        <x:v>Unknown</x:v>
      </x:c>
      <x:c r="U196" s="43" t="str">
        <x:v>Unknown</x:v>
      </x:c>
      <x:c r="V196" s="43" t="str">
        <x:v>Unknown</x:v>
      </x:c>
      <x:c r="W196" s="43" t="str">
        <x:v>Unknown</x:v>
      </x:c>
      <x:c r="X196" s="43" t="str">
        <x:v>Unknown</x:v>
      </x:c>
      <x:c r="Y196" s="43" t="str">
        <x:v>Unknown</x:v>
      </x:c>
      <x:c r="Z196" s="43"/>
      <x:c r="AA196" s="43" t="str">
        <x:v>Excluded</x:v>
      </x:c>
      <x:c r="AB196" s="43" t="str">
        <x:v>No qualifying evidence source recorded</x:v>
      </x:c>
      <x:c r="AC196" s="43" t="str">
        <x:v>Excluded from Maya's elderly recommendation results because no source-backed elderly accessibility feature is recorded in the reviewed data. This does not mean the attraction is inaccessible.</x:v>
      </x:c>
      <x:c r="AD196" s="43" t="str">
        <x:v>2026-08-16</x:v>
      </x:c>
    </x:row>
    <x:row r="197" ht="60" customHeight="1">
      <x:c r="A197" s="16" t="s">
        <x:v>1156</x:v>
      </x:c>
      <x:c r="B197" s="16" t="s">
        <x:v>1157</x:v>
      </x:c>
      <x:c r="C197" s="16" t="s">
        <x:v>1023</x:v>
      </x:c>
      <x:c r="D197" s="16" t="s">
        <x:v>1152</x:v>
      </x:c>
      <x:c r="E197" s="16" t="s">
        <x:v>37</x:v>
      </x:c>
      <x:c r="F197" s="16" t="s">
        <x:v>121</x:v>
      </x:c>
      <x:c r="G197" s="16" t="s">
        <x:v>26</x:v>
      </x:c>
      <x:c r="H197" s="17" t="s">
        <x:v>1158</x:v>
      </x:c>
      <x:c r="I197" s="17" t="s">
        <x:v>1159</x:v>
      </x:c>
      <x:c r="J197" s="17" t="str">
        <x:v>https://www.google.com/maps/search/?api=1&amp;query=Penang%20Bird%20Park%2C%20Penang%2C%20Malaysia
https://www.penangbirdpark.com.my/about.php</x:v>
      </x:c>
      <x:c r="K197" s="17" t="s">
        <x:v>1028</x:v>
      </x:c>
      <x:c r="L197" s="17" t="s">
        <x:v>111</x:v>
      </x:c>
      <x:c r="M197" s="17" t="s">
        <x:v>1086</x:v>
      </x:c>
      <x:c r="N197" s="16"/>
      <x:c r="O197" s="18">
        <x:v>46249</x:v>
      </x:c>
      <x:c r="P197" s="19" t="s">
        <x:v>34</x:v>
      </x:c>
      <x:c r="Q197" s="17"/>
      <x:c r="R197" s="19" t="str">
        <x:f t="shared" si="3"/>
        <x:v>Discovery Link Only</x:v>
      </x:c>
      <x:c r="S197" s="43" t="str">
        <x:v>Moderate</x:v>
      </x:c>
      <x:c r="T197" s="43" t="str">
        <x:v>Unknown</x:v>
      </x:c>
      <x:c r="U197" s="43" t="str">
        <x:v>Yes</x:v>
      </x:c>
      <x:c r="V197" s="43" t="str">
        <x:v>Unknown</x:v>
      </x:c>
      <x:c r="W197" s="43" t="str">
        <x:v>Unknown</x:v>
      </x:c>
      <x:c r="X197" s="43" t="str">
        <x:v>Partial</x:v>
      </x:c>
      <x:c r="Y197" s="43" t="str">
        <x:v>Suitable with assistance</x:v>
      </x:c>
      <x:c r="Z197" s="43" t="str">
        <x:v>The five-acre garden-style park includes bridges and walk-in aviaries. Malay huts provide places to rest, and an air-conditioned restaurant offers shelter, but step-free access is not documented.</x:v>
      </x:c>
      <x:c r="AA197" s="43" t="str">
        <x:v>Eligible</x:v>
      </x:c>
      <x:c r="AB197" s="43" t="str">
        <x:v>https://www.penangbirdpark.com.my/about.php</x:v>
      </x:c>
      <x:c r="AC197" s="43" t="str">
        <x:v>Included in Maya's elderly recommendation results: Resting huts and an air-conditioned restaurant provide seats and shelter.</x:v>
      </x:c>
      <x:c r="AD197" s="43" t="str">
        <x:v>2026-08-16</x:v>
      </x:c>
    </x:row>
    <x:row r="198" ht="60" customHeight="1">
      <x:c r="A198" s="16" t="s">
        <x:v>1160</x:v>
      </x:c>
      <x:c r="B198" s="16" t="s">
        <x:v>1161</x:v>
      </x:c>
      <x:c r="C198" s="16" t="s">
        <x:v>1162</x:v>
      </x:c>
      <x:c r="D198" s="16" t="s">
        <x:v>1163</x:v>
      </x:c>
      <x:c r="E198" s="16" t="s">
        <x:v>72</x:v>
      </x:c>
      <x:c r="F198" s="16" t="s">
        <x:v>121</x:v>
      </x:c>
      <x:c r="G198" s="16" t="s">
        <x:v>26</x:v>
      </x:c>
      <x:c r="H198" s="17" t="s">
        <x:v>1164</x:v>
      </x:c>
      <x:c r="I198" s="17" t="s">
        <x:v>1165</x:v>
      </x:c>
      <x:c r="J198" s="17" t="s">
        <x:v>1166</x:v>
      </x:c>
      <x:c r="K198" s="17" t="s">
        <x:v>1167</x:v>
      </x:c>
      <x:c r="L198" s="17" t="s">
        <x:v>58</x:v>
      </x:c>
      <x:c r="M198" s="17" t="s">
        <x:v>256</x:v>
      </x:c>
      <x:c r="N198" s="16" t="s">
        <x:v>1168</x:v>
      </x:c>
      <x:c r="O198" s="18">
        <x:v>46249</x:v>
      </x:c>
      <x:c r="P198" s="19" t="s">
        <x:v>34</x:v>
      </x:c>
      <x:c r="Q198" s="17"/>
      <x:c r="R198" s="19" t="str">
        <x:f t="shared" si="3"/>
        <x:v>Source Link Present</x:v>
      </x:c>
      <x:c r="S198" s="43" t="str">
        <x:v>Unknown</x:v>
      </x:c>
      <x:c r="T198" s="43" t="str">
        <x:v>Unknown</x:v>
      </x:c>
      <x:c r="U198" s="43" t="str">
        <x:v>Unknown</x:v>
      </x:c>
      <x:c r="V198" s="43" t="str">
        <x:v>Unknown</x:v>
      </x:c>
      <x:c r="W198" s="43" t="str">
        <x:v>Unknown</x:v>
      </x:c>
      <x:c r="X198" s="43" t="str">
        <x:v>Unknown</x:v>
      </x:c>
      <x:c r="Y198" s="43" t="str">
        <x:v>Unknown</x:v>
      </x:c>
      <x:c r="Z198" s="43"/>
      <x:c r="AA198" s="43" t="str">
        <x:v>Excluded</x:v>
      </x:c>
      <x:c r="AB198" s="43" t="str">
        <x:v>No qualifying evidence source recorded</x:v>
      </x:c>
      <x:c r="AC198" s="43" t="str">
        <x:v>Excluded from Maya's elderly recommendation results because no source-backed elderly accessibility feature is recorded in the reviewed data. This does not mean the attraction is inaccessible.</x:v>
      </x:c>
      <x:c r="AD198" s="43" t="str">
        <x:v>2026-08-16</x:v>
      </x:c>
    </x:row>
    <x:row r="199" ht="60" customHeight="1">
      <x:c r="A199" s="16" t="s">
        <x:v>1169</x:v>
      </x:c>
      <x:c r="B199" s="16" t="s">
        <x:v>1170</x:v>
      </x:c>
      <x:c r="C199" s="16" t="s">
        <x:v>1162</x:v>
      </x:c>
      <x:c r="D199" s="16" t="s">
        <x:v>1171</x:v>
      </x:c>
      <x:c r="E199" s="16" t="s">
        <x:v>394</x:v>
      </x:c>
      <x:c r="F199" s="16" t="s">
        <x:v>25</x:v>
      </x:c>
      <x:c r="G199" s="16" t="s">
        <x:v>26</x:v>
      </x:c>
      <x:c r="H199" s="17" t="s">
        <x:v>1172</x:v>
      </x:c>
      <x:c r="I199" s="17" t="s">
        <x:v>1173</x:v>
      </x:c>
      <x:c r="J199" s="17" t="s">
        <x:v>1174</x:v>
      </x:c>
      <x:c r="K199" s="17" t="s">
        <x:v>1167</x:v>
      </x:c>
      <x:c r="L199" s="17" t="s">
        <x:v>58</x:v>
      </x:c>
      <x:c r="M199" s="17" t="s">
        <x:v>256</x:v>
      </x:c>
      <x:c r="N199" s="16" t="s">
        <x:v>1175</x:v>
      </x:c>
      <x:c r="O199" s="18">
        <x:v>46249</x:v>
      </x:c>
      <x:c r="P199" s="19" t="s">
        <x:v>34</x:v>
      </x:c>
      <x:c r="Q199" s="17"/>
      <x:c r="R199" s="19" t="str">
        <x:f t="shared" si="3"/>
        <x:v>Source Link Present</x:v>
      </x:c>
      <x:c r="S199" s="43" t="str">
        <x:v>Unknown</x:v>
      </x:c>
      <x:c r="T199" s="43" t="str">
        <x:v>Unknown</x:v>
      </x:c>
      <x:c r="U199" s="43" t="str">
        <x:v>Unknown</x:v>
      </x:c>
      <x:c r="V199" s="43" t="str">
        <x:v>Unknown</x:v>
      </x:c>
      <x:c r="W199" s="43" t="str">
        <x:v>Unknown</x:v>
      </x:c>
      <x:c r="X199" s="43" t="str">
        <x:v>Unknown</x:v>
      </x:c>
      <x:c r="Y199" s="43" t="str">
        <x:v>Unknown</x:v>
      </x:c>
      <x:c r="Z199" s="43"/>
      <x:c r="AA199" s="43" t="str">
        <x:v>Excluded</x:v>
      </x:c>
      <x:c r="AB199" s="43" t="str">
        <x:v>No qualifying evidence source recorded</x:v>
      </x:c>
      <x:c r="AC199" s="43" t="str">
        <x:v>Excluded from Maya's elderly recommendation results because no source-backed elderly accessibility feature is recorded in the reviewed data. This does not mean the attraction is inaccessible.</x:v>
      </x:c>
      <x:c r="AD199" s="43" t="str">
        <x:v>2026-08-16</x:v>
      </x:c>
    </x:row>
    <x:row r="200" ht="60" customHeight="1">
      <x:c r="A200" s="16" t="s">
        <x:v>1176</x:v>
      </x:c>
      <x:c r="B200" s="16" t="s">
        <x:v>1177</x:v>
      </x:c>
      <x:c r="C200" s="16" t="s">
        <x:v>1162</x:v>
      </x:c>
      <x:c r="D200" s="16" t="s">
        <x:v>1178</x:v>
      </x:c>
      <x:c r="E200" s="16" t="s">
        <x:v>64</x:v>
      </x:c>
      <x:c r="F200" s="16" t="s">
        <x:v>25</x:v>
      </x:c>
      <x:c r="G200" s="16" t="s">
        <x:v>46</x:v>
      </x:c>
      <x:c r="H200" s="17" t="s">
        <x:v>1179</x:v>
      </x:c>
      <x:c r="I200" s="17" t="s">
        <x:v>1180</x:v>
      </x:c>
      <x:c r="J200" s="17" t="s">
        <x:v>1181</x:v>
      </x:c>
      <x:c r="K200" s="17" t="s">
        <x:v>1167</x:v>
      </x:c>
      <x:c r="L200" s="17" t="s">
        <x:v>58</x:v>
      </x:c>
      <x:c r="M200" s="17" t="s">
        <x:v>256</x:v>
      </x:c>
      <x:c r="N200" s="16" t="s">
        <x:v>1182</x:v>
      </x:c>
      <x:c r="O200" s="18">
        <x:v>46249</x:v>
      </x:c>
      <x:c r="P200" s="19" t="s">
        <x:v>34</x:v>
      </x:c>
      <x:c r="Q200" s="17"/>
      <x:c r="R200" s="19" t="str">
        <x:f t="shared" si="3"/>
        <x:v>Discovery Link Only</x:v>
      </x:c>
      <x:c r="S200" s="43" t="str">
        <x:v>Unknown</x:v>
      </x:c>
      <x:c r="T200" s="43" t="str">
        <x:v>Unknown</x:v>
      </x:c>
      <x:c r="U200" s="43" t="str">
        <x:v>Unknown</x:v>
      </x:c>
      <x:c r="V200" s="43" t="str">
        <x:v>Unknown</x:v>
      </x:c>
      <x:c r="W200" s="43" t="str">
        <x:v>Unknown</x:v>
      </x:c>
      <x:c r="X200" s="43" t="str">
        <x:v>Unknown</x:v>
      </x:c>
      <x:c r="Y200" s="43" t="str">
        <x:v>Unknown</x:v>
      </x:c>
      <x:c r="Z200" s="43"/>
      <x:c r="AA200" s="43" t="str">
        <x:v>Excluded</x:v>
      </x:c>
      <x:c r="AB200" s="43" t="str">
        <x:v>No qualifying evidence source recorded</x:v>
      </x:c>
      <x:c r="AC200" s="43" t="str">
        <x:v>Excluded from Maya's elderly recommendation results because no source-backed elderly accessibility feature is recorded in the reviewed data. This does not mean the attraction is inaccessible.</x:v>
      </x:c>
      <x:c r="AD200" s="43" t="str">
        <x:v>2026-08-16</x:v>
      </x:c>
    </x:row>
    <x:row r="201" ht="60" customHeight="1">
      <x:c r="A201" s="16" t="s">
        <x:v>1183</x:v>
      </x:c>
      <x:c r="B201" s="16" t="s">
        <x:v>1184</x:v>
      </x:c>
      <x:c r="C201" s="16" t="s">
        <x:v>1162</x:v>
      </x:c>
      <x:c r="D201" s="16" t="s">
        <x:v>1185</x:v>
      </x:c>
      <x:c r="E201" s="16" t="s">
        <x:v>115</x:v>
      </x:c>
      <x:c r="F201" s="16" t="s">
        <x:v>25</x:v>
      </x:c>
      <x:c r="G201" s="16" t="s">
        <x:v>46</x:v>
      </x:c>
      <x:c r="H201" s="17" t="s">
        <x:v>1186</x:v>
      </x:c>
      <x:c r="I201" s="17" t="s">
        <x:v>1187</x:v>
      </x:c>
      <x:c r="J201" s="17" t="s">
        <x:v>1188</x:v>
      </x:c>
      <x:c r="K201" s="17" t="s">
        <x:v>1167</x:v>
      </x:c>
      <x:c r="L201" s="17" t="s">
        <x:v>58</x:v>
      </x:c>
      <x:c r="M201" s="17" t="s">
        <x:v>256</x:v>
      </x:c>
      <x:c r="N201" s="16" t="s">
        <x:v>1189</x:v>
      </x:c>
      <x:c r="O201" s="18">
        <x:v>46249</x:v>
      </x:c>
      <x:c r="P201" s="19" t="s">
        <x:v>34</x:v>
      </x:c>
      <x:c r="Q201" s="17"/>
      <x:c r="R201" s="19" t="str">
        <x:f t="shared" si="3"/>
        <x:v>Discovery Link Only</x:v>
      </x:c>
      <x:c r="S201" s="43" t="str">
        <x:v>Unknown</x:v>
      </x:c>
      <x:c r="T201" s="43" t="str">
        <x:v>Unknown</x:v>
      </x:c>
      <x:c r="U201" s="43" t="str">
        <x:v>Unknown</x:v>
      </x:c>
      <x:c r="V201" s="43" t="str">
        <x:v>Unknown</x:v>
      </x:c>
      <x:c r="W201" s="43" t="str">
        <x:v>Unknown</x:v>
      </x:c>
      <x:c r="X201" s="43" t="str">
        <x:v>Unknown</x:v>
      </x:c>
      <x:c r="Y201" s="43" t="str">
        <x:v>Unknown</x:v>
      </x:c>
      <x:c r="Z201" s="43"/>
      <x:c r="AA201" s="43" t="str">
        <x:v>Excluded</x:v>
      </x:c>
      <x:c r="AB201" s="43" t="str">
        <x:v>No qualifying evidence source recorded</x:v>
      </x:c>
      <x:c r="AC201" s="43" t="str">
        <x:v>Excluded from Maya's elderly recommendation results because no source-backed elderly accessibility feature is recorded in the reviewed data. This does not mean the attraction is inaccessible.</x:v>
      </x:c>
      <x:c r="AD201" s="43" t="str">
        <x:v>2026-08-16</x:v>
      </x:c>
    </x:row>
    <x:row r="202" ht="60" customHeight="1">
      <x:c r="A202" s="16" t="s">
        <x:v>1190</x:v>
      </x:c>
      <x:c r="B202" s="16" t="s">
        <x:v>1191</x:v>
      </x:c>
      <x:c r="C202" s="16" t="s">
        <x:v>1162</x:v>
      </x:c>
      <x:c r="D202" s="16" t="s">
        <x:v>1178</x:v>
      </x:c>
      <x:c r="E202" s="16" t="s">
        <x:v>140</x:v>
      </x:c>
      <x:c r="F202" s="16" t="s">
        <x:v>121</x:v>
      </x:c>
      <x:c r="G202" s="16" t="s">
        <x:v>26</x:v>
      </x:c>
      <x:c r="H202" s="17" t="s">
        <x:v>1192</x:v>
      </x:c>
      <x:c r="I202" s="17" t="s">
        <x:v>1193</x:v>
      </x:c>
      <x:c r="J202" s="17" t="s">
        <x:v>1194</x:v>
      </x:c>
      <x:c r="K202" s="17" t="s">
        <x:v>1167</x:v>
      </x:c>
      <x:c r="L202" s="17" t="s">
        <x:v>58</x:v>
      </x:c>
      <x:c r="M202" s="17" t="s">
        <x:v>256</x:v>
      </x:c>
      <x:c r="N202" s="16" t="s">
        <x:v>1195</x:v>
      </x:c>
      <x:c r="O202" s="18">
        <x:v>46249</x:v>
      </x:c>
      <x:c r="P202" s="19" t="s">
        <x:v>34</x:v>
      </x:c>
      <x:c r="Q202" s="17"/>
      <x:c r="R202" s="19" t="str">
        <x:f t="shared" si="3"/>
        <x:v>Discovery Link Only</x:v>
      </x:c>
      <x:c r="S202" s="43" t="str">
        <x:v>Unknown</x:v>
      </x:c>
      <x:c r="T202" s="43" t="str">
        <x:v>Unknown</x:v>
      </x:c>
      <x:c r="U202" s="43" t="str">
        <x:v>Unknown</x:v>
      </x:c>
      <x:c r="V202" s="43" t="str">
        <x:v>Unknown</x:v>
      </x:c>
      <x:c r="W202" s="43" t="str">
        <x:v>Unknown</x:v>
      </x:c>
      <x:c r="X202" s="43" t="str">
        <x:v>Unknown</x:v>
      </x:c>
      <x:c r="Y202" s="43" t="str">
        <x:v>Unknown</x:v>
      </x:c>
      <x:c r="Z202" s="43"/>
      <x:c r="AA202" s="43" t="str">
        <x:v>Excluded</x:v>
      </x:c>
      <x:c r="AB202" s="43" t="str">
        <x:v>No qualifying evidence source recorded</x:v>
      </x:c>
      <x:c r="AC202" s="43" t="str">
        <x:v>Excluded from Maya's elderly recommendation results because no source-backed elderly accessibility feature is recorded in the reviewed data. This does not mean the attraction is inaccessible.</x:v>
      </x:c>
      <x:c r="AD202" s="43" t="str">
        <x:v>2026-08-16</x:v>
      </x:c>
    </x:row>
    <x:row r="203" ht="60" customHeight="1">
      <x:c r="A203" s="16" t="s">
        <x:v>1196</x:v>
      </x:c>
      <x:c r="B203" s="16" t="s">
        <x:v>1197</x:v>
      </x:c>
      <x:c r="C203" s="16" t="s">
        <x:v>1162</x:v>
      </x:c>
      <x:c r="D203" s="16" t="s">
        <x:v>1198</x:v>
      </x:c>
      <x:c r="E203" s="16" t="s">
        <x:v>45</x:v>
      </x:c>
      <x:c r="F203" s="16" t="s">
        <x:v>25</x:v>
      </x:c>
      <x:c r="G203" s="16" t="s">
        <x:v>26</x:v>
      </x:c>
      <x:c r="H203" s="17" t="s">
        <x:v>1199</x:v>
      </x:c>
      <x:c r="I203" s="17" t="s">
        <x:v>1200</x:v>
      </x:c>
      <x:c r="J203" s="17" t="s">
        <x:v>1201</x:v>
      </x:c>
      <x:c r="K203" s="17" t="s">
        <x:v>1167</x:v>
      </x:c>
      <x:c r="L203" s="17" t="s">
        <x:v>58</x:v>
      </x:c>
      <x:c r="M203" s="17" t="s">
        <x:v>256</x:v>
      </x:c>
      <x:c r="N203" s="16" t="s">
        <x:v>1202</x:v>
      </x:c>
      <x:c r="O203" s="18">
        <x:v>46249</x:v>
      </x:c>
      <x:c r="P203" s="19" t="s">
        <x:v>34</x:v>
      </x:c>
      <x:c r="Q203" s="17"/>
      <x:c r="R203" s="19" t="str">
        <x:f t="shared" si="3"/>
        <x:v>Discovery Link Only</x:v>
      </x:c>
      <x:c r="S203" s="43" t="str">
        <x:v>Unknown</x:v>
      </x:c>
      <x:c r="T203" s="43" t="str">
        <x:v>Unknown</x:v>
      </x:c>
      <x:c r="U203" s="43" t="str">
        <x:v>Unknown</x:v>
      </x:c>
      <x:c r="V203" s="43" t="str">
        <x:v>Unknown</x:v>
      </x:c>
      <x:c r="W203" s="43" t="str">
        <x:v>Unknown</x:v>
      </x:c>
      <x:c r="X203" s="43" t="str">
        <x:v>Unknown</x:v>
      </x:c>
      <x:c r="Y203" s="43" t="str">
        <x:v>Unknown</x:v>
      </x:c>
      <x:c r="Z203" s="43"/>
      <x:c r="AA203" s="43" t="str">
        <x:v>Excluded</x:v>
      </x:c>
      <x:c r="AB203" s="43" t="str">
        <x:v>No qualifying evidence source recorded</x:v>
      </x:c>
      <x:c r="AC203" s="43" t="str">
        <x:v>Excluded from Maya's elderly recommendation results because no source-backed elderly accessibility feature is recorded in the reviewed data. This does not mean the attraction is inaccessible.</x:v>
      </x:c>
      <x:c r="AD203" s="43" t="str">
        <x:v>2026-08-16</x:v>
      </x:c>
    </x:row>
    <x:row r="204" ht="60" customHeight="1">
      <x:c r="A204" s="16" t="s">
        <x:v>1203</x:v>
      </x:c>
      <x:c r="B204" s="16" t="s">
        <x:v>1204</x:v>
      </x:c>
      <x:c r="C204" s="16" t="s">
        <x:v>1162</x:v>
      </x:c>
      <x:c r="D204" s="16" t="s">
        <x:v>1205</x:v>
      </x:c>
      <x:c r="E204" s="16" t="s">
        <x:v>24</x:v>
      </x:c>
      <x:c r="F204" s="16" t="s">
        <x:v>25</x:v>
      </x:c>
      <x:c r="G204" s="16" t="s">
        <x:v>26</x:v>
      </x:c>
      <x:c r="H204" s="17" t="s">
        <x:v>1206</x:v>
      </x:c>
      <x:c r="I204" s="17" t="s">
        <x:v>1207</x:v>
      </x:c>
      <x:c r="J204" s="17" t="s">
        <x:v>1208</x:v>
      </x:c>
      <x:c r="K204" s="17" t="s">
        <x:v>1167</x:v>
      </x:c>
      <x:c r="L204" s="17" t="s">
        <x:v>58</x:v>
      </x:c>
      <x:c r="M204" s="17" t="s">
        <x:v>256</x:v>
      </x:c>
      <x:c r="N204" s="16" t="s">
        <x:v>1209</x:v>
      </x:c>
      <x:c r="O204" s="18">
        <x:v>46249</x:v>
      </x:c>
      <x:c r="P204" s="19" t="s">
        <x:v>34</x:v>
      </x:c>
      <x:c r="Q204" s="17"/>
      <x:c r="R204" s="19" t="str">
        <x:f t="shared" si="3"/>
        <x:v>Discovery Link Only</x:v>
      </x:c>
      <x:c r="S204" s="43" t="str">
        <x:v>Unknown</x:v>
      </x:c>
      <x:c r="T204" s="43" t="str">
        <x:v>Unknown</x:v>
      </x:c>
      <x:c r="U204" s="43" t="str">
        <x:v>Unknown</x:v>
      </x:c>
      <x:c r="V204" s="43" t="str">
        <x:v>Unknown</x:v>
      </x:c>
      <x:c r="W204" s="43" t="str">
        <x:v>Unknown</x:v>
      </x:c>
      <x:c r="X204" s="43" t="str">
        <x:v>Unknown</x:v>
      </x:c>
      <x:c r="Y204" s="43" t="str">
        <x:v>Unknown</x:v>
      </x:c>
      <x:c r="Z204" s="43"/>
      <x:c r="AA204" s="43" t="str">
        <x:v>Excluded</x:v>
      </x:c>
      <x:c r="AB204" s="43" t="str">
        <x:v>No qualifying evidence source recorded</x:v>
      </x:c>
      <x:c r="AC204" s="43" t="str">
        <x:v>Excluded from Maya's elderly recommendation results because no source-backed elderly accessibility feature is recorded in the reviewed data. This does not mean the attraction is inaccessible.</x:v>
      </x:c>
      <x:c r="AD204" s="43" t="str">
        <x:v>2026-08-16</x:v>
      </x:c>
    </x:row>
    <x:row r="205" ht="60" customHeight="1">
      <x:c r="A205" s="16" t="s">
        <x:v>1210</x:v>
      </x:c>
      <x:c r="B205" s="16" t="s">
        <x:v>1211</x:v>
      </x:c>
      <x:c r="C205" s="16" t="s">
        <x:v>1162</x:v>
      </x:c>
      <x:c r="D205" s="16" t="s">
        <x:v>1178</x:v>
      </x:c>
      <x:c r="E205" s="16" t="s">
        <x:v>106</x:v>
      </x:c>
      <x:c r="F205" s="16" t="s">
        <x:v>25</x:v>
      </x:c>
      <x:c r="G205" s="16" t="s">
        <x:v>46</x:v>
      </x:c>
      <x:c r="H205" s="17" t="s">
        <x:v>1212</x:v>
      </x:c>
      <x:c r="I205" s="17" t="s">
        <x:v>1213</x:v>
      </x:c>
      <x:c r="J205" s="17" t="s">
        <x:v>1214</x:v>
      </x:c>
      <x:c r="K205" s="17" t="s">
        <x:v>1167</x:v>
      </x:c>
      <x:c r="L205" s="17" t="s">
        <x:v>58</x:v>
      </x:c>
      <x:c r="M205" s="17" t="s">
        <x:v>256</x:v>
      </x:c>
      <x:c r="N205" s="16" t="s">
        <x:v>1215</x:v>
      </x:c>
      <x:c r="O205" s="18">
        <x:v>46249</x:v>
      </x:c>
      <x:c r="P205" s="19" t="s">
        <x:v>34</x:v>
      </x:c>
      <x:c r="Q205" s="17"/>
      <x:c r="R205" s="19" t="str">
        <x:f t="shared" si="3"/>
        <x:v>Discovery Link Only</x:v>
      </x:c>
      <x:c r="S205" s="43" t="str">
        <x:v>Unknown</x:v>
      </x:c>
      <x:c r="T205" s="43" t="str">
        <x:v>Unknown</x:v>
      </x:c>
      <x:c r="U205" s="43" t="str">
        <x:v>Unknown</x:v>
      </x:c>
      <x:c r="V205" s="43" t="str">
        <x:v>Unknown</x:v>
      </x:c>
      <x:c r="W205" s="43" t="str">
        <x:v>Unknown</x:v>
      </x:c>
      <x:c r="X205" s="43" t="str">
        <x:v>Unknown</x:v>
      </x:c>
      <x:c r="Y205" s="43" t="str">
        <x:v>Unknown</x:v>
      </x:c>
      <x:c r="Z205" s="43"/>
      <x:c r="AA205" s="43" t="str">
        <x:v>Excluded</x:v>
      </x:c>
      <x:c r="AB205" s="43" t="str">
        <x:v>No qualifying evidence source recorded</x:v>
      </x:c>
      <x:c r="AC205" s="43" t="str">
        <x:v>Excluded from Maya's elderly recommendation results because no source-backed elderly accessibility feature is recorded in the reviewed data. This does not mean the attraction is inaccessible.</x:v>
      </x:c>
      <x:c r="AD205" s="43" t="str">
        <x:v>2026-08-16</x:v>
      </x:c>
    </x:row>
    <x:row r="206" ht="60" customHeight="1">
      <x:c r="A206" s="16" t="s">
        <x:v>1216</x:v>
      </x:c>
      <x:c r="B206" s="16" t="s">
        <x:v>1217</x:v>
      </x:c>
      <x:c r="C206" s="16" t="s">
        <x:v>1162</x:v>
      </x:c>
      <x:c r="D206" s="16" t="s">
        <x:v>1218</x:v>
      </x:c>
      <x:c r="E206" s="16" t="s">
        <x:v>45</x:v>
      </x:c>
      <x:c r="F206" s="16" t="s">
        <x:v>25</x:v>
      </x:c>
      <x:c r="G206" s="16" t="s">
        <x:v>26</x:v>
      </x:c>
      <x:c r="H206" s="17" t="s">
        <x:v>1219</x:v>
      </x:c>
      <x:c r="I206" s="17" t="s">
        <x:v>1220</x:v>
      </x:c>
      <x:c r="J206" s="17" t="s">
        <x:v>1221</x:v>
      </x:c>
      <x:c r="K206" s="17" t="s">
        <x:v>1167</x:v>
      </x:c>
      <x:c r="L206" s="17" t="s">
        <x:v>58</x:v>
      </x:c>
      <x:c r="M206" s="17" t="s">
        <x:v>256</x:v>
      </x:c>
      <x:c r="N206" s="16" t="s">
        <x:v>1222</x:v>
      </x:c>
      <x:c r="O206" s="18">
        <x:v>46249</x:v>
      </x:c>
      <x:c r="P206" s="19" t="s">
        <x:v>34</x:v>
      </x:c>
      <x:c r="Q206" s="17"/>
      <x:c r="R206" s="19" t="str">
        <x:f t="shared" si="3"/>
        <x:v>Discovery Link Only</x:v>
      </x:c>
      <x:c r="S206" s="43" t="str">
        <x:v>Unknown</x:v>
      </x:c>
      <x:c r="T206" s="43" t="str">
        <x:v>Unknown</x:v>
      </x:c>
      <x:c r="U206" s="43" t="str">
        <x:v>Unknown</x:v>
      </x:c>
      <x:c r="V206" s="43" t="str">
        <x:v>Unknown</x:v>
      </x:c>
      <x:c r="W206" s="43" t="str">
        <x:v>Unknown</x:v>
      </x:c>
      <x:c r="X206" s="43" t="str">
        <x:v>Unknown</x:v>
      </x:c>
      <x:c r="Y206" s="43" t="str">
        <x:v>Unknown</x:v>
      </x:c>
      <x:c r="Z206" s="43"/>
      <x:c r="AA206" s="43" t="str">
        <x:v>Excluded</x:v>
      </x:c>
      <x:c r="AB206" s="43" t="str">
        <x:v>No qualifying evidence source recorded</x:v>
      </x:c>
      <x:c r="AC206" s="43" t="str">
        <x:v>Excluded from Maya's elderly recommendation results because no source-backed elderly accessibility feature is recorded in the reviewed data. This does not mean the attraction is inaccessible.</x:v>
      </x:c>
      <x:c r="AD206" s="43" t="str">
        <x:v>2026-08-16</x:v>
      </x:c>
    </x:row>
    <x:row r="207" ht="60" customHeight="1">
      <x:c r="A207" s="16" t="s">
        <x:v>1223</x:v>
      </x:c>
      <x:c r="B207" s="16" t="s">
        <x:v>1224</x:v>
      </x:c>
      <x:c r="C207" s="16" t="s">
        <x:v>1162</x:v>
      </x:c>
      <x:c r="D207" s="16" t="s">
        <x:v>1225</x:v>
      </x:c>
      <x:c r="E207" s="16" t="s">
        <x:v>251</x:v>
      </x:c>
      <x:c r="F207" s="16" t="s">
        <x:v>25</x:v>
      </x:c>
      <x:c r="G207" s="16" t="s">
        <x:v>26</x:v>
      </x:c>
      <x:c r="H207" s="17" t="s">
        <x:v>1226</x:v>
      </x:c>
      <x:c r="I207" s="17" t="s">
        <x:v>1227</x:v>
      </x:c>
      <x:c r="J207" s="17" t="s">
        <x:v>1228</x:v>
      </x:c>
      <x:c r="K207" s="17" t="s">
        <x:v>1167</x:v>
      </x:c>
      <x:c r="L207" s="17" t="s">
        <x:v>58</x:v>
      </x:c>
      <x:c r="M207" s="17" t="s">
        <x:v>256</x:v>
      </x:c>
      <x:c r="N207" s="16" t="s">
        <x:v>1229</x:v>
      </x:c>
      <x:c r="O207" s="18">
        <x:v>46249</x:v>
      </x:c>
      <x:c r="P207" s="19" t="s">
        <x:v>34</x:v>
      </x:c>
      <x:c r="Q207" s="17"/>
      <x:c r="R207" s="19" t="str">
        <x:f t="shared" si="3"/>
        <x:v>Discovery Link Only</x:v>
      </x:c>
      <x:c r="S207" s="43" t="str">
        <x:v>Unknown</x:v>
      </x:c>
      <x:c r="T207" s="43" t="str">
        <x:v>Unknown</x:v>
      </x:c>
      <x:c r="U207" s="43" t="str">
        <x:v>Unknown</x:v>
      </x:c>
      <x:c r="V207" s="43" t="str">
        <x:v>Unknown</x:v>
      </x:c>
      <x:c r="W207" s="43" t="str">
        <x:v>Unknown</x:v>
      </x:c>
      <x:c r="X207" s="43" t="str">
        <x:v>Unknown</x:v>
      </x:c>
      <x:c r="Y207" s="43" t="str">
        <x:v>Unknown</x:v>
      </x:c>
      <x:c r="Z207" s="43"/>
      <x:c r="AA207" s="43" t="str">
        <x:v>Excluded</x:v>
      </x:c>
      <x:c r="AB207" s="43" t="str">
        <x:v>No qualifying evidence source recorded</x:v>
      </x:c>
      <x:c r="AC207" s="43" t="str">
        <x:v>Excluded from Maya's elderly recommendation results because no source-backed elderly accessibility feature is recorded in the reviewed data. This does not mean the attraction is inaccessible.</x:v>
      </x:c>
      <x:c r="AD207" s="43" t="str">
        <x:v>2026-08-16</x:v>
      </x:c>
    </x:row>
    <x:row r="208" ht="60" customHeight="1">
      <x:c r="A208" s="16" t="s">
        <x:v>1230</x:v>
      </x:c>
      <x:c r="B208" s="16" t="s">
        <x:v>1231</x:v>
      </x:c>
      <x:c r="C208" s="16" t="s">
        <x:v>1162</x:v>
      </x:c>
      <x:c r="D208" s="16" t="s">
        <x:v>1178</x:v>
      </x:c>
      <x:c r="E208" s="16" t="s">
        <x:v>115</x:v>
      </x:c>
      <x:c r="F208" s="16" t="s">
        <x:v>107</x:v>
      </x:c>
      <x:c r="G208" s="16" t="s">
        <x:v>46</x:v>
      </x:c>
      <x:c r="H208" s="17" t="s">
        <x:v>1232</x:v>
      </x:c>
      <x:c r="I208" s="17" t="s">
        <x:v>1233</x:v>
      </x:c>
      <x:c r="J208" s="17" t="s">
        <x:v>1234</x:v>
      </x:c>
      <x:c r="K208" s="17" t="s">
        <x:v>1167</x:v>
      </x:c>
      <x:c r="L208" s="17" t="s">
        <x:v>111</x:v>
      </x:c>
      <x:c r="M208" s="17" t="s">
        <x:v>1235</x:v>
      </x:c>
      <x:c r="N208" s="16"/>
      <x:c r="O208" s="18">
        <x:v>46249</x:v>
      </x:c>
      <x:c r="P208" s="19" t="s">
        <x:v>34</x:v>
      </x:c>
      <x:c r="Q208" s="17"/>
      <x:c r="R208" s="19" t="str">
        <x:f t="shared" si="3"/>
        <x:v>Discovery Link Only</x:v>
      </x:c>
      <x:c r="S208" s="43" t="str">
        <x:v>Unknown</x:v>
      </x:c>
      <x:c r="T208" s="43" t="str">
        <x:v>Unknown</x:v>
      </x:c>
      <x:c r="U208" s="43" t="str">
        <x:v>Unknown</x:v>
      </x:c>
      <x:c r="V208" s="43" t="str">
        <x:v>Unknown</x:v>
      </x:c>
      <x:c r="W208" s="43" t="str">
        <x:v>Unknown</x:v>
      </x:c>
      <x:c r="X208" s="43" t="str">
        <x:v>Unknown</x:v>
      </x:c>
      <x:c r="Y208" s="43" t="str">
        <x:v>Unknown</x:v>
      </x:c>
      <x:c r="Z208" s="43"/>
      <x:c r="AA208" s="43" t="str">
        <x:v>Excluded</x:v>
      </x:c>
      <x:c r="AB208" s="43" t="str">
        <x:v>No qualifying evidence source recorded</x:v>
      </x:c>
      <x:c r="AC208" s="43" t="str">
        <x:v>Excluded from Maya's elderly recommendation results because no source-backed elderly accessibility feature is recorded in the reviewed data. This does not mean the attraction is inaccessible.</x:v>
      </x:c>
      <x:c r="AD208" s="43" t="str">
        <x:v>2026-08-16</x:v>
      </x:c>
    </x:row>
    <x:row r="209" ht="60" customHeight="1">
      <x:c r="A209" s="16" t="s">
        <x:v>1236</x:v>
      </x:c>
      <x:c r="B209" s="16" t="s">
        <x:v>1237</x:v>
      </x:c>
      <x:c r="C209" s="16" t="s">
        <x:v>1162</x:v>
      </x:c>
      <x:c r="D209" s="16" t="s">
        <x:v>1178</x:v>
      </x:c>
      <x:c r="E209" s="16" t="s">
        <x:v>133</x:v>
      </x:c>
      <x:c r="F209" s="16" t="s">
        <x:v>107</x:v>
      </x:c>
      <x:c r="G209" s="16" t="s">
        <x:v>134</x:v>
      </x:c>
      <x:c r="H209" s="17" t="s">
        <x:v>1238</x:v>
      </x:c>
      <x:c r="I209" s="17" t="s">
        <x:v>1239</x:v>
      </x:c>
      <x:c r="J209" s="17" t="s">
        <x:v>1240</x:v>
      </x:c>
      <x:c r="K209" s="17" t="s">
        <x:v>1167</x:v>
      </x:c>
      <x:c r="L209" s="17" t="s">
        <x:v>111</x:v>
      </x:c>
      <x:c r="M209" s="17" t="s">
        <x:v>1235</x:v>
      </x:c>
      <x:c r="N209" s="16"/>
      <x:c r="O209" s="18">
        <x:v>46249</x:v>
      </x:c>
      <x:c r="P209" s="19" t="s">
        <x:v>34</x:v>
      </x:c>
      <x:c r="Q209" s="17"/>
      <x:c r="R209" s="19" t="str">
        <x:f t="shared" si="3"/>
        <x:v>Discovery Link Only</x:v>
      </x:c>
      <x:c r="S209" s="43" t="str">
        <x:v>Unknown</x:v>
      </x:c>
      <x:c r="T209" s="43" t="str">
        <x:v>Unknown</x:v>
      </x:c>
      <x:c r="U209" s="43" t="str">
        <x:v>Unknown</x:v>
      </x:c>
      <x:c r="V209" s="43" t="str">
        <x:v>Unknown</x:v>
      </x:c>
      <x:c r="W209" s="43" t="str">
        <x:v>Unknown</x:v>
      </x:c>
      <x:c r="X209" s="43" t="str">
        <x:v>Unknown</x:v>
      </x:c>
      <x:c r="Y209" s="43" t="str">
        <x:v>Unknown</x:v>
      </x:c>
      <x:c r="Z209" s="43"/>
      <x:c r="AA209" s="43" t="str">
        <x:v>Excluded</x:v>
      </x:c>
      <x:c r="AB209" s="43" t="str">
        <x:v>No qualifying evidence source recorded</x:v>
      </x:c>
      <x:c r="AC209" s="43" t="str">
        <x:v>Excluded from Maya's elderly recommendation results because no source-backed elderly accessibility feature is recorded in the reviewed data. This does not mean the attraction is inaccessible.</x:v>
      </x:c>
      <x:c r="AD209" s="43" t="str">
        <x:v>2026-08-16</x:v>
      </x:c>
    </x:row>
    <x:row r="210" ht="60" customHeight="1">
      <x:c r="A210" s="16" t="s">
        <x:v>1241</x:v>
      </x:c>
      <x:c r="B210" s="16" t="s">
        <x:v>1242</x:v>
      </x:c>
      <x:c r="C210" s="16" t="s">
        <x:v>1162</x:v>
      </x:c>
      <x:c r="D210" s="16" t="s">
        <x:v>1178</x:v>
      </x:c>
      <x:c r="E210" s="16" t="s">
        <x:v>133</x:v>
      </x:c>
      <x:c r="F210" s="16" t="s">
        <x:v>121</x:v>
      </x:c>
      <x:c r="G210" s="16" t="s">
        <x:v>134</x:v>
      </x:c>
      <x:c r="H210" s="17" t="s">
        <x:v>1243</x:v>
      </x:c>
      <x:c r="I210" s="17" t="s">
        <x:v>1244</x:v>
      </x:c>
      <x:c r="J210" s="17" t="s">
        <x:v>1245</x:v>
      </x:c>
      <x:c r="K210" s="17" t="s">
        <x:v>1167</x:v>
      </x:c>
      <x:c r="L210" s="17" t="s">
        <x:v>111</x:v>
      </x:c>
      <x:c r="M210" s="17" t="s">
        <x:v>1235</x:v>
      </x:c>
      <x:c r="N210" s="16"/>
      <x:c r="O210" s="18">
        <x:v>46249</x:v>
      </x:c>
      <x:c r="P210" s="19" t="s">
        <x:v>34</x:v>
      </x:c>
      <x:c r="Q210" s="17"/>
      <x:c r="R210" s="19" t="str">
        <x:f t="shared" si="3"/>
        <x:v>Discovery Link Only</x:v>
      </x:c>
      <x:c r="S210" s="43" t="str">
        <x:v>Unknown</x:v>
      </x:c>
      <x:c r="T210" s="43" t="str">
        <x:v>Unknown</x:v>
      </x:c>
      <x:c r="U210" s="43" t="str">
        <x:v>Unknown</x:v>
      </x:c>
      <x:c r="V210" s="43" t="str">
        <x:v>Unknown</x:v>
      </x:c>
      <x:c r="W210" s="43" t="str">
        <x:v>Unknown</x:v>
      </x:c>
      <x:c r="X210" s="43" t="str">
        <x:v>Unknown</x:v>
      </x:c>
      <x:c r="Y210" s="43" t="str">
        <x:v>Unknown</x:v>
      </x:c>
      <x:c r="Z210" s="43"/>
      <x:c r="AA210" s="43" t="str">
        <x:v>Excluded</x:v>
      </x:c>
      <x:c r="AB210" s="43" t="str">
        <x:v>No qualifying evidence source recorded</x:v>
      </x:c>
      <x:c r="AC210" s="43" t="str">
        <x:v>Excluded from Maya's elderly recommendation results because no source-backed elderly accessibility feature is recorded in the reviewed data. This does not mean the attraction is inaccessible.</x:v>
      </x:c>
      <x:c r="AD210" s="43" t="str">
        <x:v>2026-08-16</x:v>
      </x:c>
    </x:row>
    <x:row r="211" ht="60" customHeight="1">
      <x:c r="A211" s="16" t="s">
        <x:v>1246</x:v>
      </x:c>
      <x:c r="B211" s="16" t="s">
        <x:v>1247</x:v>
      </x:c>
      <x:c r="C211" s="16" t="s">
        <x:v>1162</x:v>
      </x:c>
      <x:c r="D211" s="16" t="s">
        <x:v>1178</x:v>
      </x:c>
      <x:c r="E211" s="16" t="s">
        <x:v>106</x:v>
      </x:c>
      <x:c r="F211" s="16" t="s">
        <x:v>107</x:v>
      </x:c>
      <x:c r="G211" s="16" t="s">
        <x:v>46</x:v>
      </x:c>
      <x:c r="H211" s="17" t="s">
        <x:v>1248</x:v>
      </x:c>
      <x:c r="I211" s="17" t="s">
        <x:v>1249</x:v>
      </x:c>
      <x:c r="J211" s="17" t="s">
        <x:v>1250</x:v>
      </x:c>
      <x:c r="K211" s="17" t="s">
        <x:v>1167</x:v>
      </x:c>
      <x:c r="L211" s="17" t="s">
        <x:v>111</x:v>
      </x:c>
      <x:c r="M211" s="17" t="s">
        <x:v>1235</x:v>
      </x:c>
      <x:c r="N211" s="16"/>
      <x:c r="O211" s="18">
        <x:v>46249</x:v>
      </x:c>
      <x:c r="P211" s="19" t="s">
        <x:v>34</x:v>
      </x:c>
      <x:c r="Q211" s="17"/>
      <x:c r="R211" s="19" t="str">
        <x:f t="shared" si="3"/>
        <x:v>Discovery Link Only</x:v>
      </x:c>
      <x:c r="S211" s="43" t="str">
        <x:v>Unknown</x:v>
      </x:c>
      <x:c r="T211" s="43" t="str">
        <x:v>Unknown</x:v>
      </x:c>
      <x:c r="U211" s="43" t="str">
        <x:v>Unknown</x:v>
      </x:c>
      <x:c r="V211" s="43" t="str">
        <x:v>Unknown</x:v>
      </x:c>
      <x:c r="W211" s="43" t="str">
        <x:v>Unknown</x:v>
      </x:c>
      <x:c r="X211" s="43" t="str">
        <x:v>Unknown</x:v>
      </x:c>
      <x:c r="Y211" s="43" t="str">
        <x:v>Unknown</x:v>
      </x:c>
      <x:c r="Z211" s="43"/>
      <x:c r="AA211" s="43" t="str">
        <x:v>Excluded</x:v>
      </x:c>
      <x:c r="AB211" s="43" t="str">
        <x:v>No qualifying evidence source recorded</x:v>
      </x:c>
      <x:c r="AC211" s="43" t="str">
        <x:v>Excluded from Maya's elderly recommendation results because no source-backed elderly accessibility feature is recorded in the reviewed data. This does not mean the attraction is inaccessible.</x:v>
      </x:c>
      <x:c r="AD211" s="43" t="str">
        <x:v>2026-08-16</x:v>
      </x:c>
    </x:row>
    <x:row r="212" ht="60" customHeight="1">
      <x:c r="A212" s="16" t="s">
        <x:v>1251</x:v>
      </x:c>
      <x:c r="B212" s="16" t="s">
        <x:v>1252</x:v>
      </x:c>
      <x:c r="C212" s="16" t="s">
        <x:v>1162</x:v>
      </x:c>
      <x:c r="D212" s="16" t="s">
        <x:v>1178</x:v>
      </x:c>
      <x:c r="E212" s="16" t="s">
        <x:v>106</x:v>
      </x:c>
      <x:c r="F212" s="16" t="s">
        <x:v>107</x:v>
      </x:c>
      <x:c r="G212" s="16" t="s">
        <x:v>46</x:v>
      </x:c>
      <x:c r="H212" s="17" t="s">
        <x:v>1253</x:v>
      </x:c>
      <x:c r="I212" s="17" t="s">
        <x:v>1254</x:v>
      </x:c>
      <x:c r="J212" s="17" t="s">
        <x:v>1255</x:v>
      </x:c>
      <x:c r="K212" s="17" t="s">
        <x:v>1167</x:v>
      </x:c>
      <x:c r="L212" s="17" t="s">
        <x:v>111</x:v>
      </x:c>
      <x:c r="M212" s="17" t="s">
        <x:v>1235</x:v>
      </x:c>
      <x:c r="N212" s="16"/>
      <x:c r="O212" s="18">
        <x:v>46249</x:v>
      </x:c>
      <x:c r="P212" s="19" t="s">
        <x:v>34</x:v>
      </x:c>
      <x:c r="Q212" s="17"/>
      <x:c r="R212" s="19" t="str">
        <x:f t="shared" si="3"/>
        <x:v>Discovery Link Only</x:v>
      </x:c>
      <x:c r="S212" s="43" t="str">
        <x:v>Unknown</x:v>
      </x:c>
      <x:c r="T212" s="43" t="str">
        <x:v>Unknown</x:v>
      </x:c>
      <x:c r="U212" s="43" t="str">
        <x:v>Unknown</x:v>
      </x:c>
      <x:c r="V212" s="43" t="str">
        <x:v>Unknown</x:v>
      </x:c>
      <x:c r="W212" s="43" t="str">
        <x:v>Unknown</x:v>
      </x:c>
      <x:c r="X212" s="43" t="str">
        <x:v>Unknown</x:v>
      </x:c>
      <x:c r="Y212" s="43" t="str">
        <x:v>Unknown</x:v>
      </x:c>
      <x:c r="Z212" s="43"/>
      <x:c r="AA212" s="43" t="str">
        <x:v>Excluded</x:v>
      </x:c>
      <x:c r="AB212" s="43" t="str">
        <x:v>No qualifying evidence source recorded</x:v>
      </x:c>
      <x:c r="AC212" s="43" t="str">
        <x:v>Excluded from Maya's elderly recommendation results because no source-backed elderly accessibility feature is recorded in the reviewed data. This does not mean the attraction is inaccessible.</x:v>
      </x:c>
      <x:c r="AD212" s="43" t="str">
        <x:v>2026-08-16</x:v>
      </x:c>
    </x:row>
    <x:row r="213" ht="60" customHeight="1">
      <x:c r="A213" s="16" t="s">
        <x:v>1256</x:v>
      </x:c>
      <x:c r="B213" s="16" t="s">
        <x:v>1257</x:v>
      </x:c>
      <x:c r="C213" s="16" t="s">
        <x:v>1162</x:v>
      </x:c>
      <x:c r="D213" s="16" t="s">
        <x:v>1178</x:v>
      </x:c>
      <x:c r="E213" s="16" t="s">
        <x:v>24</x:v>
      </x:c>
      <x:c r="F213" s="16" t="s">
        <x:v>121</x:v>
      </x:c>
      <x:c r="G213" s="16" t="s">
        <x:v>26</x:v>
      </x:c>
      <x:c r="H213" s="17" t="s">
        <x:v>1258</x:v>
      </x:c>
      <x:c r="I213" s="17" t="s">
        <x:v>1259</x:v>
      </x:c>
      <x:c r="J213" s="17" t="s">
        <x:v>1260</x:v>
      </x:c>
      <x:c r="K213" s="17" t="s">
        <x:v>1167</x:v>
      </x:c>
      <x:c r="L213" s="17" t="s">
        <x:v>111</x:v>
      </x:c>
      <x:c r="M213" s="17" t="s">
        <x:v>1235</x:v>
      </x:c>
      <x:c r="N213" s="16"/>
      <x:c r="O213" s="18">
        <x:v>46249</x:v>
      </x:c>
      <x:c r="P213" s="19" t="s">
        <x:v>34</x:v>
      </x:c>
      <x:c r="Q213" s="17"/>
      <x:c r="R213" s="19" t="str">
        <x:f t="shared" si="3"/>
        <x:v>Discovery Link Only</x:v>
      </x:c>
      <x:c r="S213" s="43" t="str">
        <x:v>Unknown</x:v>
      </x:c>
      <x:c r="T213" s="43" t="str">
        <x:v>Unknown</x:v>
      </x:c>
      <x:c r="U213" s="43" t="str">
        <x:v>Unknown</x:v>
      </x:c>
      <x:c r="V213" s="43" t="str">
        <x:v>Unknown</x:v>
      </x:c>
      <x:c r="W213" s="43" t="str">
        <x:v>Unknown</x:v>
      </x:c>
      <x:c r="X213" s="43" t="str">
        <x:v>Unknown</x:v>
      </x:c>
      <x:c r="Y213" s="43" t="str">
        <x:v>Unknown</x:v>
      </x:c>
      <x:c r="Z213" s="43"/>
      <x:c r="AA213" s="43" t="str">
        <x:v>Excluded</x:v>
      </x:c>
      <x:c r="AB213" s="43" t="str">
        <x:v>No qualifying evidence source recorded</x:v>
      </x:c>
      <x:c r="AC213" s="43" t="str">
        <x:v>Excluded from Maya's elderly recommendation results because no source-backed elderly accessibility feature is recorded in the reviewed data. This does not mean the attraction is inaccessible.</x:v>
      </x:c>
      <x:c r="AD213" s="43" t="str">
        <x:v>2026-08-16</x:v>
      </x:c>
    </x:row>
    <x:row r="214" ht="60" customHeight="1">
      <x:c r="A214" s="16" t="s">
        <x:v>1261</x:v>
      </x:c>
      <x:c r="B214" s="16" t="s">
        <x:v>1262</x:v>
      </x:c>
      <x:c r="C214" s="16" t="s">
        <x:v>1162</x:v>
      </x:c>
      <x:c r="D214" s="16" t="s">
        <x:v>1263</x:v>
      </x:c>
      <x:c r="E214" s="16" t="s">
        <x:v>106</x:v>
      </x:c>
      <x:c r="F214" s="16" t="s">
        <x:v>107</x:v>
      </x:c>
      <x:c r="G214" s="16" t="s">
        <x:v>46</x:v>
      </x:c>
      <x:c r="H214" s="17" t="s">
        <x:v>1264</x:v>
      </x:c>
      <x:c r="I214" s="17" t="s">
        <x:v>1265</x:v>
      </x:c>
      <x:c r="J214" s="17" t="s">
        <x:v>1266</x:v>
      </x:c>
      <x:c r="K214" s="17" t="s">
        <x:v>1167</x:v>
      </x:c>
      <x:c r="L214" s="17" t="s">
        <x:v>111</x:v>
      </x:c>
      <x:c r="M214" s="17" t="s">
        <x:v>1235</x:v>
      </x:c>
      <x:c r="N214" s="16"/>
      <x:c r="O214" s="18">
        <x:v>46249</x:v>
      </x:c>
      <x:c r="P214" s="19" t="s">
        <x:v>34</x:v>
      </x:c>
      <x:c r="Q214" s="17"/>
      <x:c r="R214" s="19" t="str">
        <x:f t="shared" si="3"/>
        <x:v>Discovery Link Only</x:v>
      </x:c>
      <x:c r="S214" s="43" t="str">
        <x:v>Unknown</x:v>
      </x:c>
      <x:c r="T214" s="43" t="str">
        <x:v>Unknown</x:v>
      </x:c>
      <x:c r="U214" s="43" t="str">
        <x:v>Unknown</x:v>
      </x:c>
      <x:c r="V214" s="43" t="str">
        <x:v>Unknown</x:v>
      </x:c>
      <x:c r="W214" s="43" t="str">
        <x:v>Unknown</x:v>
      </x:c>
      <x:c r="X214" s="43" t="str">
        <x:v>Unknown</x:v>
      </x:c>
      <x:c r="Y214" s="43" t="str">
        <x:v>Unknown</x:v>
      </x:c>
      <x:c r="Z214" s="43"/>
      <x:c r="AA214" s="43" t="str">
        <x:v>Excluded</x:v>
      </x:c>
      <x:c r="AB214" s="43" t="str">
        <x:v>No qualifying evidence source recorded</x:v>
      </x:c>
      <x:c r="AC214" s="43" t="str">
        <x:v>Excluded from Maya's elderly recommendation results because no source-backed elderly accessibility feature is recorded in the reviewed data. This does not mean the attraction is inaccessible.</x:v>
      </x:c>
      <x:c r="AD214" s="43" t="str">
        <x:v>2026-08-16</x:v>
      </x:c>
    </x:row>
    <x:row r="215" ht="60" customHeight="1">
      <x:c r="A215" s="16" t="s">
        <x:v>1267</x:v>
      </x:c>
      <x:c r="B215" s="16" t="s">
        <x:v>1268</x:v>
      </x:c>
      <x:c r="C215" s="16" t="s">
        <x:v>1162</x:v>
      </x:c>
      <x:c r="D215" s="16" t="s">
        <x:v>1263</x:v>
      </x:c>
      <x:c r="E215" s="16" t="s">
        <x:v>133</x:v>
      </x:c>
      <x:c r="F215" s="16" t="s">
        <x:v>107</x:v>
      </x:c>
      <x:c r="G215" s="16" t="s">
        <x:v>134</x:v>
      </x:c>
      <x:c r="H215" s="17" t="s">
        <x:v>1269</x:v>
      </x:c>
      <x:c r="I215" s="17" t="s">
        <x:v>1270</x:v>
      </x:c>
      <x:c r="J215" s="17" t="s">
        <x:v>1271</x:v>
      </x:c>
      <x:c r="K215" s="17" t="s">
        <x:v>1167</x:v>
      </x:c>
      <x:c r="L215" s="17" t="s">
        <x:v>111</x:v>
      </x:c>
      <x:c r="M215" s="17" t="s">
        <x:v>1235</x:v>
      </x:c>
      <x:c r="N215" s="16"/>
      <x:c r="O215" s="18">
        <x:v>46249</x:v>
      </x:c>
      <x:c r="P215" s="19" t="s">
        <x:v>34</x:v>
      </x:c>
      <x:c r="Q215" s="17"/>
      <x:c r="R215" s="19" t="str">
        <x:f t="shared" si="3"/>
        <x:v>Discovery Link Only</x:v>
      </x:c>
      <x:c r="S215" s="43" t="str">
        <x:v>Unknown</x:v>
      </x:c>
      <x:c r="T215" s="43" t="str">
        <x:v>Unknown</x:v>
      </x:c>
      <x:c r="U215" s="43" t="str">
        <x:v>Unknown</x:v>
      </x:c>
      <x:c r="V215" s="43" t="str">
        <x:v>Unknown</x:v>
      </x:c>
      <x:c r="W215" s="43" t="str">
        <x:v>Unknown</x:v>
      </x:c>
      <x:c r="X215" s="43" t="str">
        <x:v>Unknown</x:v>
      </x:c>
      <x:c r="Y215" s="43" t="str">
        <x:v>Unknown</x:v>
      </x:c>
      <x:c r="Z215" s="43"/>
      <x:c r="AA215" s="43" t="str">
        <x:v>Excluded</x:v>
      </x:c>
      <x:c r="AB215" s="43" t="str">
        <x:v>No qualifying evidence source recorded</x:v>
      </x:c>
      <x:c r="AC215" s="43" t="str">
        <x:v>Excluded from Maya's elderly recommendation results because no source-backed elderly accessibility feature is recorded in the reviewed data. This does not mean the attraction is inaccessible.</x:v>
      </x:c>
      <x:c r="AD215" s="43" t="str">
        <x:v>2026-08-16</x:v>
      </x:c>
    </x:row>
    <x:row r="216" ht="60" customHeight="1">
      <x:c r="A216" s="16" t="s">
        <x:v>1272</x:v>
      </x:c>
      <x:c r="B216" s="16" t="s">
        <x:v>1273</x:v>
      </x:c>
      <x:c r="C216" s="16" t="s">
        <x:v>1162</x:v>
      </x:c>
      <x:c r="D216" s="16" t="s">
        <x:v>1263</x:v>
      </x:c>
      <x:c r="E216" s="16" t="s">
        <x:v>115</x:v>
      </x:c>
      <x:c r="F216" s="16" t="s">
        <x:v>127</x:v>
      </x:c>
      <x:c r="G216" s="16" t="s">
        <x:v>46</x:v>
      </x:c>
      <x:c r="H216" s="17" t="s">
        <x:v>1274</x:v>
      </x:c>
      <x:c r="I216" s="17" t="s">
        <x:v>1275</x:v>
      </x:c>
      <x:c r="J216" s="17" t="s">
        <x:v>1276</x:v>
      </x:c>
      <x:c r="K216" s="17" t="s">
        <x:v>1167</x:v>
      </x:c>
      <x:c r="L216" s="17" t="s">
        <x:v>111</x:v>
      </x:c>
      <x:c r="M216" s="17" t="s">
        <x:v>1235</x:v>
      </x:c>
      <x:c r="N216" s="16"/>
      <x:c r="O216" s="18">
        <x:v>46249</x:v>
      </x:c>
      <x:c r="P216" s="19" t="s">
        <x:v>34</x:v>
      </x:c>
      <x:c r="Q216" s="17"/>
      <x:c r="R216" s="19" t="str">
        <x:f t="shared" si="3"/>
        <x:v>Discovery Link Only</x:v>
      </x:c>
      <x:c r="S216" s="43" t="str">
        <x:v>Unknown</x:v>
      </x:c>
      <x:c r="T216" s="43" t="str">
        <x:v>Unknown</x:v>
      </x:c>
      <x:c r="U216" s="43" t="str">
        <x:v>Unknown</x:v>
      </x:c>
      <x:c r="V216" s="43" t="str">
        <x:v>Unknown</x:v>
      </x:c>
      <x:c r="W216" s="43" t="str">
        <x:v>Unknown</x:v>
      </x:c>
      <x:c r="X216" s="43" t="str">
        <x:v>Unknown</x:v>
      </x:c>
      <x:c r="Y216" s="43" t="str">
        <x:v>Unknown</x:v>
      </x:c>
      <x:c r="Z216" s="43"/>
      <x:c r="AA216" s="43" t="str">
        <x:v>Excluded</x:v>
      </x:c>
      <x:c r="AB216" s="43" t="str">
        <x:v>No qualifying evidence source recorded</x:v>
      </x:c>
      <x:c r="AC216" s="43" t="str">
        <x:v>Excluded from Maya's elderly recommendation results because no source-backed elderly accessibility feature is recorded in the reviewed data. This does not mean the attraction is inaccessible.</x:v>
      </x:c>
      <x:c r="AD216" s="43" t="str">
        <x:v>2026-08-16</x:v>
      </x:c>
    </x:row>
    <x:row r="217" ht="60" customHeight="1">
      <x:c r="A217" s="16" t="s">
        <x:v>1277</x:v>
      </x:c>
      <x:c r="B217" s="16" t="s">
        <x:v>1278</x:v>
      </x:c>
      <x:c r="C217" s="16" t="s">
        <x:v>1162</x:v>
      </x:c>
      <x:c r="D217" s="16" t="s">
        <x:v>1205</x:v>
      </x:c>
      <x:c r="E217" s="16" t="s">
        <x:v>133</x:v>
      </x:c>
      <x:c r="F217" s="16" t="s">
        <x:v>107</x:v>
      </x:c>
      <x:c r="G217" s="16" t="s">
        <x:v>134</x:v>
      </x:c>
      <x:c r="H217" s="17" t="s">
        <x:v>1279</x:v>
      </x:c>
      <x:c r="I217" s="17" t="s">
        <x:v>1280</x:v>
      </x:c>
      <x:c r="J217" s="17" t="s">
        <x:v>1281</x:v>
      </x:c>
      <x:c r="K217" s="17" t="s">
        <x:v>1167</x:v>
      </x:c>
      <x:c r="L217" s="17" t="s">
        <x:v>111</x:v>
      </x:c>
      <x:c r="M217" s="17" t="s">
        <x:v>1235</x:v>
      </x:c>
      <x:c r="N217" s="16"/>
      <x:c r="O217" s="18">
        <x:v>46249</x:v>
      </x:c>
      <x:c r="P217" s="19" t="s">
        <x:v>34</x:v>
      </x:c>
      <x:c r="Q217" s="17"/>
      <x:c r="R217" s="19" t="str">
        <x:f t="shared" si="3"/>
        <x:v>Discovery Link Only</x:v>
      </x:c>
      <x:c r="S217" s="43" t="str">
        <x:v>Unknown</x:v>
      </x:c>
      <x:c r="T217" s="43" t="str">
        <x:v>Unknown</x:v>
      </x:c>
      <x:c r="U217" s="43" t="str">
        <x:v>Unknown</x:v>
      </x:c>
      <x:c r="V217" s="43" t="str">
        <x:v>Unknown</x:v>
      </x:c>
      <x:c r="W217" s="43" t="str">
        <x:v>Unknown</x:v>
      </x:c>
      <x:c r="X217" s="43" t="str">
        <x:v>Unknown</x:v>
      </x:c>
      <x:c r="Y217" s="43" t="str">
        <x:v>Unknown</x:v>
      </x:c>
      <x:c r="Z217" s="43"/>
      <x:c r="AA217" s="43" t="str">
        <x:v>Excluded</x:v>
      </x:c>
      <x:c r="AB217" s="43" t="str">
        <x:v>No qualifying evidence source recorded</x:v>
      </x:c>
      <x:c r="AC217" s="43" t="str">
        <x:v>Excluded from Maya's elderly recommendation results because no source-backed elderly accessibility feature is recorded in the reviewed data. This does not mean the attraction is inaccessible.</x:v>
      </x:c>
      <x:c r="AD217" s="43" t="str">
        <x:v>2026-08-16</x:v>
      </x:c>
    </x:row>
    <x:row r="218" ht="60" customHeight="1">
      <x:c r="A218" s="16" t="s">
        <x:v>1282</x:v>
      </x:c>
      <x:c r="B218" s="16" t="s">
        <x:v>1283</x:v>
      </x:c>
      <x:c r="C218" s="16" t="s">
        <x:v>1162</x:v>
      </x:c>
      <x:c r="D218" s="16" t="s">
        <x:v>1205</x:v>
      </x:c>
      <x:c r="E218" s="16" t="s">
        <x:v>45</x:v>
      </x:c>
      <x:c r="F218" s="16" t="s">
        <x:v>107</x:v>
      </x:c>
      <x:c r="G218" s="16" t="s">
        <x:v>26</x:v>
      </x:c>
      <x:c r="H218" s="17" t="s">
        <x:v>1284</x:v>
      </x:c>
      <x:c r="I218" s="17" t="s">
        <x:v>1285</x:v>
      </x:c>
      <x:c r="J218" s="17" t="s">
        <x:v>1286</x:v>
      </x:c>
      <x:c r="K218" s="17" t="s">
        <x:v>1167</x:v>
      </x:c>
      <x:c r="L218" s="17" t="s">
        <x:v>111</x:v>
      </x:c>
      <x:c r="M218" s="17" t="s">
        <x:v>1235</x:v>
      </x:c>
      <x:c r="N218" s="16"/>
      <x:c r="O218" s="18">
        <x:v>46249</x:v>
      </x:c>
      <x:c r="P218" s="19" t="s">
        <x:v>34</x:v>
      </x:c>
      <x:c r="Q218" s="17"/>
      <x:c r="R218" s="19" t="str">
        <x:f t="shared" si="3"/>
        <x:v>Discovery Link Only</x:v>
      </x:c>
      <x:c r="S218" s="43" t="str">
        <x:v>Unknown</x:v>
      </x:c>
      <x:c r="T218" s="43" t="str">
        <x:v>Unknown</x:v>
      </x:c>
      <x:c r="U218" s="43" t="str">
        <x:v>Unknown</x:v>
      </x:c>
      <x:c r="V218" s="43" t="str">
        <x:v>Unknown</x:v>
      </x:c>
      <x:c r="W218" s="43" t="str">
        <x:v>Unknown</x:v>
      </x:c>
      <x:c r="X218" s="43" t="str">
        <x:v>Unknown</x:v>
      </x:c>
      <x:c r="Y218" s="43" t="str">
        <x:v>Unknown</x:v>
      </x:c>
      <x:c r="Z218" s="43"/>
      <x:c r="AA218" s="43" t="str">
        <x:v>Excluded</x:v>
      </x:c>
      <x:c r="AB218" s="43" t="str">
        <x:v>No qualifying evidence source recorded</x:v>
      </x:c>
      <x:c r="AC218" s="43" t="str">
        <x:v>Excluded from Maya's elderly recommendation results because no source-backed elderly accessibility feature is recorded in the reviewed data. This does not mean the attraction is inaccessible.</x:v>
      </x:c>
      <x:c r="AD218" s="43" t="str">
        <x:v>2026-08-16</x:v>
      </x:c>
    </x:row>
    <x:row r="219" ht="60" customHeight="1">
      <x:c r="A219" s="16" t="s">
        <x:v>1287</x:v>
      </x:c>
      <x:c r="B219" s="16" t="s">
        <x:v>1288</x:v>
      </x:c>
      <x:c r="C219" s="16" t="s">
        <x:v>1162</x:v>
      </x:c>
      <x:c r="D219" s="16" t="s">
        <x:v>1218</x:v>
      </x:c>
      <x:c r="E219" s="16" t="s">
        <x:v>99</x:v>
      </x:c>
      <x:c r="F219" s="16" t="s">
        <x:v>121</x:v>
      </x:c>
      <x:c r="G219" s="16" t="s">
        <x:v>46</x:v>
      </x:c>
      <x:c r="H219" s="17" t="s">
        <x:v>1289</x:v>
      </x:c>
      <x:c r="I219" s="17" t="s">
        <x:v>1290</x:v>
      </x:c>
      <x:c r="J219" s="17" t="s">
        <x:v>1291</x:v>
      </x:c>
      <x:c r="K219" s="17" t="s">
        <x:v>1167</x:v>
      </x:c>
      <x:c r="L219" s="17" t="s">
        <x:v>111</x:v>
      </x:c>
      <x:c r="M219" s="17" t="s">
        <x:v>1235</x:v>
      </x:c>
      <x:c r="N219" s="16"/>
      <x:c r="O219" s="18">
        <x:v>46249</x:v>
      </x:c>
      <x:c r="P219" s="19" t="s">
        <x:v>34</x:v>
      </x:c>
      <x:c r="Q219" s="17"/>
      <x:c r="R219" s="19" t="str">
        <x:f t="shared" si="3"/>
        <x:v>Discovery Link Only</x:v>
      </x:c>
      <x:c r="S219" s="43" t="str">
        <x:v>Unknown</x:v>
      </x:c>
      <x:c r="T219" s="43" t="str">
        <x:v>Unknown</x:v>
      </x:c>
      <x:c r="U219" s="43" t="str">
        <x:v>Unknown</x:v>
      </x:c>
      <x:c r="V219" s="43" t="str">
        <x:v>Unknown</x:v>
      </x:c>
      <x:c r="W219" s="43" t="str">
        <x:v>Unknown</x:v>
      </x:c>
      <x:c r="X219" s="43" t="str">
        <x:v>Unknown</x:v>
      </x:c>
      <x:c r="Y219" s="43" t="str">
        <x:v>Unknown</x:v>
      </x:c>
      <x:c r="Z219" s="43"/>
      <x:c r="AA219" s="43" t="str">
        <x:v>Excluded</x:v>
      </x:c>
      <x:c r="AB219" s="43" t="str">
        <x:v>No qualifying evidence source recorded</x:v>
      </x:c>
      <x:c r="AC219" s="43" t="str">
        <x:v>Excluded from Maya's elderly recommendation results because no source-backed elderly accessibility feature is recorded in the reviewed data. This does not mean the attraction is inaccessible.</x:v>
      </x:c>
      <x:c r="AD219" s="43" t="str">
        <x:v>2026-08-16</x:v>
      </x:c>
    </x:row>
    <x:row r="220" ht="60" customHeight="1">
      <x:c r="A220" s="16" t="s">
        <x:v>1292</x:v>
      </x:c>
      <x:c r="B220" s="16" t="s">
        <x:v>1293</x:v>
      </x:c>
      <x:c r="C220" s="16" t="s">
        <x:v>1162</x:v>
      </x:c>
      <x:c r="D220" s="16" t="s">
        <x:v>1294</x:v>
      </x:c>
      <x:c r="E220" s="16" t="s">
        <x:v>133</x:v>
      </x:c>
      <x:c r="F220" s="16" t="s">
        <x:v>121</x:v>
      </x:c>
      <x:c r="G220" s="16" t="s">
        <x:v>134</x:v>
      </x:c>
      <x:c r="H220" s="17" t="s">
        <x:v>1295</x:v>
      </x:c>
      <x:c r="I220" s="17" t="s">
        <x:v>1296</x:v>
      </x:c>
      <x:c r="J220" s="17" t="s">
        <x:v>1297</x:v>
      </x:c>
      <x:c r="K220" s="17" t="s">
        <x:v>1167</x:v>
      </x:c>
      <x:c r="L220" s="17" t="s">
        <x:v>111</x:v>
      </x:c>
      <x:c r="M220" s="17" t="s">
        <x:v>1235</x:v>
      </x:c>
      <x:c r="N220" s="16"/>
      <x:c r="O220" s="18">
        <x:v>46249</x:v>
      </x:c>
      <x:c r="P220" s="19" t="s">
        <x:v>34</x:v>
      </x:c>
      <x:c r="Q220" s="17"/>
      <x:c r="R220" s="19" t="str">
        <x:f t="shared" si="3"/>
        <x:v>Discovery Link Only</x:v>
      </x:c>
      <x:c r="S220" s="43" t="str">
        <x:v>Unknown</x:v>
      </x:c>
      <x:c r="T220" s="43" t="str">
        <x:v>Unknown</x:v>
      </x:c>
      <x:c r="U220" s="43" t="str">
        <x:v>Unknown</x:v>
      </x:c>
      <x:c r="V220" s="43" t="str">
        <x:v>Unknown</x:v>
      </x:c>
      <x:c r="W220" s="43" t="str">
        <x:v>Unknown</x:v>
      </x:c>
      <x:c r="X220" s="43" t="str">
        <x:v>Unknown</x:v>
      </x:c>
      <x:c r="Y220" s="43" t="str">
        <x:v>Unknown</x:v>
      </x:c>
      <x:c r="Z220" s="43"/>
      <x:c r="AA220" s="43" t="str">
        <x:v>Excluded</x:v>
      </x:c>
      <x:c r="AB220" s="43" t="str">
        <x:v>No qualifying evidence source recorded</x:v>
      </x:c>
      <x:c r="AC220" s="43" t="str">
        <x:v>Excluded from Maya's elderly recommendation results because no source-backed elderly accessibility feature is recorded in the reviewed data. This does not mean the attraction is inaccessible.</x:v>
      </x:c>
      <x:c r="AD220" s="43" t="str">
        <x:v>2026-08-16</x:v>
      </x:c>
    </x:row>
    <x:row r="221" ht="60" customHeight="1">
      <x:c r="A221" s="16" t="s">
        <x:v>1298</x:v>
      </x:c>
      <x:c r="B221" s="16" t="s">
        <x:v>1299</x:v>
      </x:c>
      <x:c r="C221" s="16" t="s">
        <x:v>1162</x:v>
      </x:c>
      <x:c r="D221" s="16" t="s">
        <x:v>1225</x:v>
      </x:c>
      <x:c r="E221" s="16" t="s">
        <x:v>45</x:v>
      </x:c>
      <x:c r="F221" s="16" t="s">
        <x:v>194</x:v>
      </x:c>
      <x:c r="G221" s="16" t="s">
        <x:v>26</x:v>
      </x:c>
      <x:c r="H221" s="17" t="s">
        <x:v>1300</x:v>
      </x:c>
      <x:c r="I221" s="17" t="s">
        <x:v>1301</x:v>
      </x:c>
      <x:c r="J221" s="17" t="s">
        <x:v>1302</x:v>
      </x:c>
      <x:c r="K221" s="17" t="s">
        <x:v>1167</x:v>
      </x:c>
      <x:c r="L221" s="17" t="s">
        <x:v>111</x:v>
      </x:c>
      <x:c r="M221" s="17" t="s">
        <x:v>1235</x:v>
      </x:c>
      <x:c r="N221" s="16"/>
      <x:c r="O221" s="18">
        <x:v>46249</x:v>
      </x:c>
      <x:c r="P221" s="19" t="s">
        <x:v>34</x:v>
      </x:c>
      <x:c r="Q221" s="17"/>
      <x:c r="R221" s="19" t="str">
        <x:f t="shared" si="3"/>
        <x:v>Discovery Link Only</x:v>
      </x:c>
      <x:c r="S221" s="43" t="str">
        <x:v>Unknown</x:v>
      </x:c>
      <x:c r="T221" s="43" t="str">
        <x:v>Unknown</x:v>
      </x:c>
      <x:c r="U221" s="43" t="str">
        <x:v>Unknown</x:v>
      </x:c>
      <x:c r="V221" s="43" t="str">
        <x:v>Unknown</x:v>
      </x:c>
      <x:c r="W221" s="43" t="str">
        <x:v>Unknown</x:v>
      </x:c>
      <x:c r="X221" s="43" t="str">
        <x:v>Unknown</x:v>
      </x:c>
      <x:c r="Y221" s="43" t="str">
        <x:v>Unknown</x:v>
      </x:c>
      <x:c r="Z221" s="43"/>
      <x:c r="AA221" s="43" t="str">
        <x:v>Excluded</x:v>
      </x:c>
      <x:c r="AB221" s="43" t="str">
        <x:v>No qualifying evidence source recorded</x:v>
      </x:c>
      <x:c r="AC221" s="43" t="str">
        <x:v>Excluded from Maya's elderly recommendation results because no source-backed elderly accessibility feature is recorded in the reviewed data. This does not mean the attraction is inaccessible.</x:v>
      </x:c>
      <x:c r="AD221" s="43" t="str">
        <x:v>2026-08-16</x:v>
      </x:c>
    </x:row>
    <x:row r="222" ht="60" customHeight="1">
      <x:c r="A222" s="16" t="s">
        <x:v>1303</x:v>
      </x:c>
      <x:c r="B222" s="16" t="s">
        <x:v>1304</x:v>
      </x:c>
      <x:c r="C222" s="16" t="s">
        <x:v>1162</x:v>
      </x:c>
      <x:c r="D222" s="16" t="s">
        <x:v>1305</x:v>
      </x:c>
      <x:c r="E222" s="16" t="s">
        <x:v>133</x:v>
      </x:c>
      <x:c r="F222" s="16" t="s">
        <x:v>107</x:v>
      </x:c>
      <x:c r="G222" s="16" t="s">
        <x:v>134</x:v>
      </x:c>
      <x:c r="H222" s="17" t="s">
        <x:v>1306</x:v>
      </x:c>
      <x:c r="I222" s="17" t="s">
        <x:v>1307</x:v>
      </x:c>
      <x:c r="J222" s="17" t="s">
        <x:v>1308</x:v>
      </x:c>
      <x:c r="K222" s="17" t="s">
        <x:v>1167</x:v>
      </x:c>
      <x:c r="L222" s="17" t="s">
        <x:v>111</x:v>
      </x:c>
      <x:c r="M222" s="17" t="s">
        <x:v>1235</x:v>
      </x:c>
      <x:c r="N222" s="16"/>
      <x:c r="O222" s="18">
        <x:v>46249</x:v>
      </x:c>
      <x:c r="P222" s="19" t="s">
        <x:v>34</x:v>
      </x:c>
      <x:c r="Q222" s="17"/>
      <x:c r="R222" s="19" t="str">
        <x:f t="shared" si="3"/>
        <x:v>Discovery Link Only</x:v>
      </x:c>
      <x:c r="S222" s="43" t="str">
        <x:v>Unknown</x:v>
      </x:c>
      <x:c r="T222" s="43" t="str">
        <x:v>Unknown</x:v>
      </x:c>
      <x:c r="U222" s="43" t="str">
        <x:v>Unknown</x:v>
      </x:c>
      <x:c r="V222" s="43" t="str">
        <x:v>Unknown</x:v>
      </x:c>
      <x:c r="W222" s="43" t="str">
        <x:v>Unknown</x:v>
      </x:c>
      <x:c r="X222" s="43" t="str">
        <x:v>Unknown</x:v>
      </x:c>
      <x:c r="Y222" s="43" t="str">
        <x:v>Unknown</x:v>
      </x:c>
      <x:c r="Z222" s="43"/>
      <x:c r="AA222" s="43" t="str">
        <x:v>Excluded</x:v>
      </x:c>
      <x:c r="AB222" s="43" t="str">
        <x:v>No qualifying evidence source recorded</x:v>
      </x:c>
      <x:c r="AC222" s="43" t="str">
        <x:v>Excluded from Maya's elderly recommendation results because no source-backed elderly accessibility feature is recorded in the reviewed data. This does not mean the attraction is inaccessible.</x:v>
      </x:c>
      <x:c r="AD222" s="43" t="str">
        <x:v>2026-08-16</x:v>
      </x:c>
    </x:row>
    <x:row r="223" ht="60" customHeight="1">
      <x:c r="A223" s="16" t="s">
        <x:v>1309</x:v>
      </x:c>
      <x:c r="B223" s="16" t="s">
        <x:v>1310</x:v>
      </x:c>
      <x:c r="C223" s="16" t="s">
        <x:v>1162</x:v>
      </x:c>
      <x:c r="D223" s="16" t="s">
        <x:v>1198</x:v>
      </x:c>
      <x:c r="E223" s="16" t="s">
        <x:v>45</x:v>
      </x:c>
      <x:c r="F223" s="16" t="s">
        <x:v>194</x:v>
      </x:c>
      <x:c r="G223" s="16" t="s">
        <x:v>26</x:v>
      </x:c>
      <x:c r="H223" s="17" t="s">
        <x:v>1311</x:v>
      </x:c>
      <x:c r="I223" s="17" t="s">
        <x:v>1312</x:v>
      </x:c>
      <x:c r="J223" s="17" t="s">
        <x:v>1313</x:v>
      </x:c>
      <x:c r="K223" s="17" t="s">
        <x:v>1167</x:v>
      </x:c>
      <x:c r="L223" s="17" t="s">
        <x:v>111</x:v>
      </x:c>
      <x:c r="M223" s="17" t="s">
        <x:v>1235</x:v>
      </x:c>
      <x:c r="N223" s="16"/>
      <x:c r="O223" s="18">
        <x:v>46249</x:v>
      </x:c>
      <x:c r="P223" s="19" t="s">
        <x:v>34</x:v>
      </x:c>
      <x:c r="Q223" s="17"/>
      <x:c r="R223" s="19" t="str">
        <x:f t="shared" si="3"/>
        <x:v>Discovery Link Only</x:v>
      </x:c>
      <x:c r="S223" s="43" t="str">
        <x:v>Unknown</x:v>
      </x:c>
      <x:c r="T223" s="43" t="str">
        <x:v>Unknown</x:v>
      </x:c>
      <x:c r="U223" s="43" t="str">
        <x:v>Unknown</x:v>
      </x:c>
      <x:c r="V223" s="43" t="str">
        <x:v>Unknown</x:v>
      </x:c>
      <x:c r="W223" s="43" t="str">
        <x:v>Unknown</x:v>
      </x:c>
      <x:c r="X223" s="43" t="str">
        <x:v>Unknown</x:v>
      </x:c>
      <x:c r="Y223" s="43" t="str">
        <x:v>Unknown</x:v>
      </x:c>
      <x:c r="Z223" s="43"/>
      <x:c r="AA223" s="43" t="str">
        <x:v>Excluded</x:v>
      </x:c>
      <x:c r="AB223" s="43" t="str">
        <x:v>No qualifying evidence source recorded</x:v>
      </x:c>
      <x:c r="AC223" s="43" t="str">
        <x:v>Excluded from Maya's elderly recommendation results because no source-backed elderly accessibility feature is recorded in the reviewed data. This does not mean the attraction is inaccessible.</x:v>
      </x:c>
      <x:c r="AD223" s="43" t="str">
        <x:v>2026-08-16</x:v>
      </x:c>
    </x:row>
    <x:row r="224" ht="60" customHeight="1">
      <x:c r="A224" s="16" t="s">
        <x:v>1314</x:v>
      </x:c>
      <x:c r="B224" s="16" t="s">
        <x:v>1315</x:v>
      </x:c>
      <x:c r="C224" s="16" t="s">
        <x:v>1162</x:v>
      </x:c>
      <x:c r="D224" s="16" t="s">
        <x:v>1316</x:v>
      </x:c>
      <x:c r="E224" s="16" t="s">
        <x:v>115</x:v>
      </x:c>
      <x:c r="F224" s="16" t="s">
        <x:v>107</x:v>
      </x:c>
      <x:c r="G224" s="16" t="s">
        <x:v>46</x:v>
      </x:c>
      <x:c r="H224" s="17" t="s">
        <x:v>1317</x:v>
      </x:c>
      <x:c r="I224" s="17" t="s">
        <x:v>1318</x:v>
      </x:c>
      <x:c r="J224" s="17" t="s">
        <x:v>1319</x:v>
      </x:c>
      <x:c r="K224" s="17" t="s">
        <x:v>1167</x:v>
      </x:c>
      <x:c r="L224" s="17" t="s">
        <x:v>111</x:v>
      </x:c>
      <x:c r="M224" s="17" t="s">
        <x:v>1235</x:v>
      </x:c>
      <x:c r="N224" s="16"/>
      <x:c r="O224" s="18">
        <x:v>46249</x:v>
      </x:c>
      <x:c r="P224" s="19" t="s">
        <x:v>34</x:v>
      </x:c>
      <x:c r="Q224" s="17"/>
      <x:c r="R224" s="19" t="str">
        <x:f t="shared" si="3"/>
        <x:v>Discovery Link Only</x:v>
      </x:c>
      <x:c r="S224" s="43" t="str">
        <x:v>Unknown</x:v>
      </x:c>
      <x:c r="T224" s="43" t="str">
        <x:v>Unknown</x:v>
      </x:c>
      <x:c r="U224" s="43" t="str">
        <x:v>Unknown</x:v>
      </x:c>
      <x:c r="V224" s="43" t="str">
        <x:v>Unknown</x:v>
      </x:c>
      <x:c r="W224" s="43" t="str">
        <x:v>Unknown</x:v>
      </x:c>
      <x:c r="X224" s="43" t="str">
        <x:v>Unknown</x:v>
      </x:c>
      <x:c r="Y224" s="43" t="str">
        <x:v>Unknown</x:v>
      </x:c>
      <x:c r="Z224" s="43"/>
      <x:c r="AA224" s="43" t="str">
        <x:v>Excluded</x:v>
      </x:c>
      <x:c r="AB224" s="43" t="str">
        <x:v>No qualifying evidence source recorded</x:v>
      </x:c>
      <x:c r="AC224" s="43" t="str">
        <x:v>Excluded from Maya's elderly recommendation results because no source-backed elderly accessibility feature is recorded in the reviewed data. This does not mean the attraction is inaccessible.</x:v>
      </x:c>
      <x:c r="AD224" s="43" t="str">
        <x:v>2026-08-16</x:v>
      </x:c>
    </x:row>
    <x:row r="225" ht="60" customHeight="1">
      <x:c r="A225" s="16" t="s">
        <x:v>1320</x:v>
      </x:c>
      <x:c r="B225" s="16" t="s">
        <x:v>1321</x:v>
      </x:c>
      <x:c r="C225" s="16" t="s">
        <x:v>1162</x:v>
      </x:c>
      <x:c r="D225" s="16" t="s">
        <x:v>1163</x:v>
      </x:c>
      <x:c r="E225" s="16" t="s">
        <x:v>115</x:v>
      </x:c>
      <x:c r="F225" s="16" t="s">
        <x:v>121</x:v>
      </x:c>
      <x:c r="G225" s="16" t="s">
        <x:v>46</x:v>
      </x:c>
      <x:c r="H225" s="17" t="s">
        <x:v>1322</x:v>
      </x:c>
      <x:c r="I225" s="17" t="s">
        <x:v>1323</x:v>
      </x:c>
      <x:c r="J225" s="17" t="s">
        <x:v>1324</x:v>
      </x:c>
      <x:c r="K225" s="17" t="s">
        <x:v>1167</x:v>
      </x:c>
      <x:c r="L225" s="17" t="s">
        <x:v>111</x:v>
      </x:c>
      <x:c r="M225" s="17" t="s">
        <x:v>1235</x:v>
      </x:c>
      <x:c r="N225" s="16"/>
      <x:c r="O225" s="18">
        <x:v>46249</x:v>
      </x:c>
      <x:c r="P225" s="19" t="s">
        <x:v>34</x:v>
      </x:c>
      <x:c r="Q225" s="17"/>
      <x:c r="R225" s="19" t="str">
        <x:f t="shared" si="3"/>
        <x:v>Discovery Link Only</x:v>
      </x:c>
      <x:c r="S225" s="43" t="str">
        <x:v>Unknown</x:v>
      </x:c>
      <x:c r="T225" s="43" t="str">
        <x:v>Unknown</x:v>
      </x:c>
      <x:c r="U225" s="43" t="str">
        <x:v>Unknown</x:v>
      </x:c>
      <x:c r="V225" s="43" t="str">
        <x:v>Unknown</x:v>
      </x:c>
      <x:c r="W225" s="43" t="str">
        <x:v>Unknown</x:v>
      </x:c>
      <x:c r="X225" s="43" t="str">
        <x:v>Unknown</x:v>
      </x:c>
      <x:c r="Y225" s="43" t="str">
        <x:v>Unknown</x:v>
      </x:c>
      <x:c r="Z225" s="43"/>
      <x:c r="AA225" s="43" t="str">
        <x:v>Excluded</x:v>
      </x:c>
      <x:c r="AB225" s="43" t="str">
        <x:v>No qualifying evidence source recorded</x:v>
      </x:c>
      <x:c r="AC225" s="43" t="str">
        <x:v>Excluded from Maya's elderly recommendation results because no source-backed elderly accessibility feature is recorded in the reviewed data. This does not mean the attraction is inaccessible.</x:v>
      </x:c>
      <x:c r="AD225" s="43" t="str">
        <x:v>2026-08-16</x:v>
      </x:c>
    </x:row>
    <x:row r="226" ht="60" customHeight="1">
      <x:c r="A226" s="16" t="s">
        <x:v>1325</x:v>
      </x:c>
      <x:c r="B226" s="16" t="s">
        <x:v>1326</x:v>
      </x:c>
      <x:c r="C226" s="16" t="s">
        <x:v>1162</x:v>
      </x:c>
      <x:c r="D226" s="16" t="s">
        <x:v>1327</x:v>
      </x:c>
      <x:c r="E226" s="16" t="s">
        <x:v>133</x:v>
      </x:c>
      <x:c r="F226" s="16" t="s">
        <x:v>107</x:v>
      </x:c>
      <x:c r="G226" s="16" t="s">
        <x:v>134</x:v>
      </x:c>
      <x:c r="H226" s="17" t="s">
        <x:v>1328</x:v>
      </x:c>
      <x:c r="I226" s="17" t="s">
        <x:v>1329</x:v>
      </x:c>
      <x:c r="J226" s="17" t="s">
        <x:v>1330</x:v>
      </x:c>
      <x:c r="K226" s="17" t="s">
        <x:v>1167</x:v>
      </x:c>
      <x:c r="L226" s="17" t="s">
        <x:v>111</x:v>
      </x:c>
      <x:c r="M226" s="17" t="s">
        <x:v>1235</x:v>
      </x:c>
      <x:c r="N226" s="16"/>
      <x:c r="O226" s="18">
        <x:v>46249</x:v>
      </x:c>
      <x:c r="P226" s="19" t="s">
        <x:v>34</x:v>
      </x:c>
      <x:c r="Q226" s="17"/>
      <x:c r="R226" s="19" t="str">
        <x:f t="shared" si="3"/>
        <x:v>Discovery Link Only</x:v>
      </x:c>
      <x:c r="S226" s="43" t="str">
        <x:v>Unknown</x:v>
      </x:c>
      <x:c r="T226" s="43" t="str">
        <x:v>Unknown</x:v>
      </x:c>
      <x:c r="U226" s="43" t="str">
        <x:v>Unknown</x:v>
      </x:c>
      <x:c r="V226" s="43" t="str">
        <x:v>Unknown</x:v>
      </x:c>
      <x:c r="W226" s="43" t="str">
        <x:v>Unknown</x:v>
      </x:c>
      <x:c r="X226" s="43" t="str">
        <x:v>Unknown</x:v>
      </x:c>
      <x:c r="Y226" s="43" t="str">
        <x:v>Unknown</x:v>
      </x:c>
      <x:c r="Z226" s="43"/>
      <x:c r="AA226" s="43" t="str">
        <x:v>Excluded</x:v>
      </x:c>
      <x:c r="AB226" s="43" t="str">
        <x:v>No qualifying evidence source recorded</x:v>
      </x:c>
      <x:c r="AC226" s="43" t="str">
        <x:v>Excluded from Maya's elderly recommendation results because no source-backed elderly accessibility feature is recorded in the reviewed data. This does not mean the attraction is inaccessible.</x:v>
      </x:c>
      <x:c r="AD226" s="43" t="str">
        <x:v>2026-08-16</x:v>
      </x:c>
    </x:row>
    <x:row r="227" ht="60" customHeight="1">
      <x:c r="A227" s="16" t="s">
        <x:v>1331</x:v>
      </x:c>
      <x:c r="B227" s="16" t="s">
        <x:v>1332</x:v>
      </x:c>
      <x:c r="C227" s="16" t="s">
        <x:v>1333</x:v>
      </x:c>
      <x:c r="D227" s="16" t="s">
        <x:v>1334</x:v>
      </x:c>
      <x:c r="E227" s="16" t="s">
        <x:v>45</x:v>
      </x:c>
      <x:c r="F227" s="16" t="s">
        <x:v>25</x:v>
      </x:c>
      <x:c r="G227" s="16" t="s">
        <x:v>46</x:v>
      </x:c>
      <x:c r="H227" s="17" t="s">
        <x:v>1335</x:v>
      </x:c>
      <x:c r="I227" s="17" t="s">
        <x:v>1336</x:v>
      </x:c>
      <x:c r="J227" s="17" t="s">
        <x:v>1337</x:v>
      </x:c>
      <x:c r="K227" s="17" t="s">
        <x:v>1338</x:v>
      </x:c>
      <x:c r="L227" s="17" t="s">
        <x:v>58</x:v>
      </x:c>
      <x:c r="M227" s="17" t="s">
        <x:v>256</x:v>
      </x:c>
      <x:c r="N227" s="16" t="s">
        <x:v>1339</x:v>
      </x:c>
      <x:c r="O227" s="18">
        <x:v>46249</x:v>
      </x:c>
      <x:c r="P227" s="19" t="s">
        <x:v>34</x:v>
      </x:c>
      <x:c r="Q227" s="17"/>
      <x:c r="R227" s="19" t="str">
        <x:f t="shared" si="3"/>
        <x:v>Source Link Present</x:v>
      </x:c>
      <x:c r="S227" s="43" t="str">
        <x:v>Unknown</x:v>
      </x:c>
      <x:c r="T227" s="43" t="str">
        <x:v>Unknown</x:v>
      </x:c>
      <x:c r="U227" s="43" t="str">
        <x:v>Unknown</x:v>
      </x:c>
      <x:c r="V227" s="43" t="str">
        <x:v>Unknown</x:v>
      </x:c>
      <x:c r="W227" s="43" t="str">
        <x:v>Unknown</x:v>
      </x:c>
      <x:c r="X227" s="43" t="str">
        <x:v>Unknown</x:v>
      </x:c>
      <x:c r="Y227" s="43" t="str">
        <x:v>Unknown</x:v>
      </x:c>
      <x:c r="Z227" s="43"/>
      <x:c r="AA227" s="43" t="str">
        <x:v>Eligible</x:v>
      </x:c>
      <x:c r="AB227" s="43" t="str">
        <x:v>https://www.malaysia.travel/explore/gua-kelam-recreational-park
https://www.forestry.gov.my/en/semenanjung-malaysia/taman-negeri-perlis
https://forestry.perlis.gov.my/eko-pelancongan/gua-kelam
https://explore.perlis.gov.my/bm/Destination/View/r4Hnz
https://geopark.perlis.gov.my/tour-item/lombong-gua-kelam/
https://ebrochures.malaysia.travel/en/malaysia-travel-guide/perlis/
https://www.malaysia.travel/explore/3d2n-in-perlis-a-weekend-guide</x:v>
      </x:c>
      <x:c r="AC227" s="43" t="str">
        <x:v>Included in Maya's elderly recommendation results: An OKU facility and a lower-barrier virtual-reality alternative are recorded.</x:v>
      </x:c>
      <x:c r="AD227" s="43" t="str">
        <x:v>2026-08-16</x:v>
      </x:c>
    </x:row>
    <x:row r="228" ht="60" customHeight="1">
      <x:c r="A228" s="16" t="s">
        <x:v>1340</x:v>
      </x:c>
      <x:c r="B228" s="16" t="s">
        <x:v>1341</x:v>
      </x:c>
      <x:c r="C228" s="16" t="s">
        <x:v>1333</x:v>
      </x:c>
      <x:c r="D228" s="16" t="s">
        <x:v>1342</x:v>
      </x:c>
      <x:c r="E228" s="16" t="s">
        <x:v>45</x:v>
      </x:c>
      <x:c r="F228" s="16" t="s">
        <x:v>25</x:v>
      </x:c>
      <x:c r="G228" s="16" t="s">
        <x:v>26</x:v>
      </x:c>
      <x:c r="H228" s="17" t="s">
        <x:v>1343</x:v>
      </x:c>
      <x:c r="I228" s="17" t="s">
        <x:v>1344</x:v>
      </x:c>
      <x:c r="J228" s="17" t="s">
        <x:v>1345</x:v>
      </x:c>
      <x:c r="K228" s="17" t="s">
        <x:v>1338</x:v>
      </x:c>
      <x:c r="L228" s="17" t="s">
        <x:v>58</x:v>
      </x:c>
      <x:c r="M228" s="17" t="s">
        <x:v>256</x:v>
      </x:c>
      <x:c r="N228" s="16" t="s">
        <x:v>1346</x:v>
      </x:c>
      <x:c r="O228" s="18">
        <x:v>46249</x:v>
      </x:c>
      <x:c r="P228" s="19" t="s">
        <x:v>34</x:v>
      </x:c>
      <x:c r="Q228" s="17"/>
      <x:c r="R228" s="19" t="str">
        <x:f t="shared" si="3"/>
        <x:v>Source Link Present</x:v>
      </x:c>
      <x:c r="S228" s="43" t="str">
        <x:v>Unknown</x:v>
      </x:c>
      <x:c r="T228" s="43" t="str">
        <x:v>Unknown</x:v>
      </x:c>
      <x:c r="U228" s="43" t="str">
        <x:v>Unknown</x:v>
      </x:c>
      <x:c r="V228" s="43" t="str">
        <x:v>Unknown</x:v>
      </x:c>
      <x:c r="W228" s="43" t="str">
        <x:v>Unknown</x:v>
      </x:c>
      <x:c r="X228" s="43" t="str">
        <x:v>Unknown</x:v>
      </x:c>
      <x:c r="Y228" s="43" t="str">
        <x:v>Unknown</x:v>
      </x:c>
      <x:c r="Z228" s="43"/>
      <x:c r="AA228" s="43" t="str">
        <x:v>Excluded</x:v>
      </x:c>
      <x:c r="AB228" s="43" t="str">
        <x:v>No qualifying evidence source recorded</x:v>
      </x:c>
      <x:c r="AC228" s="43" t="str">
        <x:v>Excluded from Maya's elderly recommendation results because no source-backed elderly accessibility feature is recorded in the reviewed data. This does not mean the attraction is inaccessible.</x:v>
      </x:c>
      <x:c r="AD228" s="43" t="str">
        <x:v>2026-08-16</x:v>
      </x:c>
    </x:row>
    <x:row r="229" ht="60" customHeight="1">
      <x:c r="A229" s="16" t="s">
        <x:v>1347</x:v>
      </x:c>
      <x:c r="B229" s="16" t="s">
        <x:v>1348</x:v>
      </x:c>
      <x:c r="C229" s="16" t="s">
        <x:v>1333</x:v>
      </x:c>
      <x:c r="D229" s="16" t="s">
        <x:v>1349</x:v>
      </x:c>
      <x:c r="E229" s="16" t="s">
        <x:v>45</x:v>
      </x:c>
      <x:c r="F229" s="16" t="s">
        <x:v>25</x:v>
      </x:c>
      <x:c r="G229" s="16" t="s">
        <x:v>26</x:v>
      </x:c>
      <x:c r="H229" s="17" t="s">
        <x:v>1350</x:v>
      </x:c>
      <x:c r="I229" s="17" t="s">
        <x:v>1351</x:v>
      </x:c>
      <x:c r="J229" s="17" t="s">
        <x:v>1352</x:v>
      </x:c>
      <x:c r="K229" s="17" t="s">
        <x:v>1338</x:v>
      </x:c>
      <x:c r="L229" s="17" t="s">
        <x:v>58</x:v>
      </x:c>
      <x:c r="M229" s="17" t="s">
        <x:v>256</x:v>
      </x:c>
      <x:c r="N229" s="16" t="s">
        <x:v>1353</x:v>
      </x:c>
      <x:c r="O229" s="18">
        <x:v>46249</x:v>
      </x:c>
      <x:c r="P229" s="19" t="s">
        <x:v>34</x:v>
      </x:c>
      <x:c r="Q229" s="17"/>
      <x:c r="R229" s="19" t="str">
        <x:f t="shared" si="3"/>
        <x:v>Discovery Link Only</x:v>
      </x:c>
      <x:c r="S229" s="43" t="str">
        <x:v>Unknown</x:v>
      </x:c>
      <x:c r="T229" s="43" t="str">
        <x:v>Unknown</x:v>
      </x:c>
      <x:c r="U229" s="43" t="str">
        <x:v>Unknown</x:v>
      </x:c>
      <x:c r="V229" s="43" t="str">
        <x:v>Unknown</x:v>
      </x:c>
      <x:c r="W229" s="43" t="str">
        <x:v>Unknown</x:v>
      </x:c>
      <x:c r="X229" s="43" t="str">
        <x:v>Unknown</x:v>
      </x:c>
      <x:c r="Y229" s="43" t="str">
        <x:v>Unknown</x:v>
      </x:c>
      <x:c r="Z229" s="43"/>
      <x:c r="AA229" s="43" t="str">
        <x:v>Excluded</x:v>
      </x:c>
      <x:c r="AB229" s="43" t="str">
        <x:v>No qualifying evidence source recorded</x:v>
      </x:c>
      <x:c r="AC229" s="43" t="str">
        <x:v>Excluded from Maya's elderly recommendation results because no source-backed elderly accessibility feature is recorded in the reviewed data. This does not mean the attraction is inaccessible.</x:v>
      </x:c>
      <x:c r="AD229" s="43" t="str">
        <x:v>2026-08-16</x:v>
      </x:c>
    </x:row>
    <x:row r="230" ht="60" customHeight="1">
      <x:c r="A230" s="16" t="s">
        <x:v>1354</x:v>
      </x:c>
      <x:c r="B230" s="16" t="s">
        <x:v>1355</x:v>
      </x:c>
      <x:c r="C230" s="16" t="s">
        <x:v>1333</x:v>
      </x:c>
      <x:c r="D230" s="16" t="s">
        <x:v>1349</x:v>
      </x:c>
      <x:c r="E230" s="16" t="s">
        <x:v>251</x:v>
      </x:c>
      <x:c r="F230" s="16" t="s">
        <x:v>25</x:v>
      </x:c>
      <x:c r="G230" s="16" t="s">
        <x:v>26</x:v>
      </x:c>
      <x:c r="H230" s="17" t="s">
        <x:v>1356</x:v>
      </x:c>
      <x:c r="I230" s="17" t="s">
        <x:v>1357</x:v>
      </x:c>
      <x:c r="J230" s="17" t="s">
        <x:v>1358</x:v>
      </x:c>
      <x:c r="K230" s="17" t="s">
        <x:v>1338</x:v>
      </x:c>
      <x:c r="L230" s="17" t="s">
        <x:v>58</x:v>
      </x:c>
      <x:c r="M230" s="17" t="s">
        <x:v>256</x:v>
      </x:c>
      <x:c r="N230" s="16" t="s">
        <x:v>1359</x:v>
      </x:c>
      <x:c r="O230" s="18">
        <x:v>46249</x:v>
      </x:c>
      <x:c r="P230" s="19" t="s">
        <x:v>34</x:v>
      </x:c>
      <x:c r="Q230" s="17"/>
      <x:c r="R230" s="19" t="str">
        <x:f t="shared" si="3"/>
        <x:v>Discovery Link Only</x:v>
      </x:c>
      <x:c r="S230" s="43" t="str">
        <x:v>Unknown</x:v>
      </x:c>
      <x:c r="T230" s="43" t="str">
        <x:v>Unknown</x:v>
      </x:c>
      <x:c r="U230" s="43" t="str">
        <x:v>Unknown</x:v>
      </x:c>
      <x:c r="V230" s="43" t="str">
        <x:v>Unknown</x:v>
      </x:c>
      <x:c r="W230" s="43" t="str">
        <x:v>Unknown</x:v>
      </x:c>
      <x:c r="X230" s="43" t="str">
        <x:v>Unknown</x:v>
      </x:c>
      <x:c r="Y230" s="43" t="str">
        <x:v>Unknown</x:v>
      </x:c>
      <x:c r="Z230" s="43"/>
      <x:c r="AA230" s="43" t="str">
        <x:v>Excluded</x:v>
      </x:c>
      <x:c r="AB230" s="43" t="str">
        <x:v>No qualifying evidence source recorded</x:v>
      </x:c>
      <x:c r="AC230" s="43" t="str">
        <x:v>Excluded from Maya's elderly recommendation results because no source-backed elderly accessibility feature is recorded in the reviewed data. This does not mean the attraction is inaccessible.</x:v>
      </x:c>
      <x:c r="AD230" s="43" t="str">
        <x:v>2026-08-16</x:v>
      </x:c>
    </x:row>
    <x:row r="231" ht="60" customHeight="1">
      <x:c r="A231" s="16" t="s">
        <x:v>1360</x:v>
      </x:c>
      <x:c r="B231" s="16" t="s">
        <x:v>1361</x:v>
      </x:c>
      <x:c r="C231" s="16" t="s">
        <x:v>1333</x:v>
      </x:c>
      <x:c r="D231" s="16" t="s">
        <x:v>1362</x:v>
      </x:c>
      <x:c r="E231" s="16" t="s">
        <x:v>151</x:v>
      </x:c>
      <x:c r="F231" s="16" t="s">
        <x:v>121</x:v>
      </x:c>
      <x:c r="G231" s="16" t="s">
        <x:v>46</x:v>
      </x:c>
      <x:c r="H231" s="17" t="s">
        <x:v>1363</x:v>
      </x:c>
      <x:c r="I231" s="17" t="s">
        <x:v>1364</x:v>
      </x:c>
      <x:c r="J231" s="17" t="s">
        <x:v>1365</x:v>
      </x:c>
      <x:c r="K231" s="17" t="s">
        <x:v>1338</x:v>
      </x:c>
      <x:c r="L231" s="17" t="s">
        <x:v>58</x:v>
      </x:c>
      <x:c r="M231" s="17" t="s">
        <x:v>256</x:v>
      </x:c>
      <x:c r="N231" s="16" t="s">
        <x:v>1366</x:v>
      </x:c>
      <x:c r="O231" s="18">
        <x:v>46249</x:v>
      </x:c>
      <x:c r="P231" s="19" t="s">
        <x:v>34</x:v>
      </x:c>
      <x:c r="Q231" s="17"/>
      <x:c r="R231" s="19" t="str">
        <x:f t="shared" si="3"/>
        <x:v>Discovery Link Only</x:v>
      </x:c>
      <x:c r="S231" s="43" t="str">
        <x:v>Unknown</x:v>
      </x:c>
      <x:c r="T231" s="43" t="str">
        <x:v>Unknown</x:v>
      </x:c>
      <x:c r="U231" s="43" t="str">
        <x:v>Unknown</x:v>
      </x:c>
      <x:c r="V231" s="43" t="str">
        <x:v>Unknown</x:v>
      </x:c>
      <x:c r="W231" s="43" t="str">
        <x:v>Unknown</x:v>
      </x:c>
      <x:c r="X231" s="43" t="str">
        <x:v>Unknown</x:v>
      </x:c>
      <x:c r="Y231" s="43" t="str">
        <x:v>Unknown</x:v>
      </x:c>
      <x:c r="Z231" s="43"/>
      <x:c r="AA231" s="43" t="str">
        <x:v>Excluded</x:v>
      </x:c>
      <x:c r="AB231" s="43" t="str">
        <x:v>No qualifying evidence source recorded</x:v>
      </x:c>
      <x:c r="AC231" s="43" t="str">
        <x:v>Excluded from Maya's elderly recommendation results because no source-backed elderly accessibility feature is recorded in the reviewed data. This does not mean the attraction is inaccessible.</x:v>
      </x:c>
      <x:c r="AD231" s="43" t="str">
        <x:v>2026-08-16</x:v>
      </x:c>
    </x:row>
    <x:row r="232" ht="60" customHeight="1">
      <x:c r="A232" s="16" t="s">
        <x:v>1367</x:v>
      </x:c>
      <x:c r="B232" s="16" t="s">
        <x:v>1368</x:v>
      </x:c>
      <x:c r="C232" s="16" t="s">
        <x:v>1333</x:v>
      </x:c>
      <x:c r="D232" s="16" t="s">
        <x:v>1369</x:v>
      </x:c>
      <x:c r="E232" s="16" t="s">
        <x:v>133</x:v>
      </x:c>
      <x:c r="F232" s="16" t="s">
        <x:v>25</x:v>
      </x:c>
      <x:c r="G232" s="16" t="s">
        <x:v>46</x:v>
      </x:c>
      <x:c r="H232" s="17" t="s">
        <x:v>1370</x:v>
      </x:c>
      <x:c r="I232" s="17" t="s">
        <x:v>1371</x:v>
      </x:c>
      <x:c r="J232" s="17" t="s">
        <x:v>1372</x:v>
      </x:c>
      <x:c r="K232" s="17" t="s">
        <x:v>1338</x:v>
      </x:c>
      <x:c r="L232" s="17" t="s">
        <x:v>58</x:v>
      </x:c>
      <x:c r="M232" s="17" t="s">
        <x:v>256</x:v>
      </x:c>
      <x:c r="N232" s="16" t="s">
        <x:v>1373</x:v>
      </x:c>
      <x:c r="O232" s="18">
        <x:v>46249</x:v>
      </x:c>
      <x:c r="P232" s="19" t="s">
        <x:v>34</x:v>
      </x:c>
      <x:c r="Q232" s="17"/>
      <x:c r="R232" s="19" t="str">
        <x:f t="shared" si="3"/>
        <x:v>Discovery Link Only</x:v>
      </x:c>
      <x:c r="S232" s="43" t="str">
        <x:v>Unknown</x:v>
      </x:c>
      <x:c r="T232" s="43" t="str">
        <x:v>Unknown</x:v>
      </x:c>
      <x:c r="U232" s="43" t="str">
        <x:v>Unknown</x:v>
      </x:c>
      <x:c r="V232" s="43" t="str">
        <x:v>Unknown</x:v>
      </x:c>
      <x:c r="W232" s="43" t="str">
        <x:v>Unknown</x:v>
      </x:c>
      <x:c r="X232" s="43" t="str">
        <x:v>Unknown</x:v>
      </x:c>
      <x:c r="Y232" s="43" t="str">
        <x:v>Unknown</x:v>
      </x:c>
      <x:c r="Z232" s="43"/>
      <x:c r="AA232" s="43" t="str">
        <x:v>Excluded</x:v>
      </x:c>
      <x:c r="AB232" s="43" t="str">
        <x:v>No qualifying evidence source recorded</x:v>
      </x:c>
      <x:c r="AC232" s="43" t="str">
        <x:v>Excluded from Maya's elderly recommendation results because no source-backed elderly accessibility feature is recorded in the reviewed data. This does not mean the attraction is inaccessible.</x:v>
      </x:c>
      <x:c r="AD232" s="43" t="str">
        <x:v>2026-08-16</x:v>
      </x:c>
    </x:row>
    <x:row r="233" ht="60" customHeight="1">
      <x:c r="A233" s="16" t="s">
        <x:v>1374</x:v>
      </x:c>
      <x:c r="B233" s="16" t="s">
        <x:v>1375</x:v>
      </x:c>
      <x:c r="C233" s="16" t="s">
        <x:v>1333</x:v>
      </x:c>
      <x:c r="D233" s="16" t="s">
        <x:v>1376</x:v>
      </x:c>
      <x:c r="E233" s="16" t="s">
        <x:v>24</x:v>
      </x:c>
      <x:c r="F233" s="16" t="s">
        <x:v>25</x:v>
      </x:c>
      <x:c r="G233" s="16" t="s">
        <x:v>26</x:v>
      </x:c>
      <x:c r="H233" s="17" t="s">
        <x:v>1377</x:v>
      </x:c>
      <x:c r="I233" s="17" t="s">
        <x:v>1378</x:v>
      </x:c>
      <x:c r="J233" s="17" t="s">
        <x:v>1379</x:v>
      </x:c>
      <x:c r="K233" s="17" t="s">
        <x:v>1338</x:v>
      </x:c>
      <x:c r="L233" s="17" t="s">
        <x:v>58</x:v>
      </x:c>
      <x:c r="M233" s="17" t="s">
        <x:v>256</x:v>
      </x:c>
      <x:c r="N233" s="16" t="s">
        <x:v>1380</x:v>
      </x:c>
      <x:c r="O233" s="18">
        <x:v>46249</x:v>
      </x:c>
      <x:c r="P233" s="19" t="s">
        <x:v>34</x:v>
      </x:c>
      <x:c r="Q233" s="17"/>
      <x:c r="R233" s="19" t="str">
        <x:f t="shared" si="3"/>
        <x:v>Discovery Link Only</x:v>
      </x:c>
      <x:c r="S233" s="43" t="str">
        <x:v>Unknown</x:v>
      </x:c>
      <x:c r="T233" s="43" t="str">
        <x:v>Unknown</x:v>
      </x:c>
      <x:c r="U233" s="43" t="str">
        <x:v>Unknown</x:v>
      </x:c>
      <x:c r="V233" s="43" t="str">
        <x:v>Unknown</x:v>
      </x:c>
      <x:c r="W233" s="43" t="str">
        <x:v>Unknown</x:v>
      </x:c>
      <x:c r="X233" s="43" t="str">
        <x:v>Unknown</x:v>
      </x:c>
      <x:c r="Y233" s="43" t="str">
        <x:v>Unknown</x:v>
      </x:c>
      <x:c r="Z233" s="43"/>
      <x:c r="AA233" s="43" t="str">
        <x:v>Excluded</x:v>
      </x:c>
      <x:c r="AB233" s="43" t="str">
        <x:v>No qualifying evidence source recorded</x:v>
      </x:c>
      <x:c r="AC233" s="43" t="str">
        <x:v>Excluded from Maya's elderly recommendation results because no source-backed elderly accessibility feature is recorded in the reviewed data. This does not mean the attraction is inaccessible.</x:v>
      </x:c>
      <x:c r="AD233" s="43" t="str">
        <x:v>2026-08-16</x:v>
      </x:c>
    </x:row>
    <x:row r="234" ht="60" customHeight="1">
      <x:c r="A234" s="16" t="s">
        <x:v>1381</x:v>
      </x:c>
      <x:c r="B234" s="16" t="s">
        <x:v>1382</x:v>
      </x:c>
      <x:c r="C234" s="16" t="s">
        <x:v>1333</x:v>
      </x:c>
      <x:c r="D234" s="16" t="s">
        <x:v>1383</x:v>
      </x:c>
      <x:c r="E234" s="16" t="s">
        <x:v>37</x:v>
      </x:c>
      <x:c r="F234" s="16" t="s">
        <x:v>25</x:v>
      </x:c>
      <x:c r="G234" s="16" t="s">
        <x:v>46</x:v>
      </x:c>
      <x:c r="H234" s="17" t="s">
        <x:v>1384</x:v>
      </x:c>
      <x:c r="I234" s="17" t="s">
        <x:v>1385</x:v>
      </x:c>
      <x:c r="J234" s="17" t="s">
        <x:v>1386</x:v>
      </x:c>
      <x:c r="K234" s="17" t="s">
        <x:v>1338</x:v>
      </x:c>
      <x:c r="L234" s="17" t="s">
        <x:v>58</x:v>
      </x:c>
      <x:c r="M234" s="17" t="s">
        <x:v>256</x:v>
      </x:c>
      <x:c r="N234" s="16" t="s">
        <x:v>1387</x:v>
      </x:c>
      <x:c r="O234" s="18">
        <x:v>46249</x:v>
      </x:c>
      <x:c r="P234" s="19" t="s">
        <x:v>34</x:v>
      </x:c>
      <x:c r="Q234" s="17"/>
      <x:c r="R234" s="19" t="str">
        <x:f t="shared" si="3"/>
        <x:v>Discovery Link Only</x:v>
      </x:c>
      <x:c r="S234" s="43" t="str">
        <x:v>Unknown</x:v>
      </x:c>
      <x:c r="T234" s="43" t="str">
        <x:v>Unknown</x:v>
      </x:c>
      <x:c r="U234" s="43" t="str">
        <x:v>Unknown</x:v>
      </x:c>
      <x:c r="V234" s="43" t="str">
        <x:v>Unknown</x:v>
      </x:c>
      <x:c r="W234" s="43" t="str">
        <x:v>Unknown</x:v>
      </x:c>
      <x:c r="X234" s="43" t="str">
        <x:v>Unknown</x:v>
      </x:c>
      <x:c r="Y234" s="43" t="str">
        <x:v>Unknown</x:v>
      </x:c>
      <x:c r="Z234" s="43"/>
      <x:c r="AA234" s="43" t="str">
        <x:v>Excluded</x:v>
      </x:c>
      <x:c r="AB234" s="43" t="str">
        <x:v>No qualifying evidence source recorded</x:v>
      </x:c>
      <x:c r="AC234" s="43" t="str">
        <x:v>Excluded from Maya's elderly recommendation results because no source-backed elderly accessibility feature is recorded in the reviewed data. This does not mean the attraction is inaccessible.</x:v>
      </x:c>
      <x:c r="AD234" s="43" t="str">
        <x:v>2026-08-16</x:v>
      </x:c>
    </x:row>
    <x:row r="235" ht="60" customHeight="1">
      <x:c r="A235" s="16" t="s">
        <x:v>1388</x:v>
      </x:c>
      <x:c r="B235" s="16" t="s">
        <x:v>1389</x:v>
      </x:c>
      <x:c r="C235" s="16" t="s">
        <x:v>1333</x:v>
      </x:c>
      <x:c r="D235" s="16" t="s">
        <x:v>1369</x:v>
      </x:c>
      <x:c r="E235" s="16" t="s">
        <x:v>106</x:v>
      </x:c>
      <x:c r="F235" s="16" t="s">
        <x:v>25</x:v>
      </x:c>
      <x:c r="G235" s="16" t="s">
        <x:v>46</x:v>
      </x:c>
      <x:c r="H235" s="17" t="s">
        <x:v>1390</x:v>
      </x:c>
      <x:c r="I235" s="17" t="s">
        <x:v>1391</x:v>
      </x:c>
      <x:c r="J235" s="17" t="s">
        <x:v>1392</x:v>
      </x:c>
      <x:c r="K235" s="17" t="s">
        <x:v>1338</x:v>
      </x:c>
      <x:c r="L235" s="17" t="s">
        <x:v>58</x:v>
      </x:c>
      <x:c r="M235" s="17" t="s">
        <x:v>256</x:v>
      </x:c>
      <x:c r="N235" s="16" t="s">
        <x:v>1393</x:v>
      </x:c>
      <x:c r="O235" s="18">
        <x:v>46249</x:v>
      </x:c>
      <x:c r="P235" s="19" t="s">
        <x:v>34</x:v>
      </x:c>
      <x:c r="Q235" s="17"/>
      <x:c r="R235" s="19" t="str">
        <x:f t="shared" si="3"/>
        <x:v>Discovery Link Only</x:v>
      </x:c>
      <x:c r="S235" s="43" t="str">
        <x:v>Unknown</x:v>
      </x:c>
      <x:c r="T235" s="43" t="str">
        <x:v>Unknown</x:v>
      </x:c>
      <x:c r="U235" s="43" t="str">
        <x:v>Unknown</x:v>
      </x:c>
      <x:c r="V235" s="43" t="str">
        <x:v>Unknown</x:v>
      </x:c>
      <x:c r="W235" s="43" t="str">
        <x:v>Unknown</x:v>
      </x:c>
      <x:c r="X235" s="43" t="str">
        <x:v>Unknown</x:v>
      </x:c>
      <x:c r="Y235" s="43" t="str">
        <x:v>Unknown</x:v>
      </x:c>
      <x:c r="Z235" s="43"/>
      <x:c r="AA235" s="43" t="str">
        <x:v>Excluded</x:v>
      </x:c>
      <x:c r="AB235" s="43" t="str">
        <x:v>No qualifying evidence source recorded</x:v>
      </x:c>
      <x:c r="AC235" s="43" t="str">
        <x:v>Excluded from Maya's elderly recommendation results because no source-backed elderly accessibility feature is recorded in the reviewed data. This does not mean the attraction is inaccessible.</x:v>
      </x:c>
      <x:c r="AD235" s="43" t="str">
        <x:v>2026-08-16</x:v>
      </x:c>
    </x:row>
    <x:row r="236" ht="60" customHeight="1">
      <x:c r="A236" s="16" t="s">
        <x:v>1394</x:v>
      </x:c>
      <x:c r="B236" s="16" t="s">
        <x:v>1395</x:v>
      </x:c>
      <x:c r="C236" s="16" t="s">
        <x:v>1333</x:v>
      </x:c>
      <x:c r="D236" s="16" t="s">
        <x:v>1383</x:v>
      </x:c>
      <x:c r="E236" s="16" t="s">
        <x:v>45</x:v>
      </x:c>
      <x:c r="F236" s="16" t="s">
        <x:v>25</x:v>
      </x:c>
      <x:c r="G236" s="16" t="s">
        <x:v>26</x:v>
      </x:c>
      <x:c r="H236" s="17" t="s">
        <x:v>1396</x:v>
      </x:c>
      <x:c r="I236" s="17" t="s">
        <x:v>1397</x:v>
      </x:c>
      <x:c r="J236" s="17" t="s">
        <x:v>1398</x:v>
      </x:c>
      <x:c r="K236" s="17" t="s">
        <x:v>1338</x:v>
      </x:c>
      <x:c r="L236" s="17" t="s">
        <x:v>58</x:v>
      </x:c>
      <x:c r="M236" s="17" t="s">
        <x:v>256</x:v>
      </x:c>
      <x:c r="N236" s="16" t="s">
        <x:v>1399</x:v>
      </x:c>
      <x:c r="O236" s="18">
        <x:v>46249</x:v>
      </x:c>
      <x:c r="P236" s="19" t="s">
        <x:v>34</x:v>
      </x:c>
      <x:c r="Q236" s="17"/>
      <x:c r="R236" s="19" t="str">
        <x:f t="shared" si="3"/>
        <x:v>Discovery Link Only</x:v>
      </x:c>
      <x:c r="S236" s="43" t="str">
        <x:v>Unknown</x:v>
      </x:c>
      <x:c r="T236" s="43" t="str">
        <x:v>Unknown</x:v>
      </x:c>
      <x:c r="U236" s="43" t="str">
        <x:v>Unknown</x:v>
      </x:c>
      <x:c r="V236" s="43" t="str">
        <x:v>Unknown</x:v>
      </x:c>
      <x:c r="W236" s="43" t="str">
        <x:v>Unknown</x:v>
      </x:c>
      <x:c r="X236" s="43" t="str">
        <x:v>Unknown</x:v>
      </x:c>
      <x:c r="Y236" s="43" t="str">
        <x:v>Unknown</x:v>
      </x:c>
      <x:c r="Z236" s="43"/>
      <x:c r="AA236" s="43" t="str">
        <x:v>Excluded</x:v>
      </x:c>
      <x:c r="AB236" s="43" t="str">
        <x:v>No qualifying evidence source recorded</x:v>
      </x:c>
      <x:c r="AC236" s="43" t="str">
        <x:v>Excluded from Maya's elderly recommendation results because no source-backed elderly accessibility feature is recorded in the reviewed data. This does not mean the attraction is inaccessible.</x:v>
      </x:c>
      <x:c r="AD236" s="43" t="str">
        <x:v>2026-08-16</x:v>
      </x:c>
    </x:row>
    <x:row r="237" ht="60" customHeight="1">
      <x:c r="A237" s="16" t="s">
        <x:v>1400</x:v>
      </x:c>
      <x:c r="B237" s="16" t="s">
        <x:v>1348</x:v>
      </x:c>
      <x:c r="C237" s="16" t="s">
        <x:v>1333</x:v>
      </x:c>
      <x:c r="D237" s="16" t="s">
        <x:v>1349</x:v>
      </x:c>
      <x:c r="E237" s="16" t="s">
        <x:v>45</x:v>
      </x:c>
      <x:c r="F237" s="16" t="s">
        <x:v>107</x:v>
      </x:c>
      <x:c r="G237" s="16" t="s">
        <x:v>26</x:v>
      </x:c>
      <x:c r="H237" s="17" t="s">
        <x:v>1401</x:v>
      </x:c>
      <x:c r="I237" s="17" t="s">
        <x:v>1402</x:v>
      </x:c>
      <x:c r="J237" s="17" t="s">
        <x:v>1403</x:v>
      </x:c>
      <x:c r="K237" s="17" t="s">
        <x:v>1338</x:v>
      </x:c>
      <x:c r="L237" s="17" t="s">
        <x:v>111</x:v>
      </x:c>
      <x:c r="M237" s="17" t="s">
        <x:v>1404</x:v>
      </x:c>
      <x:c r="N237" s="16"/>
      <x:c r="O237" s="18">
        <x:v>46249</x:v>
      </x:c>
      <x:c r="P237" s="19" t="s">
        <x:v>1405</x:v>
      </x:c>
      <x:c r="Q237" s="17" t="s">
        <x:v>1406</x:v>
      </x:c>
      <x:c r="R237" s="19" t="str">
        <x:f t="shared" si="3"/>
        <x:v>Discovery Link Only</x:v>
      </x:c>
      <x:c r="S237" s="43" t="str">
        <x:v>Unknown</x:v>
      </x:c>
      <x:c r="T237" s="43" t="str">
        <x:v>Unknown</x:v>
      </x:c>
      <x:c r="U237" s="43" t="str">
        <x:v>Unknown</x:v>
      </x:c>
      <x:c r="V237" s="43" t="str">
        <x:v>Unknown</x:v>
      </x:c>
      <x:c r="W237" s="43" t="str">
        <x:v>Unknown</x:v>
      </x:c>
      <x:c r="X237" s="43" t="str">
        <x:v>Unknown</x:v>
      </x:c>
      <x:c r="Y237" s="43" t="str">
        <x:v>Unknown</x:v>
      </x:c>
      <x:c r="Z237" s="43"/>
      <x:c r="AA237" s="43" t="str">
        <x:v>Excluded</x:v>
      </x:c>
      <x:c r="AB237" s="43" t="str">
        <x:v>No qualifying evidence source recorded</x:v>
      </x:c>
      <x:c r="AC237" s="43" t="str">
        <x:v>Excluded from Maya's elderly recommendation results because the attraction's general review status is not confirmed.</x:v>
      </x:c>
      <x:c r="AD237" s="43" t="str">
        <x:v>2026-08-16</x:v>
      </x:c>
    </x:row>
    <x:row r="238" ht="60" customHeight="1">
      <x:c r="A238" s="16" t="s">
        <x:v>1407</x:v>
      </x:c>
      <x:c r="B238" s="16" t="s">
        <x:v>1408</x:v>
      </x:c>
      <x:c r="C238" s="16" t="s">
        <x:v>1333</x:v>
      </x:c>
      <x:c r="D238" s="16" t="s">
        <x:v>1342</x:v>
      </x:c>
      <x:c r="E238" s="16" t="s">
        <x:v>45</x:v>
      </x:c>
      <x:c r="F238" s="16" t="s">
        <x:v>121</x:v>
      </x:c>
      <x:c r="G238" s="16" t="s">
        <x:v>26</x:v>
      </x:c>
      <x:c r="H238" s="17" t="s">
        <x:v>1409</x:v>
      </x:c>
      <x:c r="I238" s="17" t="s">
        <x:v>1410</x:v>
      </x:c>
      <x:c r="J238" s="17" t="s">
        <x:v>1411</x:v>
      </x:c>
      <x:c r="K238" s="17" t="s">
        <x:v>1338</x:v>
      </x:c>
      <x:c r="L238" s="17" t="s">
        <x:v>111</x:v>
      </x:c>
      <x:c r="M238" s="17" t="s">
        <x:v>1404</x:v>
      </x:c>
      <x:c r="N238" s="16"/>
      <x:c r="O238" s="18">
        <x:v>46249</x:v>
      </x:c>
      <x:c r="P238" s="19" t="s">
        <x:v>34</x:v>
      </x:c>
      <x:c r="Q238" s="17"/>
      <x:c r="R238" s="19" t="str">
        <x:f t="shared" si="3"/>
        <x:v>Discovery Link Only</x:v>
      </x:c>
      <x:c r="S238" s="43" t="str">
        <x:v>Unknown</x:v>
      </x:c>
      <x:c r="T238" s="43" t="str">
        <x:v>Unknown</x:v>
      </x:c>
      <x:c r="U238" s="43" t="str">
        <x:v>Unknown</x:v>
      </x:c>
      <x:c r="V238" s="43" t="str">
        <x:v>Unknown</x:v>
      </x:c>
      <x:c r="W238" s="43" t="str">
        <x:v>Unknown</x:v>
      </x:c>
      <x:c r="X238" s="43" t="str">
        <x:v>Unknown</x:v>
      </x:c>
      <x:c r="Y238" s="43" t="str">
        <x:v>Unknown</x:v>
      </x:c>
      <x:c r="Z238" s="43"/>
      <x:c r="AA238" s="43" t="str">
        <x:v>Excluded</x:v>
      </x:c>
      <x:c r="AB238" s="43" t="str">
        <x:v>No qualifying evidence source recorded</x:v>
      </x:c>
      <x:c r="AC238" s="43" t="str">
        <x:v>Excluded from Maya's elderly recommendation results because no source-backed elderly accessibility feature is recorded in the reviewed data. This does not mean the attraction is inaccessible.</x:v>
      </x:c>
      <x:c r="AD238" s="43" t="str">
        <x:v>2026-08-16</x:v>
      </x:c>
    </x:row>
    <x:row r="239" ht="60" customHeight="1">
      <x:c r="A239" s="16" t="s">
        <x:v>1412</x:v>
      </x:c>
      <x:c r="B239" s="16" t="s">
        <x:v>1413</x:v>
      </x:c>
      <x:c r="C239" s="16" t="s">
        <x:v>1333</x:v>
      </x:c>
      <x:c r="D239" s="16" t="s">
        <x:v>1369</x:v>
      </x:c>
      <x:c r="E239" s="16" t="s">
        <x:v>140</x:v>
      </x:c>
      <x:c r="F239" s="16" t="s">
        <x:v>121</x:v>
      </x:c>
      <x:c r="G239" s="16" t="s">
        <x:v>46</x:v>
      </x:c>
      <x:c r="H239" s="17" t="s">
        <x:v>1414</x:v>
      </x:c>
      <x:c r="I239" s="17" t="s">
        <x:v>1415</x:v>
      </x:c>
      <x:c r="J239" s="17" t="s">
        <x:v>1416</x:v>
      </x:c>
      <x:c r="K239" s="17" t="s">
        <x:v>1338</x:v>
      </x:c>
      <x:c r="L239" s="17" t="s">
        <x:v>111</x:v>
      </x:c>
      <x:c r="M239" s="17" t="s">
        <x:v>1404</x:v>
      </x:c>
      <x:c r="N239" s="16"/>
      <x:c r="O239" s="18">
        <x:v>46249</x:v>
      </x:c>
      <x:c r="P239" s="19" t="s">
        <x:v>34</x:v>
      </x:c>
      <x:c r="Q239" s="17"/>
      <x:c r="R239" s="19" t="str">
        <x:f t="shared" si="3"/>
        <x:v>Discovery Link Only</x:v>
      </x:c>
      <x:c r="S239" s="43" t="str">
        <x:v>Unknown</x:v>
      </x:c>
      <x:c r="T239" s="43" t="str">
        <x:v>Unknown</x:v>
      </x:c>
      <x:c r="U239" s="43" t="str">
        <x:v>Unknown</x:v>
      </x:c>
      <x:c r="V239" s="43" t="str">
        <x:v>Unknown</x:v>
      </x:c>
      <x:c r="W239" s="43" t="str">
        <x:v>Unknown</x:v>
      </x:c>
      <x:c r="X239" s="43" t="str">
        <x:v>Unknown</x:v>
      </x:c>
      <x:c r="Y239" s="43" t="str">
        <x:v>Unknown</x:v>
      </x:c>
      <x:c r="Z239" s="43"/>
      <x:c r="AA239" s="43" t="str">
        <x:v>Excluded</x:v>
      </x:c>
      <x:c r="AB239" s="43" t="str">
        <x:v>No qualifying evidence source recorded</x:v>
      </x:c>
      <x:c r="AC239" s="43" t="str">
        <x:v>Excluded from Maya's elderly recommendation results because no source-backed elderly accessibility feature is recorded in the reviewed data. This does not mean the attraction is inaccessible.</x:v>
      </x:c>
      <x:c r="AD239" s="43" t="str">
        <x:v>2026-08-16</x:v>
      </x:c>
    </x:row>
    <x:row r="240" ht="60" customHeight="1">
      <x:c r="A240" s="16" t="s">
        <x:v>1417</x:v>
      </x:c>
      <x:c r="B240" s="16" t="s">
        <x:v>1418</x:v>
      </x:c>
      <x:c r="C240" s="16" t="s">
        <x:v>1333</x:v>
      </x:c>
      <x:c r="D240" s="16" t="s">
        <x:v>1419</x:v>
      </x:c>
      <x:c r="E240" s="16" t="s">
        <x:v>133</x:v>
      </x:c>
      <x:c r="F240" s="16" t="s">
        <x:v>121</x:v>
      </x:c>
      <x:c r="G240" s="16" t="s">
        <x:v>134</x:v>
      </x:c>
      <x:c r="H240" s="17" t="s">
        <x:v>787</x:v>
      </x:c>
      <x:c r="I240" s="17" t="s">
        <x:v>1420</x:v>
      </x:c>
      <x:c r="J240" s="17" t="s">
        <x:v>1421</x:v>
      </x:c>
      <x:c r="K240" s="17" t="s">
        <x:v>1338</x:v>
      </x:c>
      <x:c r="L240" s="17" t="s">
        <x:v>111</x:v>
      </x:c>
      <x:c r="M240" s="17" t="s">
        <x:v>1404</x:v>
      </x:c>
      <x:c r="N240" s="16"/>
      <x:c r="O240" s="18">
        <x:v>46249</x:v>
      </x:c>
      <x:c r="P240" s="19" t="s">
        <x:v>34</x:v>
      </x:c>
      <x:c r="Q240" s="17"/>
      <x:c r="R240" s="19" t="str">
        <x:f t="shared" si="3"/>
        <x:v>Discovery Link Only</x:v>
      </x:c>
      <x:c r="S240" s="43" t="str">
        <x:v>Unknown</x:v>
      </x:c>
      <x:c r="T240" s="43" t="str">
        <x:v>Unknown</x:v>
      </x:c>
      <x:c r="U240" s="43" t="str">
        <x:v>Unknown</x:v>
      </x:c>
      <x:c r="V240" s="43" t="str">
        <x:v>Unknown</x:v>
      </x:c>
      <x:c r="W240" s="43" t="str">
        <x:v>Unknown</x:v>
      </x:c>
      <x:c r="X240" s="43" t="str">
        <x:v>Unknown</x:v>
      </x:c>
      <x:c r="Y240" s="43" t="str">
        <x:v>Unknown</x:v>
      </x:c>
      <x:c r="Z240" s="43"/>
      <x:c r="AA240" s="43" t="str">
        <x:v>Excluded</x:v>
      </x:c>
      <x:c r="AB240" s="43" t="str">
        <x:v>No qualifying evidence source recorded</x:v>
      </x:c>
      <x:c r="AC240" s="43" t="str">
        <x:v>Excluded from Maya's elderly recommendation results because no source-backed elderly accessibility feature is recorded in the reviewed data. This does not mean the attraction is inaccessible.</x:v>
      </x:c>
      <x:c r="AD240" s="43" t="str">
        <x:v>2026-08-16</x:v>
      </x:c>
    </x:row>
    <x:row r="241" ht="60" customHeight="1">
      <x:c r="A241" s="16" t="s">
        <x:v>1422</x:v>
      </x:c>
      <x:c r="B241" s="16" t="s">
        <x:v>1423</x:v>
      </x:c>
      <x:c r="C241" s="16" t="s">
        <x:v>1333</x:v>
      </x:c>
      <x:c r="D241" s="16" t="s">
        <x:v>1419</x:v>
      </x:c>
      <x:c r="E241" s="16" t="s">
        <x:v>115</x:v>
      </x:c>
      <x:c r="F241" s="16" t="s">
        <x:v>127</x:v>
      </x:c>
      <x:c r="G241" s="16" t="s">
        <x:v>46</x:v>
      </x:c>
      <x:c r="H241" s="17" t="s">
        <x:v>1424</x:v>
      </x:c>
      <x:c r="I241" s="17" t="s">
        <x:v>1425</x:v>
      </x:c>
      <x:c r="J241" s="17" t="s">
        <x:v>1426</x:v>
      </x:c>
      <x:c r="K241" s="17" t="s">
        <x:v>1338</x:v>
      </x:c>
      <x:c r="L241" s="17" t="s">
        <x:v>111</x:v>
      </x:c>
      <x:c r="M241" s="17" t="s">
        <x:v>1404</x:v>
      </x:c>
      <x:c r="N241" s="16"/>
      <x:c r="O241" s="18">
        <x:v>46249</x:v>
      </x:c>
      <x:c r="P241" s="19" t="s">
        <x:v>34</x:v>
      </x:c>
      <x:c r="Q241" s="17"/>
      <x:c r="R241" s="19" t="str">
        <x:f t="shared" si="3"/>
        <x:v>Discovery Link Only</x:v>
      </x:c>
      <x:c r="S241" s="43" t="str">
        <x:v>Unknown</x:v>
      </x:c>
      <x:c r="T241" s="43" t="str">
        <x:v>Unknown</x:v>
      </x:c>
      <x:c r="U241" s="43" t="str">
        <x:v>Unknown</x:v>
      </x:c>
      <x:c r="V241" s="43" t="str">
        <x:v>Unknown</x:v>
      </x:c>
      <x:c r="W241" s="43" t="str">
        <x:v>Unknown</x:v>
      </x:c>
      <x:c r="X241" s="43" t="str">
        <x:v>Unknown</x:v>
      </x:c>
      <x:c r="Y241" s="43" t="str">
        <x:v>Unknown</x:v>
      </x:c>
      <x:c r="Z241" s="43"/>
      <x:c r="AA241" s="43" t="str">
        <x:v>Excluded</x:v>
      </x:c>
      <x:c r="AB241" s="43" t="str">
        <x:v>No qualifying evidence source recorded</x:v>
      </x:c>
      <x:c r="AC241" s="43" t="str">
        <x:v>Excluded from Maya's elderly recommendation results because no source-backed elderly accessibility feature is recorded in the reviewed data. This does not mean the attraction is inaccessible.</x:v>
      </x:c>
      <x:c r="AD241" s="43" t="str">
        <x:v>2026-08-16</x:v>
      </x:c>
    </x:row>
    <x:row r="242" ht="60" customHeight="1">
      <x:c r="A242" s="16" t="s">
        <x:v>1427</x:v>
      </x:c>
      <x:c r="B242" s="16" t="s">
        <x:v>1428</x:v>
      </x:c>
      <x:c r="C242" s="16" t="s">
        <x:v>1333</x:v>
      </x:c>
      <x:c r="D242" s="16" t="s">
        <x:v>1376</x:v>
      </x:c>
      <x:c r="E242" s="16" t="s">
        <x:v>106</x:v>
      </x:c>
      <x:c r="F242" s="16" t="s">
        <x:v>121</x:v>
      </x:c>
      <x:c r="G242" s="16" t="s">
        <x:v>46</x:v>
      </x:c>
      <x:c r="H242" s="17" t="s">
        <x:v>1429</x:v>
      </x:c>
      <x:c r="I242" s="17" t="s">
        <x:v>1430</x:v>
      </x:c>
      <x:c r="J242" s="17" t="s">
        <x:v>1431</x:v>
      </x:c>
      <x:c r="K242" s="17" t="s">
        <x:v>1338</x:v>
      </x:c>
      <x:c r="L242" s="17" t="s">
        <x:v>111</x:v>
      </x:c>
      <x:c r="M242" s="17" t="s">
        <x:v>1404</x:v>
      </x:c>
      <x:c r="N242" s="16"/>
      <x:c r="O242" s="18">
        <x:v>46249</x:v>
      </x:c>
      <x:c r="P242" s="19" t="s">
        <x:v>34</x:v>
      </x:c>
      <x:c r="Q242" s="17"/>
      <x:c r="R242" s="19" t="str">
        <x:f t="shared" si="3"/>
        <x:v>Discovery Link Only</x:v>
      </x:c>
      <x:c r="S242" s="43" t="str">
        <x:v>Unknown</x:v>
      </x:c>
      <x:c r="T242" s="43" t="str">
        <x:v>Unknown</x:v>
      </x:c>
      <x:c r="U242" s="43" t="str">
        <x:v>Unknown</x:v>
      </x:c>
      <x:c r="V242" s="43" t="str">
        <x:v>Unknown</x:v>
      </x:c>
      <x:c r="W242" s="43" t="str">
        <x:v>Unknown</x:v>
      </x:c>
      <x:c r="X242" s="43" t="str">
        <x:v>Unknown</x:v>
      </x:c>
      <x:c r="Y242" s="43" t="str">
        <x:v>Unknown</x:v>
      </x:c>
      <x:c r="Z242" s="43"/>
      <x:c r="AA242" s="43" t="str">
        <x:v>Excluded</x:v>
      </x:c>
      <x:c r="AB242" s="43" t="str">
        <x:v>No qualifying evidence source recorded</x:v>
      </x:c>
      <x:c r="AC242" s="43" t="str">
        <x:v>Excluded from Maya's elderly recommendation results because no source-backed elderly accessibility feature is recorded in the reviewed data. This does not mean the attraction is inaccessible.</x:v>
      </x:c>
      <x:c r="AD242" s="43" t="str">
        <x:v>2026-08-16</x:v>
      </x:c>
    </x:row>
    <x:row r="243" ht="60" customHeight="1">
      <x:c r="A243" s="16" t="s">
        <x:v>1432</x:v>
      </x:c>
      <x:c r="B243" s="16" t="s">
        <x:v>1433</x:v>
      </x:c>
      <x:c r="C243" s="16" t="s">
        <x:v>1333</x:v>
      </x:c>
      <x:c r="D243" s="16" t="s">
        <x:v>1376</x:v>
      </x:c>
      <x:c r="E243" s="16" t="s">
        <x:v>24</x:v>
      </x:c>
      <x:c r="F243" s="16" t="s">
        <x:v>121</x:v>
      </x:c>
      <x:c r="G243" s="16" t="s">
        <x:v>26</x:v>
      </x:c>
      <x:c r="H243" s="17" t="s">
        <x:v>1434</x:v>
      </x:c>
      <x:c r="I243" s="17" t="s">
        <x:v>1435</x:v>
      </x:c>
      <x:c r="J243" s="17" t="s">
        <x:v>1436</x:v>
      </x:c>
      <x:c r="K243" s="17" t="s">
        <x:v>1338</x:v>
      </x:c>
      <x:c r="L243" s="17" t="s">
        <x:v>111</x:v>
      </x:c>
      <x:c r="M243" s="17" t="s">
        <x:v>1404</x:v>
      </x:c>
      <x:c r="N243" s="16"/>
      <x:c r="O243" s="18">
        <x:v>46249</x:v>
      </x:c>
      <x:c r="P243" s="19" t="s">
        <x:v>34</x:v>
      </x:c>
      <x:c r="Q243" s="17"/>
      <x:c r="R243" s="19" t="str">
        <x:f t="shared" si="3"/>
        <x:v>Discovery Link Only</x:v>
      </x:c>
      <x:c r="S243" s="43" t="str">
        <x:v>Unknown</x:v>
      </x:c>
      <x:c r="T243" s="43" t="str">
        <x:v>Unknown</x:v>
      </x:c>
      <x:c r="U243" s="43" t="str">
        <x:v>Unknown</x:v>
      </x:c>
      <x:c r="V243" s="43" t="str">
        <x:v>Unknown</x:v>
      </x:c>
      <x:c r="W243" s="43" t="str">
        <x:v>Unknown</x:v>
      </x:c>
      <x:c r="X243" s="43" t="str">
        <x:v>Unknown</x:v>
      </x:c>
      <x:c r="Y243" s="43" t="str">
        <x:v>Unknown</x:v>
      </x:c>
      <x:c r="Z243" s="43"/>
      <x:c r="AA243" s="43" t="str">
        <x:v>Excluded</x:v>
      </x:c>
      <x:c r="AB243" s="43" t="str">
        <x:v>No qualifying evidence source recorded</x:v>
      </x:c>
      <x:c r="AC243" s="43" t="str">
        <x:v>Excluded from Maya's elderly recommendation results because no source-backed elderly accessibility feature is recorded in the reviewed data. This does not mean the attraction is inaccessible.</x:v>
      </x:c>
      <x:c r="AD243" s="43" t="str">
        <x:v>2026-08-16</x:v>
      </x:c>
    </x:row>
    <x:row r="244" ht="60" customHeight="1">
      <x:c r="A244" s="16" t="s">
        <x:v>1437</x:v>
      </x:c>
      <x:c r="B244" s="16" t="s">
        <x:v>1438</x:v>
      </x:c>
      <x:c r="C244" s="16" t="s">
        <x:v>1333</x:v>
      </x:c>
      <x:c r="D244" s="16" t="s">
        <x:v>1439</x:v>
      </x:c>
      <x:c r="E244" s="16" t="s">
        <x:v>251</x:v>
      </x:c>
      <x:c r="F244" s="16" t="s">
        <x:v>107</x:v>
      </x:c>
      <x:c r="G244" s="16" t="s">
        <x:v>26</x:v>
      </x:c>
      <x:c r="H244" s="17" t="s">
        <x:v>1440</x:v>
      </x:c>
      <x:c r="I244" s="17" t="s">
        <x:v>1441</x:v>
      </x:c>
      <x:c r="J244" s="17" t="s">
        <x:v>1442</x:v>
      </x:c>
      <x:c r="K244" s="17" t="s">
        <x:v>1338</x:v>
      </x:c>
      <x:c r="L244" s="17" t="s">
        <x:v>111</x:v>
      </x:c>
      <x:c r="M244" s="17" t="s">
        <x:v>1404</x:v>
      </x:c>
      <x:c r="N244" s="16"/>
      <x:c r="O244" s="18">
        <x:v>46249</x:v>
      </x:c>
      <x:c r="P244" s="19" t="s">
        <x:v>34</x:v>
      </x:c>
      <x:c r="Q244" s="17"/>
      <x:c r="R244" s="19" t="str">
        <x:f t="shared" si="3"/>
        <x:v>Discovery Link Only</x:v>
      </x:c>
      <x:c r="S244" s="43" t="str">
        <x:v>Unknown</x:v>
      </x:c>
      <x:c r="T244" s="43" t="str">
        <x:v>Unknown</x:v>
      </x:c>
      <x:c r="U244" s="43" t="str">
        <x:v>Unknown</x:v>
      </x:c>
      <x:c r="V244" s="43" t="str">
        <x:v>Unknown</x:v>
      </x:c>
      <x:c r="W244" s="43" t="str">
        <x:v>Unknown</x:v>
      </x:c>
      <x:c r="X244" s="43" t="str">
        <x:v>Unknown</x:v>
      </x:c>
      <x:c r="Y244" s="43" t="str">
        <x:v>Unknown</x:v>
      </x:c>
      <x:c r="Z244" s="43"/>
      <x:c r="AA244" s="43" t="str">
        <x:v>Excluded</x:v>
      </x:c>
      <x:c r="AB244" s="43" t="str">
        <x:v>No qualifying evidence source recorded</x:v>
      </x:c>
      <x:c r="AC244" s="43" t="str">
        <x:v>Excluded from Maya's elderly recommendation results because no source-backed elderly accessibility feature is recorded in the reviewed data. This does not mean the attraction is inaccessible.</x:v>
      </x:c>
      <x:c r="AD244" s="43" t="str">
        <x:v>2026-08-16</x:v>
      </x:c>
    </x:row>
    <x:row r="245" ht="60" customHeight="1">
      <x:c r="A245" s="16" t="s">
        <x:v>1443</x:v>
      </x:c>
      <x:c r="B245" s="16" t="s">
        <x:v>1444</x:v>
      </x:c>
      <x:c r="C245" s="16" t="s">
        <x:v>1333</x:v>
      </x:c>
      <x:c r="D245" s="16" t="s">
        <x:v>1439</x:v>
      </x:c>
      <x:c r="E245" s="16" t="s">
        <x:v>251</x:v>
      </x:c>
      <x:c r="F245" s="16" t="s">
        <x:v>127</x:v>
      </x:c>
      <x:c r="G245" s="16" t="s">
        <x:v>26</x:v>
      </x:c>
      <x:c r="H245" s="17" t="s">
        <x:v>1445</x:v>
      </x:c>
      <x:c r="I245" s="17" t="s">
        <x:v>1446</x:v>
      </x:c>
      <x:c r="J245" s="17" t="s">
        <x:v>1447</x:v>
      </x:c>
      <x:c r="K245" s="17" t="s">
        <x:v>1338</x:v>
      </x:c>
      <x:c r="L245" s="17" t="s">
        <x:v>111</x:v>
      </x:c>
      <x:c r="M245" s="17" t="s">
        <x:v>1404</x:v>
      </x:c>
      <x:c r="N245" s="16"/>
      <x:c r="O245" s="18">
        <x:v>46249</x:v>
      </x:c>
      <x:c r="P245" s="19" t="s">
        <x:v>34</x:v>
      </x:c>
      <x:c r="Q245" s="17"/>
      <x:c r="R245" s="19" t="str">
        <x:f t="shared" si="3"/>
        <x:v>Discovery Link Only</x:v>
      </x:c>
      <x:c r="S245" s="43" t="str">
        <x:v>Unknown</x:v>
      </x:c>
      <x:c r="T245" s="43" t="str">
        <x:v>Unknown</x:v>
      </x:c>
      <x:c r="U245" s="43" t="str">
        <x:v>Unknown</x:v>
      </x:c>
      <x:c r="V245" s="43" t="str">
        <x:v>Unknown</x:v>
      </x:c>
      <x:c r="W245" s="43" t="str">
        <x:v>Unknown</x:v>
      </x:c>
      <x:c r="X245" s="43" t="str">
        <x:v>Unknown</x:v>
      </x:c>
      <x:c r="Y245" s="43" t="str">
        <x:v>Unknown</x:v>
      </x:c>
      <x:c r="Z245" s="43"/>
      <x:c r="AA245" s="43" t="str">
        <x:v>Excluded</x:v>
      </x:c>
      <x:c r="AB245" s="43" t="str">
        <x:v>No qualifying evidence source recorded</x:v>
      </x:c>
      <x:c r="AC245" s="43" t="str">
        <x:v>Excluded from Maya's elderly recommendation results because no source-backed elderly accessibility feature is recorded in the reviewed data. This does not mean the attraction is inaccessible.</x:v>
      </x:c>
      <x:c r="AD245" s="43" t="str">
        <x:v>2026-08-16</x:v>
      </x:c>
    </x:row>
    <x:row r="246" ht="60" customHeight="1">
      <x:c r="A246" s="16" t="s">
        <x:v>1448</x:v>
      </x:c>
      <x:c r="B246" s="16" t="s">
        <x:v>1449</x:v>
      </x:c>
      <x:c r="C246" s="16" t="s">
        <x:v>1333</x:v>
      </x:c>
      <x:c r="D246" s="16" t="s">
        <x:v>1450</x:v>
      </x:c>
      <x:c r="E246" s="16" t="s">
        <x:v>162</x:v>
      </x:c>
      <x:c r="F246" s="16" t="s">
        <x:v>194</x:v>
      </x:c>
      <x:c r="G246" s="16" t="s">
        <x:v>46</x:v>
      </x:c>
      <x:c r="H246" s="17" t="s">
        <x:v>1451</x:v>
      </x:c>
      <x:c r="I246" s="17" t="s">
        <x:v>1452</x:v>
      </x:c>
      <x:c r="J246" s="17" t="s">
        <x:v>1453</x:v>
      </x:c>
      <x:c r="K246" s="17" t="s">
        <x:v>1338</x:v>
      </x:c>
      <x:c r="L246" s="17" t="s">
        <x:v>111</x:v>
      </x:c>
      <x:c r="M246" s="17" t="s">
        <x:v>1404</x:v>
      </x:c>
      <x:c r="N246" s="16"/>
      <x:c r="O246" s="18">
        <x:v>46249</x:v>
      </x:c>
      <x:c r="P246" s="19" t="s">
        <x:v>34</x:v>
      </x:c>
      <x:c r="Q246" s="17"/>
      <x:c r="R246" s="19" t="str">
        <x:f t="shared" si="3"/>
        <x:v>Discovery Link Only</x:v>
      </x:c>
      <x:c r="S246" s="43" t="str">
        <x:v>Unknown</x:v>
      </x:c>
      <x:c r="T246" s="43" t="str">
        <x:v>Unknown</x:v>
      </x:c>
      <x:c r="U246" s="43" t="str">
        <x:v>Unknown</x:v>
      </x:c>
      <x:c r="V246" s="43" t="str">
        <x:v>Unknown</x:v>
      </x:c>
      <x:c r="W246" s="43" t="str">
        <x:v>Unknown</x:v>
      </x:c>
      <x:c r="X246" s="43" t="str">
        <x:v>Unknown</x:v>
      </x:c>
      <x:c r="Y246" s="43" t="str">
        <x:v>Unknown</x:v>
      </x:c>
      <x:c r="Z246" s="43"/>
      <x:c r="AA246" s="43" t="str">
        <x:v>Excluded</x:v>
      </x:c>
      <x:c r="AB246" s="43" t="str">
        <x:v>No qualifying evidence source recorded</x:v>
      </x:c>
      <x:c r="AC246" s="43" t="str">
        <x:v>Excluded from Maya's elderly recommendation results because no source-backed elderly accessibility feature is recorded in the reviewed data. This does not mean the attraction is inaccessible.</x:v>
      </x:c>
      <x:c r="AD246" s="43" t="str">
        <x:v>2026-08-16</x:v>
      </x:c>
    </x:row>
    <x:row r="247" ht="60" customHeight="1">
      <x:c r="A247" s="16" t="s">
        <x:v>1454</x:v>
      </x:c>
      <x:c r="B247" s="16" t="s">
        <x:v>1455</x:v>
      </x:c>
      <x:c r="C247" s="16" t="s">
        <x:v>1333</x:v>
      </x:c>
      <x:c r="D247" s="16" t="s">
        <x:v>1456</x:v>
      </x:c>
      <x:c r="E247" s="16" t="s">
        <x:v>162</x:v>
      </x:c>
      <x:c r="F247" s="16" t="s">
        <x:v>1457</x:v>
      </x:c>
      <x:c r="G247" s="16" t="s">
        <x:v>46</x:v>
      </x:c>
      <x:c r="H247" s="17" t="s">
        <x:v>1458</x:v>
      </x:c>
      <x:c r="I247" s="17" t="s">
        <x:v>1459</x:v>
      </x:c>
      <x:c r="J247" s="17" t="s">
        <x:v>1460</x:v>
      </x:c>
      <x:c r="K247" s="17" t="s">
        <x:v>1338</x:v>
      </x:c>
      <x:c r="L247" s="17" t="s">
        <x:v>111</x:v>
      </x:c>
      <x:c r="M247" s="17" t="s">
        <x:v>1404</x:v>
      </x:c>
      <x:c r="N247" s="16"/>
      <x:c r="O247" s="18">
        <x:v>46249</x:v>
      </x:c>
      <x:c r="P247" s="19" t="s">
        <x:v>34</x:v>
      </x:c>
      <x:c r="Q247" s="17"/>
      <x:c r="R247" s="19" t="str">
        <x:f t="shared" si="3"/>
        <x:v>Discovery Link Only</x:v>
      </x:c>
      <x:c r="S247" s="43" t="str">
        <x:v>Unknown</x:v>
      </x:c>
      <x:c r="T247" s="43" t="str">
        <x:v>Unknown</x:v>
      </x:c>
      <x:c r="U247" s="43" t="str">
        <x:v>Unknown</x:v>
      </x:c>
      <x:c r="V247" s="43" t="str">
        <x:v>Unknown</x:v>
      </x:c>
      <x:c r="W247" s="43" t="str">
        <x:v>Unknown</x:v>
      </x:c>
      <x:c r="X247" s="43" t="str">
        <x:v>Unknown</x:v>
      </x:c>
      <x:c r="Y247" s="43" t="str">
        <x:v>Unknown</x:v>
      </x:c>
      <x:c r="Z247" s="43"/>
      <x:c r="AA247" s="43" t="str">
        <x:v>Excluded</x:v>
      </x:c>
      <x:c r="AB247" s="43" t="str">
        <x:v>No qualifying evidence source recorded</x:v>
      </x:c>
      <x:c r="AC247" s="43" t="str">
        <x:v>Excluded from Maya's elderly recommendation results because no source-backed elderly accessibility feature is recorded in the reviewed data. This does not mean the attraction is inaccessible.</x:v>
      </x:c>
      <x:c r="AD247" s="43" t="str">
        <x:v>2026-08-16</x:v>
      </x:c>
    </x:row>
    <x:row r="248" ht="60" customHeight="1">
      <x:c r="A248" s="16" t="s">
        <x:v>1461</x:v>
      </x:c>
      <x:c r="B248" s="16" t="s">
        <x:v>1462</x:v>
      </x:c>
      <x:c r="C248" s="16" t="s">
        <x:v>1463</x:v>
      </x:c>
      <x:c r="D248" s="16" t="s">
        <x:v>1464</x:v>
      </x:c>
      <x:c r="E248" s="16" t="s">
        <x:v>45</x:v>
      </x:c>
      <x:c r="F248" s="16" t="s">
        <x:v>25</x:v>
      </x:c>
      <x:c r="G248" s="16" t="s">
        <x:v>46</x:v>
      </x:c>
      <x:c r="H248" s="17" t="s">
        <x:v>1465</x:v>
      </x:c>
      <x:c r="I248" s="17" t="s">
        <x:v>1466</x:v>
      </x:c>
      <x:c r="J248" s="17" t="s">
        <x:v>1467</x:v>
      </x:c>
      <x:c r="K248" s="17" t="s">
        <x:v>1468</x:v>
      </x:c>
      <x:c r="L248" s="17" t="s">
        <x:v>58</x:v>
      </x:c>
      <x:c r="M248" s="17" t="s">
        <x:v>256</x:v>
      </x:c>
      <x:c r="N248" s="16" t="s">
        <x:v>1469</x:v>
      </x:c>
      <x:c r="O248" s="18">
        <x:v>46249</x:v>
      </x:c>
      <x:c r="P248" s="19" t="s">
        <x:v>34</x:v>
      </x:c>
      <x:c r="Q248" s="17"/>
      <x:c r="R248" s="19" t="str">
        <x:f t="shared" si="3"/>
        <x:v>Source Link Present</x:v>
      </x:c>
      <x:c r="S248" s="43" t="str">
        <x:v>Unknown</x:v>
      </x:c>
      <x:c r="T248" s="43" t="str">
        <x:v>Unknown</x:v>
      </x:c>
      <x:c r="U248" s="43" t="str">
        <x:v>Unknown</x:v>
      </x:c>
      <x:c r="V248" s="43" t="str">
        <x:v>Unknown</x:v>
      </x:c>
      <x:c r="W248" s="43" t="str">
        <x:v>Unknown</x:v>
      </x:c>
      <x:c r="X248" s="43" t="str">
        <x:v>Unknown</x:v>
      </x:c>
      <x:c r="Y248" s="43" t="str">
        <x:v>Unknown</x:v>
      </x:c>
      <x:c r="Z248" s="43"/>
      <x:c r="AA248" s="43" t="str">
        <x:v>Excluded</x:v>
      </x:c>
      <x:c r="AB248" s="43" t="str">
        <x:v>No qualifying evidence source recorded</x:v>
      </x:c>
      <x:c r="AC248" s="43" t="str">
        <x:v>Excluded from Maya's elderly recommendation results because no source-backed elderly accessibility feature is recorded in the reviewed data. This does not mean the attraction is inaccessible.</x:v>
      </x:c>
      <x:c r="AD248" s="43" t="str">
        <x:v>2026-08-16</x:v>
      </x:c>
    </x:row>
    <x:row r="249" ht="60" customHeight="1">
      <x:c r="A249" s="16" t="s">
        <x:v>1470</x:v>
      </x:c>
      <x:c r="B249" s="16" t="s">
        <x:v>1471</x:v>
      </x:c>
      <x:c r="C249" s="16" t="s">
        <x:v>1463</x:v>
      </x:c>
      <x:c r="D249" s="16" t="s">
        <x:v>1472</x:v>
      </x:c>
      <x:c r="E249" s="16" t="s">
        <x:v>72</x:v>
      </x:c>
      <x:c r="F249" s="16" t="s">
        <x:v>25</x:v>
      </x:c>
      <x:c r="G249" s="16" t="s">
        <x:v>26</x:v>
      </x:c>
      <x:c r="H249" s="17" t="s">
        <x:v>1473</x:v>
      </x:c>
      <x:c r="I249" s="17" t="s">
        <x:v>1474</x:v>
      </x:c>
      <x:c r="J249" s="17" t="s">
        <x:v>1475</x:v>
      </x:c>
      <x:c r="K249" s="17" t="s">
        <x:v>1468</x:v>
      </x:c>
      <x:c r="L249" s="17" t="s">
        <x:v>58</x:v>
      </x:c>
      <x:c r="M249" s="17" t="s">
        <x:v>256</x:v>
      </x:c>
      <x:c r="N249" s="16" t="s">
        <x:v>1476</x:v>
      </x:c>
      <x:c r="O249" s="18">
        <x:v>46249</x:v>
      </x:c>
      <x:c r="P249" s="19" t="s">
        <x:v>34</x:v>
      </x:c>
      <x:c r="Q249" s="17"/>
      <x:c r="R249" s="19" t="str">
        <x:f t="shared" si="3"/>
        <x:v>Source Link Present</x:v>
      </x:c>
      <x:c r="S249" s="43" t="str">
        <x:v>Unknown</x:v>
      </x:c>
      <x:c r="T249" s="43" t="str">
        <x:v>Unknown</x:v>
      </x:c>
      <x:c r="U249" s="43" t="str">
        <x:v>Unknown</x:v>
      </x:c>
      <x:c r="V249" s="43" t="str">
        <x:v>Unknown</x:v>
      </x:c>
      <x:c r="W249" s="43" t="str">
        <x:v>Unknown</x:v>
      </x:c>
      <x:c r="X249" s="43" t="str">
        <x:v>Unknown</x:v>
      </x:c>
      <x:c r="Y249" s="43" t="str">
        <x:v>Unknown</x:v>
      </x:c>
      <x:c r="Z249" s="43"/>
      <x:c r="AA249" s="43" t="str">
        <x:v>Excluded</x:v>
      </x:c>
      <x:c r="AB249" s="43" t="str">
        <x:v>No qualifying evidence source recorded</x:v>
      </x:c>
      <x:c r="AC249" s="43" t="str">
        <x:v>Excluded from Maya's elderly recommendation results because no source-backed elderly accessibility feature is recorded in the reviewed data. This does not mean the attraction is inaccessible.</x:v>
      </x:c>
      <x:c r="AD249" s="43" t="str">
        <x:v>2026-08-16</x:v>
      </x:c>
    </x:row>
    <x:row r="250" ht="60" customHeight="1">
      <x:c r="A250" s="16" t="s">
        <x:v>1477</x:v>
      </x:c>
      <x:c r="B250" s="16" t="s">
        <x:v>1478</x:v>
      </x:c>
      <x:c r="C250" s="16" t="s">
        <x:v>1463</x:v>
      </x:c>
      <x:c r="D250" s="16" t="s">
        <x:v>1479</x:v>
      </x:c>
      <x:c r="E250" s="16" t="s">
        <x:v>72</x:v>
      </x:c>
      <x:c r="F250" s="16" t="s">
        <x:v>25</x:v>
      </x:c>
      <x:c r="G250" s="16" t="s">
        <x:v>26</x:v>
      </x:c>
      <x:c r="H250" s="17" t="s">
        <x:v>1480</x:v>
      </x:c>
      <x:c r="I250" s="17" t="s">
        <x:v>1481</x:v>
      </x:c>
      <x:c r="J250" s="17" t="s">
        <x:v>1482</x:v>
      </x:c>
      <x:c r="K250" s="17" t="s">
        <x:v>1468</x:v>
      </x:c>
      <x:c r="L250" s="17" t="s">
        <x:v>58</x:v>
      </x:c>
      <x:c r="M250" s="17" t="s">
        <x:v>256</x:v>
      </x:c>
      <x:c r="N250" s="16" t="s">
        <x:v>1483</x:v>
      </x:c>
      <x:c r="O250" s="18">
        <x:v>46249</x:v>
      </x:c>
      <x:c r="P250" s="19" t="s">
        <x:v>34</x:v>
      </x:c>
      <x:c r="Q250" s="17"/>
      <x:c r="R250" s="19" t="str">
        <x:f t="shared" si="3"/>
        <x:v>Discovery Link Only</x:v>
      </x:c>
      <x:c r="S250" s="43" t="str">
        <x:v>Unknown</x:v>
      </x:c>
      <x:c r="T250" s="43" t="str">
        <x:v>Unknown</x:v>
      </x:c>
      <x:c r="U250" s="43" t="str">
        <x:v>Unknown</x:v>
      </x:c>
      <x:c r="V250" s="43" t="str">
        <x:v>Unknown</x:v>
      </x:c>
      <x:c r="W250" s="43" t="str">
        <x:v>Unknown</x:v>
      </x:c>
      <x:c r="X250" s="43" t="str">
        <x:v>Unknown</x:v>
      </x:c>
      <x:c r="Y250" s="43" t="str">
        <x:v>Unknown</x:v>
      </x:c>
      <x:c r="Z250" s="43"/>
      <x:c r="AA250" s="43" t="str">
        <x:v>Excluded</x:v>
      </x:c>
      <x:c r="AB250" s="43" t="str">
        <x:v>No qualifying evidence source recorded</x:v>
      </x:c>
      <x:c r="AC250" s="43" t="str">
        <x:v>Excluded from Maya's elderly recommendation results because no source-backed elderly accessibility feature is recorded in the reviewed data. This does not mean the attraction is inaccessible.</x:v>
      </x:c>
      <x:c r="AD250" s="43" t="str">
        <x:v>2026-08-16</x:v>
      </x:c>
    </x:row>
    <x:row r="251" ht="60" customHeight="1">
      <x:c r="A251" s="16" t="s">
        <x:v>1484</x:v>
      </x:c>
      <x:c r="B251" s="16" t="s">
        <x:v>1485</x:v>
      </x:c>
      <x:c r="C251" s="16" t="s">
        <x:v>1463</x:v>
      </x:c>
      <x:c r="D251" s="16" t="s">
        <x:v>1486</x:v>
      </x:c>
      <x:c r="E251" s="16" t="s">
        <x:v>37</x:v>
      </x:c>
      <x:c r="F251" s="16" t="s">
        <x:v>25</x:v>
      </x:c>
      <x:c r="G251" s="16" t="s">
        <x:v>46</x:v>
      </x:c>
      <x:c r="H251" s="17" t="s">
        <x:v>1487</x:v>
      </x:c>
      <x:c r="I251" s="17" t="s">
        <x:v>1488</x:v>
      </x:c>
      <x:c r="J251" s="17" t="s">
        <x:v>1489</x:v>
      </x:c>
      <x:c r="K251" s="17" t="s">
        <x:v>1468</x:v>
      </x:c>
      <x:c r="L251" s="17" t="s">
        <x:v>58</x:v>
      </x:c>
      <x:c r="M251" s="17" t="s">
        <x:v>256</x:v>
      </x:c>
      <x:c r="N251" s="16" t="s">
        <x:v>1490</x:v>
      </x:c>
      <x:c r="O251" s="18">
        <x:v>46249</x:v>
      </x:c>
      <x:c r="P251" s="19" t="s">
        <x:v>34</x:v>
      </x:c>
      <x:c r="Q251" s="17"/>
      <x:c r="R251" s="19" t="str">
        <x:f t="shared" si="3"/>
        <x:v>Discovery Link Only</x:v>
      </x:c>
      <x:c r="S251" s="43" t="str">
        <x:v>Unknown</x:v>
      </x:c>
      <x:c r="T251" s="43" t="str">
        <x:v>Unknown</x:v>
      </x:c>
      <x:c r="U251" s="43" t="str">
        <x:v>Unknown</x:v>
      </x:c>
      <x:c r="V251" s="43" t="str">
        <x:v>Unknown</x:v>
      </x:c>
      <x:c r="W251" s="43" t="str">
        <x:v>Unknown</x:v>
      </x:c>
      <x:c r="X251" s="43" t="str">
        <x:v>Unknown</x:v>
      </x:c>
      <x:c r="Y251" s="43" t="str">
        <x:v>Unknown</x:v>
      </x:c>
      <x:c r="Z251" s="43"/>
      <x:c r="AA251" s="43" t="str">
        <x:v>Excluded</x:v>
      </x:c>
      <x:c r="AB251" s="43" t="str">
        <x:v>No qualifying evidence source recorded</x:v>
      </x:c>
      <x:c r="AC251" s="43" t="str">
        <x:v>Excluded from Maya's elderly recommendation results because no source-backed elderly accessibility feature is recorded in the reviewed data. This does not mean the attraction is inaccessible.</x:v>
      </x:c>
      <x:c r="AD251" s="43" t="str">
        <x:v>2026-08-16</x:v>
      </x:c>
    </x:row>
    <x:row r="252" ht="60" customHeight="1">
      <x:c r="A252" s="16" t="s">
        <x:v>1491</x:v>
      </x:c>
      <x:c r="B252" s="16" t="s">
        <x:v>1492</x:v>
      </x:c>
      <x:c r="C252" s="16" t="s">
        <x:v>1463</x:v>
      </x:c>
      <x:c r="D252" s="16" t="s">
        <x:v>1479</x:v>
      </x:c>
      <x:c r="E252" s="16" t="s">
        <x:v>133</x:v>
      </x:c>
      <x:c r="F252" s="16" t="s">
        <x:v>25</x:v>
      </x:c>
      <x:c r="G252" s="16" t="s">
        <x:v>46</x:v>
      </x:c>
      <x:c r="H252" s="17" t="s">
        <x:v>1493</x:v>
      </x:c>
      <x:c r="I252" s="17" t="s">
        <x:v>1494</x:v>
      </x:c>
      <x:c r="J252" s="17" t="s">
        <x:v>1495</x:v>
      </x:c>
      <x:c r="K252" s="17" t="s">
        <x:v>1468</x:v>
      </x:c>
      <x:c r="L252" s="17" t="s">
        <x:v>58</x:v>
      </x:c>
      <x:c r="M252" s="17" t="s">
        <x:v>256</x:v>
      </x:c>
      <x:c r="N252" s="16" t="s">
        <x:v>1496</x:v>
      </x:c>
      <x:c r="O252" s="18">
        <x:v>46249</x:v>
      </x:c>
      <x:c r="P252" s="19" t="s">
        <x:v>34</x:v>
      </x:c>
      <x:c r="Q252" s="17"/>
      <x:c r="R252" s="19" t="str">
        <x:f t="shared" si="3"/>
        <x:v>Discovery Link Only</x:v>
      </x:c>
      <x:c r="S252" s="43" t="str">
        <x:v>Unknown</x:v>
      </x:c>
      <x:c r="T252" s="43" t="str">
        <x:v>Unknown</x:v>
      </x:c>
      <x:c r="U252" s="43" t="str">
        <x:v>Unknown</x:v>
      </x:c>
      <x:c r="V252" s="43" t="str">
        <x:v>Unknown</x:v>
      </x:c>
      <x:c r="W252" s="43" t="str">
        <x:v>Unknown</x:v>
      </x:c>
      <x:c r="X252" s="43" t="str">
        <x:v>Unknown</x:v>
      </x:c>
      <x:c r="Y252" s="43" t="str">
        <x:v>Unknown</x:v>
      </x:c>
      <x:c r="Z252" s="43"/>
      <x:c r="AA252" s="43" t="str">
        <x:v>Excluded</x:v>
      </x:c>
      <x:c r="AB252" s="43" t="str">
        <x:v>No qualifying evidence source recorded</x:v>
      </x:c>
      <x:c r="AC252" s="43" t="str">
        <x:v>Excluded from Maya's elderly recommendation results because no source-backed elderly accessibility feature is recorded in the reviewed data. This does not mean the attraction is inaccessible.</x:v>
      </x:c>
      <x:c r="AD252" s="43" t="str">
        <x:v>2026-08-16</x:v>
      </x:c>
    </x:row>
    <x:row r="253" ht="60" customHeight="1">
      <x:c r="A253" s="16" t="s">
        <x:v>1497</x:v>
      </x:c>
      <x:c r="B253" s="16" t="s">
        <x:v>1498</x:v>
      </x:c>
      <x:c r="C253" s="16" t="s">
        <x:v>1463</x:v>
      </x:c>
      <x:c r="D253" s="16" t="s">
        <x:v>1479</x:v>
      </x:c>
      <x:c r="E253" s="16" t="s">
        <x:v>99</x:v>
      </x:c>
      <x:c r="F253" s="16" t="s">
        <x:v>121</x:v>
      </x:c>
      <x:c r="G253" s="16" t="s">
        <x:v>46</x:v>
      </x:c>
      <x:c r="H253" s="17" t="s">
        <x:v>1499</x:v>
      </x:c>
      <x:c r="I253" s="17" t="s">
        <x:v>1500</x:v>
      </x:c>
      <x:c r="J253" s="17" t="s">
        <x:v>1501</x:v>
      </x:c>
      <x:c r="K253" s="17" t="s">
        <x:v>1468</x:v>
      </x:c>
      <x:c r="L253" s="17" t="s">
        <x:v>58</x:v>
      </x:c>
      <x:c r="M253" s="17" t="s">
        <x:v>256</x:v>
      </x:c>
      <x:c r="N253" s="16" t="s">
        <x:v>1502</x:v>
      </x:c>
      <x:c r="O253" s="18">
        <x:v>46249</x:v>
      </x:c>
      <x:c r="P253" s="19" t="s">
        <x:v>34</x:v>
      </x:c>
      <x:c r="Q253" s="17"/>
      <x:c r="R253" s="19" t="str">
        <x:f t="shared" si="3"/>
        <x:v>Discovery Link Only</x:v>
      </x:c>
      <x:c r="S253" s="43" t="str">
        <x:v>Unknown</x:v>
      </x:c>
      <x:c r="T253" s="43" t="str">
        <x:v>Unknown</x:v>
      </x:c>
      <x:c r="U253" s="43" t="str">
        <x:v>Unknown</x:v>
      </x:c>
      <x:c r="V253" s="43" t="str">
        <x:v>Unknown</x:v>
      </x:c>
      <x:c r="W253" s="43" t="str">
        <x:v>Unknown</x:v>
      </x:c>
      <x:c r="X253" s="43" t="str">
        <x:v>Unknown</x:v>
      </x:c>
      <x:c r="Y253" s="43" t="str">
        <x:v>Unknown</x:v>
      </x:c>
      <x:c r="Z253" s="43"/>
      <x:c r="AA253" s="43" t="str">
        <x:v>Excluded</x:v>
      </x:c>
      <x:c r="AB253" s="43" t="str">
        <x:v>No qualifying evidence source recorded</x:v>
      </x:c>
      <x:c r="AC253" s="43" t="str">
        <x:v>Excluded from Maya's elderly recommendation results because no source-backed elderly accessibility feature is recorded in the reviewed data. This does not mean the attraction is inaccessible.</x:v>
      </x:c>
      <x:c r="AD253" s="43" t="str">
        <x:v>2026-08-16</x:v>
      </x:c>
    </x:row>
    <x:row r="254" ht="60" customHeight="1">
      <x:c r="A254" s="16" t="s">
        <x:v>1503</x:v>
      </x:c>
      <x:c r="B254" s="16" t="s">
        <x:v>1504</x:v>
      </x:c>
      <x:c r="C254" s="16" t="s">
        <x:v>1463</x:v>
      </x:c>
      <x:c r="D254" s="16" t="s">
        <x:v>1505</x:v>
      </x:c>
      <x:c r="E254" s="16" t="s">
        <x:v>394</x:v>
      </x:c>
      <x:c r="F254" s="16" t="s">
        <x:v>25</x:v>
      </x:c>
      <x:c r="G254" s="16" t="s">
        <x:v>26</x:v>
      </x:c>
      <x:c r="H254" s="17" t="s">
        <x:v>1506</x:v>
      </x:c>
      <x:c r="I254" s="17" t="s">
        <x:v>1507</x:v>
      </x:c>
      <x:c r="J254" s="17" t="s">
        <x:v>1508</x:v>
      </x:c>
      <x:c r="K254" s="17" t="s">
        <x:v>1468</x:v>
      </x:c>
      <x:c r="L254" s="17" t="s">
        <x:v>58</x:v>
      </x:c>
      <x:c r="M254" s="17" t="s">
        <x:v>256</x:v>
      </x:c>
      <x:c r="N254" s="16" t="s">
        <x:v>1509</x:v>
      </x:c>
      <x:c r="O254" s="18">
        <x:v>46249</x:v>
      </x:c>
      <x:c r="P254" s="19" t="s">
        <x:v>34</x:v>
      </x:c>
      <x:c r="Q254" s="17"/>
      <x:c r="R254" s="19" t="str">
        <x:f t="shared" si="3"/>
        <x:v>Discovery Link Only</x:v>
      </x:c>
      <x:c r="S254" s="43" t="str">
        <x:v>Unknown</x:v>
      </x:c>
      <x:c r="T254" s="43" t="str">
        <x:v>Unknown</x:v>
      </x:c>
      <x:c r="U254" s="43" t="str">
        <x:v>Unknown</x:v>
      </x:c>
      <x:c r="V254" s="43" t="str">
        <x:v>Unknown</x:v>
      </x:c>
      <x:c r="W254" s="43" t="str">
        <x:v>Unknown</x:v>
      </x:c>
      <x:c r="X254" s="43" t="str">
        <x:v>Unknown</x:v>
      </x:c>
      <x:c r="Y254" s="43" t="str">
        <x:v>Unknown</x:v>
      </x:c>
      <x:c r="Z254" s="43"/>
      <x:c r="AA254" s="43" t="str">
        <x:v>Excluded</x:v>
      </x:c>
      <x:c r="AB254" s="43" t="str">
        <x:v>No qualifying evidence source recorded</x:v>
      </x:c>
      <x:c r="AC254" s="43" t="str">
        <x:v>Excluded from Maya's elderly recommendation results because no source-backed elderly accessibility feature is recorded in the reviewed data. This does not mean the attraction is inaccessible.</x:v>
      </x:c>
      <x:c r="AD254" s="43" t="str">
        <x:v>2026-08-16</x:v>
      </x:c>
    </x:row>
    <x:row r="255" ht="60" customHeight="1">
      <x:c r="A255" s="16" t="s">
        <x:v>1510</x:v>
      </x:c>
      <x:c r="B255" s="16" t="s">
        <x:v>1511</x:v>
      </x:c>
      <x:c r="C255" s="16" t="s">
        <x:v>1463</x:v>
      </x:c>
      <x:c r="D255" s="16" t="s">
        <x:v>1512</x:v>
      </x:c>
      <x:c r="E255" s="16" t="s">
        <x:v>45</x:v>
      </x:c>
      <x:c r="F255" s="16" t="s">
        <x:v>25</x:v>
      </x:c>
      <x:c r="G255" s="16" t="s">
        <x:v>26</x:v>
      </x:c>
      <x:c r="H255" s="17" t="s">
        <x:v>1513</x:v>
      </x:c>
      <x:c r="I255" s="17" t="s">
        <x:v>1514</x:v>
      </x:c>
      <x:c r="J255" s="17" t="s">
        <x:v>1515</x:v>
      </x:c>
      <x:c r="K255" s="17" t="s">
        <x:v>1468</x:v>
      </x:c>
      <x:c r="L255" s="17" t="s">
        <x:v>58</x:v>
      </x:c>
      <x:c r="M255" s="17" t="s">
        <x:v>256</x:v>
      </x:c>
      <x:c r="N255" s="16" t="s">
        <x:v>1516</x:v>
      </x:c>
      <x:c r="O255" s="18">
        <x:v>46249</x:v>
      </x:c>
      <x:c r="P255" s="19" t="s">
        <x:v>34</x:v>
      </x:c>
      <x:c r="Q255" s="17"/>
      <x:c r="R255" s="19" t="str">
        <x:f t="shared" si="3"/>
        <x:v>Discovery Link Only</x:v>
      </x:c>
      <x:c r="S255" s="43" t="str">
        <x:v>Unknown</x:v>
      </x:c>
      <x:c r="T255" s="43" t="str">
        <x:v>Unknown</x:v>
      </x:c>
      <x:c r="U255" s="43" t="str">
        <x:v>Unknown</x:v>
      </x:c>
      <x:c r="V255" s="43" t="str">
        <x:v>Unknown</x:v>
      </x:c>
      <x:c r="W255" s="43" t="str">
        <x:v>Unknown</x:v>
      </x:c>
      <x:c r="X255" s="43" t="str">
        <x:v>Unknown</x:v>
      </x:c>
      <x:c r="Y255" s="43" t="str">
        <x:v>Unknown</x:v>
      </x:c>
      <x:c r="Z255" s="43"/>
      <x:c r="AA255" s="43" t="str">
        <x:v>Excluded</x:v>
      </x:c>
      <x:c r="AB255" s="43" t="str">
        <x:v>No qualifying evidence source recorded</x:v>
      </x:c>
      <x:c r="AC255" s="43" t="str">
        <x:v>Excluded from Maya's elderly recommendation results because no source-backed elderly accessibility feature is recorded in the reviewed data. This does not mean the attraction is inaccessible.</x:v>
      </x:c>
      <x:c r="AD255" s="43" t="str">
        <x:v>2026-08-16</x:v>
      </x:c>
    </x:row>
    <x:row r="256" ht="60" customHeight="1">
      <x:c r="A256" s="16" t="s">
        <x:v>1517</x:v>
      </x:c>
      <x:c r="B256" s="16" t="s">
        <x:v>1518</x:v>
      </x:c>
      <x:c r="C256" s="16" t="s">
        <x:v>1463</x:v>
      </x:c>
      <x:c r="D256" s="16" t="s">
        <x:v>1519</x:v>
      </x:c>
      <x:c r="E256" s="16" t="s">
        <x:v>45</x:v>
      </x:c>
      <x:c r="F256" s="16" t="s">
        <x:v>25</x:v>
      </x:c>
      <x:c r="G256" s="16" t="s">
        <x:v>26</x:v>
      </x:c>
      <x:c r="H256" s="17" t="s">
        <x:v>1520</x:v>
      </x:c>
      <x:c r="I256" s="17" t="s">
        <x:v>1521</x:v>
      </x:c>
      <x:c r="J256" s="17" t="s">
        <x:v>1522</x:v>
      </x:c>
      <x:c r="K256" s="17" t="s">
        <x:v>1468</x:v>
      </x:c>
      <x:c r="L256" s="17" t="s">
        <x:v>58</x:v>
      </x:c>
      <x:c r="M256" s="17" t="s">
        <x:v>256</x:v>
      </x:c>
      <x:c r="N256" s="16" t="s">
        <x:v>1523</x:v>
      </x:c>
      <x:c r="O256" s="18">
        <x:v>46249</x:v>
      </x:c>
      <x:c r="P256" s="19" t="s">
        <x:v>34</x:v>
      </x:c>
      <x:c r="Q256" s="17"/>
      <x:c r="R256" s="19" t="str">
        <x:f t="shared" si="3"/>
        <x:v>Discovery Link Only</x:v>
      </x:c>
      <x:c r="S256" s="43" t="str">
        <x:v>Unknown</x:v>
      </x:c>
      <x:c r="T256" s="43" t="str">
        <x:v>Unknown</x:v>
      </x:c>
      <x:c r="U256" s="43" t="str">
        <x:v>Unknown</x:v>
      </x:c>
      <x:c r="V256" s="43" t="str">
        <x:v>Unknown</x:v>
      </x:c>
      <x:c r="W256" s="43" t="str">
        <x:v>Unknown</x:v>
      </x:c>
      <x:c r="X256" s="43" t="str">
        <x:v>Unknown</x:v>
      </x:c>
      <x:c r="Y256" s="43" t="str">
        <x:v>Unknown</x:v>
      </x:c>
      <x:c r="Z256" s="43"/>
      <x:c r="AA256" s="43" t="str">
        <x:v>Excluded</x:v>
      </x:c>
      <x:c r="AB256" s="43" t="str">
        <x:v>No qualifying evidence source recorded</x:v>
      </x:c>
      <x:c r="AC256" s="43" t="str">
        <x:v>Excluded from Maya's elderly recommendation results because no source-backed elderly accessibility feature is recorded in the reviewed data. This does not mean the attraction is inaccessible.</x:v>
      </x:c>
      <x:c r="AD256" s="43" t="str">
        <x:v>2026-08-16</x:v>
      </x:c>
    </x:row>
    <x:row r="257" ht="60" customHeight="1">
      <x:c r="A257" s="16" t="s">
        <x:v>1524</x:v>
      </x:c>
      <x:c r="B257" s="16" t="s">
        <x:v>1525</x:v>
      </x:c>
      <x:c r="C257" s="16" t="s">
        <x:v>1463</x:v>
      </x:c>
      <x:c r="D257" s="16" t="s">
        <x:v>1526</x:v>
      </x:c>
      <x:c r="E257" s="16" t="s">
        <x:v>37</x:v>
      </x:c>
      <x:c r="F257" s="16" t="s">
        <x:v>25</x:v>
      </x:c>
      <x:c r="G257" s="16" t="s">
        <x:v>26</x:v>
      </x:c>
      <x:c r="H257" s="17" t="s">
        <x:v>286</x:v>
      </x:c>
      <x:c r="I257" s="17" t="s">
        <x:v>1527</x:v>
      </x:c>
      <x:c r="J257" s="17" t="s">
        <x:v>1528</x:v>
      </x:c>
      <x:c r="K257" s="17" t="s">
        <x:v>1468</x:v>
      </x:c>
      <x:c r="L257" s="17" t="s">
        <x:v>58</x:v>
      </x:c>
      <x:c r="M257" s="17" t="s">
        <x:v>256</x:v>
      </x:c>
      <x:c r="N257" s="16" t="s">
        <x:v>1529</x:v>
      </x:c>
      <x:c r="O257" s="18">
        <x:v>46249</x:v>
      </x:c>
      <x:c r="P257" s="19" t="s">
        <x:v>34</x:v>
      </x:c>
      <x:c r="Q257" s="17"/>
      <x:c r="R257" s="19" t="str">
        <x:f t="shared" si="3"/>
        <x:v>Discovery Link Only</x:v>
      </x:c>
      <x:c r="S257" s="43" t="str">
        <x:v>Unknown</x:v>
      </x:c>
      <x:c r="T257" s="43" t="str">
        <x:v>Unknown</x:v>
      </x:c>
      <x:c r="U257" s="43" t="str">
        <x:v>Unknown</x:v>
      </x:c>
      <x:c r="V257" s="43" t="str">
        <x:v>Unknown</x:v>
      </x:c>
      <x:c r="W257" s="43" t="str">
        <x:v>Unknown</x:v>
      </x:c>
      <x:c r="X257" s="43" t="str">
        <x:v>Unknown</x:v>
      </x:c>
      <x:c r="Y257" s="43" t="str">
        <x:v>Unknown</x:v>
      </x:c>
      <x:c r="Z257" s="43"/>
      <x:c r="AA257" s="43" t="str">
        <x:v>Excluded</x:v>
      </x:c>
      <x:c r="AB257" s="43" t="str">
        <x:v>No qualifying evidence source recorded</x:v>
      </x:c>
      <x:c r="AC257" s="43" t="str">
        <x:v>Excluded from Maya's elderly recommendation results because no source-backed elderly accessibility feature is recorded in the reviewed data. This does not mean the attraction is inaccessible.</x:v>
      </x:c>
      <x:c r="AD257" s="43" t="str">
        <x:v>2026-08-16</x:v>
      </x:c>
    </x:row>
    <x:row r="258" ht="60" customHeight="1">
      <x:c r="A258" s="16" t="s">
        <x:v>1530</x:v>
      </x:c>
      <x:c r="B258" s="16" t="s">
        <x:v>1531</x:v>
      </x:c>
      <x:c r="C258" s="16" t="s">
        <x:v>1463</x:v>
      </x:c>
      <x:c r="D258" s="16" t="s">
        <x:v>1479</x:v>
      </x:c>
      <x:c r="E258" s="16" t="s">
        <x:v>140</x:v>
      </x:c>
      <x:c r="F258" s="16" t="s">
        <x:v>107</x:v>
      </x:c>
      <x:c r="G258" s="16" t="s">
        <x:v>46</x:v>
      </x:c>
      <x:c r="H258" s="17" t="s">
        <x:v>1532</x:v>
      </x:c>
      <x:c r="I258" s="17" t="s">
        <x:v>1533</x:v>
      </x:c>
      <x:c r="J258" s="17" t="s">
        <x:v>1534</x:v>
      </x:c>
      <x:c r="K258" s="17" t="s">
        <x:v>1468</x:v>
      </x:c>
      <x:c r="L258" s="17" t="s">
        <x:v>111</x:v>
      </x:c>
      <x:c r="M258" s="17" t="s">
        <x:v>1535</x:v>
      </x:c>
      <x:c r="N258" s="16"/>
      <x:c r="O258" s="18">
        <x:v>46249</x:v>
      </x:c>
      <x:c r="P258" s="19" t="s">
        <x:v>34</x:v>
      </x:c>
      <x:c r="Q258" s="17"/>
      <x:c r="R258" s="19" t="str">
        <x:f t="shared" si="3"/>
        <x:v>Discovery Link Only</x:v>
      </x:c>
      <x:c r="S258" s="43" t="str">
        <x:v>Unknown</x:v>
      </x:c>
      <x:c r="T258" s="43" t="str">
        <x:v>Unknown</x:v>
      </x:c>
      <x:c r="U258" s="43" t="str">
        <x:v>Unknown</x:v>
      </x:c>
      <x:c r="V258" s="43" t="str">
        <x:v>Unknown</x:v>
      </x:c>
      <x:c r="W258" s="43" t="str">
        <x:v>Unknown</x:v>
      </x:c>
      <x:c r="X258" s="43" t="str">
        <x:v>Unknown</x:v>
      </x:c>
      <x:c r="Y258" s="43" t="str">
        <x:v>Unknown</x:v>
      </x:c>
      <x:c r="Z258" s="43"/>
      <x:c r="AA258" s="43" t="str">
        <x:v>Excluded</x:v>
      </x:c>
      <x:c r="AB258" s="43" t="str">
        <x:v>No qualifying evidence source recorded</x:v>
      </x:c>
      <x:c r="AC258" s="43" t="str">
        <x:v>Excluded from Maya's elderly recommendation results because no source-backed elderly accessibility feature is recorded in the reviewed data. This does not mean the attraction is inaccessible.</x:v>
      </x:c>
      <x:c r="AD258" s="43" t="str">
        <x:v>2026-08-16</x:v>
      </x:c>
    </x:row>
    <x:row r="259" ht="60" customHeight="1">
      <x:c r="A259" s="16" t="s">
        <x:v>1536</x:v>
      </x:c>
      <x:c r="B259" s="16" t="s">
        <x:v>1537</x:v>
      </x:c>
      <x:c r="C259" s="16" t="s">
        <x:v>1463</x:v>
      </x:c>
      <x:c r="D259" s="16" t="s">
        <x:v>1479</x:v>
      </x:c>
      <x:c r="E259" s="16" t="s">
        <x:v>106</x:v>
      </x:c>
      <x:c r="F259" s="16" t="s">
        <x:v>107</x:v>
      </x:c>
      <x:c r="G259" s="16" t="s">
        <x:v>46</x:v>
      </x:c>
      <x:c r="H259" s="17" t="s">
        <x:v>1538</x:v>
      </x:c>
      <x:c r="I259" s="17" t="s">
        <x:v>1539</x:v>
      </x:c>
      <x:c r="J259" s="17" t="s">
        <x:v>1540</x:v>
      </x:c>
      <x:c r="K259" s="17" t="s">
        <x:v>1468</x:v>
      </x:c>
      <x:c r="L259" s="17" t="s">
        <x:v>111</x:v>
      </x:c>
      <x:c r="M259" s="17" t="s">
        <x:v>1535</x:v>
      </x:c>
      <x:c r="N259" s="16"/>
      <x:c r="O259" s="18">
        <x:v>46249</x:v>
      </x:c>
      <x:c r="P259" s="19" t="s">
        <x:v>34</x:v>
      </x:c>
      <x:c r="Q259" s="17"/>
      <x:c r="R259" s="19" t="str">
        <x:f t="shared" si="3"/>
        <x:v>Discovery Link Only</x:v>
      </x:c>
      <x:c r="S259" s="43" t="str">
        <x:v>Unknown</x:v>
      </x:c>
      <x:c r="T259" s="43" t="str">
        <x:v>Unknown</x:v>
      </x:c>
      <x:c r="U259" s="43" t="str">
        <x:v>Unknown</x:v>
      </x:c>
      <x:c r="V259" s="43" t="str">
        <x:v>Unknown</x:v>
      </x:c>
      <x:c r="W259" s="43" t="str">
        <x:v>Unknown</x:v>
      </x:c>
      <x:c r="X259" s="43" t="str">
        <x:v>Unknown</x:v>
      </x:c>
      <x:c r="Y259" s="43" t="str">
        <x:v>Unknown</x:v>
      </x:c>
      <x:c r="Z259" s="43"/>
      <x:c r="AA259" s="43" t="str">
        <x:v>Excluded</x:v>
      </x:c>
      <x:c r="AB259" s="43" t="str">
        <x:v>No qualifying evidence source recorded</x:v>
      </x:c>
      <x:c r="AC259" s="43" t="str">
        <x:v>Excluded from Maya's elderly recommendation results because no source-backed elderly accessibility feature is recorded in the reviewed data. This does not mean the attraction is inaccessible.</x:v>
      </x:c>
      <x:c r="AD259" s="43" t="str">
        <x:v>2026-08-16</x:v>
      </x:c>
    </x:row>
    <x:row r="260" ht="60" customHeight="1">
      <x:c r="A260" s="16" t="s">
        <x:v>1541</x:v>
      </x:c>
      <x:c r="B260" s="16" t="s">
        <x:v>1542</x:v>
      </x:c>
      <x:c r="C260" s="16" t="s">
        <x:v>1463</x:v>
      </x:c>
      <x:c r="D260" s="16" t="s">
        <x:v>1479</x:v>
      </x:c>
      <x:c r="E260" s="16" t="s">
        <x:v>151</x:v>
      </x:c>
      <x:c r="F260" s="16" t="s">
        <x:v>121</x:v>
      </x:c>
      <x:c r="G260" s="16" t="s">
        <x:v>134</x:v>
      </x:c>
      <x:c r="H260" s="17" t="s">
        <x:v>1543</x:v>
      </x:c>
      <x:c r="I260" s="17" t="s">
        <x:v>1544</x:v>
      </x:c>
      <x:c r="J260" s="17" t="s">
        <x:v>1545</x:v>
      </x:c>
      <x:c r="K260" s="17" t="s">
        <x:v>1468</x:v>
      </x:c>
      <x:c r="L260" s="17" t="s">
        <x:v>111</x:v>
      </x:c>
      <x:c r="M260" s="17" t="s">
        <x:v>1535</x:v>
      </x:c>
      <x:c r="N260" s="16"/>
      <x:c r="O260" s="18">
        <x:v>46249</x:v>
      </x:c>
      <x:c r="P260" s="19" t="s">
        <x:v>34</x:v>
      </x:c>
      <x:c r="Q260" s="17"/>
      <x:c r="R260" s="19" t="str">
        <x:f t="shared" ref="R260:R323" si="4">IF(J260="","Missing Link",IF(AND(ISNUMBER(SEARCH("google.com/maps",J260)),ISERROR(SEARCH(";",J260))),"Discovery Link Only","Source Link Present"))</x:f>
        <x:v>Discovery Link Only</x:v>
      </x:c>
      <x:c r="S260" s="43" t="str">
        <x:v>Unknown</x:v>
      </x:c>
      <x:c r="T260" s="43" t="str">
        <x:v>Unknown</x:v>
      </x:c>
      <x:c r="U260" s="43" t="str">
        <x:v>Unknown</x:v>
      </x:c>
      <x:c r="V260" s="43" t="str">
        <x:v>Unknown</x:v>
      </x:c>
      <x:c r="W260" s="43" t="str">
        <x:v>Unknown</x:v>
      </x:c>
      <x:c r="X260" s="43" t="str">
        <x:v>Unknown</x:v>
      </x:c>
      <x:c r="Y260" s="43" t="str">
        <x:v>Unknown</x:v>
      </x:c>
      <x:c r="Z260" s="43"/>
      <x:c r="AA260" s="43" t="str">
        <x:v>Excluded</x:v>
      </x:c>
      <x:c r="AB260" s="43" t="str">
        <x:v>No qualifying evidence source recorded</x:v>
      </x:c>
      <x:c r="AC260" s="43" t="str">
        <x:v>Excluded from Maya's elderly recommendation results because no source-backed elderly accessibility feature is recorded in the reviewed data. This does not mean the attraction is inaccessible.</x:v>
      </x:c>
      <x:c r="AD260" s="43" t="str">
        <x:v>2026-08-16</x:v>
      </x:c>
    </x:row>
    <x:row r="261" ht="60" customHeight="1">
      <x:c r="A261" s="16" t="s">
        <x:v>1546</x:v>
      </x:c>
      <x:c r="B261" s="16" t="s">
        <x:v>1547</x:v>
      </x:c>
      <x:c r="C261" s="16" t="s">
        <x:v>1463</x:v>
      </x:c>
      <x:c r="D261" s="16" t="s">
        <x:v>1479</x:v>
      </x:c>
      <x:c r="E261" s="16" t="s">
        <x:v>72</x:v>
      </x:c>
      <x:c r="F261" s="16" t="s">
        <x:v>107</x:v>
      </x:c>
      <x:c r="G261" s="16" t="s">
        <x:v>26</x:v>
      </x:c>
      <x:c r="H261" s="17" t="s">
        <x:v>1548</x:v>
      </x:c>
      <x:c r="I261" s="17" t="s">
        <x:v>1549</x:v>
      </x:c>
      <x:c r="J261" s="17" t="s">
        <x:v>1550</x:v>
      </x:c>
      <x:c r="K261" s="17" t="s">
        <x:v>1468</x:v>
      </x:c>
      <x:c r="L261" s="17" t="s">
        <x:v>111</x:v>
      </x:c>
      <x:c r="M261" s="17" t="s">
        <x:v>1535</x:v>
      </x:c>
      <x:c r="N261" s="16"/>
      <x:c r="O261" s="18">
        <x:v>46249</x:v>
      </x:c>
      <x:c r="P261" s="19" t="s">
        <x:v>34</x:v>
      </x:c>
      <x:c r="Q261" s="17"/>
      <x:c r="R261" s="19" t="str">
        <x:f t="shared" si="4"/>
        <x:v>Discovery Link Only</x:v>
      </x:c>
      <x:c r="S261" s="43" t="str">
        <x:v>Unknown</x:v>
      </x:c>
      <x:c r="T261" s="43" t="str">
        <x:v>Unknown</x:v>
      </x:c>
      <x:c r="U261" s="43" t="str">
        <x:v>Unknown</x:v>
      </x:c>
      <x:c r="V261" s="43" t="str">
        <x:v>Unknown</x:v>
      </x:c>
      <x:c r="W261" s="43" t="str">
        <x:v>Unknown</x:v>
      </x:c>
      <x:c r="X261" s="43" t="str">
        <x:v>Unknown</x:v>
      </x:c>
      <x:c r="Y261" s="43" t="str">
        <x:v>Unknown</x:v>
      </x:c>
      <x:c r="Z261" s="43"/>
      <x:c r="AA261" s="43" t="str">
        <x:v>Excluded</x:v>
      </x:c>
      <x:c r="AB261" s="43" t="str">
        <x:v>No qualifying evidence source recorded</x:v>
      </x:c>
      <x:c r="AC261" s="43" t="str">
        <x:v>Excluded from Maya's elderly recommendation results because no source-backed elderly accessibility feature is recorded in the reviewed data. This does not mean the attraction is inaccessible.</x:v>
      </x:c>
      <x:c r="AD261" s="43" t="str">
        <x:v>2026-08-16</x:v>
      </x:c>
    </x:row>
    <x:row r="262" ht="60" customHeight="1">
      <x:c r="A262" s="16" t="s">
        <x:v>1551</x:v>
      </x:c>
      <x:c r="B262" s="16" t="s">
        <x:v>1552</x:v>
      </x:c>
      <x:c r="C262" s="16" t="s">
        <x:v>1463</x:v>
      </x:c>
      <x:c r="D262" s="16" t="s">
        <x:v>1526</x:v>
      </x:c>
      <x:c r="E262" s="16" t="s">
        <x:v>99</x:v>
      </x:c>
      <x:c r="F262" s="16" t="s">
        <x:v>107</x:v>
      </x:c>
      <x:c r="G262" s="16" t="s">
        <x:v>46</x:v>
      </x:c>
      <x:c r="H262" s="17" t="s">
        <x:v>1553</x:v>
      </x:c>
      <x:c r="I262" s="17" t="s">
        <x:v>1554</x:v>
      </x:c>
      <x:c r="J262" s="17" t="s">
        <x:v>1555</x:v>
      </x:c>
      <x:c r="K262" s="17" t="s">
        <x:v>1468</x:v>
      </x:c>
      <x:c r="L262" s="17" t="s">
        <x:v>111</x:v>
      </x:c>
      <x:c r="M262" s="17" t="s">
        <x:v>1535</x:v>
      </x:c>
      <x:c r="N262" s="16"/>
      <x:c r="O262" s="18">
        <x:v>46249</x:v>
      </x:c>
      <x:c r="P262" s="19" t="s">
        <x:v>34</x:v>
      </x:c>
      <x:c r="Q262" s="17"/>
      <x:c r="R262" s="19" t="str">
        <x:f t="shared" si="4"/>
        <x:v>Discovery Link Only</x:v>
      </x:c>
      <x:c r="S262" s="43" t="str">
        <x:v>Unknown</x:v>
      </x:c>
      <x:c r="T262" s="43" t="str">
        <x:v>Unknown</x:v>
      </x:c>
      <x:c r="U262" s="43" t="str">
        <x:v>Unknown</x:v>
      </x:c>
      <x:c r="V262" s="43" t="str">
        <x:v>Unknown</x:v>
      </x:c>
      <x:c r="W262" s="43" t="str">
        <x:v>Unknown</x:v>
      </x:c>
      <x:c r="X262" s="43" t="str">
        <x:v>Unknown</x:v>
      </x:c>
      <x:c r="Y262" s="43" t="str">
        <x:v>Unknown</x:v>
      </x:c>
      <x:c r="Z262" s="43"/>
      <x:c r="AA262" s="43" t="str">
        <x:v>Excluded</x:v>
      </x:c>
      <x:c r="AB262" s="43" t="str">
        <x:v>No qualifying evidence source recorded</x:v>
      </x:c>
      <x:c r="AC262" s="43" t="str">
        <x:v>Excluded from Maya's elderly recommendation results because no source-backed elderly accessibility feature is recorded in the reviewed data. This does not mean the attraction is inaccessible.</x:v>
      </x:c>
      <x:c r="AD262" s="43" t="str">
        <x:v>2026-08-16</x:v>
      </x:c>
    </x:row>
    <x:row r="263" ht="60" customHeight="1">
      <x:c r="A263" s="16" t="s">
        <x:v>1556</x:v>
      </x:c>
      <x:c r="B263" s="16" t="s">
        <x:v>1557</x:v>
      </x:c>
      <x:c r="C263" s="16" t="s">
        <x:v>1463</x:v>
      </x:c>
      <x:c r="D263" s="16" t="s">
        <x:v>1558</x:v>
      </x:c>
      <x:c r="E263" s="16" t="s">
        <x:v>251</x:v>
      </x:c>
      <x:c r="F263" s="16" t="s">
        <x:v>107</x:v>
      </x:c>
      <x:c r="G263" s="16" t="s">
        <x:v>26</x:v>
      </x:c>
      <x:c r="H263" s="17" t="s">
        <x:v>1559</x:v>
      </x:c>
      <x:c r="I263" s="17" t="s">
        <x:v>1560</x:v>
      </x:c>
      <x:c r="J263" s="17" t="s">
        <x:v>1561</x:v>
      </x:c>
      <x:c r="K263" s="17" t="s">
        <x:v>1468</x:v>
      </x:c>
      <x:c r="L263" s="17" t="s">
        <x:v>111</x:v>
      </x:c>
      <x:c r="M263" s="17" t="s">
        <x:v>1535</x:v>
      </x:c>
      <x:c r="N263" s="16"/>
      <x:c r="O263" s="18">
        <x:v>46249</x:v>
      </x:c>
      <x:c r="P263" s="19" t="s">
        <x:v>34</x:v>
      </x:c>
      <x:c r="Q263" s="17"/>
      <x:c r="R263" s="19" t="str">
        <x:f t="shared" si="4"/>
        <x:v>Discovery Link Only</x:v>
      </x:c>
      <x:c r="S263" s="43" t="str">
        <x:v>Unknown</x:v>
      </x:c>
      <x:c r="T263" s="43" t="str">
        <x:v>Unknown</x:v>
      </x:c>
      <x:c r="U263" s="43" t="str">
        <x:v>Unknown</x:v>
      </x:c>
      <x:c r="V263" s="43" t="str">
        <x:v>Unknown</x:v>
      </x:c>
      <x:c r="W263" s="43" t="str">
        <x:v>Unknown</x:v>
      </x:c>
      <x:c r="X263" s="43" t="str">
        <x:v>Unknown</x:v>
      </x:c>
      <x:c r="Y263" s="43" t="str">
        <x:v>Unknown</x:v>
      </x:c>
      <x:c r="Z263" s="43"/>
      <x:c r="AA263" s="43" t="str">
        <x:v>Excluded</x:v>
      </x:c>
      <x:c r="AB263" s="43" t="str">
        <x:v>No qualifying evidence source recorded</x:v>
      </x:c>
      <x:c r="AC263" s="43" t="str">
        <x:v>Excluded from Maya's elderly recommendation results because no source-backed elderly accessibility feature is recorded in the reviewed data. This does not mean the attraction is inaccessible.</x:v>
      </x:c>
      <x:c r="AD263" s="43" t="str">
        <x:v>2026-08-16</x:v>
      </x:c>
    </x:row>
    <x:row r="264" ht="60" customHeight="1">
      <x:c r="A264" s="16" t="s">
        <x:v>1562</x:v>
      </x:c>
      <x:c r="B264" s="16" t="s">
        <x:v>1563</x:v>
      </x:c>
      <x:c r="C264" s="16" t="s">
        <x:v>1463</x:v>
      </x:c>
      <x:c r="D264" s="16" t="s">
        <x:v>1564</x:v>
      </x:c>
      <x:c r="E264" s="16" t="s">
        <x:v>54</x:v>
      </x:c>
      <x:c r="F264" s="16" t="s">
        <x:v>121</x:v>
      </x:c>
      <x:c r="G264" s="16" t="s">
        <x:v>46</x:v>
      </x:c>
      <x:c r="H264" s="17" t="s">
        <x:v>1565</x:v>
      </x:c>
      <x:c r="I264" s="17" t="s">
        <x:v>1566</x:v>
      </x:c>
      <x:c r="J264" s="17" t="s">
        <x:v>1567</x:v>
      </x:c>
      <x:c r="K264" s="17" t="s">
        <x:v>1468</x:v>
      </x:c>
      <x:c r="L264" s="17" t="s">
        <x:v>111</x:v>
      </x:c>
      <x:c r="M264" s="17" t="s">
        <x:v>1535</x:v>
      </x:c>
      <x:c r="N264" s="16"/>
      <x:c r="O264" s="18">
        <x:v>46249</x:v>
      </x:c>
      <x:c r="P264" s="19" t="s">
        <x:v>34</x:v>
      </x:c>
      <x:c r="Q264" s="17"/>
      <x:c r="R264" s="19" t="str">
        <x:f t="shared" si="4"/>
        <x:v>Discovery Link Only</x:v>
      </x:c>
      <x:c r="S264" s="43" t="str">
        <x:v>Unknown</x:v>
      </x:c>
      <x:c r="T264" s="43" t="str">
        <x:v>Unknown</x:v>
      </x:c>
      <x:c r="U264" s="43" t="str">
        <x:v>Unknown</x:v>
      </x:c>
      <x:c r="V264" s="43" t="str">
        <x:v>Unknown</x:v>
      </x:c>
      <x:c r="W264" s="43" t="str">
        <x:v>Unknown</x:v>
      </x:c>
      <x:c r="X264" s="43" t="str">
        <x:v>Unknown</x:v>
      </x:c>
      <x:c r="Y264" s="43" t="str">
        <x:v>Unknown</x:v>
      </x:c>
      <x:c r="Z264" s="43"/>
      <x:c r="AA264" s="43" t="str">
        <x:v>Excluded</x:v>
      </x:c>
      <x:c r="AB264" s="43" t="str">
        <x:v>No qualifying evidence source recorded</x:v>
      </x:c>
      <x:c r="AC264" s="43" t="str">
        <x:v>Excluded from Maya's elderly recommendation results because no source-backed elderly accessibility feature is recorded in the reviewed data. This does not mean the attraction is inaccessible.</x:v>
      </x:c>
      <x:c r="AD264" s="43" t="str">
        <x:v>2026-08-16</x:v>
      </x:c>
    </x:row>
    <x:row r="265" ht="60" customHeight="1">
      <x:c r="A265" s="16" t="s">
        <x:v>1568</x:v>
      </x:c>
      <x:c r="B265" s="16" t="s">
        <x:v>1569</x:v>
      </x:c>
      <x:c r="C265" s="16" t="s">
        <x:v>1463</x:v>
      </x:c>
      <x:c r="D265" s="16" t="s">
        <x:v>1570</x:v>
      </x:c>
      <x:c r="E265" s="16" t="s">
        <x:v>72</x:v>
      </x:c>
      <x:c r="F265" s="16" t="s">
        <x:v>107</x:v>
      </x:c>
      <x:c r="G265" s="16" t="s">
        <x:v>26</x:v>
      </x:c>
      <x:c r="H265" s="17" t="s">
        <x:v>1571</x:v>
      </x:c>
      <x:c r="I265" s="17" t="s">
        <x:v>1572</x:v>
      </x:c>
      <x:c r="J265" s="17" t="s">
        <x:v>1573</x:v>
      </x:c>
      <x:c r="K265" s="17" t="s">
        <x:v>1468</x:v>
      </x:c>
      <x:c r="L265" s="17" t="s">
        <x:v>111</x:v>
      </x:c>
      <x:c r="M265" s="17" t="s">
        <x:v>1535</x:v>
      </x:c>
      <x:c r="N265" s="16"/>
      <x:c r="O265" s="18">
        <x:v>46249</x:v>
      </x:c>
      <x:c r="P265" s="19" t="s">
        <x:v>34</x:v>
      </x:c>
      <x:c r="Q265" s="17"/>
      <x:c r="R265" s="19" t="str">
        <x:f t="shared" si="4"/>
        <x:v>Discovery Link Only</x:v>
      </x:c>
      <x:c r="S265" s="43" t="str">
        <x:v>Unknown</x:v>
      </x:c>
      <x:c r="T265" s="43" t="str">
        <x:v>Unknown</x:v>
      </x:c>
      <x:c r="U265" s="43" t="str">
        <x:v>Unknown</x:v>
      </x:c>
      <x:c r="V265" s="43" t="str">
        <x:v>Unknown</x:v>
      </x:c>
      <x:c r="W265" s="43" t="str">
        <x:v>Unknown</x:v>
      </x:c>
      <x:c r="X265" s="43" t="str">
        <x:v>Unknown</x:v>
      </x:c>
      <x:c r="Y265" s="43" t="str">
        <x:v>Unknown</x:v>
      </x:c>
      <x:c r="Z265" s="43"/>
      <x:c r="AA265" s="43" t="str">
        <x:v>Excluded</x:v>
      </x:c>
      <x:c r="AB265" s="43" t="str">
        <x:v>No qualifying evidence source recorded</x:v>
      </x:c>
      <x:c r="AC265" s="43" t="str">
        <x:v>Excluded from Maya's elderly recommendation results because no source-backed elderly accessibility feature is recorded in the reviewed data. This does not mean the attraction is inaccessible.</x:v>
      </x:c>
      <x:c r="AD265" s="43" t="str">
        <x:v>2026-08-16</x:v>
      </x:c>
    </x:row>
    <x:row r="266" ht="60" customHeight="1">
      <x:c r="A266" s="16" t="s">
        <x:v>1574</x:v>
      </x:c>
      <x:c r="B266" s="16" t="s">
        <x:v>1575</x:v>
      </x:c>
      <x:c r="C266" s="16" t="s">
        <x:v>1463</x:v>
      </x:c>
      <x:c r="D266" s="16" t="s">
        <x:v>1570</x:v>
      </x:c>
      <x:c r="E266" s="16" t="s">
        <x:v>151</x:v>
      </x:c>
      <x:c r="F266" s="16" t="s">
        <x:v>121</x:v>
      </x:c>
      <x:c r="G266" s="16" t="s">
        <x:v>134</x:v>
      </x:c>
      <x:c r="H266" s="17" t="s">
        <x:v>1576</x:v>
      </x:c>
      <x:c r="I266" s="17" t="s">
        <x:v>1577</x:v>
      </x:c>
      <x:c r="J266" s="17" t="s">
        <x:v>1578</x:v>
      </x:c>
      <x:c r="K266" s="17" t="s">
        <x:v>1468</x:v>
      </x:c>
      <x:c r="L266" s="17" t="s">
        <x:v>111</x:v>
      </x:c>
      <x:c r="M266" s="17" t="s">
        <x:v>1535</x:v>
      </x:c>
      <x:c r="N266" s="16"/>
      <x:c r="O266" s="18">
        <x:v>46249</x:v>
      </x:c>
      <x:c r="P266" s="19" t="s">
        <x:v>34</x:v>
      </x:c>
      <x:c r="Q266" s="17"/>
      <x:c r="R266" s="19" t="str">
        <x:f t="shared" si="4"/>
        <x:v>Discovery Link Only</x:v>
      </x:c>
      <x:c r="S266" s="43" t="str">
        <x:v>Unknown</x:v>
      </x:c>
      <x:c r="T266" s="43" t="str">
        <x:v>Unknown</x:v>
      </x:c>
      <x:c r="U266" s="43" t="str">
        <x:v>Unknown</x:v>
      </x:c>
      <x:c r="V266" s="43" t="str">
        <x:v>Unknown</x:v>
      </x:c>
      <x:c r="W266" s="43" t="str">
        <x:v>Unknown</x:v>
      </x:c>
      <x:c r="X266" s="43" t="str">
        <x:v>Unknown</x:v>
      </x:c>
      <x:c r="Y266" s="43" t="str">
        <x:v>Unknown</x:v>
      </x:c>
      <x:c r="Z266" s="43"/>
      <x:c r="AA266" s="43" t="str">
        <x:v>Excluded</x:v>
      </x:c>
      <x:c r="AB266" s="43" t="str">
        <x:v>No qualifying evidence source recorded</x:v>
      </x:c>
      <x:c r="AC266" s="43" t="str">
        <x:v>Excluded from Maya's elderly recommendation results because no source-backed elderly accessibility feature is recorded in the reviewed data. This does not mean the attraction is inaccessible.</x:v>
      </x:c>
      <x:c r="AD266" s="43" t="str">
        <x:v>2026-08-16</x:v>
      </x:c>
    </x:row>
    <x:row r="267" ht="60" customHeight="1">
      <x:c r="A267" s="16" t="s">
        <x:v>1579</x:v>
      </x:c>
      <x:c r="B267" s="16" t="s">
        <x:v>1580</x:v>
      </x:c>
      <x:c r="C267" s="16" t="s">
        <x:v>1463</x:v>
      </x:c>
      <x:c r="D267" s="16" t="s">
        <x:v>1581</x:v>
      </x:c>
      <x:c r="E267" s="16" t="s">
        <x:v>115</x:v>
      </x:c>
      <x:c r="F267" s="16" t="s">
        <x:v>107</x:v>
      </x:c>
      <x:c r="G267" s="16" t="s">
        <x:v>46</x:v>
      </x:c>
      <x:c r="H267" s="17" t="s">
        <x:v>1582</x:v>
      </x:c>
      <x:c r="I267" s="17" t="s">
        <x:v>1583</x:v>
      </x:c>
      <x:c r="J267" s="17" t="s">
        <x:v>1584</x:v>
      </x:c>
      <x:c r="K267" s="17" t="s">
        <x:v>1468</x:v>
      </x:c>
      <x:c r="L267" s="17" t="s">
        <x:v>111</x:v>
      </x:c>
      <x:c r="M267" s="17" t="s">
        <x:v>1535</x:v>
      </x:c>
      <x:c r="N267" s="16"/>
      <x:c r="O267" s="18">
        <x:v>46249</x:v>
      </x:c>
      <x:c r="P267" s="19" t="s">
        <x:v>34</x:v>
      </x:c>
      <x:c r="Q267" s="17"/>
      <x:c r="R267" s="19" t="str">
        <x:f t="shared" si="4"/>
        <x:v>Discovery Link Only</x:v>
      </x:c>
      <x:c r="S267" s="43" t="str">
        <x:v>Unknown</x:v>
      </x:c>
      <x:c r="T267" s="43" t="str">
        <x:v>Unknown</x:v>
      </x:c>
      <x:c r="U267" s="43" t="str">
        <x:v>Unknown</x:v>
      </x:c>
      <x:c r="V267" s="43" t="str">
        <x:v>Unknown</x:v>
      </x:c>
      <x:c r="W267" s="43" t="str">
        <x:v>Unknown</x:v>
      </x:c>
      <x:c r="X267" s="43" t="str">
        <x:v>Unknown</x:v>
      </x:c>
      <x:c r="Y267" s="43" t="str">
        <x:v>Unknown</x:v>
      </x:c>
      <x:c r="Z267" s="43"/>
      <x:c r="AA267" s="43" t="str">
        <x:v>Excluded</x:v>
      </x:c>
      <x:c r="AB267" s="43" t="str">
        <x:v>No qualifying evidence source recorded</x:v>
      </x:c>
      <x:c r="AC267" s="43" t="str">
        <x:v>Excluded from Maya's elderly recommendation results because no source-backed elderly accessibility feature is recorded in the reviewed data. This does not mean the attraction is inaccessible.</x:v>
      </x:c>
      <x:c r="AD267" s="43" t="str">
        <x:v>2026-08-16</x:v>
      </x:c>
    </x:row>
    <x:row r="268" ht="60" customHeight="1">
      <x:c r="A268" s="16" t="s">
        <x:v>1585</x:v>
      </x:c>
      <x:c r="B268" s="16" t="s">
        <x:v>1586</x:v>
      </x:c>
      <x:c r="C268" s="16" t="s">
        <x:v>1463</x:v>
      </x:c>
      <x:c r="D268" s="16" t="s">
        <x:v>1581</x:v>
      </x:c>
      <x:c r="E268" s="16" t="s">
        <x:v>162</x:v>
      </x:c>
      <x:c r="F268" s="16" t="s">
        <x:v>107</x:v>
      </x:c>
      <x:c r="G268" s="16" t="s">
        <x:v>46</x:v>
      </x:c>
      <x:c r="H268" s="17" t="s">
        <x:v>1587</x:v>
      </x:c>
      <x:c r="I268" s="17" t="s">
        <x:v>1588</x:v>
      </x:c>
      <x:c r="J268" s="17" t="s">
        <x:v>1589</x:v>
      </x:c>
      <x:c r="K268" s="17" t="s">
        <x:v>1468</x:v>
      </x:c>
      <x:c r="L268" s="17" t="s">
        <x:v>111</x:v>
      </x:c>
      <x:c r="M268" s="17" t="s">
        <x:v>1535</x:v>
      </x:c>
      <x:c r="N268" s="16"/>
      <x:c r="O268" s="18">
        <x:v>46249</x:v>
      </x:c>
      <x:c r="P268" s="19" t="s">
        <x:v>34</x:v>
      </x:c>
      <x:c r="Q268" s="17"/>
      <x:c r="R268" s="19" t="str">
        <x:f t="shared" si="4"/>
        <x:v>Discovery Link Only</x:v>
      </x:c>
      <x:c r="S268" s="43" t="str">
        <x:v>Unknown</x:v>
      </x:c>
      <x:c r="T268" s="43" t="str">
        <x:v>Unknown</x:v>
      </x:c>
      <x:c r="U268" s="43" t="str">
        <x:v>Unknown</x:v>
      </x:c>
      <x:c r="V268" s="43" t="str">
        <x:v>Unknown</x:v>
      </x:c>
      <x:c r="W268" s="43" t="str">
        <x:v>Unknown</x:v>
      </x:c>
      <x:c r="X268" s="43" t="str">
        <x:v>Unknown</x:v>
      </x:c>
      <x:c r="Y268" s="43" t="str">
        <x:v>Unknown</x:v>
      </x:c>
      <x:c r="Z268" s="43"/>
      <x:c r="AA268" s="43" t="str">
        <x:v>Excluded</x:v>
      </x:c>
      <x:c r="AB268" s="43" t="str">
        <x:v>No qualifying evidence source recorded</x:v>
      </x:c>
      <x:c r="AC268" s="43" t="str">
        <x:v>Excluded from Maya's elderly recommendation results because no source-backed elderly accessibility feature is recorded in the reviewed data. This does not mean the attraction is inaccessible.</x:v>
      </x:c>
      <x:c r="AD268" s="43" t="str">
        <x:v>2026-08-16</x:v>
      </x:c>
    </x:row>
    <x:row r="269" ht="60" customHeight="1">
      <x:c r="A269" s="16" t="s">
        <x:v>1590</x:v>
      </x:c>
      <x:c r="B269" s="16" t="s">
        <x:v>1591</x:v>
      </x:c>
      <x:c r="C269" s="16" t="s">
        <x:v>1463</x:v>
      </x:c>
      <x:c r="D269" s="16" t="s">
        <x:v>1505</x:v>
      </x:c>
      <x:c r="E269" s="16" t="s">
        <x:v>162</x:v>
      </x:c>
      <x:c r="F269" s="16" t="s">
        <x:v>121</x:v>
      </x:c>
      <x:c r="G269" s="16" t="s">
        <x:v>46</x:v>
      </x:c>
      <x:c r="H269" s="17" t="s">
        <x:v>1592</x:v>
      </x:c>
      <x:c r="I269" s="17" t="s">
        <x:v>1593</x:v>
      </x:c>
      <x:c r="J269" s="17" t="s">
        <x:v>1594</x:v>
      </x:c>
      <x:c r="K269" s="17" t="s">
        <x:v>1468</x:v>
      </x:c>
      <x:c r="L269" s="17" t="s">
        <x:v>111</x:v>
      </x:c>
      <x:c r="M269" s="17" t="s">
        <x:v>1535</x:v>
      </x:c>
      <x:c r="N269" s="16"/>
      <x:c r="O269" s="18">
        <x:v>46249</x:v>
      </x:c>
      <x:c r="P269" s="19" t="s">
        <x:v>34</x:v>
      </x:c>
      <x:c r="Q269" s="17"/>
      <x:c r="R269" s="19" t="str">
        <x:f t="shared" si="4"/>
        <x:v>Discovery Link Only</x:v>
      </x:c>
      <x:c r="S269" s="43" t="str">
        <x:v>Unknown</x:v>
      </x:c>
      <x:c r="T269" s="43" t="str">
        <x:v>Unknown</x:v>
      </x:c>
      <x:c r="U269" s="43" t="str">
        <x:v>Unknown</x:v>
      </x:c>
      <x:c r="V269" s="43" t="str">
        <x:v>Unknown</x:v>
      </x:c>
      <x:c r="W269" s="43" t="str">
        <x:v>Unknown</x:v>
      </x:c>
      <x:c r="X269" s="43" t="str">
        <x:v>Unknown</x:v>
      </x:c>
      <x:c r="Y269" s="43" t="str">
        <x:v>Unknown</x:v>
      </x:c>
      <x:c r="Z269" s="43"/>
      <x:c r="AA269" s="43" t="str">
        <x:v>Excluded</x:v>
      </x:c>
      <x:c r="AB269" s="43" t="str">
        <x:v>No qualifying evidence source recorded</x:v>
      </x:c>
      <x:c r="AC269" s="43" t="str">
        <x:v>Excluded from Maya's elderly recommendation results because no source-backed elderly accessibility feature is recorded in the reviewed data. This does not mean the attraction is inaccessible.</x:v>
      </x:c>
      <x:c r="AD269" s="43" t="str">
        <x:v>2026-08-16</x:v>
      </x:c>
    </x:row>
    <x:row r="270" ht="60" customHeight="1">
      <x:c r="A270" s="16" t="s">
        <x:v>1595</x:v>
      </x:c>
      <x:c r="B270" s="16" t="s">
        <x:v>1596</x:v>
      </x:c>
      <x:c r="C270" s="16" t="s">
        <x:v>1463</x:v>
      </x:c>
      <x:c r="D270" s="16" t="s">
        <x:v>1519</x:v>
      </x:c>
      <x:c r="E270" s="16" t="s">
        <x:v>162</x:v>
      </x:c>
      <x:c r="F270" s="16" t="s">
        <x:v>194</x:v>
      </x:c>
      <x:c r="G270" s="16" t="s">
        <x:v>46</x:v>
      </x:c>
      <x:c r="H270" s="17" t="s">
        <x:v>1597</x:v>
      </x:c>
      <x:c r="I270" s="17" t="s">
        <x:v>1598</x:v>
      </x:c>
      <x:c r="J270" s="17" t="s">
        <x:v>1599</x:v>
      </x:c>
      <x:c r="K270" s="17" t="s">
        <x:v>1468</x:v>
      </x:c>
      <x:c r="L270" s="17" t="s">
        <x:v>111</x:v>
      </x:c>
      <x:c r="M270" s="17" t="s">
        <x:v>1535</x:v>
      </x:c>
      <x:c r="N270" s="16"/>
      <x:c r="O270" s="18">
        <x:v>46249</x:v>
      </x:c>
      <x:c r="P270" s="19" t="s">
        <x:v>34</x:v>
      </x:c>
      <x:c r="Q270" s="17"/>
      <x:c r="R270" s="19" t="str">
        <x:f t="shared" si="4"/>
        <x:v>Discovery Link Only</x:v>
      </x:c>
      <x:c r="S270" s="43" t="str">
        <x:v>Unknown</x:v>
      </x:c>
      <x:c r="T270" s="43" t="str">
        <x:v>Unknown</x:v>
      </x:c>
      <x:c r="U270" s="43" t="str">
        <x:v>Unknown</x:v>
      </x:c>
      <x:c r="V270" s="43" t="str">
        <x:v>Unknown</x:v>
      </x:c>
      <x:c r="W270" s="43" t="str">
        <x:v>Unknown</x:v>
      </x:c>
      <x:c r="X270" s="43" t="str">
        <x:v>Unknown</x:v>
      </x:c>
      <x:c r="Y270" s="43" t="str">
        <x:v>Unknown</x:v>
      </x:c>
      <x:c r="Z270" s="43"/>
      <x:c r="AA270" s="43" t="str">
        <x:v>Excluded</x:v>
      </x:c>
      <x:c r="AB270" s="43" t="str">
        <x:v>No qualifying evidence source recorded</x:v>
      </x:c>
      <x:c r="AC270" s="43" t="str">
        <x:v>Excluded from Maya's elderly recommendation results because no source-backed elderly accessibility feature is recorded in the reviewed data. This does not mean the attraction is inaccessible.</x:v>
      </x:c>
      <x:c r="AD270" s="43" t="str">
        <x:v>2026-08-16</x:v>
      </x:c>
    </x:row>
    <x:row r="271" ht="60" customHeight="1">
      <x:c r="A271" s="16" t="s">
        <x:v>1600</x:v>
      </x:c>
      <x:c r="B271" s="16" t="s">
        <x:v>1601</x:v>
      </x:c>
      <x:c r="C271" s="16" t="s">
        <x:v>1463</x:v>
      </x:c>
      <x:c r="D271" s="16" t="s">
        <x:v>1519</x:v>
      </x:c>
      <x:c r="E271" s="16" t="s">
        <x:v>99</x:v>
      </x:c>
      <x:c r="F271" s="16" t="s">
        <x:v>194</x:v>
      </x:c>
      <x:c r="G271" s="16" t="s">
        <x:v>46</x:v>
      </x:c>
      <x:c r="H271" s="17" t="s">
        <x:v>1602</x:v>
      </x:c>
      <x:c r="I271" s="17" t="s">
        <x:v>1603</x:v>
      </x:c>
      <x:c r="J271" s="17" t="s">
        <x:v>1604</x:v>
      </x:c>
      <x:c r="K271" s="17" t="s">
        <x:v>1468</x:v>
      </x:c>
      <x:c r="L271" s="17" t="s">
        <x:v>111</x:v>
      </x:c>
      <x:c r="M271" s="17" t="s">
        <x:v>1535</x:v>
      </x:c>
      <x:c r="N271" s="16"/>
      <x:c r="O271" s="18">
        <x:v>46249</x:v>
      </x:c>
      <x:c r="P271" s="19" t="s">
        <x:v>34</x:v>
      </x:c>
      <x:c r="Q271" s="17"/>
      <x:c r="R271" s="19" t="str">
        <x:f t="shared" si="4"/>
        <x:v>Discovery Link Only</x:v>
      </x:c>
      <x:c r="S271" s="43" t="str">
        <x:v>Unknown</x:v>
      </x:c>
      <x:c r="T271" s="43" t="str">
        <x:v>Unknown</x:v>
      </x:c>
      <x:c r="U271" s="43" t="str">
        <x:v>Unknown</x:v>
      </x:c>
      <x:c r="V271" s="43" t="str">
        <x:v>Unknown</x:v>
      </x:c>
      <x:c r="W271" s="43" t="str">
        <x:v>Unknown</x:v>
      </x:c>
      <x:c r="X271" s="43" t="str">
        <x:v>Unknown</x:v>
      </x:c>
      <x:c r="Y271" s="43" t="str">
        <x:v>Unknown</x:v>
      </x:c>
      <x:c r="Z271" s="43"/>
      <x:c r="AA271" s="43" t="str">
        <x:v>Excluded</x:v>
      </x:c>
      <x:c r="AB271" s="43" t="str">
        <x:v>No qualifying evidence source recorded</x:v>
      </x:c>
      <x:c r="AC271" s="43" t="str">
        <x:v>Excluded from Maya's elderly recommendation results because no source-backed elderly accessibility feature is recorded in the reviewed data. This does not mean the attraction is inaccessible.</x:v>
      </x:c>
      <x:c r="AD271" s="43" t="str">
        <x:v>2026-08-16</x:v>
      </x:c>
    </x:row>
    <x:row r="272" ht="60" customHeight="1">
      <x:c r="A272" s="16" t="s">
        <x:v>1605</x:v>
      </x:c>
      <x:c r="B272" s="16" t="s">
        <x:v>1606</x:v>
      </x:c>
      <x:c r="C272" s="16" t="s">
        <x:v>1463</x:v>
      </x:c>
      <x:c r="D272" s="16" t="s">
        <x:v>1486</x:v>
      </x:c>
      <x:c r="E272" s="16" t="s">
        <x:v>37</x:v>
      </x:c>
      <x:c r="F272" s="16" t="s">
        <x:v>107</x:v>
      </x:c>
      <x:c r="G272" s="16" t="s">
        <x:v>26</x:v>
      </x:c>
      <x:c r="H272" s="17" t="s">
        <x:v>1607</x:v>
      </x:c>
      <x:c r="I272" s="17" t="s">
        <x:v>1608</x:v>
      </x:c>
      <x:c r="J272" s="17" t="s">
        <x:v>1609</x:v>
      </x:c>
      <x:c r="K272" s="17" t="s">
        <x:v>1468</x:v>
      </x:c>
      <x:c r="L272" s="17" t="s">
        <x:v>111</x:v>
      </x:c>
      <x:c r="M272" s="17" t="s">
        <x:v>1535</x:v>
      </x:c>
      <x:c r="N272" s="16"/>
      <x:c r="O272" s="18">
        <x:v>46249</x:v>
      </x:c>
      <x:c r="P272" s="19" t="s">
        <x:v>34</x:v>
      </x:c>
      <x:c r="Q272" s="17"/>
      <x:c r="R272" s="19" t="str">
        <x:f t="shared" si="4"/>
        <x:v>Discovery Link Only</x:v>
      </x:c>
      <x:c r="S272" s="43" t="str">
        <x:v>Unknown</x:v>
      </x:c>
      <x:c r="T272" s="43" t="str">
        <x:v>Unknown</x:v>
      </x:c>
      <x:c r="U272" s="43" t="str">
        <x:v>Unknown</x:v>
      </x:c>
      <x:c r="V272" s="43" t="str">
        <x:v>Unknown</x:v>
      </x:c>
      <x:c r="W272" s="43" t="str">
        <x:v>Unknown</x:v>
      </x:c>
      <x:c r="X272" s="43" t="str">
        <x:v>Unknown</x:v>
      </x:c>
      <x:c r="Y272" s="43" t="str">
        <x:v>Unknown</x:v>
      </x:c>
      <x:c r="Z272" s="43"/>
      <x:c r="AA272" s="43" t="str">
        <x:v>Excluded</x:v>
      </x:c>
      <x:c r="AB272" s="43" t="str">
        <x:v>No qualifying evidence source recorded</x:v>
      </x:c>
      <x:c r="AC272" s="43" t="str">
        <x:v>Excluded from Maya's elderly recommendation results because no source-backed elderly accessibility feature is recorded in the reviewed data. This does not mean the attraction is inaccessible.</x:v>
      </x:c>
      <x:c r="AD272" s="43" t="str">
        <x:v>2026-08-16</x:v>
      </x:c>
    </x:row>
    <x:row r="273" ht="60" customHeight="1">
      <x:c r="A273" s="16" t="s">
        <x:v>1610</x:v>
      </x:c>
      <x:c r="B273" s="16" t="s">
        <x:v>1611</x:v>
      </x:c>
      <x:c r="C273" s="16" t="s">
        <x:v>1463</x:v>
      </x:c>
      <x:c r="D273" s="16" t="s">
        <x:v>1486</x:v>
      </x:c>
      <x:c r="E273" s="16" t="s">
        <x:v>45</x:v>
      </x:c>
      <x:c r="F273" s="16" t="s">
        <x:v>107</x:v>
      </x:c>
      <x:c r="G273" s="16" t="s">
        <x:v>26</x:v>
      </x:c>
      <x:c r="H273" s="17" t="s">
        <x:v>1612</x:v>
      </x:c>
      <x:c r="I273" s="17" t="s">
        <x:v>1613</x:v>
      </x:c>
      <x:c r="J273" s="17" t="s">
        <x:v>1614</x:v>
      </x:c>
      <x:c r="K273" s="17" t="s">
        <x:v>1468</x:v>
      </x:c>
      <x:c r="L273" s="17" t="s">
        <x:v>111</x:v>
      </x:c>
      <x:c r="M273" s="17" t="s">
        <x:v>1535</x:v>
      </x:c>
      <x:c r="N273" s="16"/>
      <x:c r="O273" s="18">
        <x:v>46249</x:v>
      </x:c>
      <x:c r="P273" s="19" t="s">
        <x:v>34</x:v>
      </x:c>
      <x:c r="Q273" s="17"/>
      <x:c r="R273" s="19" t="str">
        <x:f t="shared" si="4"/>
        <x:v>Discovery Link Only</x:v>
      </x:c>
      <x:c r="S273" s="43" t="str">
        <x:v>Unknown</x:v>
      </x:c>
      <x:c r="T273" s="43" t="str">
        <x:v>Unknown</x:v>
      </x:c>
      <x:c r="U273" s="43" t="str">
        <x:v>Unknown</x:v>
      </x:c>
      <x:c r="V273" s="43" t="str">
        <x:v>Unknown</x:v>
      </x:c>
      <x:c r="W273" s="43" t="str">
        <x:v>Unknown</x:v>
      </x:c>
      <x:c r="X273" s="43" t="str">
        <x:v>Unknown</x:v>
      </x:c>
      <x:c r="Y273" s="43" t="str">
        <x:v>Unknown</x:v>
      </x:c>
      <x:c r="Z273" s="43"/>
      <x:c r="AA273" s="43" t="str">
        <x:v>Excluded</x:v>
      </x:c>
      <x:c r="AB273" s="43" t="str">
        <x:v>No qualifying evidence source recorded</x:v>
      </x:c>
      <x:c r="AC273" s="43" t="str">
        <x:v>Excluded from Maya's elderly recommendation results because no source-backed elderly accessibility feature is recorded in the reviewed data. This does not mean the attraction is inaccessible.</x:v>
      </x:c>
      <x:c r="AD273" s="43" t="str">
        <x:v>2026-08-16</x:v>
      </x:c>
    </x:row>
    <x:row r="274" ht="60" customHeight="1">
      <x:c r="A274" s="16" t="s">
        <x:v>1615</x:v>
      </x:c>
      <x:c r="B274" s="16" t="s">
        <x:v>1616</x:v>
      </x:c>
      <x:c r="C274" s="16" t="s">
        <x:v>1463</x:v>
      </x:c>
      <x:c r="D274" s="16" t="s">
        <x:v>1486</x:v>
      </x:c>
      <x:c r="E274" s="16" t="s">
        <x:v>115</x:v>
      </x:c>
      <x:c r="F274" s="16" t="s">
        <x:v>107</x:v>
      </x:c>
      <x:c r="G274" s="16" t="s">
        <x:v>46</x:v>
      </x:c>
      <x:c r="H274" s="17" t="s">
        <x:v>1617</x:v>
      </x:c>
      <x:c r="I274" s="17" t="s">
        <x:v>1618</x:v>
      </x:c>
      <x:c r="J274" s="17" t="s">
        <x:v>1619</x:v>
      </x:c>
      <x:c r="K274" s="17" t="s">
        <x:v>1468</x:v>
      </x:c>
      <x:c r="L274" s="17" t="s">
        <x:v>111</x:v>
      </x:c>
      <x:c r="M274" s="17" t="s">
        <x:v>1535</x:v>
      </x:c>
      <x:c r="N274" s="16"/>
      <x:c r="O274" s="18">
        <x:v>46249</x:v>
      </x:c>
      <x:c r="P274" s="19" t="s">
        <x:v>34</x:v>
      </x:c>
      <x:c r="Q274" s="17"/>
      <x:c r="R274" s="19" t="str">
        <x:f t="shared" si="4"/>
        <x:v>Discovery Link Only</x:v>
      </x:c>
      <x:c r="S274" s="43" t="str">
        <x:v>Unknown</x:v>
      </x:c>
      <x:c r="T274" s="43" t="str">
        <x:v>Unknown</x:v>
      </x:c>
      <x:c r="U274" s="43" t="str">
        <x:v>Unknown</x:v>
      </x:c>
      <x:c r="V274" s="43" t="str">
        <x:v>Unknown</x:v>
      </x:c>
      <x:c r="W274" s="43" t="str">
        <x:v>Unknown</x:v>
      </x:c>
      <x:c r="X274" s="43" t="str">
        <x:v>Unknown</x:v>
      </x:c>
      <x:c r="Y274" s="43" t="str">
        <x:v>Unknown</x:v>
      </x:c>
      <x:c r="Z274" s="43"/>
      <x:c r="AA274" s="43" t="str">
        <x:v>Excluded</x:v>
      </x:c>
      <x:c r="AB274" s="43" t="str">
        <x:v>No qualifying evidence source recorded</x:v>
      </x:c>
      <x:c r="AC274" s="43" t="str">
        <x:v>Excluded from Maya's elderly recommendation results because no source-backed elderly accessibility feature is recorded in the reviewed data. This does not mean the attraction is inaccessible.</x:v>
      </x:c>
      <x:c r="AD274" s="43" t="str">
        <x:v>2026-08-16</x:v>
      </x:c>
    </x:row>
    <x:row r="275" ht="60" customHeight="1">
      <x:c r="A275" s="16" t="s">
        <x:v>1620</x:v>
      </x:c>
      <x:c r="B275" s="16" t="s">
        <x:v>1621</x:v>
      </x:c>
      <x:c r="C275" s="16" t="s">
        <x:v>1463</x:v>
      </x:c>
      <x:c r="D275" s="16" t="s">
        <x:v>1622</x:v>
      </x:c>
      <x:c r="E275" s="16" t="s">
        <x:v>37</x:v>
      </x:c>
      <x:c r="F275" s="16" t="s">
        <x:v>107</x:v>
      </x:c>
      <x:c r="G275" s="16" t="s">
        <x:v>26</x:v>
      </x:c>
      <x:c r="H275" s="17" t="s">
        <x:v>1623</x:v>
      </x:c>
      <x:c r="I275" s="17" t="s">
        <x:v>1624</x:v>
      </x:c>
      <x:c r="J275" s="17" t="s">
        <x:v>1625</x:v>
      </x:c>
      <x:c r="K275" s="17" t="s">
        <x:v>1468</x:v>
      </x:c>
      <x:c r="L275" s="17" t="s">
        <x:v>111</x:v>
      </x:c>
      <x:c r="M275" s="17" t="s">
        <x:v>1535</x:v>
      </x:c>
      <x:c r="N275" s="16"/>
      <x:c r="O275" s="18">
        <x:v>46249</x:v>
      </x:c>
      <x:c r="P275" s="19" t="s">
        <x:v>34</x:v>
      </x:c>
      <x:c r="Q275" s="17"/>
      <x:c r="R275" s="19" t="str">
        <x:f t="shared" si="4"/>
        <x:v>Discovery Link Only</x:v>
      </x:c>
      <x:c r="S275" s="43" t="str">
        <x:v>Unknown</x:v>
      </x:c>
      <x:c r="T275" s="43" t="str">
        <x:v>Unknown</x:v>
      </x:c>
      <x:c r="U275" s="43" t="str">
        <x:v>Unknown</x:v>
      </x:c>
      <x:c r="V275" s="43" t="str">
        <x:v>Unknown</x:v>
      </x:c>
      <x:c r="W275" s="43" t="str">
        <x:v>Unknown</x:v>
      </x:c>
      <x:c r="X275" s="43" t="str">
        <x:v>Unknown</x:v>
      </x:c>
      <x:c r="Y275" s="43" t="str">
        <x:v>Unknown</x:v>
      </x:c>
      <x:c r="Z275" s="43"/>
      <x:c r="AA275" s="43" t="str">
        <x:v>Excluded</x:v>
      </x:c>
      <x:c r="AB275" s="43" t="str">
        <x:v>No qualifying evidence source recorded</x:v>
      </x:c>
      <x:c r="AC275" s="43" t="str">
        <x:v>Excluded from Maya's elderly recommendation results because no source-backed elderly accessibility feature is recorded in the reviewed data. This does not mean the attraction is inaccessible.</x:v>
      </x:c>
      <x:c r="AD275" s="43" t="str">
        <x:v>2026-08-16</x:v>
      </x:c>
    </x:row>
    <x:row r="276" ht="60" customHeight="1">
      <x:c r="A276" s="16" t="s">
        <x:v>1626</x:v>
      </x:c>
      <x:c r="B276" s="16" t="s">
        <x:v>1627</x:v>
      </x:c>
      <x:c r="C276" s="16" t="s">
        <x:v>1463</x:v>
      </x:c>
      <x:c r="D276" s="16" t="s">
        <x:v>1512</x:v>
      </x:c>
      <x:c r="E276" s="16" t="s">
        <x:v>37</x:v>
      </x:c>
      <x:c r="F276" s="16" t="s">
        <x:v>107</x:v>
      </x:c>
      <x:c r="G276" s="16" t="s">
        <x:v>26</x:v>
      </x:c>
      <x:c r="H276" s="17" t="s">
        <x:v>1628</x:v>
      </x:c>
      <x:c r="I276" s="17" t="s">
        <x:v>1629</x:v>
      </x:c>
      <x:c r="J276" s="17" t="s">
        <x:v>1630</x:v>
      </x:c>
      <x:c r="K276" s="17" t="s">
        <x:v>1468</x:v>
      </x:c>
      <x:c r="L276" s="17" t="s">
        <x:v>111</x:v>
      </x:c>
      <x:c r="M276" s="17" t="s">
        <x:v>1535</x:v>
      </x:c>
      <x:c r="N276" s="16"/>
      <x:c r="O276" s="18">
        <x:v>46249</x:v>
      </x:c>
      <x:c r="P276" s="19" t="s">
        <x:v>34</x:v>
      </x:c>
      <x:c r="Q276" s="17"/>
      <x:c r="R276" s="19" t="str">
        <x:f t="shared" si="4"/>
        <x:v>Discovery Link Only</x:v>
      </x:c>
      <x:c r="S276" s="43" t="str">
        <x:v>Unknown</x:v>
      </x:c>
      <x:c r="T276" s="43" t="str">
        <x:v>Unknown</x:v>
      </x:c>
      <x:c r="U276" s="43" t="str">
        <x:v>Unknown</x:v>
      </x:c>
      <x:c r="V276" s="43" t="str">
        <x:v>Unknown</x:v>
      </x:c>
      <x:c r="W276" s="43" t="str">
        <x:v>Unknown</x:v>
      </x:c>
      <x:c r="X276" s="43" t="str">
        <x:v>Unknown</x:v>
      </x:c>
      <x:c r="Y276" s="43" t="str">
        <x:v>Unknown</x:v>
      </x:c>
      <x:c r="Z276" s="43"/>
      <x:c r="AA276" s="43" t="str">
        <x:v>Excluded</x:v>
      </x:c>
      <x:c r="AB276" s="43" t="str">
        <x:v>No qualifying evidence source recorded</x:v>
      </x:c>
      <x:c r="AC276" s="43" t="str">
        <x:v>Excluded from Maya's elderly recommendation results because no source-backed elderly accessibility feature is recorded in the reviewed data. This does not mean the attraction is inaccessible.</x:v>
      </x:c>
      <x:c r="AD276" s="43" t="str">
        <x:v>2026-08-16</x:v>
      </x:c>
    </x:row>
    <x:row r="277" ht="60" customHeight="1">
      <x:c r="A277" s="16" t="s">
        <x:v>1631</x:v>
      </x:c>
      <x:c r="B277" s="16" t="s">
        <x:v>1632</x:v>
      </x:c>
      <x:c r="C277" s="16" t="s">
        <x:v>1463</x:v>
      </x:c>
      <x:c r="D277" s="16" t="s">
        <x:v>1472</x:v>
      </x:c>
      <x:c r="E277" s="16" t="s">
        <x:v>72</x:v>
      </x:c>
      <x:c r="F277" s="16" t="s">
        <x:v>107</x:v>
      </x:c>
      <x:c r="G277" s="16" t="s">
        <x:v>26</x:v>
      </x:c>
      <x:c r="H277" s="17" t="s">
        <x:v>1633</x:v>
      </x:c>
      <x:c r="I277" s="17" t="s">
        <x:v>1634</x:v>
      </x:c>
      <x:c r="J277" s="17" t="s">
        <x:v>1635</x:v>
      </x:c>
      <x:c r="K277" s="17" t="s">
        <x:v>1468</x:v>
      </x:c>
      <x:c r="L277" s="17" t="s">
        <x:v>111</x:v>
      </x:c>
      <x:c r="M277" s="17" t="s">
        <x:v>1535</x:v>
      </x:c>
      <x:c r="N277" s="16"/>
      <x:c r="O277" s="18">
        <x:v>46249</x:v>
      </x:c>
      <x:c r="P277" s="19" t="s">
        <x:v>34</x:v>
      </x:c>
      <x:c r="Q277" s="17"/>
      <x:c r="R277" s="19" t="str">
        <x:f t="shared" si="4"/>
        <x:v>Discovery Link Only</x:v>
      </x:c>
      <x:c r="S277" s="43" t="str">
        <x:v>Unknown</x:v>
      </x:c>
      <x:c r="T277" s="43" t="str">
        <x:v>Unknown</x:v>
      </x:c>
      <x:c r="U277" s="43" t="str">
        <x:v>Unknown</x:v>
      </x:c>
      <x:c r="V277" s="43" t="str">
        <x:v>Unknown</x:v>
      </x:c>
      <x:c r="W277" s="43" t="str">
        <x:v>Unknown</x:v>
      </x:c>
      <x:c r="X277" s="43" t="str">
        <x:v>Unknown</x:v>
      </x:c>
      <x:c r="Y277" s="43" t="str">
        <x:v>Unknown</x:v>
      </x:c>
      <x:c r="Z277" s="43"/>
      <x:c r="AA277" s="43" t="str">
        <x:v>Excluded</x:v>
      </x:c>
      <x:c r="AB277" s="43" t="str">
        <x:v>No qualifying evidence source recorded</x:v>
      </x:c>
      <x:c r="AC277" s="43" t="str">
        <x:v>Excluded from Maya's elderly recommendation results because no source-backed elderly accessibility feature is recorded in the reviewed data. This does not mean the attraction is inaccessible.</x:v>
      </x:c>
      <x:c r="AD277" s="43" t="str">
        <x:v>2026-08-16</x:v>
      </x:c>
    </x:row>
    <x:row r="278" ht="60" customHeight="1">
      <x:c r="A278" s="16" t="s">
        <x:v>1636</x:v>
      </x:c>
      <x:c r="B278" s="16" t="s">
        <x:v>1637</x:v>
      </x:c>
      <x:c r="C278" s="16" t="s">
        <x:v>1463</x:v>
      </x:c>
      <x:c r="D278" s="16" t="s">
        <x:v>1638</x:v>
      </x:c>
      <x:c r="E278" s="16" t="s">
        <x:v>45</x:v>
      </x:c>
      <x:c r="F278" s="16" t="s">
        <x:v>121</x:v>
      </x:c>
      <x:c r="G278" s="16" t="s">
        <x:v>26</x:v>
      </x:c>
      <x:c r="H278" s="17" t="s">
        <x:v>1639</x:v>
      </x:c>
      <x:c r="I278" s="17" t="s">
        <x:v>1640</x:v>
      </x:c>
      <x:c r="J278" s="17" t="s">
        <x:v>1641</x:v>
      </x:c>
      <x:c r="K278" s="17" t="s">
        <x:v>1468</x:v>
      </x:c>
      <x:c r="L278" s="17" t="s">
        <x:v>111</x:v>
      </x:c>
      <x:c r="M278" s="17" t="s">
        <x:v>1535</x:v>
      </x:c>
      <x:c r="N278" s="16"/>
      <x:c r="O278" s="18">
        <x:v>46249</x:v>
      </x:c>
      <x:c r="P278" s="19" t="s">
        <x:v>34</x:v>
      </x:c>
      <x:c r="Q278" s="17"/>
      <x:c r="R278" s="19" t="str">
        <x:f t="shared" si="4"/>
        <x:v>Discovery Link Only</x:v>
      </x:c>
      <x:c r="S278" s="43" t="str">
        <x:v>Unknown</x:v>
      </x:c>
      <x:c r="T278" s="43" t="str">
        <x:v>Unknown</x:v>
      </x:c>
      <x:c r="U278" s="43" t="str">
        <x:v>Unknown</x:v>
      </x:c>
      <x:c r="V278" s="43" t="str">
        <x:v>Unknown</x:v>
      </x:c>
      <x:c r="W278" s="43" t="str">
        <x:v>Unknown</x:v>
      </x:c>
      <x:c r="X278" s="43" t="str">
        <x:v>Unknown</x:v>
      </x:c>
      <x:c r="Y278" s="43" t="str">
        <x:v>Unknown</x:v>
      </x:c>
      <x:c r="Z278" s="43"/>
      <x:c r="AA278" s="43" t="str">
        <x:v>Excluded</x:v>
      </x:c>
      <x:c r="AB278" s="43" t="str">
        <x:v>No qualifying evidence source recorded</x:v>
      </x:c>
      <x:c r="AC278" s="43" t="str">
        <x:v>Excluded from Maya's elderly recommendation results because no source-backed elderly accessibility feature is recorded in the reviewed data. This does not mean the attraction is inaccessible.</x:v>
      </x:c>
      <x:c r="AD278" s="43" t="str">
        <x:v>2026-08-16</x:v>
      </x:c>
    </x:row>
    <x:row r="279" ht="60" customHeight="1">
      <x:c r="A279" s="16" t="s">
        <x:v>1642</x:v>
      </x:c>
      <x:c r="B279" s="16" t="s">
        <x:v>1643</x:v>
      </x:c>
      <x:c r="C279" s="16" t="s">
        <x:v>1463</x:v>
      </x:c>
      <x:c r="D279" s="16" t="s">
        <x:v>1644</x:v>
      </x:c>
      <x:c r="E279" s="16" t="s">
        <x:v>162</x:v>
      </x:c>
      <x:c r="F279" s="16" t="s">
        <x:v>121</x:v>
      </x:c>
      <x:c r="G279" s="16" t="s">
        <x:v>46</x:v>
      </x:c>
      <x:c r="H279" s="17" t="s">
        <x:v>1012</x:v>
      </x:c>
      <x:c r="I279" s="17" t="s">
        <x:v>1645</x:v>
      </x:c>
      <x:c r="J279" s="17" t="s">
        <x:v>1646</x:v>
      </x:c>
      <x:c r="K279" s="17" t="s">
        <x:v>1468</x:v>
      </x:c>
      <x:c r="L279" s="17" t="s">
        <x:v>111</x:v>
      </x:c>
      <x:c r="M279" s="17" t="s">
        <x:v>1535</x:v>
      </x:c>
      <x:c r="N279" s="16"/>
      <x:c r="O279" s="18">
        <x:v>46249</x:v>
      </x:c>
      <x:c r="P279" s="19" t="s">
        <x:v>34</x:v>
      </x:c>
      <x:c r="Q279" s="17"/>
      <x:c r="R279" s="19" t="str">
        <x:f t="shared" si="4"/>
        <x:v>Discovery Link Only</x:v>
      </x:c>
      <x:c r="S279" s="43" t="str">
        <x:v>Unknown</x:v>
      </x:c>
      <x:c r="T279" s="43" t="str">
        <x:v>Unknown</x:v>
      </x:c>
      <x:c r="U279" s="43" t="str">
        <x:v>Unknown</x:v>
      </x:c>
      <x:c r="V279" s="43" t="str">
        <x:v>Unknown</x:v>
      </x:c>
      <x:c r="W279" s="43" t="str">
        <x:v>Unknown</x:v>
      </x:c>
      <x:c r="X279" s="43" t="str">
        <x:v>Unknown</x:v>
      </x:c>
      <x:c r="Y279" s="43" t="str">
        <x:v>Unknown</x:v>
      </x:c>
      <x:c r="Z279" s="43"/>
      <x:c r="AA279" s="43" t="str">
        <x:v>Excluded</x:v>
      </x:c>
      <x:c r="AB279" s="43" t="str">
        <x:v>No qualifying evidence source recorded</x:v>
      </x:c>
      <x:c r="AC279" s="43" t="str">
        <x:v>Excluded from Maya's elderly recommendation results because no source-backed elderly accessibility feature is recorded in the reviewed data. This does not mean the attraction is inaccessible.</x:v>
      </x:c>
      <x:c r="AD279" s="43" t="str">
        <x:v>2026-08-16</x:v>
      </x:c>
    </x:row>
    <x:row r="280" ht="60" customHeight="1">
      <x:c r="A280" s="16" t="s">
        <x:v>1647</x:v>
      </x:c>
      <x:c r="B280" s="16" t="s">
        <x:v>1648</x:v>
      </x:c>
      <x:c r="C280" s="16" t="s">
        <x:v>1463</x:v>
      </x:c>
      <x:c r="D280" s="16" t="s">
        <x:v>1649</x:v>
      </x:c>
      <x:c r="E280" s="16" t="s">
        <x:v>115</x:v>
      </x:c>
      <x:c r="F280" s="16" t="s">
        <x:v>127</x:v>
      </x:c>
      <x:c r="G280" s="16" t="s">
        <x:v>46</x:v>
      </x:c>
      <x:c r="H280" s="17" t="s">
        <x:v>1650</x:v>
      </x:c>
      <x:c r="I280" s="17" t="s">
        <x:v>1651</x:v>
      </x:c>
      <x:c r="J280" s="17" t="s">
        <x:v>1652</x:v>
      </x:c>
      <x:c r="K280" s="17" t="s">
        <x:v>1468</x:v>
      </x:c>
      <x:c r="L280" s="17" t="s">
        <x:v>111</x:v>
      </x:c>
      <x:c r="M280" s="17" t="s">
        <x:v>1535</x:v>
      </x:c>
      <x:c r="N280" s="16"/>
      <x:c r="O280" s="18">
        <x:v>46249</x:v>
      </x:c>
      <x:c r="P280" s="19" t="s">
        <x:v>34</x:v>
      </x:c>
      <x:c r="Q280" s="17"/>
      <x:c r="R280" s="19" t="str">
        <x:f t="shared" si="4"/>
        <x:v>Discovery Link Only</x:v>
      </x:c>
      <x:c r="S280" s="43" t="str">
        <x:v>Unknown</x:v>
      </x:c>
      <x:c r="T280" s="43" t="str">
        <x:v>Unknown</x:v>
      </x:c>
      <x:c r="U280" s="43" t="str">
        <x:v>Unknown</x:v>
      </x:c>
      <x:c r="V280" s="43" t="str">
        <x:v>Unknown</x:v>
      </x:c>
      <x:c r="W280" s="43" t="str">
        <x:v>Unknown</x:v>
      </x:c>
      <x:c r="X280" s="43" t="str">
        <x:v>Unknown</x:v>
      </x:c>
      <x:c r="Y280" s="43" t="str">
        <x:v>Unknown</x:v>
      </x:c>
      <x:c r="Z280" s="43"/>
      <x:c r="AA280" s="43" t="str">
        <x:v>Excluded</x:v>
      </x:c>
      <x:c r="AB280" s="43" t="str">
        <x:v>No qualifying evidence source recorded</x:v>
      </x:c>
      <x:c r="AC280" s="43" t="str">
        <x:v>Excluded from Maya's elderly recommendation results because no source-backed elderly accessibility feature is recorded in the reviewed data. This does not mean the attraction is inaccessible.</x:v>
      </x:c>
      <x:c r="AD280" s="43" t="str">
        <x:v>2026-08-16</x:v>
      </x:c>
    </x:row>
    <x:row r="281" ht="60" customHeight="1">
      <x:c r="A281" s="16" t="s">
        <x:v>1653</x:v>
      </x:c>
      <x:c r="B281" s="16" t="s">
        <x:v>1654</x:v>
      </x:c>
      <x:c r="C281" s="16" t="s">
        <x:v>1655</x:v>
      </x:c>
      <x:c r="D281" s="16" t="s">
        <x:v>1656</x:v>
      </x:c>
      <x:c r="E281" s="16" t="s">
        <x:v>45</x:v>
      </x:c>
      <x:c r="F281" s="16" t="s">
        <x:v>25</x:v>
      </x:c>
      <x:c r="G281" s="16" t="s">
        <x:v>26</x:v>
      </x:c>
      <x:c r="H281" s="17" t="s">
        <x:v>1657</x:v>
      </x:c>
      <x:c r="I281" s="17" t="s">
        <x:v>1658</x:v>
      </x:c>
      <x:c r="J281" s="17" t="s">
        <x:v>1659</x:v>
      </x:c>
      <x:c r="K281" s="17" t="s">
        <x:v>1660</x:v>
      </x:c>
      <x:c r="L281" s="17" t="s">
        <x:v>58</x:v>
      </x:c>
      <x:c r="M281" s="17" t="s">
        <x:v>256</x:v>
      </x:c>
      <x:c r="N281" s="16" t="s">
        <x:v>1661</x:v>
      </x:c>
      <x:c r="O281" s="18">
        <x:v>46249</x:v>
      </x:c>
      <x:c r="P281" s="19" t="s">
        <x:v>34</x:v>
      </x:c>
      <x:c r="Q281" s="17"/>
      <x:c r="R281" s="19" t="str">
        <x:f t="shared" si="4"/>
        <x:v>Source Link Present</x:v>
      </x:c>
      <x:c r="S281" s="43" t="str">
        <x:v>Unknown</x:v>
      </x:c>
      <x:c r="T281" s="43" t="str">
        <x:v>Unknown</x:v>
      </x:c>
      <x:c r="U281" s="43" t="str">
        <x:v>Unknown</x:v>
      </x:c>
      <x:c r="V281" s="43" t="str">
        <x:v>Unknown</x:v>
      </x:c>
      <x:c r="W281" s="43" t="str">
        <x:v>Unknown</x:v>
      </x:c>
      <x:c r="X281" s="43" t="str">
        <x:v>Unknown</x:v>
      </x:c>
      <x:c r="Y281" s="43" t="str">
        <x:v>Unknown</x:v>
      </x:c>
      <x:c r="Z281" s="43"/>
      <x:c r="AA281" s="43" t="str">
        <x:v>Excluded</x:v>
      </x:c>
      <x:c r="AB281" s="43" t="str">
        <x:v>No qualifying evidence source recorded</x:v>
      </x:c>
      <x:c r="AC281" s="43" t="str">
        <x:v>Excluded from Maya's elderly recommendation results because no source-backed elderly accessibility feature is recorded in the reviewed data. This does not mean the attraction is inaccessible.</x:v>
      </x:c>
      <x:c r="AD281" s="43" t="str">
        <x:v>2026-08-16</x:v>
      </x:c>
    </x:row>
    <x:row r="282" ht="60" customHeight="1">
      <x:c r="A282" s="16" t="s">
        <x:v>1662</x:v>
      </x:c>
      <x:c r="B282" s="16" t="s">
        <x:v>1663</x:v>
      </x:c>
      <x:c r="C282" s="16" t="s">
        <x:v>1655</x:v>
      </x:c>
      <x:c r="D282" s="16" t="s">
        <x:v>1664</x:v>
      </x:c>
      <x:c r="E282" s="16" t="s">
        <x:v>45</x:v>
      </x:c>
      <x:c r="F282" s="16" t="s">
        <x:v>25</x:v>
      </x:c>
      <x:c r="G282" s="16" t="s">
        <x:v>46</x:v>
      </x:c>
      <x:c r="H282" s="17" t="s">
        <x:v>1665</x:v>
      </x:c>
      <x:c r="I282" s="17" t="s">
        <x:v>1666</x:v>
      </x:c>
      <x:c r="J282" s="17" t="s">
        <x:v>1667</x:v>
      </x:c>
      <x:c r="K282" s="17" t="s">
        <x:v>1660</x:v>
      </x:c>
      <x:c r="L282" s="17" t="s">
        <x:v>58</x:v>
      </x:c>
      <x:c r="M282" s="17" t="s">
        <x:v>256</x:v>
      </x:c>
      <x:c r="N282" s="16" t="s">
        <x:v>1668</x:v>
      </x:c>
      <x:c r="O282" s="18">
        <x:v>46249</x:v>
      </x:c>
      <x:c r="P282" s="19" t="s">
        <x:v>34</x:v>
      </x:c>
      <x:c r="Q282" s="17"/>
      <x:c r="R282" s="19" t="str">
        <x:f t="shared" si="4"/>
        <x:v>Source Link Present</x:v>
      </x:c>
      <x:c r="S282" s="43" t="str">
        <x:v>Unknown</x:v>
      </x:c>
      <x:c r="T282" s="43" t="str">
        <x:v>Unknown</x:v>
      </x:c>
      <x:c r="U282" s="43" t="str">
        <x:v>Unknown</x:v>
      </x:c>
      <x:c r="V282" s="43" t="str">
        <x:v>Unknown</x:v>
      </x:c>
      <x:c r="W282" s="43" t="str">
        <x:v>Unknown</x:v>
      </x:c>
      <x:c r="X282" s="43" t="str">
        <x:v>Unknown</x:v>
      </x:c>
      <x:c r="Y282" s="43" t="str">
        <x:v>Unknown</x:v>
      </x:c>
      <x:c r="Z282" s="43"/>
      <x:c r="AA282" s="43" t="str">
        <x:v>Excluded</x:v>
      </x:c>
      <x:c r="AB282" s="43" t="str">
        <x:v>No qualifying evidence source recorded</x:v>
      </x:c>
      <x:c r="AC282" s="43" t="str">
        <x:v>Excluded from Maya's elderly recommendation results because no source-backed elderly accessibility feature is recorded in the reviewed data. This does not mean the attraction is inaccessible.</x:v>
      </x:c>
      <x:c r="AD282" s="43" t="str">
        <x:v>2026-08-16</x:v>
      </x:c>
    </x:row>
    <x:row r="283" ht="60" customHeight="1">
      <x:c r="A283" s="16" t="s">
        <x:v>1669</x:v>
      </x:c>
      <x:c r="B283" s="16" t="s">
        <x:v>1670</x:v>
      </x:c>
      <x:c r="C283" s="16" t="s">
        <x:v>1655</x:v>
      </x:c>
      <x:c r="D283" s="16" t="s">
        <x:v>1656</x:v>
      </x:c>
      <x:c r="E283" s="16" t="s">
        <x:v>99</x:v>
      </x:c>
      <x:c r="F283" s="16" t="s">
        <x:v>121</x:v>
      </x:c>
      <x:c r="G283" s="16" t="s">
        <x:v>46</x:v>
      </x:c>
      <x:c r="H283" s="17" t="s">
        <x:v>1671</x:v>
      </x:c>
      <x:c r="I283" s="17" t="s">
        <x:v>1672</x:v>
      </x:c>
      <x:c r="J283" s="17" t="s">
        <x:v>1673</x:v>
      </x:c>
      <x:c r="K283" s="17" t="s">
        <x:v>1660</x:v>
      </x:c>
      <x:c r="L283" s="17" t="s">
        <x:v>58</x:v>
      </x:c>
      <x:c r="M283" s="17" t="s">
        <x:v>256</x:v>
      </x:c>
      <x:c r="N283" s="16" t="s">
        <x:v>1674</x:v>
      </x:c>
      <x:c r="O283" s="18">
        <x:v>46249</x:v>
      </x:c>
      <x:c r="P283" s="19" t="s">
        <x:v>34</x:v>
      </x:c>
      <x:c r="Q283" s="17"/>
      <x:c r="R283" s="19" t="str">
        <x:f t="shared" si="4"/>
        <x:v>Discovery Link Only</x:v>
      </x:c>
      <x:c r="S283" s="43" t="str">
        <x:v>Unknown</x:v>
      </x:c>
      <x:c r="T283" s="43" t="str">
        <x:v>Unknown</x:v>
      </x:c>
      <x:c r="U283" s="43" t="str">
        <x:v>Unknown</x:v>
      </x:c>
      <x:c r="V283" s="43" t="str">
        <x:v>Unknown</x:v>
      </x:c>
      <x:c r="W283" s="43" t="str">
        <x:v>Unknown</x:v>
      </x:c>
      <x:c r="X283" s="43" t="str">
        <x:v>Unknown</x:v>
      </x:c>
      <x:c r="Y283" s="43" t="str">
        <x:v>Unknown</x:v>
      </x:c>
      <x:c r="Z283" s="43"/>
      <x:c r="AA283" s="43" t="str">
        <x:v>Excluded</x:v>
      </x:c>
      <x:c r="AB283" s="43" t="str">
        <x:v>No qualifying evidence source recorded</x:v>
      </x:c>
      <x:c r="AC283" s="43" t="str">
        <x:v>Excluded from Maya's elderly recommendation results because no source-backed elderly accessibility feature is recorded in the reviewed data. This does not mean the attraction is inaccessible.</x:v>
      </x:c>
      <x:c r="AD283" s="43" t="str">
        <x:v>2026-08-16</x:v>
      </x:c>
    </x:row>
    <x:row r="284" ht="60" customHeight="1">
      <x:c r="A284" s="16" t="s">
        <x:v>1675</x:v>
      </x:c>
      <x:c r="B284" s="16" t="s">
        <x:v>1676</x:v>
      </x:c>
      <x:c r="C284" s="16" t="s">
        <x:v>1655</x:v>
      </x:c>
      <x:c r="D284" s="16" t="s">
        <x:v>1656</x:v>
      </x:c>
      <x:c r="E284" s="16" t="s">
        <x:v>37</x:v>
      </x:c>
      <x:c r="F284" s="16" t="s">
        <x:v>25</x:v>
      </x:c>
      <x:c r="G284" s="16" t="s">
        <x:v>26</x:v>
      </x:c>
      <x:c r="H284" s="17" t="s">
        <x:v>1677</x:v>
      </x:c>
      <x:c r="I284" s="17" t="s">
        <x:v>1678</x:v>
      </x:c>
      <x:c r="J284" s="17" t="s">
        <x:v>1679</x:v>
      </x:c>
      <x:c r="K284" s="17" t="s">
        <x:v>1660</x:v>
      </x:c>
      <x:c r="L284" s="17" t="s">
        <x:v>58</x:v>
      </x:c>
      <x:c r="M284" s="17" t="s">
        <x:v>256</x:v>
      </x:c>
      <x:c r="N284" s="16" t="s">
        <x:v>1680</x:v>
      </x:c>
      <x:c r="O284" s="18">
        <x:v>46249</x:v>
      </x:c>
      <x:c r="P284" s="19" t="s">
        <x:v>34</x:v>
      </x:c>
      <x:c r="Q284" s="17"/>
      <x:c r="R284" s="19" t="str">
        <x:f t="shared" si="4"/>
        <x:v>Discovery Link Only</x:v>
      </x:c>
      <x:c r="S284" s="43" t="str">
        <x:v>Unknown</x:v>
      </x:c>
      <x:c r="T284" s="43" t="str">
        <x:v>Unknown</x:v>
      </x:c>
      <x:c r="U284" s="43" t="str">
        <x:v>Unknown</x:v>
      </x:c>
      <x:c r="V284" s="43" t="str">
        <x:v>Unknown</x:v>
      </x:c>
      <x:c r="W284" s="43" t="str">
        <x:v>Unknown</x:v>
      </x:c>
      <x:c r="X284" s="43" t="str">
        <x:v>Unknown</x:v>
      </x:c>
      <x:c r="Y284" s="43" t="str">
        <x:v>Unknown</x:v>
      </x:c>
      <x:c r="Z284" s="43"/>
      <x:c r="AA284" s="43" t="str">
        <x:v>Excluded</x:v>
      </x:c>
      <x:c r="AB284" s="43" t="str">
        <x:v>No qualifying evidence source recorded</x:v>
      </x:c>
      <x:c r="AC284" s="43" t="str">
        <x:v>Excluded from Maya's elderly recommendation results because no source-backed elderly accessibility feature is recorded in the reviewed data. This does not mean the attraction is inaccessible.</x:v>
      </x:c>
      <x:c r="AD284" s="43" t="str">
        <x:v>2026-08-16</x:v>
      </x:c>
    </x:row>
    <x:row r="285" ht="60" customHeight="1">
      <x:c r="A285" s="16" t="s">
        <x:v>1681</x:v>
      </x:c>
      <x:c r="B285" s="16" t="s">
        <x:v>1682</x:v>
      </x:c>
      <x:c r="C285" s="16" t="s">
        <x:v>1655</x:v>
      </x:c>
      <x:c r="D285" s="16" t="s">
        <x:v>1656</x:v>
      </x:c>
      <x:c r="E285" s="16" t="s">
        <x:v>140</x:v>
      </x:c>
      <x:c r="F285" s="16" t="s">
        <x:v>25</x:v>
      </x:c>
      <x:c r="G285" s="16" t="s">
        <x:v>26</x:v>
      </x:c>
      <x:c r="H285" s="17" t="s">
        <x:v>1683</x:v>
      </x:c>
      <x:c r="I285" s="17" t="s">
        <x:v>1684</x:v>
      </x:c>
      <x:c r="J285" s="17" t="s">
        <x:v>1685</x:v>
      </x:c>
      <x:c r="K285" s="17" t="s">
        <x:v>1660</x:v>
      </x:c>
      <x:c r="L285" s="17" t="s">
        <x:v>58</x:v>
      </x:c>
      <x:c r="M285" s="17" t="s">
        <x:v>256</x:v>
      </x:c>
      <x:c r="N285" s="16" t="s">
        <x:v>1686</x:v>
      </x:c>
      <x:c r="O285" s="18">
        <x:v>46249</x:v>
      </x:c>
      <x:c r="P285" s="19" t="s">
        <x:v>34</x:v>
      </x:c>
      <x:c r="Q285" s="17"/>
      <x:c r="R285" s="19" t="str">
        <x:f t="shared" si="4"/>
        <x:v>Discovery Link Only</x:v>
      </x:c>
      <x:c r="S285" s="43" t="str">
        <x:v>Unknown</x:v>
      </x:c>
      <x:c r="T285" s="43" t="str">
        <x:v>Unknown</x:v>
      </x:c>
      <x:c r="U285" s="43" t="str">
        <x:v>Unknown</x:v>
      </x:c>
      <x:c r="V285" s="43" t="str">
        <x:v>Unknown</x:v>
      </x:c>
      <x:c r="W285" s="43" t="str">
        <x:v>Unknown</x:v>
      </x:c>
      <x:c r="X285" s="43" t="str">
        <x:v>Unknown</x:v>
      </x:c>
      <x:c r="Y285" s="43" t="str">
        <x:v>Unknown</x:v>
      </x:c>
      <x:c r="Z285" s="43"/>
      <x:c r="AA285" s="43" t="str">
        <x:v>Excluded</x:v>
      </x:c>
      <x:c r="AB285" s="43" t="str">
        <x:v>No qualifying evidence source recorded</x:v>
      </x:c>
      <x:c r="AC285" s="43" t="str">
        <x:v>Excluded from Maya's elderly recommendation results because no source-backed elderly accessibility feature is recorded in the reviewed data. This does not mean the attraction is inaccessible.</x:v>
      </x:c>
      <x:c r="AD285" s="43" t="str">
        <x:v>2026-08-16</x:v>
      </x:c>
    </x:row>
    <x:row r="286" ht="60" customHeight="1">
      <x:c r="A286" s="16" t="s">
        <x:v>1687</x:v>
      </x:c>
      <x:c r="B286" s="16" t="s">
        <x:v>1688</x:v>
      </x:c>
      <x:c r="C286" s="16" t="s">
        <x:v>1655</x:v>
      </x:c>
      <x:c r="D286" s="16" t="s">
        <x:v>1656</x:v>
      </x:c>
      <x:c r="E286" s="16" t="s">
        <x:v>115</x:v>
      </x:c>
      <x:c r="F286" s="16" t="s">
        <x:v>25</x:v>
      </x:c>
      <x:c r="G286" s="16" t="s">
        <x:v>46</x:v>
      </x:c>
      <x:c r="H286" s="17" t="s">
        <x:v>1689</x:v>
      </x:c>
      <x:c r="I286" s="17" t="s">
        <x:v>1690</x:v>
      </x:c>
      <x:c r="J286" s="17" t="s">
        <x:v>1691</x:v>
      </x:c>
      <x:c r="K286" s="17" t="s">
        <x:v>1660</x:v>
      </x:c>
      <x:c r="L286" s="17" t="s">
        <x:v>58</x:v>
      </x:c>
      <x:c r="M286" s="17" t="s">
        <x:v>256</x:v>
      </x:c>
      <x:c r="N286" s="16" t="s">
        <x:v>1692</x:v>
      </x:c>
      <x:c r="O286" s="18">
        <x:v>46249</x:v>
      </x:c>
      <x:c r="P286" s="19" t="s">
        <x:v>34</x:v>
      </x:c>
      <x:c r="Q286" s="17"/>
      <x:c r="R286" s="19" t="str">
        <x:f t="shared" si="4"/>
        <x:v>Discovery Link Only</x:v>
      </x:c>
      <x:c r="S286" s="43" t="str">
        <x:v>Unknown</x:v>
      </x:c>
      <x:c r="T286" s="43" t="str">
        <x:v>Unknown</x:v>
      </x:c>
      <x:c r="U286" s="43" t="str">
        <x:v>Unknown</x:v>
      </x:c>
      <x:c r="V286" s="43" t="str">
        <x:v>Unknown</x:v>
      </x:c>
      <x:c r="W286" s="43" t="str">
        <x:v>Unknown</x:v>
      </x:c>
      <x:c r="X286" s="43" t="str">
        <x:v>Unknown</x:v>
      </x:c>
      <x:c r="Y286" s="43" t="str">
        <x:v>Unknown</x:v>
      </x:c>
      <x:c r="Z286" s="43"/>
      <x:c r="AA286" s="43" t="str">
        <x:v>Excluded</x:v>
      </x:c>
      <x:c r="AB286" s="43" t="str">
        <x:v>No qualifying evidence source recorded</x:v>
      </x:c>
      <x:c r="AC286" s="43" t="str">
        <x:v>Excluded from Maya's elderly recommendation results because no source-backed elderly accessibility feature is recorded in the reviewed data. This does not mean the attraction is inaccessible.</x:v>
      </x:c>
      <x:c r="AD286" s="43" t="str">
        <x:v>2026-08-16</x:v>
      </x:c>
    </x:row>
    <x:row r="287" ht="60" customHeight="1">
      <x:c r="A287" s="16" t="s">
        <x:v>1693</x:v>
      </x:c>
      <x:c r="B287" s="16" t="s">
        <x:v>1694</x:v>
      </x:c>
      <x:c r="C287" s="16" t="s">
        <x:v>1655</x:v>
      </x:c>
      <x:c r="D287" s="16" t="s">
        <x:v>1695</x:v>
      </x:c>
      <x:c r="E287" s="16" t="s">
        <x:v>251</x:v>
      </x:c>
      <x:c r="F287" s="16" t="s">
        <x:v>25</x:v>
      </x:c>
      <x:c r="G287" s="16" t="s">
        <x:v>26</x:v>
      </x:c>
      <x:c r="H287" s="17" t="s">
        <x:v>1696</x:v>
      </x:c>
      <x:c r="I287" s="17" t="s">
        <x:v>1697</x:v>
      </x:c>
      <x:c r="J287" s="17" t="s">
        <x:v>1698</x:v>
      </x:c>
      <x:c r="K287" s="17" t="s">
        <x:v>1660</x:v>
      </x:c>
      <x:c r="L287" s="17" t="s">
        <x:v>58</x:v>
      </x:c>
      <x:c r="M287" s="17" t="s">
        <x:v>256</x:v>
      </x:c>
      <x:c r="N287" s="16" t="s">
        <x:v>1699</x:v>
      </x:c>
      <x:c r="O287" s="18">
        <x:v>46249</x:v>
      </x:c>
      <x:c r="P287" s="19" t="s">
        <x:v>34</x:v>
      </x:c>
      <x:c r="Q287" s="17"/>
      <x:c r="R287" s="19" t="str">
        <x:f t="shared" si="4"/>
        <x:v>Discovery Link Only</x:v>
      </x:c>
      <x:c r="S287" s="43" t="str">
        <x:v>Unknown</x:v>
      </x:c>
      <x:c r="T287" s="43" t="str">
        <x:v>Unknown</x:v>
      </x:c>
      <x:c r="U287" s="43" t="str">
        <x:v>Unknown</x:v>
      </x:c>
      <x:c r="V287" s="43" t="str">
        <x:v>Unknown</x:v>
      </x:c>
      <x:c r="W287" s="43" t="str">
        <x:v>Unknown</x:v>
      </x:c>
      <x:c r="X287" s="43" t="str">
        <x:v>Unknown</x:v>
      </x:c>
      <x:c r="Y287" s="43" t="str">
        <x:v>Unknown</x:v>
      </x:c>
      <x:c r="Z287" s="43"/>
      <x:c r="AA287" s="43" t="str">
        <x:v>Excluded</x:v>
      </x:c>
      <x:c r="AB287" s="43" t="str">
        <x:v>No qualifying evidence source recorded</x:v>
      </x:c>
      <x:c r="AC287" s="43" t="str">
        <x:v>Excluded from Maya's elderly recommendation results because no source-backed elderly accessibility feature is recorded in the reviewed data. This does not mean the attraction is inaccessible.</x:v>
      </x:c>
      <x:c r="AD287" s="43" t="str">
        <x:v>2026-08-16</x:v>
      </x:c>
    </x:row>
    <x:row r="288" ht="60" customHeight="1">
      <x:c r="A288" s="16" t="s">
        <x:v>1700</x:v>
      </x:c>
      <x:c r="B288" s="16" t="s">
        <x:v>1701</x:v>
      </x:c>
      <x:c r="C288" s="16" t="s">
        <x:v>1655</x:v>
      </x:c>
      <x:c r="D288" s="16" t="s">
        <x:v>1656</x:v>
      </x:c>
      <x:c r="E288" s="16" t="s">
        <x:v>45</x:v>
      </x:c>
      <x:c r="F288" s="16" t="s">
        <x:v>25</x:v>
      </x:c>
      <x:c r="G288" s="16" t="s">
        <x:v>26</x:v>
      </x:c>
      <x:c r="H288" s="17" t="s">
        <x:v>1702</x:v>
      </x:c>
      <x:c r="I288" s="17" t="s">
        <x:v>1703</x:v>
      </x:c>
      <x:c r="J288" s="17" t="s">
        <x:v>1704</x:v>
      </x:c>
      <x:c r="K288" s="17" t="s">
        <x:v>1660</x:v>
      </x:c>
      <x:c r="L288" s="17" t="s">
        <x:v>58</x:v>
      </x:c>
      <x:c r="M288" s="17" t="s">
        <x:v>256</x:v>
      </x:c>
      <x:c r="N288" s="16" t="s">
        <x:v>1705</x:v>
      </x:c>
      <x:c r="O288" s="18">
        <x:v>46249</x:v>
      </x:c>
      <x:c r="P288" s="19" t="s">
        <x:v>34</x:v>
      </x:c>
      <x:c r="Q288" s="17"/>
      <x:c r="R288" s="19" t="str">
        <x:f t="shared" si="4"/>
        <x:v>Discovery Link Only</x:v>
      </x:c>
      <x:c r="S288" s="43" t="str">
        <x:v>Unknown</x:v>
      </x:c>
      <x:c r="T288" s="43" t="str">
        <x:v>Unknown</x:v>
      </x:c>
      <x:c r="U288" s="43" t="str">
        <x:v>Unknown</x:v>
      </x:c>
      <x:c r="V288" s="43" t="str">
        <x:v>Unknown</x:v>
      </x:c>
      <x:c r="W288" s="43" t="str">
        <x:v>Unknown</x:v>
      </x:c>
      <x:c r="X288" s="43" t="str">
        <x:v>Unknown</x:v>
      </x:c>
      <x:c r="Y288" s="43" t="str">
        <x:v>Unknown</x:v>
      </x:c>
      <x:c r="Z288" s="43"/>
      <x:c r="AA288" s="43" t="str">
        <x:v>Excluded</x:v>
      </x:c>
      <x:c r="AB288" s="43" t="str">
        <x:v>No qualifying evidence source recorded</x:v>
      </x:c>
      <x:c r="AC288" s="43" t="str">
        <x:v>Excluded from Maya's elderly recommendation results because no source-backed elderly accessibility feature is recorded in the reviewed data. This does not mean the attraction is inaccessible.</x:v>
      </x:c>
      <x:c r="AD288" s="43" t="str">
        <x:v>2026-08-16</x:v>
      </x:c>
    </x:row>
    <x:row r="289" ht="60" customHeight="1">
      <x:c r="A289" s="16" t="s">
        <x:v>1706</x:v>
      </x:c>
      <x:c r="B289" s="16" t="s">
        <x:v>1707</x:v>
      </x:c>
      <x:c r="C289" s="16" t="s">
        <x:v>1655</x:v>
      </x:c>
      <x:c r="D289" s="16" t="s">
        <x:v>1708</x:v>
      </x:c>
      <x:c r="E289" s="16" t="s">
        <x:v>251</x:v>
      </x:c>
      <x:c r="F289" s="16" t="s">
        <x:v>25</x:v>
      </x:c>
      <x:c r="G289" s="16" t="s">
        <x:v>26</x:v>
      </x:c>
      <x:c r="H289" s="17" t="s">
        <x:v>1709</x:v>
      </x:c>
      <x:c r="I289" s="17" t="s">
        <x:v>1710</x:v>
      </x:c>
      <x:c r="J289" s="17" t="s">
        <x:v>1711</x:v>
      </x:c>
      <x:c r="K289" s="17" t="s">
        <x:v>1660</x:v>
      </x:c>
      <x:c r="L289" s="17" t="s">
        <x:v>58</x:v>
      </x:c>
      <x:c r="M289" s="17" t="s">
        <x:v>256</x:v>
      </x:c>
      <x:c r="N289" s="16" t="s">
        <x:v>1712</x:v>
      </x:c>
      <x:c r="O289" s="18">
        <x:v>46249</x:v>
      </x:c>
      <x:c r="P289" s="19" t="s">
        <x:v>34</x:v>
      </x:c>
      <x:c r="Q289" s="17"/>
      <x:c r="R289" s="19" t="str">
        <x:f t="shared" si="4"/>
        <x:v>Discovery Link Only</x:v>
      </x:c>
      <x:c r="S289" s="43" t="str">
        <x:v>Unknown</x:v>
      </x:c>
      <x:c r="T289" s="43" t="str">
        <x:v>Unknown</x:v>
      </x:c>
      <x:c r="U289" s="43" t="str">
        <x:v>Unknown</x:v>
      </x:c>
      <x:c r="V289" s="43" t="str">
        <x:v>Unknown</x:v>
      </x:c>
      <x:c r="W289" s="43" t="str">
        <x:v>Unknown</x:v>
      </x:c>
      <x:c r="X289" s="43" t="str">
        <x:v>Unknown</x:v>
      </x:c>
      <x:c r="Y289" s="43" t="str">
        <x:v>Unknown</x:v>
      </x:c>
      <x:c r="Z289" s="43"/>
      <x:c r="AA289" s="43" t="str">
        <x:v>Excluded</x:v>
      </x:c>
      <x:c r="AB289" s="43" t="str">
        <x:v>No qualifying evidence source recorded</x:v>
      </x:c>
      <x:c r="AC289" s="43" t="str">
        <x:v>Excluded from Maya's elderly recommendation results because no source-backed elderly accessibility feature is recorded in the reviewed data. This does not mean the attraction is inaccessible.</x:v>
      </x:c>
      <x:c r="AD289" s="43" t="str">
        <x:v>2026-08-16</x:v>
      </x:c>
    </x:row>
    <x:row r="290" ht="60" customHeight="1">
      <x:c r="A290" s="16" t="s">
        <x:v>1713</x:v>
      </x:c>
      <x:c r="B290" s="16" t="s">
        <x:v>1714</x:v>
      </x:c>
      <x:c r="C290" s="16" t="s">
        <x:v>1655</x:v>
      </x:c>
      <x:c r="D290" s="16" t="s">
        <x:v>1656</x:v>
      </x:c>
      <x:c r="E290" s="16" t="s">
        <x:v>133</x:v>
      </x:c>
      <x:c r="F290" s="16" t="s">
        <x:v>25</x:v>
      </x:c>
      <x:c r="G290" s="16" t="s">
        <x:v>134</x:v>
      </x:c>
      <x:c r="H290" s="17" t="s">
        <x:v>1715</x:v>
      </x:c>
      <x:c r="I290" s="17" t="s">
        <x:v>1716</x:v>
      </x:c>
      <x:c r="J290" s="17" t="s">
        <x:v>1717</x:v>
      </x:c>
      <x:c r="K290" s="17" t="s">
        <x:v>1660</x:v>
      </x:c>
      <x:c r="L290" s="17" t="s">
        <x:v>58</x:v>
      </x:c>
      <x:c r="M290" s="17" t="s">
        <x:v>256</x:v>
      </x:c>
      <x:c r="N290" s="16" t="s">
        <x:v>1718</x:v>
      </x:c>
      <x:c r="O290" s="18">
        <x:v>46249</x:v>
      </x:c>
      <x:c r="P290" s="19" t="s">
        <x:v>34</x:v>
      </x:c>
      <x:c r="Q290" s="17"/>
      <x:c r="R290" s="19" t="str">
        <x:f t="shared" si="4"/>
        <x:v>Discovery Link Only</x:v>
      </x:c>
      <x:c r="S290" s="43" t="str">
        <x:v>Unknown</x:v>
      </x:c>
      <x:c r="T290" s="43" t="str">
        <x:v>Unknown</x:v>
      </x:c>
      <x:c r="U290" s="43" t="str">
        <x:v>Unknown</x:v>
      </x:c>
      <x:c r="V290" s="43" t="str">
        <x:v>Unknown</x:v>
      </x:c>
      <x:c r="W290" s="43" t="str">
        <x:v>Unknown</x:v>
      </x:c>
      <x:c r="X290" s="43" t="str">
        <x:v>Unknown</x:v>
      </x:c>
      <x:c r="Y290" s="43" t="str">
        <x:v>Unknown</x:v>
      </x:c>
      <x:c r="Z290" s="43"/>
      <x:c r="AA290" s="43" t="str">
        <x:v>Excluded</x:v>
      </x:c>
      <x:c r="AB290" s="43" t="str">
        <x:v>No qualifying evidence source recorded</x:v>
      </x:c>
      <x:c r="AC290" s="43" t="str">
        <x:v>Excluded from Maya's elderly recommendation results because no source-backed elderly accessibility feature is recorded in the reviewed data. This does not mean the attraction is inaccessible.</x:v>
      </x:c>
      <x:c r="AD290" s="43" t="str">
        <x:v>2026-08-16</x:v>
      </x:c>
    </x:row>
    <x:row r="291" ht="60" customHeight="1">
      <x:c r="A291" s="16" t="s">
        <x:v>1719</x:v>
      </x:c>
      <x:c r="B291" s="16" t="s">
        <x:v>1720</x:v>
      </x:c>
      <x:c r="C291" s="16" t="s">
        <x:v>1655</x:v>
      </x:c>
      <x:c r="D291" s="16" t="s">
        <x:v>1656</x:v>
      </x:c>
      <x:c r="E291" s="16" t="s">
        <x:v>133</x:v>
      </x:c>
      <x:c r="F291" s="16" t="s">
        <x:v>107</x:v>
      </x:c>
      <x:c r="G291" s="16" t="s">
        <x:v>134</x:v>
      </x:c>
      <x:c r="H291" s="17" t="s">
        <x:v>1721</x:v>
      </x:c>
      <x:c r="I291" s="17" t="s">
        <x:v>1722</x:v>
      </x:c>
      <x:c r="J291" s="17" t="s">
        <x:v>1723</x:v>
      </x:c>
      <x:c r="K291" s="17" t="s">
        <x:v>1660</x:v>
      </x:c>
      <x:c r="L291" s="17" t="s">
        <x:v>111</x:v>
      </x:c>
      <x:c r="M291" s="17" t="s">
        <x:v>1724</x:v>
      </x:c>
      <x:c r="N291" s="16"/>
      <x:c r="O291" s="18">
        <x:v>46249</x:v>
      </x:c>
      <x:c r="P291" s="19" t="s">
        <x:v>34</x:v>
      </x:c>
      <x:c r="Q291" s="17"/>
      <x:c r="R291" s="19" t="str">
        <x:f t="shared" si="4"/>
        <x:v>Discovery Link Only</x:v>
      </x:c>
      <x:c r="S291" s="43" t="str">
        <x:v>Unknown</x:v>
      </x:c>
      <x:c r="T291" s="43" t="str">
        <x:v>Unknown</x:v>
      </x:c>
      <x:c r="U291" s="43" t="str">
        <x:v>Unknown</x:v>
      </x:c>
      <x:c r="V291" s="43" t="str">
        <x:v>Unknown</x:v>
      </x:c>
      <x:c r="W291" s="43" t="str">
        <x:v>Unknown</x:v>
      </x:c>
      <x:c r="X291" s="43" t="str">
        <x:v>Unknown</x:v>
      </x:c>
      <x:c r="Y291" s="43" t="str">
        <x:v>Unknown</x:v>
      </x:c>
      <x:c r="Z291" s="43"/>
      <x:c r="AA291" s="43" t="str">
        <x:v>Excluded</x:v>
      </x:c>
      <x:c r="AB291" s="43" t="str">
        <x:v>No qualifying evidence source recorded</x:v>
      </x:c>
      <x:c r="AC291" s="43" t="str">
        <x:v>Excluded from Maya's elderly recommendation results because no source-backed elderly accessibility feature is recorded in the reviewed data. This does not mean the attraction is inaccessible.</x:v>
      </x:c>
      <x:c r="AD291" s="43" t="str">
        <x:v>2026-08-16</x:v>
      </x:c>
    </x:row>
    <x:row r="292" ht="60" customHeight="1">
      <x:c r="A292" s="16" t="s">
        <x:v>1725</x:v>
      </x:c>
      <x:c r="B292" s="16" t="s">
        <x:v>1726</x:v>
      </x:c>
      <x:c r="C292" s="16" t="s">
        <x:v>1655</x:v>
      </x:c>
      <x:c r="D292" s="16" t="s">
        <x:v>1656</x:v>
      </x:c>
      <x:c r="E292" s="16" t="s">
        <x:v>140</x:v>
      </x:c>
      <x:c r="F292" s="16" t="s">
        <x:v>107</x:v>
      </x:c>
      <x:c r="G292" s="16" t="s">
        <x:v>46</x:v>
      </x:c>
      <x:c r="H292" s="17" t="s">
        <x:v>1727</x:v>
      </x:c>
      <x:c r="I292" s="17" t="s">
        <x:v>1728</x:v>
      </x:c>
      <x:c r="J292" s="17" t="s">
        <x:v>1729</x:v>
      </x:c>
      <x:c r="K292" s="17" t="s">
        <x:v>1660</x:v>
      </x:c>
      <x:c r="L292" s="17" t="s">
        <x:v>111</x:v>
      </x:c>
      <x:c r="M292" s="17" t="s">
        <x:v>1724</x:v>
      </x:c>
      <x:c r="N292" s="16"/>
      <x:c r="O292" s="18">
        <x:v>46249</x:v>
      </x:c>
      <x:c r="P292" s="19" t="s">
        <x:v>34</x:v>
      </x:c>
      <x:c r="Q292" s="17"/>
      <x:c r="R292" s="19" t="str">
        <x:f t="shared" si="4"/>
        <x:v>Discovery Link Only</x:v>
      </x:c>
      <x:c r="S292" s="43" t="str">
        <x:v>Unknown</x:v>
      </x:c>
      <x:c r="T292" s="43" t="str">
        <x:v>Unknown</x:v>
      </x:c>
      <x:c r="U292" s="43" t="str">
        <x:v>Unknown</x:v>
      </x:c>
      <x:c r="V292" s="43" t="str">
        <x:v>Unknown</x:v>
      </x:c>
      <x:c r="W292" s="43" t="str">
        <x:v>Unknown</x:v>
      </x:c>
      <x:c r="X292" s="43" t="str">
        <x:v>Unknown</x:v>
      </x:c>
      <x:c r="Y292" s="43" t="str">
        <x:v>Unknown</x:v>
      </x:c>
      <x:c r="Z292" s="43"/>
      <x:c r="AA292" s="43" t="str">
        <x:v>Excluded</x:v>
      </x:c>
      <x:c r="AB292" s="43" t="str">
        <x:v>No qualifying evidence source recorded</x:v>
      </x:c>
      <x:c r="AC292" s="43" t="str">
        <x:v>Excluded from Maya's elderly recommendation results because no source-backed elderly accessibility feature is recorded in the reviewed data. This does not mean the attraction is inaccessible.</x:v>
      </x:c>
      <x:c r="AD292" s="43" t="str">
        <x:v>2026-08-16</x:v>
      </x:c>
    </x:row>
    <x:row r="293" ht="60" customHeight="1">
      <x:c r="A293" s="16" t="s">
        <x:v>1730</x:v>
      </x:c>
      <x:c r="B293" s="16" t="s">
        <x:v>1731</x:v>
      </x:c>
      <x:c r="C293" s="16" t="s">
        <x:v>1655</x:v>
      </x:c>
      <x:c r="D293" s="16" t="s">
        <x:v>1656</x:v>
      </x:c>
      <x:c r="E293" s="16" t="s">
        <x:v>133</x:v>
      </x:c>
      <x:c r="F293" s="16" t="s">
        <x:v>107</x:v>
      </x:c>
      <x:c r="G293" s="16" t="s">
        <x:v>134</x:v>
      </x:c>
      <x:c r="H293" s="17" t="s">
        <x:v>1732</x:v>
      </x:c>
      <x:c r="I293" s="17" t="s">
        <x:v>1733</x:v>
      </x:c>
      <x:c r="J293" s="17" t="s">
        <x:v>1734</x:v>
      </x:c>
      <x:c r="K293" s="17" t="s">
        <x:v>1660</x:v>
      </x:c>
      <x:c r="L293" s="17" t="s">
        <x:v>111</x:v>
      </x:c>
      <x:c r="M293" s="17" t="s">
        <x:v>1724</x:v>
      </x:c>
      <x:c r="N293" s="16"/>
      <x:c r="O293" s="18">
        <x:v>46249</x:v>
      </x:c>
      <x:c r="P293" s="19" t="s">
        <x:v>34</x:v>
      </x:c>
      <x:c r="Q293" s="17"/>
      <x:c r="R293" s="19" t="str">
        <x:f t="shared" si="4"/>
        <x:v>Discovery Link Only</x:v>
      </x:c>
      <x:c r="S293" s="43" t="str">
        <x:v>Unknown</x:v>
      </x:c>
      <x:c r="T293" s="43" t="str">
        <x:v>Unknown</x:v>
      </x:c>
      <x:c r="U293" s="43" t="str">
        <x:v>Unknown</x:v>
      </x:c>
      <x:c r="V293" s="43" t="str">
        <x:v>Unknown</x:v>
      </x:c>
      <x:c r="W293" s="43" t="str">
        <x:v>Unknown</x:v>
      </x:c>
      <x:c r="X293" s="43" t="str">
        <x:v>Unknown</x:v>
      </x:c>
      <x:c r="Y293" s="43" t="str">
        <x:v>Unknown</x:v>
      </x:c>
      <x:c r="Z293" s="43"/>
      <x:c r="AA293" s="43" t="str">
        <x:v>Excluded</x:v>
      </x:c>
      <x:c r="AB293" s="43" t="str">
        <x:v>No qualifying evidence source recorded</x:v>
      </x:c>
      <x:c r="AC293" s="43" t="str">
        <x:v>Excluded from Maya's elderly recommendation results because no source-backed elderly accessibility feature is recorded in the reviewed data. This does not mean the attraction is inaccessible.</x:v>
      </x:c>
      <x:c r="AD293" s="43" t="str">
        <x:v>2026-08-16</x:v>
      </x:c>
    </x:row>
    <x:row r="294" ht="60" customHeight="1">
      <x:c r="A294" s="16" t="s">
        <x:v>1735</x:v>
      </x:c>
      <x:c r="B294" s="16" t="s">
        <x:v>1736</x:v>
      </x:c>
      <x:c r="C294" s="16" t="s">
        <x:v>1655</x:v>
      </x:c>
      <x:c r="D294" s="16" t="s">
        <x:v>1656</x:v>
      </x:c>
      <x:c r="E294" s="16" t="s">
        <x:v>151</x:v>
      </x:c>
      <x:c r="F294" s="16" t="s">
        <x:v>121</x:v>
      </x:c>
      <x:c r="G294" s="16" t="s">
        <x:v>134</x:v>
      </x:c>
      <x:c r="H294" s="17" t="s">
        <x:v>1737</x:v>
      </x:c>
      <x:c r="I294" s="17" t="s">
        <x:v>1738</x:v>
      </x:c>
      <x:c r="J294" s="17" t="s">
        <x:v>1739</x:v>
      </x:c>
      <x:c r="K294" s="17" t="s">
        <x:v>1660</x:v>
      </x:c>
      <x:c r="L294" s="17" t="s">
        <x:v>111</x:v>
      </x:c>
      <x:c r="M294" s="17" t="s">
        <x:v>1724</x:v>
      </x:c>
      <x:c r="N294" s="16"/>
      <x:c r="O294" s="18">
        <x:v>46249</x:v>
      </x:c>
      <x:c r="P294" s="19" t="s">
        <x:v>34</x:v>
      </x:c>
      <x:c r="Q294" s="17"/>
      <x:c r="R294" s="19" t="str">
        <x:f t="shared" si="4"/>
        <x:v>Discovery Link Only</x:v>
      </x:c>
      <x:c r="S294" s="43" t="str">
        <x:v>Unknown</x:v>
      </x:c>
      <x:c r="T294" s="43" t="str">
        <x:v>Unknown</x:v>
      </x:c>
      <x:c r="U294" s="43" t="str">
        <x:v>Unknown</x:v>
      </x:c>
      <x:c r="V294" s="43" t="str">
        <x:v>Unknown</x:v>
      </x:c>
      <x:c r="W294" s="43" t="str">
        <x:v>Unknown</x:v>
      </x:c>
      <x:c r="X294" s="43" t="str">
        <x:v>Unknown</x:v>
      </x:c>
      <x:c r="Y294" s="43" t="str">
        <x:v>Unknown</x:v>
      </x:c>
      <x:c r="Z294" s="43"/>
      <x:c r="AA294" s="43" t="str">
        <x:v>Excluded</x:v>
      </x:c>
      <x:c r="AB294" s="43" t="str">
        <x:v>No qualifying evidence source recorded</x:v>
      </x:c>
      <x:c r="AC294" s="43" t="str">
        <x:v>Excluded from Maya's elderly recommendation results because no source-backed elderly accessibility feature is recorded in the reviewed data. This does not mean the attraction is inaccessible.</x:v>
      </x:c>
      <x:c r="AD294" s="43" t="str">
        <x:v>2026-08-16</x:v>
      </x:c>
    </x:row>
    <x:row r="295" ht="60" customHeight="1">
      <x:c r="A295" s="16" t="s">
        <x:v>1740</x:v>
      </x:c>
      <x:c r="B295" s="16" t="s">
        <x:v>1741</x:v>
      </x:c>
      <x:c r="C295" s="16" t="s">
        <x:v>1655</x:v>
      </x:c>
      <x:c r="D295" s="16" t="s">
        <x:v>1742</x:v>
      </x:c>
      <x:c r="E295" s="16" t="s">
        <x:v>72</x:v>
      </x:c>
      <x:c r="F295" s="16" t="s">
        <x:v>107</x:v>
      </x:c>
      <x:c r="G295" s="16" t="s">
        <x:v>26</x:v>
      </x:c>
      <x:c r="H295" s="17" t="s">
        <x:v>1743</x:v>
      </x:c>
      <x:c r="I295" s="17" t="s">
        <x:v>1744</x:v>
      </x:c>
      <x:c r="J295" s="17" t="s">
        <x:v>1745</x:v>
      </x:c>
      <x:c r="K295" s="17" t="s">
        <x:v>1660</x:v>
      </x:c>
      <x:c r="L295" s="17" t="s">
        <x:v>111</x:v>
      </x:c>
      <x:c r="M295" s="17" t="s">
        <x:v>1724</x:v>
      </x:c>
      <x:c r="N295" s="16"/>
      <x:c r="O295" s="18">
        <x:v>46249</x:v>
      </x:c>
      <x:c r="P295" s="19" t="s">
        <x:v>34</x:v>
      </x:c>
      <x:c r="Q295" s="17"/>
      <x:c r="R295" s="19" t="str">
        <x:f t="shared" si="4"/>
        <x:v>Discovery Link Only</x:v>
      </x:c>
      <x:c r="S295" s="43" t="str">
        <x:v>Unknown</x:v>
      </x:c>
      <x:c r="T295" s="43" t="str">
        <x:v>Unknown</x:v>
      </x:c>
      <x:c r="U295" s="43" t="str">
        <x:v>Unknown</x:v>
      </x:c>
      <x:c r="V295" s="43" t="str">
        <x:v>Unknown</x:v>
      </x:c>
      <x:c r="W295" s="43" t="str">
        <x:v>Unknown</x:v>
      </x:c>
      <x:c r="X295" s="43" t="str">
        <x:v>Unknown</x:v>
      </x:c>
      <x:c r="Y295" s="43" t="str">
        <x:v>Unknown</x:v>
      </x:c>
      <x:c r="Z295" s="43"/>
      <x:c r="AA295" s="43" t="str">
        <x:v>Excluded</x:v>
      </x:c>
      <x:c r="AB295" s="43" t="str">
        <x:v>No qualifying evidence source recorded</x:v>
      </x:c>
      <x:c r="AC295" s="43" t="str">
        <x:v>Excluded from Maya's elderly recommendation results because no source-backed elderly accessibility feature is recorded in the reviewed data. This does not mean the attraction is inaccessible.</x:v>
      </x:c>
      <x:c r="AD295" s="43" t="str">
        <x:v>2026-08-16</x:v>
      </x:c>
    </x:row>
    <x:row r="296" ht="60" customHeight="1">
      <x:c r="A296" s="16" t="s">
        <x:v>1746</x:v>
      </x:c>
      <x:c r="B296" s="16" t="s">
        <x:v>1747</x:v>
      </x:c>
      <x:c r="C296" s="16" t="s">
        <x:v>1655</x:v>
      </x:c>
      <x:c r="D296" s="16" t="s">
        <x:v>1708</x:v>
      </x:c>
      <x:c r="E296" s="16" t="s">
        <x:v>45</x:v>
      </x:c>
      <x:c r="F296" s="16" t="s">
        <x:v>107</x:v>
      </x:c>
      <x:c r="G296" s="16" t="s">
        <x:v>26</x:v>
      </x:c>
      <x:c r="H296" s="17" t="s">
        <x:v>1748</x:v>
      </x:c>
      <x:c r="I296" s="17" t="s">
        <x:v>1749</x:v>
      </x:c>
      <x:c r="J296" s="17" t="s">
        <x:v>1750</x:v>
      </x:c>
      <x:c r="K296" s="17" t="s">
        <x:v>1660</x:v>
      </x:c>
      <x:c r="L296" s="17" t="s">
        <x:v>111</x:v>
      </x:c>
      <x:c r="M296" s="17" t="s">
        <x:v>1724</x:v>
      </x:c>
      <x:c r="N296" s="16"/>
      <x:c r="O296" s="18">
        <x:v>46249</x:v>
      </x:c>
      <x:c r="P296" s="19" t="s">
        <x:v>34</x:v>
      </x:c>
      <x:c r="Q296" s="17"/>
      <x:c r="R296" s="19" t="str">
        <x:f t="shared" si="4"/>
        <x:v>Discovery Link Only</x:v>
      </x:c>
      <x:c r="S296" s="43" t="str">
        <x:v>Unknown</x:v>
      </x:c>
      <x:c r="T296" s="43" t="str">
        <x:v>Unknown</x:v>
      </x:c>
      <x:c r="U296" s="43" t="str">
        <x:v>Unknown</x:v>
      </x:c>
      <x:c r="V296" s="43" t="str">
        <x:v>Unknown</x:v>
      </x:c>
      <x:c r="W296" s="43" t="str">
        <x:v>Unknown</x:v>
      </x:c>
      <x:c r="X296" s="43" t="str">
        <x:v>Unknown</x:v>
      </x:c>
      <x:c r="Y296" s="43" t="str">
        <x:v>Unknown</x:v>
      </x:c>
      <x:c r="Z296" s="43"/>
      <x:c r="AA296" s="43" t="str">
        <x:v>Excluded</x:v>
      </x:c>
      <x:c r="AB296" s="43" t="str">
        <x:v>No qualifying evidence source recorded</x:v>
      </x:c>
      <x:c r="AC296" s="43" t="str">
        <x:v>Excluded from Maya's elderly recommendation results because no source-backed elderly accessibility feature is recorded in the reviewed data. This does not mean the attraction is inaccessible.</x:v>
      </x:c>
      <x:c r="AD296" s="43" t="str">
        <x:v>2026-08-16</x:v>
      </x:c>
    </x:row>
    <x:row r="297" ht="60" customHeight="1">
      <x:c r="A297" s="16" t="s">
        <x:v>1751</x:v>
      </x:c>
      <x:c r="B297" s="16" t="s">
        <x:v>1752</x:v>
      </x:c>
      <x:c r="C297" s="16" t="s">
        <x:v>1655</x:v>
      </x:c>
      <x:c r="D297" s="16" t="s">
        <x:v>1708</x:v>
      </x:c>
      <x:c r="E297" s="16" t="s">
        <x:v>45</x:v>
      </x:c>
      <x:c r="F297" s="16" t="s">
        <x:v>107</x:v>
      </x:c>
      <x:c r="G297" s="16" t="s">
        <x:v>26</x:v>
      </x:c>
      <x:c r="H297" s="17" t="s">
        <x:v>1753</x:v>
      </x:c>
      <x:c r="I297" s="17" t="s">
        <x:v>1754</x:v>
      </x:c>
      <x:c r="J297" s="17" t="s">
        <x:v>1755</x:v>
      </x:c>
      <x:c r="K297" s="17" t="s">
        <x:v>1660</x:v>
      </x:c>
      <x:c r="L297" s="17" t="s">
        <x:v>111</x:v>
      </x:c>
      <x:c r="M297" s="17" t="s">
        <x:v>1724</x:v>
      </x:c>
      <x:c r="N297" s="16"/>
      <x:c r="O297" s="18">
        <x:v>46249</x:v>
      </x:c>
      <x:c r="P297" s="19" t="s">
        <x:v>34</x:v>
      </x:c>
      <x:c r="Q297" s="17"/>
      <x:c r="R297" s="19" t="str">
        <x:f t="shared" si="4"/>
        <x:v>Discovery Link Only</x:v>
      </x:c>
      <x:c r="S297" s="43" t="str">
        <x:v>Unknown</x:v>
      </x:c>
      <x:c r="T297" s="43" t="str">
        <x:v>Unknown</x:v>
      </x:c>
      <x:c r="U297" s="43" t="str">
        <x:v>Unknown</x:v>
      </x:c>
      <x:c r="V297" s="43" t="str">
        <x:v>Unknown</x:v>
      </x:c>
      <x:c r="W297" s="43" t="str">
        <x:v>Unknown</x:v>
      </x:c>
      <x:c r="X297" s="43" t="str">
        <x:v>Unknown</x:v>
      </x:c>
      <x:c r="Y297" s="43" t="str">
        <x:v>Unknown</x:v>
      </x:c>
      <x:c r="Z297" s="43"/>
      <x:c r="AA297" s="43" t="str">
        <x:v>Excluded</x:v>
      </x:c>
      <x:c r="AB297" s="43" t="str">
        <x:v>No qualifying evidence source recorded</x:v>
      </x:c>
      <x:c r="AC297" s="43" t="str">
        <x:v>Excluded from Maya's elderly recommendation results because no source-backed elderly accessibility feature is recorded in the reviewed data. This does not mean the attraction is inaccessible.</x:v>
      </x:c>
      <x:c r="AD297" s="43" t="str">
        <x:v>2026-08-16</x:v>
      </x:c>
    </x:row>
    <x:row r="298" ht="60" customHeight="1">
      <x:c r="A298" s="16" t="s">
        <x:v>1756</x:v>
      </x:c>
      <x:c r="B298" s="16" t="s">
        <x:v>1757</x:v>
      </x:c>
      <x:c r="C298" s="16" t="s">
        <x:v>1655</x:v>
      </x:c>
      <x:c r="D298" s="16" t="s">
        <x:v>1758</x:v>
      </x:c>
      <x:c r="E298" s="16" t="s">
        <x:v>99</x:v>
      </x:c>
      <x:c r="F298" s="16" t="s">
        <x:v>107</x:v>
      </x:c>
      <x:c r="G298" s="16" t="s">
        <x:v>46</x:v>
      </x:c>
      <x:c r="H298" s="17" t="s">
        <x:v>1759</x:v>
      </x:c>
      <x:c r="I298" s="17" t="s">
        <x:v>1760</x:v>
      </x:c>
      <x:c r="J298" s="17" t="s">
        <x:v>1761</x:v>
      </x:c>
      <x:c r="K298" s="17" t="s">
        <x:v>1660</x:v>
      </x:c>
      <x:c r="L298" s="17" t="s">
        <x:v>111</x:v>
      </x:c>
      <x:c r="M298" s="17" t="s">
        <x:v>1724</x:v>
      </x:c>
      <x:c r="N298" s="16"/>
      <x:c r="O298" s="18">
        <x:v>46249</x:v>
      </x:c>
      <x:c r="P298" s="19" t="s">
        <x:v>34</x:v>
      </x:c>
      <x:c r="Q298" s="17"/>
      <x:c r="R298" s="19" t="str">
        <x:f t="shared" si="4"/>
        <x:v>Discovery Link Only</x:v>
      </x:c>
      <x:c r="S298" s="43" t="str">
        <x:v>Unknown</x:v>
      </x:c>
      <x:c r="T298" s="43" t="str">
        <x:v>Unknown</x:v>
      </x:c>
      <x:c r="U298" s="43" t="str">
        <x:v>Unknown</x:v>
      </x:c>
      <x:c r="V298" s="43" t="str">
        <x:v>Unknown</x:v>
      </x:c>
      <x:c r="W298" s="43" t="str">
        <x:v>Unknown</x:v>
      </x:c>
      <x:c r="X298" s="43" t="str">
        <x:v>Unknown</x:v>
      </x:c>
      <x:c r="Y298" s="43" t="str">
        <x:v>Unknown</x:v>
      </x:c>
      <x:c r="Z298" s="43"/>
      <x:c r="AA298" s="43" t="str">
        <x:v>Excluded</x:v>
      </x:c>
      <x:c r="AB298" s="43" t="str">
        <x:v>No qualifying evidence source recorded</x:v>
      </x:c>
      <x:c r="AC298" s="43" t="str">
        <x:v>Excluded from Maya's elderly recommendation results because no source-backed elderly accessibility feature is recorded in the reviewed data. This does not mean the attraction is inaccessible.</x:v>
      </x:c>
      <x:c r="AD298" s="43" t="str">
        <x:v>2026-08-16</x:v>
      </x:c>
    </x:row>
    <x:row r="299" ht="60" customHeight="1">
      <x:c r="A299" s="16" t="s">
        <x:v>1762</x:v>
      </x:c>
      <x:c r="B299" s="16" t="s">
        <x:v>1763</x:v>
      </x:c>
      <x:c r="C299" s="16" t="s">
        <x:v>1655</x:v>
      </x:c>
      <x:c r="D299" s="16" t="s">
        <x:v>1764</x:v>
      </x:c>
      <x:c r="E299" s="16" t="s">
        <x:v>45</x:v>
      </x:c>
      <x:c r="F299" s="16" t="s">
        <x:v>107</x:v>
      </x:c>
      <x:c r="G299" s="16" t="s">
        <x:v>26</x:v>
      </x:c>
      <x:c r="H299" s="17" t="s">
        <x:v>1765</x:v>
      </x:c>
      <x:c r="I299" s="17" t="s">
        <x:v>1766</x:v>
      </x:c>
      <x:c r="J299" s="17" t="s">
        <x:v>1767</x:v>
      </x:c>
      <x:c r="K299" s="17" t="s">
        <x:v>1660</x:v>
      </x:c>
      <x:c r="L299" s="17" t="s">
        <x:v>111</x:v>
      </x:c>
      <x:c r="M299" s="17" t="s">
        <x:v>1724</x:v>
      </x:c>
      <x:c r="N299" s="16"/>
      <x:c r="O299" s="18">
        <x:v>46249</x:v>
      </x:c>
      <x:c r="P299" s="19" t="s">
        <x:v>34</x:v>
      </x:c>
      <x:c r="Q299" s="17"/>
      <x:c r="R299" s="19" t="str">
        <x:f t="shared" si="4"/>
        <x:v>Discovery Link Only</x:v>
      </x:c>
      <x:c r="S299" s="43" t="str">
        <x:v>Unknown</x:v>
      </x:c>
      <x:c r="T299" s="43" t="str">
        <x:v>Unknown</x:v>
      </x:c>
      <x:c r="U299" s="43" t="str">
        <x:v>Unknown</x:v>
      </x:c>
      <x:c r="V299" s="43" t="str">
        <x:v>Unknown</x:v>
      </x:c>
      <x:c r="W299" s="43" t="str">
        <x:v>Unknown</x:v>
      </x:c>
      <x:c r="X299" s="43" t="str">
        <x:v>Unknown</x:v>
      </x:c>
      <x:c r="Y299" s="43" t="str">
        <x:v>Unknown</x:v>
      </x:c>
      <x:c r="Z299" s="43"/>
      <x:c r="AA299" s="43" t="str">
        <x:v>Excluded</x:v>
      </x:c>
      <x:c r="AB299" s="43" t="str">
        <x:v>No qualifying evidence source recorded</x:v>
      </x:c>
      <x:c r="AC299" s="43" t="str">
        <x:v>Excluded from Maya's elderly recommendation results because no source-backed elderly accessibility feature is recorded in the reviewed data. This does not mean the attraction is inaccessible.</x:v>
      </x:c>
      <x:c r="AD299" s="43" t="str">
        <x:v>2026-08-16</x:v>
      </x:c>
    </x:row>
    <x:row r="300" ht="60" customHeight="1">
      <x:c r="A300" s="16" t="s">
        <x:v>1768</x:v>
      </x:c>
      <x:c r="B300" s="16" t="s">
        <x:v>1769</x:v>
      </x:c>
      <x:c r="C300" s="16" t="s">
        <x:v>1655</x:v>
      </x:c>
      <x:c r="D300" s="16" t="s">
        <x:v>1764</x:v>
      </x:c>
      <x:c r="E300" s="16" t="s">
        <x:v>45</x:v>
      </x:c>
      <x:c r="F300" s="16" t="s">
        <x:v>194</x:v>
      </x:c>
      <x:c r="G300" s="16" t="s">
        <x:v>26</x:v>
      </x:c>
      <x:c r="H300" s="17" t="s">
        <x:v>1770</x:v>
      </x:c>
      <x:c r="I300" s="17" t="s">
        <x:v>1771</x:v>
      </x:c>
      <x:c r="J300" s="17" t="s">
        <x:v>1772</x:v>
      </x:c>
      <x:c r="K300" s="17" t="s">
        <x:v>1660</x:v>
      </x:c>
      <x:c r="L300" s="17" t="s">
        <x:v>111</x:v>
      </x:c>
      <x:c r="M300" s="17" t="s">
        <x:v>1724</x:v>
      </x:c>
      <x:c r="N300" s="16"/>
      <x:c r="O300" s="18">
        <x:v>46249</x:v>
      </x:c>
      <x:c r="P300" s="19" t="s">
        <x:v>34</x:v>
      </x:c>
      <x:c r="Q300" s="17"/>
      <x:c r="R300" s="19" t="str">
        <x:f t="shared" si="4"/>
        <x:v>Discovery Link Only</x:v>
      </x:c>
      <x:c r="S300" s="43" t="str">
        <x:v>Unknown</x:v>
      </x:c>
      <x:c r="T300" s="43" t="str">
        <x:v>Unknown</x:v>
      </x:c>
      <x:c r="U300" s="43" t="str">
        <x:v>Unknown</x:v>
      </x:c>
      <x:c r="V300" s="43" t="str">
        <x:v>Unknown</x:v>
      </x:c>
      <x:c r="W300" s="43" t="str">
        <x:v>Unknown</x:v>
      </x:c>
      <x:c r="X300" s="43" t="str">
        <x:v>Unknown</x:v>
      </x:c>
      <x:c r="Y300" s="43" t="str">
        <x:v>Unknown</x:v>
      </x:c>
      <x:c r="Z300" s="43"/>
      <x:c r="AA300" s="43" t="str">
        <x:v>Excluded</x:v>
      </x:c>
      <x:c r="AB300" s="43" t="str">
        <x:v>No qualifying evidence source recorded</x:v>
      </x:c>
      <x:c r="AC300" s="43" t="str">
        <x:v>Excluded from Maya's elderly recommendation results because no source-backed elderly accessibility feature is recorded in the reviewed data. This does not mean the attraction is inaccessible.</x:v>
      </x:c>
      <x:c r="AD300" s="43" t="str">
        <x:v>2026-08-16</x:v>
      </x:c>
    </x:row>
    <x:row r="301" ht="60" customHeight="1">
      <x:c r="A301" s="16" t="s">
        <x:v>1773</x:v>
      </x:c>
      <x:c r="B301" s="16" t="s">
        <x:v>1774</x:v>
      </x:c>
      <x:c r="C301" s="16" t="s">
        <x:v>1655</x:v>
      </x:c>
      <x:c r="D301" s="16" t="s">
        <x:v>1775</x:v>
      </x:c>
      <x:c r="E301" s="16" t="s">
        <x:v>45</x:v>
      </x:c>
      <x:c r="F301" s="16" t="s">
        <x:v>194</x:v>
      </x:c>
      <x:c r="G301" s="16" t="s">
        <x:v>26</x:v>
      </x:c>
      <x:c r="H301" s="17" t="s">
        <x:v>1776</x:v>
      </x:c>
      <x:c r="I301" s="17" t="s">
        <x:v>1777</x:v>
      </x:c>
      <x:c r="J301" s="17" t="s">
        <x:v>1778</x:v>
      </x:c>
      <x:c r="K301" s="17" t="s">
        <x:v>1660</x:v>
      </x:c>
      <x:c r="L301" s="17" t="s">
        <x:v>111</x:v>
      </x:c>
      <x:c r="M301" s="17" t="s">
        <x:v>1724</x:v>
      </x:c>
      <x:c r="N301" s="16"/>
      <x:c r="O301" s="18">
        <x:v>46249</x:v>
      </x:c>
      <x:c r="P301" s="19" t="s">
        <x:v>34</x:v>
      </x:c>
      <x:c r="Q301" s="17"/>
      <x:c r="R301" s="19" t="str">
        <x:f t="shared" si="4"/>
        <x:v>Discovery Link Only</x:v>
      </x:c>
      <x:c r="S301" s="43" t="str">
        <x:v>Unknown</x:v>
      </x:c>
      <x:c r="T301" s="43" t="str">
        <x:v>Unknown</x:v>
      </x:c>
      <x:c r="U301" s="43" t="str">
        <x:v>Unknown</x:v>
      </x:c>
      <x:c r="V301" s="43" t="str">
        <x:v>Unknown</x:v>
      </x:c>
      <x:c r="W301" s="43" t="str">
        <x:v>Unknown</x:v>
      </x:c>
      <x:c r="X301" s="43" t="str">
        <x:v>Unknown</x:v>
      </x:c>
      <x:c r="Y301" s="43" t="str">
        <x:v>Unknown</x:v>
      </x:c>
      <x:c r="Z301" s="43"/>
      <x:c r="AA301" s="43" t="str">
        <x:v>Excluded</x:v>
      </x:c>
      <x:c r="AB301" s="43" t="str">
        <x:v>No qualifying evidence source recorded</x:v>
      </x:c>
      <x:c r="AC301" s="43" t="str">
        <x:v>Excluded from Maya's elderly recommendation results because no source-backed elderly accessibility feature is recorded in the reviewed data. This does not mean the attraction is inaccessible.</x:v>
      </x:c>
      <x:c r="AD301" s="43" t="str">
        <x:v>2026-08-16</x:v>
      </x:c>
    </x:row>
    <x:row r="302" ht="60" customHeight="1">
      <x:c r="A302" s="16" t="s">
        <x:v>1779</x:v>
      </x:c>
      <x:c r="B302" s="16" t="s">
        <x:v>1780</x:v>
      </x:c>
      <x:c r="C302" s="16" t="s">
        <x:v>1655</x:v>
      </x:c>
      <x:c r="D302" s="16" t="s">
        <x:v>1775</x:v>
      </x:c>
      <x:c r="E302" s="16" t="s">
        <x:v>133</x:v>
      </x:c>
      <x:c r="F302" s="16" t="s">
        <x:v>127</x:v>
      </x:c>
      <x:c r="G302" s="16" t="s">
        <x:v>134</x:v>
      </x:c>
      <x:c r="H302" s="17" t="s">
        <x:v>1781</x:v>
      </x:c>
      <x:c r="I302" s="17" t="s">
        <x:v>1782</x:v>
      </x:c>
      <x:c r="J302" s="17" t="s">
        <x:v>1783</x:v>
      </x:c>
      <x:c r="K302" s="17" t="s">
        <x:v>1660</x:v>
      </x:c>
      <x:c r="L302" s="17" t="s">
        <x:v>111</x:v>
      </x:c>
      <x:c r="M302" s="17" t="s">
        <x:v>1724</x:v>
      </x:c>
      <x:c r="N302" s="16"/>
      <x:c r="O302" s="18">
        <x:v>46249</x:v>
      </x:c>
      <x:c r="P302" s="19" t="s">
        <x:v>34</x:v>
      </x:c>
      <x:c r="Q302" s="17"/>
      <x:c r="R302" s="19" t="str">
        <x:f t="shared" si="4"/>
        <x:v>Discovery Link Only</x:v>
      </x:c>
      <x:c r="S302" s="43" t="str">
        <x:v>Unknown</x:v>
      </x:c>
      <x:c r="T302" s="43" t="str">
        <x:v>Unknown</x:v>
      </x:c>
      <x:c r="U302" s="43" t="str">
        <x:v>Unknown</x:v>
      </x:c>
      <x:c r="V302" s="43" t="str">
        <x:v>Unknown</x:v>
      </x:c>
      <x:c r="W302" s="43" t="str">
        <x:v>Unknown</x:v>
      </x:c>
      <x:c r="X302" s="43" t="str">
        <x:v>Unknown</x:v>
      </x:c>
      <x:c r="Y302" s="43" t="str">
        <x:v>Unknown</x:v>
      </x:c>
      <x:c r="Z302" s="43"/>
      <x:c r="AA302" s="43" t="str">
        <x:v>Excluded</x:v>
      </x:c>
      <x:c r="AB302" s="43" t="str">
        <x:v>No qualifying evidence source recorded</x:v>
      </x:c>
      <x:c r="AC302" s="43" t="str">
        <x:v>Excluded from Maya's elderly recommendation results because no source-backed elderly accessibility feature is recorded in the reviewed data. This does not mean the attraction is inaccessible.</x:v>
      </x:c>
      <x:c r="AD302" s="43" t="str">
        <x:v>2026-08-16</x:v>
      </x:c>
    </x:row>
    <x:row r="303" ht="60" customHeight="1">
      <x:c r="A303" s="16" t="s">
        <x:v>1784</x:v>
      </x:c>
      <x:c r="B303" s="16" t="s">
        <x:v>1785</x:v>
      </x:c>
      <x:c r="C303" s="16" t="s">
        <x:v>1655</x:v>
      </x:c>
      <x:c r="D303" s="16" t="s">
        <x:v>1786</x:v>
      </x:c>
      <x:c r="E303" s="16" t="s">
        <x:v>151</x:v>
      </x:c>
      <x:c r="F303" s="16" t="s">
        <x:v>121</x:v>
      </x:c>
      <x:c r="G303" s="16" t="s">
        <x:v>134</x:v>
      </x:c>
      <x:c r="H303" s="17" t="s">
        <x:v>1787</x:v>
      </x:c>
      <x:c r="I303" s="17" t="s">
        <x:v>1788</x:v>
      </x:c>
      <x:c r="J303" s="17" t="s">
        <x:v>1789</x:v>
      </x:c>
      <x:c r="K303" s="17" t="s">
        <x:v>1660</x:v>
      </x:c>
      <x:c r="L303" s="17" t="s">
        <x:v>111</x:v>
      </x:c>
      <x:c r="M303" s="17" t="s">
        <x:v>1724</x:v>
      </x:c>
      <x:c r="N303" s="16"/>
      <x:c r="O303" s="18">
        <x:v>46249</x:v>
      </x:c>
      <x:c r="P303" s="19" t="s">
        <x:v>34</x:v>
      </x:c>
      <x:c r="Q303" s="17"/>
      <x:c r="R303" s="19" t="str">
        <x:f t="shared" si="4"/>
        <x:v>Discovery Link Only</x:v>
      </x:c>
      <x:c r="S303" s="43" t="str">
        <x:v>Unknown</x:v>
      </x:c>
      <x:c r="T303" s="43" t="str">
        <x:v>Unknown</x:v>
      </x:c>
      <x:c r="U303" s="43" t="str">
        <x:v>Unknown</x:v>
      </x:c>
      <x:c r="V303" s="43" t="str">
        <x:v>Unknown</x:v>
      </x:c>
      <x:c r="W303" s="43" t="str">
        <x:v>Unknown</x:v>
      </x:c>
      <x:c r="X303" s="43" t="str">
        <x:v>Unknown</x:v>
      </x:c>
      <x:c r="Y303" s="43" t="str">
        <x:v>Unknown</x:v>
      </x:c>
      <x:c r="Z303" s="43"/>
      <x:c r="AA303" s="43" t="str">
        <x:v>Excluded</x:v>
      </x:c>
      <x:c r="AB303" s="43" t="str">
        <x:v>No qualifying evidence source recorded</x:v>
      </x:c>
      <x:c r="AC303" s="43" t="str">
        <x:v>Excluded from Maya's elderly recommendation results because no source-backed elderly accessibility feature is recorded in the reviewed data. This does not mean the attraction is inaccessible.</x:v>
      </x:c>
      <x:c r="AD303" s="43" t="str">
        <x:v>2026-08-16</x:v>
      </x:c>
    </x:row>
    <x:row r="304" ht="60" customHeight="1">
      <x:c r="A304" s="16" t="s">
        <x:v>1790</x:v>
      </x:c>
      <x:c r="B304" s="16" t="s">
        <x:v>1791</x:v>
      </x:c>
      <x:c r="C304" s="16" t="s">
        <x:v>1655</x:v>
      </x:c>
      <x:c r="D304" s="16" t="s">
        <x:v>1786</x:v>
      </x:c>
      <x:c r="E304" s="16" t="s">
        <x:v>133</x:v>
      </x:c>
      <x:c r="F304" s="16" t="s">
        <x:v>121</x:v>
      </x:c>
      <x:c r="G304" s="16" t="s">
        <x:v>134</x:v>
      </x:c>
      <x:c r="H304" s="17" t="s">
        <x:v>1792</x:v>
      </x:c>
      <x:c r="I304" s="17" t="s">
        <x:v>1793</x:v>
      </x:c>
      <x:c r="J304" s="17" t="s">
        <x:v>1794</x:v>
      </x:c>
      <x:c r="K304" s="17" t="s">
        <x:v>1660</x:v>
      </x:c>
      <x:c r="L304" s="17" t="s">
        <x:v>111</x:v>
      </x:c>
      <x:c r="M304" s="17" t="s">
        <x:v>1724</x:v>
      </x:c>
      <x:c r="N304" s="16"/>
      <x:c r="O304" s="18">
        <x:v>46249</x:v>
      </x:c>
      <x:c r="P304" s="19" t="s">
        <x:v>34</x:v>
      </x:c>
      <x:c r="Q304" s="17"/>
      <x:c r="R304" s="19" t="str">
        <x:f t="shared" si="4"/>
        <x:v>Discovery Link Only</x:v>
      </x:c>
      <x:c r="S304" s="43" t="str">
        <x:v>Unknown</x:v>
      </x:c>
      <x:c r="T304" s="43" t="str">
        <x:v>Unknown</x:v>
      </x:c>
      <x:c r="U304" s="43" t="str">
        <x:v>Unknown</x:v>
      </x:c>
      <x:c r="V304" s="43" t="str">
        <x:v>Unknown</x:v>
      </x:c>
      <x:c r="W304" s="43" t="str">
        <x:v>Unknown</x:v>
      </x:c>
      <x:c r="X304" s="43" t="str">
        <x:v>Unknown</x:v>
      </x:c>
      <x:c r="Y304" s="43" t="str">
        <x:v>Unknown</x:v>
      </x:c>
      <x:c r="Z304" s="43"/>
      <x:c r="AA304" s="43" t="str">
        <x:v>Excluded</x:v>
      </x:c>
      <x:c r="AB304" s="43" t="str">
        <x:v>No qualifying evidence source recorded</x:v>
      </x:c>
      <x:c r="AC304" s="43" t="str">
        <x:v>Excluded from Maya's elderly recommendation results because no source-backed elderly accessibility feature is recorded in the reviewed data. This does not mean the attraction is inaccessible.</x:v>
      </x:c>
      <x:c r="AD304" s="43" t="str">
        <x:v>2026-08-16</x:v>
      </x:c>
    </x:row>
    <x:row r="305" ht="60" customHeight="1">
      <x:c r="A305" s="16" t="s">
        <x:v>1795</x:v>
      </x:c>
      <x:c r="B305" s="16" t="s">
        <x:v>1796</x:v>
      </x:c>
      <x:c r="C305" s="16" t="s">
        <x:v>1655</x:v>
      </x:c>
      <x:c r="D305" s="16" t="s">
        <x:v>1797</x:v>
      </x:c>
      <x:c r="E305" s="16" t="s">
        <x:v>99</x:v>
      </x:c>
      <x:c r="F305" s="16" t="s">
        <x:v>194</x:v>
      </x:c>
      <x:c r="G305" s="16" t="s">
        <x:v>46</x:v>
      </x:c>
      <x:c r="H305" s="17" t="s">
        <x:v>1798</x:v>
      </x:c>
      <x:c r="I305" s="17" t="s">
        <x:v>1799</x:v>
      </x:c>
      <x:c r="J305" s="17" t="s">
        <x:v>1800</x:v>
      </x:c>
      <x:c r="K305" s="17" t="s">
        <x:v>1660</x:v>
      </x:c>
      <x:c r="L305" s="17" t="s">
        <x:v>111</x:v>
      </x:c>
      <x:c r="M305" s="17" t="s">
        <x:v>1724</x:v>
      </x:c>
      <x:c r="N305" s="16"/>
      <x:c r="O305" s="18">
        <x:v>46249</x:v>
      </x:c>
      <x:c r="P305" s="19" t="s">
        <x:v>34</x:v>
      </x:c>
      <x:c r="Q305" s="17"/>
      <x:c r="R305" s="19" t="str">
        <x:f t="shared" si="4"/>
        <x:v>Discovery Link Only</x:v>
      </x:c>
      <x:c r="S305" s="43" t="str">
        <x:v>Unknown</x:v>
      </x:c>
      <x:c r="T305" s="43" t="str">
        <x:v>Unknown</x:v>
      </x:c>
      <x:c r="U305" s="43" t="str">
        <x:v>Unknown</x:v>
      </x:c>
      <x:c r="V305" s="43" t="str">
        <x:v>Unknown</x:v>
      </x:c>
      <x:c r="W305" s="43" t="str">
        <x:v>Unknown</x:v>
      </x:c>
      <x:c r="X305" s="43" t="str">
        <x:v>Unknown</x:v>
      </x:c>
      <x:c r="Y305" s="43" t="str">
        <x:v>Unknown</x:v>
      </x:c>
      <x:c r="Z305" s="43"/>
      <x:c r="AA305" s="43" t="str">
        <x:v>Excluded</x:v>
      </x:c>
      <x:c r="AB305" s="43" t="str">
        <x:v>No qualifying evidence source recorded</x:v>
      </x:c>
      <x:c r="AC305" s="43" t="str">
        <x:v>Excluded from Maya's elderly recommendation results because no source-backed elderly accessibility feature is recorded in the reviewed data. This does not mean the attraction is inaccessible.</x:v>
      </x:c>
      <x:c r="AD305" s="43" t="str">
        <x:v>2026-08-16</x:v>
      </x:c>
    </x:row>
    <x:row r="306" ht="60" customHeight="1">
      <x:c r="A306" s="16" t="s">
        <x:v>1801</x:v>
      </x:c>
      <x:c r="B306" s="16" t="s">
        <x:v>1802</x:v>
      </x:c>
      <x:c r="C306" s="16" t="s">
        <x:v>1655</x:v>
      </x:c>
      <x:c r="D306" s="16" t="s">
        <x:v>1803</x:v>
      </x:c>
      <x:c r="E306" s="16" t="s">
        <x:v>45</x:v>
      </x:c>
      <x:c r="F306" s="16" t="s">
        <x:v>107</x:v>
      </x:c>
      <x:c r="G306" s="16" t="s">
        <x:v>26</x:v>
      </x:c>
      <x:c r="H306" s="17" t="s">
        <x:v>1804</x:v>
      </x:c>
      <x:c r="I306" s="17" t="s">
        <x:v>1805</x:v>
      </x:c>
      <x:c r="J306" s="17" t="s">
        <x:v>1806</x:v>
      </x:c>
      <x:c r="K306" s="17" t="s">
        <x:v>1660</x:v>
      </x:c>
      <x:c r="L306" s="17" t="s">
        <x:v>111</x:v>
      </x:c>
      <x:c r="M306" s="17" t="s">
        <x:v>1724</x:v>
      </x:c>
      <x:c r="N306" s="16"/>
      <x:c r="O306" s="18">
        <x:v>46249</x:v>
      </x:c>
      <x:c r="P306" s="19" t="s">
        <x:v>34</x:v>
      </x:c>
      <x:c r="Q306" s="17"/>
      <x:c r="R306" s="19" t="str">
        <x:f t="shared" si="4"/>
        <x:v>Discovery Link Only</x:v>
      </x:c>
      <x:c r="S306" s="43" t="str">
        <x:v>Unknown</x:v>
      </x:c>
      <x:c r="T306" s="43" t="str">
        <x:v>Unknown</x:v>
      </x:c>
      <x:c r="U306" s="43" t="str">
        <x:v>Unknown</x:v>
      </x:c>
      <x:c r="V306" s="43" t="str">
        <x:v>Unknown</x:v>
      </x:c>
      <x:c r="W306" s="43" t="str">
        <x:v>Unknown</x:v>
      </x:c>
      <x:c r="X306" s="43" t="str">
        <x:v>Unknown</x:v>
      </x:c>
      <x:c r="Y306" s="43" t="str">
        <x:v>Unknown</x:v>
      </x:c>
      <x:c r="Z306" s="43"/>
      <x:c r="AA306" s="43" t="str">
        <x:v>Excluded</x:v>
      </x:c>
      <x:c r="AB306" s="43" t="str">
        <x:v>No qualifying evidence source recorded</x:v>
      </x:c>
      <x:c r="AC306" s="43" t="str">
        <x:v>Excluded from Maya's elderly recommendation results because no source-backed elderly accessibility feature is recorded in the reviewed data. This does not mean the attraction is inaccessible.</x:v>
      </x:c>
      <x:c r="AD306" s="43" t="str">
        <x:v>2026-08-16</x:v>
      </x:c>
    </x:row>
    <x:row r="307" ht="60" customHeight="1">
      <x:c r="A307" s="16" t="s">
        <x:v>1807</x:v>
      </x:c>
      <x:c r="B307" s="16" t="s">
        <x:v>1808</x:v>
      </x:c>
      <x:c r="C307" s="16" t="s">
        <x:v>1655</x:v>
      </x:c>
      <x:c r="D307" s="16" t="s">
        <x:v>1803</x:v>
      </x:c>
      <x:c r="E307" s="16" t="s">
        <x:v>37</x:v>
      </x:c>
      <x:c r="F307" s="16" t="s">
        <x:v>121</x:v>
      </x:c>
      <x:c r="G307" s="16" t="s">
        <x:v>26</x:v>
      </x:c>
      <x:c r="H307" s="17" t="s">
        <x:v>1809</x:v>
      </x:c>
      <x:c r="I307" s="17" t="s">
        <x:v>1810</x:v>
      </x:c>
      <x:c r="J307" s="17" t="s">
        <x:v>1811</x:v>
      </x:c>
      <x:c r="K307" s="17" t="s">
        <x:v>1660</x:v>
      </x:c>
      <x:c r="L307" s="17" t="s">
        <x:v>111</x:v>
      </x:c>
      <x:c r="M307" s="17" t="s">
        <x:v>1724</x:v>
      </x:c>
      <x:c r="N307" s="16"/>
      <x:c r="O307" s="18">
        <x:v>46249</x:v>
      </x:c>
      <x:c r="P307" s="19" t="s">
        <x:v>34</x:v>
      </x:c>
      <x:c r="Q307" s="17"/>
      <x:c r="R307" s="19" t="str">
        <x:f t="shared" si="4"/>
        <x:v>Discovery Link Only</x:v>
      </x:c>
      <x:c r="S307" s="43" t="str">
        <x:v>Unknown</x:v>
      </x:c>
      <x:c r="T307" s="43" t="str">
        <x:v>Unknown</x:v>
      </x:c>
      <x:c r="U307" s="43" t="str">
        <x:v>Unknown</x:v>
      </x:c>
      <x:c r="V307" s="43" t="str">
        <x:v>Unknown</x:v>
      </x:c>
      <x:c r="W307" s="43" t="str">
        <x:v>Unknown</x:v>
      </x:c>
      <x:c r="X307" s="43" t="str">
        <x:v>Unknown</x:v>
      </x:c>
      <x:c r="Y307" s="43" t="str">
        <x:v>Unknown</x:v>
      </x:c>
      <x:c r="Z307" s="43"/>
      <x:c r="AA307" s="43" t="str">
        <x:v>Excluded</x:v>
      </x:c>
      <x:c r="AB307" s="43" t="str">
        <x:v>No qualifying evidence source recorded</x:v>
      </x:c>
      <x:c r="AC307" s="43" t="str">
        <x:v>Excluded from Maya's elderly recommendation results because no source-backed elderly accessibility feature is recorded in the reviewed data. This does not mean the attraction is inaccessible.</x:v>
      </x:c>
      <x:c r="AD307" s="43" t="str">
        <x:v>2026-08-16</x:v>
      </x:c>
    </x:row>
    <x:row r="308" ht="60" customHeight="1">
      <x:c r="A308" s="16" t="s">
        <x:v>1812</x:v>
      </x:c>
      <x:c r="B308" s="16" t="s">
        <x:v>1813</x:v>
      </x:c>
      <x:c r="C308" s="16" t="s">
        <x:v>1655</x:v>
      </x:c>
      <x:c r="D308" s="16" t="s">
        <x:v>1695</x:v>
      </x:c>
      <x:c r="E308" s="16" t="s">
        <x:v>72</x:v>
      </x:c>
      <x:c r="F308" s="16" t="s">
        <x:v>127</x:v>
      </x:c>
      <x:c r="G308" s="16" t="s">
        <x:v>26</x:v>
      </x:c>
      <x:c r="H308" s="17" t="s">
        <x:v>1814</x:v>
      </x:c>
      <x:c r="I308" s="17" t="s">
        <x:v>1815</x:v>
      </x:c>
      <x:c r="J308" s="17" t="s">
        <x:v>1816</x:v>
      </x:c>
      <x:c r="K308" s="17" t="s">
        <x:v>1660</x:v>
      </x:c>
      <x:c r="L308" s="17" t="s">
        <x:v>111</x:v>
      </x:c>
      <x:c r="M308" s="17" t="s">
        <x:v>1724</x:v>
      </x:c>
      <x:c r="N308" s="16"/>
      <x:c r="O308" s="18">
        <x:v>46249</x:v>
      </x:c>
      <x:c r="P308" s="19" t="s">
        <x:v>34</x:v>
      </x:c>
      <x:c r="Q308" s="17"/>
      <x:c r="R308" s="19" t="str">
        <x:f t="shared" si="4"/>
        <x:v>Discovery Link Only</x:v>
      </x:c>
      <x:c r="S308" s="43" t="str">
        <x:v>Unknown</x:v>
      </x:c>
      <x:c r="T308" s="43" t="str">
        <x:v>Unknown</x:v>
      </x:c>
      <x:c r="U308" s="43" t="str">
        <x:v>Unknown</x:v>
      </x:c>
      <x:c r="V308" s="43" t="str">
        <x:v>Unknown</x:v>
      </x:c>
      <x:c r="W308" s="43" t="str">
        <x:v>Unknown</x:v>
      </x:c>
      <x:c r="X308" s="43" t="str">
        <x:v>Unknown</x:v>
      </x:c>
      <x:c r="Y308" s="43" t="str">
        <x:v>Unknown</x:v>
      </x:c>
      <x:c r="Z308" s="43"/>
      <x:c r="AA308" s="43" t="str">
        <x:v>Excluded</x:v>
      </x:c>
      <x:c r="AB308" s="43" t="str">
        <x:v>No qualifying evidence source recorded</x:v>
      </x:c>
      <x:c r="AC308" s="43" t="str">
        <x:v>Excluded from Maya's elderly recommendation results because no source-backed elderly accessibility feature is recorded in the reviewed data. This does not mean the attraction is inaccessible.</x:v>
      </x:c>
      <x:c r="AD308" s="43" t="str">
        <x:v>2026-08-16</x:v>
      </x:c>
    </x:row>
    <x:row r="309" ht="60" customHeight="1">
      <x:c r="A309" s="16" t="s">
        <x:v>1817</x:v>
      </x:c>
      <x:c r="B309" s="16" t="s">
        <x:v>1818</x:v>
      </x:c>
      <x:c r="C309" s="16" t="s">
        <x:v>1655</x:v>
      </x:c>
      <x:c r="D309" s="16" t="s">
        <x:v>1695</x:v>
      </x:c>
      <x:c r="E309" s="16" t="s">
        <x:v>115</x:v>
      </x:c>
      <x:c r="F309" s="16" t="s">
        <x:v>107</x:v>
      </x:c>
      <x:c r="G309" s="16" t="s">
        <x:v>46</x:v>
      </x:c>
      <x:c r="H309" s="17" t="s">
        <x:v>1819</x:v>
      </x:c>
      <x:c r="I309" s="17" t="s">
        <x:v>1820</x:v>
      </x:c>
      <x:c r="J309" s="17" t="s">
        <x:v>1821</x:v>
      </x:c>
      <x:c r="K309" s="17" t="s">
        <x:v>1660</x:v>
      </x:c>
      <x:c r="L309" s="17" t="s">
        <x:v>111</x:v>
      </x:c>
      <x:c r="M309" s="17" t="s">
        <x:v>1724</x:v>
      </x:c>
      <x:c r="N309" s="16"/>
      <x:c r="O309" s="18">
        <x:v>46249</x:v>
      </x:c>
      <x:c r="P309" s="19" t="s">
        <x:v>34</x:v>
      </x:c>
      <x:c r="Q309" s="17"/>
      <x:c r="R309" s="19" t="str">
        <x:f t="shared" si="4"/>
        <x:v>Discovery Link Only</x:v>
      </x:c>
      <x:c r="S309" s="43" t="str">
        <x:v>Unknown</x:v>
      </x:c>
      <x:c r="T309" s="43" t="str">
        <x:v>Unknown</x:v>
      </x:c>
      <x:c r="U309" s="43" t="str">
        <x:v>Unknown</x:v>
      </x:c>
      <x:c r="V309" s="43" t="str">
        <x:v>Unknown</x:v>
      </x:c>
      <x:c r="W309" s="43" t="str">
        <x:v>Unknown</x:v>
      </x:c>
      <x:c r="X309" s="43" t="str">
        <x:v>Unknown</x:v>
      </x:c>
      <x:c r="Y309" s="43" t="str">
        <x:v>Unknown</x:v>
      </x:c>
      <x:c r="Z309" s="43"/>
      <x:c r="AA309" s="43" t="str">
        <x:v>Excluded</x:v>
      </x:c>
      <x:c r="AB309" s="43" t="str">
        <x:v>No qualifying evidence source recorded</x:v>
      </x:c>
      <x:c r="AC309" s="43" t="str">
        <x:v>Excluded from Maya's elderly recommendation results because no source-backed elderly accessibility feature is recorded in the reviewed data. This does not mean the attraction is inaccessible.</x:v>
      </x:c>
      <x:c r="AD309" s="43" t="str">
        <x:v>2026-08-16</x:v>
      </x:c>
    </x:row>
    <x:row r="310" ht="60" customHeight="1">
      <x:c r="A310" s="16" t="s">
        <x:v>1822</x:v>
      </x:c>
      <x:c r="B310" s="16" t="s">
        <x:v>1823</x:v>
      </x:c>
      <x:c r="C310" s="16" t="s">
        <x:v>1655</x:v>
      </x:c>
      <x:c r="D310" s="16" t="s">
        <x:v>1824</x:v>
      </x:c>
      <x:c r="E310" s="16" t="s">
        <x:v>45</x:v>
      </x:c>
      <x:c r="F310" s="16" t="s">
        <x:v>121</x:v>
      </x:c>
      <x:c r="G310" s="16" t="s">
        <x:v>26</x:v>
      </x:c>
      <x:c r="H310" s="17" t="s">
        <x:v>1825</x:v>
      </x:c>
      <x:c r="I310" s="17" t="s">
        <x:v>1826</x:v>
      </x:c>
      <x:c r="J310" s="17" t="s">
        <x:v>1827</x:v>
      </x:c>
      <x:c r="K310" s="17" t="s">
        <x:v>1660</x:v>
      </x:c>
      <x:c r="L310" s="17" t="s">
        <x:v>111</x:v>
      </x:c>
      <x:c r="M310" s="17" t="s">
        <x:v>1724</x:v>
      </x:c>
      <x:c r="N310" s="16"/>
      <x:c r="O310" s="18">
        <x:v>46249</x:v>
      </x:c>
      <x:c r="P310" s="19" t="s">
        <x:v>34</x:v>
      </x:c>
      <x:c r="Q310" s="17"/>
      <x:c r="R310" s="19" t="str">
        <x:f t="shared" si="4"/>
        <x:v>Discovery Link Only</x:v>
      </x:c>
      <x:c r="S310" s="43" t="str">
        <x:v>Unknown</x:v>
      </x:c>
      <x:c r="T310" s="43" t="str">
        <x:v>Unknown</x:v>
      </x:c>
      <x:c r="U310" s="43" t="str">
        <x:v>Unknown</x:v>
      </x:c>
      <x:c r="V310" s="43" t="str">
        <x:v>Unknown</x:v>
      </x:c>
      <x:c r="W310" s="43" t="str">
        <x:v>Unknown</x:v>
      </x:c>
      <x:c r="X310" s="43" t="str">
        <x:v>Unknown</x:v>
      </x:c>
      <x:c r="Y310" s="43" t="str">
        <x:v>Unknown</x:v>
      </x:c>
      <x:c r="Z310" s="43"/>
      <x:c r="AA310" s="43" t="str">
        <x:v>Excluded</x:v>
      </x:c>
      <x:c r="AB310" s="43" t="str">
        <x:v>No qualifying evidence source recorded</x:v>
      </x:c>
      <x:c r="AC310" s="43" t="str">
        <x:v>Excluded from Maya's elderly recommendation results because no source-backed elderly accessibility feature is recorded in the reviewed data. This does not mean the attraction is inaccessible.</x:v>
      </x:c>
      <x:c r="AD310" s="43" t="str">
        <x:v>2026-08-16</x:v>
      </x:c>
    </x:row>
    <x:row r="311" ht="60" customHeight="1">
      <x:c r="A311" s="16" t="s">
        <x:v>1828</x:v>
      </x:c>
      <x:c r="B311" s="16" t="s">
        <x:v>1829</x:v>
      </x:c>
      <x:c r="C311" s="16" t="s">
        <x:v>1655</x:v>
      </x:c>
      <x:c r="D311" s="16" t="s">
        <x:v>1830</x:v>
      </x:c>
      <x:c r="E311" s="16" t="s">
        <x:v>99</x:v>
      </x:c>
      <x:c r="F311" s="16" t="s">
        <x:v>194</x:v>
      </x:c>
      <x:c r="G311" s="16" t="s">
        <x:v>46</x:v>
      </x:c>
      <x:c r="H311" s="17" t="s">
        <x:v>1831</x:v>
      </x:c>
      <x:c r="I311" s="17" t="s">
        <x:v>1832</x:v>
      </x:c>
      <x:c r="J311" s="17" t="s">
        <x:v>1833</x:v>
      </x:c>
      <x:c r="K311" s="17" t="s">
        <x:v>1660</x:v>
      </x:c>
      <x:c r="L311" s="17" t="s">
        <x:v>111</x:v>
      </x:c>
      <x:c r="M311" s="17" t="s">
        <x:v>1724</x:v>
      </x:c>
      <x:c r="N311" s="16"/>
      <x:c r="O311" s="18">
        <x:v>46249</x:v>
      </x:c>
      <x:c r="P311" s="19" t="s">
        <x:v>34</x:v>
      </x:c>
      <x:c r="Q311" s="17"/>
      <x:c r="R311" s="19" t="str">
        <x:f t="shared" si="4"/>
        <x:v>Discovery Link Only</x:v>
      </x:c>
      <x:c r="S311" s="43" t="str">
        <x:v>Unknown</x:v>
      </x:c>
      <x:c r="T311" s="43" t="str">
        <x:v>Unknown</x:v>
      </x:c>
      <x:c r="U311" s="43" t="str">
        <x:v>Unknown</x:v>
      </x:c>
      <x:c r="V311" s="43" t="str">
        <x:v>Unknown</x:v>
      </x:c>
      <x:c r="W311" s="43" t="str">
        <x:v>Unknown</x:v>
      </x:c>
      <x:c r="X311" s="43" t="str">
        <x:v>Unknown</x:v>
      </x:c>
      <x:c r="Y311" s="43" t="str">
        <x:v>Unknown</x:v>
      </x:c>
      <x:c r="Z311" s="43"/>
      <x:c r="AA311" s="43" t="str">
        <x:v>Excluded</x:v>
      </x:c>
      <x:c r="AB311" s="43" t="str">
        <x:v>No qualifying evidence source recorded</x:v>
      </x:c>
      <x:c r="AC311" s="43" t="str">
        <x:v>Excluded from Maya's elderly recommendation results because no source-backed elderly accessibility feature is recorded in the reviewed data. This does not mean the attraction is inaccessible.</x:v>
      </x:c>
      <x:c r="AD311" s="43" t="str">
        <x:v>2026-08-16</x:v>
      </x:c>
    </x:row>
    <x:row r="312" ht="60" customHeight="1">
      <x:c r="A312" s="16" t="s">
        <x:v>1834</x:v>
      </x:c>
      <x:c r="B312" s="16" t="s">
        <x:v>1835</x:v>
      </x:c>
      <x:c r="C312" s="16" t="s">
        <x:v>1655</x:v>
      </x:c>
      <x:c r="D312" s="16" t="s">
        <x:v>1836</x:v>
      </x:c>
      <x:c r="E312" s="16" t="s">
        <x:v>99</x:v>
      </x:c>
      <x:c r="F312" s="16" t="s">
        <x:v>194</x:v>
      </x:c>
      <x:c r="G312" s="16" t="s">
        <x:v>46</x:v>
      </x:c>
      <x:c r="H312" s="17" t="s">
        <x:v>1837</x:v>
      </x:c>
      <x:c r="I312" s="17" t="s">
        <x:v>1838</x:v>
      </x:c>
      <x:c r="J312" s="17" t="s">
        <x:v>1839</x:v>
      </x:c>
      <x:c r="K312" s="17" t="s">
        <x:v>1660</x:v>
      </x:c>
      <x:c r="L312" s="17" t="s">
        <x:v>111</x:v>
      </x:c>
      <x:c r="M312" s="17" t="s">
        <x:v>1724</x:v>
      </x:c>
      <x:c r="N312" s="16"/>
      <x:c r="O312" s="18">
        <x:v>46249</x:v>
      </x:c>
      <x:c r="P312" s="19" t="s">
        <x:v>34</x:v>
      </x:c>
      <x:c r="Q312" s="17"/>
      <x:c r="R312" s="19" t="str">
        <x:f t="shared" si="4"/>
        <x:v>Discovery Link Only</x:v>
      </x:c>
      <x:c r="S312" s="43" t="str">
        <x:v>Unknown</x:v>
      </x:c>
      <x:c r="T312" s="43" t="str">
        <x:v>Unknown</x:v>
      </x:c>
      <x:c r="U312" s="43" t="str">
        <x:v>Unknown</x:v>
      </x:c>
      <x:c r="V312" s="43" t="str">
        <x:v>Unknown</x:v>
      </x:c>
      <x:c r="W312" s="43" t="str">
        <x:v>Unknown</x:v>
      </x:c>
      <x:c r="X312" s="43" t="str">
        <x:v>Unknown</x:v>
      </x:c>
      <x:c r="Y312" s="43" t="str">
        <x:v>Unknown</x:v>
      </x:c>
      <x:c r="Z312" s="43"/>
      <x:c r="AA312" s="43" t="str">
        <x:v>Excluded</x:v>
      </x:c>
      <x:c r="AB312" s="43" t="str">
        <x:v>No qualifying evidence source recorded</x:v>
      </x:c>
      <x:c r="AC312" s="43" t="str">
        <x:v>Excluded from Maya's elderly recommendation results because no source-backed elderly accessibility feature is recorded in the reviewed data. This does not mean the attraction is inaccessible.</x:v>
      </x:c>
      <x:c r="AD312" s="43" t="str">
        <x:v>2026-08-16</x:v>
      </x:c>
    </x:row>
    <x:row r="313" ht="60" customHeight="1">
      <x:c r="A313" s="16" t="s">
        <x:v>1840</x:v>
      </x:c>
      <x:c r="B313" s="16" t="s">
        <x:v>1841</x:v>
      </x:c>
      <x:c r="C313" s="16" t="s">
        <x:v>1655</x:v>
      </x:c>
      <x:c r="D313" s="16" t="s">
        <x:v>1842</x:v>
      </x:c>
      <x:c r="E313" s="16" t="s">
        <x:v>45</x:v>
      </x:c>
      <x:c r="F313" s="16" t="s">
        <x:v>194</x:v>
      </x:c>
      <x:c r="G313" s="16" t="s">
        <x:v>26</x:v>
      </x:c>
      <x:c r="H313" s="17" t="s">
        <x:v>1843</x:v>
      </x:c>
      <x:c r="I313" s="17" t="s">
        <x:v>1844</x:v>
      </x:c>
      <x:c r="J313" s="17" t="s">
        <x:v>1845</x:v>
      </x:c>
      <x:c r="K313" s="17" t="s">
        <x:v>1660</x:v>
      </x:c>
      <x:c r="L313" s="17" t="s">
        <x:v>111</x:v>
      </x:c>
      <x:c r="M313" s="17" t="s">
        <x:v>1724</x:v>
      </x:c>
      <x:c r="N313" s="16"/>
      <x:c r="O313" s="18">
        <x:v>46249</x:v>
      </x:c>
      <x:c r="P313" s="19" t="s">
        <x:v>34</x:v>
      </x:c>
      <x:c r="Q313" s="17"/>
      <x:c r="R313" s="19" t="str">
        <x:f t="shared" si="4"/>
        <x:v>Discovery Link Only</x:v>
      </x:c>
      <x:c r="S313" s="43" t="str">
        <x:v>Unknown</x:v>
      </x:c>
      <x:c r="T313" s="43" t="str">
        <x:v>Unknown</x:v>
      </x:c>
      <x:c r="U313" s="43" t="str">
        <x:v>Unknown</x:v>
      </x:c>
      <x:c r="V313" s="43" t="str">
        <x:v>Unknown</x:v>
      </x:c>
      <x:c r="W313" s="43" t="str">
        <x:v>Unknown</x:v>
      </x:c>
      <x:c r="X313" s="43" t="str">
        <x:v>Unknown</x:v>
      </x:c>
      <x:c r="Y313" s="43" t="str">
        <x:v>Unknown</x:v>
      </x:c>
      <x:c r="Z313" s="43"/>
      <x:c r="AA313" s="43" t="str">
        <x:v>Excluded</x:v>
      </x:c>
      <x:c r="AB313" s="43" t="str">
        <x:v>No qualifying evidence source recorded</x:v>
      </x:c>
      <x:c r="AC313" s="43" t="str">
        <x:v>Excluded from Maya's elderly recommendation results because no source-backed elderly accessibility feature is recorded in the reviewed data. This does not mean the attraction is inaccessible.</x:v>
      </x:c>
      <x:c r="AD313" s="43" t="str">
        <x:v>2026-08-16</x:v>
      </x:c>
    </x:row>
    <x:row r="314" ht="60" customHeight="1">
      <x:c r="A314" s="16" t="s">
        <x:v>1846</x:v>
      </x:c>
      <x:c r="B314" s="16" t="s">
        <x:v>1847</x:v>
      </x:c>
      <x:c r="C314" s="16" t="s">
        <x:v>1848</x:v>
      </x:c>
      <x:c r="D314" s="16" t="s">
        <x:v>1849</x:v>
      </x:c>
      <x:c r="E314" s="16" t="s">
        <x:v>72</x:v>
      </x:c>
      <x:c r="F314" s="16" t="s">
        <x:v>121</x:v>
      </x:c>
      <x:c r="G314" s="16" t="s">
        <x:v>46</x:v>
      </x:c>
      <x:c r="H314" s="17" t="s">
        <x:v>1850</x:v>
      </x:c>
      <x:c r="I314" s="17" t="s">
        <x:v>1851</x:v>
      </x:c>
      <x:c r="J314" s="17" t="s">
        <x:v>1852</x:v>
      </x:c>
      <x:c r="K314" s="17" t="s">
        <x:v>1853</x:v>
      </x:c>
      <x:c r="L314" s="17" t="s">
        <x:v>58</x:v>
      </x:c>
      <x:c r="M314" s="17" t="s">
        <x:v>256</x:v>
      </x:c>
      <x:c r="N314" s="16" t="s">
        <x:v>1854</x:v>
      </x:c>
      <x:c r="O314" s="18">
        <x:v>46249</x:v>
      </x:c>
      <x:c r="P314" s="19" t="s">
        <x:v>34</x:v>
      </x:c>
      <x:c r="Q314" s="17"/>
      <x:c r="R314" s="19" t="str">
        <x:f t="shared" si="4"/>
        <x:v>Source Link Present</x:v>
      </x:c>
      <x:c r="S314" s="43" t="str">
        <x:v>Unknown</x:v>
      </x:c>
      <x:c r="T314" s="43" t="str">
        <x:v>Unknown</x:v>
      </x:c>
      <x:c r="U314" s="43" t="str">
        <x:v>Unknown</x:v>
      </x:c>
      <x:c r="V314" s="43" t="str">
        <x:v>Unknown</x:v>
      </x:c>
      <x:c r="W314" s="43" t="str">
        <x:v>Unknown</x:v>
      </x:c>
      <x:c r="X314" s="43" t="str">
        <x:v>Unknown</x:v>
      </x:c>
      <x:c r="Y314" s="43" t="str">
        <x:v>Unknown</x:v>
      </x:c>
      <x:c r="Z314" s="43"/>
      <x:c r="AA314" s="43" t="str">
        <x:v>Eligible</x:v>
      </x:c>
      <x:c r="AB314" s="43" t="str">
        <x:v>https://www.malaysia.travel/explore/pulau-ketam
https://www.pulauketam.com/v3/ferry-schedule/
https://selangor.travel/wp-content/uploads/2017/04/TS2025_DIRECTORY_Screen_Sp-1.pdf
https://selangor.travel/exploring-royal-klang-a-journey-through-heritage-culture-and-flavours/
https://selangor.travel/wp-content/uploads/2023/03/TS_SPLENDID-SELANGOR-TRAVEL-ITINERARY_compressed.pdf
https://www.mbdk.gov.my/en/tourism/tourist-spot
https://mygeoname.mygeoportal.gov.my/pdf/10.pdf</x:v>
      </x:c>
      <x:c r="AC314" s="43" t="str">
        <x:v>Included in Maya's elderly recommendation results: The village has mostly flat wooden or concrete boardwalks, although ferry transfer remains a barrier.</x:v>
      </x:c>
      <x:c r="AD314" s="43" t="str">
        <x:v>2026-08-16</x:v>
      </x:c>
    </x:row>
    <x:row r="315" ht="60" customHeight="1">
      <x:c r="A315" s="16" t="s">
        <x:v>1855</x:v>
      </x:c>
      <x:c r="B315" s="16" t="s">
        <x:v>1856</x:v>
      </x:c>
      <x:c r="C315" s="16" t="s">
        <x:v>1848</x:v>
      </x:c>
      <x:c r="D315" s="16" t="s">
        <x:v>1857</x:v>
      </x:c>
      <x:c r="E315" s="16" t="s">
        <x:v>106</x:v>
      </x:c>
      <x:c r="F315" s="16" t="s">
        <x:v>25</x:v>
      </x:c>
      <x:c r="G315" s="16" t="s">
        <x:v>46</x:v>
      </x:c>
      <x:c r="H315" s="17" t="s">
        <x:v>1858</x:v>
      </x:c>
      <x:c r="I315" s="17" t="s">
        <x:v>1859</x:v>
      </x:c>
      <x:c r="J315" s="17" t="s">
        <x:v>1860</x:v>
      </x:c>
      <x:c r="K315" s="17" t="s">
        <x:v>1853</x:v>
      </x:c>
      <x:c r="L315" s="17" t="s">
        <x:v>58</x:v>
      </x:c>
      <x:c r="M315" s="17" t="s">
        <x:v>256</x:v>
      </x:c>
      <x:c r="N315" s="16" t="s">
        <x:v>1861</x:v>
      </x:c>
      <x:c r="O315" s="18">
        <x:v>46249</x:v>
      </x:c>
      <x:c r="P315" s="19" t="s">
        <x:v>34</x:v>
      </x:c>
      <x:c r="Q315" s="17"/>
      <x:c r="R315" s="19" t="str">
        <x:f t="shared" si="4"/>
        <x:v>Source Link Present</x:v>
      </x:c>
      <x:c r="S315" s="43" t="str">
        <x:v>Unknown</x:v>
      </x:c>
      <x:c r="T315" s="43" t="str">
        <x:v>Unknown</x:v>
      </x:c>
      <x:c r="U315" s="43" t="str">
        <x:v>Unknown</x:v>
      </x:c>
      <x:c r="V315" s="43" t="str">
        <x:v>Unknown</x:v>
      </x:c>
      <x:c r="W315" s="43" t="str">
        <x:v>Unknown</x:v>
      </x:c>
      <x:c r="X315" s="43" t="str">
        <x:v>Unknown</x:v>
      </x:c>
      <x:c r="Y315" s="43" t="str">
        <x:v>Unknown</x:v>
      </x:c>
      <x:c r="Z315" s="43"/>
      <x:c r="AA315" s="43" t="str">
        <x:v>Eligible</x:v>
      </x:c>
      <x:c r="AB315" s="43" t="str">
        <x:v>https://www.malaysia.travel/explore/batu-caves
https://www.malaysia.travel/explore/4-top-cultural-destinations-in-selangor
https://selangor.travel/listing/batu-caves/
https://www.tourism.gov.my/media/view/vm2026-strenghtens-visibility-at-thaipusam-festival-batu-caves
https://www.ktmb.com.my/komuter.html
https://www.ktmb.com.my/TrainTime.html
https://www.mps.gov.my/ms/batu-caves
https://www.mindat.org/loc-312776.html</x:v>
      </x:c>
      <x:c r="AC315" s="43" t="str">
        <x:v>Included in Maya's elderly recommendation results: Ground-level areas can be visited without climbing, although the main Temple Cave requires 272 steps.</x:v>
      </x:c>
      <x:c r="AD315" s="43" t="str">
        <x:v>2026-08-16</x:v>
      </x:c>
    </x:row>
    <x:row r="316" ht="60" customHeight="1">
      <x:c r="A316" s="16" t="s">
        <x:v>1862</x:v>
      </x:c>
      <x:c r="B316" s="16" t="s">
        <x:v>1863</x:v>
      </x:c>
      <x:c r="C316" s="16" t="s">
        <x:v>1848</x:v>
      </x:c>
      <x:c r="D316" s="16" t="s">
        <x:v>1864</x:v>
      </x:c>
      <x:c r="E316" s="16" t="s">
        <x:v>64</x:v>
      </x:c>
      <x:c r="F316" s="16" t="s">
        <x:v>25</x:v>
      </x:c>
      <x:c r="G316" s="16" t="s">
        <x:v>46</x:v>
      </x:c>
      <x:c r="H316" s="17" t="s">
        <x:v>1865</x:v>
      </x:c>
      <x:c r="I316" s="17" t="s">
        <x:v>1866</x:v>
      </x:c>
      <x:c r="J316" s="17" t="s">
        <x:v>1867</x:v>
      </x:c>
      <x:c r="K316" s="17" t="s">
        <x:v>1853</x:v>
      </x:c>
      <x:c r="L316" s="17" t="s">
        <x:v>58</x:v>
      </x:c>
      <x:c r="M316" s="17" t="s">
        <x:v>256</x:v>
      </x:c>
      <x:c r="N316" s="16" t="s">
        <x:v>1868</x:v>
      </x:c>
      <x:c r="O316" s="18">
        <x:v>46249</x:v>
      </x:c>
      <x:c r="P316" s="19" t="s">
        <x:v>34</x:v>
      </x:c>
      <x:c r="Q316" s="17"/>
      <x:c r="R316" s="19" t="str">
        <x:f t="shared" si="4"/>
        <x:v>Source Link Present</x:v>
      </x:c>
      <x:c r="S316" s="43" t="str">
        <x:v>Unknown</x:v>
      </x:c>
      <x:c r="T316" s="43" t="str">
        <x:v>Unknown</x:v>
      </x:c>
      <x:c r="U316" s="43" t="str">
        <x:v>Unknown</x:v>
      </x:c>
      <x:c r="V316" s="43" t="str">
        <x:v>Unknown</x:v>
      </x:c>
      <x:c r="W316" s="43" t="str">
        <x:v>Unknown</x:v>
      </x:c>
      <x:c r="X316" s="43" t="str">
        <x:v>Unknown</x:v>
      </x:c>
      <x:c r="Y316" s="43" t="str">
        <x:v>Unknown</x:v>
      </x:c>
      <x:c r="Z316" s="43"/>
      <x:c r="AA316" s="43" t="str">
        <x:v>Eligible</x:v>
      </x:c>
      <x:c r="AB316" s="43" t="str">
        <x:v>https://www.malaysia.travel/explore/sunway-lagoon
https://sunwaylagoon.com/
https://sunwaylagoon.com/pricing/
https://sunwaylagoon.com/etickets/
https://sunwaylagoon.com/frequently-asked-questions/
https://sunwaylagoon.com/park-rules/
https://sunwaylagoon.com/how-to-get-here/
https://sunwaylagoon.com/quack-xpress/</x:v>
      </x:c>
      <x:c r="AC316" s="43" t="str">
        <x:v>Included in Maya's elderly recommendation results: Wheelchairs are available for rent; individual ride restrictions still apply.</x:v>
      </x:c>
      <x:c r="AD316" s="43" t="str">
        <x:v>2026-08-16</x:v>
      </x:c>
    </x:row>
    <x:row r="317" ht="60" customHeight="1">
      <x:c r="A317" s="16" t="s">
        <x:v>1869</x:v>
      </x:c>
      <x:c r="B317" s="16" t="s">
        <x:v>1870</x:v>
      </x:c>
      <x:c r="C317" s="16" t="s">
        <x:v>1848</x:v>
      </x:c>
      <x:c r="D317" s="16" t="s">
        <x:v>1871</x:v>
      </x:c>
      <x:c r="E317" s="16" t="s">
        <x:v>64</x:v>
      </x:c>
      <x:c r="F317" s="16" t="s">
        <x:v>25</x:v>
      </x:c>
      <x:c r="G317" s="16" t="s">
        <x:v>46</x:v>
      </x:c>
      <x:c r="H317" s="17" t="s">
        <x:v>1872</x:v>
      </x:c>
      <x:c r="I317" s="17" t="s">
        <x:v>1873</x:v>
      </x:c>
      <x:c r="J317" s="17" t="s">
        <x:v>1874</x:v>
      </x:c>
      <x:c r="K317" s="17" t="s">
        <x:v>1853</x:v>
      </x:c>
      <x:c r="L317" s="17" t="s">
        <x:v>58</x:v>
      </x:c>
      <x:c r="M317" s="17" t="s">
        <x:v>256</x:v>
      </x:c>
      <x:c r="N317" s="16" t="s">
        <x:v>1875</x:v>
      </x:c>
      <x:c r="O317" s="18">
        <x:v>46249</x:v>
      </x:c>
      <x:c r="P317" s="19" t="s">
        <x:v>34</x:v>
      </x:c>
      <x:c r="Q317" s="17"/>
      <x:c r="R317" s="19" t="str">
        <x:f t="shared" si="4"/>
        <x:v>Discovery Link Only</x:v>
      </x:c>
      <x:c r="S317" s="43" t="str">
        <x:v>Unknown</x:v>
      </x:c>
      <x:c r="T317" s="43" t="str">
        <x:v>Unknown</x:v>
      </x:c>
      <x:c r="U317" s="43" t="str">
        <x:v>Unknown</x:v>
      </x:c>
      <x:c r="V317" s="43" t="str">
        <x:v>Unknown</x:v>
      </x:c>
      <x:c r="W317" s="43" t="str">
        <x:v>Unknown</x:v>
      </x:c>
      <x:c r="X317" s="43" t="str">
        <x:v>Unknown</x:v>
      </x:c>
      <x:c r="Y317" s="43" t="str">
        <x:v>Unknown</x:v>
      </x:c>
      <x:c r="Z317" s="43"/>
      <x:c r="AA317" s="43" t="str">
        <x:v>Excluded</x:v>
      </x:c>
      <x:c r="AB317" s="43" t="str">
        <x:v>No qualifying evidence source recorded</x:v>
      </x:c>
      <x:c r="AC317" s="43" t="str">
        <x:v>Excluded from Maya's elderly recommendation results because no source-backed elderly accessibility feature is recorded in the reviewed data. This does not mean the attraction is inaccessible.</x:v>
      </x:c>
      <x:c r="AD317" s="43" t="str">
        <x:v>2026-08-16</x:v>
      </x:c>
    </x:row>
    <x:row r="318" ht="60" customHeight="1">
      <x:c r="A318" s="16" t="s">
        <x:v>1876</x:v>
      </x:c>
      <x:c r="B318" s="16" t="s">
        <x:v>1877</x:v>
      </x:c>
      <x:c r="C318" s="16" t="s">
        <x:v>1848</x:v>
      </x:c>
      <x:c r="D318" s="16" t="s">
        <x:v>1878</x:v>
      </x:c>
      <x:c r="E318" s="16" t="s">
        <x:v>45</x:v>
      </x:c>
      <x:c r="F318" s="16" t="s">
        <x:v>25</x:v>
      </x:c>
      <x:c r="G318" s="16" t="s">
        <x:v>26</x:v>
      </x:c>
      <x:c r="H318" s="17" t="s">
        <x:v>1879</x:v>
      </x:c>
      <x:c r="I318" s="17" t="s">
        <x:v>1880</x:v>
      </x:c>
      <x:c r="J318" s="17" t="s">
        <x:v>1881</x:v>
      </x:c>
      <x:c r="K318" s="17" t="s">
        <x:v>1853</x:v>
      </x:c>
      <x:c r="L318" s="17" t="s">
        <x:v>58</x:v>
      </x:c>
      <x:c r="M318" s="17" t="s">
        <x:v>256</x:v>
      </x:c>
      <x:c r="N318" s="16" t="s">
        <x:v>1882</x:v>
      </x:c>
      <x:c r="O318" s="18">
        <x:v>46249</x:v>
      </x:c>
      <x:c r="P318" s="19" t="s">
        <x:v>34</x:v>
      </x:c>
      <x:c r="Q318" s="17"/>
      <x:c r="R318" s="19" t="str">
        <x:f t="shared" si="4"/>
        <x:v>Discovery Link Only</x:v>
      </x:c>
      <x:c r="S318" s="43" t="str">
        <x:v>Unknown</x:v>
      </x:c>
      <x:c r="T318" s="43" t="str">
        <x:v>Unknown</x:v>
      </x:c>
      <x:c r="U318" s="43" t="str">
        <x:v>Unknown</x:v>
      </x:c>
      <x:c r="V318" s="43" t="str">
        <x:v>Unknown</x:v>
      </x:c>
      <x:c r="W318" s="43" t="str">
        <x:v>Unknown</x:v>
      </x:c>
      <x:c r="X318" s="43" t="str">
        <x:v>Unknown</x:v>
      </x:c>
      <x:c r="Y318" s="43" t="str">
        <x:v>Unknown</x:v>
      </x:c>
      <x:c r="Z318" s="43"/>
      <x:c r="AA318" s="43" t="str">
        <x:v>Excluded</x:v>
      </x:c>
      <x:c r="AB318" s="43" t="str">
        <x:v>No qualifying evidence source recorded</x:v>
      </x:c>
      <x:c r="AC318" s="43" t="str">
        <x:v>Excluded from Maya's elderly recommendation results because no source-backed elderly accessibility feature is recorded in the reviewed data. This does not mean the attraction is inaccessible.</x:v>
      </x:c>
      <x:c r="AD318" s="43" t="str">
        <x:v>2026-08-16</x:v>
      </x:c>
    </x:row>
    <x:row r="319" ht="60" customHeight="1">
      <x:c r="A319" s="16" t="s">
        <x:v>1883</x:v>
      </x:c>
      <x:c r="B319" s="16" t="s">
        <x:v>1884</x:v>
      </x:c>
      <x:c r="C319" s="16" t="s">
        <x:v>1848</x:v>
      </x:c>
      <x:c r="D319" s="16" t="s">
        <x:v>1878</x:v>
      </x:c>
      <x:c r="E319" s="16" t="s">
        <x:v>45</x:v>
      </x:c>
      <x:c r="F319" s="16" t="s">
        <x:v>25</x:v>
      </x:c>
      <x:c r="G319" s="16" t="s">
        <x:v>26</x:v>
      </x:c>
      <x:c r="H319" s="17" t="s">
        <x:v>1885</x:v>
      </x:c>
      <x:c r="I319" s="17" t="s">
        <x:v>1886</x:v>
      </x:c>
      <x:c r="J319" s="17" t="s">
        <x:v>1887</x:v>
      </x:c>
      <x:c r="K319" s="17" t="s">
        <x:v>1853</x:v>
      </x:c>
      <x:c r="L319" s="17" t="s">
        <x:v>58</x:v>
      </x:c>
      <x:c r="M319" s="17" t="s">
        <x:v>256</x:v>
      </x:c>
      <x:c r="N319" s="16" t="s">
        <x:v>1888</x:v>
      </x:c>
      <x:c r="O319" s="18">
        <x:v>46249</x:v>
      </x:c>
      <x:c r="P319" s="19" t="s">
        <x:v>34</x:v>
      </x:c>
      <x:c r="Q319" s="17"/>
      <x:c r="R319" s="19" t="str">
        <x:f t="shared" si="4"/>
        <x:v>Discovery Link Only</x:v>
      </x:c>
      <x:c r="S319" s="43" t="str">
        <x:v>Unknown</x:v>
      </x:c>
      <x:c r="T319" s="43" t="str">
        <x:v>Unknown</x:v>
      </x:c>
      <x:c r="U319" s="43" t="str">
        <x:v>Unknown</x:v>
      </x:c>
      <x:c r="V319" s="43" t="str">
        <x:v>Unknown</x:v>
      </x:c>
      <x:c r="W319" s="43" t="str">
        <x:v>Unknown</x:v>
      </x:c>
      <x:c r="X319" s="43" t="str">
        <x:v>Unknown</x:v>
      </x:c>
      <x:c r="Y319" s="43" t="str">
        <x:v>Unknown</x:v>
      </x:c>
      <x:c r="Z319" s="43"/>
      <x:c r="AA319" s="43" t="str">
        <x:v>Excluded</x:v>
      </x:c>
      <x:c r="AB319" s="43" t="str">
        <x:v>No qualifying evidence source recorded</x:v>
      </x:c>
      <x:c r="AC319" s="43" t="str">
        <x:v>Excluded from Maya's elderly recommendation results because no source-backed elderly accessibility feature is recorded in the reviewed data. This does not mean the attraction is inaccessible.</x:v>
      </x:c>
      <x:c r="AD319" s="43" t="str">
        <x:v>2026-08-16</x:v>
      </x:c>
    </x:row>
    <x:row r="320" ht="60" customHeight="1">
      <x:c r="A320" s="16" t="s">
        <x:v>1889</x:v>
      </x:c>
      <x:c r="B320" s="16" t="s">
        <x:v>1890</x:v>
      </x:c>
      <x:c r="C320" s="16" t="s">
        <x:v>1848</x:v>
      </x:c>
      <x:c r="D320" s="16" t="s">
        <x:v>1891</x:v>
      </x:c>
      <x:c r="E320" s="16" t="s">
        <x:v>45</x:v>
      </x:c>
      <x:c r="F320" s="16" t="s">
        <x:v>25</x:v>
      </x:c>
      <x:c r="G320" s="16" t="s">
        <x:v>26</x:v>
      </x:c>
      <x:c r="H320" s="17" t="s">
        <x:v>1892</x:v>
      </x:c>
      <x:c r="I320" s="17" t="s">
        <x:v>1893</x:v>
      </x:c>
      <x:c r="J320" s="17" t="s">
        <x:v>1894</x:v>
      </x:c>
      <x:c r="K320" s="17" t="s">
        <x:v>1853</x:v>
      </x:c>
      <x:c r="L320" s="17" t="s">
        <x:v>58</x:v>
      </x:c>
      <x:c r="M320" s="17" t="s">
        <x:v>256</x:v>
      </x:c>
      <x:c r="N320" s="16" t="s">
        <x:v>1895</x:v>
      </x:c>
      <x:c r="O320" s="18">
        <x:v>46249</x:v>
      </x:c>
      <x:c r="P320" s="19" t="s">
        <x:v>34</x:v>
      </x:c>
      <x:c r="Q320" s="17"/>
      <x:c r="R320" s="19" t="str">
        <x:f t="shared" si="4"/>
        <x:v>Discovery Link Only</x:v>
      </x:c>
      <x:c r="S320" s="43" t="str">
        <x:v>Unknown</x:v>
      </x:c>
      <x:c r="T320" s="43" t="str">
        <x:v>Unknown</x:v>
      </x:c>
      <x:c r="U320" s="43" t="str">
        <x:v>Unknown</x:v>
      </x:c>
      <x:c r="V320" s="43" t="str">
        <x:v>Unknown</x:v>
      </x:c>
      <x:c r="W320" s="43" t="str">
        <x:v>Unknown</x:v>
      </x:c>
      <x:c r="X320" s="43" t="str">
        <x:v>Unknown</x:v>
      </x:c>
      <x:c r="Y320" s="43" t="str">
        <x:v>Unknown</x:v>
      </x:c>
      <x:c r="Z320" s="43"/>
      <x:c r="AA320" s="43" t="str">
        <x:v>Excluded</x:v>
      </x:c>
      <x:c r="AB320" s="43" t="str">
        <x:v>No qualifying evidence source recorded</x:v>
      </x:c>
      <x:c r="AC320" s="43" t="str">
        <x:v>Excluded from Maya's elderly recommendation results because no source-backed elderly accessibility feature is recorded in the reviewed data. This does not mean the attraction is inaccessible.</x:v>
      </x:c>
      <x:c r="AD320" s="43" t="str">
        <x:v>2026-08-16</x:v>
      </x:c>
    </x:row>
    <x:row r="321" ht="60" customHeight="1">
      <x:c r="A321" s="16" t="s">
        <x:v>1896</x:v>
      </x:c>
      <x:c r="B321" s="16" t="s">
        <x:v>1897</x:v>
      </x:c>
      <x:c r="C321" s="16" t="s">
        <x:v>1848</x:v>
      </x:c>
      <x:c r="D321" s="16" t="s">
        <x:v>1871</x:v>
      </x:c>
      <x:c r="E321" s="16" t="s">
        <x:v>106</x:v>
      </x:c>
      <x:c r="F321" s="16" t="s">
        <x:v>25</x:v>
      </x:c>
      <x:c r="G321" s="16" t="s">
        <x:v>46</x:v>
      </x:c>
      <x:c r="H321" s="17" t="s">
        <x:v>1898</x:v>
      </x:c>
      <x:c r="I321" s="17" t="s">
        <x:v>1899</x:v>
      </x:c>
      <x:c r="J321" s="17" t="s">
        <x:v>1900</x:v>
      </x:c>
      <x:c r="K321" s="17" t="s">
        <x:v>1853</x:v>
      </x:c>
      <x:c r="L321" s="17" t="s">
        <x:v>58</x:v>
      </x:c>
      <x:c r="M321" s="17" t="s">
        <x:v>256</x:v>
      </x:c>
      <x:c r="N321" s="16" t="s">
        <x:v>1901</x:v>
      </x:c>
      <x:c r="O321" s="18">
        <x:v>46249</x:v>
      </x:c>
      <x:c r="P321" s="19" t="s">
        <x:v>34</x:v>
      </x:c>
      <x:c r="Q321" s="17"/>
      <x:c r="R321" s="19" t="str">
        <x:f t="shared" si="4"/>
        <x:v>Discovery Link Only</x:v>
      </x:c>
      <x:c r="S321" s="43" t="str">
        <x:v>Unknown</x:v>
      </x:c>
      <x:c r="T321" s="43" t="str">
        <x:v>Unknown</x:v>
      </x:c>
      <x:c r="U321" s="43" t="str">
        <x:v>Unknown</x:v>
      </x:c>
      <x:c r="V321" s="43" t="str">
        <x:v>Unknown</x:v>
      </x:c>
      <x:c r="W321" s="43" t="str">
        <x:v>Unknown</x:v>
      </x:c>
      <x:c r="X321" s="43" t="str">
        <x:v>Unknown</x:v>
      </x:c>
      <x:c r="Y321" s="43" t="str">
        <x:v>Unknown</x:v>
      </x:c>
      <x:c r="Z321" s="43"/>
      <x:c r="AA321" s="43" t="str">
        <x:v>Excluded</x:v>
      </x:c>
      <x:c r="AB321" s="43" t="str">
        <x:v>No qualifying evidence source recorded</x:v>
      </x:c>
      <x:c r="AC321" s="43" t="str">
        <x:v>Excluded from Maya's elderly recommendation results because no source-backed elderly accessibility feature is recorded in the reviewed data. This does not mean the attraction is inaccessible.</x:v>
      </x:c>
      <x:c r="AD321" s="43" t="str">
        <x:v>2026-08-16</x:v>
      </x:c>
    </x:row>
    <x:row r="322" ht="60" customHeight="1">
      <x:c r="A322" s="16" t="s">
        <x:v>1902</x:v>
      </x:c>
      <x:c r="B322" s="16" t="s">
        <x:v>1903</x:v>
      </x:c>
      <x:c r="C322" s="16" t="s">
        <x:v>1848</x:v>
      </x:c>
      <x:c r="D322" s="16" t="s">
        <x:v>1904</x:v>
      </x:c>
      <x:c r="E322" s="16" t="s">
        <x:v>54</x:v>
      </x:c>
      <x:c r="F322" s="16" t="s">
        <x:v>25</x:v>
      </x:c>
      <x:c r="G322" s="16" t="s">
        <x:v>46</x:v>
      </x:c>
      <x:c r="H322" s="17" t="s">
        <x:v>1905</x:v>
      </x:c>
      <x:c r="I322" s="17" t="s">
        <x:v>1906</x:v>
      </x:c>
      <x:c r="J322" s="17" t="s">
        <x:v>1907</x:v>
      </x:c>
      <x:c r="K322" s="17" t="s">
        <x:v>1853</x:v>
      </x:c>
      <x:c r="L322" s="17" t="s">
        <x:v>58</x:v>
      </x:c>
      <x:c r="M322" s="17" t="s">
        <x:v>256</x:v>
      </x:c>
      <x:c r="N322" s="16" t="s">
        <x:v>1908</x:v>
      </x:c>
      <x:c r="O322" s="18">
        <x:v>46249</x:v>
      </x:c>
      <x:c r="P322" s="19" t="s">
        <x:v>34</x:v>
      </x:c>
      <x:c r="Q322" s="17"/>
      <x:c r="R322" s="19" t="str">
        <x:f t="shared" si="4"/>
        <x:v>Discovery Link Only</x:v>
      </x:c>
      <x:c r="S322" s="43" t="str">
        <x:v>Unknown</x:v>
      </x:c>
      <x:c r="T322" s="43" t="str">
        <x:v>Unknown</x:v>
      </x:c>
      <x:c r="U322" s="43" t="str">
        <x:v>Unknown</x:v>
      </x:c>
      <x:c r="V322" s="43" t="str">
        <x:v>Unknown</x:v>
      </x:c>
      <x:c r="W322" s="43" t="str">
        <x:v>Unknown</x:v>
      </x:c>
      <x:c r="X322" s="43" t="str">
        <x:v>Unknown</x:v>
      </x:c>
      <x:c r="Y322" s="43" t="str">
        <x:v>Unknown</x:v>
      </x:c>
      <x:c r="Z322" s="43"/>
      <x:c r="AA322" s="43" t="str">
        <x:v>Excluded</x:v>
      </x:c>
      <x:c r="AB322" s="43" t="str">
        <x:v>No qualifying evidence source recorded</x:v>
      </x:c>
      <x:c r="AC322" s="43" t="str">
        <x:v>Excluded from Maya's elderly recommendation results because no source-backed elderly accessibility feature is recorded in the reviewed data. This does not mean the attraction is inaccessible.</x:v>
      </x:c>
      <x:c r="AD322" s="43" t="str">
        <x:v>2026-08-16</x:v>
      </x:c>
    </x:row>
    <x:row r="323" ht="60" customHeight="1">
      <x:c r="A323" s="16" t="s">
        <x:v>1909</x:v>
      </x:c>
      <x:c r="B323" s="16" t="s">
        <x:v>1910</x:v>
      </x:c>
      <x:c r="C323" s="16" t="s">
        <x:v>1848</x:v>
      </x:c>
      <x:c r="D323" s="16" t="s">
        <x:v>1871</x:v>
      </x:c>
      <x:c r="E323" s="16" t="s">
        <x:v>24</x:v>
      </x:c>
      <x:c r="F323" s="16" t="s">
        <x:v>25</x:v>
      </x:c>
      <x:c r="G323" s="16" t="s">
        <x:v>26</x:v>
      </x:c>
      <x:c r="H323" s="17" t="s">
        <x:v>1911</x:v>
      </x:c>
      <x:c r="I323" s="17" t="s">
        <x:v>1912</x:v>
      </x:c>
      <x:c r="J323" s="17" t="s">
        <x:v>1913</x:v>
      </x:c>
      <x:c r="K323" s="17" t="s">
        <x:v>1853</x:v>
      </x:c>
      <x:c r="L323" s="17" t="s">
        <x:v>58</x:v>
      </x:c>
      <x:c r="M323" s="17" t="s">
        <x:v>256</x:v>
      </x:c>
      <x:c r="N323" s="16" t="s">
        <x:v>1914</x:v>
      </x:c>
      <x:c r="O323" s="18">
        <x:v>46249</x:v>
      </x:c>
      <x:c r="P323" s="19" t="s">
        <x:v>34</x:v>
      </x:c>
      <x:c r="Q323" s="17"/>
      <x:c r="R323" s="19" t="str">
        <x:f t="shared" si="4"/>
        <x:v>Discovery Link Only</x:v>
      </x:c>
      <x:c r="S323" s="43" t="str">
        <x:v>Unknown</x:v>
      </x:c>
      <x:c r="T323" s="43" t="str">
        <x:v>Unknown</x:v>
      </x:c>
      <x:c r="U323" s="43" t="str">
        <x:v>Unknown</x:v>
      </x:c>
      <x:c r="V323" s="43" t="str">
        <x:v>Unknown</x:v>
      </x:c>
      <x:c r="W323" s="43" t="str">
        <x:v>Unknown</x:v>
      </x:c>
      <x:c r="X323" s="43" t="str">
        <x:v>Unknown</x:v>
      </x:c>
      <x:c r="Y323" s="43" t="str">
        <x:v>Unknown</x:v>
      </x:c>
      <x:c r="Z323" s="43"/>
      <x:c r="AA323" s="43" t="str">
        <x:v>Excluded</x:v>
      </x:c>
      <x:c r="AB323" s="43" t="str">
        <x:v>No qualifying evidence source recorded</x:v>
      </x:c>
      <x:c r="AC323" s="43" t="str">
        <x:v>Excluded from Maya's elderly recommendation results because no source-backed elderly accessibility feature is recorded in the reviewed data. This does not mean the attraction is inaccessible.</x:v>
      </x:c>
      <x:c r="AD323" s="43" t="str">
        <x:v>2026-08-16</x:v>
      </x:c>
    </x:row>
    <x:row r="324" ht="60" customHeight="1">
      <x:c r="A324" s="16" t="s">
        <x:v>1915</x:v>
      </x:c>
      <x:c r="B324" s="16" t="s">
        <x:v>1916</x:v>
      </x:c>
      <x:c r="C324" s="16" t="s">
        <x:v>1848</x:v>
      </x:c>
      <x:c r="D324" s="16" t="s">
        <x:v>1871</x:v>
      </x:c>
      <x:c r="E324" s="16" t="s">
        <x:v>106</x:v>
      </x:c>
      <x:c r="F324" s="16" t="s">
        <x:v>107</x:v>
      </x:c>
      <x:c r="G324" s="16" t="s">
        <x:v>46</x:v>
      </x:c>
      <x:c r="H324" s="17" t="s">
        <x:v>1917</x:v>
      </x:c>
      <x:c r="I324" s="17" t="s">
        <x:v>1918</x:v>
      </x:c>
      <x:c r="J324" s="17" t="s">
        <x:v>1919</x:v>
      </x:c>
      <x:c r="K324" s="17" t="s">
        <x:v>1853</x:v>
      </x:c>
      <x:c r="L324" s="17" t="s">
        <x:v>111</x:v>
      </x:c>
      <x:c r="M324" s="17" t="s">
        <x:v>1920</x:v>
      </x:c>
      <x:c r="N324" s="16"/>
      <x:c r="O324" s="18">
        <x:v>46249</x:v>
      </x:c>
      <x:c r="P324" s="19" t="s">
        <x:v>34</x:v>
      </x:c>
      <x:c r="Q324" s="17"/>
      <x:c r="R324" s="19" t="str">
        <x:f t="shared" ref="R324:R387" si="5">IF(J324="","Missing Link",IF(AND(ISNUMBER(SEARCH("google.com/maps",J324)),ISERROR(SEARCH(";",J324))),"Discovery Link Only","Source Link Present"))</x:f>
        <x:v>Discovery Link Only</x:v>
      </x:c>
      <x:c r="S324" s="43" t="str">
        <x:v>Unknown</x:v>
      </x:c>
      <x:c r="T324" s="43" t="str">
        <x:v>Unknown</x:v>
      </x:c>
      <x:c r="U324" s="43" t="str">
        <x:v>Unknown</x:v>
      </x:c>
      <x:c r="V324" s="43" t="str">
        <x:v>Unknown</x:v>
      </x:c>
      <x:c r="W324" s="43" t="str">
        <x:v>Unknown</x:v>
      </x:c>
      <x:c r="X324" s="43" t="str">
        <x:v>Unknown</x:v>
      </x:c>
      <x:c r="Y324" s="43" t="str">
        <x:v>Unknown</x:v>
      </x:c>
      <x:c r="Z324" s="43"/>
      <x:c r="AA324" s="43" t="str">
        <x:v>Excluded</x:v>
      </x:c>
      <x:c r="AB324" s="43" t="str">
        <x:v>No qualifying evidence source recorded</x:v>
      </x:c>
      <x:c r="AC324" s="43" t="str">
        <x:v>Excluded from Maya's elderly recommendation results because no source-backed elderly accessibility feature is recorded in the reviewed data. This does not mean the attraction is inaccessible.</x:v>
      </x:c>
      <x:c r="AD324" s="43" t="str">
        <x:v>2026-08-16</x:v>
      </x:c>
    </x:row>
    <x:row r="325" ht="60" customHeight="1">
      <x:c r="A325" s="16" t="s">
        <x:v>1921</x:v>
      </x:c>
      <x:c r="B325" s="16" t="s">
        <x:v>1922</x:v>
      </x:c>
      <x:c r="C325" s="16" t="s">
        <x:v>1848</x:v>
      </x:c>
      <x:c r="D325" s="16" t="s">
        <x:v>1871</x:v>
      </x:c>
      <x:c r="E325" s="16" t="s">
        <x:v>133</x:v>
      </x:c>
      <x:c r="F325" s="16" t="s">
        <x:v>121</x:v>
      </x:c>
      <x:c r="G325" s="16" t="s">
        <x:v>134</x:v>
      </x:c>
      <x:c r="H325" s="17" t="s">
        <x:v>1923</x:v>
      </x:c>
      <x:c r="I325" s="17" t="s">
        <x:v>1924</x:v>
      </x:c>
      <x:c r="J325" s="17" t="s">
        <x:v>1925</x:v>
      </x:c>
      <x:c r="K325" s="17" t="s">
        <x:v>1853</x:v>
      </x:c>
      <x:c r="L325" s="17" t="s">
        <x:v>111</x:v>
      </x:c>
      <x:c r="M325" s="17" t="s">
        <x:v>1920</x:v>
      </x:c>
      <x:c r="N325" s="16"/>
      <x:c r="O325" s="18">
        <x:v>46249</x:v>
      </x:c>
      <x:c r="P325" s="19" t="s">
        <x:v>34</x:v>
      </x:c>
      <x:c r="Q325" s="17"/>
      <x:c r="R325" s="19" t="str">
        <x:f t="shared" si="5"/>
        <x:v>Discovery Link Only</x:v>
      </x:c>
      <x:c r="S325" s="43" t="str">
        <x:v>Unknown</x:v>
      </x:c>
      <x:c r="T325" s="43" t="str">
        <x:v>Unknown</x:v>
      </x:c>
      <x:c r="U325" s="43" t="str">
        <x:v>Unknown</x:v>
      </x:c>
      <x:c r="V325" s="43" t="str">
        <x:v>Unknown</x:v>
      </x:c>
      <x:c r="W325" s="43" t="str">
        <x:v>Unknown</x:v>
      </x:c>
      <x:c r="X325" s="43" t="str">
        <x:v>Unknown</x:v>
      </x:c>
      <x:c r="Y325" s="43" t="str">
        <x:v>Unknown</x:v>
      </x:c>
      <x:c r="Z325" s="43"/>
      <x:c r="AA325" s="43" t="str">
        <x:v>Excluded</x:v>
      </x:c>
      <x:c r="AB325" s="43" t="str">
        <x:v>No qualifying evidence source recorded</x:v>
      </x:c>
      <x:c r="AC325" s="43" t="str">
        <x:v>Excluded from Maya's elderly recommendation results because no source-backed elderly accessibility feature is recorded in the reviewed data. This does not mean the attraction is inaccessible.</x:v>
      </x:c>
      <x:c r="AD325" s="43" t="str">
        <x:v>2026-08-16</x:v>
      </x:c>
    </x:row>
    <x:row r="326" ht="60" customHeight="1">
      <x:c r="A326" s="16" t="s">
        <x:v>1926</x:v>
      </x:c>
      <x:c r="B326" s="16" t="s">
        <x:v>1927</x:v>
      </x:c>
      <x:c r="C326" s="16" t="s">
        <x:v>1848</x:v>
      </x:c>
      <x:c r="D326" s="16" t="s">
        <x:v>1871</x:v>
      </x:c>
      <x:c r="E326" s="16" t="s">
        <x:v>45</x:v>
      </x:c>
      <x:c r="F326" s="16" t="s">
        <x:v>107</x:v>
      </x:c>
      <x:c r="G326" s="16" t="s">
        <x:v>26</x:v>
      </x:c>
      <x:c r="H326" s="17" t="s">
        <x:v>1928</x:v>
      </x:c>
      <x:c r="I326" s="17" t="s">
        <x:v>1929</x:v>
      </x:c>
      <x:c r="J326" s="17" t="s">
        <x:v>1930</x:v>
      </x:c>
      <x:c r="K326" s="17" t="s">
        <x:v>1853</x:v>
      </x:c>
      <x:c r="L326" s="17" t="s">
        <x:v>111</x:v>
      </x:c>
      <x:c r="M326" s="17" t="s">
        <x:v>1920</x:v>
      </x:c>
      <x:c r="N326" s="16"/>
      <x:c r="O326" s="18">
        <x:v>46249</x:v>
      </x:c>
      <x:c r="P326" s="19" t="s">
        <x:v>34</x:v>
      </x:c>
      <x:c r="Q326" s="17"/>
      <x:c r="R326" s="19" t="str">
        <x:f t="shared" si="5"/>
        <x:v>Discovery Link Only</x:v>
      </x:c>
      <x:c r="S326" s="43" t="str">
        <x:v>Unknown</x:v>
      </x:c>
      <x:c r="T326" s="43" t="str">
        <x:v>Unknown</x:v>
      </x:c>
      <x:c r="U326" s="43" t="str">
        <x:v>Unknown</x:v>
      </x:c>
      <x:c r="V326" s="43" t="str">
        <x:v>Unknown</x:v>
      </x:c>
      <x:c r="W326" s="43" t="str">
        <x:v>Unknown</x:v>
      </x:c>
      <x:c r="X326" s="43" t="str">
        <x:v>Unknown</x:v>
      </x:c>
      <x:c r="Y326" s="43" t="str">
        <x:v>Unknown</x:v>
      </x:c>
      <x:c r="Z326" s="43"/>
      <x:c r="AA326" s="43" t="str">
        <x:v>Excluded</x:v>
      </x:c>
      <x:c r="AB326" s="43" t="str">
        <x:v>No qualifying evidence source recorded</x:v>
      </x:c>
      <x:c r="AC326" s="43" t="str">
        <x:v>Excluded from Maya's elderly recommendation results because no source-backed elderly accessibility feature is recorded in the reviewed data. This does not mean the attraction is inaccessible.</x:v>
      </x:c>
      <x:c r="AD326" s="43" t="str">
        <x:v>2026-08-16</x:v>
      </x:c>
    </x:row>
    <x:row r="327" ht="60" customHeight="1">
      <x:c r="A327" s="16" t="s">
        <x:v>1931</x:v>
      </x:c>
      <x:c r="B327" s="16" t="s">
        <x:v>1932</x:v>
      </x:c>
      <x:c r="C327" s="16" t="s">
        <x:v>1848</x:v>
      </x:c>
      <x:c r="D327" s="16" t="s">
        <x:v>1871</x:v>
      </x:c>
      <x:c r="E327" s="16" t="s">
        <x:v>140</x:v>
      </x:c>
      <x:c r="F327" s="16" t="s">
        <x:v>121</x:v>
      </x:c>
      <x:c r="G327" s="16" t="s">
        <x:v>46</x:v>
      </x:c>
      <x:c r="H327" s="17" t="s">
        <x:v>1933</x:v>
      </x:c>
      <x:c r="I327" s="17" t="s">
        <x:v>1934</x:v>
      </x:c>
      <x:c r="J327" s="17" t="s">
        <x:v>1935</x:v>
      </x:c>
      <x:c r="K327" s="17" t="s">
        <x:v>1853</x:v>
      </x:c>
      <x:c r="L327" s="17" t="s">
        <x:v>111</x:v>
      </x:c>
      <x:c r="M327" s="17" t="s">
        <x:v>1920</x:v>
      </x:c>
      <x:c r="N327" s="16"/>
      <x:c r="O327" s="18">
        <x:v>46249</x:v>
      </x:c>
      <x:c r="P327" s="19" t="s">
        <x:v>34</x:v>
      </x:c>
      <x:c r="Q327" s="17"/>
      <x:c r="R327" s="19" t="str">
        <x:f t="shared" si="5"/>
        <x:v>Discovery Link Only</x:v>
      </x:c>
      <x:c r="S327" s="43" t="str">
        <x:v>Unknown</x:v>
      </x:c>
      <x:c r="T327" s="43" t="str">
        <x:v>Unknown</x:v>
      </x:c>
      <x:c r="U327" s="43" t="str">
        <x:v>Unknown</x:v>
      </x:c>
      <x:c r="V327" s="43" t="str">
        <x:v>Unknown</x:v>
      </x:c>
      <x:c r="W327" s="43" t="str">
        <x:v>Unknown</x:v>
      </x:c>
      <x:c r="X327" s="43" t="str">
        <x:v>Unknown</x:v>
      </x:c>
      <x:c r="Y327" s="43" t="str">
        <x:v>Unknown</x:v>
      </x:c>
      <x:c r="Z327" s="43"/>
      <x:c r="AA327" s="43" t="str">
        <x:v>Excluded</x:v>
      </x:c>
      <x:c r="AB327" s="43" t="str">
        <x:v>No qualifying evidence source recorded</x:v>
      </x:c>
      <x:c r="AC327" s="43" t="str">
        <x:v>Excluded from Maya's elderly recommendation results because no source-backed elderly accessibility feature is recorded in the reviewed data. This does not mean the attraction is inaccessible.</x:v>
      </x:c>
      <x:c r="AD327" s="43" t="str">
        <x:v>2026-08-16</x:v>
      </x:c>
    </x:row>
    <x:row r="328" ht="60" customHeight="1">
      <x:c r="A328" s="16" t="s">
        <x:v>1936</x:v>
      </x:c>
      <x:c r="B328" s="16" t="s">
        <x:v>1937</x:v>
      </x:c>
      <x:c r="C328" s="16" t="s">
        <x:v>1848</x:v>
      </x:c>
      <x:c r="D328" s="16" t="s">
        <x:v>1938</x:v>
      </x:c>
      <x:c r="E328" s="16" t="s">
        <x:v>133</x:v>
      </x:c>
      <x:c r="F328" s="16" t="s">
        <x:v>107</x:v>
      </x:c>
      <x:c r="G328" s="16" t="s">
        <x:v>134</x:v>
      </x:c>
      <x:c r="H328" s="17" t="s">
        <x:v>787</x:v>
      </x:c>
      <x:c r="I328" s="17" t="s">
        <x:v>1939</x:v>
      </x:c>
      <x:c r="J328" s="17" t="s">
        <x:v>1940</x:v>
      </x:c>
      <x:c r="K328" s="17" t="s">
        <x:v>1853</x:v>
      </x:c>
      <x:c r="L328" s="17" t="s">
        <x:v>111</x:v>
      </x:c>
      <x:c r="M328" s="17" t="s">
        <x:v>1920</x:v>
      </x:c>
      <x:c r="N328" s="16"/>
      <x:c r="O328" s="18">
        <x:v>46249</x:v>
      </x:c>
      <x:c r="P328" s="19" t="s">
        <x:v>34</x:v>
      </x:c>
      <x:c r="Q328" s="17"/>
      <x:c r="R328" s="19" t="str">
        <x:f t="shared" si="5"/>
        <x:v>Discovery Link Only</x:v>
      </x:c>
      <x:c r="S328" s="43" t="str">
        <x:v>Unknown</x:v>
      </x:c>
      <x:c r="T328" s="43" t="str">
        <x:v>Unknown</x:v>
      </x:c>
      <x:c r="U328" s="43" t="str">
        <x:v>Unknown</x:v>
      </x:c>
      <x:c r="V328" s="43" t="str">
        <x:v>Unknown</x:v>
      </x:c>
      <x:c r="W328" s="43" t="str">
        <x:v>Unknown</x:v>
      </x:c>
      <x:c r="X328" s="43" t="str">
        <x:v>Unknown</x:v>
      </x:c>
      <x:c r="Y328" s="43" t="str">
        <x:v>Unknown</x:v>
      </x:c>
      <x:c r="Z328" s="43"/>
      <x:c r="AA328" s="43" t="str">
        <x:v>Excluded</x:v>
      </x:c>
      <x:c r="AB328" s="43" t="str">
        <x:v>No qualifying evidence source recorded</x:v>
      </x:c>
      <x:c r="AC328" s="43" t="str">
        <x:v>Excluded from Maya's elderly recommendation results because no source-backed elderly accessibility feature is recorded in the reviewed data. This does not mean the attraction is inaccessible.</x:v>
      </x:c>
      <x:c r="AD328" s="43" t="str">
        <x:v>2026-08-16</x:v>
      </x:c>
    </x:row>
    <x:row r="329" ht="60" customHeight="1">
      <x:c r="A329" s="16" t="s">
        <x:v>1941</x:v>
      </x:c>
      <x:c r="B329" s="16" t="s">
        <x:v>1942</x:v>
      </x:c>
      <x:c r="C329" s="16" t="s">
        <x:v>1848</x:v>
      </x:c>
      <x:c r="D329" s="16" t="s">
        <x:v>1938</x:v>
      </x:c>
      <x:c r="E329" s="16" t="s">
        <x:v>115</x:v>
      </x:c>
      <x:c r="F329" s="16" t="s">
        <x:v>121</x:v>
      </x:c>
      <x:c r="G329" s="16" t="s">
        <x:v>46</x:v>
      </x:c>
      <x:c r="H329" s="17" t="s">
        <x:v>1943</x:v>
      </x:c>
      <x:c r="I329" s="17" t="s">
        <x:v>1944</x:v>
      </x:c>
      <x:c r="J329" s="17" t="s">
        <x:v>1945</x:v>
      </x:c>
      <x:c r="K329" s="17" t="s">
        <x:v>1853</x:v>
      </x:c>
      <x:c r="L329" s="17" t="s">
        <x:v>111</x:v>
      </x:c>
      <x:c r="M329" s="17" t="s">
        <x:v>1920</x:v>
      </x:c>
      <x:c r="N329" s="16"/>
      <x:c r="O329" s="18">
        <x:v>46249</x:v>
      </x:c>
      <x:c r="P329" s="19" t="s">
        <x:v>34</x:v>
      </x:c>
      <x:c r="Q329" s="17"/>
      <x:c r="R329" s="19" t="str">
        <x:f t="shared" si="5"/>
        <x:v>Discovery Link Only</x:v>
      </x:c>
      <x:c r="S329" s="43" t="str">
        <x:v>Unknown</x:v>
      </x:c>
      <x:c r="T329" s="43" t="str">
        <x:v>Unknown</x:v>
      </x:c>
      <x:c r="U329" s="43" t="str">
        <x:v>Unknown</x:v>
      </x:c>
      <x:c r="V329" s="43" t="str">
        <x:v>Unknown</x:v>
      </x:c>
      <x:c r="W329" s="43" t="str">
        <x:v>Unknown</x:v>
      </x:c>
      <x:c r="X329" s="43" t="str">
        <x:v>Unknown</x:v>
      </x:c>
      <x:c r="Y329" s="43" t="str">
        <x:v>Unknown</x:v>
      </x:c>
      <x:c r="Z329" s="43"/>
      <x:c r="AA329" s="43" t="str">
        <x:v>Excluded</x:v>
      </x:c>
      <x:c r="AB329" s="43" t="str">
        <x:v>No qualifying evidence source recorded</x:v>
      </x:c>
      <x:c r="AC329" s="43" t="str">
        <x:v>Excluded from Maya's elderly recommendation results because no source-backed elderly accessibility feature is recorded in the reviewed data. This does not mean the attraction is inaccessible.</x:v>
      </x:c>
      <x:c r="AD329" s="43" t="str">
        <x:v>2026-08-16</x:v>
      </x:c>
    </x:row>
    <x:row r="330" ht="60" customHeight="1">
      <x:c r="A330" s="16" t="s">
        <x:v>1946</x:v>
      </x:c>
      <x:c r="B330" s="16" t="s">
        <x:v>1947</x:v>
      </x:c>
      <x:c r="C330" s="16" t="s">
        <x:v>1848</x:v>
      </x:c>
      <x:c r="D330" s="16" t="s">
        <x:v>1878</x:v>
      </x:c>
      <x:c r="E330" s="16" t="s">
        <x:v>115</x:v>
      </x:c>
      <x:c r="F330" s="16" t="s">
        <x:v>107</x:v>
      </x:c>
      <x:c r="G330" s="16" t="s">
        <x:v>46</x:v>
      </x:c>
      <x:c r="H330" s="17" t="s">
        <x:v>1948</x:v>
      </x:c>
      <x:c r="I330" s="17" t="s">
        <x:v>1949</x:v>
      </x:c>
      <x:c r="J330" s="17" t="s">
        <x:v>1950</x:v>
      </x:c>
      <x:c r="K330" s="17" t="s">
        <x:v>1853</x:v>
      </x:c>
      <x:c r="L330" s="17" t="s">
        <x:v>111</x:v>
      </x:c>
      <x:c r="M330" s="17" t="s">
        <x:v>1920</x:v>
      </x:c>
      <x:c r="N330" s="16"/>
      <x:c r="O330" s="18">
        <x:v>46249</x:v>
      </x:c>
      <x:c r="P330" s="19" t="s">
        <x:v>34</x:v>
      </x:c>
      <x:c r="Q330" s="17"/>
      <x:c r="R330" s="19" t="str">
        <x:f t="shared" si="5"/>
        <x:v>Discovery Link Only</x:v>
      </x:c>
      <x:c r="S330" s="43" t="str">
        <x:v>Unknown</x:v>
      </x:c>
      <x:c r="T330" s="43" t="str">
        <x:v>Unknown</x:v>
      </x:c>
      <x:c r="U330" s="43" t="str">
        <x:v>Unknown</x:v>
      </x:c>
      <x:c r="V330" s="43" t="str">
        <x:v>Unknown</x:v>
      </x:c>
      <x:c r="W330" s="43" t="str">
        <x:v>Unknown</x:v>
      </x:c>
      <x:c r="X330" s="43" t="str">
        <x:v>Unknown</x:v>
      </x:c>
      <x:c r="Y330" s="43" t="str">
        <x:v>Unknown</x:v>
      </x:c>
      <x:c r="Z330" s="43"/>
      <x:c r="AA330" s="43" t="str">
        <x:v>Excluded</x:v>
      </x:c>
      <x:c r="AB330" s="43" t="str">
        <x:v>No qualifying evidence source recorded</x:v>
      </x:c>
      <x:c r="AC330" s="43" t="str">
        <x:v>Excluded from Maya's elderly recommendation results because no source-backed elderly accessibility feature is recorded in the reviewed data. This does not mean the attraction is inaccessible.</x:v>
      </x:c>
      <x:c r="AD330" s="43" t="str">
        <x:v>2026-08-16</x:v>
      </x:c>
    </x:row>
    <x:row r="331" ht="60" customHeight="1">
      <x:c r="A331" s="16" t="s">
        <x:v>1951</x:v>
      </x:c>
      <x:c r="B331" s="16" t="s">
        <x:v>1952</x:v>
      </x:c>
      <x:c r="C331" s="16" t="s">
        <x:v>1848</x:v>
      </x:c>
      <x:c r="D331" s="16" t="s">
        <x:v>1878</x:v>
      </x:c>
      <x:c r="E331" s="16" t="s">
        <x:v>37</x:v>
      </x:c>
      <x:c r="F331" s="16" t="s">
        <x:v>107</x:v>
      </x:c>
      <x:c r="G331" s="16" t="s">
        <x:v>26</x:v>
      </x:c>
      <x:c r="H331" s="17" t="s">
        <x:v>1953</x:v>
      </x:c>
      <x:c r="I331" s="17" t="s">
        <x:v>1954</x:v>
      </x:c>
      <x:c r="J331" s="17" t="s">
        <x:v>1955</x:v>
      </x:c>
      <x:c r="K331" s="17" t="s">
        <x:v>1853</x:v>
      </x:c>
      <x:c r="L331" s="17" t="s">
        <x:v>111</x:v>
      </x:c>
      <x:c r="M331" s="17" t="s">
        <x:v>1920</x:v>
      </x:c>
      <x:c r="N331" s="16"/>
      <x:c r="O331" s="18">
        <x:v>46249</x:v>
      </x:c>
      <x:c r="P331" s="19" t="s">
        <x:v>34</x:v>
      </x:c>
      <x:c r="Q331" s="17"/>
      <x:c r="R331" s="19" t="str">
        <x:f t="shared" si="5"/>
        <x:v>Discovery Link Only</x:v>
      </x:c>
      <x:c r="S331" s="43" t="str">
        <x:v>Unknown</x:v>
      </x:c>
      <x:c r="T331" s="43" t="str">
        <x:v>Unknown</x:v>
      </x:c>
      <x:c r="U331" s="43" t="str">
        <x:v>Unknown</x:v>
      </x:c>
      <x:c r="V331" s="43" t="str">
        <x:v>Unknown</x:v>
      </x:c>
      <x:c r="W331" s="43" t="str">
        <x:v>Unknown</x:v>
      </x:c>
      <x:c r="X331" s="43" t="str">
        <x:v>Unknown</x:v>
      </x:c>
      <x:c r="Y331" s="43" t="str">
        <x:v>Unknown</x:v>
      </x:c>
      <x:c r="Z331" s="43"/>
      <x:c r="AA331" s="43" t="str">
        <x:v>Excluded</x:v>
      </x:c>
      <x:c r="AB331" s="43" t="str">
        <x:v>No qualifying evidence source recorded</x:v>
      </x:c>
      <x:c r="AC331" s="43" t="str">
        <x:v>Excluded from Maya's elderly recommendation results because no source-backed elderly accessibility feature is recorded in the reviewed data. This does not mean the attraction is inaccessible.</x:v>
      </x:c>
      <x:c r="AD331" s="43" t="str">
        <x:v>2026-08-16</x:v>
      </x:c>
    </x:row>
    <x:row r="332" ht="60" customHeight="1">
      <x:c r="A332" s="16" t="s">
        <x:v>1956</x:v>
      </x:c>
      <x:c r="B332" s="16" t="s">
        <x:v>1957</x:v>
      </x:c>
      <x:c r="C332" s="16" t="s">
        <x:v>1848</x:v>
      </x:c>
      <x:c r="D332" s="16" t="s">
        <x:v>1891</x:v>
      </x:c>
      <x:c r="E332" s="16" t="s">
        <x:v>72</x:v>
      </x:c>
      <x:c r="F332" s="16" t="s">
        <x:v>121</x:v>
      </x:c>
      <x:c r="G332" s="16" t="s">
        <x:v>26</x:v>
      </x:c>
      <x:c r="H332" s="17" t="s">
        <x:v>1958</x:v>
      </x:c>
      <x:c r="I332" s="17" t="s">
        <x:v>1959</x:v>
      </x:c>
      <x:c r="J332" s="17" t="s">
        <x:v>1960</x:v>
      </x:c>
      <x:c r="K332" s="17" t="s">
        <x:v>1853</x:v>
      </x:c>
      <x:c r="L332" s="17" t="s">
        <x:v>111</x:v>
      </x:c>
      <x:c r="M332" s="17" t="s">
        <x:v>1920</x:v>
      </x:c>
      <x:c r="N332" s="16"/>
      <x:c r="O332" s="18">
        <x:v>46249</x:v>
      </x:c>
      <x:c r="P332" s="19" t="s">
        <x:v>34</x:v>
      </x:c>
      <x:c r="Q332" s="17"/>
      <x:c r="R332" s="19" t="str">
        <x:f t="shared" si="5"/>
        <x:v>Discovery Link Only</x:v>
      </x:c>
      <x:c r="S332" s="43" t="str">
        <x:v>Unknown</x:v>
      </x:c>
      <x:c r="T332" s="43" t="str">
        <x:v>Unknown</x:v>
      </x:c>
      <x:c r="U332" s="43" t="str">
        <x:v>Unknown</x:v>
      </x:c>
      <x:c r="V332" s="43" t="str">
        <x:v>Unknown</x:v>
      </x:c>
      <x:c r="W332" s="43" t="str">
        <x:v>Unknown</x:v>
      </x:c>
      <x:c r="X332" s="43" t="str">
        <x:v>Unknown</x:v>
      </x:c>
      <x:c r="Y332" s="43" t="str">
        <x:v>Unknown</x:v>
      </x:c>
      <x:c r="Z332" s="43"/>
      <x:c r="AA332" s="43" t="str">
        <x:v>Excluded</x:v>
      </x:c>
      <x:c r="AB332" s="43" t="str">
        <x:v>No qualifying evidence source recorded</x:v>
      </x:c>
      <x:c r="AC332" s="43" t="str">
        <x:v>Excluded from Maya's elderly recommendation results because no source-backed elderly accessibility feature is recorded in the reviewed data. This does not mean the attraction is inaccessible.</x:v>
      </x:c>
      <x:c r="AD332" s="43" t="str">
        <x:v>2026-08-16</x:v>
      </x:c>
    </x:row>
    <x:row r="333" ht="60" customHeight="1">
      <x:c r="A333" s="16" t="s">
        <x:v>1961</x:v>
      </x:c>
      <x:c r="B333" s="16" t="s">
        <x:v>1962</x:v>
      </x:c>
      <x:c r="C333" s="16" t="s">
        <x:v>1848</x:v>
      </x:c>
      <x:c r="D333" s="16" t="s">
        <x:v>1963</x:v>
      </x:c>
      <x:c r="E333" s="16" t="s">
        <x:v>133</x:v>
      </x:c>
      <x:c r="F333" s="16" t="s">
        <x:v>127</x:v>
      </x:c>
      <x:c r="G333" s="16" t="s">
        <x:v>134</x:v>
      </x:c>
      <x:c r="H333" s="17" t="s">
        <x:v>1964</x:v>
      </x:c>
      <x:c r="I333" s="17" t="s">
        <x:v>1965</x:v>
      </x:c>
      <x:c r="J333" s="17" t="s">
        <x:v>1966</x:v>
      </x:c>
      <x:c r="K333" s="17" t="s">
        <x:v>1853</x:v>
      </x:c>
      <x:c r="L333" s="17" t="s">
        <x:v>111</x:v>
      </x:c>
      <x:c r="M333" s="17" t="s">
        <x:v>1920</x:v>
      </x:c>
      <x:c r="N333" s="16"/>
      <x:c r="O333" s="18">
        <x:v>46249</x:v>
      </x:c>
      <x:c r="P333" s="19" t="s">
        <x:v>34</x:v>
      </x:c>
      <x:c r="Q333" s="17"/>
      <x:c r="R333" s="19" t="str">
        <x:f t="shared" si="5"/>
        <x:v>Discovery Link Only</x:v>
      </x:c>
      <x:c r="S333" s="43" t="str">
        <x:v>Unknown</x:v>
      </x:c>
      <x:c r="T333" s="43" t="str">
        <x:v>Unknown</x:v>
      </x:c>
      <x:c r="U333" s="43" t="str">
        <x:v>Unknown</x:v>
      </x:c>
      <x:c r="V333" s="43" t="str">
        <x:v>Unknown</x:v>
      </x:c>
      <x:c r="W333" s="43" t="str">
        <x:v>Unknown</x:v>
      </x:c>
      <x:c r="X333" s="43" t="str">
        <x:v>Unknown</x:v>
      </x:c>
      <x:c r="Y333" s="43" t="str">
        <x:v>Unknown</x:v>
      </x:c>
      <x:c r="Z333" s="43"/>
      <x:c r="AA333" s="43" t="str">
        <x:v>Excluded</x:v>
      </x:c>
      <x:c r="AB333" s="43" t="str">
        <x:v>No qualifying evidence source recorded</x:v>
      </x:c>
      <x:c r="AC333" s="43" t="str">
        <x:v>Excluded from Maya's elderly recommendation results because no source-backed elderly accessibility feature is recorded in the reviewed data. This does not mean the attraction is inaccessible.</x:v>
      </x:c>
      <x:c r="AD333" s="43" t="str">
        <x:v>2026-08-16</x:v>
      </x:c>
    </x:row>
    <x:row r="334" ht="60" customHeight="1">
      <x:c r="A334" s="16" t="s">
        <x:v>1967</x:v>
      </x:c>
      <x:c r="B334" s="16" t="s">
        <x:v>1968</x:v>
      </x:c>
      <x:c r="C334" s="16" t="s">
        <x:v>1848</x:v>
      </x:c>
      <x:c r="D334" s="16" t="s">
        <x:v>1969</x:v>
      </x:c>
      <x:c r="E334" s="16" t="s">
        <x:v>115</x:v>
      </x:c>
      <x:c r="F334" s="16" t="s">
        <x:v>121</x:v>
      </x:c>
      <x:c r="G334" s="16" t="s">
        <x:v>46</x:v>
      </x:c>
      <x:c r="H334" s="17" t="s">
        <x:v>1970</x:v>
      </x:c>
      <x:c r="I334" s="17" t="s">
        <x:v>1971</x:v>
      </x:c>
      <x:c r="J334" s="17" t="s">
        <x:v>1972</x:v>
      </x:c>
      <x:c r="K334" s="17" t="s">
        <x:v>1853</x:v>
      </x:c>
      <x:c r="L334" s="17" t="s">
        <x:v>111</x:v>
      </x:c>
      <x:c r="M334" s="17" t="s">
        <x:v>1920</x:v>
      </x:c>
      <x:c r="N334" s="16"/>
      <x:c r="O334" s="18">
        <x:v>46249</x:v>
      </x:c>
      <x:c r="P334" s="19" t="s">
        <x:v>34</x:v>
      </x:c>
      <x:c r="Q334" s="17"/>
      <x:c r="R334" s="19" t="str">
        <x:f t="shared" si="5"/>
        <x:v>Discovery Link Only</x:v>
      </x:c>
      <x:c r="S334" s="43" t="str">
        <x:v>Unknown</x:v>
      </x:c>
      <x:c r="T334" s="43" t="str">
        <x:v>Unknown</x:v>
      </x:c>
      <x:c r="U334" s="43" t="str">
        <x:v>Unknown</x:v>
      </x:c>
      <x:c r="V334" s="43" t="str">
        <x:v>Unknown</x:v>
      </x:c>
      <x:c r="W334" s="43" t="str">
        <x:v>Unknown</x:v>
      </x:c>
      <x:c r="X334" s="43" t="str">
        <x:v>Unknown</x:v>
      </x:c>
      <x:c r="Y334" s="43" t="str">
        <x:v>Unknown</x:v>
      </x:c>
      <x:c r="Z334" s="43"/>
      <x:c r="AA334" s="43" t="str">
        <x:v>Excluded</x:v>
      </x:c>
      <x:c r="AB334" s="43" t="str">
        <x:v>No qualifying evidence source recorded</x:v>
      </x:c>
      <x:c r="AC334" s="43" t="str">
        <x:v>Excluded from Maya's elderly recommendation results because no source-backed elderly accessibility feature is recorded in the reviewed data. This does not mean the attraction is inaccessible.</x:v>
      </x:c>
      <x:c r="AD334" s="43" t="str">
        <x:v>2026-08-16</x:v>
      </x:c>
    </x:row>
    <x:row r="335" ht="60" customHeight="1">
      <x:c r="A335" s="16" t="s">
        <x:v>1973</x:v>
      </x:c>
      <x:c r="B335" s="16" t="s">
        <x:v>1974</x:v>
      </x:c>
      <x:c r="C335" s="16" t="s">
        <x:v>1848</x:v>
      </x:c>
      <x:c r="D335" s="16" t="s">
        <x:v>1969</x:v>
      </x:c>
      <x:c r="E335" s="16" t="s">
        <x:v>45</x:v>
      </x:c>
      <x:c r="F335" s="16" t="s">
        <x:v>107</x:v>
      </x:c>
      <x:c r="G335" s="16" t="s">
        <x:v>26</x:v>
      </x:c>
      <x:c r="H335" s="17" t="s">
        <x:v>1975</x:v>
      </x:c>
      <x:c r="I335" s="17" t="s">
        <x:v>1976</x:v>
      </x:c>
      <x:c r="J335" s="17" t="s">
        <x:v>1977</x:v>
      </x:c>
      <x:c r="K335" s="17" t="s">
        <x:v>1853</x:v>
      </x:c>
      <x:c r="L335" s="17" t="s">
        <x:v>111</x:v>
      </x:c>
      <x:c r="M335" s="17" t="s">
        <x:v>1920</x:v>
      </x:c>
      <x:c r="N335" s="16"/>
      <x:c r="O335" s="18">
        <x:v>46249</x:v>
      </x:c>
      <x:c r="P335" s="19" t="s">
        <x:v>34</x:v>
      </x:c>
      <x:c r="Q335" s="17"/>
      <x:c r="R335" s="19" t="str">
        <x:f t="shared" si="5"/>
        <x:v>Discovery Link Only</x:v>
      </x:c>
      <x:c r="S335" s="43" t="str">
        <x:v>Unknown</x:v>
      </x:c>
      <x:c r="T335" s="43" t="str">
        <x:v>Unknown</x:v>
      </x:c>
      <x:c r="U335" s="43" t="str">
        <x:v>Unknown</x:v>
      </x:c>
      <x:c r="V335" s="43" t="str">
        <x:v>Unknown</x:v>
      </x:c>
      <x:c r="W335" s="43" t="str">
        <x:v>Unknown</x:v>
      </x:c>
      <x:c r="X335" s="43" t="str">
        <x:v>Unknown</x:v>
      </x:c>
      <x:c r="Y335" s="43" t="str">
        <x:v>Unknown</x:v>
      </x:c>
      <x:c r="Z335" s="43"/>
      <x:c r="AA335" s="43" t="str">
        <x:v>Excluded</x:v>
      </x:c>
      <x:c r="AB335" s="43" t="str">
        <x:v>No qualifying evidence source recorded</x:v>
      </x:c>
      <x:c r="AC335" s="43" t="str">
        <x:v>Excluded from Maya's elderly recommendation results because no source-backed elderly accessibility feature is recorded in the reviewed data. This does not mean the attraction is inaccessible.</x:v>
      </x:c>
      <x:c r="AD335" s="43" t="str">
        <x:v>2026-08-16</x:v>
      </x:c>
    </x:row>
    <x:row r="336" ht="60" customHeight="1">
      <x:c r="A336" s="16" t="s">
        <x:v>1978</x:v>
      </x:c>
      <x:c r="B336" s="16" t="s">
        <x:v>1979</x:v>
      </x:c>
      <x:c r="C336" s="16" t="s">
        <x:v>1848</x:v>
      </x:c>
      <x:c r="D336" s="16" t="s">
        <x:v>1980</x:v>
      </x:c>
      <x:c r="E336" s="16" t="s">
        <x:v>45</x:v>
      </x:c>
      <x:c r="F336" s="16" t="s">
        <x:v>107</x:v>
      </x:c>
      <x:c r="G336" s="16" t="s">
        <x:v>26</x:v>
      </x:c>
      <x:c r="H336" s="17" t="s">
        <x:v>1981</x:v>
      </x:c>
      <x:c r="I336" s="17" t="s">
        <x:v>1982</x:v>
      </x:c>
      <x:c r="J336" s="17" t="s">
        <x:v>1983</x:v>
      </x:c>
      <x:c r="K336" s="17" t="s">
        <x:v>1853</x:v>
      </x:c>
      <x:c r="L336" s="17" t="s">
        <x:v>111</x:v>
      </x:c>
      <x:c r="M336" s="17" t="s">
        <x:v>1920</x:v>
      </x:c>
      <x:c r="N336" s="16"/>
      <x:c r="O336" s="18">
        <x:v>46249</x:v>
      </x:c>
      <x:c r="P336" s="19" t="s">
        <x:v>34</x:v>
      </x:c>
      <x:c r="Q336" s="17"/>
      <x:c r="R336" s="19" t="str">
        <x:f t="shared" si="5"/>
        <x:v>Discovery Link Only</x:v>
      </x:c>
      <x:c r="S336" s="43" t="str">
        <x:v>Unknown</x:v>
      </x:c>
      <x:c r="T336" s="43" t="str">
        <x:v>Unknown</x:v>
      </x:c>
      <x:c r="U336" s="43" t="str">
        <x:v>Unknown</x:v>
      </x:c>
      <x:c r="V336" s="43" t="str">
        <x:v>Unknown</x:v>
      </x:c>
      <x:c r="W336" s="43" t="str">
        <x:v>Unknown</x:v>
      </x:c>
      <x:c r="X336" s="43" t="str">
        <x:v>Unknown</x:v>
      </x:c>
      <x:c r="Y336" s="43" t="str">
        <x:v>Unknown</x:v>
      </x:c>
      <x:c r="Z336" s="43"/>
      <x:c r="AA336" s="43" t="str">
        <x:v>Excluded</x:v>
      </x:c>
      <x:c r="AB336" s="43" t="str">
        <x:v>No qualifying evidence source recorded</x:v>
      </x:c>
      <x:c r="AC336" s="43" t="str">
        <x:v>Excluded from Maya's elderly recommendation results because no source-backed elderly accessibility feature is recorded in the reviewed data. This does not mean the attraction is inaccessible.</x:v>
      </x:c>
      <x:c r="AD336" s="43" t="str">
        <x:v>2026-08-16</x:v>
      </x:c>
    </x:row>
    <x:row r="337" ht="60" customHeight="1">
      <x:c r="A337" s="16" t="s">
        <x:v>1984</x:v>
      </x:c>
      <x:c r="B337" s="16" t="s">
        <x:v>1985</x:v>
      </x:c>
      <x:c r="C337" s="16" t="s">
        <x:v>1848</x:v>
      </x:c>
      <x:c r="D337" s="16" t="s">
        <x:v>1986</x:v>
      </x:c>
      <x:c r="E337" s="16" t="s">
        <x:v>45</x:v>
      </x:c>
      <x:c r="F337" s="16" t="s">
        <x:v>107</x:v>
      </x:c>
      <x:c r="G337" s="16" t="s">
        <x:v>26</x:v>
      </x:c>
      <x:c r="H337" s="17" t="s">
        <x:v>1987</x:v>
      </x:c>
      <x:c r="I337" s="17" t="s">
        <x:v>1988</x:v>
      </x:c>
      <x:c r="J337" s="17" t="s">
        <x:v>1989</x:v>
      </x:c>
      <x:c r="K337" s="17" t="s">
        <x:v>1853</x:v>
      </x:c>
      <x:c r="L337" s="17" t="s">
        <x:v>111</x:v>
      </x:c>
      <x:c r="M337" s="17" t="s">
        <x:v>1920</x:v>
      </x:c>
      <x:c r="N337" s="16"/>
      <x:c r="O337" s="18">
        <x:v>46249</x:v>
      </x:c>
      <x:c r="P337" s="19" t="s">
        <x:v>34</x:v>
      </x:c>
      <x:c r="Q337" s="17"/>
      <x:c r="R337" s="19" t="str">
        <x:f t="shared" si="5"/>
        <x:v>Discovery Link Only</x:v>
      </x:c>
      <x:c r="S337" s="43" t="str">
        <x:v>Unknown</x:v>
      </x:c>
      <x:c r="T337" s="43" t="str">
        <x:v>Unknown</x:v>
      </x:c>
      <x:c r="U337" s="43" t="str">
        <x:v>Unknown</x:v>
      </x:c>
      <x:c r="V337" s="43" t="str">
        <x:v>Unknown</x:v>
      </x:c>
      <x:c r="W337" s="43" t="str">
        <x:v>Unknown</x:v>
      </x:c>
      <x:c r="X337" s="43" t="str">
        <x:v>Unknown</x:v>
      </x:c>
      <x:c r="Y337" s="43" t="str">
        <x:v>Unknown</x:v>
      </x:c>
      <x:c r="Z337" s="43"/>
      <x:c r="AA337" s="43" t="str">
        <x:v>Excluded</x:v>
      </x:c>
      <x:c r="AB337" s="43" t="str">
        <x:v>No qualifying evidence source recorded</x:v>
      </x:c>
      <x:c r="AC337" s="43" t="str">
        <x:v>Excluded from Maya's elderly recommendation results because no source-backed elderly accessibility feature is recorded in the reviewed data. This does not mean the attraction is inaccessible.</x:v>
      </x:c>
      <x:c r="AD337" s="43" t="str">
        <x:v>2026-08-16</x:v>
      </x:c>
    </x:row>
    <x:row r="338" ht="60" customHeight="1">
      <x:c r="A338" s="16" t="s">
        <x:v>1990</x:v>
      </x:c>
      <x:c r="B338" s="16" t="s">
        <x:v>1991</x:v>
      </x:c>
      <x:c r="C338" s="16" t="s">
        <x:v>1848</x:v>
      </x:c>
      <x:c r="D338" s="16" t="s">
        <x:v>1992</x:v>
      </x:c>
      <x:c r="E338" s="16" t="s">
        <x:v>24</x:v>
      </x:c>
      <x:c r="F338" s="16" t="s">
        <x:v>121</x:v>
      </x:c>
      <x:c r="G338" s="16" t="s">
        <x:v>26</x:v>
      </x:c>
      <x:c r="H338" s="17" t="s">
        <x:v>1993</x:v>
      </x:c>
      <x:c r="I338" s="17" t="s">
        <x:v>1994</x:v>
      </x:c>
      <x:c r="J338" s="17" t="s">
        <x:v>1995</x:v>
      </x:c>
      <x:c r="K338" s="17" t="s">
        <x:v>1853</x:v>
      </x:c>
      <x:c r="L338" s="17" t="s">
        <x:v>111</x:v>
      </x:c>
      <x:c r="M338" s="17" t="s">
        <x:v>1920</x:v>
      </x:c>
      <x:c r="N338" s="16"/>
      <x:c r="O338" s="18">
        <x:v>46249</x:v>
      </x:c>
      <x:c r="P338" s="19" t="s">
        <x:v>34</x:v>
      </x:c>
      <x:c r="Q338" s="17"/>
      <x:c r="R338" s="19" t="str">
        <x:f t="shared" si="5"/>
        <x:v>Discovery Link Only</x:v>
      </x:c>
      <x:c r="S338" s="43" t="str">
        <x:v>Unknown</x:v>
      </x:c>
      <x:c r="T338" s="43" t="str">
        <x:v>Unknown</x:v>
      </x:c>
      <x:c r="U338" s="43" t="str">
        <x:v>Unknown</x:v>
      </x:c>
      <x:c r="V338" s="43" t="str">
        <x:v>Unknown</x:v>
      </x:c>
      <x:c r="W338" s="43" t="str">
        <x:v>Unknown</x:v>
      </x:c>
      <x:c r="X338" s="43" t="str">
        <x:v>Unknown</x:v>
      </x:c>
      <x:c r="Y338" s="43" t="str">
        <x:v>Unknown</x:v>
      </x:c>
      <x:c r="Z338" s="43"/>
      <x:c r="AA338" s="43" t="str">
        <x:v>Excluded</x:v>
      </x:c>
      <x:c r="AB338" s="43" t="str">
        <x:v>No qualifying evidence source recorded</x:v>
      </x:c>
      <x:c r="AC338" s="43" t="str">
        <x:v>Excluded from Maya's elderly recommendation results because no source-backed elderly accessibility feature is recorded in the reviewed data. This does not mean the attraction is inaccessible.</x:v>
      </x:c>
      <x:c r="AD338" s="43" t="str">
        <x:v>2026-08-16</x:v>
      </x:c>
    </x:row>
    <x:row r="339" ht="60" customHeight="1">
      <x:c r="A339" s="16" t="s">
        <x:v>1996</x:v>
      </x:c>
      <x:c r="B339" s="16" t="s">
        <x:v>1997</x:v>
      </x:c>
      <x:c r="C339" s="16" t="s">
        <x:v>1848</x:v>
      </x:c>
      <x:c r="D339" s="16" t="s">
        <x:v>1998</x:v>
      </x:c>
      <x:c r="E339" s="16" t="s">
        <x:v>24</x:v>
      </x:c>
      <x:c r="F339" s="16" t="s">
        <x:v>121</x:v>
      </x:c>
      <x:c r="G339" s="16" t="s">
        <x:v>26</x:v>
      </x:c>
      <x:c r="H339" s="17" t="s">
        <x:v>1999</x:v>
      </x:c>
      <x:c r="I339" s="17" t="s">
        <x:v>2000</x:v>
      </x:c>
      <x:c r="J339" s="17" t="s">
        <x:v>2001</x:v>
      </x:c>
      <x:c r="K339" s="17" t="s">
        <x:v>1853</x:v>
      </x:c>
      <x:c r="L339" s="17" t="s">
        <x:v>111</x:v>
      </x:c>
      <x:c r="M339" s="17" t="s">
        <x:v>1920</x:v>
      </x:c>
      <x:c r="N339" s="16"/>
      <x:c r="O339" s="18">
        <x:v>46249</x:v>
      </x:c>
      <x:c r="P339" s="19" t="s">
        <x:v>34</x:v>
      </x:c>
      <x:c r="Q339" s="17"/>
      <x:c r="R339" s="19" t="str">
        <x:f t="shared" si="5"/>
        <x:v>Discovery Link Only</x:v>
      </x:c>
      <x:c r="S339" s="43" t="str">
        <x:v>Unknown</x:v>
      </x:c>
      <x:c r="T339" s="43" t="str">
        <x:v>Unknown</x:v>
      </x:c>
      <x:c r="U339" s="43" t="str">
        <x:v>Unknown</x:v>
      </x:c>
      <x:c r="V339" s="43" t="str">
        <x:v>Unknown</x:v>
      </x:c>
      <x:c r="W339" s="43" t="str">
        <x:v>Unknown</x:v>
      </x:c>
      <x:c r="X339" s="43" t="str">
        <x:v>Unknown</x:v>
      </x:c>
      <x:c r="Y339" s="43" t="str">
        <x:v>Unknown</x:v>
      </x:c>
      <x:c r="Z339" s="43"/>
      <x:c r="AA339" s="43" t="str">
        <x:v>Excluded</x:v>
      </x:c>
      <x:c r="AB339" s="43" t="str">
        <x:v>No qualifying evidence source recorded</x:v>
      </x:c>
      <x:c r="AC339" s="43" t="str">
        <x:v>Excluded from Maya's elderly recommendation results because no source-backed elderly accessibility feature is recorded in the reviewed data. This does not mean the attraction is inaccessible.</x:v>
      </x:c>
      <x:c r="AD339" s="43" t="str">
        <x:v>2026-08-16</x:v>
      </x:c>
    </x:row>
    <x:row r="340" ht="60" customHeight="1">
      <x:c r="A340" s="16" t="s">
        <x:v>2002</x:v>
      </x:c>
      <x:c r="B340" s="16" t="s">
        <x:v>2003</x:v>
      </x:c>
      <x:c r="C340" s="16" t="s">
        <x:v>1848</x:v>
      </x:c>
      <x:c r="D340" s="16" t="s">
        <x:v>2004</x:v>
      </x:c>
      <x:c r="E340" s="16" t="s">
        <x:v>140</x:v>
      </x:c>
      <x:c r="F340" s="16" t="s">
        <x:v>107</x:v>
      </x:c>
      <x:c r="G340" s="16" t="s">
        <x:v>46</x:v>
      </x:c>
      <x:c r="H340" s="17" t="s">
        <x:v>2005</x:v>
      </x:c>
      <x:c r="I340" s="17" t="s">
        <x:v>2006</x:v>
      </x:c>
      <x:c r="J340" s="17" t="s">
        <x:v>2007</x:v>
      </x:c>
      <x:c r="K340" s="17" t="s">
        <x:v>1853</x:v>
      </x:c>
      <x:c r="L340" s="17" t="s">
        <x:v>111</x:v>
      </x:c>
      <x:c r="M340" s="17" t="s">
        <x:v>1920</x:v>
      </x:c>
      <x:c r="N340" s="16"/>
      <x:c r="O340" s="18">
        <x:v>46249</x:v>
      </x:c>
      <x:c r="P340" s="19" t="s">
        <x:v>34</x:v>
      </x:c>
      <x:c r="Q340" s="17"/>
      <x:c r="R340" s="19" t="str">
        <x:f t="shared" si="5"/>
        <x:v>Discovery Link Only</x:v>
      </x:c>
      <x:c r="S340" s="43" t="str">
        <x:v>Unknown</x:v>
      </x:c>
      <x:c r="T340" s="43" t="str">
        <x:v>Unknown</x:v>
      </x:c>
      <x:c r="U340" s="43" t="str">
        <x:v>Unknown</x:v>
      </x:c>
      <x:c r="V340" s="43" t="str">
        <x:v>Unknown</x:v>
      </x:c>
      <x:c r="W340" s="43" t="str">
        <x:v>Unknown</x:v>
      </x:c>
      <x:c r="X340" s="43" t="str">
        <x:v>Unknown</x:v>
      </x:c>
      <x:c r="Y340" s="43" t="str">
        <x:v>Unknown</x:v>
      </x:c>
      <x:c r="Z340" s="43"/>
      <x:c r="AA340" s="43" t="str">
        <x:v>Excluded</x:v>
      </x:c>
      <x:c r="AB340" s="43" t="str">
        <x:v>No qualifying evidence source recorded</x:v>
      </x:c>
      <x:c r="AC340" s="43" t="str">
        <x:v>Excluded from Maya's elderly recommendation results because no source-backed elderly accessibility feature is recorded in the reviewed data. This does not mean the attraction is inaccessible.</x:v>
      </x:c>
      <x:c r="AD340" s="43" t="str">
        <x:v>2026-08-16</x:v>
      </x:c>
    </x:row>
    <x:row r="341" ht="60" customHeight="1">
      <x:c r="A341" s="16" t="s">
        <x:v>2008</x:v>
      </x:c>
      <x:c r="B341" s="16" t="s">
        <x:v>2009</x:v>
      </x:c>
      <x:c r="C341" s="16" t="s">
        <x:v>1848</x:v>
      </x:c>
      <x:c r="D341" s="16" t="s">
        <x:v>2004</x:v>
      </x:c>
      <x:c r="E341" s="16" t="s">
        <x:v>72</x:v>
      </x:c>
      <x:c r="F341" s="16" t="s">
        <x:v>121</x:v>
      </x:c>
      <x:c r="G341" s="16" t="s">
        <x:v>26</x:v>
      </x:c>
      <x:c r="H341" s="17" t="s">
        <x:v>2010</x:v>
      </x:c>
      <x:c r="I341" s="17" t="s">
        <x:v>2011</x:v>
      </x:c>
      <x:c r="J341" s="17" t="s">
        <x:v>2012</x:v>
      </x:c>
      <x:c r="K341" s="17" t="s">
        <x:v>1853</x:v>
      </x:c>
      <x:c r="L341" s="17" t="s">
        <x:v>111</x:v>
      </x:c>
      <x:c r="M341" s="17" t="s">
        <x:v>1920</x:v>
      </x:c>
      <x:c r="N341" s="16"/>
      <x:c r="O341" s="18">
        <x:v>46249</x:v>
      </x:c>
      <x:c r="P341" s="19" t="s">
        <x:v>34</x:v>
      </x:c>
      <x:c r="Q341" s="17"/>
      <x:c r="R341" s="19" t="str">
        <x:f t="shared" si="5"/>
        <x:v>Discovery Link Only</x:v>
      </x:c>
      <x:c r="S341" s="43" t="str">
        <x:v>Unknown</x:v>
      </x:c>
      <x:c r="T341" s="43" t="str">
        <x:v>Unknown</x:v>
      </x:c>
      <x:c r="U341" s="43" t="str">
        <x:v>Unknown</x:v>
      </x:c>
      <x:c r="V341" s="43" t="str">
        <x:v>Unknown</x:v>
      </x:c>
      <x:c r="W341" s="43" t="str">
        <x:v>Unknown</x:v>
      </x:c>
      <x:c r="X341" s="43" t="str">
        <x:v>Unknown</x:v>
      </x:c>
      <x:c r="Y341" s="43" t="str">
        <x:v>Unknown</x:v>
      </x:c>
      <x:c r="Z341" s="43"/>
      <x:c r="AA341" s="43" t="str">
        <x:v>Excluded</x:v>
      </x:c>
      <x:c r="AB341" s="43" t="str">
        <x:v>No qualifying evidence source recorded</x:v>
      </x:c>
      <x:c r="AC341" s="43" t="str">
        <x:v>Excluded from Maya's elderly recommendation results because no source-backed elderly accessibility feature is recorded in the reviewed data. This does not mean the attraction is inaccessible.</x:v>
      </x:c>
      <x:c r="AD341" s="43" t="str">
        <x:v>2026-08-16</x:v>
      </x:c>
    </x:row>
    <x:row r="342" ht="60" customHeight="1">
      <x:c r="A342" s="16" t="s">
        <x:v>2013</x:v>
      </x:c>
      <x:c r="B342" s="16" t="s">
        <x:v>2014</x:v>
      </x:c>
      <x:c r="C342" s="16" t="s">
        <x:v>1848</x:v>
      </x:c>
      <x:c r="D342" s="16" t="s">
        <x:v>2015</x:v>
      </x:c>
      <x:c r="E342" s="16" t="s">
        <x:v>99</x:v>
      </x:c>
      <x:c r="F342" s="16" t="s">
        <x:v>107</x:v>
      </x:c>
      <x:c r="G342" s="16" t="s">
        <x:v>46</x:v>
      </x:c>
      <x:c r="H342" s="17" t="s">
        <x:v>2016</x:v>
      </x:c>
      <x:c r="I342" s="17" t="s">
        <x:v>2017</x:v>
      </x:c>
      <x:c r="J342" s="17" t="s">
        <x:v>2018</x:v>
      </x:c>
      <x:c r="K342" s="17" t="s">
        <x:v>1853</x:v>
      </x:c>
      <x:c r="L342" s="17" t="s">
        <x:v>111</x:v>
      </x:c>
      <x:c r="M342" s="17" t="s">
        <x:v>1920</x:v>
      </x:c>
      <x:c r="N342" s="16"/>
      <x:c r="O342" s="18">
        <x:v>46249</x:v>
      </x:c>
      <x:c r="P342" s="19" t="s">
        <x:v>34</x:v>
      </x:c>
      <x:c r="Q342" s="17"/>
      <x:c r="R342" s="19" t="str">
        <x:f t="shared" si="5"/>
        <x:v>Discovery Link Only</x:v>
      </x:c>
      <x:c r="S342" s="43" t="str">
        <x:v>Unknown</x:v>
      </x:c>
      <x:c r="T342" s="43" t="str">
        <x:v>Unknown</x:v>
      </x:c>
      <x:c r="U342" s="43" t="str">
        <x:v>Unknown</x:v>
      </x:c>
      <x:c r="V342" s="43" t="str">
        <x:v>Unknown</x:v>
      </x:c>
      <x:c r="W342" s="43" t="str">
        <x:v>Unknown</x:v>
      </x:c>
      <x:c r="X342" s="43" t="str">
        <x:v>Unknown</x:v>
      </x:c>
      <x:c r="Y342" s="43" t="str">
        <x:v>Unknown</x:v>
      </x:c>
      <x:c r="Z342" s="43"/>
      <x:c r="AA342" s="43" t="str">
        <x:v>Excluded</x:v>
      </x:c>
      <x:c r="AB342" s="43" t="str">
        <x:v>No qualifying evidence source recorded</x:v>
      </x:c>
      <x:c r="AC342" s="43" t="str">
        <x:v>Excluded from Maya's elderly recommendation results because no source-backed elderly accessibility feature is recorded in the reviewed data. This does not mean the attraction is inaccessible.</x:v>
      </x:c>
      <x:c r="AD342" s="43" t="str">
        <x:v>2026-08-16</x:v>
      </x:c>
    </x:row>
    <x:row r="343" ht="60" customHeight="1">
      <x:c r="A343" s="16" t="s">
        <x:v>2019</x:v>
      </x:c>
      <x:c r="B343" s="16" t="s">
        <x:v>2020</x:v>
      </x:c>
      <x:c r="C343" s="16" t="s">
        <x:v>2021</x:v>
      </x:c>
      <x:c r="D343" s="16" t="s">
        <x:v>2022</x:v>
      </x:c>
      <x:c r="E343" s="16" t="s">
        <x:v>72</x:v>
      </x:c>
      <x:c r="F343" s="16" t="s">
        <x:v>25</x:v>
      </x:c>
      <x:c r="G343" s="16" t="s">
        <x:v>26</x:v>
      </x:c>
      <x:c r="H343" s="17" t="s">
        <x:v>2023</x:v>
      </x:c>
      <x:c r="I343" s="17" t="s">
        <x:v>2024</x:v>
      </x:c>
      <x:c r="J343" s="17" t="s">
        <x:v>2025</x:v>
      </x:c>
      <x:c r="K343" s="17" t="s">
        <x:v>2026</x:v>
      </x:c>
      <x:c r="L343" s="17" t="s">
        <x:v>58</x:v>
      </x:c>
      <x:c r="M343" s="17" t="s">
        <x:v>256</x:v>
      </x:c>
      <x:c r="N343" s="16" t="s">
        <x:v>2027</x:v>
      </x:c>
      <x:c r="O343" s="18">
        <x:v>46249</x:v>
      </x:c>
      <x:c r="P343" s="19" t="s">
        <x:v>34</x:v>
      </x:c>
      <x:c r="Q343" s="17"/>
      <x:c r="R343" s="19" t="str">
        <x:f t="shared" si="5"/>
        <x:v>Source Link Present</x:v>
      </x:c>
      <x:c r="S343" s="43" t="str">
        <x:v>Unknown</x:v>
      </x:c>
      <x:c r="T343" s="43" t="str">
        <x:v>Unknown</x:v>
      </x:c>
      <x:c r="U343" s="43" t="str">
        <x:v>Unknown</x:v>
      </x:c>
      <x:c r="V343" s="43" t="str">
        <x:v>Unknown</x:v>
      </x:c>
      <x:c r="W343" s="43" t="str">
        <x:v>Unknown</x:v>
      </x:c>
      <x:c r="X343" s="43" t="str">
        <x:v>Unknown</x:v>
      </x:c>
      <x:c r="Y343" s="43" t="str">
        <x:v>Unknown</x:v>
      </x:c>
      <x:c r="Z343" s="43"/>
      <x:c r="AA343" s="43" t="str">
        <x:v>Excluded</x:v>
      </x:c>
      <x:c r="AB343" s="43" t="str">
        <x:v>No qualifying evidence source recorded</x:v>
      </x:c>
      <x:c r="AC343" s="43" t="str">
        <x:v>Excluded from Maya's elderly recommendation results because no source-backed elderly accessibility feature is recorded in the reviewed data. This does not mean the attraction is inaccessible.</x:v>
      </x:c>
      <x:c r="AD343" s="43" t="str">
        <x:v>2026-08-16</x:v>
      </x:c>
    </x:row>
    <x:row r="344" ht="60" customHeight="1">
      <x:c r="A344" s="16" t="s">
        <x:v>2028</x:v>
      </x:c>
      <x:c r="B344" s="16" t="s">
        <x:v>2029</x:v>
      </x:c>
      <x:c r="C344" s="16" t="s">
        <x:v>2021</x:v>
      </x:c>
      <x:c r="D344" s="16" t="s">
        <x:v>2030</x:v>
      </x:c>
      <x:c r="E344" s="16" t="s">
        <x:v>45</x:v>
      </x:c>
      <x:c r="F344" s="16" t="s">
        <x:v>25</x:v>
      </x:c>
      <x:c r="G344" s="16" t="s">
        <x:v>26</x:v>
      </x:c>
      <x:c r="H344" s="17" t="s">
        <x:v>2031</x:v>
      </x:c>
      <x:c r="I344" s="17" t="s">
        <x:v>2032</x:v>
      </x:c>
      <x:c r="J344" s="17" t="s">
        <x:v>2033</x:v>
      </x:c>
      <x:c r="K344" s="17" t="s">
        <x:v>2026</x:v>
      </x:c>
      <x:c r="L344" s="17" t="s">
        <x:v>58</x:v>
      </x:c>
      <x:c r="M344" s="17" t="s">
        <x:v>256</x:v>
      </x:c>
      <x:c r="N344" s="16" t="s">
        <x:v>2034</x:v>
      </x:c>
      <x:c r="O344" s="18">
        <x:v>46249</x:v>
      </x:c>
      <x:c r="P344" s="19" t="s">
        <x:v>34</x:v>
      </x:c>
      <x:c r="Q344" s="17"/>
      <x:c r="R344" s="19" t="str">
        <x:f t="shared" si="5"/>
        <x:v>Source Link Present</x:v>
      </x:c>
      <x:c r="S344" s="43" t="str">
        <x:v>Unknown</x:v>
      </x:c>
      <x:c r="T344" s="43" t="str">
        <x:v>Unknown</x:v>
      </x:c>
      <x:c r="U344" s="43" t="str">
        <x:v>Unknown</x:v>
      </x:c>
      <x:c r="V344" s="43" t="str">
        <x:v>Unknown</x:v>
      </x:c>
      <x:c r="W344" s="43" t="str">
        <x:v>Unknown</x:v>
      </x:c>
      <x:c r="X344" s="43" t="str">
        <x:v>Unknown</x:v>
      </x:c>
      <x:c r="Y344" s="43" t="str">
        <x:v>Unknown</x:v>
      </x:c>
      <x:c r="Z344" s="43"/>
      <x:c r="AA344" s="43" t="str">
        <x:v>Eligible</x:v>
      </x:c>
      <x:c r="AB344" s="43" t="str">
        <x:v>https://www.malaysia.travel/explore/chemerong-forest-reserve
https://trgforestry.terengganu.gov.my/index.php?option=com_content&amp;view=article&amp;id=83&amp;Itemid=339&amp;lang=en
https://www.forestry.gov.my/my/terengganu/taman-eko-rimba-chemerong
https://www.forestry.gov.my/index.php/my/perkhidmatan/info-perhutanan/hutan-lipur-hutan-taman-negeri
https://ebrochures.malaysia.travel/en/malaysia-travel-guide/terengganu/
https://ebrochures.malaysia.travel/en/adventure-with-nature/jungle-trekking/</x:v>
      </x:c>
      <x:c r="AC344" s="43" t="str">
        <x:v>Included in Maya's elderly recommendation results: Parking, toilets, a prayer room, shelters and a hall are recorded at the ground-level recreation area.</x:v>
      </x:c>
      <x:c r="AD344" s="43" t="str">
        <x:v>2026-08-16</x:v>
      </x:c>
    </x:row>
    <x:row r="345" ht="60" customHeight="1">
      <x:c r="A345" s="16" t="s">
        <x:v>2035</x:v>
      </x:c>
      <x:c r="B345" s="16" t="s">
        <x:v>2036</x:v>
      </x:c>
      <x:c r="C345" s="16" t="s">
        <x:v>2021</x:v>
      </x:c>
      <x:c r="D345" s="16" t="s">
        <x:v>2037</x:v>
      </x:c>
      <x:c r="E345" s="16" t="s">
        <x:v>72</x:v>
      </x:c>
      <x:c r="F345" s="16" t="s">
        <x:v>25</x:v>
      </x:c>
      <x:c r="G345" s="16" t="s">
        <x:v>26</x:v>
      </x:c>
      <x:c r="H345" s="17" t="s">
        <x:v>2038</x:v>
      </x:c>
      <x:c r="I345" s="17" t="s">
        <x:v>2039</x:v>
      </x:c>
      <x:c r="J345" s="17" t="s">
        <x:v>2040</x:v>
      </x:c>
      <x:c r="K345" s="17" t="s">
        <x:v>2026</x:v>
      </x:c>
      <x:c r="L345" s="17" t="s">
        <x:v>58</x:v>
      </x:c>
      <x:c r="M345" s="17" t="s">
        <x:v>256</x:v>
      </x:c>
      <x:c r="N345" s="16" t="s">
        <x:v>2041</x:v>
      </x:c>
      <x:c r="O345" s="18">
        <x:v>46249</x:v>
      </x:c>
      <x:c r="P345" s="19" t="s">
        <x:v>34</x:v>
      </x:c>
      <x:c r="Q345" s="17"/>
      <x:c r="R345" s="19" t="str">
        <x:f t="shared" si="5"/>
        <x:v>Discovery Link Only</x:v>
      </x:c>
      <x:c r="S345" s="43" t="str">
        <x:v>Unknown</x:v>
      </x:c>
      <x:c r="T345" s="43" t="str">
        <x:v>Unknown</x:v>
      </x:c>
      <x:c r="U345" s="43" t="str">
        <x:v>Unknown</x:v>
      </x:c>
      <x:c r="V345" s="43" t="str">
        <x:v>Unknown</x:v>
      </x:c>
      <x:c r="W345" s="43" t="str">
        <x:v>Unknown</x:v>
      </x:c>
      <x:c r="X345" s="43" t="str">
        <x:v>Unknown</x:v>
      </x:c>
      <x:c r="Y345" s="43" t="str">
        <x:v>Unknown</x:v>
      </x:c>
      <x:c r="Z345" s="43"/>
      <x:c r="AA345" s="43" t="str">
        <x:v>Excluded</x:v>
      </x:c>
      <x:c r="AB345" s="43" t="str">
        <x:v>No qualifying evidence source recorded</x:v>
      </x:c>
      <x:c r="AC345" s="43" t="str">
        <x:v>Excluded from Maya's elderly recommendation results because no source-backed elderly accessibility feature is recorded in the reviewed data. This does not mean the attraction is inaccessible.</x:v>
      </x:c>
      <x:c r="AD345" s="43" t="str">
        <x:v>2026-08-16</x:v>
      </x:c>
    </x:row>
    <x:row r="346" ht="60" customHeight="1">
      <x:c r="A346" s="16" t="s">
        <x:v>2042</x:v>
      </x:c>
      <x:c r="B346" s="16" t="s">
        <x:v>2043</x:v>
      </x:c>
      <x:c r="C346" s="16" t="s">
        <x:v>2021</x:v>
      </x:c>
      <x:c r="D346" s="16" t="s">
        <x:v>2044</x:v>
      </x:c>
      <x:c r="E346" s="16" t="s">
        <x:v>72</x:v>
      </x:c>
      <x:c r="F346" s="16" t="s">
        <x:v>25</x:v>
      </x:c>
      <x:c r="G346" s="16" t="s">
        <x:v>26</x:v>
      </x:c>
      <x:c r="H346" s="17" t="s">
        <x:v>2038</x:v>
      </x:c>
      <x:c r="I346" s="17" t="s">
        <x:v>2045</x:v>
      </x:c>
      <x:c r="J346" s="17" t="s">
        <x:v>2046</x:v>
      </x:c>
      <x:c r="K346" s="17" t="s">
        <x:v>2026</x:v>
      </x:c>
      <x:c r="L346" s="17" t="s">
        <x:v>58</x:v>
      </x:c>
      <x:c r="M346" s="17" t="s">
        <x:v>256</x:v>
      </x:c>
      <x:c r="N346" s="16" t="s">
        <x:v>2047</x:v>
      </x:c>
      <x:c r="O346" s="18">
        <x:v>46249</x:v>
      </x:c>
      <x:c r="P346" s="19" t="s">
        <x:v>34</x:v>
      </x:c>
      <x:c r="Q346" s="17"/>
      <x:c r="R346" s="19" t="str">
        <x:f t="shared" si="5"/>
        <x:v>Discovery Link Only</x:v>
      </x:c>
      <x:c r="S346" s="43" t="str">
        <x:v>Unknown</x:v>
      </x:c>
      <x:c r="T346" s="43" t="str">
        <x:v>Unknown</x:v>
      </x:c>
      <x:c r="U346" s="43" t="str">
        <x:v>Unknown</x:v>
      </x:c>
      <x:c r="V346" s="43" t="str">
        <x:v>Unknown</x:v>
      </x:c>
      <x:c r="W346" s="43" t="str">
        <x:v>Unknown</x:v>
      </x:c>
      <x:c r="X346" s="43" t="str">
        <x:v>Unknown</x:v>
      </x:c>
      <x:c r="Y346" s="43" t="str">
        <x:v>Unknown</x:v>
      </x:c>
      <x:c r="Z346" s="43"/>
      <x:c r="AA346" s="43" t="str">
        <x:v>Excluded</x:v>
      </x:c>
      <x:c r="AB346" s="43" t="str">
        <x:v>No qualifying evidence source recorded</x:v>
      </x:c>
      <x:c r="AC346" s="43" t="str">
        <x:v>Excluded from Maya's elderly recommendation results because no source-backed elderly accessibility feature is recorded in the reviewed data. This does not mean the attraction is inaccessible.</x:v>
      </x:c>
      <x:c r="AD346" s="43" t="str">
        <x:v>2026-08-16</x:v>
      </x:c>
    </x:row>
    <x:row r="347" ht="60" customHeight="1">
      <x:c r="A347" s="16" t="s">
        <x:v>2048</x:v>
      </x:c>
      <x:c r="B347" s="16" t="s">
        <x:v>2049</x:v>
      </x:c>
      <x:c r="C347" s="16" t="s">
        <x:v>2021</x:v>
      </x:c>
      <x:c r="D347" s="16" t="s">
        <x:v>2050</x:v>
      </x:c>
      <x:c r="E347" s="16" t="s">
        <x:v>54</x:v>
      </x:c>
      <x:c r="F347" s="16" t="s">
        <x:v>25</x:v>
      </x:c>
      <x:c r="G347" s="16" t="s">
        <x:v>46</x:v>
      </x:c>
      <x:c r="H347" s="17" t="s">
        <x:v>2051</x:v>
      </x:c>
      <x:c r="I347" s="17" t="s">
        <x:v>2052</x:v>
      </x:c>
      <x:c r="J347" s="17" t="s">
        <x:v>2053</x:v>
      </x:c>
      <x:c r="K347" s="17" t="s">
        <x:v>2026</x:v>
      </x:c>
      <x:c r="L347" s="17" t="s">
        <x:v>58</x:v>
      </x:c>
      <x:c r="M347" s="17" t="s">
        <x:v>256</x:v>
      </x:c>
      <x:c r="N347" s="16" t="s">
        <x:v>2054</x:v>
      </x:c>
      <x:c r="O347" s="18">
        <x:v>46249</x:v>
      </x:c>
      <x:c r="P347" s="19" t="s">
        <x:v>34</x:v>
      </x:c>
      <x:c r="Q347" s="17"/>
      <x:c r="R347" s="19" t="str">
        <x:f t="shared" si="5"/>
        <x:v>Discovery Link Only</x:v>
      </x:c>
      <x:c r="S347" s="43" t="str">
        <x:v>Unknown</x:v>
      </x:c>
      <x:c r="T347" s="43" t="str">
        <x:v>Unknown</x:v>
      </x:c>
      <x:c r="U347" s="43" t="str">
        <x:v>Unknown</x:v>
      </x:c>
      <x:c r="V347" s="43" t="str">
        <x:v>Unknown</x:v>
      </x:c>
      <x:c r="W347" s="43" t="str">
        <x:v>Unknown</x:v>
      </x:c>
      <x:c r="X347" s="43" t="str">
        <x:v>Unknown</x:v>
      </x:c>
      <x:c r="Y347" s="43" t="str">
        <x:v>Unknown</x:v>
      </x:c>
      <x:c r="Z347" s="43"/>
      <x:c r="AA347" s="43" t="str">
        <x:v>Excluded</x:v>
      </x:c>
      <x:c r="AB347" s="43" t="str">
        <x:v>No qualifying evidence source recorded</x:v>
      </x:c>
      <x:c r="AC347" s="43" t="str">
        <x:v>Excluded from Maya's elderly recommendation results because no source-backed elderly accessibility feature is recorded in the reviewed data. This does not mean the attraction is inaccessible.</x:v>
      </x:c>
      <x:c r="AD347" s="43" t="str">
        <x:v>2026-08-16</x:v>
      </x:c>
    </x:row>
    <x:row r="348" ht="60" customHeight="1">
      <x:c r="A348" s="16" t="s">
        <x:v>2055</x:v>
      </x:c>
      <x:c r="B348" s="16" t="s">
        <x:v>2056</x:v>
      </x:c>
      <x:c r="C348" s="16" t="s">
        <x:v>2021</x:v>
      </x:c>
      <x:c r="D348" s="16" t="s">
        <x:v>2050</x:v>
      </x:c>
      <x:c r="E348" s="16" t="s">
        <x:v>133</x:v>
      </x:c>
      <x:c r="F348" s="16" t="s">
        <x:v>25</x:v>
      </x:c>
      <x:c r="G348" s="16" t="s">
        <x:v>46</x:v>
      </x:c>
      <x:c r="H348" s="17" t="s">
        <x:v>2057</x:v>
      </x:c>
      <x:c r="I348" s="17" t="s">
        <x:v>2058</x:v>
      </x:c>
      <x:c r="J348" s="17" t="s">
        <x:v>2059</x:v>
      </x:c>
      <x:c r="K348" s="17" t="s">
        <x:v>2026</x:v>
      </x:c>
      <x:c r="L348" s="17" t="s">
        <x:v>58</x:v>
      </x:c>
      <x:c r="M348" s="17" t="s">
        <x:v>256</x:v>
      </x:c>
      <x:c r="N348" s="16" t="s">
        <x:v>2060</x:v>
      </x:c>
      <x:c r="O348" s="18">
        <x:v>46249</x:v>
      </x:c>
      <x:c r="P348" s="19" t="s">
        <x:v>34</x:v>
      </x:c>
      <x:c r="Q348" s="17"/>
      <x:c r="R348" s="19" t="str">
        <x:f t="shared" si="5"/>
        <x:v>Discovery Link Only</x:v>
      </x:c>
      <x:c r="S348" s="43" t="str">
        <x:v>Unknown</x:v>
      </x:c>
      <x:c r="T348" s="43" t="str">
        <x:v>Unknown</x:v>
      </x:c>
      <x:c r="U348" s="43" t="str">
        <x:v>Unknown</x:v>
      </x:c>
      <x:c r="V348" s="43" t="str">
        <x:v>Unknown</x:v>
      </x:c>
      <x:c r="W348" s="43" t="str">
        <x:v>Unknown</x:v>
      </x:c>
      <x:c r="X348" s="43" t="str">
        <x:v>Unknown</x:v>
      </x:c>
      <x:c r="Y348" s="43" t="str">
        <x:v>Unknown</x:v>
      </x:c>
      <x:c r="Z348" s="43"/>
      <x:c r="AA348" s="43" t="str">
        <x:v>Excluded</x:v>
      </x:c>
      <x:c r="AB348" s="43" t="str">
        <x:v>No qualifying evidence source recorded</x:v>
      </x:c>
      <x:c r="AC348" s="43" t="str">
        <x:v>Excluded from Maya's elderly recommendation results because no source-backed elderly accessibility feature is recorded in the reviewed data. This does not mean the attraction is inaccessible.</x:v>
      </x:c>
      <x:c r="AD348" s="43" t="str">
        <x:v>2026-08-16</x:v>
      </x:c>
    </x:row>
    <x:row r="349" ht="60" customHeight="1">
      <x:c r="A349" s="16" t="s">
        <x:v>2061</x:v>
      </x:c>
      <x:c r="B349" s="16" t="s">
        <x:v>2062</x:v>
      </x:c>
      <x:c r="C349" s="16" t="s">
        <x:v>2021</x:v>
      </x:c>
      <x:c r="D349" s="16" t="s">
        <x:v>2050</x:v>
      </x:c>
      <x:c r="E349" s="16" t="s">
        <x:v>106</x:v>
      </x:c>
      <x:c r="F349" s="16" t="s">
        <x:v>25</x:v>
      </x:c>
      <x:c r="G349" s="16" t="s">
        <x:v>46</x:v>
      </x:c>
      <x:c r="H349" s="17" t="s">
        <x:v>2063</x:v>
      </x:c>
      <x:c r="I349" s="17" t="s">
        <x:v>2064</x:v>
      </x:c>
      <x:c r="J349" s="17" t="s">
        <x:v>2065</x:v>
      </x:c>
      <x:c r="K349" s="17" t="s">
        <x:v>2026</x:v>
      </x:c>
      <x:c r="L349" s="17" t="s">
        <x:v>58</x:v>
      </x:c>
      <x:c r="M349" s="17" t="s">
        <x:v>256</x:v>
      </x:c>
      <x:c r="N349" s="16" t="s">
        <x:v>2066</x:v>
      </x:c>
      <x:c r="O349" s="18">
        <x:v>46249</x:v>
      </x:c>
      <x:c r="P349" s="19" t="s">
        <x:v>34</x:v>
      </x:c>
      <x:c r="Q349" s="17"/>
      <x:c r="R349" s="19" t="str">
        <x:f t="shared" si="5"/>
        <x:v>Discovery Link Only</x:v>
      </x:c>
      <x:c r="S349" s="43" t="str">
        <x:v>Unknown</x:v>
      </x:c>
      <x:c r="T349" s="43" t="str">
        <x:v>Unknown</x:v>
      </x:c>
      <x:c r="U349" s="43" t="str">
        <x:v>Unknown</x:v>
      </x:c>
      <x:c r="V349" s="43" t="str">
        <x:v>Unknown</x:v>
      </x:c>
      <x:c r="W349" s="43" t="str">
        <x:v>Unknown</x:v>
      </x:c>
      <x:c r="X349" s="43" t="str">
        <x:v>Unknown</x:v>
      </x:c>
      <x:c r="Y349" s="43" t="str">
        <x:v>Unknown</x:v>
      </x:c>
      <x:c r="Z349" s="43"/>
      <x:c r="AA349" s="43" t="str">
        <x:v>Excluded</x:v>
      </x:c>
      <x:c r="AB349" s="43" t="str">
        <x:v>No qualifying evidence source recorded</x:v>
      </x:c>
      <x:c r="AC349" s="43" t="str">
        <x:v>Excluded from Maya's elderly recommendation results because no source-backed elderly accessibility feature is recorded in the reviewed data. This does not mean the attraction is inaccessible.</x:v>
      </x:c>
      <x:c r="AD349" s="43" t="str">
        <x:v>2026-08-16</x:v>
      </x:c>
    </x:row>
    <x:row r="350" ht="60" customHeight="1">
      <x:c r="A350" s="16" t="s">
        <x:v>2067</x:v>
      </x:c>
      <x:c r="B350" s="16" t="s">
        <x:v>2068</x:v>
      </x:c>
      <x:c r="C350" s="16" t="s">
        <x:v>2021</x:v>
      </x:c>
      <x:c r="D350" s="16" t="s">
        <x:v>2069</x:v>
      </x:c>
      <x:c r="E350" s="16" t="s">
        <x:v>45</x:v>
      </x:c>
      <x:c r="F350" s="16" t="s">
        <x:v>25</x:v>
      </x:c>
      <x:c r="G350" s="16" t="s">
        <x:v>26</x:v>
      </x:c>
      <x:c r="H350" s="17" t="s">
        <x:v>2070</x:v>
      </x:c>
      <x:c r="I350" s="17" t="s">
        <x:v>2071</x:v>
      </x:c>
      <x:c r="J350" s="17" t="s">
        <x:v>2072</x:v>
      </x:c>
      <x:c r="K350" s="17" t="s">
        <x:v>2026</x:v>
      </x:c>
      <x:c r="L350" s="17" t="s">
        <x:v>58</x:v>
      </x:c>
      <x:c r="M350" s="17" t="s">
        <x:v>256</x:v>
      </x:c>
      <x:c r="N350" s="16" t="s">
        <x:v>2073</x:v>
      </x:c>
      <x:c r="O350" s="18">
        <x:v>46249</x:v>
      </x:c>
      <x:c r="P350" s="19" t="s">
        <x:v>34</x:v>
      </x:c>
      <x:c r="Q350" s="17"/>
      <x:c r="R350" s="19" t="str">
        <x:f t="shared" si="5"/>
        <x:v>Discovery Link Only</x:v>
      </x:c>
      <x:c r="S350" s="43" t="str">
        <x:v>Unknown</x:v>
      </x:c>
      <x:c r="T350" s="43" t="str">
        <x:v>Unknown</x:v>
      </x:c>
      <x:c r="U350" s="43" t="str">
        <x:v>Unknown</x:v>
      </x:c>
      <x:c r="V350" s="43" t="str">
        <x:v>Unknown</x:v>
      </x:c>
      <x:c r="W350" s="43" t="str">
        <x:v>Unknown</x:v>
      </x:c>
      <x:c r="X350" s="43" t="str">
        <x:v>Unknown</x:v>
      </x:c>
      <x:c r="Y350" s="43" t="str">
        <x:v>Unknown</x:v>
      </x:c>
      <x:c r="Z350" s="43"/>
      <x:c r="AA350" s="43" t="str">
        <x:v>Excluded</x:v>
      </x:c>
      <x:c r="AB350" s="43" t="str">
        <x:v>No qualifying evidence source recorded</x:v>
      </x:c>
      <x:c r="AC350" s="43" t="str">
        <x:v>Excluded from Maya's elderly recommendation results because no source-backed elderly accessibility feature is recorded in the reviewed data. This does not mean the attraction is inaccessible.</x:v>
      </x:c>
      <x:c r="AD350" s="43" t="str">
        <x:v>2026-08-16</x:v>
      </x:c>
    </x:row>
    <x:row r="351" ht="60" customHeight="1">
      <x:c r="A351" s="16" t="s">
        <x:v>2074</x:v>
      </x:c>
      <x:c r="B351" s="16" t="s">
        <x:v>2075</x:v>
      </x:c>
      <x:c r="C351" s="16" t="s">
        <x:v>2021</x:v>
      </x:c>
      <x:c r="D351" s="16" t="s">
        <x:v>2076</x:v>
      </x:c>
      <x:c r="E351" s="16" t="s">
        <x:v>37</x:v>
      </x:c>
      <x:c r="F351" s="16" t="s">
        <x:v>25</x:v>
      </x:c>
      <x:c r="G351" s="16" t="s">
        <x:v>46</x:v>
      </x:c>
      <x:c r="H351" s="17" t="s">
        <x:v>2077</x:v>
      </x:c>
      <x:c r="I351" s="17" t="s">
        <x:v>2078</x:v>
      </x:c>
      <x:c r="J351" s="17" t="s">
        <x:v>2079</x:v>
      </x:c>
      <x:c r="K351" s="17" t="s">
        <x:v>2026</x:v>
      </x:c>
      <x:c r="L351" s="17" t="s">
        <x:v>58</x:v>
      </x:c>
      <x:c r="M351" s="17" t="s">
        <x:v>256</x:v>
      </x:c>
      <x:c r="N351" s="16" t="s">
        <x:v>2080</x:v>
      </x:c>
      <x:c r="O351" s="18">
        <x:v>46249</x:v>
      </x:c>
      <x:c r="P351" s="19" t="s">
        <x:v>34</x:v>
      </x:c>
      <x:c r="Q351" s="17"/>
      <x:c r="R351" s="19" t="str">
        <x:f t="shared" si="5"/>
        <x:v>Discovery Link Only</x:v>
      </x:c>
      <x:c r="S351" s="43" t="str">
        <x:v>Unknown</x:v>
      </x:c>
      <x:c r="T351" s="43" t="str">
        <x:v>Unknown</x:v>
      </x:c>
      <x:c r="U351" s="43" t="str">
        <x:v>Unknown</x:v>
      </x:c>
      <x:c r="V351" s="43" t="str">
        <x:v>Unknown</x:v>
      </x:c>
      <x:c r="W351" s="43" t="str">
        <x:v>Unknown</x:v>
      </x:c>
      <x:c r="X351" s="43" t="str">
        <x:v>Unknown</x:v>
      </x:c>
      <x:c r="Y351" s="43" t="str">
        <x:v>Unknown</x:v>
      </x:c>
      <x:c r="Z351" s="43"/>
      <x:c r="AA351" s="43" t="str">
        <x:v>Excluded</x:v>
      </x:c>
      <x:c r="AB351" s="43" t="str">
        <x:v>No qualifying evidence source recorded</x:v>
      </x:c>
      <x:c r="AC351" s="43" t="str">
        <x:v>Excluded from Maya's elderly recommendation results because no source-backed elderly accessibility feature is recorded in the reviewed data. This does not mean the attraction is inaccessible.</x:v>
      </x:c>
      <x:c r="AD351" s="43" t="str">
        <x:v>2026-08-16</x:v>
      </x:c>
    </x:row>
    <x:row r="352" ht="60" customHeight="1">
      <x:c r="A352" s="16" t="s">
        <x:v>2081</x:v>
      </x:c>
      <x:c r="B352" s="16" t="s">
        <x:v>2082</x:v>
      </x:c>
      <x:c r="C352" s="16" t="s">
        <x:v>2021</x:v>
      </x:c>
      <x:c r="D352" s="16" t="s">
        <x:v>2050</x:v>
      </x:c>
      <x:c r="E352" s="16" t="s">
        <x:v>115</x:v>
      </x:c>
      <x:c r="F352" s="16" t="s">
        <x:v>121</x:v>
      </x:c>
      <x:c r="G352" s="16" t="s">
        <x:v>26</x:v>
      </x:c>
      <x:c r="H352" s="17" t="s">
        <x:v>2083</x:v>
      </x:c>
      <x:c r="I352" s="17" t="s">
        <x:v>2084</x:v>
      </x:c>
      <x:c r="J352" s="17" t="s">
        <x:v>2085</x:v>
      </x:c>
      <x:c r="K352" s="17" t="s">
        <x:v>2026</x:v>
      </x:c>
      <x:c r="L352" s="17" t="s">
        <x:v>58</x:v>
      </x:c>
      <x:c r="M352" s="17" t="s">
        <x:v>256</x:v>
      </x:c>
      <x:c r="N352" s="16" t="s">
        <x:v>2086</x:v>
      </x:c>
      <x:c r="O352" s="18">
        <x:v>46249</x:v>
      </x:c>
      <x:c r="P352" s="19" t="s">
        <x:v>34</x:v>
      </x:c>
      <x:c r="Q352" s="17"/>
      <x:c r="R352" s="19" t="str">
        <x:f t="shared" si="5"/>
        <x:v>Discovery Link Only</x:v>
      </x:c>
      <x:c r="S352" s="43" t="str">
        <x:v>Unknown</x:v>
      </x:c>
      <x:c r="T352" s="43" t="str">
        <x:v>Unknown</x:v>
      </x:c>
      <x:c r="U352" s="43" t="str">
        <x:v>Unknown</x:v>
      </x:c>
      <x:c r="V352" s="43" t="str">
        <x:v>Unknown</x:v>
      </x:c>
      <x:c r="W352" s="43" t="str">
        <x:v>Unknown</x:v>
      </x:c>
      <x:c r="X352" s="43" t="str">
        <x:v>Unknown</x:v>
      </x:c>
      <x:c r="Y352" s="43" t="str">
        <x:v>Unknown</x:v>
      </x:c>
      <x:c r="Z352" s="43"/>
      <x:c r="AA352" s="43" t="str">
        <x:v>Excluded</x:v>
      </x:c>
      <x:c r="AB352" s="43" t="str">
        <x:v>No qualifying evidence source recorded</x:v>
      </x:c>
      <x:c r="AC352" s="43" t="str">
        <x:v>Excluded from Maya's elderly recommendation results because no source-backed elderly accessibility feature is recorded in the reviewed data. This does not mean the attraction is inaccessible.</x:v>
      </x:c>
      <x:c r="AD352" s="43" t="str">
        <x:v>2026-08-16</x:v>
      </x:c>
    </x:row>
    <x:row r="353" ht="60" customHeight="1">
      <x:c r="A353" s="16" t="s">
        <x:v>2087</x:v>
      </x:c>
      <x:c r="B353" s="16" t="s">
        <x:v>2088</x:v>
      </x:c>
      <x:c r="C353" s="16" t="s">
        <x:v>2021</x:v>
      </x:c>
      <x:c r="D353" s="16" t="s">
        <x:v>2050</x:v>
      </x:c>
      <x:c r="E353" s="16" t="s">
        <x:v>151</x:v>
      </x:c>
      <x:c r="F353" s="16" t="s">
        <x:v>107</x:v>
      </x:c>
      <x:c r="G353" s="16" t="s">
        <x:v>134</x:v>
      </x:c>
      <x:c r="H353" s="17" t="s">
        <x:v>2089</x:v>
      </x:c>
      <x:c r="I353" s="17" t="s">
        <x:v>2090</x:v>
      </x:c>
      <x:c r="J353" s="17" t="s">
        <x:v>2091</x:v>
      </x:c>
      <x:c r="K353" s="17" t="s">
        <x:v>2026</x:v>
      </x:c>
      <x:c r="L353" s="17" t="s">
        <x:v>111</x:v>
      </x:c>
      <x:c r="M353" s="17" t="s">
        <x:v>2092</x:v>
      </x:c>
      <x:c r="N353" s="16"/>
      <x:c r="O353" s="18">
        <x:v>46249</x:v>
      </x:c>
      <x:c r="P353" s="19" t="s">
        <x:v>34</x:v>
      </x:c>
      <x:c r="Q353" s="17"/>
      <x:c r="R353" s="19" t="str">
        <x:f t="shared" si="5"/>
        <x:v>Discovery Link Only</x:v>
      </x:c>
      <x:c r="S353" s="43" t="str">
        <x:v>Unknown</x:v>
      </x:c>
      <x:c r="T353" s="43" t="str">
        <x:v>Unknown</x:v>
      </x:c>
      <x:c r="U353" s="43" t="str">
        <x:v>Unknown</x:v>
      </x:c>
      <x:c r="V353" s="43" t="str">
        <x:v>Unknown</x:v>
      </x:c>
      <x:c r="W353" s="43" t="str">
        <x:v>Unknown</x:v>
      </x:c>
      <x:c r="X353" s="43" t="str">
        <x:v>Unknown</x:v>
      </x:c>
      <x:c r="Y353" s="43" t="str">
        <x:v>Unknown</x:v>
      </x:c>
      <x:c r="Z353" s="43"/>
      <x:c r="AA353" s="43" t="str">
        <x:v>Excluded</x:v>
      </x:c>
      <x:c r="AB353" s="43" t="str">
        <x:v>No qualifying evidence source recorded</x:v>
      </x:c>
      <x:c r="AC353" s="43" t="str">
        <x:v>Excluded from Maya's elderly recommendation results because no source-backed elderly accessibility feature is recorded in the reviewed data. This does not mean the attraction is inaccessible.</x:v>
      </x:c>
      <x:c r="AD353" s="43" t="str">
        <x:v>2026-08-16</x:v>
      </x:c>
    </x:row>
    <x:row r="354" ht="60" customHeight="1">
      <x:c r="A354" s="16" t="s">
        <x:v>2093</x:v>
      </x:c>
      <x:c r="B354" s="16" t="s">
        <x:v>2094</x:v>
      </x:c>
      <x:c r="C354" s="16" t="s">
        <x:v>2021</x:v>
      </x:c>
      <x:c r="D354" s="16" t="s">
        <x:v>2050</x:v>
      </x:c>
      <x:c r="E354" s="16" t="s">
        <x:v>115</x:v>
      </x:c>
      <x:c r="F354" s="16" t="s">
        <x:v>121</x:v>
      </x:c>
      <x:c r="G354" s="16" t="s">
        <x:v>46</x:v>
      </x:c>
      <x:c r="H354" s="17" t="s">
        <x:v>2095</x:v>
      </x:c>
      <x:c r="I354" s="17" t="s">
        <x:v>2096</x:v>
      </x:c>
      <x:c r="J354" s="17" t="s">
        <x:v>2097</x:v>
      </x:c>
      <x:c r="K354" s="17" t="s">
        <x:v>2026</x:v>
      </x:c>
      <x:c r="L354" s="17" t="s">
        <x:v>111</x:v>
      </x:c>
      <x:c r="M354" s="17" t="s">
        <x:v>2092</x:v>
      </x:c>
      <x:c r="N354" s="16"/>
      <x:c r="O354" s="18">
        <x:v>46249</x:v>
      </x:c>
      <x:c r="P354" s="19" t="s">
        <x:v>34</x:v>
      </x:c>
      <x:c r="Q354" s="17"/>
      <x:c r="R354" s="19" t="str">
        <x:f t="shared" si="5"/>
        <x:v>Discovery Link Only</x:v>
      </x:c>
      <x:c r="S354" s="43" t="str">
        <x:v>Unknown</x:v>
      </x:c>
      <x:c r="T354" s="43" t="str">
        <x:v>Unknown</x:v>
      </x:c>
      <x:c r="U354" s="43" t="str">
        <x:v>Unknown</x:v>
      </x:c>
      <x:c r="V354" s="43" t="str">
        <x:v>Unknown</x:v>
      </x:c>
      <x:c r="W354" s="43" t="str">
        <x:v>Unknown</x:v>
      </x:c>
      <x:c r="X354" s="43" t="str">
        <x:v>Unknown</x:v>
      </x:c>
      <x:c r="Y354" s="43" t="str">
        <x:v>Unknown</x:v>
      </x:c>
      <x:c r="Z354" s="43"/>
      <x:c r="AA354" s="43" t="str">
        <x:v>Excluded</x:v>
      </x:c>
      <x:c r="AB354" s="43" t="str">
        <x:v>No qualifying evidence source recorded</x:v>
      </x:c>
      <x:c r="AC354" s="43" t="str">
        <x:v>Excluded from Maya's elderly recommendation results because no source-backed elderly accessibility feature is recorded in the reviewed data. This does not mean the attraction is inaccessible.</x:v>
      </x:c>
      <x:c r="AD354" s="43" t="str">
        <x:v>2026-08-16</x:v>
      </x:c>
    </x:row>
    <x:row r="355" ht="60" customHeight="1">
      <x:c r="A355" s="16" t="s">
        <x:v>2098</x:v>
      </x:c>
      <x:c r="B355" s="16" t="s">
        <x:v>2099</x:v>
      </x:c>
      <x:c r="C355" s="16" t="s">
        <x:v>2021</x:v>
      </x:c>
      <x:c r="D355" s="16" t="s">
        <x:v>2050</x:v>
      </x:c>
      <x:c r="E355" s="16" t="s">
        <x:v>99</x:v>
      </x:c>
      <x:c r="F355" s="16" t="s">
        <x:v>121</x:v>
      </x:c>
      <x:c r="G355" s="16" t="s">
        <x:v>46</x:v>
      </x:c>
      <x:c r="H355" s="17" t="s">
        <x:v>2100</x:v>
      </x:c>
      <x:c r="I355" s="17" t="s">
        <x:v>2101</x:v>
      </x:c>
      <x:c r="J355" s="17" t="s">
        <x:v>2102</x:v>
      </x:c>
      <x:c r="K355" s="17" t="s">
        <x:v>2026</x:v>
      </x:c>
      <x:c r="L355" s="17" t="s">
        <x:v>111</x:v>
      </x:c>
      <x:c r="M355" s="17" t="s">
        <x:v>2092</x:v>
      </x:c>
      <x:c r="N355" s="16"/>
      <x:c r="O355" s="18">
        <x:v>46249</x:v>
      </x:c>
      <x:c r="P355" s="19" t="s">
        <x:v>34</x:v>
      </x:c>
      <x:c r="Q355" s="17"/>
      <x:c r="R355" s="19" t="str">
        <x:f t="shared" si="5"/>
        <x:v>Discovery Link Only</x:v>
      </x:c>
      <x:c r="S355" s="43" t="str">
        <x:v>Unknown</x:v>
      </x:c>
      <x:c r="T355" s="43" t="str">
        <x:v>Unknown</x:v>
      </x:c>
      <x:c r="U355" s="43" t="str">
        <x:v>Unknown</x:v>
      </x:c>
      <x:c r="V355" s="43" t="str">
        <x:v>Unknown</x:v>
      </x:c>
      <x:c r="W355" s="43" t="str">
        <x:v>Unknown</x:v>
      </x:c>
      <x:c r="X355" s="43" t="str">
        <x:v>Unknown</x:v>
      </x:c>
      <x:c r="Y355" s="43" t="str">
        <x:v>Unknown</x:v>
      </x:c>
      <x:c r="Z355" s="43"/>
      <x:c r="AA355" s="43" t="str">
        <x:v>Excluded</x:v>
      </x:c>
      <x:c r="AB355" s="43" t="str">
        <x:v>No qualifying evidence source recorded</x:v>
      </x:c>
      <x:c r="AC355" s="43" t="str">
        <x:v>Excluded from Maya's elderly recommendation results because no source-backed elderly accessibility feature is recorded in the reviewed data. This does not mean the attraction is inaccessible.</x:v>
      </x:c>
      <x:c r="AD355" s="43" t="str">
        <x:v>2026-08-16</x:v>
      </x:c>
    </x:row>
    <x:row r="356" ht="60" customHeight="1">
      <x:c r="A356" s="16" t="s">
        <x:v>2103</x:v>
      </x:c>
      <x:c r="B356" s="16" t="s">
        <x:v>2104</x:v>
      </x:c>
      <x:c r="C356" s="16" t="s">
        <x:v>2021</x:v>
      </x:c>
      <x:c r="D356" s="16" t="s">
        <x:v>2037</x:v>
      </x:c>
      <x:c r="E356" s="16" t="s">
        <x:v>106</x:v>
      </x:c>
      <x:c r="F356" s="16" t="s">
        <x:v>107</x:v>
      </x:c>
      <x:c r="G356" s="16" t="s">
        <x:v>46</x:v>
      </x:c>
      <x:c r="H356" s="17" t="s">
        <x:v>2105</x:v>
      </x:c>
      <x:c r="I356" s="17" t="s">
        <x:v>2106</x:v>
      </x:c>
      <x:c r="J356" s="17" t="s">
        <x:v>2107</x:v>
      </x:c>
      <x:c r="K356" s="17" t="s">
        <x:v>2026</x:v>
      </x:c>
      <x:c r="L356" s="17" t="s">
        <x:v>111</x:v>
      </x:c>
      <x:c r="M356" s="17" t="s">
        <x:v>2092</x:v>
      </x:c>
      <x:c r="N356" s="16"/>
      <x:c r="O356" s="18">
        <x:v>46249</x:v>
      </x:c>
      <x:c r="P356" s="19" t="s">
        <x:v>34</x:v>
      </x:c>
      <x:c r="Q356" s="17"/>
      <x:c r="R356" s="19" t="str">
        <x:f t="shared" si="5"/>
        <x:v>Discovery Link Only</x:v>
      </x:c>
      <x:c r="S356" s="43" t="str">
        <x:v>Unknown</x:v>
      </x:c>
      <x:c r="T356" s="43" t="str">
        <x:v>Unknown</x:v>
      </x:c>
      <x:c r="U356" s="43" t="str">
        <x:v>Unknown</x:v>
      </x:c>
      <x:c r="V356" s="43" t="str">
        <x:v>Unknown</x:v>
      </x:c>
      <x:c r="W356" s="43" t="str">
        <x:v>Unknown</x:v>
      </x:c>
      <x:c r="X356" s="43" t="str">
        <x:v>Unknown</x:v>
      </x:c>
      <x:c r="Y356" s="43" t="str">
        <x:v>Unknown</x:v>
      </x:c>
      <x:c r="Z356" s="43"/>
      <x:c r="AA356" s="43" t="str">
        <x:v>Excluded</x:v>
      </x:c>
      <x:c r="AB356" s="43" t="str">
        <x:v>No qualifying evidence source recorded</x:v>
      </x:c>
      <x:c r="AC356" s="43" t="str">
        <x:v>Excluded from Maya's elderly recommendation results because no source-backed elderly accessibility feature is recorded in the reviewed data. This does not mean the attraction is inaccessible.</x:v>
      </x:c>
      <x:c r="AD356" s="43" t="str">
        <x:v>2026-08-16</x:v>
      </x:c>
    </x:row>
    <x:row r="357" ht="60" customHeight="1">
      <x:c r="A357" s="16" t="s">
        <x:v>2108</x:v>
      </x:c>
      <x:c r="B357" s="16" t="s">
        <x:v>2109</x:v>
      </x:c>
      <x:c r="C357" s="16" t="s">
        <x:v>2021</x:v>
      </x:c>
      <x:c r="D357" s="16" t="s">
        <x:v>2110</x:v>
      </x:c>
      <x:c r="E357" s="16" t="s">
        <x:v>45</x:v>
      </x:c>
      <x:c r="F357" s="16" t="s">
        <x:v>127</x:v>
      </x:c>
      <x:c r="G357" s="16" t="s">
        <x:v>26</x:v>
      </x:c>
      <x:c r="H357" s="17" t="s">
        <x:v>2111</x:v>
      </x:c>
      <x:c r="I357" s="17" t="s">
        <x:v>2112</x:v>
      </x:c>
      <x:c r="J357" s="17" t="s">
        <x:v>2113</x:v>
      </x:c>
      <x:c r="K357" s="17" t="s">
        <x:v>2026</x:v>
      </x:c>
      <x:c r="L357" s="17" t="s">
        <x:v>111</x:v>
      </x:c>
      <x:c r="M357" s="17" t="s">
        <x:v>2092</x:v>
      </x:c>
      <x:c r="N357" s="16"/>
      <x:c r="O357" s="18">
        <x:v>46249</x:v>
      </x:c>
      <x:c r="P357" s="19" t="s">
        <x:v>34</x:v>
      </x:c>
      <x:c r="Q357" s="17"/>
      <x:c r="R357" s="19" t="str">
        <x:f t="shared" si="5"/>
        <x:v>Discovery Link Only</x:v>
      </x:c>
      <x:c r="S357" s="43" t="str">
        <x:v>Unknown</x:v>
      </x:c>
      <x:c r="T357" s="43" t="str">
        <x:v>Unknown</x:v>
      </x:c>
      <x:c r="U357" s="43" t="str">
        <x:v>Unknown</x:v>
      </x:c>
      <x:c r="V357" s="43" t="str">
        <x:v>Unknown</x:v>
      </x:c>
      <x:c r="W357" s="43" t="str">
        <x:v>Unknown</x:v>
      </x:c>
      <x:c r="X357" s="43" t="str">
        <x:v>Unknown</x:v>
      </x:c>
      <x:c r="Y357" s="43" t="str">
        <x:v>Unknown</x:v>
      </x:c>
      <x:c r="Z357" s="43"/>
      <x:c r="AA357" s="43" t="str">
        <x:v>Excluded</x:v>
      </x:c>
      <x:c r="AB357" s="43" t="str">
        <x:v>No qualifying evidence source recorded</x:v>
      </x:c>
      <x:c r="AC357" s="43" t="str">
        <x:v>Excluded from Maya's elderly recommendation results because no source-backed elderly accessibility feature is recorded in the reviewed data. This does not mean the attraction is inaccessible.</x:v>
      </x:c>
      <x:c r="AD357" s="43" t="str">
        <x:v>2026-08-16</x:v>
      </x:c>
    </x:row>
    <x:row r="358" ht="60" customHeight="1">
      <x:c r="A358" s="16" t="s">
        <x:v>2114</x:v>
      </x:c>
      <x:c r="B358" s="16" t="s">
        <x:v>2115</x:v>
      </x:c>
      <x:c r="C358" s="16" t="s">
        <x:v>2021</x:v>
      </x:c>
      <x:c r="D358" s="16" t="s">
        <x:v>2110</x:v>
      </x:c>
      <x:c r="E358" s="16" t="s">
        <x:v>72</x:v>
      </x:c>
      <x:c r="F358" s="16" t="s">
        <x:v>121</x:v>
      </x:c>
      <x:c r="G358" s="16" t="s">
        <x:v>26</x:v>
      </x:c>
      <x:c r="H358" s="17" t="s">
        <x:v>2116</x:v>
      </x:c>
      <x:c r="I358" s="17" t="s">
        <x:v>2117</x:v>
      </x:c>
      <x:c r="J358" s="17" t="s">
        <x:v>2118</x:v>
      </x:c>
      <x:c r="K358" s="17" t="s">
        <x:v>2026</x:v>
      </x:c>
      <x:c r="L358" s="17" t="s">
        <x:v>111</x:v>
      </x:c>
      <x:c r="M358" s="17" t="s">
        <x:v>2092</x:v>
      </x:c>
      <x:c r="N358" s="16"/>
      <x:c r="O358" s="18">
        <x:v>46249</x:v>
      </x:c>
      <x:c r="P358" s="19" t="s">
        <x:v>34</x:v>
      </x:c>
      <x:c r="Q358" s="17"/>
      <x:c r="R358" s="19" t="str">
        <x:f t="shared" si="5"/>
        <x:v>Discovery Link Only</x:v>
      </x:c>
      <x:c r="S358" s="43" t="str">
        <x:v>Unknown</x:v>
      </x:c>
      <x:c r="T358" s="43" t="str">
        <x:v>Unknown</x:v>
      </x:c>
      <x:c r="U358" s="43" t="str">
        <x:v>Unknown</x:v>
      </x:c>
      <x:c r="V358" s="43" t="str">
        <x:v>Unknown</x:v>
      </x:c>
      <x:c r="W358" s="43" t="str">
        <x:v>Unknown</x:v>
      </x:c>
      <x:c r="X358" s="43" t="str">
        <x:v>Unknown</x:v>
      </x:c>
      <x:c r="Y358" s="43" t="str">
        <x:v>Unknown</x:v>
      </x:c>
      <x:c r="Z358" s="43"/>
      <x:c r="AA358" s="43" t="str">
        <x:v>Excluded</x:v>
      </x:c>
      <x:c r="AB358" s="43" t="str">
        <x:v>No qualifying evidence source recorded</x:v>
      </x:c>
      <x:c r="AC358" s="43" t="str">
        <x:v>Excluded from Maya's elderly recommendation results because no source-backed elderly accessibility feature is recorded in the reviewed data. This does not mean the attraction is inaccessible.</x:v>
      </x:c>
      <x:c r="AD358" s="43" t="str">
        <x:v>2026-08-16</x:v>
      </x:c>
    </x:row>
    <x:row r="359" ht="60" customHeight="1">
      <x:c r="A359" s="16" t="s">
        <x:v>2119</x:v>
      </x:c>
      <x:c r="B359" s="16" t="s">
        <x:v>2120</x:v>
      </x:c>
      <x:c r="C359" s="16" t="s">
        <x:v>2021</x:v>
      </x:c>
      <x:c r="D359" s="16" t="s">
        <x:v>2110</x:v>
      </x:c>
      <x:c r="E359" s="16" t="s">
        <x:v>72</x:v>
      </x:c>
      <x:c r="F359" s="16" t="s">
        <x:v>107</x:v>
      </x:c>
      <x:c r="G359" s="16" t="s">
        <x:v>26</x:v>
      </x:c>
      <x:c r="H359" s="17" t="s">
        <x:v>1571</x:v>
      </x:c>
      <x:c r="I359" s="17" t="s">
        <x:v>2121</x:v>
      </x:c>
      <x:c r="J359" s="17" t="s">
        <x:v>2122</x:v>
      </x:c>
      <x:c r="K359" s="17" t="s">
        <x:v>2026</x:v>
      </x:c>
      <x:c r="L359" s="17" t="s">
        <x:v>111</x:v>
      </x:c>
      <x:c r="M359" s="17" t="s">
        <x:v>2092</x:v>
      </x:c>
      <x:c r="N359" s="16"/>
      <x:c r="O359" s="18">
        <x:v>46249</x:v>
      </x:c>
      <x:c r="P359" s="19" t="s">
        <x:v>34</x:v>
      </x:c>
      <x:c r="Q359" s="17"/>
      <x:c r="R359" s="19" t="str">
        <x:f t="shared" si="5"/>
        <x:v>Discovery Link Only</x:v>
      </x:c>
      <x:c r="S359" s="43" t="str">
        <x:v>Unknown</x:v>
      </x:c>
      <x:c r="T359" s="43" t="str">
        <x:v>Unknown</x:v>
      </x:c>
      <x:c r="U359" s="43" t="str">
        <x:v>Unknown</x:v>
      </x:c>
      <x:c r="V359" s="43" t="str">
        <x:v>Unknown</x:v>
      </x:c>
      <x:c r="W359" s="43" t="str">
        <x:v>Unknown</x:v>
      </x:c>
      <x:c r="X359" s="43" t="str">
        <x:v>Unknown</x:v>
      </x:c>
      <x:c r="Y359" s="43" t="str">
        <x:v>Unknown</x:v>
      </x:c>
      <x:c r="Z359" s="43"/>
      <x:c r="AA359" s="43" t="str">
        <x:v>Excluded</x:v>
      </x:c>
      <x:c r="AB359" s="43" t="str">
        <x:v>No qualifying evidence source recorded</x:v>
      </x:c>
      <x:c r="AC359" s="43" t="str">
        <x:v>Excluded from Maya's elderly recommendation results because no source-backed elderly accessibility feature is recorded in the reviewed data. This does not mean the attraction is inaccessible.</x:v>
      </x:c>
      <x:c r="AD359" s="43" t="str">
        <x:v>2026-08-16</x:v>
      </x:c>
    </x:row>
    <x:row r="360" ht="60" customHeight="1">
      <x:c r="A360" s="16" t="s">
        <x:v>2123</x:v>
      </x:c>
      <x:c r="B360" s="16" t="s">
        <x:v>2124</x:v>
      </x:c>
      <x:c r="C360" s="16" t="s">
        <x:v>2021</x:v>
      </x:c>
      <x:c r="D360" s="16" t="s">
        <x:v>2044</x:v>
      </x:c>
      <x:c r="E360" s="16" t="s">
        <x:v>72</x:v>
      </x:c>
      <x:c r="F360" s="16" t="s">
        <x:v>107</x:v>
      </x:c>
      <x:c r="G360" s="16" t="s">
        <x:v>26</x:v>
      </x:c>
      <x:c r="H360" s="17" t="s">
        <x:v>2125</x:v>
      </x:c>
      <x:c r="I360" s="17" t="s">
        <x:v>2126</x:v>
      </x:c>
      <x:c r="J360" s="17" t="s">
        <x:v>2127</x:v>
      </x:c>
      <x:c r="K360" s="17" t="s">
        <x:v>2026</x:v>
      </x:c>
      <x:c r="L360" s="17" t="s">
        <x:v>111</x:v>
      </x:c>
      <x:c r="M360" s="17" t="s">
        <x:v>2092</x:v>
      </x:c>
      <x:c r="N360" s="16"/>
      <x:c r="O360" s="18">
        <x:v>46249</x:v>
      </x:c>
      <x:c r="P360" s="19" t="s">
        <x:v>34</x:v>
      </x:c>
      <x:c r="Q360" s="17"/>
      <x:c r="R360" s="19" t="str">
        <x:f t="shared" si="5"/>
        <x:v>Discovery Link Only</x:v>
      </x:c>
      <x:c r="S360" s="43" t="str">
        <x:v>Unknown</x:v>
      </x:c>
      <x:c r="T360" s="43" t="str">
        <x:v>Unknown</x:v>
      </x:c>
      <x:c r="U360" s="43" t="str">
        <x:v>Unknown</x:v>
      </x:c>
      <x:c r="V360" s="43" t="str">
        <x:v>Unknown</x:v>
      </x:c>
      <x:c r="W360" s="43" t="str">
        <x:v>Unknown</x:v>
      </x:c>
      <x:c r="X360" s="43" t="str">
        <x:v>Unknown</x:v>
      </x:c>
      <x:c r="Y360" s="43" t="str">
        <x:v>Unknown</x:v>
      </x:c>
      <x:c r="Z360" s="43"/>
      <x:c r="AA360" s="43" t="str">
        <x:v>Excluded</x:v>
      </x:c>
      <x:c r="AB360" s="43" t="str">
        <x:v>No qualifying evidence source recorded</x:v>
      </x:c>
      <x:c r="AC360" s="43" t="str">
        <x:v>Excluded from Maya's elderly recommendation results because no source-backed elderly accessibility feature is recorded in the reviewed data. This does not mean the attraction is inaccessible.</x:v>
      </x:c>
      <x:c r="AD360" s="43" t="str">
        <x:v>2026-08-16</x:v>
      </x:c>
    </x:row>
    <x:row r="361" ht="60" customHeight="1">
      <x:c r="A361" s="16" t="s">
        <x:v>2128</x:v>
      </x:c>
      <x:c r="B361" s="16" t="s">
        <x:v>2129</x:v>
      </x:c>
      <x:c r="C361" s="16" t="s">
        <x:v>2021</x:v>
      </x:c>
      <x:c r="D361" s="16" t="s">
        <x:v>2044</x:v>
      </x:c>
      <x:c r="E361" s="16" t="s">
        <x:v>72</x:v>
      </x:c>
      <x:c r="F361" s="16" t="s">
        <x:v>107</x:v>
      </x:c>
      <x:c r="G361" s="16" t="s">
        <x:v>26</x:v>
      </x:c>
      <x:c r="H361" s="17" t="s">
        <x:v>2130</x:v>
      </x:c>
      <x:c r="I361" s="17" t="s">
        <x:v>2131</x:v>
      </x:c>
      <x:c r="J361" s="17" t="s">
        <x:v>2132</x:v>
      </x:c>
      <x:c r="K361" s="17" t="s">
        <x:v>2026</x:v>
      </x:c>
      <x:c r="L361" s="17" t="s">
        <x:v>111</x:v>
      </x:c>
      <x:c r="M361" s="17" t="s">
        <x:v>2092</x:v>
      </x:c>
      <x:c r="N361" s="16"/>
      <x:c r="O361" s="18">
        <x:v>46249</x:v>
      </x:c>
      <x:c r="P361" s="19" t="s">
        <x:v>34</x:v>
      </x:c>
      <x:c r="Q361" s="17"/>
      <x:c r="R361" s="19" t="str">
        <x:f t="shared" si="5"/>
        <x:v>Discovery Link Only</x:v>
      </x:c>
      <x:c r="S361" s="43" t="str">
        <x:v>Unknown</x:v>
      </x:c>
      <x:c r="T361" s="43" t="str">
        <x:v>Unknown</x:v>
      </x:c>
      <x:c r="U361" s="43" t="str">
        <x:v>Unknown</x:v>
      </x:c>
      <x:c r="V361" s="43" t="str">
        <x:v>Unknown</x:v>
      </x:c>
      <x:c r="W361" s="43" t="str">
        <x:v>Unknown</x:v>
      </x:c>
      <x:c r="X361" s="43" t="str">
        <x:v>Unknown</x:v>
      </x:c>
      <x:c r="Y361" s="43" t="str">
        <x:v>Unknown</x:v>
      </x:c>
      <x:c r="Z361" s="43"/>
      <x:c r="AA361" s="43" t="str">
        <x:v>Excluded</x:v>
      </x:c>
      <x:c r="AB361" s="43" t="str">
        <x:v>No qualifying evidence source recorded</x:v>
      </x:c>
      <x:c r="AC361" s="43" t="str">
        <x:v>Excluded from Maya's elderly recommendation results because no source-backed elderly accessibility feature is recorded in the reviewed data. This does not mean the attraction is inaccessible.</x:v>
      </x:c>
      <x:c r="AD361" s="43" t="str">
        <x:v>2026-08-16</x:v>
      </x:c>
    </x:row>
    <x:row r="362" ht="60" customHeight="1">
      <x:c r="A362" s="16" t="s">
        <x:v>2133</x:v>
      </x:c>
      <x:c r="B362" s="16" t="s">
        <x:v>2134</x:v>
      </x:c>
      <x:c r="C362" s="16" t="s">
        <x:v>2021</x:v>
      </x:c>
      <x:c r="D362" s="16" t="s">
        <x:v>2044</x:v>
      </x:c>
      <x:c r="E362" s="16" t="s">
        <x:v>45</x:v>
      </x:c>
      <x:c r="F362" s="16" t="s">
        <x:v>121</x:v>
      </x:c>
      <x:c r="G362" s="16" t="s">
        <x:v>26</x:v>
      </x:c>
      <x:c r="H362" s="17" t="s">
        <x:v>244</x:v>
      </x:c>
      <x:c r="I362" s="17" t="s">
        <x:v>2135</x:v>
      </x:c>
      <x:c r="J362" s="17" t="s">
        <x:v>2136</x:v>
      </x:c>
      <x:c r="K362" s="17" t="s">
        <x:v>2026</x:v>
      </x:c>
      <x:c r="L362" s="17" t="s">
        <x:v>111</x:v>
      </x:c>
      <x:c r="M362" s="17" t="s">
        <x:v>2092</x:v>
      </x:c>
      <x:c r="N362" s="16"/>
      <x:c r="O362" s="18">
        <x:v>46249</x:v>
      </x:c>
      <x:c r="P362" s="19" t="s">
        <x:v>34</x:v>
      </x:c>
      <x:c r="Q362" s="17"/>
      <x:c r="R362" s="19" t="str">
        <x:f t="shared" si="5"/>
        <x:v>Discovery Link Only</x:v>
      </x:c>
      <x:c r="S362" s="43" t="str">
        <x:v>Unknown</x:v>
      </x:c>
      <x:c r="T362" s="43" t="str">
        <x:v>Unknown</x:v>
      </x:c>
      <x:c r="U362" s="43" t="str">
        <x:v>Unknown</x:v>
      </x:c>
      <x:c r="V362" s="43" t="str">
        <x:v>Unknown</x:v>
      </x:c>
      <x:c r="W362" s="43" t="str">
        <x:v>Unknown</x:v>
      </x:c>
      <x:c r="X362" s="43" t="str">
        <x:v>Unknown</x:v>
      </x:c>
      <x:c r="Y362" s="43" t="str">
        <x:v>Unknown</x:v>
      </x:c>
      <x:c r="Z362" s="43"/>
      <x:c r="AA362" s="43" t="str">
        <x:v>Excluded</x:v>
      </x:c>
      <x:c r="AB362" s="43" t="str">
        <x:v>No qualifying evidence source recorded</x:v>
      </x:c>
      <x:c r="AC362" s="43" t="str">
        <x:v>Excluded from Maya's elderly recommendation results because no source-backed elderly accessibility feature is recorded in the reviewed data. This does not mean the attraction is inaccessible.</x:v>
      </x:c>
      <x:c r="AD362" s="43" t="str">
        <x:v>2026-08-16</x:v>
      </x:c>
    </x:row>
    <x:row r="363" ht="60" customHeight="1">
      <x:c r="A363" s="16" t="s">
        <x:v>2137</x:v>
      </x:c>
      <x:c r="B363" s="16" t="s">
        <x:v>2138</x:v>
      </x:c>
      <x:c r="C363" s="16" t="s">
        <x:v>2021</x:v>
      </x:c>
      <x:c r="D363" s="16" t="s">
        <x:v>2139</x:v>
      </x:c>
      <x:c r="E363" s="16" t="s">
        <x:v>72</x:v>
      </x:c>
      <x:c r="F363" s="16" t="s">
        <x:v>107</x:v>
      </x:c>
      <x:c r="G363" s="16" t="s">
        <x:v>26</x:v>
      </x:c>
      <x:c r="H363" s="17" t="s">
        <x:v>2125</x:v>
      </x:c>
      <x:c r="I363" s="17" t="s">
        <x:v>2140</x:v>
      </x:c>
      <x:c r="J363" s="17" t="s">
        <x:v>2141</x:v>
      </x:c>
      <x:c r="K363" s="17" t="s">
        <x:v>2026</x:v>
      </x:c>
      <x:c r="L363" s="17" t="s">
        <x:v>111</x:v>
      </x:c>
      <x:c r="M363" s="17" t="s">
        <x:v>2092</x:v>
      </x:c>
      <x:c r="N363" s="16"/>
      <x:c r="O363" s="18">
        <x:v>46249</x:v>
      </x:c>
      <x:c r="P363" s="19" t="s">
        <x:v>34</x:v>
      </x:c>
      <x:c r="Q363" s="17"/>
      <x:c r="R363" s="19" t="str">
        <x:f t="shared" si="5"/>
        <x:v>Discovery Link Only</x:v>
      </x:c>
      <x:c r="S363" s="43" t="str">
        <x:v>Unknown</x:v>
      </x:c>
      <x:c r="T363" s="43" t="str">
        <x:v>Unknown</x:v>
      </x:c>
      <x:c r="U363" s="43" t="str">
        <x:v>Unknown</x:v>
      </x:c>
      <x:c r="V363" s="43" t="str">
        <x:v>Unknown</x:v>
      </x:c>
      <x:c r="W363" s="43" t="str">
        <x:v>Unknown</x:v>
      </x:c>
      <x:c r="X363" s="43" t="str">
        <x:v>Unknown</x:v>
      </x:c>
      <x:c r="Y363" s="43" t="str">
        <x:v>Unknown</x:v>
      </x:c>
      <x:c r="Z363" s="43"/>
      <x:c r="AA363" s="43" t="str">
        <x:v>Excluded</x:v>
      </x:c>
      <x:c r="AB363" s="43" t="str">
        <x:v>No qualifying evidence source recorded</x:v>
      </x:c>
      <x:c r="AC363" s="43" t="str">
        <x:v>Excluded from Maya's elderly recommendation results because no source-backed elderly accessibility feature is recorded in the reviewed data. This does not mean the attraction is inaccessible.</x:v>
      </x:c>
      <x:c r="AD363" s="43" t="str">
        <x:v>2026-08-16</x:v>
      </x:c>
    </x:row>
    <x:row r="364" ht="60" customHeight="1">
      <x:c r="A364" s="16" t="s">
        <x:v>2142</x:v>
      </x:c>
      <x:c r="B364" s="16" t="s">
        <x:v>2143</x:v>
      </x:c>
      <x:c r="C364" s="16" t="s">
        <x:v>2021</x:v>
      </x:c>
      <x:c r="D364" s="16" t="s">
        <x:v>2139</x:v>
      </x:c>
      <x:c r="E364" s="16" t="s">
        <x:v>72</x:v>
      </x:c>
      <x:c r="F364" s="16" t="s">
        <x:v>121</x:v>
      </x:c>
      <x:c r="G364" s="16" t="s">
        <x:v>26</x:v>
      </x:c>
      <x:c r="H364" s="17" t="s">
        <x:v>2144</x:v>
      </x:c>
      <x:c r="I364" s="17" t="s">
        <x:v>2145</x:v>
      </x:c>
      <x:c r="J364" s="17" t="s">
        <x:v>2146</x:v>
      </x:c>
      <x:c r="K364" s="17" t="s">
        <x:v>2026</x:v>
      </x:c>
      <x:c r="L364" s="17" t="s">
        <x:v>111</x:v>
      </x:c>
      <x:c r="M364" s="17" t="s">
        <x:v>2092</x:v>
      </x:c>
      <x:c r="N364" s="16"/>
      <x:c r="O364" s="18">
        <x:v>46249</x:v>
      </x:c>
      <x:c r="P364" s="19" t="s">
        <x:v>34</x:v>
      </x:c>
      <x:c r="Q364" s="17"/>
      <x:c r="R364" s="19" t="str">
        <x:f t="shared" si="5"/>
        <x:v>Discovery Link Only</x:v>
      </x:c>
      <x:c r="S364" s="43" t="str">
        <x:v>Unknown</x:v>
      </x:c>
      <x:c r="T364" s="43" t="str">
        <x:v>Unknown</x:v>
      </x:c>
      <x:c r="U364" s="43" t="str">
        <x:v>Unknown</x:v>
      </x:c>
      <x:c r="V364" s="43" t="str">
        <x:v>Unknown</x:v>
      </x:c>
      <x:c r="W364" s="43" t="str">
        <x:v>Unknown</x:v>
      </x:c>
      <x:c r="X364" s="43" t="str">
        <x:v>Unknown</x:v>
      </x:c>
      <x:c r="Y364" s="43" t="str">
        <x:v>Unknown</x:v>
      </x:c>
      <x:c r="Z364" s="43"/>
      <x:c r="AA364" s="43" t="str">
        <x:v>Excluded</x:v>
      </x:c>
      <x:c r="AB364" s="43" t="str">
        <x:v>No qualifying evidence source recorded</x:v>
      </x:c>
      <x:c r="AC364" s="43" t="str">
        <x:v>Excluded from Maya's elderly recommendation results because no source-backed elderly accessibility feature is recorded in the reviewed data. This does not mean the attraction is inaccessible.</x:v>
      </x:c>
      <x:c r="AD364" s="43" t="str">
        <x:v>2026-08-16</x:v>
      </x:c>
    </x:row>
    <x:row r="365" ht="60" customHeight="1">
      <x:c r="A365" s="16" t="s">
        <x:v>2147</x:v>
      </x:c>
      <x:c r="B365" s="16" t="s">
        <x:v>2148</x:v>
      </x:c>
      <x:c r="C365" s="16" t="s">
        <x:v>2021</x:v>
      </x:c>
      <x:c r="D365" s="16" t="s">
        <x:v>2076</x:v>
      </x:c>
      <x:c r="E365" s="16" t="s">
        <x:v>72</x:v>
      </x:c>
      <x:c r="F365" s="16" t="s">
        <x:v>107</x:v>
      </x:c>
      <x:c r="G365" s="16" t="s">
        <x:v>26</x:v>
      </x:c>
      <x:c r="H365" s="17" t="s">
        <x:v>2149</x:v>
      </x:c>
      <x:c r="I365" s="17" t="s">
        <x:v>2150</x:v>
      </x:c>
      <x:c r="J365" s="17" t="s">
        <x:v>2151</x:v>
      </x:c>
      <x:c r="K365" s="17" t="s">
        <x:v>2026</x:v>
      </x:c>
      <x:c r="L365" s="17" t="s">
        <x:v>111</x:v>
      </x:c>
      <x:c r="M365" s="17" t="s">
        <x:v>2092</x:v>
      </x:c>
      <x:c r="N365" s="16"/>
      <x:c r="O365" s="18">
        <x:v>46249</x:v>
      </x:c>
      <x:c r="P365" s="19" t="s">
        <x:v>34</x:v>
      </x:c>
      <x:c r="Q365" s="17"/>
      <x:c r="R365" s="19" t="str">
        <x:f t="shared" si="5"/>
        <x:v>Discovery Link Only</x:v>
      </x:c>
      <x:c r="S365" s="43" t="str">
        <x:v>Unknown</x:v>
      </x:c>
      <x:c r="T365" s="43" t="str">
        <x:v>Unknown</x:v>
      </x:c>
      <x:c r="U365" s="43" t="str">
        <x:v>Unknown</x:v>
      </x:c>
      <x:c r="V365" s="43" t="str">
        <x:v>Unknown</x:v>
      </x:c>
      <x:c r="W365" s="43" t="str">
        <x:v>Unknown</x:v>
      </x:c>
      <x:c r="X365" s="43" t="str">
        <x:v>Unknown</x:v>
      </x:c>
      <x:c r="Y365" s="43" t="str">
        <x:v>Unknown</x:v>
      </x:c>
      <x:c r="Z365" s="43"/>
      <x:c r="AA365" s="43" t="str">
        <x:v>Excluded</x:v>
      </x:c>
      <x:c r="AB365" s="43" t="str">
        <x:v>No qualifying evidence source recorded</x:v>
      </x:c>
      <x:c r="AC365" s="43" t="str">
        <x:v>Excluded from Maya's elderly recommendation results because no source-backed elderly accessibility feature is recorded in the reviewed data. This does not mean the attraction is inaccessible.</x:v>
      </x:c>
      <x:c r="AD365" s="43" t="str">
        <x:v>2026-08-16</x:v>
      </x:c>
    </x:row>
    <x:row r="366" ht="60" customHeight="1">
      <x:c r="A366" s="16" t="s">
        <x:v>2152</x:v>
      </x:c>
      <x:c r="B366" s="16" t="s">
        <x:v>2153</x:v>
      </x:c>
      <x:c r="C366" s="16" t="s">
        <x:v>2021</x:v>
      </x:c>
      <x:c r="D366" s="16" t="s">
        <x:v>2076</x:v>
      </x:c>
      <x:c r="E366" s="16" t="s">
        <x:v>251</x:v>
      </x:c>
      <x:c r="F366" s="16" t="s">
        <x:v>107</x:v>
      </x:c>
      <x:c r="G366" s="16" t="s">
        <x:v>26</x:v>
      </x:c>
      <x:c r="H366" s="17" t="s">
        <x:v>2154</x:v>
      </x:c>
      <x:c r="I366" s="17" t="s">
        <x:v>2155</x:v>
      </x:c>
      <x:c r="J366" s="17" t="s">
        <x:v>2156</x:v>
      </x:c>
      <x:c r="K366" s="17" t="s">
        <x:v>2026</x:v>
      </x:c>
      <x:c r="L366" s="17" t="s">
        <x:v>111</x:v>
      </x:c>
      <x:c r="M366" s="17" t="s">
        <x:v>2092</x:v>
      </x:c>
      <x:c r="N366" s="16"/>
      <x:c r="O366" s="18">
        <x:v>46249</x:v>
      </x:c>
      <x:c r="P366" s="19" t="s">
        <x:v>34</x:v>
      </x:c>
      <x:c r="Q366" s="17"/>
      <x:c r="R366" s="19" t="str">
        <x:f t="shared" si="5"/>
        <x:v>Discovery Link Only</x:v>
      </x:c>
      <x:c r="S366" s="43" t="str">
        <x:v>Unknown</x:v>
      </x:c>
      <x:c r="T366" s="43" t="str">
        <x:v>Unknown</x:v>
      </x:c>
      <x:c r="U366" s="43" t="str">
        <x:v>Unknown</x:v>
      </x:c>
      <x:c r="V366" s="43" t="str">
        <x:v>Unknown</x:v>
      </x:c>
      <x:c r="W366" s="43" t="str">
        <x:v>Unknown</x:v>
      </x:c>
      <x:c r="X366" s="43" t="str">
        <x:v>Unknown</x:v>
      </x:c>
      <x:c r="Y366" s="43" t="str">
        <x:v>Unknown</x:v>
      </x:c>
      <x:c r="Z366" s="43"/>
      <x:c r="AA366" s="43" t="str">
        <x:v>Excluded</x:v>
      </x:c>
      <x:c r="AB366" s="43" t="str">
        <x:v>No qualifying evidence source recorded</x:v>
      </x:c>
      <x:c r="AC366" s="43" t="str">
        <x:v>Excluded from Maya's elderly recommendation results because no source-backed elderly accessibility feature is recorded in the reviewed data. This does not mean the attraction is inaccessible.</x:v>
      </x:c>
      <x:c r="AD366" s="43" t="str">
        <x:v>2026-08-16</x:v>
      </x:c>
    </x:row>
    <x:row r="367" ht="60" customHeight="1">
      <x:c r="A367" s="16" t="s">
        <x:v>2157</x:v>
      </x:c>
      <x:c r="B367" s="16" t="s">
        <x:v>2158</x:v>
      </x:c>
      <x:c r="C367" s="16" t="s">
        <x:v>2021</x:v>
      </x:c>
      <x:c r="D367" s="16" t="s">
        <x:v>2076</x:v>
      </x:c>
      <x:c r="E367" s="16" t="s">
        <x:v>133</x:v>
      </x:c>
      <x:c r="F367" s="16" t="s">
        <x:v>127</x:v>
      </x:c>
      <x:c r="G367" s="16" t="s">
        <x:v>134</x:v>
      </x:c>
      <x:c r="H367" s="17" t="s">
        <x:v>2159</x:v>
      </x:c>
      <x:c r="I367" s="17" t="s">
        <x:v>2160</x:v>
      </x:c>
      <x:c r="J367" s="17" t="s">
        <x:v>2161</x:v>
      </x:c>
      <x:c r="K367" s="17" t="s">
        <x:v>2026</x:v>
      </x:c>
      <x:c r="L367" s="17" t="s">
        <x:v>111</x:v>
      </x:c>
      <x:c r="M367" s="17" t="s">
        <x:v>2092</x:v>
      </x:c>
      <x:c r="N367" s="16"/>
      <x:c r="O367" s="18">
        <x:v>46249</x:v>
      </x:c>
      <x:c r="P367" s="19" t="s">
        <x:v>34</x:v>
      </x:c>
      <x:c r="Q367" s="17"/>
      <x:c r="R367" s="19" t="str">
        <x:f t="shared" si="5"/>
        <x:v>Discovery Link Only</x:v>
      </x:c>
      <x:c r="S367" s="43" t="str">
        <x:v>Unknown</x:v>
      </x:c>
      <x:c r="T367" s="43" t="str">
        <x:v>Unknown</x:v>
      </x:c>
      <x:c r="U367" s="43" t="str">
        <x:v>Unknown</x:v>
      </x:c>
      <x:c r="V367" s="43" t="str">
        <x:v>Unknown</x:v>
      </x:c>
      <x:c r="W367" s="43" t="str">
        <x:v>Unknown</x:v>
      </x:c>
      <x:c r="X367" s="43" t="str">
        <x:v>Unknown</x:v>
      </x:c>
      <x:c r="Y367" s="43" t="str">
        <x:v>Unknown</x:v>
      </x:c>
      <x:c r="Z367" s="43"/>
      <x:c r="AA367" s="43" t="str">
        <x:v>Excluded</x:v>
      </x:c>
      <x:c r="AB367" s="43" t="str">
        <x:v>No qualifying evidence source recorded</x:v>
      </x:c>
      <x:c r="AC367" s="43" t="str">
        <x:v>Excluded from Maya's elderly recommendation results because no source-backed elderly accessibility feature is recorded in the reviewed data. This does not mean the attraction is inaccessible.</x:v>
      </x:c>
      <x:c r="AD367" s="43" t="str">
        <x:v>2026-08-16</x:v>
      </x:c>
    </x:row>
    <x:row r="368" ht="60" customHeight="1">
      <x:c r="A368" s="16" t="s">
        <x:v>2162</x:v>
      </x:c>
      <x:c r="B368" s="16" t="s">
        <x:v>2163</x:v>
      </x:c>
      <x:c r="C368" s="16" t="s">
        <x:v>2021</x:v>
      </x:c>
      <x:c r="D368" s="16" t="s">
        <x:v>2164</x:v>
      </x:c>
      <x:c r="E368" s="16" t="s">
        <x:v>72</x:v>
      </x:c>
      <x:c r="F368" s="16" t="s">
        <x:v>121</x:v>
      </x:c>
      <x:c r="G368" s="16" t="s">
        <x:v>26</x:v>
      </x:c>
      <x:c r="H368" s="17" t="s">
        <x:v>2165</x:v>
      </x:c>
      <x:c r="I368" s="17" t="s">
        <x:v>2166</x:v>
      </x:c>
      <x:c r="J368" s="17" t="s">
        <x:v>2167</x:v>
      </x:c>
      <x:c r="K368" s="17" t="s">
        <x:v>2026</x:v>
      </x:c>
      <x:c r="L368" s="17" t="s">
        <x:v>111</x:v>
      </x:c>
      <x:c r="M368" s="17" t="s">
        <x:v>2092</x:v>
      </x:c>
      <x:c r="N368" s="16"/>
      <x:c r="O368" s="18">
        <x:v>46249</x:v>
      </x:c>
      <x:c r="P368" s="19" t="s">
        <x:v>34</x:v>
      </x:c>
      <x:c r="Q368" s="17"/>
      <x:c r="R368" s="19" t="str">
        <x:f t="shared" si="5"/>
        <x:v>Discovery Link Only</x:v>
      </x:c>
      <x:c r="S368" s="43" t="str">
        <x:v>Unknown</x:v>
      </x:c>
      <x:c r="T368" s="43" t="str">
        <x:v>Unknown</x:v>
      </x:c>
      <x:c r="U368" s="43" t="str">
        <x:v>Unknown</x:v>
      </x:c>
      <x:c r="V368" s="43" t="str">
        <x:v>Unknown</x:v>
      </x:c>
      <x:c r="W368" s="43" t="str">
        <x:v>Unknown</x:v>
      </x:c>
      <x:c r="X368" s="43" t="str">
        <x:v>Unknown</x:v>
      </x:c>
      <x:c r="Y368" s="43" t="str">
        <x:v>Unknown</x:v>
      </x:c>
      <x:c r="Z368" s="43"/>
      <x:c r="AA368" s="43" t="str">
        <x:v>Excluded</x:v>
      </x:c>
      <x:c r="AB368" s="43" t="str">
        <x:v>No qualifying evidence source recorded</x:v>
      </x:c>
      <x:c r="AC368" s="43" t="str">
        <x:v>Excluded from Maya's elderly recommendation results because no source-backed elderly accessibility feature is recorded in the reviewed data. This does not mean the attraction is inaccessible.</x:v>
      </x:c>
      <x:c r="AD368" s="43" t="str">
        <x:v>2026-08-16</x:v>
      </x:c>
    </x:row>
    <x:row r="369" ht="60" customHeight="1">
      <x:c r="A369" s="16" t="s">
        <x:v>2168</x:v>
      </x:c>
      <x:c r="B369" s="16" t="s">
        <x:v>2169</x:v>
      </x:c>
      <x:c r="C369" s="16" t="s">
        <x:v>2021</x:v>
      </x:c>
      <x:c r="D369" s="16" t="s">
        <x:v>2164</x:v>
      </x:c>
      <x:c r="E369" s="16" t="s">
        <x:v>37</x:v>
      </x:c>
      <x:c r="F369" s="16" t="s">
        <x:v>127</x:v>
      </x:c>
      <x:c r="G369" s="16" t="s">
        <x:v>26</x:v>
      </x:c>
      <x:c r="H369" s="17" t="s">
        <x:v>1953</x:v>
      </x:c>
      <x:c r="I369" s="17" t="s">
        <x:v>2170</x:v>
      </x:c>
      <x:c r="J369" s="17" t="s">
        <x:v>2171</x:v>
      </x:c>
      <x:c r="K369" s="17" t="s">
        <x:v>2026</x:v>
      </x:c>
      <x:c r="L369" s="17" t="s">
        <x:v>111</x:v>
      </x:c>
      <x:c r="M369" s="17" t="s">
        <x:v>2092</x:v>
      </x:c>
      <x:c r="N369" s="16"/>
      <x:c r="O369" s="18">
        <x:v>46249</x:v>
      </x:c>
      <x:c r="P369" s="19" t="s">
        <x:v>34</x:v>
      </x:c>
      <x:c r="Q369" s="17"/>
      <x:c r="R369" s="19" t="str">
        <x:f t="shared" si="5"/>
        <x:v>Discovery Link Only</x:v>
      </x:c>
      <x:c r="S369" s="43" t="str">
        <x:v>Unknown</x:v>
      </x:c>
      <x:c r="T369" s="43" t="str">
        <x:v>Unknown</x:v>
      </x:c>
      <x:c r="U369" s="43" t="str">
        <x:v>Unknown</x:v>
      </x:c>
      <x:c r="V369" s="43" t="str">
        <x:v>Unknown</x:v>
      </x:c>
      <x:c r="W369" s="43" t="str">
        <x:v>Unknown</x:v>
      </x:c>
      <x:c r="X369" s="43" t="str">
        <x:v>Unknown</x:v>
      </x:c>
      <x:c r="Y369" s="43" t="str">
        <x:v>Unknown</x:v>
      </x:c>
      <x:c r="Z369" s="43"/>
      <x:c r="AA369" s="43" t="str">
        <x:v>Excluded</x:v>
      </x:c>
      <x:c r="AB369" s="43" t="str">
        <x:v>No qualifying evidence source recorded</x:v>
      </x:c>
      <x:c r="AC369" s="43" t="str">
        <x:v>Excluded from Maya's elderly recommendation results because no source-backed elderly accessibility feature is recorded in the reviewed data. This does not mean the attraction is inaccessible.</x:v>
      </x:c>
      <x:c r="AD369" s="43" t="str">
        <x:v>2026-08-16</x:v>
      </x:c>
    </x:row>
    <x:row r="370" ht="60" customHeight="1">
      <x:c r="A370" s="16" t="s">
        <x:v>2172</x:v>
      </x:c>
      <x:c r="B370" s="16" t="s">
        <x:v>2173</x:v>
      </x:c>
      <x:c r="C370" s="16" t="s">
        <x:v>2021</x:v>
      </x:c>
      <x:c r="D370" s="16" t="s">
        <x:v>2069</x:v>
      </x:c>
      <x:c r="E370" s="16" t="s">
        <x:v>45</x:v>
      </x:c>
      <x:c r="F370" s="16" t="s">
        <x:v>107</x:v>
      </x:c>
      <x:c r="G370" s="16" t="s">
        <x:v>26</x:v>
      </x:c>
      <x:c r="H370" s="17" t="s">
        <x:v>2174</x:v>
      </x:c>
      <x:c r="I370" s="17" t="s">
        <x:v>2175</x:v>
      </x:c>
      <x:c r="J370" s="17" t="s">
        <x:v>2176</x:v>
      </x:c>
      <x:c r="K370" s="17" t="s">
        <x:v>2026</x:v>
      </x:c>
      <x:c r="L370" s="17" t="s">
        <x:v>111</x:v>
      </x:c>
      <x:c r="M370" s="17" t="s">
        <x:v>2092</x:v>
      </x:c>
      <x:c r="N370" s="16"/>
      <x:c r="O370" s="18">
        <x:v>46249</x:v>
      </x:c>
      <x:c r="P370" s="19" t="s">
        <x:v>34</x:v>
      </x:c>
      <x:c r="Q370" s="17"/>
      <x:c r="R370" s="19" t="str">
        <x:f t="shared" si="5"/>
        <x:v>Discovery Link Only</x:v>
      </x:c>
      <x:c r="S370" s="43" t="str">
        <x:v>Unknown</x:v>
      </x:c>
      <x:c r="T370" s="43" t="str">
        <x:v>Unknown</x:v>
      </x:c>
      <x:c r="U370" s="43" t="str">
        <x:v>Unknown</x:v>
      </x:c>
      <x:c r="V370" s="43" t="str">
        <x:v>Unknown</x:v>
      </x:c>
      <x:c r="W370" s="43" t="str">
        <x:v>Unknown</x:v>
      </x:c>
      <x:c r="X370" s="43" t="str">
        <x:v>Unknown</x:v>
      </x:c>
      <x:c r="Y370" s="43" t="str">
        <x:v>Unknown</x:v>
      </x:c>
      <x:c r="Z370" s="43"/>
      <x:c r="AA370" s="43" t="str">
        <x:v>Excluded</x:v>
      </x:c>
      <x:c r="AB370" s="43" t="str">
        <x:v>No qualifying evidence source recorded</x:v>
      </x:c>
      <x:c r="AC370" s="43" t="str">
        <x:v>Excluded from Maya's elderly recommendation results because no source-backed elderly accessibility feature is recorded in the reviewed data. This does not mean the attraction is inaccessible.</x:v>
      </x:c>
      <x:c r="AD370" s="43" t="str">
        <x:v>2026-08-16</x:v>
      </x:c>
    </x:row>
    <x:row r="371" ht="60" customHeight="1">
      <x:c r="A371" s="16" t="s">
        <x:v>2177</x:v>
      </x:c>
      <x:c r="B371" s="16" t="s">
        <x:v>2178</x:v>
      </x:c>
      <x:c r="C371" s="16" t="s">
        <x:v>2021</x:v>
      </x:c>
      <x:c r="D371" s="16" t="s">
        <x:v>2069</x:v>
      </x:c>
      <x:c r="E371" s="16" t="s">
        <x:v>37</x:v>
      </x:c>
      <x:c r="F371" s="16" t="s">
        <x:v>107</x:v>
      </x:c>
      <x:c r="G371" s="16" t="s">
        <x:v>26</x:v>
      </x:c>
      <x:c r="H371" s="17" t="s">
        <x:v>2179</x:v>
      </x:c>
      <x:c r="I371" s="17" t="s">
        <x:v>2180</x:v>
      </x:c>
      <x:c r="J371" s="17" t="s">
        <x:v>2181</x:v>
      </x:c>
      <x:c r="K371" s="17" t="s">
        <x:v>2026</x:v>
      </x:c>
      <x:c r="L371" s="17" t="s">
        <x:v>111</x:v>
      </x:c>
      <x:c r="M371" s="17" t="s">
        <x:v>2092</x:v>
      </x:c>
      <x:c r="N371" s="16"/>
      <x:c r="O371" s="18">
        <x:v>46249</x:v>
      </x:c>
      <x:c r="P371" s="19" t="s">
        <x:v>34</x:v>
      </x:c>
      <x:c r="Q371" s="17"/>
      <x:c r="R371" s="19" t="str">
        <x:f t="shared" si="5"/>
        <x:v>Discovery Link Only</x:v>
      </x:c>
      <x:c r="S371" s="43" t="str">
        <x:v>Unknown</x:v>
      </x:c>
      <x:c r="T371" s="43" t="str">
        <x:v>Unknown</x:v>
      </x:c>
      <x:c r="U371" s="43" t="str">
        <x:v>Unknown</x:v>
      </x:c>
      <x:c r="V371" s="43" t="str">
        <x:v>Unknown</x:v>
      </x:c>
      <x:c r="W371" s="43" t="str">
        <x:v>Unknown</x:v>
      </x:c>
      <x:c r="X371" s="43" t="str">
        <x:v>Unknown</x:v>
      </x:c>
      <x:c r="Y371" s="43" t="str">
        <x:v>Unknown</x:v>
      </x:c>
      <x:c r="Z371" s="43"/>
      <x:c r="AA371" s="43" t="str">
        <x:v>Excluded</x:v>
      </x:c>
      <x:c r="AB371" s="43" t="str">
        <x:v>No qualifying evidence source recorded</x:v>
      </x:c>
      <x:c r="AC371" s="43" t="str">
        <x:v>Excluded from Maya's elderly recommendation results because no source-backed elderly accessibility feature is recorded in the reviewed data. This does not mean the attraction is inaccessible.</x:v>
      </x:c>
      <x:c r="AD371" s="43" t="str">
        <x:v>2026-08-16</x:v>
      </x:c>
    </x:row>
    <x:row r="372" ht="60" customHeight="1">
      <x:c r="A372" s="16" t="s">
        <x:v>2182</x:v>
      </x:c>
      <x:c r="B372" s="16" t="s">
        <x:v>2183</x:v>
      </x:c>
      <x:c r="C372" s="16" t="s">
        <x:v>2021</x:v>
      </x:c>
      <x:c r="D372" s="16" t="s">
        <x:v>2069</x:v>
      </x:c>
      <x:c r="E372" s="16" t="s">
        <x:v>45</x:v>
      </x:c>
      <x:c r="F372" s="16" t="s">
        <x:v>121</x:v>
      </x:c>
      <x:c r="G372" s="16" t="s">
        <x:v>26</x:v>
      </x:c>
      <x:c r="H372" s="17" t="s">
        <x:v>244</x:v>
      </x:c>
      <x:c r="I372" s="17" t="s">
        <x:v>2184</x:v>
      </x:c>
      <x:c r="J372" s="17" t="s">
        <x:v>2185</x:v>
      </x:c>
      <x:c r="K372" s="17" t="s">
        <x:v>2026</x:v>
      </x:c>
      <x:c r="L372" s="17" t="s">
        <x:v>111</x:v>
      </x:c>
      <x:c r="M372" s="17" t="s">
        <x:v>2092</x:v>
      </x:c>
      <x:c r="N372" s="16"/>
      <x:c r="O372" s="18">
        <x:v>46249</x:v>
      </x:c>
      <x:c r="P372" s="19" t="s">
        <x:v>34</x:v>
      </x:c>
      <x:c r="Q372" s="17"/>
      <x:c r="R372" s="19" t="str">
        <x:f t="shared" si="5"/>
        <x:v>Discovery Link Only</x:v>
      </x:c>
      <x:c r="S372" s="43" t="str">
        <x:v>Unknown</x:v>
      </x:c>
      <x:c r="T372" s="43" t="str">
        <x:v>Unknown</x:v>
      </x:c>
      <x:c r="U372" s="43" t="str">
        <x:v>Unknown</x:v>
      </x:c>
      <x:c r="V372" s="43" t="str">
        <x:v>Unknown</x:v>
      </x:c>
      <x:c r="W372" s="43" t="str">
        <x:v>Unknown</x:v>
      </x:c>
      <x:c r="X372" s="43" t="str">
        <x:v>Unknown</x:v>
      </x:c>
      <x:c r="Y372" s="43" t="str">
        <x:v>Unknown</x:v>
      </x:c>
      <x:c r="Z372" s="43"/>
      <x:c r="AA372" s="43" t="str">
        <x:v>Excluded</x:v>
      </x:c>
      <x:c r="AB372" s="43" t="str">
        <x:v>No qualifying evidence source recorded</x:v>
      </x:c>
      <x:c r="AC372" s="43" t="str">
        <x:v>Excluded from Maya's elderly recommendation results because no source-backed elderly accessibility feature is recorded in the reviewed data. This does not mean the attraction is inaccessible.</x:v>
      </x:c>
      <x:c r="AD372" s="43" t="str">
        <x:v>2026-08-16</x:v>
      </x:c>
    </x:row>
    <x:row r="373" ht="60" customHeight="1">
      <x:c r="A373" s="16" t="s">
        <x:v>2186</x:v>
      </x:c>
      <x:c r="B373" s="16" t="s">
        <x:v>2187</x:v>
      </x:c>
      <x:c r="C373" s="16" t="s">
        <x:v>2021</x:v>
      </x:c>
      <x:c r="D373" s="16" t="s">
        <x:v>2069</x:v>
      </x:c>
      <x:c r="E373" s="16" t="s">
        <x:v>37</x:v>
      </x:c>
      <x:c r="F373" s="16" t="s">
        <x:v>194</x:v>
      </x:c>
      <x:c r="G373" s="16" t="s">
        <x:v>26</x:v>
      </x:c>
      <x:c r="H373" s="17" t="s">
        <x:v>2188</x:v>
      </x:c>
      <x:c r="I373" s="17" t="s">
        <x:v>2189</x:v>
      </x:c>
      <x:c r="J373" s="17" t="s">
        <x:v>2190</x:v>
      </x:c>
      <x:c r="K373" s="17" t="s">
        <x:v>2026</x:v>
      </x:c>
      <x:c r="L373" s="17" t="s">
        <x:v>111</x:v>
      </x:c>
      <x:c r="M373" s="17" t="s">
        <x:v>2092</x:v>
      </x:c>
      <x:c r="N373" s="16"/>
      <x:c r="O373" s="18">
        <x:v>46249</x:v>
      </x:c>
      <x:c r="P373" s="19" t="s">
        <x:v>34</x:v>
      </x:c>
      <x:c r="Q373" s="17"/>
      <x:c r="R373" s="19" t="str">
        <x:f t="shared" si="5"/>
        <x:v>Discovery Link Only</x:v>
      </x:c>
      <x:c r="S373" s="43" t="str">
        <x:v>Unknown</x:v>
      </x:c>
      <x:c r="T373" s="43" t="str">
        <x:v>Unknown</x:v>
      </x:c>
      <x:c r="U373" s="43" t="str">
        <x:v>Unknown</x:v>
      </x:c>
      <x:c r="V373" s="43" t="str">
        <x:v>Unknown</x:v>
      </x:c>
      <x:c r="W373" s="43" t="str">
        <x:v>Unknown</x:v>
      </x:c>
      <x:c r="X373" s="43" t="str">
        <x:v>Unknown</x:v>
      </x:c>
      <x:c r="Y373" s="43" t="str">
        <x:v>Unknown</x:v>
      </x:c>
      <x:c r="Z373" s="43"/>
      <x:c r="AA373" s="43" t="str">
        <x:v>Excluded</x:v>
      </x:c>
      <x:c r="AB373" s="43" t="str">
        <x:v>No qualifying evidence source recorded</x:v>
      </x:c>
      <x:c r="AC373" s="43" t="str">
        <x:v>Excluded from Maya's elderly recommendation results because no source-backed elderly accessibility feature is recorded in the reviewed data. This does not mean the attraction is inaccessible.</x:v>
      </x:c>
      <x:c r="AD373" s="43" t="str">
        <x:v>2026-08-16</x:v>
      </x:c>
    </x:row>
    <x:row r="374" ht="60" customHeight="1">
      <x:c r="A374" s="16" t="s">
        <x:v>2191</x:v>
      </x:c>
      <x:c r="B374" s="16" t="s">
        <x:v>2192</x:v>
      </x:c>
      <x:c r="C374" s="16" t="s">
        <x:v>2021</x:v>
      </x:c>
      <x:c r="D374" s="16" t="s">
        <x:v>2193</x:v>
      </x:c>
      <x:c r="E374" s="16" t="s">
        <x:v>37</x:v>
      </x:c>
      <x:c r="F374" s="16" t="s">
        <x:v>107</x:v>
      </x:c>
      <x:c r="G374" s="16" t="s">
        <x:v>26</x:v>
      </x:c>
      <x:c r="H374" s="17" t="s">
        <x:v>2194</x:v>
      </x:c>
      <x:c r="I374" s="17" t="s">
        <x:v>2195</x:v>
      </x:c>
      <x:c r="J374" s="17" t="s">
        <x:v>2196</x:v>
      </x:c>
      <x:c r="K374" s="17" t="s">
        <x:v>2026</x:v>
      </x:c>
      <x:c r="L374" s="17" t="s">
        <x:v>111</x:v>
      </x:c>
      <x:c r="M374" s="17" t="s">
        <x:v>2092</x:v>
      </x:c>
      <x:c r="N374" s="16"/>
      <x:c r="O374" s="18">
        <x:v>46249</x:v>
      </x:c>
      <x:c r="P374" s="19" t="s">
        <x:v>34</x:v>
      </x:c>
      <x:c r="Q374" s="17"/>
      <x:c r="R374" s="19" t="str">
        <x:f t="shared" si="5"/>
        <x:v>Discovery Link Only</x:v>
      </x:c>
      <x:c r="S374" s="43" t="str">
        <x:v>Unknown</x:v>
      </x:c>
      <x:c r="T374" s="43" t="str">
        <x:v>Unknown</x:v>
      </x:c>
      <x:c r="U374" s="43" t="str">
        <x:v>Unknown</x:v>
      </x:c>
      <x:c r="V374" s="43" t="str">
        <x:v>Unknown</x:v>
      </x:c>
      <x:c r="W374" s="43" t="str">
        <x:v>Unknown</x:v>
      </x:c>
      <x:c r="X374" s="43" t="str">
        <x:v>Unknown</x:v>
      </x:c>
      <x:c r="Y374" s="43" t="str">
        <x:v>Unknown</x:v>
      </x:c>
      <x:c r="Z374" s="43"/>
      <x:c r="AA374" s="43" t="str">
        <x:v>Excluded</x:v>
      </x:c>
      <x:c r="AB374" s="43" t="str">
        <x:v>No qualifying evidence source recorded</x:v>
      </x:c>
      <x:c r="AC374" s="43" t="str">
        <x:v>Excluded from Maya's elderly recommendation results because no source-backed elderly accessibility feature is recorded in the reviewed data. This does not mean the attraction is inaccessible.</x:v>
      </x:c>
      <x:c r="AD374" s="43" t="str">
        <x:v>2026-08-16</x:v>
      </x:c>
    </x:row>
    <x:row r="375" ht="60" customHeight="1">
      <x:c r="A375" s="16" t="s">
        <x:v>2197</x:v>
      </x:c>
      <x:c r="B375" s="16" t="s">
        <x:v>2198</x:v>
      </x:c>
      <x:c r="C375" s="16" t="s">
        <x:v>2199</x:v>
      </x:c>
      <x:c r="D375" s="16" t="s">
        <x:v>2200</x:v>
      </x:c>
      <x:c r="E375" s="16" t="s">
        <x:v>37</x:v>
      </x:c>
      <x:c r="F375" s="16" t="s">
        <x:v>25</x:v>
      </x:c>
      <x:c r="G375" s="16" t="s">
        <x:v>46</x:v>
      </x:c>
      <x:c r="H375" s="17" t="s">
        <x:v>2201</x:v>
      </x:c>
      <x:c r="I375" s="17" t="s">
        <x:v>2202</x:v>
      </x:c>
      <x:c r="J375" s="17" t="s">
        <x:v>2203</x:v>
      </x:c>
      <x:c r="K375" s="17" t="s">
        <x:v>2204</x:v>
      </x:c>
      <x:c r="L375" s="17" t="s">
        <x:v>58</x:v>
      </x:c>
      <x:c r="M375" s="17" t="s">
        <x:v>256</x:v>
      </x:c>
      <x:c r="N375" s="16" t="s">
        <x:v>2205</x:v>
      </x:c>
      <x:c r="O375" s="18">
        <x:v>46249</x:v>
      </x:c>
      <x:c r="P375" s="19" t="s">
        <x:v>34</x:v>
      </x:c>
      <x:c r="Q375" s="17"/>
      <x:c r="R375" s="19" t="str">
        <x:f t="shared" si="5"/>
        <x:v>Source Link Present</x:v>
      </x:c>
      <x:c r="S375" s="43" t="str">
        <x:v>Unknown</x:v>
      </x:c>
      <x:c r="T375" s="43" t="str">
        <x:v>Unknown</x:v>
      </x:c>
      <x:c r="U375" s="43" t="str">
        <x:v>Unknown</x:v>
      </x:c>
      <x:c r="V375" s="43" t="str">
        <x:v>Unknown</x:v>
      </x:c>
      <x:c r="W375" s="43" t="str">
        <x:v>Unknown</x:v>
      </x:c>
      <x:c r="X375" s="43" t="str">
        <x:v>Unknown</x:v>
      </x:c>
      <x:c r="Y375" s="43" t="str">
        <x:v>Unknown</x:v>
      </x:c>
      <x:c r="Z375" s="43"/>
      <x:c r="AA375" s="43" t="str">
        <x:v>Eligible</x:v>
      </x:c>
      <x:c r="AB375" s="43" t="str">
        <x:v>https://www.malaysia.travel/explore/kl-bird-park
https://www.klbirdpark.com/
https://www.klbirdpark.com/plan-your-visit/
https://www.klbirdpark.com/contacts/
https://www.malaysia.travel/storage/files/pdf/2026-Malaysia-Surreal-Experience.pdf
https://ebrochures.malaysia.travel/en/malaysia-travel-guide/kuala-lumpur/
https://www.findlatitudeandlongitude.com/l/Kuala%2BLumpur%2BBird%2BPark%252C%2B920%252C%2BJalan%2BCenderawasih%252C%2BPerdana%2BBotanical%2BGardens%252C%2BKuala%2BLumpur%252C%2BKuala%2BLumpur%252C%2BMalaysia%252C%2B50480/6564055/</x:v>
      </x:c>
      <x:c r="AC375" s="43" t="str">
        <x:v>Included in Maya's elderly recommendation results: The operator states that most park grounds are wheelchair accessible.</x:v>
      </x:c>
      <x:c r="AD375" s="43" t="str">
        <x:v>2026-08-16</x:v>
      </x:c>
    </x:row>
    <x:row r="376" ht="60" customHeight="1">
      <x:c r="A376" s="16" t="s">
        <x:v>2206</x:v>
      </x:c>
      <x:c r="B376" s="16" t="s">
        <x:v>2207</x:v>
      </x:c>
      <x:c r="C376" s="16" t="s">
        <x:v>2199</x:v>
      </x:c>
      <x:c r="D376" s="16" t="s">
        <x:v>2208</x:v>
      </x:c>
      <x:c r="E376" s="16" t="s">
        <x:v>140</x:v>
      </x:c>
      <x:c r="F376" s="16" t="s">
        <x:v>25</x:v>
      </x:c>
      <x:c r="G376" s="16" t="s">
        <x:v>46</x:v>
      </x:c>
      <x:c r="H376" s="17" t="s">
        <x:v>2209</x:v>
      </x:c>
      <x:c r="I376" s="17" t="s">
        <x:v>2210</x:v>
      </x:c>
      <x:c r="J376" s="17" t="s">
        <x:v>2211</x:v>
      </x:c>
      <x:c r="K376" s="17" t="s">
        <x:v>2204</x:v>
      </x:c>
      <x:c r="L376" s="17" t="s">
        <x:v>58</x:v>
      </x:c>
      <x:c r="M376" s="17" t="s">
        <x:v>256</x:v>
      </x:c>
      <x:c r="N376" s="16" t="s">
        <x:v>2212</x:v>
      </x:c>
      <x:c r="O376" s="18">
        <x:v>46249</x:v>
      </x:c>
      <x:c r="P376" s="19" t="s">
        <x:v>34</x:v>
      </x:c>
      <x:c r="Q376" s="17"/>
      <x:c r="R376" s="19" t="str">
        <x:f t="shared" si="5"/>
        <x:v>Discovery Link Only</x:v>
      </x:c>
      <x:c r="S376" s="43" t="str">
        <x:v>Unknown</x:v>
      </x:c>
      <x:c r="T376" s="43" t="str">
        <x:v>Unknown</x:v>
      </x:c>
      <x:c r="U376" s="43" t="str">
        <x:v>Unknown</x:v>
      </x:c>
      <x:c r="V376" s="43" t="str">
        <x:v>Unknown</x:v>
      </x:c>
      <x:c r="W376" s="43" t="str">
        <x:v>Unknown</x:v>
      </x:c>
      <x:c r="X376" s="43" t="str">
        <x:v>Unknown</x:v>
      </x:c>
      <x:c r="Y376" s="43" t="str">
        <x:v>Unknown</x:v>
      </x:c>
      <x:c r="Z376" s="43"/>
      <x:c r="AA376" s="43" t="str">
        <x:v>Excluded</x:v>
      </x:c>
      <x:c r="AB376" s="43" t="str">
        <x:v>No qualifying evidence source recorded</x:v>
      </x:c>
      <x:c r="AC376" s="43" t="str">
        <x:v>Excluded from Maya's elderly recommendation results because no source-backed elderly accessibility feature is recorded in the reviewed data. This does not mean the attraction is inaccessible.</x:v>
      </x:c>
      <x:c r="AD376" s="43" t="str">
        <x:v>2026-08-16</x:v>
      </x:c>
    </x:row>
    <x:row r="377" ht="60" customHeight="1">
      <x:c r="A377" s="16" t="s">
        <x:v>2213</x:v>
      </x:c>
      <x:c r="B377" s="16" t="s">
        <x:v>2214</x:v>
      </x:c>
      <x:c r="C377" s="16" t="s">
        <x:v>2199</x:v>
      </x:c>
      <x:c r="D377" s="16" t="s">
        <x:v>2208</x:v>
      </x:c>
      <x:c r="E377" s="16" t="s">
        <x:v>24</x:v>
      </x:c>
      <x:c r="F377" s="16" t="s">
        <x:v>25</x:v>
      </x:c>
      <x:c r="G377" s="16" t="s">
        <x:v>26</x:v>
      </x:c>
      <x:c r="H377" s="17" t="s">
        <x:v>2215</x:v>
      </x:c>
      <x:c r="I377" s="17" t="s">
        <x:v>2216</x:v>
      </x:c>
      <x:c r="J377" s="17" t="s">
        <x:v>2217</x:v>
      </x:c>
      <x:c r="K377" s="17" t="s">
        <x:v>2204</x:v>
      </x:c>
      <x:c r="L377" s="17" t="s">
        <x:v>58</x:v>
      </x:c>
      <x:c r="M377" s="17" t="s">
        <x:v>256</x:v>
      </x:c>
      <x:c r="N377" s="16" t="s">
        <x:v>2218</x:v>
      </x:c>
      <x:c r="O377" s="18">
        <x:v>46249</x:v>
      </x:c>
      <x:c r="P377" s="19" t="s">
        <x:v>34</x:v>
      </x:c>
      <x:c r="Q377" s="17"/>
      <x:c r="R377" s="19" t="str">
        <x:f t="shared" si="5"/>
        <x:v>Discovery Link Only</x:v>
      </x:c>
      <x:c r="S377" s="43" t="str">
        <x:v>Unknown</x:v>
      </x:c>
      <x:c r="T377" s="43" t="str">
        <x:v>Unknown</x:v>
      </x:c>
      <x:c r="U377" s="43" t="str">
        <x:v>Unknown</x:v>
      </x:c>
      <x:c r="V377" s="43" t="str">
        <x:v>Unknown</x:v>
      </x:c>
      <x:c r="W377" s="43" t="str">
        <x:v>Unknown</x:v>
      </x:c>
      <x:c r="X377" s="43" t="str">
        <x:v>Unknown</x:v>
      </x:c>
      <x:c r="Y377" s="43" t="str">
        <x:v>Unknown</x:v>
      </x:c>
      <x:c r="Z377" s="43"/>
      <x:c r="AA377" s="43" t="str">
        <x:v>Excluded</x:v>
      </x:c>
      <x:c r="AB377" s="43" t="str">
        <x:v>No qualifying evidence source recorded</x:v>
      </x:c>
      <x:c r="AC377" s="43" t="str">
        <x:v>Excluded from Maya's elderly recommendation results because no source-backed elderly accessibility feature is recorded in the reviewed data. This does not mean the attraction is inaccessible.</x:v>
      </x:c>
      <x:c r="AD377" s="43" t="str">
        <x:v>2026-08-16</x:v>
      </x:c>
    </x:row>
    <x:row r="378" ht="60" customHeight="1">
      <x:c r="A378" s="16" t="s">
        <x:v>2219</x:v>
      </x:c>
      <x:c r="B378" s="16" t="s">
        <x:v>2220</x:v>
      </x:c>
      <x:c r="C378" s="16" t="s">
        <x:v>2199</x:v>
      </x:c>
      <x:c r="D378" s="16" t="s">
        <x:v>2208</x:v>
      </x:c>
      <x:c r="E378" s="16" t="s">
        <x:v>54</x:v>
      </x:c>
      <x:c r="F378" s="16" t="s">
        <x:v>25</x:v>
      </x:c>
      <x:c r="G378" s="16" t="s">
        <x:v>134</x:v>
      </x:c>
      <x:c r="H378" s="17" t="s">
        <x:v>292</x:v>
      </x:c>
      <x:c r="I378" s="17" t="s">
        <x:v>2221</x:v>
      </x:c>
      <x:c r="J378" s="17" t="s">
        <x:v>2222</x:v>
      </x:c>
      <x:c r="K378" s="17" t="s">
        <x:v>2204</x:v>
      </x:c>
      <x:c r="L378" s="17" t="s">
        <x:v>58</x:v>
      </x:c>
      <x:c r="M378" s="17" t="s">
        <x:v>256</x:v>
      </x:c>
      <x:c r="N378" s="16" t="s">
        <x:v>2223</x:v>
      </x:c>
      <x:c r="O378" s="18">
        <x:v>46249</x:v>
      </x:c>
      <x:c r="P378" s="19" t="s">
        <x:v>34</x:v>
      </x:c>
      <x:c r="Q378" s="17"/>
      <x:c r="R378" s="19" t="str">
        <x:f t="shared" si="5"/>
        <x:v>Discovery Link Only</x:v>
      </x:c>
      <x:c r="S378" s="43" t="str">
        <x:v>Unknown</x:v>
      </x:c>
      <x:c r="T378" s="43" t="str">
        <x:v>Unknown</x:v>
      </x:c>
      <x:c r="U378" s="43" t="str">
        <x:v>Unknown</x:v>
      </x:c>
      <x:c r="V378" s="43" t="str">
        <x:v>Unknown</x:v>
      </x:c>
      <x:c r="W378" s="43" t="str">
        <x:v>Unknown</x:v>
      </x:c>
      <x:c r="X378" s="43" t="str">
        <x:v>Unknown</x:v>
      </x:c>
      <x:c r="Y378" s="43" t="str">
        <x:v>Unknown</x:v>
      </x:c>
      <x:c r="Z378" s="43"/>
      <x:c r="AA378" s="43" t="str">
        <x:v>Excluded</x:v>
      </x:c>
      <x:c r="AB378" s="43" t="str">
        <x:v>No qualifying evidence source recorded</x:v>
      </x:c>
      <x:c r="AC378" s="43" t="str">
        <x:v>Excluded from Maya's elderly recommendation results because no source-backed elderly accessibility feature is recorded in the reviewed data. This does not mean the attraction is inaccessible.</x:v>
      </x:c>
      <x:c r="AD378" s="43" t="str">
        <x:v>2026-08-16</x:v>
      </x:c>
    </x:row>
    <x:row r="379" ht="60" customHeight="1">
      <x:c r="A379" s="16" t="s">
        <x:v>2224</x:v>
      </x:c>
      <x:c r="B379" s="16" t="s">
        <x:v>2225</x:v>
      </x:c>
      <x:c r="C379" s="16" t="s">
        <x:v>2199</x:v>
      </x:c>
      <x:c r="D379" s="16" t="s">
        <x:v>2226</x:v>
      </x:c>
      <x:c r="E379" s="16" t="s">
        <x:v>151</x:v>
      </x:c>
      <x:c r="F379" s="16" t="s">
        <x:v>121</x:v>
      </x:c>
      <x:c r="G379" s="16" t="s">
        <x:v>134</x:v>
      </x:c>
      <x:c r="H379" s="17" t="s">
        <x:v>2227</x:v>
      </x:c>
      <x:c r="I379" s="17" t="s">
        <x:v>2228</x:v>
      </x:c>
      <x:c r="J379" s="17" t="s">
        <x:v>2229</x:v>
      </x:c>
      <x:c r="K379" s="17" t="s">
        <x:v>2204</x:v>
      </x:c>
      <x:c r="L379" s="17" t="s">
        <x:v>58</x:v>
      </x:c>
      <x:c r="M379" s="17" t="s">
        <x:v>256</x:v>
      </x:c>
      <x:c r="N379" s="16" t="s">
        <x:v>2230</x:v>
      </x:c>
      <x:c r="O379" s="18">
        <x:v>46249</x:v>
      </x:c>
      <x:c r="P379" s="19" t="s">
        <x:v>34</x:v>
      </x:c>
      <x:c r="Q379" s="17"/>
      <x:c r="R379" s="19" t="str">
        <x:f t="shared" si="5"/>
        <x:v>Discovery Link Only</x:v>
      </x:c>
      <x:c r="S379" s="43" t="str">
        <x:v>Unknown</x:v>
      </x:c>
      <x:c r="T379" s="43" t="str">
        <x:v>Unknown</x:v>
      </x:c>
      <x:c r="U379" s="43" t="str">
        <x:v>Unknown</x:v>
      </x:c>
      <x:c r="V379" s="43" t="str">
        <x:v>Unknown</x:v>
      </x:c>
      <x:c r="W379" s="43" t="str">
        <x:v>Unknown</x:v>
      </x:c>
      <x:c r="X379" s="43" t="str">
        <x:v>Unknown</x:v>
      </x:c>
      <x:c r="Y379" s="43" t="str">
        <x:v>Unknown</x:v>
      </x:c>
      <x:c r="Z379" s="43"/>
      <x:c r="AA379" s="43" t="str">
        <x:v>Excluded</x:v>
      </x:c>
      <x:c r="AB379" s="43" t="str">
        <x:v>No qualifying evidence source recorded</x:v>
      </x:c>
      <x:c r="AC379" s="43" t="str">
        <x:v>Excluded from Maya's elderly recommendation results because no source-backed elderly accessibility feature is recorded in the reviewed data. This does not mean the attraction is inaccessible.</x:v>
      </x:c>
      <x:c r="AD379" s="43" t="str">
        <x:v>2026-08-16</x:v>
      </x:c>
    </x:row>
    <x:row r="380" ht="60" customHeight="1">
      <x:c r="A380" s="16" t="s">
        <x:v>2231</x:v>
      </x:c>
      <x:c r="B380" s="16" t="s">
        <x:v>2232</x:v>
      </x:c>
      <x:c r="C380" s="16" t="s">
        <x:v>2199</x:v>
      </x:c>
      <x:c r="D380" s="16" t="s">
        <x:v>2233</x:v>
      </x:c>
      <x:c r="E380" s="16" t="s">
        <x:v>394</x:v>
      </x:c>
      <x:c r="F380" s="16" t="s">
        <x:v>25</x:v>
      </x:c>
      <x:c r="G380" s="16" t="s">
        <x:v>26</x:v>
      </x:c>
      <x:c r="H380" s="17" t="s">
        <x:v>2234</x:v>
      </x:c>
      <x:c r="I380" s="17" t="s">
        <x:v>2235</x:v>
      </x:c>
      <x:c r="J380" s="17" t="s">
        <x:v>2236</x:v>
      </x:c>
      <x:c r="K380" s="17" t="s">
        <x:v>2204</x:v>
      </x:c>
      <x:c r="L380" s="17" t="s">
        <x:v>58</x:v>
      </x:c>
      <x:c r="M380" s="17" t="s">
        <x:v>256</x:v>
      </x:c>
      <x:c r="N380" s="16" t="s">
        <x:v>2237</x:v>
      </x:c>
      <x:c r="O380" s="18">
        <x:v>46249</x:v>
      </x:c>
      <x:c r="P380" s="19" t="s">
        <x:v>34</x:v>
      </x:c>
      <x:c r="Q380" s="17"/>
      <x:c r="R380" s="19" t="str">
        <x:f t="shared" si="5"/>
        <x:v>Discovery Link Only</x:v>
      </x:c>
      <x:c r="S380" s="43" t="str">
        <x:v>Unknown</x:v>
      </x:c>
      <x:c r="T380" s="43" t="str">
        <x:v>Unknown</x:v>
      </x:c>
      <x:c r="U380" s="43" t="str">
        <x:v>Unknown</x:v>
      </x:c>
      <x:c r="V380" s="43" t="str">
        <x:v>Unknown</x:v>
      </x:c>
      <x:c r="W380" s="43" t="str">
        <x:v>Unknown</x:v>
      </x:c>
      <x:c r="X380" s="43" t="str">
        <x:v>Unknown</x:v>
      </x:c>
      <x:c r="Y380" s="43" t="str">
        <x:v>Unknown</x:v>
      </x:c>
      <x:c r="Z380" s="43"/>
      <x:c r="AA380" s="43" t="str">
        <x:v>Excluded</x:v>
      </x:c>
      <x:c r="AB380" s="43" t="str">
        <x:v>No qualifying evidence source recorded</x:v>
      </x:c>
      <x:c r="AC380" s="43" t="str">
        <x:v>Excluded from Maya's elderly recommendation results because no source-backed elderly accessibility feature is recorded in the reviewed data. This does not mean the attraction is inaccessible.</x:v>
      </x:c>
      <x:c r="AD380" s="43" t="str">
        <x:v>2026-08-16</x:v>
      </x:c>
    </x:row>
    <x:row r="381" ht="60" customHeight="1">
      <x:c r="A381" s="16" t="s">
        <x:v>2238</x:v>
      </x:c>
      <x:c r="B381" s="16" t="s">
        <x:v>2239</x:v>
      </x:c>
      <x:c r="C381" s="16" t="s">
        <x:v>2199</x:v>
      </x:c>
      <x:c r="D381" s="16" t="s">
        <x:v>2233</x:v>
      </x:c>
      <x:c r="E381" s="16" t="s">
        <x:v>133</x:v>
      </x:c>
      <x:c r="F381" s="16" t="s">
        <x:v>25</x:v>
      </x:c>
      <x:c r="G381" s="16" t="s">
        <x:v>134</x:v>
      </x:c>
      <x:c r="H381" s="17" t="s">
        <x:v>2240</x:v>
      </x:c>
      <x:c r="I381" s="17" t="s">
        <x:v>2241</x:v>
      </x:c>
      <x:c r="J381" s="17" t="s">
        <x:v>2242</x:v>
      </x:c>
      <x:c r="K381" s="17" t="s">
        <x:v>2204</x:v>
      </x:c>
      <x:c r="L381" s="17" t="s">
        <x:v>58</x:v>
      </x:c>
      <x:c r="M381" s="17" t="s">
        <x:v>256</x:v>
      </x:c>
      <x:c r="N381" s="16" t="s">
        <x:v>2243</x:v>
      </x:c>
      <x:c r="O381" s="18">
        <x:v>46249</x:v>
      </x:c>
      <x:c r="P381" s="19" t="s">
        <x:v>34</x:v>
      </x:c>
      <x:c r="Q381" s="17"/>
      <x:c r="R381" s="19" t="str">
        <x:f t="shared" si="5"/>
        <x:v>Discovery Link Only</x:v>
      </x:c>
      <x:c r="S381" s="43" t="str">
        <x:v>Unknown</x:v>
      </x:c>
      <x:c r="T381" s="43" t="str">
        <x:v>Unknown</x:v>
      </x:c>
      <x:c r="U381" s="43" t="str">
        <x:v>Unknown</x:v>
      </x:c>
      <x:c r="V381" s="43" t="str">
        <x:v>Unknown</x:v>
      </x:c>
      <x:c r="W381" s="43" t="str">
        <x:v>Unknown</x:v>
      </x:c>
      <x:c r="X381" s="43" t="str">
        <x:v>Unknown</x:v>
      </x:c>
      <x:c r="Y381" s="43" t="str">
        <x:v>Unknown</x:v>
      </x:c>
      <x:c r="Z381" s="43"/>
      <x:c r="AA381" s="43" t="str">
        <x:v>Excluded</x:v>
      </x:c>
      <x:c r="AB381" s="43" t="str">
        <x:v>No qualifying evidence source recorded</x:v>
      </x:c>
      <x:c r="AC381" s="43" t="str">
        <x:v>Excluded from Maya's elderly recommendation results because no source-backed elderly accessibility feature is recorded in the reviewed data. This does not mean the attraction is inaccessible.</x:v>
      </x:c>
      <x:c r="AD381" s="43" t="str">
        <x:v>2026-08-16</x:v>
      </x:c>
    </x:row>
    <x:row r="382" ht="60" customHeight="1">
      <x:c r="A382" s="16" t="s">
        <x:v>2244</x:v>
      </x:c>
      <x:c r="B382" s="16" t="s">
        <x:v>2245</x:v>
      </x:c>
      <x:c r="C382" s="16" t="s">
        <x:v>2199</x:v>
      </x:c>
      <x:c r="D382" s="16" t="s">
        <x:v>2246</x:v>
      </x:c>
      <x:c r="E382" s="16" t="s">
        <x:v>133</x:v>
      </x:c>
      <x:c r="F382" s="16" t="s">
        <x:v>25</x:v>
      </x:c>
      <x:c r="G382" s="16" t="s">
        <x:v>134</x:v>
      </x:c>
      <x:c r="H382" s="17" t="s">
        <x:v>2247</x:v>
      </x:c>
      <x:c r="I382" s="17" t="s">
        <x:v>2248</x:v>
      </x:c>
      <x:c r="J382" s="17" t="s">
        <x:v>2249</x:v>
      </x:c>
      <x:c r="K382" s="17" t="s">
        <x:v>2204</x:v>
      </x:c>
      <x:c r="L382" s="17" t="s">
        <x:v>58</x:v>
      </x:c>
      <x:c r="M382" s="17" t="s">
        <x:v>256</x:v>
      </x:c>
      <x:c r="N382" s="16" t="s">
        <x:v>2250</x:v>
      </x:c>
      <x:c r="O382" s="18">
        <x:v>46249</x:v>
      </x:c>
      <x:c r="P382" s="19" t="s">
        <x:v>34</x:v>
      </x:c>
      <x:c r="Q382" s="17"/>
      <x:c r="R382" s="19" t="str">
        <x:f t="shared" si="5"/>
        <x:v>Discovery Link Only</x:v>
      </x:c>
      <x:c r="S382" s="43" t="str">
        <x:v>Unknown</x:v>
      </x:c>
      <x:c r="T382" s="43" t="str">
        <x:v>Unknown</x:v>
      </x:c>
      <x:c r="U382" s="43" t="str">
        <x:v>Unknown</x:v>
      </x:c>
      <x:c r="V382" s="43" t="str">
        <x:v>Unknown</x:v>
      </x:c>
      <x:c r="W382" s="43" t="str">
        <x:v>Unknown</x:v>
      </x:c>
      <x:c r="X382" s="43" t="str">
        <x:v>Unknown</x:v>
      </x:c>
      <x:c r="Y382" s="43" t="str">
        <x:v>Unknown</x:v>
      </x:c>
      <x:c r="Z382" s="43"/>
      <x:c r="AA382" s="43" t="str">
        <x:v>Excluded</x:v>
      </x:c>
      <x:c r="AB382" s="43" t="str">
        <x:v>No qualifying evidence source recorded</x:v>
      </x:c>
      <x:c r="AC382" s="43" t="str">
        <x:v>Excluded from Maya's elderly recommendation results because no source-backed elderly accessibility feature is recorded in the reviewed data. This does not mean the attraction is inaccessible.</x:v>
      </x:c>
      <x:c r="AD382" s="43" t="str">
        <x:v>2026-08-16</x:v>
      </x:c>
    </x:row>
    <x:row r="383" ht="60" customHeight="1">
      <x:c r="A383" s="16" t="s">
        <x:v>2251</x:v>
      </x:c>
      <x:c r="B383" s="16" t="s">
        <x:v>2252</x:v>
      </x:c>
      <x:c r="C383" s="16" t="s">
        <x:v>2199</x:v>
      </x:c>
      <x:c r="D383" s="16" t="s">
        <x:v>2253</x:v>
      </x:c>
      <x:c r="E383" s="16" t="s">
        <x:v>106</x:v>
      </x:c>
      <x:c r="F383" s="16" t="s">
        <x:v>25</x:v>
      </x:c>
      <x:c r="G383" s="16" t="s">
        <x:v>46</x:v>
      </x:c>
      <x:c r="H383" s="17" t="s">
        <x:v>2254</x:v>
      </x:c>
      <x:c r="I383" s="17" t="s">
        <x:v>2255</x:v>
      </x:c>
      <x:c r="J383" s="17" t="s">
        <x:v>2256</x:v>
      </x:c>
      <x:c r="K383" s="17" t="s">
        <x:v>2204</x:v>
      </x:c>
      <x:c r="L383" s="17" t="s">
        <x:v>58</x:v>
      </x:c>
      <x:c r="M383" s="17" t="s">
        <x:v>256</x:v>
      </x:c>
      <x:c r="N383" s="16" t="s">
        <x:v>2257</x:v>
      </x:c>
      <x:c r="O383" s="18">
        <x:v>46249</x:v>
      </x:c>
      <x:c r="P383" s="19" t="s">
        <x:v>34</x:v>
      </x:c>
      <x:c r="Q383" s="17"/>
      <x:c r="R383" s="19" t="str">
        <x:f t="shared" si="5"/>
        <x:v>Discovery Link Only</x:v>
      </x:c>
      <x:c r="S383" s="43" t="str">
        <x:v>Unknown</x:v>
      </x:c>
      <x:c r="T383" s="43" t="str">
        <x:v>Unknown</x:v>
      </x:c>
      <x:c r="U383" s="43" t="str">
        <x:v>Unknown</x:v>
      </x:c>
      <x:c r="V383" s="43" t="str">
        <x:v>Unknown</x:v>
      </x:c>
      <x:c r="W383" s="43" t="str">
        <x:v>Unknown</x:v>
      </x:c>
      <x:c r="X383" s="43" t="str">
        <x:v>Unknown</x:v>
      </x:c>
      <x:c r="Y383" s="43" t="str">
        <x:v>Unknown</x:v>
      </x:c>
      <x:c r="Z383" s="43"/>
      <x:c r="AA383" s="43" t="str">
        <x:v>Excluded</x:v>
      </x:c>
      <x:c r="AB383" s="43" t="str">
        <x:v>No qualifying evidence source recorded</x:v>
      </x:c>
      <x:c r="AC383" s="43" t="str">
        <x:v>Excluded from Maya's elderly recommendation results because no source-backed elderly accessibility feature is recorded in the reviewed data. This does not mean the attraction is inaccessible.</x:v>
      </x:c>
      <x:c r="AD383" s="43" t="str">
        <x:v>2026-08-16</x:v>
      </x:c>
    </x:row>
    <x:row r="384" ht="60" customHeight="1">
      <x:c r="A384" s="16" t="s">
        <x:v>2258</x:v>
      </x:c>
      <x:c r="B384" s="16" t="s">
        <x:v>2259</x:v>
      </x:c>
      <x:c r="C384" s="16" t="s">
        <x:v>2199</x:v>
      </x:c>
      <x:c r="D384" s="16" t="s">
        <x:v>2260</x:v>
      </x:c>
      <x:c r="E384" s="16" t="s">
        <x:v>162</x:v>
      </x:c>
      <x:c r="F384" s="16" t="s">
        <x:v>121</x:v>
      </x:c>
      <x:c r="G384" s="16" t="s">
        <x:v>26</x:v>
      </x:c>
      <x:c r="H384" s="17" t="s">
        <x:v>2261</x:v>
      </x:c>
      <x:c r="I384" s="17" t="s">
        <x:v>2262</x:v>
      </x:c>
      <x:c r="J384" s="17" t="s">
        <x:v>2263</x:v>
      </x:c>
      <x:c r="K384" s="17" t="s">
        <x:v>2204</x:v>
      </x:c>
      <x:c r="L384" s="17" t="s">
        <x:v>58</x:v>
      </x:c>
      <x:c r="M384" s="17" t="s">
        <x:v>256</x:v>
      </x:c>
      <x:c r="N384" s="16" t="s">
        <x:v>2264</x:v>
      </x:c>
      <x:c r="O384" s="18">
        <x:v>46249</x:v>
      </x:c>
      <x:c r="P384" s="19" t="s">
        <x:v>34</x:v>
      </x:c>
      <x:c r="Q384" s="17"/>
      <x:c r="R384" s="19" t="str">
        <x:f t="shared" si="5"/>
        <x:v>Discovery Link Only</x:v>
      </x:c>
      <x:c r="S384" s="43" t="str">
        <x:v>Unknown</x:v>
      </x:c>
      <x:c r="T384" s="43" t="str">
        <x:v>Unknown</x:v>
      </x:c>
      <x:c r="U384" s="43" t="str">
        <x:v>Unknown</x:v>
      </x:c>
      <x:c r="V384" s="43" t="str">
        <x:v>Unknown</x:v>
      </x:c>
      <x:c r="W384" s="43" t="str">
        <x:v>Unknown</x:v>
      </x:c>
      <x:c r="X384" s="43" t="str">
        <x:v>Unknown</x:v>
      </x:c>
      <x:c r="Y384" s="43" t="str">
        <x:v>Unknown</x:v>
      </x:c>
      <x:c r="Z384" s="43"/>
      <x:c r="AA384" s="43" t="str">
        <x:v>Excluded</x:v>
      </x:c>
      <x:c r="AB384" s="43" t="str">
        <x:v>No qualifying evidence source recorded</x:v>
      </x:c>
      <x:c r="AC384" s="43" t="str">
        <x:v>Excluded from Maya's elderly recommendation results because no source-backed elderly accessibility feature is recorded in the reviewed data. This does not mean the attraction is inaccessible.</x:v>
      </x:c>
      <x:c r="AD384" s="43" t="str">
        <x:v>2026-08-16</x:v>
      </x:c>
    </x:row>
    <x:row r="385" ht="60" customHeight="1">
      <x:c r="A385" s="16" t="s">
        <x:v>2265</x:v>
      </x:c>
      <x:c r="B385" s="16" t="s">
        <x:v>2266</x:v>
      </x:c>
      <x:c r="C385" s="16" t="s">
        <x:v>2199</x:v>
      </x:c>
      <x:c r="D385" s="16" t="s">
        <x:v>2260</x:v>
      </x:c>
      <x:c r="E385" s="16" t="s">
        <x:v>151</x:v>
      </x:c>
      <x:c r="F385" s="16" t="s">
        <x:v>107</x:v>
      </x:c>
      <x:c r="G385" s="16" t="s">
        <x:v>134</x:v>
      </x:c>
      <x:c r="H385" s="17" t="s">
        <x:v>2267</x:v>
      </x:c>
      <x:c r="I385" s="17" t="s">
        <x:v>2268</x:v>
      </x:c>
      <x:c r="J385" s="17" t="s">
        <x:v>2269</x:v>
      </x:c>
      <x:c r="K385" s="17" t="s">
        <x:v>2204</x:v>
      </x:c>
      <x:c r="L385" s="17" t="s">
        <x:v>111</x:v>
      </x:c>
      <x:c r="M385" s="17" t="s">
        <x:v>2270</x:v>
      </x:c>
      <x:c r="N385" s="16"/>
      <x:c r="O385" s="18">
        <x:v>46249</x:v>
      </x:c>
      <x:c r="P385" s="19" t="s">
        <x:v>34</x:v>
      </x:c>
      <x:c r="Q385" s="17"/>
      <x:c r="R385" s="19" t="str">
        <x:f t="shared" si="5"/>
        <x:v>Discovery Link Only</x:v>
      </x:c>
      <x:c r="S385" s="43" t="str">
        <x:v>Unknown</x:v>
      </x:c>
      <x:c r="T385" s="43" t="str">
        <x:v>Unknown</x:v>
      </x:c>
      <x:c r="U385" s="43" t="str">
        <x:v>Unknown</x:v>
      </x:c>
      <x:c r="V385" s="43" t="str">
        <x:v>Unknown</x:v>
      </x:c>
      <x:c r="W385" s="43" t="str">
        <x:v>Unknown</x:v>
      </x:c>
      <x:c r="X385" s="43" t="str">
        <x:v>Unknown</x:v>
      </x:c>
      <x:c r="Y385" s="43" t="str">
        <x:v>Unknown</x:v>
      </x:c>
      <x:c r="Z385" s="43"/>
      <x:c r="AA385" s="43" t="str">
        <x:v>Excluded</x:v>
      </x:c>
      <x:c r="AB385" s="43" t="str">
        <x:v>No qualifying evidence source recorded</x:v>
      </x:c>
      <x:c r="AC385" s="43" t="str">
        <x:v>Excluded from Maya's elderly recommendation results because no source-backed elderly accessibility feature is recorded in the reviewed data. This does not mean the attraction is inaccessible.</x:v>
      </x:c>
      <x:c r="AD385" s="43" t="str">
        <x:v>2026-08-16</x:v>
      </x:c>
    </x:row>
    <x:row r="386" ht="60" customHeight="1">
      <x:c r="A386" s="16" t="s">
        <x:v>2271</x:v>
      </x:c>
      <x:c r="B386" s="16" t="s">
        <x:v>2272</x:v>
      </x:c>
      <x:c r="C386" s="16" t="s">
        <x:v>2199</x:v>
      </x:c>
      <x:c r="D386" s="16" t="s">
        <x:v>2273</x:v>
      </x:c>
      <x:c r="E386" s="16" t="s">
        <x:v>151</x:v>
      </x:c>
      <x:c r="F386" s="16" t="s">
        <x:v>107</x:v>
      </x:c>
      <x:c r="G386" s="16" t="s">
        <x:v>134</x:v>
      </x:c>
      <x:c r="H386" s="17" t="s">
        <x:v>2274</x:v>
      </x:c>
      <x:c r="I386" s="17" t="s">
        <x:v>2275</x:v>
      </x:c>
      <x:c r="J386" s="17" t="s">
        <x:v>2276</x:v>
      </x:c>
      <x:c r="K386" s="17" t="s">
        <x:v>2204</x:v>
      </x:c>
      <x:c r="L386" s="17" t="s">
        <x:v>111</x:v>
      </x:c>
      <x:c r="M386" s="17" t="s">
        <x:v>2270</x:v>
      </x:c>
      <x:c r="N386" s="16"/>
      <x:c r="O386" s="18">
        <x:v>46249</x:v>
      </x:c>
      <x:c r="P386" s="19" t="s">
        <x:v>34</x:v>
      </x:c>
      <x:c r="Q386" s="17"/>
      <x:c r="R386" s="19" t="str">
        <x:f t="shared" si="5"/>
        <x:v>Discovery Link Only</x:v>
      </x:c>
      <x:c r="S386" s="43" t="str">
        <x:v>Unknown</x:v>
      </x:c>
      <x:c r="T386" s="43" t="str">
        <x:v>Unknown</x:v>
      </x:c>
      <x:c r="U386" s="43" t="str">
        <x:v>Unknown</x:v>
      </x:c>
      <x:c r="V386" s="43" t="str">
        <x:v>Unknown</x:v>
      </x:c>
      <x:c r="W386" s="43" t="str">
        <x:v>Unknown</x:v>
      </x:c>
      <x:c r="X386" s="43" t="str">
        <x:v>Unknown</x:v>
      </x:c>
      <x:c r="Y386" s="43" t="str">
        <x:v>Unknown</x:v>
      </x:c>
      <x:c r="Z386" s="43"/>
      <x:c r="AA386" s="43" t="str">
        <x:v>Excluded</x:v>
      </x:c>
      <x:c r="AB386" s="43" t="str">
        <x:v>No qualifying evidence source recorded</x:v>
      </x:c>
      <x:c r="AC386" s="43" t="str">
        <x:v>Excluded from Maya's elderly recommendation results because no source-backed elderly accessibility feature is recorded in the reviewed data. This does not mean the attraction is inaccessible.</x:v>
      </x:c>
      <x:c r="AD386" s="43" t="str">
        <x:v>2026-08-16</x:v>
      </x:c>
    </x:row>
    <x:row r="387" ht="60" customHeight="1">
      <x:c r="A387" s="16" t="s">
        <x:v>2277</x:v>
      </x:c>
      <x:c r="B387" s="16" t="s">
        <x:v>2278</x:v>
      </x:c>
      <x:c r="C387" s="16" t="s">
        <x:v>2199</x:v>
      </x:c>
      <x:c r="D387" s="16" t="s">
        <x:v>2273</x:v>
      </x:c>
      <x:c r="E387" s="16" t="s">
        <x:v>151</x:v>
      </x:c>
      <x:c r="F387" s="16" t="s">
        <x:v>107</x:v>
      </x:c>
      <x:c r="G387" s="16" t="s">
        <x:v>134</x:v>
      </x:c>
      <x:c r="H387" s="17" t="s">
        <x:v>2279</x:v>
      </x:c>
      <x:c r="I387" s="17" t="s">
        <x:v>2280</x:v>
      </x:c>
      <x:c r="J387" s="17" t="s">
        <x:v>2281</x:v>
      </x:c>
      <x:c r="K387" s="17" t="s">
        <x:v>2204</x:v>
      </x:c>
      <x:c r="L387" s="17" t="s">
        <x:v>111</x:v>
      </x:c>
      <x:c r="M387" s="17" t="s">
        <x:v>2270</x:v>
      </x:c>
      <x:c r="N387" s="16"/>
      <x:c r="O387" s="18">
        <x:v>46249</x:v>
      </x:c>
      <x:c r="P387" s="19" t="s">
        <x:v>34</x:v>
      </x:c>
      <x:c r="Q387" s="17"/>
      <x:c r="R387" s="19" t="str">
        <x:f t="shared" si="5"/>
        <x:v>Discovery Link Only</x:v>
      </x:c>
      <x:c r="S387" s="43" t="str">
        <x:v>Unknown</x:v>
      </x:c>
      <x:c r="T387" s="43" t="str">
        <x:v>Unknown</x:v>
      </x:c>
      <x:c r="U387" s="43" t="str">
        <x:v>Unknown</x:v>
      </x:c>
      <x:c r="V387" s="43" t="str">
        <x:v>Unknown</x:v>
      </x:c>
      <x:c r="W387" s="43" t="str">
        <x:v>Unknown</x:v>
      </x:c>
      <x:c r="X387" s="43" t="str">
        <x:v>Unknown</x:v>
      </x:c>
      <x:c r="Y387" s="43" t="str">
        <x:v>Unknown</x:v>
      </x:c>
      <x:c r="Z387" s="43"/>
      <x:c r="AA387" s="43" t="str">
        <x:v>Excluded</x:v>
      </x:c>
      <x:c r="AB387" s="43" t="str">
        <x:v>No qualifying evidence source recorded</x:v>
      </x:c>
      <x:c r="AC387" s="43" t="str">
        <x:v>Excluded from Maya's elderly recommendation results because no source-backed elderly accessibility feature is recorded in the reviewed data. This does not mean the attraction is inaccessible.</x:v>
      </x:c>
      <x:c r="AD387" s="43" t="str">
        <x:v>2026-08-16</x:v>
      </x:c>
    </x:row>
    <x:row r="388" ht="60" customHeight="1">
      <x:c r="A388" s="16" t="s">
        <x:v>2282</x:v>
      </x:c>
      <x:c r="B388" s="16" t="s">
        <x:v>2283</x:v>
      </x:c>
      <x:c r="C388" s="16" t="s">
        <x:v>2199</x:v>
      </x:c>
      <x:c r="D388" s="16" t="s">
        <x:v>2273</x:v>
      </x:c>
      <x:c r="E388" s="16" t="s">
        <x:v>115</x:v>
      </x:c>
      <x:c r="F388" s="16" t="s">
        <x:v>121</x:v>
      </x:c>
      <x:c r="G388" s="16" t="s">
        <x:v>46</x:v>
      </x:c>
      <x:c r="H388" s="17" t="s">
        <x:v>2284</x:v>
      </x:c>
      <x:c r="I388" s="17" t="s">
        <x:v>2285</x:v>
      </x:c>
      <x:c r="J388" s="17" t="s">
        <x:v>2286</x:v>
      </x:c>
      <x:c r="K388" s="17" t="s">
        <x:v>2204</x:v>
      </x:c>
      <x:c r="L388" s="17" t="s">
        <x:v>111</x:v>
      </x:c>
      <x:c r="M388" s="17" t="s">
        <x:v>2270</x:v>
      </x:c>
      <x:c r="N388" s="16"/>
      <x:c r="O388" s="18">
        <x:v>46249</x:v>
      </x:c>
      <x:c r="P388" s="19" t="s">
        <x:v>34</x:v>
      </x:c>
      <x:c r="Q388" s="17"/>
      <x:c r="R388" s="19" t="str">
        <x:f t="shared" ref="R388:R434" si="6">IF(J388="","Missing Link",IF(AND(ISNUMBER(SEARCH("google.com/maps",J388)),ISERROR(SEARCH(";",J388))),"Discovery Link Only","Source Link Present"))</x:f>
        <x:v>Discovery Link Only</x:v>
      </x:c>
      <x:c r="S388" s="43" t="str">
        <x:v>Unknown</x:v>
      </x:c>
      <x:c r="T388" s="43" t="str">
        <x:v>Unknown</x:v>
      </x:c>
      <x:c r="U388" s="43" t="str">
        <x:v>Unknown</x:v>
      </x:c>
      <x:c r="V388" s="43" t="str">
        <x:v>Unknown</x:v>
      </x:c>
      <x:c r="W388" s="43" t="str">
        <x:v>Unknown</x:v>
      </x:c>
      <x:c r="X388" s="43" t="str">
        <x:v>Unknown</x:v>
      </x:c>
      <x:c r="Y388" s="43" t="str">
        <x:v>Unknown</x:v>
      </x:c>
      <x:c r="Z388" s="43"/>
      <x:c r="AA388" s="43" t="str">
        <x:v>Excluded</x:v>
      </x:c>
      <x:c r="AB388" s="43" t="str">
        <x:v>No qualifying evidence source recorded</x:v>
      </x:c>
      <x:c r="AC388" s="43" t="str">
        <x:v>Excluded from Maya's elderly recommendation results because no source-backed elderly accessibility feature is recorded in the reviewed data. This does not mean the attraction is inaccessible.</x:v>
      </x:c>
      <x:c r="AD388" s="43" t="str">
        <x:v>2026-08-16</x:v>
      </x:c>
    </x:row>
    <x:row r="389" ht="60" customHeight="1">
      <x:c r="A389" s="16" t="s">
        <x:v>2287</x:v>
      </x:c>
      <x:c r="B389" s="16" t="s">
        <x:v>2288</x:v>
      </x:c>
      <x:c r="C389" s="16" t="s">
        <x:v>2199</x:v>
      </x:c>
      <x:c r="D389" s="16" t="s">
        <x:v>2289</x:v>
      </x:c>
      <x:c r="E389" s="16" t="s">
        <x:v>115</x:v>
      </x:c>
      <x:c r="F389" s="16" t="s">
        <x:v>107</x:v>
      </x:c>
      <x:c r="G389" s="16" t="s">
        <x:v>46</x:v>
      </x:c>
      <x:c r="H389" s="17" t="s">
        <x:v>2290</x:v>
      </x:c>
      <x:c r="I389" s="17" t="s">
        <x:v>2291</x:v>
      </x:c>
      <x:c r="J389" s="17" t="s">
        <x:v>2292</x:v>
      </x:c>
      <x:c r="K389" s="17" t="s">
        <x:v>2204</x:v>
      </x:c>
      <x:c r="L389" s="17" t="s">
        <x:v>111</x:v>
      </x:c>
      <x:c r="M389" s="17" t="s">
        <x:v>2270</x:v>
      </x:c>
      <x:c r="N389" s="16"/>
      <x:c r="O389" s="18">
        <x:v>46249</x:v>
      </x:c>
      <x:c r="P389" s="19" t="s">
        <x:v>34</x:v>
      </x:c>
      <x:c r="Q389" s="17"/>
      <x:c r="R389" s="19" t="str">
        <x:f t="shared" si="6"/>
        <x:v>Discovery Link Only</x:v>
      </x:c>
      <x:c r="S389" s="43" t="str">
        <x:v>Unknown</x:v>
      </x:c>
      <x:c r="T389" s="43" t="str">
        <x:v>Unknown</x:v>
      </x:c>
      <x:c r="U389" s="43" t="str">
        <x:v>Unknown</x:v>
      </x:c>
      <x:c r="V389" s="43" t="str">
        <x:v>Unknown</x:v>
      </x:c>
      <x:c r="W389" s="43" t="str">
        <x:v>Unknown</x:v>
      </x:c>
      <x:c r="X389" s="43" t="str">
        <x:v>Unknown</x:v>
      </x:c>
      <x:c r="Y389" s="43" t="str">
        <x:v>Unknown</x:v>
      </x:c>
      <x:c r="Z389" s="43"/>
      <x:c r="AA389" s="43" t="str">
        <x:v>Excluded</x:v>
      </x:c>
      <x:c r="AB389" s="43" t="str">
        <x:v>No qualifying evidence source recorded</x:v>
      </x:c>
      <x:c r="AC389" s="43" t="str">
        <x:v>Excluded from Maya's elderly recommendation results because no source-backed elderly accessibility feature is recorded in the reviewed data. This does not mean the attraction is inaccessible.</x:v>
      </x:c>
      <x:c r="AD389" s="43" t="str">
        <x:v>2026-08-16</x:v>
      </x:c>
    </x:row>
    <x:row r="390" ht="60" customHeight="1">
      <x:c r="A390" s="16" t="s">
        <x:v>2293</x:v>
      </x:c>
      <x:c r="B390" s="16" t="s">
        <x:v>2294</x:v>
      </x:c>
      <x:c r="C390" s="16" t="s">
        <x:v>2199</x:v>
      </x:c>
      <x:c r="D390" s="16" t="s">
        <x:v>2289</x:v>
      </x:c>
      <x:c r="E390" s="16" t="s">
        <x:v>133</x:v>
      </x:c>
      <x:c r="F390" s="16" t="s">
        <x:v>121</x:v>
      </x:c>
      <x:c r="G390" s="16" t="s">
        <x:v>134</x:v>
      </x:c>
      <x:c r="H390" s="17" t="s">
        <x:v>2295</x:v>
      </x:c>
      <x:c r="I390" s="17" t="s">
        <x:v>2296</x:v>
      </x:c>
      <x:c r="J390" s="17" t="s">
        <x:v>2297</x:v>
      </x:c>
      <x:c r="K390" s="17" t="s">
        <x:v>2204</x:v>
      </x:c>
      <x:c r="L390" s="17" t="s">
        <x:v>111</x:v>
      </x:c>
      <x:c r="M390" s="17" t="s">
        <x:v>2270</x:v>
      </x:c>
      <x:c r="N390" s="16"/>
      <x:c r="O390" s="18">
        <x:v>46249</x:v>
      </x:c>
      <x:c r="P390" s="19" t="s">
        <x:v>34</x:v>
      </x:c>
      <x:c r="Q390" s="17"/>
      <x:c r="R390" s="19" t="str">
        <x:f t="shared" si="6"/>
        <x:v>Discovery Link Only</x:v>
      </x:c>
      <x:c r="S390" s="43" t="str">
        <x:v>Unknown</x:v>
      </x:c>
      <x:c r="T390" s="43" t="str">
        <x:v>Unknown</x:v>
      </x:c>
      <x:c r="U390" s="43" t="str">
        <x:v>Unknown</x:v>
      </x:c>
      <x:c r="V390" s="43" t="str">
        <x:v>Unknown</x:v>
      </x:c>
      <x:c r="W390" s="43" t="str">
        <x:v>Unknown</x:v>
      </x:c>
      <x:c r="X390" s="43" t="str">
        <x:v>Unknown</x:v>
      </x:c>
      <x:c r="Y390" s="43" t="str">
        <x:v>Unknown</x:v>
      </x:c>
      <x:c r="Z390" s="43"/>
      <x:c r="AA390" s="43" t="str">
        <x:v>Excluded</x:v>
      </x:c>
      <x:c r="AB390" s="43" t="str">
        <x:v>No qualifying evidence source recorded</x:v>
      </x:c>
      <x:c r="AC390" s="43" t="str">
        <x:v>Excluded from Maya's elderly recommendation results because no source-backed elderly accessibility feature is recorded in the reviewed data. This does not mean the attraction is inaccessible.</x:v>
      </x:c>
      <x:c r="AD390" s="43" t="str">
        <x:v>2026-08-16</x:v>
      </x:c>
    </x:row>
    <x:row r="391" ht="60" customHeight="1">
      <x:c r="A391" s="16" t="s">
        <x:v>2298</x:v>
      </x:c>
      <x:c r="B391" s="16" t="s">
        <x:v>2299</x:v>
      </x:c>
      <x:c r="C391" s="16" t="s">
        <x:v>2199</x:v>
      </x:c>
      <x:c r="D391" s="16" t="s">
        <x:v>2233</x:v>
      </x:c>
      <x:c r="E391" s="16" t="s">
        <x:v>37</x:v>
      </x:c>
      <x:c r="F391" s="16" t="s">
        <x:v>107</x:v>
      </x:c>
      <x:c r="G391" s="16" t="s">
        <x:v>26</x:v>
      </x:c>
      <x:c r="H391" s="17" t="s">
        <x:v>2300</x:v>
      </x:c>
      <x:c r="I391" s="17" t="s">
        <x:v>2301</x:v>
      </x:c>
      <x:c r="J391" s="17" t="s">
        <x:v>2302</x:v>
      </x:c>
      <x:c r="K391" s="17" t="s">
        <x:v>2204</x:v>
      </x:c>
      <x:c r="L391" s="17" t="s">
        <x:v>111</x:v>
      </x:c>
      <x:c r="M391" s="17" t="s">
        <x:v>2270</x:v>
      </x:c>
      <x:c r="N391" s="16"/>
      <x:c r="O391" s="18">
        <x:v>46249</x:v>
      </x:c>
      <x:c r="P391" s="19" t="s">
        <x:v>34</x:v>
      </x:c>
      <x:c r="Q391" s="17"/>
      <x:c r="R391" s="19" t="str">
        <x:f t="shared" si="6"/>
        <x:v>Discovery Link Only</x:v>
      </x:c>
      <x:c r="S391" s="43" t="str">
        <x:v>Unknown</x:v>
      </x:c>
      <x:c r="T391" s="43" t="str">
        <x:v>Unknown</x:v>
      </x:c>
      <x:c r="U391" s="43" t="str">
        <x:v>Unknown</x:v>
      </x:c>
      <x:c r="V391" s="43" t="str">
        <x:v>Unknown</x:v>
      </x:c>
      <x:c r="W391" s="43" t="str">
        <x:v>Unknown</x:v>
      </x:c>
      <x:c r="X391" s="43" t="str">
        <x:v>Unknown</x:v>
      </x:c>
      <x:c r="Y391" s="43" t="str">
        <x:v>Unknown</x:v>
      </x:c>
      <x:c r="Z391" s="43"/>
      <x:c r="AA391" s="43" t="str">
        <x:v>Excluded</x:v>
      </x:c>
      <x:c r="AB391" s="43" t="str">
        <x:v>No qualifying evidence source recorded</x:v>
      </x:c>
      <x:c r="AC391" s="43" t="str">
        <x:v>Excluded from Maya's elderly recommendation results because no source-backed elderly accessibility feature is recorded in the reviewed data. This does not mean the attraction is inaccessible.</x:v>
      </x:c>
      <x:c r="AD391" s="43" t="str">
        <x:v>2026-08-16</x:v>
      </x:c>
    </x:row>
    <x:row r="392" ht="60" customHeight="1">
      <x:c r="A392" s="16" t="s">
        <x:v>2303</x:v>
      </x:c>
      <x:c r="B392" s="16" t="s">
        <x:v>2304</x:v>
      </x:c>
      <x:c r="C392" s="16" t="s">
        <x:v>2199</x:v>
      </x:c>
      <x:c r="D392" s="16" t="s">
        <x:v>2246</x:v>
      </x:c>
      <x:c r="E392" s="16" t="s">
        <x:v>99</x:v>
      </x:c>
      <x:c r="F392" s="16" t="s">
        <x:v>121</x:v>
      </x:c>
      <x:c r="G392" s="16" t="s">
        <x:v>46</x:v>
      </x:c>
      <x:c r="H392" s="17" t="s">
        <x:v>2305</x:v>
      </x:c>
      <x:c r="I392" s="17" t="s">
        <x:v>2306</x:v>
      </x:c>
      <x:c r="J392" s="17" t="s">
        <x:v>2307</x:v>
      </x:c>
      <x:c r="K392" s="17" t="s">
        <x:v>2204</x:v>
      </x:c>
      <x:c r="L392" s="17" t="s">
        <x:v>111</x:v>
      </x:c>
      <x:c r="M392" s="17" t="s">
        <x:v>2270</x:v>
      </x:c>
      <x:c r="N392" s="16"/>
      <x:c r="O392" s="18">
        <x:v>46249</x:v>
      </x:c>
      <x:c r="P392" s="19" t="s">
        <x:v>34</x:v>
      </x:c>
      <x:c r="Q392" s="17"/>
      <x:c r="R392" s="19" t="str">
        <x:f t="shared" si="6"/>
        <x:v>Discovery Link Only</x:v>
      </x:c>
      <x:c r="S392" s="43" t="str">
        <x:v>Unknown</x:v>
      </x:c>
      <x:c r="T392" s="43" t="str">
        <x:v>Unknown</x:v>
      </x:c>
      <x:c r="U392" s="43" t="str">
        <x:v>Unknown</x:v>
      </x:c>
      <x:c r="V392" s="43" t="str">
        <x:v>Unknown</x:v>
      </x:c>
      <x:c r="W392" s="43" t="str">
        <x:v>Unknown</x:v>
      </x:c>
      <x:c r="X392" s="43" t="str">
        <x:v>Unknown</x:v>
      </x:c>
      <x:c r="Y392" s="43" t="str">
        <x:v>Unknown</x:v>
      </x:c>
      <x:c r="Z392" s="43"/>
      <x:c r="AA392" s="43" t="str">
        <x:v>Excluded</x:v>
      </x:c>
      <x:c r="AB392" s="43" t="str">
        <x:v>No qualifying evidence source recorded</x:v>
      </x:c>
      <x:c r="AC392" s="43" t="str">
        <x:v>Excluded from Maya's elderly recommendation results because no source-backed elderly accessibility feature is recorded in the reviewed data. This does not mean the attraction is inaccessible.</x:v>
      </x:c>
      <x:c r="AD392" s="43" t="str">
        <x:v>2026-08-16</x:v>
      </x:c>
    </x:row>
    <x:row r="393" ht="60" customHeight="1">
      <x:c r="A393" s="16" t="s">
        <x:v>2308</x:v>
      </x:c>
      <x:c r="B393" s="16" t="s">
        <x:v>2309</x:v>
      </x:c>
      <x:c r="C393" s="16" t="s">
        <x:v>2199</x:v>
      </x:c>
      <x:c r="D393" s="16" t="s">
        <x:v>2310</x:v>
      </x:c>
      <x:c r="E393" s="16" t="s">
        <x:v>162</x:v>
      </x:c>
      <x:c r="F393" s="16" t="s">
        <x:v>121</x:v>
      </x:c>
      <x:c r="G393" s="16" t="s">
        <x:v>46</x:v>
      </x:c>
      <x:c r="H393" s="17" t="s">
        <x:v>2311</x:v>
      </x:c>
      <x:c r="I393" s="17" t="s">
        <x:v>2312</x:v>
      </x:c>
      <x:c r="J393" s="17" t="s">
        <x:v>2313</x:v>
      </x:c>
      <x:c r="K393" s="17" t="s">
        <x:v>2204</x:v>
      </x:c>
      <x:c r="L393" s="17" t="s">
        <x:v>111</x:v>
      </x:c>
      <x:c r="M393" s="17" t="s">
        <x:v>2270</x:v>
      </x:c>
      <x:c r="N393" s="16"/>
      <x:c r="O393" s="18">
        <x:v>46249</x:v>
      </x:c>
      <x:c r="P393" s="19" t="s">
        <x:v>34</x:v>
      </x:c>
      <x:c r="Q393" s="17"/>
      <x:c r="R393" s="19" t="str">
        <x:f t="shared" si="6"/>
        <x:v>Discovery Link Only</x:v>
      </x:c>
      <x:c r="S393" s="43" t="str">
        <x:v>Unknown</x:v>
      </x:c>
      <x:c r="T393" s="43" t="str">
        <x:v>Unknown</x:v>
      </x:c>
      <x:c r="U393" s="43" t="str">
        <x:v>Unknown</x:v>
      </x:c>
      <x:c r="V393" s="43" t="str">
        <x:v>Unknown</x:v>
      </x:c>
      <x:c r="W393" s="43" t="str">
        <x:v>Unknown</x:v>
      </x:c>
      <x:c r="X393" s="43" t="str">
        <x:v>Unknown</x:v>
      </x:c>
      <x:c r="Y393" s="43" t="str">
        <x:v>Unknown</x:v>
      </x:c>
      <x:c r="Z393" s="43"/>
      <x:c r="AA393" s="43" t="str">
        <x:v>Excluded</x:v>
      </x:c>
      <x:c r="AB393" s="43" t="str">
        <x:v>No qualifying evidence source recorded</x:v>
      </x:c>
      <x:c r="AC393" s="43" t="str">
        <x:v>Excluded from Maya's elderly recommendation results because no source-backed elderly accessibility feature is recorded in the reviewed data. This does not mean the attraction is inaccessible.</x:v>
      </x:c>
      <x:c r="AD393" s="43" t="str">
        <x:v>2026-08-16</x:v>
      </x:c>
    </x:row>
    <x:row r="394" ht="60" customHeight="1">
      <x:c r="A394" s="16" t="s">
        <x:v>2314</x:v>
      </x:c>
      <x:c r="B394" s="16" t="s">
        <x:v>2315</x:v>
      </x:c>
      <x:c r="C394" s="16" t="s">
        <x:v>2199</x:v>
      </x:c>
      <x:c r="D394" s="16" t="s">
        <x:v>2316</x:v>
      </x:c>
      <x:c r="E394" s="16" t="s">
        <x:v>99</x:v>
      </x:c>
      <x:c r="F394" s="16" t="s">
        <x:v>127</x:v>
      </x:c>
      <x:c r="G394" s="16" t="s">
        <x:v>46</x:v>
      </x:c>
      <x:c r="H394" s="17" t="s">
        <x:v>2317</x:v>
      </x:c>
      <x:c r="I394" s="17" t="s">
        <x:v>2318</x:v>
      </x:c>
      <x:c r="J394" s="17" t="s">
        <x:v>2319</x:v>
      </x:c>
      <x:c r="K394" s="17" t="s">
        <x:v>2204</x:v>
      </x:c>
      <x:c r="L394" s="17" t="s">
        <x:v>111</x:v>
      </x:c>
      <x:c r="M394" s="17" t="s">
        <x:v>2270</x:v>
      </x:c>
      <x:c r="N394" s="16"/>
      <x:c r="O394" s="18">
        <x:v>46249</x:v>
      </x:c>
      <x:c r="P394" s="19" t="s">
        <x:v>34</x:v>
      </x:c>
      <x:c r="Q394" s="17"/>
      <x:c r="R394" s="19" t="str">
        <x:f t="shared" si="6"/>
        <x:v>Discovery Link Only</x:v>
      </x:c>
      <x:c r="S394" s="43" t="str">
        <x:v>Unknown</x:v>
      </x:c>
      <x:c r="T394" s="43" t="str">
        <x:v>Unknown</x:v>
      </x:c>
      <x:c r="U394" s="43" t="str">
        <x:v>Unknown</x:v>
      </x:c>
      <x:c r="V394" s="43" t="str">
        <x:v>Unknown</x:v>
      </x:c>
      <x:c r="W394" s="43" t="str">
        <x:v>Unknown</x:v>
      </x:c>
      <x:c r="X394" s="43" t="str">
        <x:v>Unknown</x:v>
      </x:c>
      <x:c r="Y394" s="43" t="str">
        <x:v>Unknown</x:v>
      </x:c>
      <x:c r="Z394" s="43"/>
      <x:c r="AA394" s="43" t="str">
        <x:v>Excluded</x:v>
      </x:c>
      <x:c r="AB394" s="43" t="str">
        <x:v>No qualifying evidence source recorded</x:v>
      </x:c>
      <x:c r="AC394" s="43" t="str">
        <x:v>Excluded from Maya's elderly recommendation results because no source-backed elderly accessibility feature is recorded in the reviewed data. This does not mean the attraction is inaccessible.</x:v>
      </x:c>
      <x:c r="AD394" s="43" t="str">
        <x:v>2026-08-16</x:v>
      </x:c>
    </x:row>
    <x:row r="395" ht="60" customHeight="1">
      <x:c r="A395" s="16" t="s">
        <x:v>2320</x:v>
      </x:c>
      <x:c r="B395" s="16" t="s">
        <x:v>2321</x:v>
      </x:c>
      <x:c r="C395" s="16" t="s">
        <x:v>2199</x:v>
      </x:c>
      <x:c r="D395" s="16" t="s">
        <x:v>2322</x:v>
      </x:c>
      <x:c r="E395" s="16" t="s">
        <x:v>24</x:v>
      </x:c>
      <x:c r="F395" s="16" t="s">
        <x:v>121</x:v>
      </x:c>
      <x:c r="G395" s="16" t="s">
        <x:v>26</x:v>
      </x:c>
      <x:c r="H395" s="17" t="s">
        <x:v>2323</x:v>
      </x:c>
      <x:c r="I395" s="17" t="s">
        <x:v>2324</x:v>
      </x:c>
      <x:c r="J395" s="17" t="s">
        <x:v>2325</x:v>
      </x:c>
      <x:c r="K395" s="17" t="s">
        <x:v>2204</x:v>
      </x:c>
      <x:c r="L395" s="17" t="s">
        <x:v>111</x:v>
      </x:c>
      <x:c r="M395" s="17" t="s">
        <x:v>2270</x:v>
      </x:c>
      <x:c r="N395" s="16"/>
      <x:c r="O395" s="18">
        <x:v>46249</x:v>
      </x:c>
      <x:c r="P395" s="19" t="s">
        <x:v>34</x:v>
      </x:c>
      <x:c r="Q395" s="17"/>
      <x:c r="R395" s="19" t="str">
        <x:f t="shared" si="6"/>
        <x:v>Discovery Link Only</x:v>
      </x:c>
      <x:c r="S395" s="43" t="str">
        <x:v>Unknown</x:v>
      </x:c>
      <x:c r="T395" s="43" t="str">
        <x:v>Unknown</x:v>
      </x:c>
      <x:c r="U395" s="43" t="str">
        <x:v>Unknown</x:v>
      </x:c>
      <x:c r="V395" s="43" t="str">
        <x:v>Unknown</x:v>
      </x:c>
      <x:c r="W395" s="43" t="str">
        <x:v>Unknown</x:v>
      </x:c>
      <x:c r="X395" s="43" t="str">
        <x:v>Unknown</x:v>
      </x:c>
      <x:c r="Y395" s="43" t="str">
        <x:v>Unknown</x:v>
      </x:c>
      <x:c r="Z395" s="43"/>
      <x:c r="AA395" s="43" t="str">
        <x:v>Excluded</x:v>
      </x:c>
      <x:c r="AB395" s="43" t="str">
        <x:v>No qualifying evidence source recorded</x:v>
      </x:c>
      <x:c r="AC395" s="43" t="str">
        <x:v>Excluded from Maya's elderly recommendation results because no source-backed elderly accessibility feature is recorded in the reviewed data. This does not mean the attraction is inaccessible.</x:v>
      </x:c>
      <x:c r="AD395" s="43" t="str">
        <x:v>2026-08-16</x:v>
      </x:c>
    </x:row>
    <x:row r="396" ht="60" customHeight="1">
      <x:c r="A396" s="16" t="s">
        <x:v>2326</x:v>
      </x:c>
      <x:c r="B396" s="16" t="s">
        <x:v>2327</x:v>
      </x:c>
      <x:c r="C396" s="16" t="s">
        <x:v>2199</x:v>
      </x:c>
      <x:c r="D396" s="16" t="s">
        <x:v>2328</x:v>
      </x:c>
      <x:c r="E396" s="16" t="s">
        <x:v>133</x:v>
      </x:c>
      <x:c r="F396" s="16" t="s">
        <x:v>107</x:v>
      </x:c>
      <x:c r="G396" s="16" t="s">
        <x:v>134</x:v>
      </x:c>
      <x:c r="H396" s="17" t="s">
        <x:v>2329</x:v>
      </x:c>
      <x:c r="I396" s="17" t="s">
        <x:v>2330</x:v>
      </x:c>
      <x:c r="J396" s="17" t="s">
        <x:v>2331</x:v>
      </x:c>
      <x:c r="K396" s="17" t="s">
        <x:v>2204</x:v>
      </x:c>
      <x:c r="L396" s="17" t="s">
        <x:v>111</x:v>
      </x:c>
      <x:c r="M396" s="17" t="s">
        <x:v>2270</x:v>
      </x:c>
      <x:c r="N396" s="16"/>
      <x:c r="O396" s="18">
        <x:v>46249</x:v>
      </x:c>
      <x:c r="P396" s="19" t="s">
        <x:v>34</x:v>
      </x:c>
      <x:c r="Q396" s="17"/>
      <x:c r="R396" s="19" t="str">
        <x:f t="shared" si="6"/>
        <x:v>Discovery Link Only</x:v>
      </x:c>
      <x:c r="S396" s="43" t="str">
        <x:v>Unknown</x:v>
      </x:c>
      <x:c r="T396" s="43" t="str">
        <x:v>Unknown</x:v>
      </x:c>
      <x:c r="U396" s="43" t="str">
        <x:v>Unknown</x:v>
      </x:c>
      <x:c r="V396" s="43" t="str">
        <x:v>Unknown</x:v>
      </x:c>
      <x:c r="W396" s="43" t="str">
        <x:v>Unknown</x:v>
      </x:c>
      <x:c r="X396" s="43" t="str">
        <x:v>Unknown</x:v>
      </x:c>
      <x:c r="Y396" s="43" t="str">
        <x:v>Unknown</x:v>
      </x:c>
      <x:c r="Z396" s="43"/>
      <x:c r="AA396" s="43" t="str">
        <x:v>Excluded</x:v>
      </x:c>
      <x:c r="AB396" s="43" t="str">
        <x:v>No qualifying evidence source recorded</x:v>
      </x:c>
      <x:c r="AC396" s="43" t="str">
        <x:v>Excluded from Maya's elderly recommendation results because no source-backed elderly accessibility feature is recorded in the reviewed data. This does not mean the attraction is inaccessible.</x:v>
      </x:c>
      <x:c r="AD396" s="43" t="str">
        <x:v>2026-08-16</x:v>
      </x:c>
    </x:row>
    <x:row r="397" ht="60" customHeight="1">
      <x:c r="A397" s="16" t="s">
        <x:v>2332</x:v>
      </x:c>
      <x:c r="B397" s="16" t="s">
        <x:v>2333</x:v>
      </x:c>
      <x:c r="C397" s="16" t="s">
        <x:v>2199</x:v>
      </x:c>
      <x:c r="D397" s="16" t="s">
        <x:v>2334</x:v>
      </x:c>
      <x:c r="E397" s="16" t="s">
        <x:v>24</x:v>
      </x:c>
      <x:c r="F397" s="16" t="s">
        <x:v>121</x:v>
      </x:c>
      <x:c r="G397" s="16" t="s">
        <x:v>26</x:v>
      </x:c>
      <x:c r="H397" s="17" t="s">
        <x:v>2335</x:v>
      </x:c>
      <x:c r="I397" s="17" t="s">
        <x:v>2336</x:v>
      </x:c>
      <x:c r="J397" s="17" t="s">
        <x:v>2337</x:v>
      </x:c>
      <x:c r="K397" s="17" t="s">
        <x:v>2204</x:v>
      </x:c>
      <x:c r="L397" s="17" t="s">
        <x:v>111</x:v>
      </x:c>
      <x:c r="M397" s="17" t="s">
        <x:v>2270</x:v>
      </x:c>
      <x:c r="N397" s="16"/>
      <x:c r="O397" s="18">
        <x:v>46249</x:v>
      </x:c>
      <x:c r="P397" s="19" t="s">
        <x:v>34</x:v>
      </x:c>
      <x:c r="Q397" s="17"/>
      <x:c r="R397" s="19" t="str">
        <x:f t="shared" si="6"/>
        <x:v>Discovery Link Only</x:v>
      </x:c>
      <x:c r="S397" s="43" t="str">
        <x:v>Unknown</x:v>
      </x:c>
      <x:c r="T397" s="43" t="str">
        <x:v>Unknown</x:v>
      </x:c>
      <x:c r="U397" s="43" t="str">
        <x:v>Unknown</x:v>
      </x:c>
      <x:c r="V397" s="43" t="str">
        <x:v>Unknown</x:v>
      </x:c>
      <x:c r="W397" s="43" t="str">
        <x:v>Unknown</x:v>
      </x:c>
      <x:c r="X397" s="43" t="str">
        <x:v>Unknown</x:v>
      </x:c>
      <x:c r="Y397" s="43" t="str">
        <x:v>Unknown</x:v>
      </x:c>
      <x:c r="Z397" s="43"/>
      <x:c r="AA397" s="43" t="str">
        <x:v>Excluded</x:v>
      </x:c>
      <x:c r="AB397" s="43" t="str">
        <x:v>No qualifying evidence source recorded</x:v>
      </x:c>
      <x:c r="AC397" s="43" t="str">
        <x:v>Excluded from Maya's elderly recommendation results because no source-backed elderly accessibility feature is recorded in the reviewed data. This does not mean the attraction is inaccessible.</x:v>
      </x:c>
      <x:c r="AD397" s="43" t="str">
        <x:v>2026-08-16</x:v>
      </x:c>
    </x:row>
    <x:row r="398" ht="60" customHeight="1">
      <x:c r="A398" s="16" t="s">
        <x:v>2338</x:v>
      </x:c>
      <x:c r="B398" s="16" t="s">
        <x:v>2339</x:v>
      </x:c>
      <x:c r="C398" s="16" t="s">
        <x:v>2199</x:v>
      </x:c>
      <x:c r="D398" s="16" t="s">
        <x:v>2340</x:v>
      </x:c>
      <x:c r="E398" s="16" t="s">
        <x:v>251</x:v>
      </x:c>
      <x:c r="F398" s="16" t="s">
        <x:v>121</x:v>
      </x:c>
      <x:c r="G398" s="16" t="s">
        <x:v>26</x:v>
      </x:c>
      <x:c r="H398" s="17" t="s">
        <x:v>2341</x:v>
      </x:c>
      <x:c r="I398" s="17" t="s">
        <x:v>2342</x:v>
      </x:c>
      <x:c r="J398" s="17" t="s">
        <x:v>2343</x:v>
      </x:c>
      <x:c r="K398" s="17" t="s">
        <x:v>2204</x:v>
      </x:c>
      <x:c r="L398" s="17" t="s">
        <x:v>111</x:v>
      </x:c>
      <x:c r="M398" s="17" t="s">
        <x:v>2270</x:v>
      </x:c>
      <x:c r="N398" s="16"/>
      <x:c r="O398" s="18">
        <x:v>46249</x:v>
      </x:c>
      <x:c r="P398" s="19" t="s">
        <x:v>34</x:v>
      </x:c>
      <x:c r="Q398" s="17"/>
      <x:c r="R398" s="19" t="str">
        <x:f t="shared" si="6"/>
        <x:v>Discovery Link Only</x:v>
      </x:c>
      <x:c r="S398" s="43" t="str">
        <x:v>Unknown</x:v>
      </x:c>
      <x:c r="T398" s="43" t="str">
        <x:v>Unknown</x:v>
      </x:c>
      <x:c r="U398" s="43" t="str">
        <x:v>Unknown</x:v>
      </x:c>
      <x:c r="V398" s="43" t="str">
        <x:v>Unknown</x:v>
      </x:c>
      <x:c r="W398" s="43" t="str">
        <x:v>Unknown</x:v>
      </x:c>
      <x:c r="X398" s="43" t="str">
        <x:v>Unknown</x:v>
      </x:c>
      <x:c r="Y398" s="43" t="str">
        <x:v>Unknown</x:v>
      </x:c>
      <x:c r="Z398" s="43"/>
      <x:c r="AA398" s="43" t="str">
        <x:v>Excluded</x:v>
      </x:c>
      <x:c r="AB398" s="43" t="str">
        <x:v>No qualifying evidence source recorded</x:v>
      </x:c>
      <x:c r="AC398" s="43" t="str">
        <x:v>Excluded from Maya's elderly recommendation results because no source-backed elderly accessibility feature is recorded in the reviewed data. This does not mean the attraction is inaccessible.</x:v>
      </x:c>
      <x:c r="AD398" s="43" t="str">
        <x:v>2026-08-16</x:v>
      </x:c>
    </x:row>
    <x:row r="399" ht="60" customHeight="1">
      <x:c r="A399" s="16" t="s">
        <x:v>2344</x:v>
      </x:c>
      <x:c r="B399" s="16" t="s">
        <x:v>2345</x:v>
      </x:c>
      <x:c r="C399" s="16" t="s">
        <x:v>2346</x:v>
      </x:c>
      <x:c r="D399" s="16" t="s">
        <x:v>2347</x:v>
      </x:c>
      <x:c r="E399" s="16" t="s">
        <x:v>45</x:v>
      </x:c>
      <x:c r="F399" s="16" t="s">
        <x:v>25</x:v>
      </x:c>
      <x:c r="G399" s="16" t="s">
        <x:v>26</x:v>
      </x:c>
      <x:c r="H399" s="17" t="s">
        <x:v>2348</x:v>
      </x:c>
      <x:c r="I399" s="17" t="s">
        <x:v>2349</x:v>
      </x:c>
      <x:c r="J399" s="17" t="s">
        <x:v>2350</x:v>
      </x:c>
      <x:c r="K399" s="17" t="s">
        <x:v>2351</x:v>
      </x:c>
      <x:c r="L399" s="17" t="s">
        <x:v>58</x:v>
      </x:c>
      <x:c r="M399" s="17" t="s">
        <x:v>256</x:v>
      </x:c>
      <x:c r="N399" s="16" t="s">
        <x:v>2352</x:v>
      </x:c>
      <x:c r="O399" s="18">
        <x:v>46249</x:v>
      </x:c>
      <x:c r="P399" s="19" t="s">
        <x:v>34</x:v>
      </x:c>
      <x:c r="Q399" s="17"/>
      <x:c r="R399" s="19" t="str">
        <x:f t="shared" si="6"/>
        <x:v>Source Link Present</x:v>
      </x:c>
      <x:c r="S399" s="43" t="str">
        <x:v>Unknown</x:v>
      </x:c>
      <x:c r="T399" s="43" t="str">
        <x:v>Unknown</x:v>
      </x:c>
      <x:c r="U399" s="43" t="str">
        <x:v>Unknown</x:v>
      </x:c>
      <x:c r="V399" s="43" t="str">
        <x:v>Unknown</x:v>
      </x:c>
      <x:c r="W399" s="43" t="str">
        <x:v>Unknown</x:v>
      </x:c>
      <x:c r="X399" s="43" t="str">
        <x:v>Unknown</x:v>
      </x:c>
      <x:c r="Y399" s="43" t="str">
        <x:v>Unknown</x:v>
      </x:c>
      <x:c r="Z399" s="43"/>
      <x:c r="AA399" s="43" t="str">
        <x:v>Eligible</x:v>
      </x:c>
      <x:c r="AB399" s="43" t="str">
        <x:v>https://www.malaysia.travel/explore/saujana-hijau-park
https://www.ppj.gov.my/en/second-menu/taman-saujana-hijau
https://www.ppj.gov.my/en/second-page/latar-belakang-taman
https://www.ppj.gov.my/second-page/perkhidmatan-aktiviti-rekreasi-5
https://www.ppj.gov.my/second-page/fasiliti-5
https://www.ppj.gov.my/second-page/waktu-operasi-taman-3
https://taman.ppj.gov.my/
https://mygeoname.mygeoportal.gov.my/exportpdf00.jsp?kodnegeri=16</x:v>
      </x:c>
      <x:c r="AC399" s="43" t="str">
        <x:v>Included in Maya's elderly recommendation results: The park is described as wheelchair-friendly; shorter routes and assistance may still be needed on slopes.</x:v>
      </x:c>
      <x:c r="AD399" s="43" t="str">
        <x:v>2026-08-16</x:v>
      </x:c>
    </x:row>
    <x:row r="400" ht="60" customHeight="1">
      <x:c r="A400" s="16" t="s">
        <x:v>2353</x:v>
      </x:c>
      <x:c r="B400" s="16" t="s">
        <x:v>2354</x:v>
      </x:c>
      <x:c r="C400" s="16" t="s">
        <x:v>2346</x:v>
      </x:c>
      <x:c r="D400" s="16" t="s">
        <x:v>2355</x:v>
      </x:c>
      <x:c r="E400" s="16" t="s">
        <x:v>45</x:v>
      </x:c>
      <x:c r="F400" s="16" t="s">
        <x:v>121</x:v>
      </x:c>
      <x:c r="G400" s="16" t="s">
        <x:v>26</x:v>
      </x:c>
      <x:c r="H400" s="17" t="s">
        <x:v>2356</x:v>
      </x:c>
      <x:c r="I400" s="17" t="s">
        <x:v>2357</x:v>
      </x:c>
      <x:c r="J400" s="17" t="s">
        <x:v>2358</x:v>
      </x:c>
      <x:c r="K400" s="17" t="s">
        <x:v>2351</x:v>
      </x:c>
      <x:c r="L400" s="17" t="s">
        <x:v>58</x:v>
      </x:c>
      <x:c r="M400" s="17" t="s">
        <x:v>256</x:v>
      </x:c>
      <x:c r="N400" s="16" t="s">
        <x:v>2359</x:v>
      </x:c>
      <x:c r="O400" s="18">
        <x:v>46249</x:v>
      </x:c>
      <x:c r="P400" s="19" t="s">
        <x:v>34</x:v>
      </x:c>
      <x:c r="Q400" s="17"/>
      <x:c r="R400" s="19" t="str">
        <x:f t="shared" si="6"/>
        <x:v>Source Link Present</x:v>
      </x:c>
      <x:c r="S400" s="43" t="str">
        <x:v>Unknown</x:v>
      </x:c>
      <x:c r="T400" s="43" t="str">
        <x:v>Unknown</x:v>
      </x:c>
      <x:c r="U400" s="43" t="str">
        <x:v>Unknown</x:v>
      </x:c>
      <x:c r="V400" s="43" t="str">
        <x:v>Unknown</x:v>
      </x:c>
      <x:c r="W400" s="43" t="str">
        <x:v>Unknown</x:v>
      </x:c>
      <x:c r="X400" s="43" t="str">
        <x:v>Unknown</x:v>
      </x:c>
      <x:c r="Y400" s="43" t="str">
        <x:v>Unknown</x:v>
      </x:c>
      <x:c r="Z400" s="43"/>
      <x:c r="AA400" s="43" t="str">
        <x:v>Eligible</x:v>
      </x:c>
      <x:c r="AB400" s="43" t="str">
        <x:v>https://www.malaysia.travel/explore/putrajaya-wetlands-park
https://www.ppj.gov.my/en/second-menu/taman-wetland
https://www.ppj.gov.my/en/page/taman-wetland-putrajaya?slug=eko-pelancongan
https://www.ppj.gov.my/index.php/second-page/latar-belakang-taman-6
https://gerbang.ppj.gov.my/second-page/perkhidmatan-aktiviti-rekreasi-7
https://www.ppj.gov.my/second-page/fasiliti-2
https://www.ppj.gov.my/index.php/second-page/waktu-operasi-taman-5
https://www.ppj.gov.my/second-page/kadar-sewaan-perkhidmatan
https://taman.ppj.gov.my/</x:v>
      </x:c>
      <x:c r="AC400" s="43" t="str">
        <x:v>Included in Maya's elderly recommendation results: The park is described as wheelchair-friendly and a buggy service is listed.</x:v>
      </x:c>
      <x:c r="AD400" s="43" t="str">
        <x:v>2026-08-16</x:v>
      </x:c>
    </x:row>
    <x:row r="401" ht="60" customHeight="1">
      <x:c r="A401" s="16" t="s">
        <x:v>2360</x:v>
      </x:c>
      <x:c r="B401" s="16" t="s">
        <x:v>2361</x:v>
      </x:c>
      <x:c r="C401" s="16" t="s">
        <x:v>2346</x:v>
      </x:c>
      <x:c r="D401" s="16" t="s">
        <x:v>2362</x:v>
      </x:c>
      <x:c r="E401" s="16" t="s">
        <x:v>106</x:v>
      </x:c>
      <x:c r="F401" s="16" t="s">
        <x:v>25</x:v>
      </x:c>
      <x:c r="G401" s="16" t="s">
        <x:v>46</x:v>
      </x:c>
      <x:c r="H401" s="17" t="s">
        <x:v>2363</x:v>
      </x:c>
      <x:c r="I401" s="17" t="s">
        <x:v>2364</x:v>
      </x:c>
      <x:c r="J401" s="17" t="s">
        <x:v>2365</x:v>
      </x:c>
      <x:c r="K401" s="17" t="s">
        <x:v>2351</x:v>
      </x:c>
      <x:c r="L401" s="17" t="s">
        <x:v>58</x:v>
      </x:c>
      <x:c r="M401" s="17" t="s">
        <x:v>256</x:v>
      </x:c>
      <x:c r="N401" s="16" t="s">
        <x:v>2366</x:v>
      </x:c>
      <x:c r="O401" s="18">
        <x:v>46249</x:v>
      </x:c>
      <x:c r="P401" s="19" t="s">
        <x:v>34</x:v>
      </x:c>
      <x:c r="Q401" s="17"/>
      <x:c r="R401" s="19" t="str">
        <x:f t="shared" si="6"/>
        <x:v>Discovery Link Only</x:v>
      </x:c>
      <x:c r="S401" s="43" t="str">
        <x:v>Unknown</x:v>
      </x:c>
      <x:c r="T401" s="43" t="str">
        <x:v>Unknown</x:v>
      </x:c>
      <x:c r="U401" s="43" t="str">
        <x:v>Unknown</x:v>
      </x:c>
      <x:c r="V401" s="43" t="str">
        <x:v>Unknown</x:v>
      </x:c>
      <x:c r="W401" s="43" t="str">
        <x:v>Unknown</x:v>
      </x:c>
      <x:c r="X401" s="43" t="str">
        <x:v>Unknown</x:v>
      </x:c>
      <x:c r="Y401" s="43" t="str">
        <x:v>Unknown</x:v>
      </x:c>
      <x:c r="Z401" s="43"/>
      <x:c r="AA401" s="43" t="str">
        <x:v>Excluded</x:v>
      </x:c>
      <x:c r="AB401" s="43" t="str">
        <x:v>No qualifying evidence source recorded</x:v>
      </x:c>
      <x:c r="AC401" s="43" t="str">
        <x:v>Excluded from Maya's elderly recommendation results because no source-backed elderly accessibility feature is recorded in the reviewed data. This does not mean the attraction is inaccessible.</x:v>
      </x:c>
      <x:c r="AD401" s="43" t="str">
        <x:v>2026-08-16</x:v>
      </x:c>
    </x:row>
    <x:row r="402" ht="60" customHeight="1">
      <x:c r="A402" s="16" t="s">
        <x:v>2367</x:v>
      </x:c>
      <x:c r="B402" s="16" t="s">
        <x:v>2368</x:v>
      </x:c>
      <x:c r="C402" s="16" t="s">
        <x:v>2346</x:v>
      </x:c>
      <x:c r="D402" s="16" t="s">
        <x:v>2362</x:v>
      </x:c>
      <x:c r="E402" s="16" t="s">
        <x:v>394</x:v>
      </x:c>
      <x:c r="F402" s="16" t="s">
        <x:v>25</x:v>
      </x:c>
      <x:c r="G402" s="16" t="s">
        <x:v>26</x:v>
      </x:c>
      <x:c r="H402" s="17" t="s">
        <x:v>2369</x:v>
      </x:c>
      <x:c r="I402" s="17" t="s">
        <x:v>2370</x:v>
      </x:c>
      <x:c r="J402" s="17" t="s">
        <x:v>2371</x:v>
      </x:c>
      <x:c r="K402" s="17" t="s">
        <x:v>2351</x:v>
      </x:c>
      <x:c r="L402" s="17" t="s">
        <x:v>58</x:v>
      </x:c>
      <x:c r="M402" s="17" t="s">
        <x:v>256</x:v>
      </x:c>
      <x:c r="N402" s="16" t="s">
        <x:v>2372</x:v>
      </x:c>
      <x:c r="O402" s="18">
        <x:v>46249</x:v>
      </x:c>
      <x:c r="P402" s="19" t="s">
        <x:v>34</x:v>
      </x:c>
      <x:c r="Q402" s="17"/>
      <x:c r="R402" s="19" t="str">
        <x:f t="shared" si="6"/>
        <x:v>Discovery Link Only</x:v>
      </x:c>
      <x:c r="S402" s="43" t="str">
        <x:v>Unknown</x:v>
      </x:c>
      <x:c r="T402" s="43" t="str">
        <x:v>Unknown</x:v>
      </x:c>
      <x:c r="U402" s="43" t="str">
        <x:v>Unknown</x:v>
      </x:c>
      <x:c r="V402" s="43" t="str">
        <x:v>Unknown</x:v>
      </x:c>
      <x:c r="W402" s="43" t="str">
        <x:v>Unknown</x:v>
      </x:c>
      <x:c r="X402" s="43" t="str">
        <x:v>Unknown</x:v>
      </x:c>
      <x:c r="Y402" s="43" t="str">
        <x:v>Unknown</x:v>
      </x:c>
      <x:c r="Z402" s="43"/>
      <x:c r="AA402" s="43" t="str">
        <x:v>Excluded</x:v>
      </x:c>
      <x:c r="AB402" s="43" t="str">
        <x:v>No qualifying evidence source recorded</x:v>
      </x:c>
      <x:c r="AC402" s="43" t="str">
        <x:v>Excluded from Maya's elderly recommendation results because no source-backed elderly accessibility feature is recorded in the reviewed data. This does not mean the attraction is inaccessible.</x:v>
      </x:c>
      <x:c r="AD402" s="43" t="str">
        <x:v>2026-08-16</x:v>
      </x:c>
    </x:row>
    <x:row r="403" ht="60" customHeight="1">
      <x:c r="A403" s="16" t="s">
        <x:v>2373</x:v>
      </x:c>
      <x:c r="B403" s="16" t="s">
        <x:v>2374</x:v>
      </x:c>
      <x:c r="C403" s="16" t="s">
        <x:v>2346</x:v>
      </x:c>
      <x:c r="D403" s="16" t="s">
        <x:v>2362</x:v>
      </x:c>
      <x:c r="E403" s="16" t="s">
        <x:v>24</x:v>
      </x:c>
      <x:c r="F403" s="16" t="s">
        <x:v>25</x:v>
      </x:c>
      <x:c r="G403" s="16" t="s">
        <x:v>26</x:v>
      </x:c>
      <x:c r="H403" s="17" t="s">
        <x:v>2375</x:v>
      </x:c>
      <x:c r="I403" s="17" t="s">
        <x:v>2376</x:v>
      </x:c>
      <x:c r="J403" s="17" t="s">
        <x:v>2377</x:v>
      </x:c>
      <x:c r="K403" s="17" t="s">
        <x:v>2351</x:v>
      </x:c>
      <x:c r="L403" s="17" t="s">
        <x:v>58</x:v>
      </x:c>
      <x:c r="M403" s="17" t="s">
        <x:v>256</x:v>
      </x:c>
      <x:c r="N403" s="16" t="s">
        <x:v>2378</x:v>
      </x:c>
      <x:c r="O403" s="18">
        <x:v>46249</x:v>
      </x:c>
      <x:c r="P403" s="19" t="s">
        <x:v>34</x:v>
      </x:c>
      <x:c r="Q403" s="17"/>
      <x:c r="R403" s="19" t="str">
        <x:f t="shared" si="6"/>
        <x:v>Discovery Link Only</x:v>
      </x:c>
      <x:c r="S403" s="43" t="str">
        <x:v>Unknown</x:v>
      </x:c>
      <x:c r="T403" s="43" t="str">
        <x:v>Unknown</x:v>
      </x:c>
      <x:c r="U403" s="43" t="str">
        <x:v>Unknown</x:v>
      </x:c>
      <x:c r="V403" s="43" t="str">
        <x:v>Unknown</x:v>
      </x:c>
      <x:c r="W403" s="43" t="str">
        <x:v>Unknown</x:v>
      </x:c>
      <x:c r="X403" s="43" t="str">
        <x:v>Unknown</x:v>
      </x:c>
      <x:c r="Y403" s="43" t="str">
        <x:v>Unknown</x:v>
      </x:c>
      <x:c r="Z403" s="43"/>
      <x:c r="AA403" s="43" t="str">
        <x:v>Excluded</x:v>
      </x:c>
      <x:c r="AB403" s="43" t="str">
        <x:v>No qualifying evidence source recorded</x:v>
      </x:c>
      <x:c r="AC403" s="43" t="str">
        <x:v>Excluded from Maya's elderly recommendation results because no source-backed elderly accessibility feature is recorded in the reviewed data. This does not mean the attraction is inaccessible.</x:v>
      </x:c>
      <x:c r="AD403" s="43" t="str">
        <x:v>2026-08-16</x:v>
      </x:c>
    </x:row>
    <x:row r="404" ht="60" customHeight="1">
      <x:c r="A404" s="16" t="s">
        <x:v>2379</x:v>
      </x:c>
      <x:c r="B404" s="16" t="s">
        <x:v>2380</x:v>
      </x:c>
      <x:c r="C404" s="16" t="s">
        <x:v>2346</x:v>
      </x:c>
      <x:c r="D404" s="16" t="s">
        <x:v>2362</x:v>
      </x:c>
      <x:c r="E404" s="16" t="s">
        <x:v>140</x:v>
      </x:c>
      <x:c r="F404" s="16" t="s">
        <x:v>25</x:v>
      </x:c>
      <x:c r="G404" s="16" t="s">
        <x:v>26</x:v>
      </x:c>
      <x:c r="H404" s="17" t="s">
        <x:v>2381</x:v>
      </x:c>
      <x:c r="I404" s="17" t="s">
        <x:v>2382</x:v>
      </x:c>
      <x:c r="J404" s="17" t="s">
        <x:v>2383</x:v>
      </x:c>
      <x:c r="K404" s="17" t="s">
        <x:v>2351</x:v>
      </x:c>
      <x:c r="L404" s="17" t="s">
        <x:v>58</x:v>
      </x:c>
      <x:c r="M404" s="17" t="s">
        <x:v>256</x:v>
      </x:c>
      <x:c r="N404" s="16" t="s">
        <x:v>2384</x:v>
      </x:c>
      <x:c r="O404" s="18">
        <x:v>46249</x:v>
      </x:c>
      <x:c r="P404" s="19" t="s">
        <x:v>34</x:v>
      </x:c>
      <x:c r="Q404" s="17"/>
      <x:c r="R404" s="19" t="str">
        <x:f t="shared" si="6"/>
        <x:v>Discovery Link Only</x:v>
      </x:c>
      <x:c r="S404" s="43" t="str">
        <x:v>Unknown</x:v>
      </x:c>
      <x:c r="T404" s="43" t="str">
        <x:v>Unknown</x:v>
      </x:c>
      <x:c r="U404" s="43" t="str">
        <x:v>Unknown</x:v>
      </x:c>
      <x:c r="V404" s="43" t="str">
        <x:v>Unknown</x:v>
      </x:c>
      <x:c r="W404" s="43" t="str">
        <x:v>Unknown</x:v>
      </x:c>
      <x:c r="X404" s="43" t="str">
        <x:v>Unknown</x:v>
      </x:c>
      <x:c r="Y404" s="43" t="str">
        <x:v>Unknown</x:v>
      </x:c>
      <x:c r="Z404" s="43"/>
      <x:c r="AA404" s="43" t="str">
        <x:v>Excluded</x:v>
      </x:c>
      <x:c r="AB404" s="43" t="str">
        <x:v>No qualifying evidence source recorded</x:v>
      </x:c>
      <x:c r="AC404" s="43" t="str">
        <x:v>Excluded from Maya's elderly recommendation results because no source-backed elderly accessibility feature is recorded in the reviewed data. This does not mean the attraction is inaccessible.</x:v>
      </x:c>
      <x:c r="AD404" s="43" t="str">
        <x:v>2026-08-16</x:v>
      </x:c>
    </x:row>
    <x:row r="405" ht="60" customHeight="1">
      <x:c r="A405" s="16" t="s">
        <x:v>2385</x:v>
      </x:c>
      <x:c r="B405" s="16" t="s">
        <x:v>2386</x:v>
      </x:c>
      <x:c r="C405" s="16" t="s">
        <x:v>2346</x:v>
      </x:c>
      <x:c r="D405" s="16" t="s">
        <x:v>2362</x:v>
      </x:c>
      <x:c r="E405" s="16" t="s">
        <x:v>99</x:v>
      </x:c>
      <x:c r="F405" s="16" t="s">
        <x:v>25</x:v>
      </x:c>
      <x:c r="G405" s="16" t="s">
        <x:v>46</x:v>
      </x:c>
      <x:c r="H405" s="17" t="s">
        <x:v>2387</x:v>
      </x:c>
      <x:c r="I405" s="17" t="s">
        <x:v>2388</x:v>
      </x:c>
      <x:c r="J405" s="17" t="s">
        <x:v>2389</x:v>
      </x:c>
      <x:c r="K405" s="17" t="s">
        <x:v>2351</x:v>
      </x:c>
      <x:c r="L405" s="17" t="s">
        <x:v>58</x:v>
      </x:c>
      <x:c r="M405" s="17" t="s">
        <x:v>256</x:v>
      </x:c>
      <x:c r="N405" s="16" t="s">
        <x:v>2390</x:v>
      </x:c>
      <x:c r="O405" s="18">
        <x:v>46249</x:v>
      </x:c>
      <x:c r="P405" s="19" t="s">
        <x:v>34</x:v>
      </x:c>
      <x:c r="Q405" s="17"/>
      <x:c r="R405" s="19" t="str">
        <x:f t="shared" si="6"/>
        <x:v>Discovery Link Only</x:v>
      </x:c>
      <x:c r="S405" s="43" t="str">
        <x:v>Unknown</x:v>
      </x:c>
      <x:c r="T405" s="43" t="str">
        <x:v>Unknown</x:v>
      </x:c>
      <x:c r="U405" s="43" t="str">
        <x:v>Unknown</x:v>
      </x:c>
      <x:c r="V405" s="43" t="str">
        <x:v>Unknown</x:v>
      </x:c>
      <x:c r="W405" s="43" t="str">
        <x:v>Unknown</x:v>
      </x:c>
      <x:c r="X405" s="43" t="str">
        <x:v>Unknown</x:v>
      </x:c>
      <x:c r="Y405" s="43" t="str">
        <x:v>Unknown</x:v>
      </x:c>
      <x:c r="Z405" s="43"/>
      <x:c r="AA405" s="43" t="str">
        <x:v>Excluded</x:v>
      </x:c>
      <x:c r="AB405" s="43" t="str">
        <x:v>No qualifying evidence source recorded</x:v>
      </x:c>
      <x:c r="AC405" s="43" t="str">
        <x:v>Excluded from Maya's elderly recommendation results because no source-backed elderly accessibility feature is recorded in the reviewed data. This does not mean the attraction is inaccessible.</x:v>
      </x:c>
      <x:c r="AD405" s="43" t="str">
        <x:v>2026-08-16</x:v>
      </x:c>
    </x:row>
    <x:row r="406" ht="60" customHeight="1">
      <x:c r="A406" s="16" t="s">
        <x:v>2391</x:v>
      </x:c>
      <x:c r="B406" s="16" t="s">
        <x:v>2392</x:v>
      </x:c>
      <x:c r="C406" s="16" t="s">
        <x:v>2346</x:v>
      </x:c>
      <x:c r="D406" s="16" t="s">
        <x:v>2362</x:v>
      </x:c>
      <x:c r="E406" s="16" t="s">
        <x:v>115</x:v>
      </x:c>
      <x:c r="F406" s="16" t="s">
        <x:v>25</x:v>
      </x:c>
      <x:c r="G406" s="16" t="s">
        <x:v>26</x:v>
      </x:c>
      <x:c r="H406" s="17" t="s">
        <x:v>2393</x:v>
      </x:c>
      <x:c r="I406" s="17" t="s">
        <x:v>2394</x:v>
      </x:c>
      <x:c r="J406" s="17" t="s">
        <x:v>2395</x:v>
      </x:c>
      <x:c r="K406" s="17" t="s">
        <x:v>2351</x:v>
      </x:c>
      <x:c r="L406" s="17" t="s">
        <x:v>58</x:v>
      </x:c>
      <x:c r="M406" s="17" t="s">
        <x:v>256</x:v>
      </x:c>
      <x:c r="N406" s="16" t="s">
        <x:v>2396</x:v>
      </x:c>
      <x:c r="O406" s="18">
        <x:v>46249</x:v>
      </x:c>
      <x:c r="P406" s="19" t="s">
        <x:v>34</x:v>
      </x:c>
      <x:c r="Q406" s="17"/>
      <x:c r="R406" s="19" t="str">
        <x:f t="shared" si="6"/>
        <x:v>Discovery Link Only</x:v>
      </x:c>
      <x:c r="S406" s="43" t="str">
        <x:v>Unknown</x:v>
      </x:c>
      <x:c r="T406" s="43" t="str">
        <x:v>Unknown</x:v>
      </x:c>
      <x:c r="U406" s="43" t="str">
        <x:v>Unknown</x:v>
      </x:c>
      <x:c r="V406" s="43" t="str">
        <x:v>Unknown</x:v>
      </x:c>
      <x:c r="W406" s="43" t="str">
        <x:v>Unknown</x:v>
      </x:c>
      <x:c r="X406" s="43" t="str">
        <x:v>Unknown</x:v>
      </x:c>
      <x:c r="Y406" s="43" t="str">
        <x:v>Unknown</x:v>
      </x:c>
      <x:c r="Z406" s="43"/>
      <x:c r="AA406" s="43" t="str">
        <x:v>Excluded</x:v>
      </x:c>
      <x:c r="AB406" s="43" t="str">
        <x:v>No qualifying evidence source recorded</x:v>
      </x:c>
      <x:c r="AC406" s="43" t="str">
        <x:v>Excluded from Maya's elderly recommendation results because no source-backed elderly accessibility feature is recorded in the reviewed data. This does not mean the attraction is inaccessible.</x:v>
      </x:c>
      <x:c r="AD406" s="43" t="str">
        <x:v>2026-08-16</x:v>
      </x:c>
    </x:row>
    <x:row r="407" ht="60" customHeight="1">
      <x:c r="A407" s="16" t="s">
        <x:v>2397</x:v>
      </x:c>
      <x:c r="B407" s="16" t="s">
        <x:v>2398</x:v>
      </x:c>
      <x:c r="C407" s="16" t="s">
        <x:v>2346</x:v>
      </x:c>
      <x:c r="D407" s="16" t="s">
        <x:v>2362</x:v>
      </x:c>
      <x:c r="E407" s="16" t="s">
        <x:v>140</x:v>
      </x:c>
      <x:c r="F407" s="16" t="s">
        <x:v>25</x:v>
      </x:c>
      <x:c r="G407" s="16" t="s">
        <x:v>26</x:v>
      </x:c>
      <x:c r="H407" s="17" t="s">
        <x:v>2399</x:v>
      </x:c>
      <x:c r="I407" s="17" t="s">
        <x:v>2400</x:v>
      </x:c>
      <x:c r="J407" s="17" t="s">
        <x:v>2401</x:v>
      </x:c>
      <x:c r="K407" s="17" t="s">
        <x:v>2351</x:v>
      </x:c>
      <x:c r="L407" s="17" t="s">
        <x:v>58</x:v>
      </x:c>
      <x:c r="M407" s="17" t="s">
        <x:v>256</x:v>
      </x:c>
      <x:c r="N407" s="16" t="s">
        <x:v>2402</x:v>
      </x:c>
      <x:c r="O407" s="18">
        <x:v>46249</x:v>
      </x:c>
      <x:c r="P407" s="19" t="s">
        <x:v>34</x:v>
      </x:c>
      <x:c r="Q407" s="17"/>
      <x:c r="R407" s="19" t="str">
        <x:f t="shared" si="6"/>
        <x:v>Discovery Link Only</x:v>
      </x:c>
      <x:c r="S407" s="43" t="str">
        <x:v>Unknown</x:v>
      </x:c>
      <x:c r="T407" s="43" t="str">
        <x:v>Unknown</x:v>
      </x:c>
      <x:c r="U407" s="43" t="str">
        <x:v>Unknown</x:v>
      </x:c>
      <x:c r="V407" s="43" t="str">
        <x:v>Unknown</x:v>
      </x:c>
      <x:c r="W407" s="43" t="str">
        <x:v>Unknown</x:v>
      </x:c>
      <x:c r="X407" s="43" t="str">
        <x:v>Unknown</x:v>
      </x:c>
      <x:c r="Y407" s="43" t="str">
        <x:v>Unknown</x:v>
      </x:c>
      <x:c r="Z407" s="43"/>
      <x:c r="AA407" s="43" t="str">
        <x:v>Excluded</x:v>
      </x:c>
      <x:c r="AB407" s="43" t="str">
        <x:v>No qualifying evidence source recorded</x:v>
      </x:c>
      <x:c r="AC407" s="43" t="str">
        <x:v>Excluded from Maya's elderly recommendation results because no source-backed elderly accessibility feature is recorded in the reviewed data. This does not mean the attraction is inaccessible.</x:v>
      </x:c>
      <x:c r="AD407" s="43" t="str">
        <x:v>2026-08-16</x:v>
      </x:c>
    </x:row>
    <x:row r="408" ht="60" customHeight="1">
      <x:c r="A408" s="16" t="s">
        <x:v>2403</x:v>
      </x:c>
      <x:c r="B408" s="16" t="s">
        <x:v>2404</x:v>
      </x:c>
      <x:c r="C408" s="16" t="s">
        <x:v>2346</x:v>
      </x:c>
      <x:c r="D408" s="16" t="s">
        <x:v>2362</x:v>
      </x:c>
      <x:c r="E408" s="16" t="s">
        <x:v>24</x:v>
      </x:c>
      <x:c r="F408" s="16" t="s">
        <x:v>25</x:v>
      </x:c>
      <x:c r="G408" s="16" t="s">
        <x:v>26</x:v>
      </x:c>
      <x:c r="H408" s="17" t="s">
        <x:v>2405</x:v>
      </x:c>
      <x:c r="I408" s="17" t="s">
        <x:v>2406</x:v>
      </x:c>
      <x:c r="J408" s="17" t="s">
        <x:v>2407</x:v>
      </x:c>
      <x:c r="K408" s="17" t="s">
        <x:v>2351</x:v>
      </x:c>
      <x:c r="L408" s="17" t="s">
        <x:v>58</x:v>
      </x:c>
      <x:c r="M408" s="17" t="s">
        <x:v>256</x:v>
      </x:c>
      <x:c r="N408" s="16" t="s">
        <x:v>2408</x:v>
      </x:c>
      <x:c r="O408" s="18">
        <x:v>46249</x:v>
      </x:c>
      <x:c r="P408" s="19" t="s">
        <x:v>34</x:v>
      </x:c>
      <x:c r="Q408" s="17"/>
      <x:c r="R408" s="19" t="str">
        <x:f t="shared" si="6"/>
        <x:v>Discovery Link Only</x:v>
      </x:c>
      <x:c r="S408" s="43" t="str">
        <x:v>Unknown</x:v>
      </x:c>
      <x:c r="T408" s="43" t="str">
        <x:v>Unknown</x:v>
      </x:c>
      <x:c r="U408" s="43" t="str">
        <x:v>Unknown</x:v>
      </x:c>
      <x:c r="V408" s="43" t="str">
        <x:v>Unknown</x:v>
      </x:c>
      <x:c r="W408" s="43" t="str">
        <x:v>Unknown</x:v>
      </x:c>
      <x:c r="X408" s="43" t="str">
        <x:v>Unknown</x:v>
      </x:c>
      <x:c r="Y408" s="43" t="str">
        <x:v>Unknown</x:v>
      </x:c>
      <x:c r="Z408" s="43"/>
      <x:c r="AA408" s="43" t="str">
        <x:v>Excluded</x:v>
      </x:c>
      <x:c r="AB408" s="43" t="str">
        <x:v>No qualifying evidence source recorded</x:v>
      </x:c>
      <x:c r="AC408" s="43" t="str">
        <x:v>Excluded from Maya's elderly recommendation results because no source-backed elderly accessibility feature is recorded in the reviewed data. This does not mean the attraction is inaccessible.</x:v>
      </x:c>
      <x:c r="AD408" s="43" t="str">
        <x:v>2026-08-16</x:v>
      </x:c>
    </x:row>
    <x:row r="409" ht="60" customHeight="1">
      <x:c r="A409" s="16" t="s">
        <x:v>2409</x:v>
      </x:c>
      <x:c r="B409" s="16" t="s">
        <x:v>2410</x:v>
      </x:c>
      <x:c r="C409" s="16" t="s">
        <x:v>2346</x:v>
      </x:c>
      <x:c r="D409" s="16" t="s">
        <x:v>2411</x:v>
      </x:c>
      <x:c r="E409" s="16" t="s">
        <x:v>140</x:v>
      </x:c>
      <x:c r="F409" s="16" t="s">
        <x:v>107</x:v>
      </x:c>
      <x:c r="G409" s="16" t="s">
        <x:v>46</x:v>
      </x:c>
      <x:c r="H409" s="17" t="s">
        <x:v>2412</x:v>
      </x:c>
      <x:c r="I409" s="17" t="s">
        <x:v>2413</x:v>
      </x:c>
      <x:c r="J409" s="17" t="s">
        <x:v>2414</x:v>
      </x:c>
      <x:c r="K409" s="17" t="s">
        <x:v>2351</x:v>
      </x:c>
      <x:c r="L409" s="17" t="s">
        <x:v>111</x:v>
      </x:c>
      <x:c r="M409" s="17" t="s">
        <x:v>2415</x:v>
      </x:c>
      <x:c r="N409" s="16"/>
      <x:c r="O409" s="18">
        <x:v>46249</x:v>
      </x:c>
      <x:c r="P409" s="19" t="s">
        <x:v>34</x:v>
      </x:c>
      <x:c r="Q409" s="17"/>
      <x:c r="R409" s="19" t="str">
        <x:f t="shared" si="6"/>
        <x:v>Discovery Link Only</x:v>
      </x:c>
      <x:c r="S409" s="43" t="str">
        <x:v>Unknown</x:v>
      </x:c>
      <x:c r="T409" s="43" t="str">
        <x:v>Unknown</x:v>
      </x:c>
      <x:c r="U409" s="43" t="str">
        <x:v>Unknown</x:v>
      </x:c>
      <x:c r="V409" s="43" t="str">
        <x:v>Unknown</x:v>
      </x:c>
      <x:c r="W409" s="43" t="str">
        <x:v>Unknown</x:v>
      </x:c>
      <x:c r="X409" s="43" t="str">
        <x:v>Unknown</x:v>
      </x:c>
      <x:c r="Y409" s="43" t="str">
        <x:v>Unknown</x:v>
      </x:c>
      <x:c r="Z409" s="43"/>
      <x:c r="AA409" s="43" t="str">
        <x:v>Excluded</x:v>
      </x:c>
      <x:c r="AB409" s="43" t="str">
        <x:v>No qualifying evidence source recorded</x:v>
      </x:c>
      <x:c r="AC409" s="43" t="str">
        <x:v>Excluded from Maya's elderly recommendation results because no source-backed elderly accessibility feature is recorded in the reviewed data. This does not mean the attraction is inaccessible.</x:v>
      </x:c>
      <x:c r="AD409" s="43" t="str">
        <x:v>2026-08-16</x:v>
      </x:c>
    </x:row>
    <x:row r="410" ht="60" customHeight="1">
      <x:c r="A410" s="16" t="s">
        <x:v>2416</x:v>
      </x:c>
      <x:c r="B410" s="16" t="s">
        <x:v>2417</x:v>
      </x:c>
      <x:c r="C410" s="16" t="s">
        <x:v>2346</x:v>
      </x:c>
      <x:c r="D410" s="16" t="s">
        <x:v>2418</x:v>
      </x:c>
      <x:c r="E410" s="16" t="s">
        <x:v>106</x:v>
      </x:c>
      <x:c r="F410" s="16" t="s">
        <x:v>107</x:v>
      </x:c>
      <x:c r="G410" s="16" t="s">
        <x:v>46</x:v>
      </x:c>
      <x:c r="H410" s="17" t="s">
        <x:v>2419</x:v>
      </x:c>
      <x:c r="I410" s="17" t="s">
        <x:v>2420</x:v>
      </x:c>
      <x:c r="J410" s="17" t="s">
        <x:v>2421</x:v>
      </x:c>
      <x:c r="K410" s="17" t="s">
        <x:v>2351</x:v>
      </x:c>
      <x:c r="L410" s="17" t="s">
        <x:v>111</x:v>
      </x:c>
      <x:c r="M410" s="17" t="s">
        <x:v>2415</x:v>
      </x:c>
      <x:c r="N410" s="16"/>
      <x:c r="O410" s="18">
        <x:v>46249</x:v>
      </x:c>
      <x:c r="P410" s="19" t="s">
        <x:v>34</x:v>
      </x:c>
      <x:c r="Q410" s="17"/>
      <x:c r="R410" s="19" t="str">
        <x:f t="shared" si="6"/>
        <x:v>Discovery Link Only</x:v>
      </x:c>
      <x:c r="S410" s="43" t="str">
        <x:v>Unknown</x:v>
      </x:c>
      <x:c r="T410" s="43" t="str">
        <x:v>Unknown</x:v>
      </x:c>
      <x:c r="U410" s="43" t="str">
        <x:v>Unknown</x:v>
      </x:c>
      <x:c r="V410" s="43" t="str">
        <x:v>Unknown</x:v>
      </x:c>
      <x:c r="W410" s="43" t="str">
        <x:v>Unknown</x:v>
      </x:c>
      <x:c r="X410" s="43" t="str">
        <x:v>Unknown</x:v>
      </x:c>
      <x:c r="Y410" s="43" t="str">
        <x:v>Unknown</x:v>
      </x:c>
      <x:c r="Z410" s="43"/>
      <x:c r="AA410" s="43" t="str">
        <x:v>Excluded</x:v>
      </x:c>
      <x:c r="AB410" s="43" t="str">
        <x:v>No qualifying evidence source recorded</x:v>
      </x:c>
      <x:c r="AC410" s="43" t="str">
        <x:v>Excluded from Maya's elderly recommendation results because no source-backed elderly accessibility feature is recorded in the reviewed data. This does not mean the attraction is inaccessible.</x:v>
      </x:c>
      <x:c r="AD410" s="43" t="str">
        <x:v>2026-08-16</x:v>
      </x:c>
    </x:row>
    <x:row r="411" ht="60" customHeight="1">
      <x:c r="A411" s="16" t="s">
        <x:v>2422</x:v>
      </x:c>
      <x:c r="B411" s="16" t="s">
        <x:v>2423</x:v>
      </x:c>
      <x:c r="C411" s="16" t="s">
        <x:v>2346</x:v>
      </x:c>
      <x:c r="D411" s="16" t="s">
        <x:v>2424</x:v>
      </x:c>
      <x:c r="E411" s="16" t="s">
        <x:v>140</x:v>
      </x:c>
      <x:c r="F411" s="16" t="s">
        <x:v>121</x:v>
      </x:c>
      <x:c r="G411" s="16" t="s">
        <x:v>46</x:v>
      </x:c>
      <x:c r="H411" s="17" t="s">
        <x:v>2425</x:v>
      </x:c>
      <x:c r="I411" s="17" t="s">
        <x:v>2426</x:v>
      </x:c>
      <x:c r="J411" s="17" t="s">
        <x:v>2427</x:v>
      </x:c>
      <x:c r="K411" s="17" t="s">
        <x:v>2351</x:v>
      </x:c>
      <x:c r="L411" s="17" t="s">
        <x:v>111</x:v>
      </x:c>
      <x:c r="M411" s="17" t="s">
        <x:v>2415</x:v>
      </x:c>
      <x:c r="N411" s="16"/>
      <x:c r="O411" s="18">
        <x:v>46249</x:v>
      </x:c>
      <x:c r="P411" s="19" t="s">
        <x:v>34</x:v>
      </x:c>
      <x:c r="Q411" s="17"/>
      <x:c r="R411" s="19" t="str">
        <x:f t="shared" si="6"/>
        <x:v>Discovery Link Only</x:v>
      </x:c>
      <x:c r="S411" s="43" t="str">
        <x:v>Unknown</x:v>
      </x:c>
      <x:c r="T411" s="43" t="str">
        <x:v>Unknown</x:v>
      </x:c>
      <x:c r="U411" s="43" t="str">
        <x:v>Unknown</x:v>
      </x:c>
      <x:c r="V411" s="43" t="str">
        <x:v>Unknown</x:v>
      </x:c>
      <x:c r="W411" s="43" t="str">
        <x:v>Unknown</x:v>
      </x:c>
      <x:c r="X411" s="43" t="str">
        <x:v>Unknown</x:v>
      </x:c>
      <x:c r="Y411" s="43" t="str">
        <x:v>Unknown</x:v>
      </x:c>
      <x:c r="Z411" s="43"/>
      <x:c r="AA411" s="43" t="str">
        <x:v>Excluded</x:v>
      </x:c>
      <x:c r="AB411" s="43" t="str">
        <x:v>No qualifying evidence source recorded</x:v>
      </x:c>
      <x:c r="AC411" s="43" t="str">
        <x:v>Excluded from Maya's elderly recommendation results because no source-backed elderly accessibility feature is recorded in the reviewed data. This does not mean the attraction is inaccessible.</x:v>
      </x:c>
      <x:c r="AD411" s="43" t="str">
        <x:v>2026-08-16</x:v>
      </x:c>
    </x:row>
    <x:row r="412" ht="60" customHeight="1">
      <x:c r="A412" s="16" t="s">
        <x:v>2428</x:v>
      </x:c>
      <x:c r="B412" s="16" t="s">
        <x:v>2429</x:v>
      </x:c>
      <x:c r="C412" s="16" t="s">
        <x:v>2346</x:v>
      </x:c>
      <x:c r="D412" s="16" t="s">
        <x:v>2430</x:v>
      </x:c>
      <x:c r="E412" s="16" t="s">
        <x:v>24</x:v>
      </x:c>
      <x:c r="F412" s="16" t="s">
        <x:v>127</x:v>
      </x:c>
      <x:c r="G412" s="16" t="s">
        <x:v>26</x:v>
      </x:c>
      <x:c r="H412" s="17" t="s">
        <x:v>2431</x:v>
      </x:c>
      <x:c r="I412" s="17" t="s">
        <x:v>2432</x:v>
      </x:c>
      <x:c r="J412" s="17" t="s">
        <x:v>2433</x:v>
      </x:c>
      <x:c r="K412" s="17" t="s">
        <x:v>2351</x:v>
      </x:c>
      <x:c r="L412" s="17" t="s">
        <x:v>111</x:v>
      </x:c>
      <x:c r="M412" s="17" t="s">
        <x:v>2415</x:v>
      </x:c>
      <x:c r="N412" s="16"/>
      <x:c r="O412" s="18">
        <x:v>46249</x:v>
      </x:c>
      <x:c r="P412" s="19" t="s">
        <x:v>34</x:v>
      </x:c>
      <x:c r="Q412" s="17"/>
      <x:c r="R412" s="19" t="str">
        <x:f t="shared" si="6"/>
        <x:v>Discovery Link Only</x:v>
      </x:c>
      <x:c r="S412" s="43" t="str">
        <x:v>Unknown</x:v>
      </x:c>
      <x:c r="T412" s="43" t="str">
        <x:v>Unknown</x:v>
      </x:c>
      <x:c r="U412" s="43" t="str">
        <x:v>Unknown</x:v>
      </x:c>
      <x:c r="V412" s="43" t="str">
        <x:v>Unknown</x:v>
      </x:c>
      <x:c r="W412" s="43" t="str">
        <x:v>Unknown</x:v>
      </x:c>
      <x:c r="X412" s="43" t="str">
        <x:v>Unknown</x:v>
      </x:c>
      <x:c r="Y412" s="43" t="str">
        <x:v>Unknown</x:v>
      </x:c>
      <x:c r="Z412" s="43"/>
      <x:c r="AA412" s="43" t="str">
        <x:v>Excluded</x:v>
      </x:c>
      <x:c r="AB412" s="43" t="str">
        <x:v>No qualifying evidence source recorded</x:v>
      </x:c>
      <x:c r="AC412" s="43" t="str">
        <x:v>Excluded from Maya's elderly recommendation results because no source-backed elderly accessibility feature is recorded in the reviewed data. This does not mean the attraction is inaccessible.</x:v>
      </x:c>
      <x:c r="AD412" s="43" t="str">
        <x:v>2026-08-16</x:v>
      </x:c>
    </x:row>
    <x:row r="413" ht="60" customHeight="1">
      <x:c r="A413" s="16" t="s">
        <x:v>2434</x:v>
      </x:c>
      <x:c r="B413" s="16" t="s">
        <x:v>2435</x:v>
      </x:c>
      <x:c r="C413" s="16" t="s">
        <x:v>2346</x:v>
      </x:c>
      <x:c r="D413" s="16" t="s">
        <x:v>2436</x:v>
      </x:c>
      <x:c r="E413" s="16" t="s">
        <x:v>24</x:v>
      </x:c>
      <x:c r="F413" s="16" t="s">
        <x:v>107</x:v>
      </x:c>
      <x:c r="G413" s="16" t="s">
        <x:v>26</x:v>
      </x:c>
      <x:c r="H413" s="17" t="s">
        <x:v>2437</x:v>
      </x:c>
      <x:c r="I413" s="17" t="s">
        <x:v>2438</x:v>
      </x:c>
      <x:c r="J413" s="17" t="s">
        <x:v>2439</x:v>
      </x:c>
      <x:c r="K413" s="17" t="s">
        <x:v>2351</x:v>
      </x:c>
      <x:c r="L413" s="17" t="s">
        <x:v>111</x:v>
      </x:c>
      <x:c r="M413" s="17" t="s">
        <x:v>2415</x:v>
      </x:c>
      <x:c r="N413" s="16"/>
      <x:c r="O413" s="18">
        <x:v>46249</x:v>
      </x:c>
      <x:c r="P413" s="19" t="s">
        <x:v>34</x:v>
      </x:c>
      <x:c r="Q413" s="17"/>
      <x:c r="R413" s="19" t="str">
        <x:f t="shared" si="6"/>
        <x:v>Discovery Link Only</x:v>
      </x:c>
      <x:c r="S413" s="43" t="str">
        <x:v>Unknown</x:v>
      </x:c>
      <x:c r="T413" s="43" t="str">
        <x:v>Unknown</x:v>
      </x:c>
      <x:c r="U413" s="43" t="str">
        <x:v>Unknown</x:v>
      </x:c>
      <x:c r="V413" s="43" t="str">
        <x:v>Unknown</x:v>
      </x:c>
      <x:c r="W413" s="43" t="str">
        <x:v>Unknown</x:v>
      </x:c>
      <x:c r="X413" s="43" t="str">
        <x:v>Unknown</x:v>
      </x:c>
      <x:c r="Y413" s="43" t="str">
        <x:v>Unknown</x:v>
      </x:c>
      <x:c r="Z413" s="43"/>
      <x:c r="AA413" s="43" t="str">
        <x:v>Excluded</x:v>
      </x:c>
      <x:c r="AB413" s="43" t="str">
        <x:v>No qualifying evidence source recorded</x:v>
      </x:c>
      <x:c r="AC413" s="43" t="str">
        <x:v>Excluded from Maya's elderly recommendation results because no source-backed elderly accessibility feature is recorded in the reviewed data. This does not mean the attraction is inaccessible.</x:v>
      </x:c>
      <x:c r="AD413" s="43" t="str">
        <x:v>2026-08-16</x:v>
      </x:c>
    </x:row>
    <x:row r="414" ht="60" customHeight="1">
      <x:c r="A414" s="16" t="s">
        <x:v>2440</x:v>
      </x:c>
      <x:c r="B414" s="16" t="s">
        <x:v>2441</x:v>
      </x:c>
      <x:c r="C414" s="16" t="s">
        <x:v>2346</x:v>
      </x:c>
      <x:c r="D414" s="16" t="s">
        <x:v>2411</x:v>
      </x:c>
      <x:c r="E414" s="16" t="s">
        <x:v>140</x:v>
      </x:c>
      <x:c r="F414" s="16" t="s">
        <x:v>121</x:v>
      </x:c>
      <x:c r="G414" s="16" t="s">
        <x:v>46</x:v>
      </x:c>
      <x:c r="H414" s="17" t="s">
        <x:v>2442</x:v>
      </x:c>
      <x:c r="I414" s="17" t="s">
        <x:v>2443</x:v>
      </x:c>
      <x:c r="J414" s="17" t="s">
        <x:v>2444</x:v>
      </x:c>
      <x:c r="K414" s="17" t="s">
        <x:v>2351</x:v>
      </x:c>
      <x:c r="L414" s="17" t="s">
        <x:v>111</x:v>
      </x:c>
      <x:c r="M414" s="17" t="s">
        <x:v>2415</x:v>
      </x:c>
      <x:c r="N414" s="16"/>
      <x:c r="O414" s="18">
        <x:v>46249</x:v>
      </x:c>
      <x:c r="P414" s="19" t="s">
        <x:v>34</x:v>
      </x:c>
      <x:c r="Q414" s="17"/>
      <x:c r="R414" s="19" t="str">
        <x:f t="shared" si="6"/>
        <x:v>Discovery Link Only</x:v>
      </x:c>
      <x:c r="S414" s="43" t="str">
        <x:v>Unknown</x:v>
      </x:c>
      <x:c r="T414" s="43" t="str">
        <x:v>Unknown</x:v>
      </x:c>
      <x:c r="U414" s="43" t="str">
        <x:v>Unknown</x:v>
      </x:c>
      <x:c r="V414" s="43" t="str">
        <x:v>Unknown</x:v>
      </x:c>
      <x:c r="W414" s="43" t="str">
        <x:v>Unknown</x:v>
      </x:c>
      <x:c r="X414" s="43" t="str">
        <x:v>Unknown</x:v>
      </x:c>
      <x:c r="Y414" s="43" t="str">
        <x:v>Unknown</x:v>
      </x:c>
      <x:c r="Z414" s="43"/>
      <x:c r="AA414" s="43" t="str">
        <x:v>Excluded</x:v>
      </x:c>
      <x:c r="AB414" s="43" t="str">
        <x:v>No qualifying evidence source recorded</x:v>
      </x:c>
      <x:c r="AC414" s="43" t="str">
        <x:v>Excluded from Maya's elderly recommendation results because no source-backed elderly accessibility feature is recorded in the reviewed data. This does not mean the attraction is inaccessible.</x:v>
      </x:c>
      <x:c r="AD414" s="43" t="str">
        <x:v>2026-08-16</x:v>
      </x:c>
    </x:row>
    <x:row r="415" ht="60" customHeight="1">
      <x:c r="A415" s="16" t="s">
        <x:v>2445</x:v>
      </x:c>
      <x:c r="B415" s="16" t="s">
        <x:v>2446</x:v>
      </x:c>
      <x:c r="C415" s="16" t="s">
        <x:v>2346</x:v>
      </x:c>
      <x:c r="D415" s="16" t="s">
        <x:v>2447</x:v>
      </x:c>
      <x:c r="E415" s="16" t="s">
        <x:v>24</x:v>
      </x:c>
      <x:c r="F415" s="16" t="s">
        <x:v>121</x:v>
      </x:c>
      <x:c r="G415" s="16" t="s">
        <x:v>26</x:v>
      </x:c>
      <x:c r="H415" s="17" t="s">
        <x:v>2448</x:v>
      </x:c>
      <x:c r="I415" s="17" t="s">
        <x:v>2449</x:v>
      </x:c>
      <x:c r="J415" s="17" t="s">
        <x:v>2450</x:v>
      </x:c>
      <x:c r="K415" s="17" t="s">
        <x:v>2351</x:v>
      </x:c>
      <x:c r="L415" s="17" t="s">
        <x:v>111</x:v>
      </x:c>
      <x:c r="M415" s="17" t="s">
        <x:v>2415</x:v>
      </x:c>
      <x:c r="N415" s="16"/>
      <x:c r="O415" s="18">
        <x:v>46249</x:v>
      </x:c>
      <x:c r="P415" s="19" t="s">
        <x:v>34</x:v>
      </x:c>
      <x:c r="Q415" s="17"/>
      <x:c r="R415" s="19" t="str">
        <x:f t="shared" si="6"/>
        <x:v>Discovery Link Only</x:v>
      </x:c>
      <x:c r="S415" s="43" t="str">
        <x:v>Unknown</x:v>
      </x:c>
      <x:c r="T415" s="43" t="str">
        <x:v>Unknown</x:v>
      </x:c>
      <x:c r="U415" s="43" t="str">
        <x:v>Unknown</x:v>
      </x:c>
      <x:c r="V415" s="43" t="str">
        <x:v>Unknown</x:v>
      </x:c>
      <x:c r="W415" s="43" t="str">
        <x:v>Unknown</x:v>
      </x:c>
      <x:c r="X415" s="43" t="str">
        <x:v>Unknown</x:v>
      </x:c>
      <x:c r="Y415" s="43" t="str">
        <x:v>Unknown</x:v>
      </x:c>
      <x:c r="Z415" s="43"/>
      <x:c r="AA415" s="43" t="str">
        <x:v>Excluded</x:v>
      </x:c>
      <x:c r="AB415" s="43" t="str">
        <x:v>No qualifying evidence source recorded</x:v>
      </x:c>
      <x:c r="AC415" s="43" t="str">
        <x:v>Excluded from Maya's elderly recommendation results because no source-backed elderly accessibility feature is recorded in the reviewed data. This does not mean the attraction is inaccessible.</x:v>
      </x:c>
      <x:c r="AD415" s="43" t="str">
        <x:v>2026-08-16</x:v>
      </x:c>
    </x:row>
    <x:row r="416" ht="60" customHeight="1">
      <x:c r="A416" s="16" t="s">
        <x:v>2451</x:v>
      </x:c>
      <x:c r="B416" s="16" t="s">
        <x:v>2452</x:v>
      </x:c>
      <x:c r="C416" s="16" t="s">
        <x:v>2453</x:v>
      </x:c>
      <x:c r="D416" s="16" t="s">
        <x:v>2454</x:v>
      </x:c>
      <x:c r="E416" s="16" t="s">
        <x:v>115</x:v>
      </x:c>
      <x:c r="F416" s="16" t="s">
        <x:v>25</x:v>
      </x:c>
      <x:c r="G416" s="16" t="s">
        <x:v>26</x:v>
      </x:c>
      <x:c r="H416" s="17" t="s">
        <x:v>2455</x:v>
      </x:c>
      <x:c r="I416" s="17" t="s">
        <x:v>2456</x:v>
      </x:c>
      <x:c r="J416" s="17" t="s">
        <x:v>2457</x:v>
      </x:c>
      <x:c r="K416" s="17" t="s">
        <x:v>2458</x:v>
      </x:c>
      <x:c r="L416" s="17" t="s">
        <x:v>58</x:v>
      </x:c>
      <x:c r="M416" s="17" t="s">
        <x:v>256</x:v>
      </x:c>
      <x:c r="N416" s="16" t="s">
        <x:v>2459</x:v>
      </x:c>
      <x:c r="O416" s="18">
        <x:v>46249</x:v>
      </x:c>
      <x:c r="P416" s="19" t="s">
        <x:v>34</x:v>
      </x:c>
      <x:c r="Q416" s="17"/>
      <x:c r="R416" s="19" t="str">
        <x:f t="shared" si="6"/>
        <x:v>Source Link Present</x:v>
      </x:c>
      <x:c r="S416" s="43" t="str">
        <x:v>Unknown</x:v>
      </x:c>
      <x:c r="T416" s="43" t="str">
        <x:v>Unknown</x:v>
      </x:c>
      <x:c r="U416" s="43" t="str">
        <x:v>Unknown</x:v>
      </x:c>
      <x:c r="V416" s="43" t="str">
        <x:v>Unknown</x:v>
      </x:c>
      <x:c r="W416" s="43" t="str">
        <x:v>Unknown</x:v>
      </x:c>
      <x:c r="X416" s="43" t="str">
        <x:v>Unknown</x:v>
      </x:c>
      <x:c r="Y416" s="43" t="str">
        <x:v>Unknown</x:v>
      </x:c>
      <x:c r="Z416" s="43"/>
      <x:c r="AA416" s="43" t="str">
        <x:v>Eligible</x:v>
      </x:c>
      <x:c r="AB416" s="43" t="str">
        <x:v>https://www.malaysia.travel/explore/the-labuan-war-cemetery-a-journey-through-north-borneo-s-history
https://www.cwgc.org/visit-us/find-cemeteries-memorials/cemetery-details/17000/labuan-war-cemetery/
https://ebrochures.malaysia.travel/en/malaysia-travel-guide/labuan/
https://www.malaysia.travel/events/remembrance-day
https://www.pl.gov.my/wp-content/uploads/2026/04/BUKU-LAPORAN-2023-PL_compressed.pdf</x:v>
      </x:c>
      <x:c r="AC416" s="43" t="str">
        <x:v>Included in Maya's elderly recommendation results: Wheelchair access is documented through the main or side entrance gates.</x:v>
      </x:c>
      <x:c r="AD416" s="43" t="str">
        <x:v>2026-08-16</x:v>
      </x:c>
    </x:row>
    <x:row r="417" ht="60" customHeight="1">
      <x:c r="A417" s="16" t="s">
        <x:v>2460</x:v>
      </x:c>
      <x:c r="B417" s="16" t="s">
        <x:v>2461</x:v>
      </x:c>
      <x:c r="C417" s="16" t="s">
        <x:v>2453</x:v>
      </x:c>
      <x:c r="D417" s="16" t="s">
        <x:v>2462</x:v>
      </x:c>
      <x:c r="E417" s="16" t="s">
        <x:v>72</x:v>
      </x:c>
      <x:c r="F417" s="16" t="s">
        <x:v>25</x:v>
      </x:c>
      <x:c r="G417" s="16" t="s">
        <x:v>26</x:v>
      </x:c>
      <x:c r="H417" s="17" t="s">
        <x:v>2463</x:v>
      </x:c>
      <x:c r="I417" s="17" t="s">
        <x:v>2464</x:v>
      </x:c>
      <x:c r="J417" s="17" t="s">
        <x:v>2465</x:v>
      </x:c>
      <x:c r="K417" s="17" t="s">
        <x:v>2458</x:v>
      </x:c>
      <x:c r="L417" s="17" t="s">
        <x:v>58</x:v>
      </x:c>
      <x:c r="M417" s="17" t="s">
        <x:v>256</x:v>
      </x:c>
      <x:c r="N417" s="16" t="s">
        <x:v>2466</x:v>
      </x:c>
      <x:c r="O417" s="18">
        <x:v>46249</x:v>
      </x:c>
      <x:c r="P417" s="19" t="s">
        <x:v>34</x:v>
      </x:c>
      <x:c r="Q417" s="17"/>
      <x:c r="R417" s="19" t="str">
        <x:f t="shared" si="6"/>
        <x:v>Source Link Present</x:v>
      </x:c>
      <x:c r="S417" s="43" t="str">
        <x:v>Unknown</x:v>
      </x:c>
      <x:c r="T417" s="43" t="str">
        <x:v>Unknown</x:v>
      </x:c>
      <x:c r="U417" s="43" t="str">
        <x:v>Unknown</x:v>
      </x:c>
      <x:c r="V417" s="43" t="str">
        <x:v>Unknown</x:v>
      </x:c>
      <x:c r="W417" s="43" t="str">
        <x:v>Unknown</x:v>
      </x:c>
      <x:c r="X417" s="43" t="str">
        <x:v>Unknown</x:v>
      </x:c>
      <x:c r="Y417" s="43" t="str">
        <x:v>Unknown</x:v>
      </x:c>
      <x:c r="Z417" s="43"/>
      <x:c r="AA417" s="43" t="str">
        <x:v>Eligible</x:v>
      </x:c>
      <x:c r="AB417" s="43" t="str">
        <x:v>https://www.malaysia.travel/explore/pantai-layang-layangan
https://www.pl.gov.my/pantai-awam/?lang=en
https://mygeoname.mygeoportal.gov.my/exportpdf00.jsp?kodnegeri=15
https://www.pl.gov.my/wp-content/uploads/2026/04/BUKU-LAPORAN-2023-PL_compressed.pdf</x:v>
      </x:c>
      <x:c r="AC417" s="43" t="str">
        <x:v>Included in Maya's elderly recommendation results: Walkways and parking areas are recorded, while loose sand remains a mobility barrier.</x:v>
      </x:c>
      <x:c r="AD417" s="43" t="str">
        <x:v>2026-08-16</x:v>
      </x:c>
    </x:row>
    <x:row r="418" ht="60" customHeight="1">
      <x:c r="A418" s="16" t="s">
        <x:v>2467</x:v>
      </x:c>
      <x:c r="B418" s="16" t="s">
        <x:v>2468</x:v>
      </x:c>
      <x:c r="C418" s="16" t="s">
        <x:v>2453</x:v>
      </x:c>
      <x:c r="D418" s="16" t="s">
        <x:v>2469</x:v>
      </x:c>
      <x:c r="E418" s="16" t="s">
        <x:v>133</x:v>
      </x:c>
      <x:c r="F418" s="16" t="s">
        <x:v>25</x:v>
      </x:c>
      <x:c r="G418" s="16" t="s">
        <x:v>134</x:v>
      </x:c>
      <x:c r="H418" s="17" t="s">
        <x:v>2470</x:v>
      </x:c>
      <x:c r="I418" s="17" t="s">
        <x:v>2471</x:v>
      </x:c>
      <x:c r="J418" s="17" t="s">
        <x:v>2472</x:v>
      </x:c>
      <x:c r="K418" s="17" t="s">
        <x:v>2458</x:v>
      </x:c>
      <x:c r="L418" s="17" t="s">
        <x:v>58</x:v>
      </x:c>
      <x:c r="M418" s="17" t="s">
        <x:v>256</x:v>
      </x:c>
      <x:c r="N418" s="16" t="s">
        <x:v>2473</x:v>
      </x:c>
      <x:c r="O418" s="18">
        <x:v>46249</x:v>
      </x:c>
      <x:c r="P418" s="19" t="s">
        <x:v>34</x:v>
      </x:c>
      <x:c r="Q418" s="17"/>
      <x:c r="R418" s="19" t="str">
        <x:f t="shared" si="6"/>
        <x:v>Discovery Link Only</x:v>
      </x:c>
      <x:c r="S418" s="43" t="str">
        <x:v>Unknown</x:v>
      </x:c>
      <x:c r="T418" s="43" t="str">
        <x:v>Unknown</x:v>
      </x:c>
      <x:c r="U418" s="43" t="str">
        <x:v>Unknown</x:v>
      </x:c>
      <x:c r="V418" s="43" t="str">
        <x:v>Unknown</x:v>
      </x:c>
      <x:c r="W418" s="43" t="str">
        <x:v>Unknown</x:v>
      </x:c>
      <x:c r="X418" s="43" t="str">
        <x:v>Unknown</x:v>
      </x:c>
      <x:c r="Y418" s="43" t="str">
        <x:v>Unknown</x:v>
      </x:c>
      <x:c r="Z418" s="43"/>
      <x:c r="AA418" s="43" t="str">
        <x:v>Excluded</x:v>
      </x:c>
      <x:c r="AB418" s="43" t="str">
        <x:v>No qualifying evidence source recorded</x:v>
      </x:c>
      <x:c r="AC418" s="43" t="str">
        <x:v>Excluded from Maya's elderly recommendation results because no source-backed elderly accessibility feature is recorded in the reviewed data. This does not mean the attraction is inaccessible.</x:v>
      </x:c>
      <x:c r="AD418" s="43" t="str">
        <x:v>2026-08-16</x:v>
      </x:c>
    </x:row>
    <x:row r="419" ht="60" customHeight="1">
      <x:c r="A419" s="16" t="s">
        <x:v>2474</x:v>
      </x:c>
      <x:c r="B419" s="16" t="s">
        <x:v>2475</x:v>
      </x:c>
      <x:c r="C419" s="16" t="s">
        <x:v>2453</x:v>
      </x:c>
      <x:c r="D419" s="16" t="s">
        <x:v>2476</x:v>
      </x:c>
      <x:c r="E419" s="16" t="s">
        <x:v>133</x:v>
      </x:c>
      <x:c r="F419" s="16" t="s">
        <x:v>25</x:v>
      </x:c>
      <x:c r="G419" s="16" t="s">
        <x:v>46</x:v>
      </x:c>
      <x:c r="H419" s="17" t="s">
        <x:v>2477</x:v>
      </x:c>
      <x:c r="I419" s="17" t="s">
        <x:v>2478</x:v>
      </x:c>
      <x:c r="J419" s="17" t="s">
        <x:v>2479</x:v>
      </x:c>
      <x:c r="K419" s="17" t="s">
        <x:v>2458</x:v>
      </x:c>
      <x:c r="L419" s="17" t="s">
        <x:v>58</x:v>
      </x:c>
      <x:c r="M419" s="17" t="s">
        <x:v>256</x:v>
      </x:c>
      <x:c r="N419" s="16" t="s">
        <x:v>2480</x:v>
      </x:c>
      <x:c r="O419" s="18">
        <x:v>46249</x:v>
      </x:c>
      <x:c r="P419" s="19" t="s">
        <x:v>34</x:v>
      </x:c>
      <x:c r="Q419" s="17"/>
      <x:c r="R419" s="19" t="str">
        <x:f t="shared" si="6"/>
        <x:v>Discovery Link Only</x:v>
      </x:c>
      <x:c r="S419" s="43" t="str">
        <x:v>Unknown</x:v>
      </x:c>
      <x:c r="T419" s="43" t="str">
        <x:v>Unknown</x:v>
      </x:c>
      <x:c r="U419" s="43" t="str">
        <x:v>Unknown</x:v>
      </x:c>
      <x:c r="V419" s="43" t="str">
        <x:v>Unknown</x:v>
      </x:c>
      <x:c r="W419" s="43" t="str">
        <x:v>Unknown</x:v>
      </x:c>
      <x:c r="X419" s="43" t="str">
        <x:v>Unknown</x:v>
      </x:c>
      <x:c r="Y419" s="43" t="str">
        <x:v>Unknown</x:v>
      </x:c>
      <x:c r="Z419" s="43"/>
      <x:c r="AA419" s="43" t="str">
        <x:v>Excluded</x:v>
      </x:c>
      <x:c r="AB419" s="43" t="str">
        <x:v>No qualifying evidence source recorded</x:v>
      </x:c>
      <x:c r="AC419" s="43" t="str">
        <x:v>Excluded from Maya's elderly recommendation results because no source-backed elderly accessibility feature is recorded in the reviewed data. This does not mean the attraction is inaccessible.</x:v>
      </x:c>
      <x:c r="AD419" s="43" t="str">
        <x:v>2026-08-16</x:v>
      </x:c>
    </x:row>
    <x:row r="420" ht="60" customHeight="1">
      <x:c r="A420" s="16" t="s">
        <x:v>2481</x:v>
      </x:c>
      <x:c r="B420" s="16" t="s">
        <x:v>2482</x:v>
      </x:c>
      <x:c r="C420" s="16" t="s">
        <x:v>2453</x:v>
      </x:c>
      <x:c r="D420" s="16" t="s">
        <x:v>2476</x:v>
      </x:c>
      <x:c r="E420" s="16" t="s">
        <x:v>37</x:v>
      </x:c>
      <x:c r="F420" s="16" t="s">
        <x:v>25</x:v>
      </x:c>
      <x:c r="G420" s="16" t="s">
        <x:v>46</x:v>
      </x:c>
      <x:c r="H420" s="17" t="s">
        <x:v>2483</x:v>
      </x:c>
      <x:c r="I420" s="17" t="s">
        <x:v>2484</x:v>
      </x:c>
      <x:c r="J420" s="17" t="s">
        <x:v>2485</x:v>
      </x:c>
      <x:c r="K420" s="17" t="s">
        <x:v>2458</x:v>
      </x:c>
      <x:c r="L420" s="17" t="s">
        <x:v>58</x:v>
      </x:c>
      <x:c r="M420" s="17" t="s">
        <x:v>256</x:v>
      </x:c>
      <x:c r="N420" s="16" t="s">
        <x:v>2486</x:v>
      </x:c>
      <x:c r="O420" s="18">
        <x:v>46249</x:v>
      </x:c>
      <x:c r="P420" s="19" t="s">
        <x:v>34</x:v>
      </x:c>
      <x:c r="Q420" s="17"/>
      <x:c r="R420" s="19" t="str">
        <x:f t="shared" si="6"/>
        <x:v>Discovery Link Only</x:v>
      </x:c>
      <x:c r="S420" s="43" t="str">
        <x:v>Unknown</x:v>
      </x:c>
      <x:c r="T420" s="43" t="str">
        <x:v>Unknown</x:v>
      </x:c>
      <x:c r="U420" s="43" t="str">
        <x:v>Unknown</x:v>
      </x:c>
      <x:c r="V420" s="43" t="str">
        <x:v>Unknown</x:v>
      </x:c>
      <x:c r="W420" s="43" t="str">
        <x:v>Unknown</x:v>
      </x:c>
      <x:c r="X420" s="43" t="str">
        <x:v>Unknown</x:v>
      </x:c>
      <x:c r="Y420" s="43" t="str">
        <x:v>Unknown</x:v>
      </x:c>
      <x:c r="Z420" s="43"/>
      <x:c r="AA420" s="43" t="str">
        <x:v>Excluded</x:v>
      </x:c>
      <x:c r="AB420" s="43" t="str">
        <x:v>No qualifying evidence source recorded</x:v>
      </x:c>
      <x:c r="AC420" s="43" t="str">
        <x:v>Excluded from Maya's elderly recommendation results because no source-backed elderly accessibility feature is recorded in the reviewed data. This does not mean the attraction is inaccessible.</x:v>
      </x:c>
      <x:c r="AD420" s="43" t="str">
        <x:v>2026-08-16</x:v>
      </x:c>
    </x:row>
    <x:row r="421" ht="60" customHeight="1">
      <x:c r="A421" s="16" t="s">
        <x:v>2487</x:v>
      </x:c>
      <x:c r="B421" s="16" t="s">
        <x:v>2488</x:v>
      </x:c>
      <x:c r="C421" s="16" t="s">
        <x:v>2453</x:v>
      </x:c>
      <x:c r="D421" s="16" t="s">
        <x:v>2489</x:v>
      </x:c>
      <x:c r="E421" s="16" t="s">
        <x:v>24</x:v>
      </x:c>
      <x:c r="F421" s="16" t="s">
        <x:v>25</x:v>
      </x:c>
      <x:c r="G421" s="16" t="s">
        <x:v>26</x:v>
      </x:c>
      <x:c r="H421" s="17" t="s">
        <x:v>2490</x:v>
      </x:c>
      <x:c r="I421" s="17" t="s">
        <x:v>2491</x:v>
      </x:c>
      <x:c r="J421" s="17" t="s">
        <x:v>2492</x:v>
      </x:c>
      <x:c r="K421" s="17" t="s">
        <x:v>2458</x:v>
      </x:c>
      <x:c r="L421" s="17" t="s">
        <x:v>58</x:v>
      </x:c>
      <x:c r="M421" s="17" t="s">
        <x:v>256</x:v>
      </x:c>
      <x:c r="N421" s="16" t="s">
        <x:v>2493</x:v>
      </x:c>
      <x:c r="O421" s="18">
        <x:v>46249</x:v>
      </x:c>
      <x:c r="P421" s="19" t="s">
        <x:v>34</x:v>
      </x:c>
      <x:c r="Q421" s="17"/>
      <x:c r="R421" s="19" t="str">
        <x:f t="shared" si="6"/>
        <x:v>Discovery Link Only</x:v>
      </x:c>
      <x:c r="S421" s="43" t="str">
        <x:v>Unknown</x:v>
      </x:c>
      <x:c r="T421" s="43" t="str">
        <x:v>Unknown</x:v>
      </x:c>
      <x:c r="U421" s="43" t="str">
        <x:v>Unknown</x:v>
      </x:c>
      <x:c r="V421" s="43" t="str">
        <x:v>Unknown</x:v>
      </x:c>
      <x:c r="W421" s="43" t="str">
        <x:v>Unknown</x:v>
      </x:c>
      <x:c r="X421" s="43" t="str">
        <x:v>Unknown</x:v>
      </x:c>
      <x:c r="Y421" s="43" t="str">
        <x:v>Unknown</x:v>
      </x:c>
      <x:c r="Z421" s="43"/>
      <x:c r="AA421" s="43" t="str">
        <x:v>Excluded</x:v>
      </x:c>
      <x:c r="AB421" s="43" t="str">
        <x:v>No qualifying evidence source recorded</x:v>
      </x:c>
      <x:c r="AC421" s="43" t="str">
        <x:v>Excluded from Maya's elderly recommendation results because no source-backed elderly accessibility feature is recorded in the reviewed data. This does not mean the attraction is inaccessible.</x:v>
      </x:c>
      <x:c r="AD421" s="43" t="str">
        <x:v>2026-08-16</x:v>
      </x:c>
    </x:row>
    <x:row r="422" ht="60" customHeight="1">
      <x:c r="A422" s="16" t="s">
        <x:v>2494</x:v>
      </x:c>
      <x:c r="B422" s="16" t="s">
        <x:v>2495</x:v>
      </x:c>
      <x:c r="C422" s="16" t="s">
        <x:v>2453</x:v>
      </x:c>
      <x:c r="D422" s="16" t="s">
        <x:v>2489</x:v>
      </x:c>
      <x:c r="E422" s="16" t="s">
        <x:v>115</x:v>
      </x:c>
      <x:c r="F422" s="16" t="s">
        <x:v>25</x:v>
      </x:c>
      <x:c r="G422" s="16" t="s">
        <x:v>26</x:v>
      </x:c>
      <x:c r="H422" s="17" t="s">
        <x:v>2496</x:v>
      </x:c>
      <x:c r="I422" s="17" t="s">
        <x:v>2497</x:v>
      </x:c>
      <x:c r="J422" s="17" t="s">
        <x:v>2498</x:v>
      </x:c>
      <x:c r="K422" s="17" t="s">
        <x:v>2458</x:v>
      </x:c>
      <x:c r="L422" s="17" t="s">
        <x:v>58</x:v>
      </x:c>
      <x:c r="M422" s="17" t="s">
        <x:v>256</x:v>
      </x:c>
      <x:c r="N422" s="16" t="s">
        <x:v>2499</x:v>
      </x:c>
      <x:c r="O422" s="18">
        <x:v>46249</x:v>
      </x:c>
      <x:c r="P422" s="19" t="s">
        <x:v>34</x:v>
      </x:c>
      <x:c r="Q422" s="17"/>
      <x:c r="R422" s="19" t="str">
        <x:f t="shared" si="6"/>
        <x:v>Discovery Link Only</x:v>
      </x:c>
      <x:c r="S422" s="43" t="str">
        <x:v>Unknown</x:v>
      </x:c>
      <x:c r="T422" s="43" t="str">
        <x:v>Unknown</x:v>
      </x:c>
      <x:c r="U422" s="43" t="str">
        <x:v>Unknown</x:v>
      </x:c>
      <x:c r="V422" s="43" t="str">
        <x:v>Unknown</x:v>
      </x:c>
      <x:c r="W422" s="43" t="str">
        <x:v>Unknown</x:v>
      </x:c>
      <x:c r="X422" s="43" t="str">
        <x:v>Unknown</x:v>
      </x:c>
      <x:c r="Y422" s="43" t="str">
        <x:v>Unknown</x:v>
      </x:c>
      <x:c r="Z422" s="43"/>
      <x:c r="AA422" s="43" t="str">
        <x:v>Excluded</x:v>
      </x:c>
      <x:c r="AB422" s="43" t="str">
        <x:v>No qualifying evidence source recorded</x:v>
      </x:c>
      <x:c r="AC422" s="43" t="str">
        <x:v>Excluded from Maya's elderly recommendation results because no source-backed elderly accessibility feature is recorded in the reviewed data. This does not mean the attraction is inaccessible.</x:v>
      </x:c>
      <x:c r="AD422" s="43" t="str">
        <x:v>2026-08-16</x:v>
      </x:c>
    </x:row>
    <x:row r="423" ht="60" customHeight="1">
      <x:c r="A423" s="16" t="s">
        <x:v>2500</x:v>
      </x:c>
      <x:c r="B423" s="16" t="s">
        <x:v>2501</x:v>
      </x:c>
      <x:c r="C423" s="16" t="s">
        <x:v>2453</x:v>
      </x:c>
      <x:c r="D423" s="16" t="s">
        <x:v>2469</x:v>
      </x:c>
      <x:c r="E423" s="16" t="s">
        <x:v>54</x:v>
      </x:c>
      <x:c r="F423" s="16" t="s">
        <x:v>25</x:v>
      </x:c>
      <x:c r="G423" s="16" t="s">
        <x:v>46</x:v>
      </x:c>
      <x:c r="H423" s="17" t="s">
        <x:v>2502</x:v>
      </x:c>
      <x:c r="I423" s="17" t="s">
        <x:v>2503</x:v>
      </x:c>
      <x:c r="J423" s="17" t="s">
        <x:v>2504</x:v>
      </x:c>
      <x:c r="K423" s="17" t="s">
        <x:v>2458</x:v>
      </x:c>
      <x:c r="L423" s="17" t="s">
        <x:v>58</x:v>
      </x:c>
      <x:c r="M423" s="17" t="s">
        <x:v>256</x:v>
      </x:c>
      <x:c r="N423" s="16" t="s">
        <x:v>2505</x:v>
      </x:c>
      <x:c r="O423" s="18">
        <x:v>46249</x:v>
      </x:c>
      <x:c r="P423" s="19" t="s">
        <x:v>34</x:v>
      </x:c>
      <x:c r="Q423" s="17"/>
      <x:c r="R423" s="19" t="str">
        <x:f t="shared" si="6"/>
        <x:v>Discovery Link Only</x:v>
      </x:c>
      <x:c r="S423" s="43" t="str">
        <x:v>Unknown</x:v>
      </x:c>
      <x:c r="T423" s="43" t="str">
        <x:v>Unknown</x:v>
      </x:c>
      <x:c r="U423" s="43" t="str">
        <x:v>Unknown</x:v>
      </x:c>
      <x:c r="V423" s="43" t="str">
        <x:v>Unknown</x:v>
      </x:c>
      <x:c r="W423" s="43" t="str">
        <x:v>Unknown</x:v>
      </x:c>
      <x:c r="X423" s="43" t="str">
        <x:v>Unknown</x:v>
      </x:c>
      <x:c r="Y423" s="43" t="str">
        <x:v>Unknown</x:v>
      </x:c>
      <x:c r="Z423" s="43"/>
      <x:c r="AA423" s="43" t="str">
        <x:v>Excluded</x:v>
      </x:c>
      <x:c r="AB423" s="43" t="str">
        <x:v>No qualifying evidence source recorded</x:v>
      </x:c>
      <x:c r="AC423" s="43" t="str">
        <x:v>Excluded from Maya's elderly recommendation results because no source-backed elderly accessibility feature is recorded in the reviewed data. This does not mean the attraction is inaccessible.</x:v>
      </x:c>
      <x:c r="AD423" s="43" t="str">
        <x:v>2026-08-16</x:v>
      </x:c>
    </x:row>
    <x:row r="424" ht="60" customHeight="1">
      <x:c r="A424" s="16" t="s">
        <x:v>2506</x:v>
      </x:c>
      <x:c r="B424" s="16" t="s">
        <x:v>2507</x:v>
      </x:c>
      <x:c r="C424" s="16" t="s">
        <x:v>2453</x:v>
      </x:c>
      <x:c r="D424" s="16" t="s">
        <x:v>2469</x:v>
      </x:c>
      <x:c r="E424" s="16" t="s">
        <x:v>99</x:v>
      </x:c>
      <x:c r="F424" s="16" t="s">
        <x:v>121</x:v>
      </x:c>
      <x:c r="G424" s="16" t="s">
        <x:v>26</x:v>
      </x:c>
      <x:c r="H424" s="17" t="s">
        <x:v>2508</x:v>
      </x:c>
      <x:c r="I424" s="17" t="s">
        <x:v>2509</x:v>
      </x:c>
      <x:c r="J424" s="17" t="s">
        <x:v>2510</x:v>
      </x:c>
      <x:c r="K424" s="17" t="s">
        <x:v>2458</x:v>
      </x:c>
      <x:c r="L424" s="17" t="s">
        <x:v>58</x:v>
      </x:c>
      <x:c r="M424" s="17" t="s">
        <x:v>256</x:v>
      </x:c>
      <x:c r="N424" s="16" t="s">
        <x:v>2511</x:v>
      </x:c>
      <x:c r="O424" s="18">
        <x:v>46249</x:v>
      </x:c>
      <x:c r="P424" s="19" t="s">
        <x:v>34</x:v>
      </x:c>
      <x:c r="Q424" s="17"/>
      <x:c r="R424" s="19" t="str">
        <x:f t="shared" si="6"/>
        <x:v>Discovery Link Only</x:v>
      </x:c>
      <x:c r="S424" s="43" t="str">
        <x:v>Unknown</x:v>
      </x:c>
      <x:c r="T424" s="43" t="str">
        <x:v>Unknown</x:v>
      </x:c>
      <x:c r="U424" s="43" t="str">
        <x:v>Unknown</x:v>
      </x:c>
      <x:c r="V424" s="43" t="str">
        <x:v>Unknown</x:v>
      </x:c>
      <x:c r="W424" s="43" t="str">
        <x:v>Unknown</x:v>
      </x:c>
      <x:c r="X424" s="43" t="str">
        <x:v>Unknown</x:v>
      </x:c>
      <x:c r="Y424" s="43" t="str">
        <x:v>Unknown</x:v>
      </x:c>
      <x:c r="Z424" s="43"/>
      <x:c r="AA424" s="43" t="str">
        <x:v>Excluded</x:v>
      </x:c>
      <x:c r="AB424" s="43" t="str">
        <x:v>No qualifying evidence source recorded</x:v>
      </x:c>
      <x:c r="AC424" s="43" t="str">
        <x:v>Excluded from Maya's elderly recommendation results because no source-backed elderly accessibility feature is recorded in the reviewed data. This does not mean the attraction is inaccessible.</x:v>
      </x:c>
      <x:c r="AD424" s="43" t="str">
        <x:v>2026-08-16</x:v>
      </x:c>
    </x:row>
    <x:row r="425" ht="60" customHeight="1">
      <x:c r="A425" s="16" t="s">
        <x:v>2512</x:v>
      </x:c>
      <x:c r="B425" s="16" t="s">
        <x:v>2513</x:v>
      </x:c>
      <x:c r="C425" s="16" t="s">
        <x:v>2453</x:v>
      </x:c>
      <x:c r="D425" s="16" t="s">
        <x:v>2469</x:v>
      </x:c>
      <x:c r="E425" s="16" t="s">
        <x:v>72</x:v>
      </x:c>
      <x:c r="F425" s="16" t="s">
        <x:v>25</x:v>
      </x:c>
      <x:c r="G425" s="16" t="s">
        <x:v>26</x:v>
      </x:c>
      <x:c r="H425" s="17" t="s">
        <x:v>2514</x:v>
      </x:c>
      <x:c r="I425" s="17" t="s">
        <x:v>2515</x:v>
      </x:c>
      <x:c r="J425" s="17" t="s">
        <x:v>2516</x:v>
      </x:c>
      <x:c r="K425" s="17" t="s">
        <x:v>2458</x:v>
      </x:c>
      <x:c r="L425" s="17" t="s">
        <x:v>58</x:v>
      </x:c>
      <x:c r="M425" s="17" t="s">
        <x:v>256</x:v>
      </x:c>
      <x:c r="N425" s="16" t="s">
        <x:v>2517</x:v>
      </x:c>
      <x:c r="O425" s="18">
        <x:v>46249</x:v>
      </x:c>
      <x:c r="P425" s="19" t="s">
        <x:v>34</x:v>
      </x:c>
      <x:c r="Q425" s="17"/>
      <x:c r="R425" s="19" t="str">
        <x:f t="shared" si="6"/>
        <x:v>Discovery Link Only</x:v>
      </x:c>
      <x:c r="S425" s="43" t="str">
        <x:v>Unknown</x:v>
      </x:c>
      <x:c r="T425" s="43" t="str">
        <x:v>Unknown</x:v>
      </x:c>
      <x:c r="U425" s="43" t="str">
        <x:v>Unknown</x:v>
      </x:c>
      <x:c r="V425" s="43" t="str">
        <x:v>Unknown</x:v>
      </x:c>
      <x:c r="W425" s="43" t="str">
        <x:v>Unknown</x:v>
      </x:c>
      <x:c r="X425" s="43" t="str">
        <x:v>Unknown</x:v>
      </x:c>
      <x:c r="Y425" s="43" t="str">
        <x:v>Unknown</x:v>
      </x:c>
      <x:c r="Z425" s="43"/>
      <x:c r="AA425" s="43" t="str">
        <x:v>Excluded</x:v>
      </x:c>
      <x:c r="AB425" s="43" t="str">
        <x:v>No qualifying evidence source recorded</x:v>
      </x:c>
      <x:c r="AC425" s="43" t="str">
        <x:v>Excluded from Maya's elderly recommendation results because no source-backed elderly accessibility feature is recorded in the reviewed data. This does not mean the attraction is inaccessible.</x:v>
      </x:c>
      <x:c r="AD425" s="43" t="str">
        <x:v>2026-08-16</x:v>
      </x:c>
    </x:row>
    <x:row r="426" ht="60" customHeight="1">
      <x:c r="A426" s="16" t="s">
        <x:v>2518</x:v>
      </x:c>
      <x:c r="B426" s="16" t="s">
        <x:v>2519</x:v>
      </x:c>
      <x:c r="C426" s="16" t="s">
        <x:v>2453</x:v>
      </x:c>
      <x:c r="D426" s="16" t="s">
        <x:v>2520</x:v>
      </x:c>
      <x:c r="E426" s="16" t="s">
        <x:v>133</x:v>
      </x:c>
      <x:c r="F426" s="16" t="s">
        <x:v>107</x:v>
      </x:c>
      <x:c r="G426" s="16" t="s">
        <x:v>134</x:v>
      </x:c>
      <x:c r="H426" s="17" t="s">
        <x:v>2521</x:v>
      </x:c>
      <x:c r="I426" s="17" t="s">
        <x:v>2522</x:v>
      </x:c>
      <x:c r="J426" s="17" t="s">
        <x:v>2523</x:v>
      </x:c>
      <x:c r="K426" s="17" t="s">
        <x:v>2458</x:v>
      </x:c>
      <x:c r="L426" s="17" t="s">
        <x:v>111</x:v>
      </x:c>
      <x:c r="M426" s="17" t="s">
        <x:v>2524</x:v>
      </x:c>
      <x:c r="N426" s="16"/>
      <x:c r="O426" s="18">
        <x:v>46249</x:v>
      </x:c>
      <x:c r="P426" s="19" t="s">
        <x:v>34</x:v>
      </x:c>
      <x:c r="Q426" s="17"/>
      <x:c r="R426" s="19" t="str">
        <x:f t="shared" si="6"/>
        <x:v>Discovery Link Only</x:v>
      </x:c>
      <x:c r="S426" s="43" t="str">
        <x:v>Unknown</x:v>
      </x:c>
      <x:c r="T426" s="43" t="str">
        <x:v>Unknown</x:v>
      </x:c>
      <x:c r="U426" s="43" t="str">
        <x:v>Unknown</x:v>
      </x:c>
      <x:c r="V426" s="43" t="str">
        <x:v>Unknown</x:v>
      </x:c>
      <x:c r="W426" s="43" t="str">
        <x:v>Unknown</x:v>
      </x:c>
      <x:c r="X426" s="43" t="str">
        <x:v>Unknown</x:v>
      </x:c>
      <x:c r="Y426" s="43" t="str">
        <x:v>Unknown</x:v>
      </x:c>
      <x:c r="Z426" s="43"/>
      <x:c r="AA426" s="43" t="str">
        <x:v>Excluded</x:v>
      </x:c>
      <x:c r="AB426" s="43" t="str">
        <x:v>No qualifying evidence source recorded</x:v>
      </x:c>
      <x:c r="AC426" s="43" t="str">
        <x:v>Excluded from Maya's elderly recommendation results because no source-backed elderly accessibility feature is recorded in the reviewed data. This does not mean the attraction is inaccessible.</x:v>
      </x:c>
      <x:c r="AD426" s="43" t="str">
        <x:v>2026-08-16</x:v>
      </x:c>
    </x:row>
    <x:row r="427" ht="60" customHeight="1">
      <x:c r="A427" s="16" t="s">
        <x:v>2525</x:v>
      </x:c>
      <x:c r="B427" s="16" t="s">
        <x:v>2526</x:v>
      </x:c>
      <x:c r="C427" s="16" t="s">
        <x:v>2453</x:v>
      </x:c>
      <x:c r="D427" s="16" t="s">
        <x:v>2520</x:v>
      </x:c>
      <x:c r="E427" s="16" t="s">
        <x:v>45</x:v>
      </x:c>
      <x:c r="F427" s="16" t="s">
        <x:v>121</x:v>
      </x:c>
      <x:c r="G427" s="16" t="s">
        <x:v>26</x:v>
      </x:c>
      <x:c r="H427" s="17" t="s">
        <x:v>2527</x:v>
      </x:c>
      <x:c r="I427" s="17" t="s">
        <x:v>2528</x:v>
      </x:c>
      <x:c r="J427" s="17" t="s">
        <x:v>2529</x:v>
      </x:c>
      <x:c r="K427" s="17" t="s">
        <x:v>2458</x:v>
      </x:c>
      <x:c r="L427" s="17" t="s">
        <x:v>111</x:v>
      </x:c>
      <x:c r="M427" s="17" t="s">
        <x:v>2524</x:v>
      </x:c>
      <x:c r="N427" s="16"/>
      <x:c r="O427" s="18">
        <x:v>46249</x:v>
      </x:c>
      <x:c r="P427" s="19" t="s">
        <x:v>34</x:v>
      </x:c>
      <x:c r="Q427" s="17"/>
      <x:c r="R427" s="19" t="str">
        <x:f t="shared" si="6"/>
        <x:v>Discovery Link Only</x:v>
      </x:c>
      <x:c r="S427" s="43" t="str">
        <x:v>Unknown</x:v>
      </x:c>
      <x:c r="T427" s="43" t="str">
        <x:v>Unknown</x:v>
      </x:c>
      <x:c r="U427" s="43" t="str">
        <x:v>Unknown</x:v>
      </x:c>
      <x:c r="V427" s="43" t="str">
        <x:v>Unknown</x:v>
      </x:c>
      <x:c r="W427" s="43" t="str">
        <x:v>Unknown</x:v>
      </x:c>
      <x:c r="X427" s="43" t="str">
        <x:v>Unknown</x:v>
      </x:c>
      <x:c r="Y427" s="43" t="str">
        <x:v>Unknown</x:v>
      </x:c>
      <x:c r="Z427" s="43"/>
      <x:c r="AA427" s="43" t="str">
        <x:v>Excluded</x:v>
      </x:c>
      <x:c r="AB427" s="43" t="str">
        <x:v>No qualifying evidence source recorded</x:v>
      </x:c>
      <x:c r="AC427" s="43" t="str">
        <x:v>Excluded from Maya's elderly recommendation results because no source-backed elderly accessibility feature is recorded in the reviewed data. This does not mean the attraction is inaccessible.</x:v>
      </x:c>
      <x:c r="AD427" s="43" t="str">
        <x:v>2026-08-16</x:v>
      </x:c>
    </x:row>
    <x:row r="428" ht="60" customHeight="1">
      <x:c r="A428" s="16" t="s">
        <x:v>2530</x:v>
      </x:c>
      <x:c r="B428" s="16" t="s">
        <x:v>2531</x:v>
      </x:c>
      <x:c r="C428" s="16" t="s">
        <x:v>2453</x:v>
      </x:c>
      <x:c r="D428" s="16" t="s">
        <x:v>2520</x:v>
      </x:c>
      <x:c r="E428" s="16" t="s">
        <x:v>151</x:v>
      </x:c>
      <x:c r="F428" s="16" t="s">
        <x:v>121</x:v>
      </x:c>
      <x:c r="G428" s="16" t="s">
        <x:v>134</x:v>
      </x:c>
      <x:c r="H428" s="17" t="s">
        <x:v>2532</x:v>
      </x:c>
      <x:c r="I428" s="17" t="s">
        <x:v>2533</x:v>
      </x:c>
      <x:c r="J428" s="17" t="s">
        <x:v>2534</x:v>
      </x:c>
      <x:c r="K428" s="17" t="s">
        <x:v>2458</x:v>
      </x:c>
      <x:c r="L428" s="17" t="s">
        <x:v>111</x:v>
      </x:c>
      <x:c r="M428" s="17" t="s">
        <x:v>2524</x:v>
      </x:c>
      <x:c r="N428" s="16"/>
      <x:c r="O428" s="18">
        <x:v>46249</x:v>
      </x:c>
      <x:c r="P428" s="19" t="s">
        <x:v>34</x:v>
      </x:c>
      <x:c r="Q428" s="17"/>
      <x:c r="R428" s="19" t="str">
        <x:f t="shared" si="6"/>
        <x:v>Discovery Link Only</x:v>
      </x:c>
      <x:c r="S428" s="43" t="str">
        <x:v>Unknown</x:v>
      </x:c>
      <x:c r="T428" s="43" t="str">
        <x:v>Unknown</x:v>
      </x:c>
      <x:c r="U428" s="43" t="str">
        <x:v>Unknown</x:v>
      </x:c>
      <x:c r="V428" s="43" t="str">
        <x:v>Unknown</x:v>
      </x:c>
      <x:c r="W428" s="43" t="str">
        <x:v>Unknown</x:v>
      </x:c>
      <x:c r="X428" s="43" t="str">
        <x:v>Unknown</x:v>
      </x:c>
      <x:c r="Y428" s="43" t="str">
        <x:v>Unknown</x:v>
      </x:c>
      <x:c r="Z428" s="43"/>
      <x:c r="AA428" s="43" t="str">
        <x:v>Excluded</x:v>
      </x:c>
      <x:c r="AB428" s="43" t="str">
        <x:v>No qualifying evidence source recorded</x:v>
      </x:c>
      <x:c r="AC428" s="43" t="str">
        <x:v>Excluded from Maya's elderly recommendation results because no source-backed elderly accessibility feature is recorded in the reviewed data. This does not mean the attraction is inaccessible.</x:v>
      </x:c>
      <x:c r="AD428" s="43" t="str">
        <x:v>2026-08-16</x:v>
      </x:c>
    </x:row>
    <x:row r="429" ht="60" customHeight="1">
      <x:c r="A429" s="16" t="s">
        <x:v>2535</x:v>
      </x:c>
      <x:c r="B429" s="16" t="s">
        <x:v>2536</x:v>
      </x:c>
      <x:c r="C429" s="16" t="s">
        <x:v>2453</x:v>
      </x:c>
      <x:c r="D429" s="16" t="s">
        <x:v>2537</x:v>
      </x:c>
      <x:c r="E429" s="16" t="s">
        <x:v>115</x:v>
      </x:c>
      <x:c r="F429" s="16" t="s">
        <x:v>127</x:v>
      </x:c>
      <x:c r="G429" s="16" t="s">
        <x:v>46</x:v>
      </x:c>
      <x:c r="H429" s="17" t="s">
        <x:v>2538</x:v>
      </x:c>
      <x:c r="I429" s="17" t="s">
        <x:v>2539</x:v>
      </x:c>
      <x:c r="J429" s="17" t="s">
        <x:v>2540</x:v>
      </x:c>
      <x:c r="K429" s="17" t="s">
        <x:v>2458</x:v>
      </x:c>
      <x:c r="L429" s="17" t="s">
        <x:v>111</x:v>
      </x:c>
      <x:c r="M429" s="17" t="s">
        <x:v>2524</x:v>
      </x:c>
      <x:c r="N429" s="16"/>
      <x:c r="O429" s="18">
        <x:v>46249</x:v>
      </x:c>
      <x:c r="P429" s="19" t="s">
        <x:v>34</x:v>
      </x:c>
      <x:c r="Q429" s="17"/>
      <x:c r="R429" s="19" t="str">
        <x:f t="shared" si="6"/>
        <x:v>Discovery Link Only</x:v>
      </x:c>
      <x:c r="S429" s="43" t="str">
        <x:v>Unknown</x:v>
      </x:c>
      <x:c r="T429" s="43" t="str">
        <x:v>Unknown</x:v>
      </x:c>
      <x:c r="U429" s="43" t="str">
        <x:v>Unknown</x:v>
      </x:c>
      <x:c r="V429" s="43" t="str">
        <x:v>Unknown</x:v>
      </x:c>
      <x:c r="W429" s="43" t="str">
        <x:v>Unknown</x:v>
      </x:c>
      <x:c r="X429" s="43" t="str">
        <x:v>Unknown</x:v>
      </x:c>
      <x:c r="Y429" s="43" t="str">
        <x:v>Unknown</x:v>
      </x:c>
      <x:c r="Z429" s="43"/>
      <x:c r="AA429" s="43" t="str">
        <x:v>Excluded</x:v>
      </x:c>
      <x:c r="AB429" s="43" t="str">
        <x:v>No qualifying evidence source recorded</x:v>
      </x:c>
      <x:c r="AC429" s="43" t="str">
        <x:v>Excluded from Maya's elderly recommendation results because no source-backed elderly accessibility feature is recorded in the reviewed data. This does not mean the attraction is inaccessible.</x:v>
      </x:c>
      <x:c r="AD429" s="43" t="str">
        <x:v>2026-08-16</x:v>
      </x:c>
    </x:row>
    <x:row r="430" ht="60" customHeight="1">
      <x:c r="A430" s="16" t="s">
        <x:v>2541</x:v>
      </x:c>
      <x:c r="B430" s="16" t="s">
        <x:v>2542</x:v>
      </x:c>
      <x:c r="C430" s="16" t="s">
        <x:v>2453</x:v>
      </x:c>
      <x:c r="D430" s="16" t="s">
        <x:v>2543</x:v>
      </x:c>
      <x:c r="E430" s="16" t="s">
        <x:v>99</x:v>
      </x:c>
      <x:c r="F430" s="16" t="s">
        <x:v>127</x:v>
      </x:c>
      <x:c r="G430" s="16" t="s">
        <x:v>46</x:v>
      </x:c>
      <x:c r="H430" s="17" t="s">
        <x:v>2544</x:v>
      </x:c>
      <x:c r="I430" s="17" t="s">
        <x:v>2545</x:v>
      </x:c>
      <x:c r="J430" s="17" t="s">
        <x:v>2546</x:v>
      </x:c>
      <x:c r="K430" s="17" t="s">
        <x:v>2458</x:v>
      </x:c>
      <x:c r="L430" s="17" t="s">
        <x:v>111</x:v>
      </x:c>
      <x:c r="M430" s="17" t="s">
        <x:v>2524</x:v>
      </x:c>
      <x:c r="N430" s="16"/>
      <x:c r="O430" s="18">
        <x:v>46249</x:v>
      </x:c>
      <x:c r="P430" s="19" t="s">
        <x:v>34</x:v>
      </x:c>
      <x:c r="Q430" s="17"/>
      <x:c r="R430" s="19" t="str">
        <x:f t="shared" si="6"/>
        <x:v>Discovery Link Only</x:v>
      </x:c>
      <x:c r="S430" s="43" t="str">
        <x:v>Unknown</x:v>
      </x:c>
      <x:c r="T430" s="43" t="str">
        <x:v>Unknown</x:v>
      </x:c>
      <x:c r="U430" s="43" t="str">
        <x:v>Unknown</x:v>
      </x:c>
      <x:c r="V430" s="43" t="str">
        <x:v>Unknown</x:v>
      </x:c>
      <x:c r="W430" s="43" t="str">
        <x:v>Unknown</x:v>
      </x:c>
      <x:c r="X430" s="43" t="str">
        <x:v>Unknown</x:v>
      </x:c>
      <x:c r="Y430" s="43" t="str">
        <x:v>Unknown</x:v>
      </x:c>
      <x:c r="Z430" s="43"/>
      <x:c r="AA430" s="43" t="str">
        <x:v>Excluded</x:v>
      </x:c>
      <x:c r="AB430" s="43" t="str">
        <x:v>No qualifying evidence source recorded</x:v>
      </x:c>
      <x:c r="AC430" s="43" t="str">
        <x:v>Excluded from Maya's elderly recommendation results because no source-backed elderly accessibility feature is recorded in the reviewed data. This does not mean the attraction is inaccessible.</x:v>
      </x:c>
      <x:c r="AD430" s="43" t="str">
        <x:v>2026-08-16</x:v>
      </x:c>
    </x:row>
    <x:row r="431" ht="60" customHeight="1">
      <x:c r="A431" s="16" t="s">
        <x:v>2547</x:v>
      </x:c>
      <x:c r="B431" s="16" t="s">
        <x:v>2548</x:v>
      </x:c>
      <x:c r="C431" s="16" t="s">
        <x:v>2453</x:v>
      </x:c>
      <x:c r="D431" s="16" t="s">
        <x:v>2549</x:v>
      </x:c>
      <x:c r="E431" s="16" t="s">
        <x:v>72</x:v>
      </x:c>
      <x:c r="F431" s="16" t="s">
        <x:v>121</x:v>
      </x:c>
      <x:c r="G431" s="16" t="s">
        <x:v>26</x:v>
      </x:c>
      <x:c r="H431" s="17" t="s">
        <x:v>2550</x:v>
      </x:c>
      <x:c r="I431" s="17" t="s">
        <x:v>2551</x:v>
      </x:c>
      <x:c r="J431" s="17" t="s">
        <x:v>2552</x:v>
      </x:c>
      <x:c r="K431" s="17" t="s">
        <x:v>2458</x:v>
      </x:c>
      <x:c r="L431" s="17" t="s">
        <x:v>111</x:v>
      </x:c>
      <x:c r="M431" s="17" t="s">
        <x:v>2524</x:v>
      </x:c>
      <x:c r="N431" s="16"/>
      <x:c r="O431" s="18">
        <x:v>46249</x:v>
      </x:c>
      <x:c r="P431" s="19" t="s">
        <x:v>34</x:v>
      </x:c>
      <x:c r="Q431" s="17"/>
      <x:c r="R431" s="19" t="str">
        <x:f t="shared" si="6"/>
        <x:v>Discovery Link Only</x:v>
      </x:c>
      <x:c r="S431" s="43" t="str">
        <x:v>Unknown</x:v>
      </x:c>
      <x:c r="T431" s="43" t="str">
        <x:v>Unknown</x:v>
      </x:c>
      <x:c r="U431" s="43" t="str">
        <x:v>Unknown</x:v>
      </x:c>
      <x:c r="V431" s="43" t="str">
        <x:v>Unknown</x:v>
      </x:c>
      <x:c r="W431" s="43" t="str">
        <x:v>Unknown</x:v>
      </x:c>
      <x:c r="X431" s="43" t="str">
        <x:v>Unknown</x:v>
      </x:c>
      <x:c r="Y431" s="43" t="str">
        <x:v>Unknown</x:v>
      </x:c>
      <x:c r="Z431" s="43"/>
      <x:c r="AA431" s="43" t="str">
        <x:v>Excluded</x:v>
      </x:c>
      <x:c r="AB431" s="43" t="str">
        <x:v>No qualifying evidence source recorded</x:v>
      </x:c>
      <x:c r="AC431" s="43" t="str">
        <x:v>Excluded from Maya's elderly recommendation results because no source-backed elderly accessibility feature is recorded in the reviewed data. This does not mean the attraction is inaccessible.</x:v>
      </x:c>
      <x:c r="AD431" s="43" t="str">
        <x:v>2026-08-16</x:v>
      </x:c>
    </x:row>
    <x:row r="432" ht="60" customHeight="1">
      <x:c r="A432" s="16" t="s">
        <x:v>2553</x:v>
      </x:c>
      <x:c r="B432" s="16" t="s">
        <x:v>2554</x:v>
      </x:c>
      <x:c r="C432" s="16" t="s">
        <x:v>2453</x:v>
      </x:c>
      <x:c r="D432" s="16" t="s">
        <x:v>2555</x:v>
      </x:c>
      <x:c r="E432" s="16" t="s">
        <x:v>72</x:v>
      </x:c>
      <x:c r="F432" s="16" t="s">
        <x:v>121</x:v>
      </x:c>
      <x:c r="G432" s="16" t="s">
        <x:v>26</x:v>
      </x:c>
      <x:c r="H432" s="17" t="s">
        <x:v>2556</x:v>
      </x:c>
      <x:c r="I432" s="17" t="s">
        <x:v>2557</x:v>
      </x:c>
      <x:c r="J432" s="17" t="s">
        <x:v>2558</x:v>
      </x:c>
      <x:c r="K432" s="17" t="s">
        <x:v>2458</x:v>
      </x:c>
      <x:c r="L432" s="17" t="s">
        <x:v>111</x:v>
      </x:c>
      <x:c r="M432" s="17" t="s">
        <x:v>2524</x:v>
      </x:c>
      <x:c r="N432" s="16"/>
      <x:c r="O432" s="18">
        <x:v>46249</x:v>
      </x:c>
      <x:c r="P432" s="19" t="s">
        <x:v>34</x:v>
      </x:c>
      <x:c r="Q432" s="17"/>
      <x:c r="R432" s="19" t="str">
        <x:f t="shared" si="6"/>
        <x:v>Discovery Link Only</x:v>
      </x:c>
      <x:c r="S432" s="43" t="str">
        <x:v>Unknown</x:v>
      </x:c>
      <x:c r="T432" s="43" t="str">
        <x:v>Unknown</x:v>
      </x:c>
      <x:c r="U432" s="43" t="str">
        <x:v>Unknown</x:v>
      </x:c>
      <x:c r="V432" s="43" t="str">
        <x:v>Unknown</x:v>
      </x:c>
      <x:c r="W432" s="43" t="str">
        <x:v>Unknown</x:v>
      </x:c>
      <x:c r="X432" s="43" t="str">
        <x:v>Unknown</x:v>
      </x:c>
      <x:c r="Y432" s="43" t="str">
        <x:v>Unknown</x:v>
      </x:c>
      <x:c r="Z432" s="43"/>
      <x:c r="AA432" s="43" t="str">
        <x:v>Excluded</x:v>
      </x:c>
      <x:c r="AB432" s="43" t="str">
        <x:v>No qualifying evidence source recorded</x:v>
      </x:c>
      <x:c r="AC432" s="43" t="str">
        <x:v>Excluded from Maya's elderly recommendation results because no source-backed elderly accessibility feature is recorded in the reviewed data. This does not mean the attraction is inaccessible.</x:v>
      </x:c>
      <x:c r="AD432" s="43" t="str">
        <x:v>2026-08-16</x:v>
      </x:c>
    </x:row>
    <x:row r="433" ht="60" customHeight="1">
      <x:c r="A433" s="16" t="s">
        <x:v>2559</x:v>
      </x:c>
      <x:c r="B433" s="16" t="s">
        <x:v>2560</x:v>
      </x:c>
      <x:c r="C433" s="16" t="s">
        <x:v>2453</x:v>
      </x:c>
      <x:c r="D433" s="16" t="s">
        <x:v>2561</x:v>
      </x:c>
      <x:c r="E433" s="16" t="s">
        <x:v>45</x:v>
      </x:c>
      <x:c r="F433" s="16" t="s">
        <x:v>127</x:v>
      </x:c>
      <x:c r="G433" s="16" t="s">
        <x:v>26</x:v>
      </x:c>
      <x:c r="H433" s="17" t="s">
        <x:v>2562</x:v>
      </x:c>
      <x:c r="I433" s="17" t="s">
        <x:v>2563</x:v>
      </x:c>
      <x:c r="J433" s="17" t="s">
        <x:v>2564</x:v>
      </x:c>
      <x:c r="K433" s="17" t="s">
        <x:v>2458</x:v>
      </x:c>
      <x:c r="L433" s="17" t="s">
        <x:v>111</x:v>
      </x:c>
      <x:c r="M433" s="17" t="s">
        <x:v>2524</x:v>
      </x:c>
      <x:c r="N433" s="16"/>
      <x:c r="O433" s="18">
        <x:v>46249</x:v>
      </x:c>
      <x:c r="P433" s="19" t="s">
        <x:v>34</x:v>
      </x:c>
      <x:c r="Q433" s="17"/>
      <x:c r="R433" s="19" t="str">
        <x:f t="shared" si="6"/>
        <x:v>Discovery Link Only</x:v>
      </x:c>
      <x:c r="S433" s="43" t="str">
        <x:v>Unknown</x:v>
      </x:c>
      <x:c r="T433" s="43" t="str">
        <x:v>Unknown</x:v>
      </x:c>
      <x:c r="U433" s="43" t="str">
        <x:v>Unknown</x:v>
      </x:c>
      <x:c r="V433" s="43" t="str">
        <x:v>Unknown</x:v>
      </x:c>
      <x:c r="W433" s="43" t="str">
        <x:v>Unknown</x:v>
      </x:c>
      <x:c r="X433" s="43" t="str">
        <x:v>Unknown</x:v>
      </x:c>
      <x:c r="Y433" s="43" t="str">
        <x:v>Unknown</x:v>
      </x:c>
      <x:c r="Z433" s="43"/>
      <x:c r="AA433" s="43" t="str">
        <x:v>Excluded</x:v>
      </x:c>
      <x:c r="AB433" s="43" t="str">
        <x:v>No qualifying evidence source recorded</x:v>
      </x:c>
      <x:c r="AC433" s="43" t="str">
        <x:v>Excluded from Maya's elderly recommendation results because no source-backed elderly accessibility feature is recorded in the reviewed data. This does not mean the attraction is inaccessible.</x:v>
      </x:c>
      <x:c r="AD433" s="43" t="str">
        <x:v>2026-08-16</x:v>
      </x:c>
    </x:row>
    <x:row r="434" ht="60" customHeight="1">
      <x:c r="A434" s="20" t="s">
        <x:v>2565</x:v>
      </x:c>
      <x:c r="B434" s="20" t="s">
        <x:v>2566</x:v>
      </x:c>
      <x:c r="C434" s="20" t="s">
        <x:v>2453</x:v>
      </x:c>
      <x:c r="D434" s="20" t="s">
        <x:v>2567</x:v>
      </x:c>
      <x:c r="E434" s="20" t="s">
        <x:v>72</x:v>
      </x:c>
      <x:c r="F434" s="20" t="s">
        <x:v>127</x:v>
      </x:c>
      <x:c r="G434" s="20" t="s">
        <x:v>26</x:v>
      </x:c>
      <x:c r="H434" s="21" t="s">
        <x:v>2568</x:v>
      </x:c>
      <x:c r="I434" s="21" t="s">
        <x:v>2569</x:v>
      </x:c>
      <x:c r="J434" s="21" t="s">
        <x:v>2570</x:v>
      </x:c>
      <x:c r="K434" s="21" t="s">
        <x:v>2458</x:v>
      </x:c>
      <x:c r="L434" s="21" t="s">
        <x:v>111</x:v>
      </x:c>
      <x:c r="M434" s="21" t="s">
        <x:v>2524</x:v>
      </x:c>
      <x:c r="N434" s="20"/>
      <x:c r="O434" s="22">
        <x:v>46249</x:v>
      </x:c>
      <x:c r="P434" s="23" t="s">
        <x:v>34</x:v>
      </x:c>
      <x:c r="Q434" s="21"/>
      <x:c r="R434" s="23" t="str">
        <x:f t="shared" si="6"/>
        <x:v>Discovery Link Only</x:v>
      </x:c>
      <x:c r="S434" s="43" t="str">
        <x:v>Unknown</x:v>
      </x:c>
      <x:c r="T434" s="43" t="str">
        <x:v>Unknown</x:v>
      </x:c>
      <x:c r="U434" s="43" t="str">
        <x:v>Unknown</x:v>
      </x:c>
      <x:c r="V434" s="43" t="str">
        <x:v>Unknown</x:v>
      </x:c>
      <x:c r="W434" s="43" t="str">
        <x:v>Unknown</x:v>
      </x:c>
      <x:c r="X434" s="43" t="str">
        <x:v>Unknown</x:v>
      </x:c>
      <x:c r="Y434" s="43" t="str">
        <x:v>Unknown</x:v>
      </x:c>
      <x:c r="Z434" s="43"/>
      <x:c r="AA434" s="43" t="str">
        <x:v>Excluded</x:v>
      </x:c>
      <x:c r="AB434" s="43" t="str">
        <x:v>No qualifying evidence source recorded</x:v>
      </x:c>
      <x:c r="AC434" s="43" t="str">
        <x:v>Excluded from Maya's elderly recommendation results because no source-backed elderly accessibility feature is recorded in the reviewed data. This does not mean the attraction is inaccessible.</x:v>
      </x:c>
      <x:c r="AD434" s="43" t="str">
        <x:v>2026-08-16</x:v>
      </x:c>
    </x:row>
  </x:sheetData>
  <x:mergeCells>
    <x:mergeCell ref="A1:R1"/>
    <x:mergeCell ref="A2:R2"/>
  </x:mergeCells>
  <x:conditionalFormatting sqref="P4:P434">
    <x:cfRule type="containsText" dxfId="3" priority="2" operator="containsText" text="Pending Review">
      <x:formula>NOT(ISERROR(SEARCH("Pending Review",P4)))</x:formula>
    </x:cfRule>
    <x:cfRule type="containsText" dxfId="2" priority="3" operator="containsText" text="Approved">
      <x:formula>NOT(ISERROR(SEARCH("Approved",P4)))</x:formula>
    </x:cfRule>
    <x:cfRule type="containsText" dxfId="1" priority="4" operator="containsText" text="Rejected">
      <x:formula>NOT(ISERROR(SEARCH("Rejected",P4)))</x:formula>
    </x:cfRule>
  </x:conditionalFormatting>
  <x:conditionalFormatting sqref="R4:R434">
    <x:cfRule type="containsText" dxfId="0" priority="5" operator="containsText" text="Missing Link">
      <x:formula>NOT(ISERROR(SEARCH("Missing Link",R4)))</x:formula>
    </x:cfRule>
  </x:conditionalFormatting>
  <x:conditionalFormatting sqref="S4:Z434">
    <x:cfRule type="expression" dxfId="7" priority="6">
      <x:formula>MOD(ROW(),2)=0</x:formula>
    </x:cfRule>
  </x:conditionalFormatting>
  <x:conditionalFormatting sqref="AA4:AA434">
    <x:cfRule type="expression" dxfId="10" priority="7">
      <x:formula>$AA4="Eligible"</x:formula>
    </x:cfRule>
    <x:cfRule type="expression" dxfId="11" priority="8">
      <x:formula>$AA4="Excluded"</x:formula>
    </x:cfRule>
  </x:conditionalFormatting>
  <x:dataValidations count="10">
    <x:dataValidation type="list" sqref="P4:P434">
      <x:formula1>"Pending Review,Approved,Rejected,Needs More Research"</x:formula1>
      <x:formula2>0</x:formula2>
    </x:dataValidation>
    <x:dataValidation type="list" sqref="F4:F434">
      <x:formula1>"Popular,Local,Rural,Underrated,Seasonal,Unclassified"</x:formula1>
      <x:formula2>0</x:formula2>
    </x:dataValidation>
    <x:dataValidation type="list" sqref="S4:S434">
      <x:formula1>"Low,Moderate,High,Unknown"</x:formula1>
    </x:dataValidation>
    <x:dataValidation type="list" sqref="T4:T434">
      <x:formula1>"Yes,Partial,No,Unknown"</x:formula1>
    </x:dataValidation>
    <x:dataValidation type="list" sqref="U4:U434">
      <x:formula1>"Yes,Partial,No,Unknown"</x:formula1>
    </x:dataValidation>
    <x:dataValidation type="list" sqref="V4:V434">
      <x:formula1>"Yes,Partial,No,Unknown"</x:formula1>
    </x:dataValidation>
    <x:dataValidation type="list" sqref="X4:X434">
      <x:formula1>"Yes,Partial,No,Unknown"</x:formula1>
    </x:dataValidation>
    <x:dataValidation type="list" sqref="W4:W434">
      <x:formula1>"Near,Moderate,Far,Unknown"</x:formula1>
    </x:dataValidation>
    <x:dataValidation type="list" sqref="Y4:Y434">
      <x:formula1>"Suitable,Suitable with assistance,Not recommended,Unknown"</x:formula1>
    </x:dataValidation>
    <x:dataValidation type="list" sqref="AA4:AA434">
      <x:formula1>"Eligible,Excluded"</x:formula1>
    </x:dataValidation>
  </x:dataValidations>
  <x:pageMargins left="0.7" right="0.7" top="0.75" bottom="0.75" header="0.3" footer="0.3"/>
  <x:tableParts count="1">
    <x:tablePart xmlns:r="http://schemas.openxmlformats.org/officeDocument/2006/relationships" r:id="R110bec3a777242db"/>
  </x:tableParts>
</x:worksheet>
</file>

<file path=xl/worksheets/sheet2.xml><?xml version="1.0" encoding="utf-8"?>
<x:worksheet xmlns:x="http://schemas.openxmlformats.org/spreadsheetml/2006/main">
  <x:sheetViews>
    <x:sheetView showGridLines="0" workbookViewId="0"/>
  </x:sheetViews>
  <x:sheetFormatPr defaultColWidth="8.7109375" defaultRowHeight="12.75"/>
  <x:cols>
    <x:col min="1" max="1" width="22" style="9" customWidth="1"/>
    <x:col min="2" max="11" width="15" style="9" customWidth="1"/>
  </x:cols>
  <x:sheetData>
    <x:row r="1" ht="30" customHeight="1">
      <x:c r="A1" s="6" t="s">
        <x:v>2571</x:v>
      </x:c>
      <x:c r="B1" s="6"/>
      <x:c r="C1" s="6"/>
      <x:c r="D1" s="6"/>
      <x:c r="E1" s="6"/>
      <x:c r="F1" s="6"/>
      <x:c r="G1" s="6"/>
      <x:c r="H1" s="6"/>
      <x:c r="I1" s="6"/>
      <x:c r="J1" s="6"/>
      <x:c r="K1" s="6"/>
    </x:row>
    <x:row r="2" ht="24" customHeight="1">
      <x:c r="A2" s="5" t="s">
        <x:v>2572</x:v>
      </x:c>
      <x:c r="B2" s="5"/>
      <x:c r="C2" s="5"/>
      <x:c r="D2" s="5"/>
      <x:c r="E2" s="5"/>
      <x:c r="F2" s="5"/>
      <x:c r="G2" s="5"/>
      <x:c r="H2" s="5"/>
      <x:c r="I2" s="5"/>
      <x:c r="J2" s="5"/>
      <x:c r="K2" s="5"/>
    </x:row>
    <x:row r="3" ht="15" customHeight="1">
      <x:c r="A3" s="24"/>
      <x:c r="B3" s="24"/>
      <x:c r="C3" s="24"/>
      <x:c r="D3" s="24"/>
      <x:c r="E3" s="24"/>
      <x:c r="F3" s="24"/>
      <x:c r="G3" s="24"/>
      <x:c r="H3" s="24"/>
      <x:c r="I3" s="24"/>
      <x:c r="J3" s="24"/>
      <x:c r="K3" s="24"/>
    </x:row>
    <x:row r="4" ht="33.75" customHeight="1">
      <x:c r="A4" s="25" t="s">
        <x:v>4</x:v>
      </x:c>
      <x:c r="B4" s="25" t="s">
        <x:v>2573</x:v>
      </x:c>
      <x:c r="C4" s="25" t="s">
        <x:v>107</x:v>
      </x:c>
      <x:c r="D4" s="25" t="s">
        <x:v>121</x:v>
      </x:c>
      <x:c r="E4" s="25" t="s">
        <x:v>194</x:v>
      </x:c>
      <x:c r="F4" s="25" t="s">
        <x:v>127</x:v>
      </x:c>
      <x:c r="G4" s="25" t="s">
        <x:v>2574</x:v>
      </x:c>
      <x:c r="H4" s="25" t="s">
        <x:v>2575</x:v>
      </x:c>
      <x:c r="I4" s="25" t="s">
        <x:v>2576</x:v>
      </x:c>
      <x:c r="J4" s="25" t="s">
        <x:v>2577</x:v>
      </x:c>
      <x:c r="K4" s="25" t="s">
        <x:v>2578</x:v>
      </x:c>
    </x:row>
    <x:row r="5" ht="15" customHeight="1">
      <x:c r="A5" s="26" t="s">
        <x:v>22</x:v>
      </x:c>
      <x:c r="B5" s="26" t="n">
        <x:f>COUNTIF(Catalogue!$C$4:$C$434,A5)</x:f>
        <x:v>35</x:v>
      </x:c>
      <x:c r="C5" s="26" t="n">
        <x:f>COUNTIFS(Catalogue!$C$4:$C$434,A5,Catalogue!$F$4:$F$434,"Popular")</x:f>
        <x:v>8</x:v>
      </x:c>
      <x:c r="D5" s="26" t="n">
        <x:f>COUNTIFS(Catalogue!$C$4:$C$434,A5,Catalogue!$F$4:$F$434,"Local")</x:f>
        <x:v>10</x:v>
      </x:c>
      <x:c r="E5" s="26" t="n">
        <x:f>COUNTIFS(Catalogue!$C$4:$C$434,A5,Catalogue!$F$4:$F$434,"Rural")</x:f>
        <x:v>2</x:v>
      </x:c>
      <x:c r="F5" s="26" t="n">
        <x:f>COUNTIFS(Catalogue!$C$4:$C$434,A5,Catalogue!$F$4:$F$434,"Underrated")</x:f>
        <x:v>5</x:v>
      </x:c>
      <x:c r="G5" s="26" t="n">
        <x:f t="shared" ref="G5:G20" si="0">B5-SUM(C5:F5)</x:f>
        <x:v>10</x:v>
      </x:c>
      <x:c r="H5" s="26" t="n">
        <x:f>COUNTIFS(Catalogue!$C$4:$C$434,A5,Catalogue!$P$4:$P$434,"Pending Review")</x:f>
        <x:v>0</x:v>
      </x:c>
      <x:c r="I5" s="26" t="n">
        <x:f>COUNTIFS(Catalogue!$C$4:$C$434,A5,Catalogue!$R$4:$R$434,"Source Link Present")</x:f>
        <x:v>3</x:v>
      </x:c>
      <x:c r="J5" s="26" t="n">
        <x:f t="shared" ref="J5:J20" si="1">B5-H5</x:f>
        <x:v>35</x:v>
      </x:c>
      <x:c r="K5" s="27" t="n">
        <x:f t="shared" ref="K5:K20" si="2">IF(B5=0,0,J5/B5)</x:f>
        <x:v>1</x:v>
      </x:c>
    </x:row>
    <x:row r="6" ht="15" customHeight="1">
      <x:c r="A6" s="28" t="s">
        <x:v>249</x:v>
      </x:c>
      <x:c r="B6" s="28" t="n">
        <x:f>COUNTIF(Catalogue!$C$4:$C$434,A6)</x:f>
        <x:v>29</x:v>
      </x:c>
      <x:c r="C6" s="28" t="n">
        <x:f>COUNTIFS(Catalogue!$C$4:$C$434,A6,Catalogue!$F$4:$F$434,"Popular")</x:f>
        <x:v>7</x:v>
      </x:c>
      <x:c r="D6" s="28" t="n">
        <x:f>COUNTIFS(Catalogue!$C$4:$C$434,A6,Catalogue!$F$4:$F$434,"Local")</x:f>
        <x:v>8</x:v>
      </x:c>
      <x:c r="E6" s="28" t="n">
        <x:f>COUNTIFS(Catalogue!$C$4:$C$434,A6,Catalogue!$F$4:$F$434,"Rural")</x:f>
        <x:v>3</x:v>
      </x:c>
      <x:c r="F6" s="28" t="n">
        <x:f>COUNTIFS(Catalogue!$C$4:$C$434,A6,Catalogue!$F$4:$F$434,"Underrated")</x:f>
        <x:v>2</x:v>
      </x:c>
      <x:c r="G6" s="28">
        <x:f t="shared" si="0"/>
        <x:v>9</x:v>
      </x:c>
      <x:c r="H6" s="28" t="n">
        <x:f>COUNTIFS(Catalogue!$C$4:$C$434,A6,Catalogue!$P$4:$P$434,"Pending Review")</x:f>
        <x:v>0</x:v>
      </x:c>
      <x:c r="I6" s="28" t="n">
        <x:f>COUNTIFS(Catalogue!$C$4:$C$434,A6,Catalogue!$R$4:$R$434,"Source Link Present")</x:f>
        <x:v>2</x:v>
      </x:c>
      <x:c r="J6" s="28">
        <x:f t="shared" si="1"/>
        <x:v>29</x:v>
      </x:c>
      <x:c r="K6" s="29">
        <x:f t="shared" si="2"/>
        <x:v>1</x:v>
      </x:c>
    </x:row>
    <x:row r="7" ht="15" customHeight="1">
      <x:c r="A7" s="28" t="s">
        <x:v>417</x:v>
      </x:c>
      <x:c r="B7" s="28" t="n">
        <x:f>COUNTIF(Catalogue!$C$4:$C$434,A7)</x:f>
        <x:v>24</x:v>
      </x:c>
      <x:c r="C7" s="28" t="n">
        <x:f>COUNTIFS(Catalogue!$C$4:$C$434,A7,Catalogue!$F$4:$F$434,"Popular")</x:f>
        <x:v>1</x:v>
      </x:c>
      <x:c r="D7" s="28" t="n">
        <x:f>COUNTIFS(Catalogue!$C$4:$C$434,A7,Catalogue!$F$4:$F$434,"Local")</x:f>
        <x:v>10</x:v>
      </x:c>
      <x:c r="E7" s="28" t="n">
        <x:f>COUNTIFS(Catalogue!$C$4:$C$434,A7,Catalogue!$F$4:$F$434,"Rural")</x:f>
        <x:v>3</x:v>
      </x:c>
      <x:c r="F7" s="28" t="n">
        <x:f>COUNTIFS(Catalogue!$C$4:$C$434,A7,Catalogue!$F$4:$F$434,"Underrated")</x:f>
        <x:v>3</x:v>
      </x:c>
      <x:c r="G7" s="28">
        <x:f t="shared" si="0"/>
        <x:v>7</x:v>
      </x:c>
      <x:c r="H7" s="28" t="n">
        <x:f>COUNTIFS(Catalogue!$C$4:$C$434,A7,Catalogue!$P$4:$P$434,"Pending Review")</x:f>
        <x:v>0</x:v>
      </x:c>
      <x:c r="I7" s="28" t="n">
        <x:f>COUNTIFS(Catalogue!$C$4:$C$434,A7,Catalogue!$R$4:$R$434,"Source Link Present")</x:f>
        <x:v>1</x:v>
      </x:c>
      <x:c r="J7" s="28">
        <x:f t="shared" si="1"/>
        <x:v>24</x:v>
      </x:c>
      <x:c r="K7" s="29">
        <x:f t="shared" si="2"/>
        <x:v>1</x:v>
      </x:c>
    </x:row>
    <x:row r="8" ht="15" customHeight="1">
      <x:c r="A8" s="28" t="s">
        <x:v>557</x:v>
      </x:c>
      <x:c r="B8" s="28" t="n">
        <x:f>COUNTIF(Catalogue!$C$4:$C$434,A8)</x:f>
        <x:v>26</x:v>
      </x:c>
      <x:c r="C8" s="28" t="n">
        <x:f>COUNTIFS(Catalogue!$C$4:$C$434,A8,Catalogue!$F$4:$F$434,"Popular")</x:f>
        <x:v>7</x:v>
      </x:c>
      <x:c r="D8" s="28" t="n">
        <x:f>COUNTIFS(Catalogue!$C$4:$C$434,A8,Catalogue!$F$4:$F$434,"Local")</x:f>
        <x:v>8</x:v>
      </x:c>
      <x:c r="E8" s="28" t="n">
        <x:f>COUNTIFS(Catalogue!$C$4:$C$434,A8,Catalogue!$F$4:$F$434,"Rural")</x:f>
        <x:v>1</x:v>
      </x:c>
      <x:c r="F8" s="28" t="n">
        <x:f>COUNTIFS(Catalogue!$C$4:$C$434,A8,Catalogue!$F$4:$F$434,"Underrated")</x:f>
        <x:v>3</x:v>
      </x:c>
      <x:c r="G8" s="28">
        <x:f t="shared" si="0"/>
        <x:v>7</x:v>
      </x:c>
      <x:c r="H8" s="28" t="n">
        <x:f>COUNTIFS(Catalogue!$C$4:$C$434,A8,Catalogue!$P$4:$P$434,"Pending Review")</x:f>
        <x:v>0</x:v>
      </x:c>
      <x:c r="I8" s="28" t="n">
        <x:f>COUNTIFS(Catalogue!$C$4:$C$434,A8,Catalogue!$R$4:$R$434,"Source Link Present")</x:f>
        <x:v>2</x:v>
      </x:c>
      <x:c r="J8" s="28">
        <x:f t="shared" si="1"/>
        <x:v>26</x:v>
      </x:c>
      <x:c r="K8" s="29">
        <x:f t="shared" si="2"/>
        <x:v>1</x:v>
      </x:c>
    </x:row>
    <x:row r="9" ht="15" customHeight="1">
      <x:c r="A9" s="28" t="s">
        <x:v>705</x:v>
      </x:c>
      <x:c r="B9" s="28" t="n">
        <x:f>COUNTIF(Catalogue!$C$4:$C$434,A9)</x:f>
        <x:v>25</x:v>
      </x:c>
      <x:c r="C9" s="28" t="n">
        <x:f>COUNTIFS(Catalogue!$C$4:$C$434,A9,Catalogue!$F$4:$F$434,"Popular")</x:f>
        <x:v>4</x:v>
      </x:c>
      <x:c r="D9" s="28" t="n">
        <x:f>COUNTIFS(Catalogue!$C$4:$C$434,A9,Catalogue!$F$4:$F$434,"Local")</x:f>
        <x:v>4</x:v>
      </x:c>
      <x:c r="E9" s="28" t="n">
        <x:f>COUNTIFS(Catalogue!$C$4:$C$434,A9,Catalogue!$F$4:$F$434,"Rural")</x:f>
        <x:v>2</x:v>
      </x:c>
      <x:c r="F9" s="28" t="n">
        <x:f>COUNTIFS(Catalogue!$C$4:$C$434,A9,Catalogue!$F$4:$F$434,"Underrated")</x:f>
        <x:v>5</x:v>
      </x:c>
      <x:c r="G9" s="28">
        <x:f t="shared" si="0"/>
        <x:v>10</x:v>
      </x:c>
      <x:c r="H9" s="28" t="n">
        <x:f>COUNTIFS(Catalogue!$C$4:$C$434,A9,Catalogue!$P$4:$P$434,"Pending Review")</x:f>
        <x:v>0</x:v>
      </x:c>
      <x:c r="I9" s="28" t="n">
        <x:f>COUNTIFS(Catalogue!$C$4:$C$434,A9,Catalogue!$R$4:$R$434,"Source Link Present")</x:f>
        <x:v>2</x:v>
      </x:c>
      <x:c r="J9" s="28">
        <x:f t="shared" si="1"/>
        <x:v>25</x:v>
      </x:c>
      <x:c r="K9" s="29">
        <x:f t="shared" si="2"/>
        <x:v>1</x:v>
      </x:c>
    </x:row>
    <x:row r="10" ht="15" customHeight="1">
      <x:c r="A10" s="28" t="s">
        <x:v>851</x:v>
      </x:c>
      <x:c r="B10" s="28" t="n">
        <x:f>COUNTIF(Catalogue!$C$4:$C$434,A10)</x:f>
        <x:v>30</x:v>
      </x:c>
      <x:c r="C10" s="28" t="n">
        <x:f>COUNTIFS(Catalogue!$C$4:$C$434,A10,Catalogue!$F$4:$F$434,"Popular")</x:f>
        <x:v>9</x:v>
      </x:c>
      <x:c r="D10" s="28" t="n">
        <x:f>COUNTIFS(Catalogue!$C$4:$C$434,A10,Catalogue!$F$4:$F$434,"Local")</x:f>
        <x:v>6</x:v>
      </x:c>
      <x:c r="E10" s="28" t="n">
        <x:f>COUNTIFS(Catalogue!$C$4:$C$434,A10,Catalogue!$F$4:$F$434,"Rural")</x:f>
        <x:v>2</x:v>
      </x:c>
      <x:c r="F10" s="28" t="n">
        <x:f>COUNTIFS(Catalogue!$C$4:$C$434,A10,Catalogue!$F$4:$F$434,"Underrated")</x:f>
        <x:v>4</x:v>
      </x:c>
      <x:c r="G10" s="28">
        <x:f t="shared" si="0"/>
        <x:v>9</x:v>
      </x:c>
      <x:c r="H10" s="28" t="n">
        <x:f>COUNTIFS(Catalogue!$C$4:$C$434,A10,Catalogue!$P$4:$P$434,"Pending Review")</x:f>
        <x:v>0</x:v>
      </x:c>
      <x:c r="I10" s="28" t="n">
        <x:f>COUNTIFS(Catalogue!$C$4:$C$434,A10,Catalogue!$R$4:$R$434,"Source Link Present")</x:f>
        <x:v>2</x:v>
      </x:c>
      <x:c r="J10" s="28">
        <x:f t="shared" si="1"/>
        <x:v>30</x:v>
      </x:c>
      <x:c r="K10" s="29">
        <x:f t="shared" si="2"/>
        <x:v>1</x:v>
      </x:c>
    </x:row>
    <x:row r="11" ht="15" customHeight="1">
      <x:c r="A11" s="28" t="s">
        <x:v>1023</x:v>
      </x:c>
      <x:c r="B11" s="28" t="n">
        <x:f>COUNTIF(Catalogue!$C$4:$C$434,A11)</x:f>
        <x:v>25</x:v>
      </x:c>
      <x:c r="C11" s="28" t="n">
        <x:f>COUNTIFS(Catalogue!$C$4:$C$434,A11,Catalogue!$F$4:$F$434,"Popular")</x:f>
        <x:v>8</x:v>
      </x:c>
      <x:c r="D11" s="28" t="n">
        <x:f>COUNTIFS(Catalogue!$C$4:$C$434,A11,Catalogue!$F$4:$F$434,"Local")</x:f>
        <x:v>7</x:v>
      </x:c>
      <x:c r="E11" s="28" t="n">
        <x:f>COUNTIFS(Catalogue!$C$4:$C$434,A11,Catalogue!$F$4:$F$434,"Rural")</x:f>
        <x:v>0</x:v>
      </x:c>
      <x:c r="F11" s="28" t="n">
        <x:f>COUNTIFS(Catalogue!$C$4:$C$434,A11,Catalogue!$F$4:$F$434,"Underrated")</x:f>
        <x:v>0</x:v>
      </x:c>
      <x:c r="G11" s="28">
        <x:f t="shared" si="0"/>
        <x:v>10</x:v>
      </x:c>
      <x:c r="H11" s="28" t="n">
        <x:f>COUNTIFS(Catalogue!$C$4:$C$434,A11,Catalogue!$P$4:$P$434,"Pending Review")</x:f>
        <x:v>0</x:v>
      </x:c>
      <x:c r="I11" s="28" t="n">
        <x:f>COUNTIFS(Catalogue!$C$4:$C$434,A11,Catalogue!$R$4:$R$434,"Source Link Present")</x:f>
        <x:v>2</x:v>
      </x:c>
      <x:c r="J11" s="28">
        <x:f t="shared" si="1"/>
        <x:v>25</x:v>
      </x:c>
      <x:c r="K11" s="29">
        <x:f t="shared" si="2"/>
        <x:v>1</x:v>
      </x:c>
    </x:row>
    <x:row r="12" ht="15" customHeight="1">
      <x:c r="A12" s="28" t="s">
        <x:v>1162</x:v>
      </x:c>
      <x:c r="B12" s="28" t="n">
        <x:f>COUNTIF(Catalogue!$C$4:$C$434,A12)</x:f>
        <x:v>29</x:v>
      </x:c>
      <x:c r="C12" s="28" t="n">
        <x:f>COUNTIFS(Catalogue!$C$4:$C$434,A12,Catalogue!$F$4:$F$434,"Popular")</x:f>
        <x:v>11</x:v>
      </x:c>
      <x:c r="D12" s="28" t="n">
        <x:f>COUNTIFS(Catalogue!$C$4:$C$434,A12,Catalogue!$F$4:$F$434,"Local")</x:f>
        <x:v>7</x:v>
      </x:c>
      <x:c r="E12" s="28" t="n">
        <x:f>COUNTIFS(Catalogue!$C$4:$C$434,A12,Catalogue!$F$4:$F$434,"Rural")</x:f>
        <x:v>2</x:v>
      </x:c>
      <x:c r="F12" s="28" t="n">
        <x:f>COUNTIFS(Catalogue!$C$4:$C$434,A12,Catalogue!$F$4:$F$434,"Underrated")</x:f>
        <x:v>1</x:v>
      </x:c>
      <x:c r="G12" s="28">
        <x:f t="shared" si="0"/>
        <x:v>8</x:v>
      </x:c>
      <x:c r="H12" s="28" t="n">
        <x:f>COUNTIFS(Catalogue!$C$4:$C$434,A12,Catalogue!$P$4:$P$434,"Pending Review")</x:f>
        <x:v>0</x:v>
      </x:c>
      <x:c r="I12" s="28" t="n">
        <x:f>COUNTIFS(Catalogue!$C$4:$C$434,A12,Catalogue!$R$4:$R$434,"Source Link Present")</x:f>
        <x:v>2</x:v>
      </x:c>
      <x:c r="J12" s="28">
        <x:f t="shared" si="1"/>
        <x:v>29</x:v>
      </x:c>
      <x:c r="K12" s="29">
        <x:f t="shared" si="2"/>
        <x:v>1</x:v>
      </x:c>
    </x:row>
    <x:row r="13" ht="15" customHeight="1">
      <x:c r="A13" s="28" t="s">
        <x:v>1333</x:v>
      </x:c>
      <x:c r="B13" s="28" t="n">
        <x:f>COUNTIF(Catalogue!$C$4:$C$434,A13)</x:f>
        <x:v>21</x:v>
      </x:c>
      <x:c r="C13" s="28" t="n">
        <x:f>COUNTIFS(Catalogue!$C$4:$C$434,A13,Catalogue!$F$4:$F$434,"Popular")</x:f>
        <x:v>2</x:v>
      </x:c>
      <x:c r="D13" s="28" t="n">
        <x:f>COUNTIFS(Catalogue!$C$4:$C$434,A13,Catalogue!$F$4:$F$434,"Local")</x:f>
        <x:v>6</x:v>
      </x:c>
      <x:c r="E13" s="28" t="n">
        <x:f>COUNTIFS(Catalogue!$C$4:$C$434,A13,Catalogue!$F$4:$F$434,"Rural")</x:f>
        <x:v>1</x:v>
      </x:c>
      <x:c r="F13" s="28" t="n">
        <x:f>COUNTIFS(Catalogue!$C$4:$C$434,A13,Catalogue!$F$4:$F$434,"Underrated")</x:f>
        <x:v>2</x:v>
      </x:c>
      <x:c r="G13" s="28">
        <x:f t="shared" si="0"/>
        <x:v>10</x:v>
      </x:c>
      <x:c r="H13" s="28" t="n">
        <x:f>COUNTIFS(Catalogue!$C$4:$C$434,A13,Catalogue!$P$4:$P$434,"Pending Review")</x:f>
        <x:v>0</x:v>
      </x:c>
      <x:c r="I13" s="28" t="n">
        <x:f>COUNTIFS(Catalogue!$C$4:$C$434,A13,Catalogue!$R$4:$R$434,"Source Link Present")</x:f>
        <x:v>2</x:v>
      </x:c>
      <x:c r="J13" s="28">
        <x:f t="shared" si="1"/>
        <x:v>21</x:v>
      </x:c>
      <x:c r="K13" s="29">
        <x:f t="shared" si="2"/>
        <x:v>1</x:v>
      </x:c>
    </x:row>
    <x:row r="14" ht="15" customHeight="1">
      <x:c r="A14" s="28" t="s">
        <x:v>1463</x:v>
      </x:c>
      <x:c r="B14" s="28" t="n">
        <x:f>COUNTIF(Catalogue!$C$4:$C$434,A14)</x:f>
        <x:v>33</x:v>
      </x:c>
      <x:c r="C14" s="28" t="n">
        <x:f>COUNTIFS(Catalogue!$C$4:$C$434,A14,Catalogue!$F$4:$F$434,"Popular")</x:f>
        <x:v>14</x:v>
      </x:c>
      <x:c r="D14" s="28" t="n">
        <x:f>COUNTIFS(Catalogue!$C$4:$C$434,A14,Catalogue!$F$4:$F$434,"Local")</x:f>
        <x:v>7</x:v>
      </x:c>
      <x:c r="E14" s="28" t="n">
        <x:f>COUNTIFS(Catalogue!$C$4:$C$434,A14,Catalogue!$F$4:$F$434,"Rural")</x:f>
        <x:v>2</x:v>
      </x:c>
      <x:c r="F14" s="28" t="n">
        <x:f>COUNTIFS(Catalogue!$C$4:$C$434,A14,Catalogue!$F$4:$F$434,"Underrated")</x:f>
        <x:v>1</x:v>
      </x:c>
      <x:c r="G14" s="28">
        <x:f t="shared" si="0"/>
        <x:v>9</x:v>
      </x:c>
      <x:c r="H14" s="28" t="n">
        <x:f>COUNTIFS(Catalogue!$C$4:$C$434,A14,Catalogue!$P$4:$P$434,"Pending Review")</x:f>
        <x:v>0</x:v>
      </x:c>
      <x:c r="I14" s="28" t="n">
        <x:f>COUNTIFS(Catalogue!$C$4:$C$434,A14,Catalogue!$R$4:$R$434,"Source Link Present")</x:f>
        <x:v>2</x:v>
      </x:c>
      <x:c r="J14" s="28">
        <x:f t="shared" si="1"/>
        <x:v>33</x:v>
      </x:c>
      <x:c r="K14" s="29">
        <x:f t="shared" si="2"/>
        <x:v>1</x:v>
      </x:c>
    </x:row>
    <x:row r="15" ht="15" customHeight="1">
      <x:c r="A15" s="28" t="s">
        <x:v>1655</x:v>
      </x:c>
      <x:c r="B15" s="28" t="n">
        <x:f>COUNTIF(Catalogue!$C$4:$C$434,A15)</x:f>
        <x:v>33</x:v>
      </x:c>
      <x:c r="C15" s="28" t="n">
        <x:f>COUNTIFS(Catalogue!$C$4:$C$434,A15,Catalogue!$F$4:$F$434,"Popular")</x:f>
        <x:v>10</x:v>
      </x:c>
      <x:c r="D15" s="28" t="n">
        <x:f>COUNTIFS(Catalogue!$C$4:$C$434,A15,Catalogue!$F$4:$F$434,"Local")</x:f>
        <x:v>6</x:v>
      </x:c>
      <x:c r="E15" s="28" t="n">
        <x:f>COUNTIFS(Catalogue!$C$4:$C$434,A15,Catalogue!$F$4:$F$434,"Rural")</x:f>
        <x:v>6</x:v>
      </x:c>
      <x:c r="F15" s="28" t="n">
        <x:f>COUNTIFS(Catalogue!$C$4:$C$434,A15,Catalogue!$F$4:$F$434,"Underrated")</x:f>
        <x:v>2</x:v>
      </x:c>
      <x:c r="G15" s="28">
        <x:f t="shared" si="0"/>
        <x:v>9</x:v>
      </x:c>
      <x:c r="H15" s="28" t="n">
        <x:f>COUNTIFS(Catalogue!$C$4:$C$434,A15,Catalogue!$P$4:$P$434,"Pending Review")</x:f>
        <x:v>0</x:v>
      </x:c>
      <x:c r="I15" s="28" t="n">
        <x:f>COUNTIFS(Catalogue!$C$4:$C$434,A15,Catalogue!$R$4:$R$434,"Source Link Present")</x:f>
        <x:v>2</x:v>
      </x:c>
      <x:c r="J15" s="28">
        <x:f t="shared" si="1"/>
        <x:v>33</x:v>
      </x:c>
      <x:c r="K15" s="29">
        <x:f t="shared" si="2"/>
        <x:v>1</x:v>
      </x:c>
    </x:row>
    <x:row r="16" ht="15" customHeight="1">
      <x:c r="A16" s="28" t="s">
        <x:v>1848</x:v>
      </x:c>
      <x:c r="B16" s="28" t="n">
        <x:f>COUNTIF(Catalogue!$C$4:$C$434,A16)</x:f>
        <x:v>29</x:v>
      </x:c>
      <x:c r="C16" s="28" t="n">
        <x:f>COUNTIFS(Catalogue!$C$4:$C$434,A16,Catalogue!$F$4:$F$434,"Popular")</x:f>
        <x:v>10</x:v>
      </x:c>
      <x:c r="D16" s="28" t="n">
        <x:f>COUNTIFS(Catalogue!$C$4:$C$434,A16,Catalogue!$F$4:$F$434,"Local")</x:f>
        <x:v>9</x:v>
      </x:c>
      <x:c r="E16" s="28" t="n">
        <x:f>COUNTIFS(Catalogue!$C$4:$C$434,A16,Catalogue!$F$4:$F$434,"Rural")</x:f>
        <x:v>0</x:v>
      </x:c>
      <x:c r="F16" s="28" t="n">
        <x:f>COUNTIFS(Catalogue!$C$4:$C$434,A16,Catalogue!$F$4:$F$434,"Underrated")</x:f>
        <x:v>1</x:v>
      </x:c>
      <x:c r="G16" s="28">
        <x:f t="shared" si="0"/>
        <x:v>9</x:v>
      </x:c>
      <x:c r="H16" s="28" t="n">
        <x:f>COUNTIFS(Catalogue!$C$4:$C$434,A16,Catalogue!$P$4:$P$434,"Pending Review")</x:f>
        <x:v>0</x:v>
      </x:c>
      <x:c r="I16" s="28" t="n">
        <x:f>COUNTIFS(Catalogue!$C$4:$C$434,A16,Catalogue!$R$4:$R$434,"Source Link Present")</x:f>
        <x:v>3</x:v>
      </x:c>
      <x:c r="J16" s="28">
        <x:f t="shared" si="1"/>
        <x:v>29</x:v>
      </x:c>
      <x:c r="K16" s="29">
        <x:f t="shared" si="2"/>
        <x:v>1</x:v>
      </x:c>
    </x:row>
    <x:row r="17" ht="15" customHeight="1">
      <x:c r="A17" s="28" t="s">
        <x:v>2021</x:v>
      </x:c>
      <x:c r="B17" s="28" t="n">
        <x:f>COUNTIF(Catalogue!$C$4:$C$434,A17)</x:f>
        <x:v>32</x:v>
      </x:c>
      <x:c r="C17" s="28" t="n">
        <x:f>COUNTIFS(Catalogue!$C$4:$C$434,A17,Catalogue!$F$4:$F$434,"Popular")</x:f>
        <x:v>11</x:v>
      </x:c>
      <x:c r="D17" s="28" t="n">
        <x:f>COUNTIFS(Catalogue!$C$4:$C$434,A17,Catalogue!$F$4:$F$434,"Local")</x:f>
        <x:v>8</x:v>
      </x:c>
      <x:c r="E17" s="28" t="n">
        <x:f>COUNTIFS(Catalogue!$C$4:$C$434,A17,Catalogue!$F$4:$F$434,"Rural")</x:f>
        <x:v>1</x:v>
      </x:c>
      <x:c r="F17" s="28" t="n">
        <x:f>COUNTIFS(Catalogue!$C$4:$C$434,A17,Catalogue!$F$4:$F$434,"Underrated")</x:f>
        <x:v>3</x:v>
      </x:c>
      <x:c r="G17" s="28">
        <x:f t="shared" si="0"/>
        <x:v>9</x:v>
      </x:c>
      <x:c r="H17" s="28" t="n">
        <x:f>COUNTIFS(Catalogue!$C$4:$C$434,A17,Catalogue!$P$4:$P$434,"Pending Review")</x:f>
        <x:v>0</x:v>
      </x:c>
      <x:c r="I17" s="28" t="n">
        <x:f>COUNTIFS(Catalogue!$C$4:$C$434,A17,Catalogue!$R$4:$R$434,"Source Link Present")</x:f>
        <x:v>2</x:v>
      </x:c>
      <x:c r="J17" s="28">
        <x:f t="shared" si="1"/>
        <x:v>32</x:v>
      </x:c>
      <x:c r="K17" s="29">
        <x:f t="shared" si="2"/>
        <x:v>1</x:v>
      </x:c>
    </x:row>
    <x:row r="18" ht="15" customHeight="1">
      <x:c r="A18" s="28" t="s">
        <x:v>2199</x:v>
      </x:c>
      <x:c r="B18" s="28" t="n">
        <x:f>COUNTIF(Catalogue!$C$4:$C$434,A18)</x:f>
        <x:v>24</x:v>
      </x:c>
      <x:c r="C18" s="28" t="n">
        <x:f>COUNTIFS(Catalogue!$C$4:$C$434,A18,Catalogue!$F$4:$F$434,"Popular")</x:f>
        <x:v>6</x:v>
      </x:c>
      <x:c r="D18" s="28" t="n">
        <x:f>COUNTIFS(Catalogue!$C$4:$C$434,A18,Catalogue!$F$4:$F$434,"Local")</x:f>
        <x:v>9</x:v>
      </x:c>
      <x:c r="E18" s="28" t="n">
        <x:f>COUNTIFS(Catalogue!$C$4:$C$434,A18,Catalogue!$F$4:$F$434,"Rural")</x:f>
        <x:v>0</x:v>
      </x:c>
      <x:c r="F18" s="28" t="n">
        <x:f>COUNTIFS(Catalogue!$C$4:$C$434,A18,Catalogue!$F$4:$F$434,"Underrated")</x:f>
        <x:v>1</x:v>
      </x:c>
      <x:c r="G18" s="28">
        <x:f t="shared" si="0"/>
        <x:v>8</x:v>
      </x:c>
      <x:c r="H18" s="28" t="n">
        <x:f>COUNTIFS(Catalogue!$C$4:$C$434,A18,Catalogue!$P$4:$P$434,"Pending Review")</x:f>
        <x:v>0</x:v>
      </x:c>
      <x:c r="I18" s="28" t="n">
        <x:f>COUNTIFS(Catalogue!$C$4:$C$434,A18,Catalogue!$R$4:$R$434,"Source Link Present")</x:f>
        <x:v>1</x:v>
      </x:c>
      <x:c r="J18" s="28">
        <x:f t="shared" si="1"/>
        <x:v>24</x:v>
      </x:c>
      <x:c r="K18" s="29">
        <x:f t="shared" si="2"/>
        <x:v>1</x:v>
      </x:c>
    </x:row>
    <x:row r="19" ht="15" customHeight="1">
      <x:c r="A19" s="28" t="s">
        <x:v>2346</x:v>
      </x:c>
      <x:c r="B19" s="28" t="n">
        <x:f>COUNTIF(Catalogue!$C$4:$C$434,A19)</x:f>
        <x:v>17</x:v>
      </x:c>
      <x:c r="C19" s="28" t="n">
        <x:f>COUNTIFS(Catalogue!$C$4:$C$434,A19,Catalogue!$F$4:$F$434,"Popular")</x:f>
        <x:v>3</x:v>
      </x:c>
      <x:c r="D19" s="28" t="n">
        <x:f>COUNTIFS(Catalogue!$C$4:$C$434,A19,Catalogue!$F$4:$F$434,"Local")</x:f>
        <x:v>4</x:v>
      </x:c>
      <x:c r="E19" s="28" t="n">
        <x:f>COUNTIFS(Catalogue!$C$4:$C$434,A19,Catalogue!$F$4:$F$434,"Rural")</x:f>
        <x:v>0</x:v>
      </x:c>
      <x:c r="F19" s="28" t="n">
        <x:f>COUNTIFS(Catalogue!$C$4:$C$434,A19,Catalogue!$F$4:$F$434,"Underrated")</x:f>
        <x:v>1</x:v>
      </x:c>
      <x:c r="G19" s="28">
        <x:f t="shared" si="0"/>
        <x:v>9</x:v>
      </x:c>
      <x:c r="H19" s="28" t="n">
        <x:f>COUNTIFS(Catalogue!$C$4:$C$434,A19,Catalogue!$P$4:$P$434,"Pending Review")</x:f>
        <x:v>0</x:v>
      </x:c>
      <x:c r="I19" s="28" t="n">
        <x:f>COUNTIFS(Catalogue!$C$4:$C$434,A19,Catalogue!$R$4:$R$434,"Source Link Present")</x:f>
        <x:v>2</x:v>
      </x:c>
      <x:c r="J19" s="28">
        <x:f t="shared" si="1"/>
        <x:v>17</x:v>
      </x:c>
      <x:c r="K19" s="29">
        <x:f t="shared" si="2"/>
        <x:v>1</x:v>
      </x:c>
    </x:row>
    <x:row r="20" ht="15" customHeight="1">
      <x:c r="A20" s="30" t="s">
        <x:v>2453</x:v>
      </x:c>
      <x:c r="B20" s="30" t="n">
        <x:f>COUNTIF(Catalogue!$C$4:$C$434,A20)</x:f>
        <x:v>19</x:v>
      </x:c>
      <x:c r="C20" s="30" t="n">
        <x:f>COUNTIFS(Catalogue!$C$4:$C$434,A20,Catalogue!$F$4:$F$434,"Popular")</x:f>
        <x:v>1</x:v>
      </x:c>
      <x:c r="D20" s="30" t="n">
        <x:f>COUNTIFS(Catalogue!$C$4:$C$434,A20,Catalogue!$F$4:$F$434,"Local")</x:f>
        <x:v>5</x:v>
      </x:c>
      <x:c r="E20" s="30" t="n">
        <x:f>COUNTIFS(Catalogue!$C$4:$C$434,A20,Catalogue!$F$4:$F$434,"Rural")</x:f>
        <x:v>0</x:v>
      </x:c>
      <x:c r="F20" s="30" t="n">
        <x:f>COUNTIFS(Catalogue!$C$4:$C$434,A20,Catalogue!$F$4:$F$434,"Underrated")</x:f>
        <x:v>4</x:v>
      </x:c>
      <x:c r="G20" s="30">
        <x:f t="shared" si="0"/>
        <x:v>9</x:v>
      </x:c>
      <x:c r="H20" s="30" t="n">
        <x:f>COUNTIFS(Catalogue!$C$4:$C$434,A20,Catalogue!$P$4:$P$434,"Pending Review")</x:f>
        <x:v>0</x:v>
      </x:c>
      <x:c r="I20" s="30" t="n">
        <x:f>COUNTIFS(Catalogue!$C$4:$C$434,A20,Catalogue!$R$4:$R$434,"Source Link Present")</x:f>
        <x:v>2</x:v>
      </x:c>
      <x:c r="J20" s="30">
        <x:f t="shared" si="1"/>
        <x:v>19</x:v>
      </x:c>
      <x:c r="K20" s="31">
        <x:f t="shared" si="2"/>
        <x:v>1</x:v>
      </x:c>
    </x:row>
    <x:row r="21" ht="15" customHeight="1">
      <x:c r="A21" s="24"/>
      <x:c r="B21" s="24"/>
      <x:c r="C21" s="24"/>
      <x:c r="D21" s="24"/>
      <x:c r="E21" s="24"/>
      <x:c r="F21" s="24"/>
      <x:c r="G21" s="24"/>
      <x:c r="H21" s="24"/>
      <x:c r="I21" s="24"/>
      <x:c r="J21" s="24"/>
      <x:c r="K21" s="32"/>
    </x:row>
    <x:row r="22" ht="15" customHeight="1">
      <x:c r="A22" s="33" t="s">
        <x:v>2579</x:v>
      </x:c>
      <x:c r="B22" s="33" t="n">
        <x:f t="shared" ref="B22:J22" si="3">SUM(B5:B20)</x:f>
        <x:v>431</x:v>
      </x:c>
      <x:c r="C22" s="33">
        <x:f t="shared" si="3"/>
        <x:v>112</x:v>
      </x:c>
      <x:c r="D22" s="33">
        <x:f t="shared" si="3"/>
        <x:v>114</x:v>
      </x:c>
      <x:c r="E22" s="33">
        <x:f t="shared" si="3"/>
        <x:v>25</x:v>
      </x:c>
      <x:c r="F22" s="33">
        <x:f t="shared" si="3"/>
        <x:v>38</x:v>
      </x:c>
      <x:c r="G22" s="33">
        <x:f t="shared" si="3"/>
        <x:v>142</x:v>
      </x:c>
      <x:c r="H22" s="33">
        <x:f t="shared" si="3"/>
        <x:v>0</x:v>
      </x:c>
      <x:c r="I22" s="33">
        <x:f t="shared" si="3"/>
        <x:v>32</x:v>
      </x:c>
      <x:c r="J22" s="33">
        <x:f t="shared" si="3"/>
        <x:v>431</x:v>
      </x:c>
      <x:c r="K22" s="34" t="n">
        <x:f>IF(B22=0,0,J22/B22)</x:f>
        <x:v>1</x:v>
      </x:c>
    </x:row>
  </x:sheetData>
  <x:mergeCells>
    <x:mergeCell ref="A1:K1"/>
    <x:mergeCell ref="A2:K2"/>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ColWidth="8.7109375" defaultRowHeight="12.75"/>
  <x:cols>
    <x:col min="1" max="1" width="22" style="9" customWidth="1"/>
    <x:col min="2" max="2" width="48" style="9" customWidth="1"/>
    <x:col min="3" max="3" width="30" style="9" customWidth="1"/>
    <x:col min="4" max="4" width="34" style="9" customWidth="1"/>
    <x:col min="5" max="5" width="52" style="9" customWidth="1"/>
  </x:cols>
  <x:sheetData>
    <x:row r="1" ht="30" customHeight="1">
      <x:c r="A1" s="6" t="s">
        <x:v>2580</x:v>
      </x:c>
      <x:c r="B1" s="6"/>
      <x:c r="C1" s="6"/>
      <x:c r="D1" s="6"/>
      <x:c r="E1" s="6"/>
    </x:row>
    <x:row r="2" ht="31.5" customHeight="1">
      <x:c r="A2" s="4" t="s">
        <x:v>2581</x:v>
      </x:c>
      <x:c r="B2" s="4"/>
      <x:c r="C2" s="4"/>
      <x:c r="D2" s="4"/>
      <x:c r="E2" s="4"/>
    </x:row>
    <x:row r="4" ht="30" customHeight="1">
      <x:c r="A4" s="35" t="s">
        <x:v>4</x:v>
      </x:c>
      <x:c r="B4" s="35" t="s">
        <x:v>2582</x:v>
      </x:c>
      <x:c r="C4" s="35" t="s">
        <x:v>2583</x:v>
      </x:c>
      <x:c r="D4" s="35" t="s">
        <x:v>2584</x:v>
      </x:c>
      <x:c r="E4" s="35" t="s">
        <x:v>2585</x:v>
      </x:c>
    </x:row>
    <x:row r="5" ht="36" customHeight="1">
      <x:c r="A5" s="13" t="s">
        <x:v>22</x:v>
      </x:c>
      <x:c r="B5" s="13" t="s">
        <x:v>30</x:v>
      </x:c>
      <x:c r="C5" s="13" t="s">
        <x:v>2586</x:v>
      </x:c>
      <x:c r="D5" s="13" t="s">
        <x:v>2587</x:v>
      </x:c>
      <x:c r="E5" s="13" t="s">
        <x:v>2588</x:v>
      </x:c>
    </x:row>
    <x:row r="6" ht="36" customHeight="1">
      <x:c r="A6" s="17" t="s">
        <x:v>249</x:v>
      </x:c>
      <x:c r="B6" s="17" t="s">
        <x:v>255</x:v>
      </x:c>
      <x:c r="C6" s="17" t="s">
        <x:v>2586</x:v>
      </x:c>
      <x:c r="D6" s="17" t="s">
        <x:v>2587</x:v>
      </x:c>
      <x:c r="E6" s="17" t="s">
        <x:v>2588</x:v>
      </x:c>
    </x:row>
    <x:row r="7" ht="36" customHeight="1">
      <x:c r="A7" s="17" t="s">
        <x:v>417</x:v>
      </x:c>
      <x:c r="B7" s="17" t="s">
        <x:v>422</x:v>
      </x:c>
      <x:c r="C7" s="17" t="s">
        <x:v>2586</x:v>
      </x:c>
      <x:c r="D7" s="17" t="s">
        <x:v>2587</x:v>
      </x:c>
      <x:c r="E7" s="17" t="s">
        <x:v>2588</x:v>
      </x:c>
    </x:row>
    <x:row r="8" ht="36" customHeight="1">
      <x:c r="A8" s="17" t="s">
        <x:v>557</x:v>
      </x:c>
      <x:c r="B8" s="17" t="s">
        <x:v>562</x:v>
      </x:c>
      <x:c r="C8" s="17" t="s">
        <x:v>2586</x:v>
      </x:c>
      <x:c r="D8" s="17" t="s">
        <x:v>2587</x:v>
      </x:c>
      <x:c r="E8" s="17" t="s">
        <x:v>2588</x:v>
      </x:c>
    </x:row>
    <x:row r="9" ht="36" customHeight="1">
      <x:c r="A9" s="17" t="s">
        <x:v>705</x:v>
      </x:c>
      <x:c r="B9" s="17" t="s">
        <x:v>709</x:v>
      </x:c>
      <x:c r="C9" s="17" t="s">
        <x:v>2586</x:v>
      </x:c>
      <x:c r="D9" s="17" t="s">
        <x:v>2587</x:v>
      </x:c>
      <x:c r="E9" s="17" t="s">
        <x:v>2588</x:v>
      </x:c>
    </x:row>
    <x:row r="10" ht="36" customHeight="1">
      <x:c r="A10" s="17" t="s">
        <x:v>851</x:v>
      </x:c>
      <x:c r="B10" s="17" t="s">
        <x:v>855</x:v>
      </x:c>
      <x:c r="C10" s="17" t="s">
        <x:v>2586</x:v>
      </x:c>
      <x:c r="D10" s="17" t="s">
        <x:v>2587</x:v>
      </x:c>
      <x:c r="E10" s="17" t="s">
        <x:v>2588</x:v>
      </x:c>
    </x:row>
    <x:row r="11" ht="36" customHeight="1">
      <x:c r="A11" s="17" t="s">
        <x:v>1023</x:v>
      </x:c>
      <x:c r="B11" s="17" t="s">
        <x:v>1028</x:v>
      </x:c>
      <x:c r="C11" s="17" t="s">
        <x:v>2586</x:v>
      </x:c>
      <x:c r="D11" s="17" t="s">
        <x:v>2587</x:v>
      </x:c>
      <x:c r="E11" s="17" t="s">
        <x:v>2588</x:v>
      </x:c>
    </x:row>
    <x:row r="12" ht="36" customHeight="1">
      <x:c r="A12" s="17" t="s">
        <x:v>1162</x:v>
      </x:c>
      <x:c r="B12" s="17" t="s">
        <x:v>1167</x:v>
      </x:c>
      <x:c r="C12" s="17" t="s">
        <x:v>2586</x:v>
      </x:c>
      <x:c r="D12" s="17" t="s">
        <x:v>2587</x:v>
      </x:c>
      <x:c r="E12" s="17" t="s">
        <x:v>2588</x:v>
      </x:c>
    </x:row>
    <x:row r="13" ht="36" customHeight="1">
      <x:c r="A13" s="17" t="s">
        <x:v>1333</x:v>
      </x:c>
      <x:c r="B13" s="17" t="s">
        <x:v>1338</x:v>
      </x:c>
      <x:c r="C13" s="17" t="s">
        <x:v>2586</x:v>
      </x:c>
      <x:c r="D13" s="17" t="s">
        <x:v>2587</x:v>
      </x:c>
      <x:c r="E13" s="17" t="s">
        <x:v>2588</x:v>
      </x:c>
    </x:row>
    <x:row r="14" ht="36" customHeight="1">
      <x:c r="A14" s="17" t="s">
        <x:v>1463</x:v>
      </x:c>
      <x:c r="B14" s="17" t="s">
        <x:v>1468</x:v>
      </x:c>
      <x:c r="C14" s="17" t="s">
        <x:v>2586</x:v>
      </x:c>
      <x:c r="D14" s="17" t="s">
        <x:v>2587</x:v>
      </x:c>
      <x:c r="E14" s="17" t="s">
        <x:v>2588</x:v>
      </x:c>
    </x:row>
    <x:row r="15" ht="36" customHeight="1">
      <x:c r="A15" s="17" t="s">
        <x:v>1655</x:v>
      </x:c>
      <x:c r="B15" s="17" t="s">
        <x:v>1660</x:v>
      </x:c>
      <x:c r="C15" s="17" t="s">
        <x:v>2586</x:v>
      </x:c>
      <x:c r="D15" s="17" t="s">
        <x:v>2587</x:v>
      </x:c>
      <x:c r="E15" s="17" t="s">
        <x:v>2588</x:v>
      </x:c>
    </x:row>
    <x:row r="16" ht="36" customHeight="1">
      <x:c r="A16" s="17" t="s">
        <x:v>1848</x:v>
      </x:c>
      <x:c r="B16" s="17" t="s">
        <x:v>1853</x:v>
      </x:c>
      <x:c r="C16" s="17" t="s">
        <x:v>2586</x:v>
      </x:c>
      <x:c r="D16" s="17" t="s">
        <x:v>2587</x:v>
      </x:c>
      <x:c r="E16" s="17" t="s">
        <x:v>2588</x:v>
      </x:c>
    </x:row>
    <x:row r="17" ht="36" customHeight="1">
      <x:c r="A17" s="17" t="s">
        <x:v>2021</x:v>
      </x:c>
      <x:c r="B17" s="17" t="s">
        <x:v>2026</x:v>
      </x:c>
      <x:c r="C17" s="17" t="s">
        <x:v>2586</x:v>
      </x:c>
      <x:c r="D17" s="17" t="s">
        <x:v>2587</x:v>
      </x:c>
      <x:c r="E17" s="17" t="s">
        <x:v>2588</x:v>
      </x:c>
    </x:row>
    <x:row r="18" ht="36" customHeight="1">
      <x:c r="A18" s="17" t="s">
        <x:v>2199</x:v>
      </x:c>
      <x:c r="B18" s="17" t="s">
        <x:v>2204</x:v>
      </x:c>
      <x:c r="C18" s="17" t="s">
        <x:v>2586</x:v>
      </x:c>
      <x:c r="D18" s="17" t="s">
        <x:v>2587</x:v>
      </x:c>
      <x:c r="E18" s="17" t="s">
        <x:v>2588</x:v>
      </x:c>
    </x:row>
    <x:row r="19" ht="36" customHeight="1">
      <x:c r="A19" s="17" t="s">
        <x:v>2346</x:v>
      </x:c>
      <x:c r="B19" s="17" t="s">
        <x:v>2351</x:v>
      </x:c>
      <x:c r="C19" s="17" t="s">
        <x:v>2586</x:v>
      </x:c>
      <x:c r="D19" s="17" t="s">
        <x:v>2587</x:v>
      </x:c>
      <x:c r="E19" s="17" t="s">
        <x:v>2588</x:v>
      </x:c>
    </x:row>
    <x:row r="20" ht="36" customHeight="1">
      <x:c r="A20" s="21" t="s">
        <x:v>2453</x:v>
      </x:c>
      <x:c r="B20" s="21" t="s">
        <x:v>2458</x:v>
      </x:c>
      <x:c r="C20" s="21" t="s">
        <x:v>2586</x:v>
      </x:c>
      <x:c r="D20" s="21" t="s">
        <x:v>2587</x:v>
      </x:c>
      <x:c r="E20" s="21" t="s">
        <x:v>2588</x:v>
      </x:c>
    </x:row>
  </x:sheetData>
  <x:mergeCells>
    <x:mergeCell ref="A1:E1"/>
    <x:mergeCell ref="A2:E2"/>
  </x:mergeCells>
  <x:pageMargins left="0.7" right="0.7" top="0.75" bottom="0.75" header="0.3" footer="0.3"/>
  <x:tableParts count="1">
    <x:tablePart xmlns:r="http://schemas.openxmlformats.org/officeDocument/2006/relationships" r:id="Rf3680399597b4e62"/>
  </x:tableParts>
</x:worksheet>
</file>

<file path=xl/worksheets/sheet4.xml><?xml version="1.0" encoding="utf-8"?>
<x:worksheet xmlns:x="http://schemas.openxmlformats.org/spreadsheetml/2006/main">
  <x:sheetViews>
    <x:sheetView showGridLines="0" workbookViewId="0"/>
  </x:sheetViews>
  <x:sheetFormatPr defaultColWidth="8.7109375" defaultRowHeight="12.75"/>
  <x:cols>
    <x:col min="1" max="1" width="27" style="9" hidden="0" customWidth="1"/>
    <x:col min="2" max="2" width="36" style="9" hidden="0" customWidth="1"/>
    <x:col min="3" max="3" width="75" style="9" hidden="0" customWidth="1"/>
    <x:col min="4" max="6" width="12" style="9" customWidth="1"/>
  </x:cols>
  <x:sheetData>
    <x:row r="1" ht="30" customHeight="1">
      <x:c r="A1" s="6" t="s">
        <x:v>2589</x:v>
      </x:c>
      <x:c r="B1" s="6"/>
      <x:c r="C1" s="6"/>
      <x:c r="D1" s="6"/>
      <x:c r="E1" s="6"/>
      <x:c r="F1" s="6"/>
    </x:row>
    <x:row r="3" ht="24" customHeight="1">
      <x:c r="A3" s="3" t="s">
        <x:v>2590</x:v>
      </x:c>
      <x:c r="B3" s="3"/>
      <x:c r="C3" s="3"/>
      <x:c r="D3" s="3"/>
      <x:c r="E3" s="3"/>
      <x:c r="F3" s="3"/>
    </x:row>
    <x:row r="4" ht="34.5" customHeight="1">
      <x:c r="A4" s="36" t="s">
        <x:v>2591</x:v>
      </x:c>
      <x:c r="B4" s="36" t="s">
        <x:v>2592</x:v>
      </x:c>
      <x:c r="C4" s="36" t="s">
        <x:v>2593</x:v>
      </x:c>
      <x:c r="D4" s="36"/>
      <x:c r="E4" s="36"/>
      <x:c r="F4" s="36"/>
    </x:row>
    <x:row r="5" ht="34.5" customHeight="1">
      <x:c r="A5" s="37" t="s">
        <x:v>2594</x:v>
      </x:c>
      <x:c r="B5" s="37" t="s">
        <x:v>2595</x:v>
      </x:c>
      <x:c r="C5" s="37" t="s">
        <x:v>2596</x:v>
      </x:c>
      <x:c r="D5" s="37"/>
      <x:c r="E5" s="37"/>
      <x:c r="F5" s="37"/>
    </x:row>
    <x:row r="6" ht="34.5" customHeight="1">
      <x:c r="A6" s="37" t="s">
        <x:v>2597</x:v>
      </x:c>
      <x:c r="B6" s="37" t="s">
        <x:v>2598</x:v>
      </x:c>
      <x:c r="C6" s="37" t="s">
        <x:v>2599</x:v>
      </x:c>
      <x:c r="D6" s="37"/>
      <x:c r="E6" s="37"/>
      <x:c r="F6" s="37"/>
    </x:row>
    <x:row r="7" ht="34.5" customHeight="1">
      <x:c r="A7" s="37" t="s">
        <x:v>2600</x:v>
      </x:c>
      <x:c r="B7" s="37" t="s">
        <x:v>2601</x:v>
      </x:c>
      <x:c r="C7" s="37" t="s">
        <x:v>2602</x:v>
      </x:c>
      <x:c r="D7" s="37"/>
      <x:c r="E7" s="37"/>
      <x:c r="F7" s="37"/>
    </x:row>
    <x:row r="8" ht="34.5" customHeight="1">
      <x:c r="A8" s="38" t="s">
        <x:v>2603</x:v>
      </x:c>
      <x:c r="B8" s="38" t="s">
        <x:v>2604</x:v>
      </x:c>
      <x:c r="C8" s="38" t="s">
        <x:v>2605</x:v>
      </x:c>
      <x:c r="D8" s="38"/>
      <x:c r="E8" s="38"/>
      <x:c r="F8" s="38"/>
    </x:row>
    <x:row r="10" ht="24" customHeight="1">
      <x:c r="A10" s="3" t="s">
        <x:v>2606</x:v>
      </x:c>
      <x:c r="B10" s="3"/>
      <x:c r="C10" s="3"/>
      <x:c r="D10" s="3"/>
      <x:c r="E10" s="3"/>
      <x:c r="F10" s="3"/>
    </x:row>
    <x:row r="11" ht="15" customHeight="1">
      <x:c r="A11" s="39" t="s">
        <x:v>2607</x:v>
      </x:c>
      <x:c r="B11" s="39" t="s">
        <x:v>2608</x:v>
      </x:c>
      <x:c r="C11" s="39" t="s">
        <x:v>2609</x:v>
      </x:c>
    </x:row>
    <x:row r="12" ht="30" customHeight="1">
      <x:c r="A12" s="40" t="s">
        <x:v>2575</x:v>
      </x:c>
      <x:c r="B12" s="40" t="s">
        <x:v>2610</x:v>
      </x:c>
      <x:c r="C12" s="40" t="s">
        <x:v>2611</x:v>
      </x:c>
    </x:row>
    <x:row r="13" ht="30" customHeight="1">
      <x:c r="A13" s="41" t="s">
        <x:v>2612</x:v>
      </x:c>
      <x:c r="B13" s="41" t="s">
        <x:v>2613</x:v>
      </x:c>
      <x:c r="C13" s="41" t="s">
        <x:v>2614</x:v>
      </x:c>
    </x:row>
    <x:row r="14" ht="30" customHeight="1">
      <x:c r="A14" s="41" t="s">
        <x:v>2615</x:v>
      </x:c>
      <x:c r="B14" s="41" t="s">
        <x:v>2616</x:v>
      </x:c>
      <x:c r="C14" s="41" t="s">
        <x:v>2617</x:v>
      </x:c>
    </x:row>
    <x:row r="15" ht="30" customHeight="1">
      <x:c r="A15" s="42" t="s">
        <x:v>1405</x:v>
      </x:c>
      <x:c r="B15" s="42" t="s">
        <x:v>2618</x:v>
      </x:c>
      <x:c r="C15" s="42" t="s">
        <x:v>2619</x:v>
      </x:c>
    </x:row>
    <x:row r="17" ht="24" customHeight="1">
      <x:c r="A17" s="3" t="s">
        <x:v>2620</x:v>
      </x:c>
      <x:c r="B17" s="3"/>
      <x:c r="C17" s="3"/>
      <x:c r="D17" s="3"/>
      <x:c r="E17" s="3"/>
      <x:c r="F17" s="3"/>
    </x:row>
    <x:row r="18" ht="27.75" customHeight="1">
      <x:c r="A18" s="2" t="s">
        <x:v>2621</x:v>
      </x:c>
      <x:c r="B18" s="2"/>
      <x:c r="C18" s="2"/>
      <x:c r="D18" s="2"/>
      <x:c r="E18" s="2"/>
      <x:c r="F18" s="2"/>
    </x:row>
    <x:row r="19" ht="27.75" customHeight="1">
      <x:c r="A19" s="2"/>
      <x:c r="B19" s="2"/>
      <x:c r="C19" s="2"/>
      <x:c r="D19" s="2"/>
      <x:c r="E19" s="2"/>
      <x:c r="F19" s="2"/>
    </x:row>
    <x:row r="20" ht="27.75" customHeight="1">
      <x:c r="A20" s="2"/>
      <x:c r="B20" s="2"/>
      <x:c r="C20" s="2"/>
      <x:c r="D20" s="2"/>
      <x:c r="E20" s="2"/>
      <x:c r="F20" s="2"/>
    </x:row>
    <x:row r="21" ht="30" customHeight="1">
      <x:c r="A21" s="1" t="s">
        <x:v>2622</x:v>
      </x:c>
      <x:c r="B21" s="1"/>
      <x:c r="C21" s="1"/>
      <x:c r="D21" s="1"/>
      <x:c r="E21" s="1"/>
      <x:c r="F21" s="1"/>
    </x:row>
    <x:row r="22" ht="30" customHeight="1">
      <x:c r="A22" s="1"/>
      <x:c r="B22" s="1"/>
      <x:c r="C22" s="1"/>
      <x:c r="D22" s="1"/>
      <x:c r="E22" s="1"/>
      <x:c r="F22" s="1"/>
    </x:row>
    <x:row r="23" ht="16.799999237060547" hidden="0" customHeight="1">
      <x:c r="A23" s="80" t="str">
        <x:v>Elderly accessibility review</x:v>
      </x:c>
      <x:c r="B23" s="80"/>
      <x:c r="C23" s="80"/>
    </x:row>
    <x:row r="24" ht="12.75" hidden="0" customHeight="1">
      <x:c r="A24" s="81" t="str">
        <x:v>Field</x:v>
      </x:c>
      <x:c r="B24" s="81" t="str">
        <x:v>Allowed values</x:v>
      </x:c>
      <x:c r="C24" s="81" t="str">
        <x:v>How to review</x:v>
      </x:c>
    </x:row>
    <x:row r="25" ht="12.75" hidden="0" customHeight="1">
      <x:c r="A25" s="57" t="str">
        <x:v>Walking Difficulty</x:v>
      </x:c>
      <x:c r="B25" s="58" t="str">
        <x:v>Low / Moderate / High / Unknown</x:v>
      </x:c>
      <x:c r="C25" s="58" t="str">
        <x:v>Consider walking distance, slopes and physical effort using a reliable source.</x:v>
      </x:c>
    </x:row>
    <x:row r="26" ht="12.75" hidden="0" customHeight="1">
      <x:c r="A26" s="60" t="str">
        <x:v>Step-Free Access</x:v>
      </x:c>
      <x:c r="B26" s="61" t="str">
        <x:v>Yes / Partial / No / Unknown</x:v>
      </x:c>
      <x:c r="C26" s="61" t="str">
        <x:v>Record ramps, lifts and whether important visitor areas require stairs.</x:v>
      </x:c>
    </x:row>
    <x:row r="27" ht="12.75" hidden="0" customHeight="1">
      <x:c r="A27" s="60" t="str">
        <x:v>Resting Seats Available</x:v>
      </x:c>
      <x:c r="B27" s="61" t="str">
        <x:v>Yes / Partial / No / Unknown</x:v>
      </x:c>
      <x:c r="C27" s="61" t="str">
        <x:v>Confirm benches or designated resting areas along the visitor route.</x:v>
      </x:c>
    </x:row>
    <x:row r="28" ht="12.75" hidden="0" customHeight="1">
      <x:c r="A28" s="60" t="str">
        <x:v>Accessible Toilet</x:v>
      </x:c>
      <x:c r="B28" s="61" t="str">
        <x:v>Yes / Partial / No / Unknown</x:v>
      </x:c>
      <x:c r="C28" s="61" t="str">
        <x:v>Use Yes only when an accessible toilet is specifically documented.</x:v>
      </x:c>
    </x:row>
    <x:row r="29" ht="12.75" hidden="0" customHeight="1">
      <x:c r="A29" s="60" t="str">
        <x:v>Parking Proximity</x:v>
      </x:c>
      <x:c r="B29" s="61" t="str">
        <x:v>Near / Moderate / Far / Unknown</x:v>
      </x:c>
      <x:c r="C29" s="61" t="str">
        <x:v>Assess the distance from parking or drop-off to the main entrance.</x:v>
      </x:c>
    </x:row>
    <x:row r="30" ht="12.75" hidden="0" customHeight="1">
      <x:c r="A30" s="60" t="str">
        <x:v>Shelter Available</x:v>
      </x:c>
      <x:c r="B30" s="61" t="str">
        <x:v>Yes / Partial / No / Unknown</x:v>
      </x:c>
      <x:c r="C30" s="61" t="str">
        <x:v>Record shade, covered walkways or sheltered resting areas.</x:v>
      </x:c>
    </x:row>
    <x:row r="31" ht="24" hidden="0" customHeight="1">
      <x:c r="A31" s="60" t="str">
        <x:v>Elderly Suitability</x:v>
      </x:c>
      <x:c r="B31" s="61" t="str">
        <x:v>Suitable / Suitable with assistance / Not recommended / Unknown</x:v>
      </x:c>
      <x:c r="C31" s="61" t="str">
        <x:v>Summarise supported mobility evidence; do not infer from category alone.</x:v>
      </x:c>
    </x:row>
    <x:row r="32" ht="12.75" hidden="0" customHeight="1">
      <x:c r="A32" s="60" t="str">
        <x:v>Elderly Accessibility Notes</x:v>
      </x:c>
      <x:c r="B32" s="61" t="str">
        <x:v>Source-supported free text</x:v>
      </x:c>
      <x:c r="C32" s="61" t="str">
        <x:v>State useful facilities and remaining barriers concisely.</x:v>
      </x:c>
    </x:row>
    <x:row r="33" ht="12.75" hidden="0" customHeight="1">
      <x:c r="A33" s="60" t="str">
        <x:v>Evidence rule</x:v>
      </x:c>
      <x:c r="B33" s="61" t="str">
        <x:v>Do not guess</x:v>
      </x:c>
      <x:c r="C33" s="61" t="str">
        <x:v>Keep Unknown when the attraction source does not document the feature.</x:v>
      </x:c>
    </x:row>
    <x:row r="34" ht="12.75" hidden="0" customHeight="1">
      <x:c r="A34" s="60" t="str">
        <x:v>Safety rule</x:v>
      </x:c>
      <x:c r="B34" s="61" t="str">
        <x:v>No medical or safety guarantee</x:v>
      </x:c>
      <x:c r="C34" s="61" t="str">
        <x:v>Describe recorded facilities and barriers without guaranteeing suitability for every visitor.</x:v>
      </x:c>
    </x:row>
    <x:row r="36" ht="16.799999237060547" hidden="0" customHeight="1">
      <x:c r="A36" s="95" t="str">
        <x:v>Active elderly recommendation rule</x:v>
      </x:c>
      <x:c r="B36" s="95"/>
      <x:c r="C36" s="95"/>
    </x:row>
    <x:row r="37" ht="12.75" hidden="0" customHeight="1">
      <x:c r="A37" s="96" t="str">
        <x:v>Rule</x:v>
      </x:c>
      <x:c r="B37" s="96" t="str">
        <x:v>Decision</x:v>
      </x:c>
      <x:c r="C37" s="96" t="str">
        <x:v>Explanation</x:v>
      </x:c>
    </x:row>
    <x:row r="38" ht="24" hidden="0" customHeight="1">
      <x:c r="A38" s="57" t="str">
        <x:v>At least one source-backed elderly accessibility feature</x:v>
      </x:c>
      <x:c r="B38" s="58" t="str">
        <x:v>Eligible</x:v>
      </x:c>
      <x:c r="C38" s="58" t="str">
        <x:v>The attraction may appear when Maya handles an elderly or accessibility-related request.</x:v>
      </x:c>
    </x:row>
    <x:row r="39" ht="24" hidden="0" customHeight="1">
      <x:c r="A39" s="60" t="str">
        <x:v>No source-backed elderly accessibility feature recorded</x:v>
      </x:c>
      <x:c r="B39" s="61" t="str">
        <x:v>Excluded</x:v>
      </x:c>
      <x:c r="C39" s="61" t="str">
        <x:v>The attraction remains available for general travel searches but is removed from elderly and accessibility-related results.</x:v>
      </x:c>
    </x:row>
    <x:row r="40" ht="24" hidden="0" customHeight="1">
      <x:c r="A40" s="60" t="str">
        <x:v>Unknown is not inaccessible</x:v>
      </x:c>
      <x:c r="B40" s="61" t="str">
        <x:v>Research limitation</x:v>
      </x:c>
      <x:c r="C40" s="61" t="str">
        <x:v>Excluded means evidence was not found in the reviewed data; it is not a claim that the place cannot be accessed.</x:v>
      </x:c>
    </x:row>
    <x:row r="41" ht="12.75" hidden="0" customHeight="1">
      <x:c r="A41" s="60" t="str">
        <x:v>Evidence source required</x:v>
      </x:c>
      <x:c r="B41" s="61" t="str">
        <x:v>Mandatory</x:v>
      </x:c>
      <x:c r="C41" s="61" t="str">
        <x:v>A qualifying feature must be supported by a direct source URL, not only a map-search link.</x:v>
      </x:c>
    </x:row>
    <x:row r="42" ht="24" hidden="0" customHeight="1">
      <x:c r="A42" s="60" t="str">
        <x:v>Examples of qualifying features</x:v>
      </x:c>
      <x:c r="B42" s="61" t="str">
        <x:v>Physical or service support</x:v>
      </x:c>
      <x:c r="C42" s="61" t="str">
        <x:v>Step-free or wheelchair routes, accessible toilets, nearby parking, resting places, shelter, mobility aids, assistance, buggy/tram or a lower-effort route.</x:v>
      </x:c>
    </x:row>
    <x:row r="43" ht="24" hidden="0" customHeight="1">
      <x:c r="A43" s="60" t="str">
        <x:v>Barriers-only evidence</x:v>
      </x:c>
      <x:c r="B43" s="61" t="str">
        <x:v>Excluded</x:v>
      </x:c>
      <x:c r="C43" s="61" t="str">
        <x:v>A description of stairs, slopes or difficult terrain alone does not qualify an attraction for elderly recommendation.</x:v>
      </x:c>
    </x:row>
    <x:row r="44" ht="12.75" hidden="0" customHeight="1">
      <x:c r="A44" s="60" t="str">
        <x:v>Master catalogue</x:v>
      </x:c>
      <x:c r="B44" s="61" t="str">
        <x:v>Retained</x:v>
      </x:c>
      <x:c r="C44" s="61" t="str">
        <x:v>All candidates remain available for audit and future accessibility research.</x:v>
      </x:c>
    </x:row>
    <x:row r="45" ht="24" hidden="0" customHeight="1">
      <x:c r="A45" s="60" t="str">
        <x:v>SQLite catalogue</x:v>
      </x:c>
      <x:c r="B45" s="61" t="str">
        <x:v>Retained</x:v>
      </x:c>
      <x:c r="C45" s="61" t="str">
        <x:v>All confirmed attractions are stored; the eligibility rule is applied when an elderly or accessibility-related request is processed.</x:v>
      </x:c>
    </x:row>
  </x:sheetData>
  <x:mergeCells>
    <x:mergeCell ref="A21:F22"/>
    <x:mergeCell ref="A1:F1"/>
    <x:mergeCell ref="A3:F3"/>
    <x:mergeCell ref="A10:F10"/>
    <x:mergeCell ref="A17:F17"/>
    <x:mergeCell ref="A18:F20"/>
    <x:mergeCell ref="A23:C23"/>
    <x:mergeCell ref="A36:C36"/>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4" hidden="0" customWidth="1"/>
    <x:col min="2" max="2" width="18" hidden="0" customWidth="1"/>
    <x:col min="3" max="3" width="18" hidden="0" customWidth="1"/>
    <x:col min="4" max="4" width="18" hidden="0" customWidth="1"/>
  </x:cols>
  <x:sheetData>
    <x:row r="1" ht="32" customHeight="1">
      <x:c r="A1" s="102" t="str">
        <x:v>JomVoyage Elderly Accessibility Screening</x:v>
      </x:c>
      <x:c r="B1" s="102"/>
      <x:c r="C1" s="102"/>
      <x:c r="D1" s="102"/>
    </x:row>
    <x:row r="2">
      <x:c r="A2" s="43"/>
      <x:c r="B2" s="43"/>
      <x:c r="C2" s="43"/>
      <x:c r="D2" s="43"/>
    </x:row>
    <x:row r="3">
      <x:c r="A3" s="103" t="str">
        <x:v>Measure</x:v>
      </x:c>
      <x:c r="B3" s="103" t="str">
        <x:v>Count</x:v>
      </x:c>
      <x:c r="C3" s="43"/>
      <x:c r="D3" s="43"/>
    </x:row>
    <x:row r="4">
      <x:c r="A4" s="61" t="str">
        <x:v>Catalogue rows screened</x:v>
      </x:c>
      <x:c r="B4" s="61" t="n">
        <x:v>431</x:v>
      </x:c>
      <x:c r="C4" s="43"/>
      <x:c r="D4" s="43"/>
    </x:row>
    <x:row r="5">
      <x:c r="A5" s="61" t="str">
        <x:v>Confirmed attractions screened</x:v>
      </x:c>
      <x:c r="B5" s="61" t="n">
        <x:v>430</x:v>
      </x:c>
      <x:c r="C5" s="43"/>
      <x:c r="D5" s="43"/>
    </x:row>
    <x:row r="6">
      <x:c r="A6" s="61" t="str">
        <x:v>Eligible for elderly recommendations</x:v>
      </x:c>
      <x:c r="B6" s="61" t="n">
        <x:v>17</x:v>
      </x:c>
      <x:c r="C6" s="43"/>
      <x:c r="D6" s="43"/>
    </x:row>
    <x:row r="7">
      <x:c r="A7" s="61" t="str">
        <x:v>Excluded from elderly recommendations</x:v>
      </x:c>
      <x:c r="B7" s="61" t="n">
        <x:v>414</x:v>
      </x:c>
      <x:c r="C7" s="43"/>
      <x:c r="D7" s="43"/>
    </x:row>
    <x:row r="8">
      <x:c r="A8" s="43"/>
      <x:c r="B8" s="43"/>
      <x:c r="C8" s="43"/>
      <x:c r="D8" s="43"/>
    </x:row>
    <x:row r="9">
      <x:c r="A9" s="43"/>
      <x:c r="B9" s="43"/>
      <x:c r="C9" s="43"/>
      <x:c r="D9" s="43"/>
    </x:row>
    <x:row r="10">
      <x:c r="A10" s="103" t="str">
        <x:v>State / Territory</x:v>
      </x:c>
      <x:c r="B10" s="103" t="str">
        <x:v>Screened</x:v>
      </x:c>
      <x:c r="C10" s="103" t="str">
        <x:v>Eligible</x:v>
      </x:c>
      <x:c r="D10" s="103" t="str">
        <x:v>Excluded</x:v>
      </x:c>
    </x:row>
    <x:row r="11">
      <x:c r="A11" s="61" t="str">
        <x:v>Johor</x:v>
      </x:c>
      <x:c r="B11" s="61" t="n">
        <x:v>35</x:v>
      </x:c>
      <x:c r="C11" s="61" t="n">
        <x:v>0</x:v>
      </x:c>
      <x:c r="D11" s="61" t="n">
        <x:v>35</x:v>
      </x:c>
    </x:row>
    <x:row r="12">
      <x:c r="A12" s="61" t="str">
        <x:v>Kedah</x:v>
      </x:c>
      <x:c r="B12" s="61" t="n">
        <x:v>29</x:v>
      </x:c>
      <x:c r="C12" s="61" t="n">
        <x:v>0</x:v>
      </x:c>
      <x:c r="D12" s="61" t="n">
        <x:v>29</x:v>
      </x:c>
    </x:row>
    <x:row r="13">
      <x:c r="A13" s="61" t="str">
        <x:v>Kelantan</x:v>
      </x:c>
      <x:c r="B13" s="61" t="n">
        <x:v>24</x:v>
      </x:c>
      <x:c r="C13" s="61" t="n">
        <x:v>0</x:v>
      </x:c>
      <x:c r="D13" s="61" t="n">
        <x:v>24</x:v>
      </x:c>
    </x:row>
    <x:row r="14">
      <x:c r="A14" s="61" t="str">
        <x:v>Melaka</x:v>
      </x:c>
      <x:c r="B14" s="61" t="n">
        <x:v>26</x:v>
      </x:c>
      <x:c r="C14" s="61" t="n">
        <x:v>0</x:v>
      </x:c>
      <x:c r="D14" s="61" t="n">
        <x:v>26</x:v>
      </x:c>
    </x:row>
    <x:row r="15">
      <x:c r="A15" s="61" t="str">
        <x:v>Negeri Sembilan</x:v>
      </x:c>
      <x:c r="B15" s="61" t="n">
        <x:v>25</x:v>
      </x:c>
      <x:c r="C15" s="61" t="n">
        <x:v>0</x:v>
      </x:c>
      <x:c r="D15" s="61" t="n">
        <x:v>25</x:v>
      </x:c>
    </x:row>
    <x:row r="16">
      <x:c r="A16" s="61" t="str">
        <x:v>Pahang</x:v>
      </x:c>
      <x:c r="B16" s="61" t="n">
        <x:v>30</x:v>
      </x:c>
      <x:c r="C16" s="61" t="n">
        <x:v>0</x:v>
      </x:c>
      <x:c r="D16" s="61" t="n">
        <x:v>30</x:v>
      </x:c>
    </x:row>
    <x:row r="17">
      <x:c r="A17" s="61" t="str">
        <x:v>Penang</x:v>
      </x:c>
      <x:c r="B17" s="61" t="n">
        <x:v>25</x:v>
      </x:c>
      <x:c r="C17" s="61" t="n">
        <x:v>7</x:v>
      </x:c>
      <x:c r="D17" s="61" t="n">
        <x:v>18</x:v>
      </x:c>
    </x:row>
    <x:row r="18">
      <x:c r="A18" s="61" t="str">
        <x:v>Perak</x:v>
      </x:c>
      <x:c r="B18" s="61" t="n">
        <x:v>29</x:v>
      </x:c>
      <x:c r="C18" s="61" t="n">
        <x:v>0</x:v>
      </x:c>
      <x:c r="D18" s="61" t="n">
        <x:v>29</x:v>
      </x:c>
    </x:row>
    <x:row r="19">
      <x:c r="A19" s="61" t="str">
        <x:v>Perlis</x:v>
      </x:c>
      <x:c r="B19" s="61" t="n">
        <x:v>21</x:v>
      </x:c>
      <x:c r="C19" s="61" t="n">
        <x:v>1</x:v>
      </x:c>
      <x:c r="D19" s="61" t="n">
        <x:v>20</x:v>
      </x:c>
    </x:row>
    <x:row r="20">
      <x:c r="A20" s="61" t="str">
        <x:v>Sabah</x:v>
      </x:c>
      <x:c r="B20" s="61" t="n">
        <x:v>33</x:v>
      </x:c>
      <x:c r="C20" s="61" t="n">
        <x:v>0</x:v>
      </x:c>
      <x:c r="D20" s="61" t="n">
        <x:v>33</x:v>
      </x:c>
    </x:row>
    <x:row r="21">
      <x:c r="A21" s="61" t="str">
        <x:v>Sarawak</x:v>
      </x:c>
      <x:c r="B21" s="61" t="n">
        <x:v>33</x:v>
      </x:c>
      <x:c r="C21" s="61" t="n">
        <x:v>0</x:v>
      </x:c>
      <x:c r="D21" s="61" t="n">
        <x:v>33</x:v>
      </x:c>
    </x:row>
    <x:row r="22">
      <x:c r="A22" s="61" t="str">
        <x:v>Selangor</x:v>
      </x:c>
      <x:c r="B22" s="61" t="n">
        <x:v>29</x:v>
      </x:c>
      <x:c r="C22" s="61" t="n">
        <x:v>3</x:v>
      </x:c>
      <x:c r="D22" s="61" t="n">
        <x:v>26</x:v>
      </x:c>
    </x:row>
    <x:row r="23">
      <x:c r="A23" s="61" t="str">
        <x:v>Terengganu</x:v>
      </x:c>
      <x:c r="B23" s="61" t="n">
        <x:v>32</x:v>
      </x:c>
      <x:c r="C23" s="61" t="n">
        <x:v>1</x:v>
      </x:c>
      <x:c r="D23" s="61" t="n">
        <x:v>31</x:v>
      </x:c>
    </x:row>
    <x:row r="24">
      <x:c r="A24" s="61" t="str">
        <x:v>W.P. Kuala Lumpur</x:v>
      </x:c>
      <x:c r="B24" s="61" t="n">
        <x:v>24</x:v>
      </x:c>
      <x:c r="C24" s="61" t="n">
        <x:v>1</x:v>
      </x:c>
      <x:c r="D24" s="61" t="n">
        <x:v>23</x:v>
      </x:c>
    </x:row>
    <x:row r="25">
      <x:c r="A25" s="61" t="str">
        <x:v>W.P. Labuan</x:v>
      </x:c>
      <x:c r="B25" s="61" t="n">
        <x:v>19</x:v>
      </x:c>
      <x:c r="C25" s="61" t="n">
        <x:v>2</x:v>
      </x:c>
      <x:c r="D25" s="61" t="n">
        <x:v>17</x:v>
      </x:c>
    </x:row>
    <x:row r="26">
      <x:c r="A26" s="61" t="str">
        <x:v>W.P. Putrajaya</x:v>
      </x:c>
      <x:c r="B26" s="61" t="n">
        <x:v>17</x:v>
      </x:c>
      <x:c r="C26" s="61" t="n">
        <x:v>2</x:v>
      </x:c>
      <x:c r="D26" s="61" t="n">
        <x:v>15</x:v>
      </x:c>
    </x:row>
  </x:sheetData>
  <x:mergeCells>
    <x:mergeCell ref="A1:D1"/>
  </x:mergeCells>
  <x:pageMargins left="0.7" right="0.7" top="0.75" bottom="0.75" header="0.3" footer="0.3"/>
</x:worksheet>
</file>