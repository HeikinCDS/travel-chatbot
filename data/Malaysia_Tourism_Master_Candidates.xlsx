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User\Documents\UTAR\Y3 S1\FYP1\travel chatbot\data\"/>
    </mc:Choice>
  </mc:AlternateContent>
  <xr:revisionPtr revIDLastSave="0" documentId="13_ncr:1_{9EE01629-9980-4C28-94B1-B60305F8445C}" xr6:coauthVersionLast="47" xr6:coauthVersionMax="47" xr10:uidLastSave="{00000000-0000-0000-0000-000000000000}"/>
  <bookViews>
    <workbookView xWindow="14295" yWindow="0" windowWidth="14610" windowHeight="15585" tabRatio="500" xr2:uid="{00000000-000D-0000-FFFF-FFFF00000000}"/>
  </bookViews>
  <sheets>
    <sheet name="Catalogue" sheetId="1" r:id="rId1"/>
    <sheet name="State Progress" sheetId="2" r:id="rId2"/>
    <sheet name="Source Index" sheetId="3" r:id="rId3"/>
    <sheet name="Review Guid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20" i="2" l="1"/>
  <c r="F20" i="2"/>
  <c r="E20" i="2"/>
  <c r="D20" i="2"/>
  <c r="C20" i="2"/>
  <c r="B20" i="2"/>
  <c r="G20" i="2" s="1"/>
  <c r="H19" i="2"/>
  <c r="F19" i="2"/>
  <c r="E19" i="2"/>
  <c r="D19" i="2"/>
  <c r="C19" i="2"/>
  <c r="B19" i="2"/>
  <c r="G19" i="2" s="1"/>
  <c r="H18" i="2"/>
  <c r="F18" i="2"/>
  <c r="E18" i="2"/>
  <c r="D18" i="2"/>
  <c r="C18" i="2"/>
  <c r="B18" i="2"/>
  <c r="H17" i="2"/>
  <c r="F17" i="2"/>
  <c r="E17" i="2"/>
  <c r="D17" i="2"/>
  <c r="C17" i="2"/>
  <c r="B17" i="2"/>
  <c r="H16" i="2"/>
  <c r="F16" i="2"/>
  <c r="E16" i="2"/>
  <c r="D16" i="2"/>
  <c r="G16" i="2" s="1"/>
  <c r="C16" i="2"/>
  <c r="B16" i="2"/>
  <c r="J15" i="2"/>
  <c r="H15" i="2"/>
  <c r="F15" i="2"/>
  <c r="E15" i="2"/>
  <c r="D15" i="2"/>
  <c r="C15" i="2"/>
  <c r="B15" i="2"/>
  <c r="K15" i="2" s="1"/>
  <c r="H14" i="2"/>
  <c r="F14" i="2"/>
  <c r="E14" i="2"/>
  <c r="D14" i="2"/>
  <c r="C14" i="2"/>
  <c r="B14" i="2"/>
  <c r="G14" i="2" s="1"/>
  <c r="J13" i="2"/>
  <c r="H13" i="2"/>
  <c r="F13" i="2"/>
  <c r="E13" i="2"/>
  <c r="D13" i="2"/>
  <c r="C13" i="2"/>
  <c r="B13" i="2"/>
  <c r="G13" i="2" s="1"/>
  <c r="H12" i="2"/>
  <c r="F12" i="2"/>
  <c r="E12" i="2"/>
  <c r="D12" i="2"/>
  <c r="C12" i="2"/>
  <c r="B12" i="2"/>
  <c r="J12" i="2" s="1"/>
  <c r="K12" i="2" s="1"/>
  <c r="H11" i="2"/>
  <c r="F11" i="2"/>
  <c r="E11" i="2"/>
  <c r="D11" i="2"/>
  <c r="C11" i="2"/>
  <c r="B11" i="2"/>
  <c r="H10" i="2"/>
  <c r="F10" i="2"/>
  <c r="E10" i="2"/>
  <c r="D10" i="2"/>
  <c r="C10" i="2"/>
  <c r="B10" i="2"/>
  <c r="H9" i="2"/>
  <c r="F9" i="2"/>
  <c r="E9" i="2"/>
  <c r="D9" i="2"/>
  <c r="C9" i="2"/>
  <c r="B9" i="2"/>
  <c r="H8" i="2"/>
  <c r="F8" i="2"/>
  <c r="E8" i="2"/>
  <c r="D8" i="2"/>
  <c r="C8" i="2"/>
  <c r="B8" i="2"/>
  <c r="G8" i="2" s="1"/>
  <c r="J7" i="2"/>
  <c r="H7" i="2"/>
  <c r="F7" i="2"/>
  <c r="E7" i="2"/>
  <c r="D7" i="2"/>
  <c r="C7" i="2"/>
  <c r="B7" i="2"/>
  <c r="G7" i="2" s="1"/>
  <c r="H6" i="2"/>
  <c r="F6" i="2"/>
  <c r="E6" i="2"/>
  <c r="D6" i="2"/>
  <c r="C6" i="2"/>
  <c r="B6" i="2"/>
  <c r="H5" i="2"/>
  <c r="H22" i="2" s="1"/>
  <c r="F5" i="2"/>
  <c r="F22" i="2" s="1"/>
  <c r="E5" i="2"/>
  <c r="E22" i="2" s="1"/>
  <c r="D5" i="2"/>
  <c r="D22" i="2" s="1"/>
  <c r="C5" i="2"/>
  <c r="C22" i="2" s="1"/>
  <c r="B5" i="2"/>
  <c r="R434" i="1"/>
  <c r="R433" i="1"/>
  <c r="R432" i="1"/>
  <c r="R431" i="1"/>
  <c r="R430" i="1"/>
  <c r="R429" i="1"/>
  <c r="R428" i="1"/>
  <c r="R427" i="1"/>
  <c r="R426" i="1"/>
  <c r="R425" i="1"/>
  <c r="R424" i="1"/>
  <c r="R423" i="1"/>
  <c r="R422" i="1"/>
  <c r="R421" i="1"/>
  <c r="R420" i="1"/>
  <c r="R419" i="1"/>
  <c r="R418" i="1"/>
  <c r="R417" i="1"/>
  <c r="R416" i="1"/>
  <c r="I20" i="2" s="1"/>
  <c r="R415" i="1"/>
  <c r="R414" i="1"/>
  <c r="R413" i="1"/>
  <c r="R412" i="1"/>
  <c r="R411" i="1"/>
  <c r="R410" i="1"/>
  <c r="R409" i="1"/>
  <c r="R408" i="1"/>
  <c r="R407" i="1"/>
  <c r="R406" i="1"/>
  <c r="R405" i="1"/>
  <c r="R404" i="1"/>
  <c r="R403" i="1"/>
  <c r="R402" i="1"/>
  <c r="R401" i="1"/>
  <c r="R400" i="1"/>
  <c r="R399" i="1"/>
  <c r="I19" i="2" s="1"/>
  <c r="R398" i="1"/>
  <c r="R397" i="1"/>
  <c r="R396" i="1"/>
  <c r="R395" i="1"/>
  <c r="R394" i="1"/>
  <c r="R393" i="1"/>
  <c r="R392" i="1"/>
  <c r="R391" i="1"/>
  <c r="R390" i="1"/>
  <c r="R389" i="1"/>
  <c r="R388" i="1"/>
  <c r="R387" i="1"/>
  <c r="R386" i="1"/>
  <c r="R385" i="1"/>
  <c r="R384" i="1"/>
  <c r="R383" i="1"/>
  <c r="R382" i="1"/>
  <c r="R381" i="1"/>
  <c r="R380" i="1"/>
  <c r="R379" i="1"/>
  <c r="R378" i="1"/>
  <c r="R377" i="1"/>
  <c r="R376" i="1"/>
  <c r="R375" i="1"/>
  <c r="I18" i="2" s="1"/>
  <c r="R374" i="1"/>
  <c r="R373" i="1"/>
  <c r="R372" i="1"/>
  <c r="R371" i="1"/>
  <c r="R370" i="1"/>
  <c r="R369" i="1"/>
  <c r="R368" i="1"/>
  <c r="R367" i="1"/>
  <c r="R366" i="1"/>
  <c r="R365" i="1"/>
  <c r="R364" i="1"/>
  <c r="R363" i="1"/>
  <c r="R362" i="1"/>
  <c r="R361" i="1"/>
  <c r="R360" i="1"/>
  <c r="R359" i="1"/>
  <c r="R358" i="1"/>
  <c r="R357" i="1"/>
  <c r="R356" i="1"/>
  <c r="R355" i="1"/>
  <c r="R354" i="1"/>
  <c r="R353" i="1"/>
  <c r="R352" i="1"/>
  <c r="R351" i="1"/>
  <c r="R350" i="1"/>
  <c r="R349" i="1"/>
  <c r="R348" i="1"/>
  <c r="R347" i="1"/>
  <c r="R346" i="1"/>
  <c r="R345" i="1"/>
  <c r="R344" i="1"/>
  <c r="R343" i="1"/>
  <c r="I17" i="2" s="1"/>
  <c r="R342" i="1"/>
  <c r="R341" i="1"/>
  <c r="R340" i="1"/>
  <c r="R339" i="1"/>
  <c r="R338" i="1"/>
  <c r="R337" i="1"/>
  <c r="R336" i="1"/>
  <c r="R335" i="1"/>
  <c r="R334" i="1"/>
  <c r="R333" i="1"/>
  <c r="R332" i="1"/>
  <c r="R331" i="1"/>
  <c r="R330" i="1"/>
  <c r="R329" i="1"/>
  <c r="R328" i="1"/>
  <c r="R327" i="1"/>
  <c r="R326" i="1"/>
  <c r="R325" i="1"/>
  <c r="R324" i="1"/>
  <c r="R323" i="1"/>
  <c r="R322" i="1"/>
  <c r="R321" i="1"/>
  <c r="R320" i="1"/>
  <c r="R319" i="1"/>
  <c r="R318" i="1"/>
  <c r="R317" i="1"/>
  <c r="R316" i="1"/>
  <c r="R315" i="1"/>
  <c r="R314" i="1"/>
  <c r="I16" i="2" s="1"/>
  <c r="R313" i="1"/>
  <c r="R312" i="1"/>
  <c r="R311" i="1"/>
  <c r="R310" i="1"/>
  <c r="R309" i="1"/>
  <c r="R308" i="1"/>
  <c r="R307" i="1"/>
  <c r="R306" i="1"/>
  <c r="R305" i="1"/>
  <c r="R304" i="1"/>
  <c r="R303" i="1"/>
  <c r="R302" i="1"/>
  <c r="R301" i="1"/>
  <c r="R300" i="1"/>
  <c r="R299" i="1"/>
  <c r="R298" i="1"/>
  <c r="R297" i="1"/>
  <c r="R296" i="1"/>
  <c r="R295" i="1"/>
  <c r="R294" i="1"/>
  <c r="R293" i="1"/>
  <c r="R292" i="1"/>
  <c r="R291" i="1"/>
  <c r="R290" i="1"/>
  <c r="R289" i="1"/>
  <c r="R288" i="1"/>
  <c r="R287" i="1"/>
  <c r="R286" i="1"/>
  <c r="R285" i="1"/>
  <c r="R284" i="1"/>
  <c r="R283" i="1"/>
  <c r="R282" i="1"/>
  <c r="R281" i="1"/>
  <c r="I15" i="2" s="1"/>
  <c r="R280" i="1"/>
  <c r="R279" i="1"/>
  <c r="R278" i="1"/>
  <c r="R277" i="1"/>
  <c r="R276" i="1"/>
  <c r="R275" i="1"/>
  <c r="R274" i="1"/>
  <c r="R273" i="1"/>
  <c r="R272" i="1"/>
  <c r="R271" i="1"/>
  <c r="R270" i="1"/>
  <c r="R269" i="1"/>
  <c r="R268" i="1"/>
  <c r="R267" i="1"/>
  <c r="R266" i="1"/>
  <c r="R265" i="1"/>
  <c r="R264" i="1"/>
  <c r="R263" i="1"/>
  <c r="R262" i="1"/>
  <c r="R261" i="1"/>
  <c r="R260" i="1"/>
  <c r="R259" i="1"/>
  <c r="R258" i="1"/>
  <c r="R257" i="1"/>
  <c r="R256" i="1"/>
  <c r="R255" i="1"/>
  <c r="R254" i="1"/>
  <c r="R253" i="1"/>
  <c r="R252" i="1"/>
  <c r="R251" i="1"/>
  <c r="R250" i="1"/>
  <c r="R249" i="1"/>
  <c r="R248" i="1"/>
  <c r="I14" i="2" s="1"/>
  <c r="R247" i="1"/>
  <c r="R246" i="1"/>
  <c r="R245" i="1"/>
  <c r="R244" i="1"/>
  <c r="R243" i="1"/>
  <c r="R242" i="1"/>
  <c r="R241" i="1"/>
  <c r="R240" i="1"/>
  <c r="R239" i="1"/>
  <c r="R238" i="1"/>
  <c r="R237" i="1"/>
  <c r="R236" i="1"/>
  <c r="R235" i="1"/>
  <c r="R234" i="1"/>
  <c r="R233" i="1"/>
  <c r="R232" i="1"/>
  <c r="R231" i="1"/>
  <c r="R230" i="1"/>
  <c r="R229" i="1"/>
  <c r="R228" i="1"/>
  <c r="R227" i="1"/>
  <c r="I13" i="2" s="1"/>
  <c r="R226" i="1"/>
  <c r="R225" i="1"/>
  <c r="R224" i="1"/>
  <c r="R223" i="1"/>
  <c r="R222" i="1"/>
  <c r="R221" i="1"/>
  <c r="R220" i="1"/>
  <c r="R219" i="1"/>
  <c r="R218" i="1"/>
  <c r="R217" i="1"/>
  <c r="R216" i="1"/>
  <c r="R215" i="1"/>
  <c r="R214" i="1"/>
  <c r="R213" i="1"/>
  <c r="R212" i="1"/>
  <c r="R211" i="1"/>
  <c r="R210" i="1"/>
  <c r="R209" i="1"/>
  <c r="R208" i="1"/>
  <c r="R207" i="1"/>
  <c r="R206" i="1"/>
  <c r="R205" i="1"/>
  <c r="R204" i="1"/>
  <c r="R203" i="1"/>
  <c r="R202" i="1"/>
  <c r="R201" i="1"/>
  <c r="R200" i="1"/>
  <c r="R199" i="1"/>
  <c r="R198" i="1"/>
  <c r="I12" i="2" s="1"/>
  <c r="R197" i="1"/>
  <c r="R196" i="1"/>
  <c r="R195" i="1"/>
  <c r="R194" i="1"/>
  <c r="R193" i="1"/>
  <c r="R192" i="1"/>
  <c r="R191" i="1"/>
  <c r="R190" i="1"/>
  <c r="R189" i="1"/>
  <c r="R188" i="1"/>
  <c r="R187" i="1"/>
  <c r="R186" i="1"/>
  <c r="R185" i="1"/>
  <c r="R184" i="1"/>
  <c r="R183" i="1"/>
  <c r="R182" i="1"/>
  <c r="R181" i="1"/>
  <c r="R180" i="1"/>
  <c r="R179" i="1"/>
  <c r="R178" i="1"/>
  <c r="R177" i="1"/>
  <c r="R176" i="1"/>
  <c r="R175" i="1"/>
  <c r="R174" i="1"/>
  <c r="R173" i="1"/>
  <c r="I11" i="2" s="1"/>
  <c r="R172" i="1"/>
  <c r="R171" i="1"/>
  <c r="R170" i="1"/>
  <c r="R169" i="1"/>
  <c r="R168" i="1"/>
  <c r="R167" i="1"/>
  <c r="R166" i="1"/>
  <c r="R165" i="1"/>
  <c r="R164" i="1"/>
  <c r="R163" i="1"/>
  <c r="R162" i="1"/>
  <c r="R161" i="1"/>
  <c r="R160" i="1"/>
  <c r="R159" i="1"/>
  <c r="R158" i="1"/>
  <c r="R157" i="1"/>
  <c r="R156" i="1"/>
  <c r="R155" i="1"/>
  <c r="R154" i="1"/>
  <c r="R153" i="1"/>
  <c r="R152" i="1"/>
  <c r="R151" i="1"/>
  <c r="R150" i="1"/>
  <c r="R149" i="1"/>
  <c r="R148" i="1"/>
  <c r="R147" i="1"/>
  <c r="R146" i="1"/>
  <c r="R145" i="1"/>
  <c r="R144" i="1"/>
  <c r="R143" i="1"/>
  <c r="I10" i="2" s="1"/>
  <c r="R142" i="1"/>
  <c r="R141" i="1"/>
  <c r="R140" i="1"/>
  <c r="R139" i="1"/>
  <c r="R138" i="1"/>
  <c r="R137" i="1"/>
  <c r="R136" i="1"/>
  <c r="R135" i="1"/>
  <c r="R134" i="1"/>
  <c r="R133" i="1"/>
  <c r="R132" i="1"/>
  <c r="R131" i="1"/>
  <c r="R130" i="1"/>
  <c r="R129" i="1"/>
  <c r="R128" i="1"/>
  <c r="R127" i="1"/>
  <c r="R126" i="1"/>
  <c r="R125" i="1"/>
  <c r="R124" i="1"/>
  <c r="R123" i="1"/>
  <c r="R122" i="1"/>
  <c r="R121" i="1"/>
  <c r="R120" i="1"/>
  <c r="R119" i="1"/>
  <c r="R118" i="1"/>
  <c r="I9" i="2" s="1"/>
  <c r="R117" i="1"/>
  <c r="R116" i="1"/>
  <c r="R115" i="1"/>
  <c r="R114" i="1"/>
  <c r="R113" i="1"/>
  <c r="R112" i="1"/>
  <c r="R111" i="1"/>
  <c r="R110" i="1"/>
  <c r="R109" i="1"/>
  <c r="R108" i="1"/>
  <c r="R107" i="1"/>
  <c r="R106" i="1"/>
  <c r="R105" i="1"/>
  <c r="R104" i="1"/>
  <c r="R103" i="1"/>
  <c r="R102" i="1"/>
  <c r="R101" i="1"/>
  <c r="R100" i="1"/>
  <c r="R99" i="1"/>
  <c r="R98" i="1"/>
  <c r="R97" i="1"/>
  <c r="R96" i="1"/>
  <c r="R95" i="1"/>
  <c r="R94" i="1"/>
  <c r="R93" i="1"/>
  <c r="R92" i="1"/>
  <c r="I8" i="2" s="1"/>
  <c r="R91" i="1"/>
  <c r="R90" i="1"/>
  <c r="R89" i="1"/>
  <c r="R88" i="1"/>
  <c r="R87" i="1"/>
  <c r="R86" i="1"/>
  <c r="R85" i="1"/>
  <c r="R84" i="1"/>
  <c r="R83" i="1"/>
  <c r="R82" i="1"/>
  <c r="R81" i="1"/>
  <c r="R80" i="1"/>
  <c r="R79" i="1"/>
  <c r="R78" i="1"/>
  <c r="R77" i="1"/>
  <c r="R76" i="1"/>
  <c r="R75" i="1"/>
  <c r="R74" i="1"/>
  <c r="R73" i="1"/>
  <c r="R72" i="1"/>
  <c r="R71" i="1"/>
  <c r="R70" i="1"/>
  <c r="R69" i="1"/>
  <c r="R68" i="1"/>
  <c r="I7" i="2" s="1"/>
  <c r="R67" i="1"/>
  <c r="R66" i="1"/>
  <c r="R65" i="1"/>
  <c r="R64" i="1"/>
  <c r="R63" i="1"/>
  <c r="R62" i="1"/>
  <c r="R61" i="1"/>
  <c r="R60" i="1"/>
  <c r="R59" i="1"/>
  <c r="R58" i="1"/>
  <c r="R57" i="1"/>
  <c r="R56" i="1"/>
  <c r="R55" i="1"/>
  <c r="R54" i="1"/>
  <c r="R53" i="1"/>
  <c r="R52" i="1"/>
  <c r="R51" i="1"/>
  <c r="R50" i="1"/>
  <c r="R49" i="1"/>
  <c r="R48" i="1"/>
  <c r="R47" i="1"/>
  <c r="R46" i="1"/>
  <c r="R45" i="1"/>
  <c r="R44" i="1"/>
  <c r="R43" i="1"/>
  <c r="R42" i="1"/>
  <c r="R41" i="1"/>
  <c r="R40" i="1"/>
  <c r="R39" i="1"/>
  <c r="I6" i="2" s="1"/>
  <c r="R38" i="1"/>
  <c r="R37" i="1"/>
  <c r="R36" i="1"/>
  <c r="R35" i="1"/>
  <c r="R34" i="1"/>
  <c r="R33" i="1"/>
  <c r="R32" i="1"/>
  <c r="R31" i="1"/>
  <c r="R30" i="1"/>
  <c r="R29" i="1"/>
  <c r="R28" i="1"/>
  <c r="R27" i="1"/>
  <c r="R26" i="1"/>
  <c r="R25" i="1"/>
  <c r="R24" i="1"/>
  <c r="R23" i="1"/>
  <c r="R22" i="1"/>
  <c r="R21" i="1"/>
  <c r="R20" i="1"/>
  <c r="R19" i="1"/>
  <c r="R18" i="1"/>
  <c r="R17" i="1"/>
  <c r="R16" i="1"/>
  <c r="R15" i="1"/>
  <c r="R14" i="1"/>
  <c r="R13" i="1"/>
  <c r="R12" i="1"/>
  <c r="R11" i="1"/>
  <c r="R10" i="1"/>
  <c r="R9" i="1"/>
  <c r="R8" i="1"/>
  <c r="R7" i="1"/>
  <c r="R6" i="1"/>
  <c r="R5" i="1"/>
  <c r="R4" i="1"/>
  <c r="I5" i="2" s="1"/>
  <c r="I22" i="2" l="1"/>
  <c r="K9" i="2"/>
  <c r="K11" i="2"/>
  <c r="J8" i="2"/>
  <c r="K8" i="2" s="1"/>
  <c r="J14" i="2"/>
  <c r="K14" i="2" s="1"/>
  <c r="J20" i="2"/>
  <c r="K20" i="2" s="1"/>
  <c r="G6" i="2"/>
  <c r="G12" i="2"/>
  <c r="G18" i="2"/>
  <c r="J19" i="2"/>
  <c r="K19" i="2" s="1"/>
  <c r="B22" i="2"/>
  <c r="G5" i="2"/>
  <c r="K7" i="2"/>
  <c r="G11" i="2"/>
  <c r="K13" i="2"/>
  <c r="G17" i="2"/>
  <c r="J6" i="2"/>
  <c r="K6" i="2" s="1"/>
  <c r="J18" i="2"/>
  <c r="K18" i="2" s="1"/>
  <c r="G10" i="2"/>
  <c r="J5" i="2"/>
  <c r="K5" i="2" s="1"/>
  <c r="J11" i="2"/>
  <c r="J17" i="2"/>
  <c r="K17" i="2" s="1"/>
  <c r="G9" i="2"/>
  <c r="G15" i="2"/>
  <c r="J10" i="2"/>
  <c r="K10" i="2" s="1"/>
  <c r="J16" i="2"/>
  <c r="K16" i="2" s="1"/>
  <c r="J9" i="2"/>
  <c r="G22" i="2" l="1"/>
  <c r="J22" i="2"/>
  <c r="K22" i="2"/>
</calcChain>
</file>

<file path=xl/sharedStrings.xml><?xml version="1.0" encoding="utf-8"?>
<sst xmlns="http://schemas.openxmlformats.org/spreadsheetml/2006/main" count="6368" uniqueCount="2631">
  <si>
    <t>JomVoyage Malaysia Tourism Master Candidates</t>
  </si>
  <si>
    <t>Candidate catalogue only — every entry remains Pending Review until a reviewer confirms the place and supporting sources. Johor is listed first, followed state by state.</t>
  </si>
  <si>
    <t>Candidate ID</t>
  </si>
  <si>
    <t>Attraction Name</t>
  </si>
  <si>
    <t>State / Territory</t>
  </si>
  <si>
    <t>City / District</t>
  </si>
  <si>
    <t>Primary Category</t>
  </si>
  <si>
    <t>Coverage Lens</t>
  </si>
  <si>
    <t>Setting</t>
  </si>
  <si>
    <t>Interests / Tags</t>
  </si>
  <si>
    <t>Candidate Description</t>
  </si>
  <si>
    <t>Discovery / Source Link(s)</t>
  </si>
  <si>
    <t>State Tourism Guide URL</t>
  </si>
  <si>
    <t>Source Basis</t>
  </si>
  <si>
    <t>Origin Batch</t>
  </si>
  <si>
    <t>Existing Record ID</t>
  </si>
  <si>
    <t>Date Added</t>
  </si>
  <si>
    <t>Review Status</t>
  </si>
  <si>
    <t>Reviewer Notes</t>
  </si>
  <si>
    <t>Source Status</t>
  </si>
  <si>
    <t>MC0001</t>
  </si>
  <si>
    <t>Hutan Bandar MBJB</t>
  </si>
  <si>
    <t>Johor</t>
  </si>
  <si>
    <t>Johor Bahru</t>
  </si>
  <si>
    <t>Park and Recreation</t>
  </si>
  <si>
    <t>Unclassified</t>
  </si>
  <si>
    <t>Outdoor</t>
  </si>
  <si>
    <t>Nature; walking; hiking; birdwatching; relaxation; family recreation; swimming; playground; zipline; rope challenge; environmental awareness</t>
  </si>
  <si>
    <t>A 35-acre MBJB-managed urban green space about 2 km from central Johor Bahru. It offers natural vegetation, walking trails, playground and water-recreation facilities, camping facilities, hiking and birdwatching opportunities, plus newer flying-fox and rope-course attractions.</t>
  </si>
  <si>
    <t>https://www.mbjb.gov.my/index.php/ms/hutanbandarlamanhijau ; https://visitjohor2026.my/ms/listing/hutan-bandar-mbjb/ ; https://www.mbjb.gov.my/ms/destinasi-menarik/kolam-rekreasi-air-hutan-bandar</t>
  </si>
  <si>
    <t>https://ebrochures.malaysia.travel/en/malaysia-travel-guide/johor/</t>
  </si>
  <si>
    <t>Previously researched sources; reconfirm before approval</t>
  </si>
  <si>
    <t>Johor researched batch</t>
  </si>
  <si>
    <t>A001</t>
  </si>
  <si>
    <t>Complete</t>
  </si>
  <si>
    <t>MC0002</t>
  </si>
  <si>
    <t>Zoo Johor</t>
  </si>
  <si>
    <t>Wildlife</t>
  </si>
  <si>
    <t>Wildlife; animals; family recreation; children; education; photography; zoo</t>
  </si>
  <si>
    <t>One of Malaysia's oldest zoos, located in central Johor Bahru and home to more than 275 animals, including tigers, elephants and camels. It offers wildlife viewing, family recreation, educational opportunities and photography.</t>
  </si>
  <si>
    <t>https://zoo.johor.gov.my/ ; https://visitjohor2026.my/listing/zoo-johor/ ; user-provided Zoo Johor ticket poster</t>
  </si>
  <si>
    <t>A002</t>
  </si>
  <si>
    <t>MC0003</t>
  </si>
  <si>
    <t>Endau-Rompin National Park</t>
  </si>
  <si>
    <t>Mersing / Segamat</t>
  </si>
  <si>
    <t>Nature</t>
  </si>
  <si>
    <t>Both</t>
  </si>
  <si>
    <t>Ancient rainforest; national park; biodiversity; waterfalls; rivers; hiking; jungle trekking; swimming; tubing; camping; wildlife watching; birdwatching; night walks; Orang Asli culture; nature education; photography</t>
  </si>
  <si>
    <t>Johor's largest protected area is an ancient rainforest national park with official entrances at Peta in Mersing and Selai in Segamat. Its rivers, waterfalls and forest trails support hiking, swimming, tubing, camping, wildlife and birdwatching experiences, alongside Jakun cultural and nature-education activities.</t>
  </si>
  <si>
    <t>https://www.malaysia.travel/explore/endau-rompin-national-park ; https://johornationalparks.gov.my/endau-rompin-peta/ ; https://johornationalparks.gov.my/endau-rompin-peta-activities/ ; https://johornationalparks.gov.my/endau-rompin-selai-activities/ ; https://www.malaysia.travel/explore/thrilling-outdoor-adventures-in-johor-bahru ; https://rompinpark.my/</t>
  </si>
  <si>
    <t>A010</t>
  </si>
  <si>
    <t>MC0004</t>
  </si>
  <si>
    <t>LEGOLAND Malaysia Resort</t>
  </si>
  <si>
    <t>Iskandar Puteri</t>
  </si>
  <si>
    <t>Family Attraction</t>
  </si>
  <si>
    <t>theme park; family; children; rides; indoor; outdoor</t>
  </si>
  <si>
    <t>Southeast Asia's first LEGOLAND theme park, opened in 2012 in Iskandar Puteri, with LEGO-themed rides, a Miniland of LEGO-brick landmark replicas, an adjoining water park and the Legoland Hotel.</t>
  </si>
  <si>
    <t>https://www.google.com/maps/search/?api=1&amp;query=LEGOLAND%20Malaysia%20Resort%2C%20Johor%2C%20Malaysia</t>
  </si>
  <si>
    <t>Previous workbook candidate/source lead</t>
  </si>
  <si>
    <t>Johor seed candidates</t>
  </si>
  <si>
    <t>A033</t>
  </si>
  <si>
    <t>MC0005</t>
  </si>
  <si>
    <t>Adventure Waterpark Desaru Coast</t>
  </si>
  <si>
    <t>Bandar Penawar</t>
  </si>
  <si>
    <t>Theme Park</t>
  </si>
  <si>
    <t>water park; family; children; adventure; recreation</t>
  </si>
  <si>
    <t>A large waterpark within the Desaru Coast resort development on Johor's east coast, featuring wave pools, slides and river rides aimed at families.</t>
  </si>
  <si>
    <t>https://www.google.com/maps/search/?api=1&amp;query=Adventure%20Waterpark%20Desaru%20Coast%2C%20Johor%2C%20Malaysia</t>
  </si>
  <si>
    <t>A034</t>
  </si>
  <si>
    <t>MC0006</t>
  </si>
  <si>
    <t>Desaru Beach</t>
  </si>
  <si>
    <t>Kota Tinggi</t>
  </si>
  <si>
    <t>Beach and Island</t>
  </si>
  <si>
    <t>beach; relaxation; scenery; family; seaside</t>
  </si>
  <si>
    <t>A long stretch of sandy coastline on Johor's east coast known for surfing, water sports and beachfront resorts.</t>
  </si>
  <si>
    <t>https://www.google.com/maps/search/?api=1&amp;query=Desaru%20Beach%2C%20Johor%2C%20Malaysia</t>
  </si>
  <si>
    <t>A035</t>
  </si>
  <si>
    <t>MC0007</t>
  </si>
  <si>
    <t>Tanjung Piai National Park</t>
  </si>
  <si>
    <t>Pontian</t>
  </si>
  <si>
    <t>nature; mangrove; boardwalk; birdwatching; scenery; relaxation</t>
  </si>
  <si>
    <t>Mainland Asia's southernmost point, a coastal mangrove forest reserve near Pontian with boardwalks for viewing mudflat wildlife and the Tanjung Piai lighthouse.</t>
  </si>
  <si>
    <t>https://www.google.com/maps/search/?api=1&amp;query=Tanjung%20Piai%20National%20Park%2C%20Johor%2C%20Malaysia</t>
  </si>
  <si>
    <t>A036</t>
  </si>
  <si>
    <t>MC0008</t>
  </si>
  <si>
    <t>Gunung Pulai Recreational Forest</t>
  </si>
  <si>
    <t>Kulai</t>
  </si>
  <si>
    <t>nature; forest; hiking; waterfall; adventure</t>
  </si>
  <si>
    <t>A forested hill recreation area near Kulai popular for hiking, waterfalls and camping around a reservoir.</t>
  </si>
  <si>
    <t>https://www.google.com/maps/search/?api=1&amp;query=Gunung%20Pulai%20Recreational%20Forest%2C%20Johor%2C%20Malaysia</t>
  </si>
  <si>
    <t>A037</t>
  </si>
  <si>
    <t>MC0009</t>
  </si>
  <si>
    <t>Kota Tinggi Firefly Park</t>
  </si>
  <si>
    <t>wildlife; fireflies; river cruise; nature; family</t>
  </si>
  <si>
    <t>A riverside park along the Sungai Lebam near Kota Tinggi known for nighttime firefly-watching boat rides.</t>
  </si>
  <si>
    <t>https://www.google.com/maps/search/?api=1&amp;query=Kota%20Tinggi%20Firefly%20Park%2C%20Johor%2C%20Malaysia</t>
  </si>
  <si>
    <t>A038</t>
  </si>
  <si>
    <t>MC0010</t>
  </si>
  <si>
    <t>Johor Bahru Old Chinese Temple</t>
  </si>
  <si>
    <t>Culture</t>
  </si>
  <si>
    <t>culture; temple; heritage; history; architecture</t>
  </si>
  <si>
    <t>A 19th-century multi-deity Chinese temple in downtown Johor Bahru, notable for hosting the city's annual Chingay procession.</t>
  </si>
  <si>
    <t>https://www.google.com/maps/search/?api=1&amp;query=Johor%20Bahru%20Old%20Chinese%20Temple%2C%20Johor%2C%20Malaysia</t>
  </si>
  <si>
    <t>A039</t>
  </si>
  <si>
    <t>MC0011</t>
  </si>
  <si>
    <t>Sultan Abu Bakar State Mosque</t>
  </si>
  <si>
    <t>Religious Site</t>
  </si>
  <si>
    <t>Popular</t>
  </si>
  <si>
    <t>mosque; architecture; heritage</t>
  </si>
  <si>
    <t>Johor Bahru's state mosque, built in Victorian-Moorish style on a hill overlooking the Straits of Johor and completed in 1900.</t>
  </si>
  <si>
    <t>https://www.google.com/maps/search/?api=1&amp;query=Sultan%20Abu%20Bakar%20State%20Mosque%2C%20Johor%2C%20Malaysia</t>
  </si>
  <si>
    <t>Tourism Malaysia state guide plus map discovery link</t>
  </si>
  <si>
    <t>Johor expansion batch</t>
  </si>
  <si>
    <t>MC0012</t>
  </si>
  <si>
    <t>Sultan Ibrahim Building</t>
  </si>
  <si>
    <t>Heritage and History</t>
  </si>
  <si>
    <t>landmark; architecture; history</t>
  </si>
  <si>
    <t>A heritage administrative building in Johor Bahru with a distinctive clock tower, completed in 1940 and formerly serving as the state secretariat.</t>
  </si>
  <si>
    <t>https://www.google.com/maps/search/?api=1&amp;query=Sultan%20Ibrahim%20Building%2C%20Johor%2C%20Malaysia</t>
  </si>
  <si>
    <t>MC0013</t>
  </si>
  <si>
    <t>Tan Hiok Nee Heritage Street</t>
  </si>
  <si>
    <t>Local</t>
  </si>
  <si>
    <t>heritage street; food; walking</t>
  </si>
  <si>
    <t>A historic street of early Chinese shophouses in Johor Bahru, named after 19th-century Teochew community leader Tan Hiok Nee.</t>
  </si>
  <si>
    <t>https://www.google.com/maps/search/?api=1&amp;query=Tan%20Hiok%20Nee%20Heritage%20Street%2C%20Johor%2C%20Malaysia</t>
  </si>
  <si>
    <t>MC0014</t>
  </si>
  <si>
    <t>Arulmigu Sri Rajakaliamman Glass Temple</t>
  </si>
  <si>
    <t>Underrated</t>
  </si>
  <si>
    <t>temple; glass art; culture</t>
  </si>
  <si>
    <t>A Hindu temple in Johor Bahru decorated almost entirely with glass mosaics, mirrors and coloured glass materials.</t>
  </si>
  <si>
    <t>https://www.google.com/maps/search/?api=1&amp;query=Arulmigu%20Sri%20Rajakaliamman%20Glass%20Temple%2C%20Johor%2C%20Malaysia</t>
  </si>
  <si>
    <t>MC0015</t>
  </si>
  <si>
    <t>Istana Besar and Royal Abu Bakar Museum</t>
  </si>
  <si>
    <t>Museum and Gallery</t>
  </si>
  <si>
    <t>Indoor</t>
  </si>
  <si>
    <t>royal history; museum; architecture</t>
  </si>
  <si>
    <t>The former royal palace of the Johor sultanate in Johor Bahru, now a museum displaying royal regalia and artefacts of the Abu Bakar era.</t>
  </si>
  <si>
    <t>https://www.google.com/maps/search/?api=1&amp;query=Istana%20Besar%20and%20Royal%20Abu%20Bakar%20Museum%2C%20Johor%2C%20Malaysia</t>
  </si>
  <si>
    <t>MC0016</t>
  </si>
  <si>
    <t>Puteri Harbour</t>
  </si>
  <si>
    <t>Urban Attraction</t>
  </si>
  <si>
    <t>waterfront; marina; dining</t>
  </si>
  <si>
    <t>A waterfront leisure and residential precinct in Iskandar Puteri with a marina, family attractions and dining along the water.</t>
  </si>
  <si>
    <t>https://www.google.com/maps/search/?api=1&amp;query=Puteri%20Harbour%2C%20Johor%2C%20Malaysia</t>
  </si>
  <si>
    <t>MC0017</t>
  </si>
  <si>
    <t>Kota Iskandar</t>
  </si>
  <si>
    <t>civic architecture; photography; landmark</t>
  </si>
  <si>
    <t>Johor's state government administrative complex in Iskandar Puteri, home to the state legislative assembly and executive offices.</t>
  </si>
  <si>
    <t>https://www.google.com/maps/search/?api=1&amp;query=Kota%20Iskandar%2C%20Johor%2C%20Malaysia</t>
  </si>
  <si>
    <t>MC0018</t>
  </si>
  <si>
    <t>Johor Premium Outlets</t>
  </si>
  <si>
    <t>Shopping</t>
  </si>
  <si>
    <t>outlet shopping; family; dining</t>
  </si>
  <si>
    <t>A designer and brand-name outlet shopping mall in Kulai, part of the international Premium Outlets chain.</t>
  </si>
  <si>
    <t>https://www.google.com/maps/search/?api=1&amp;query=Johor%20Premium%20Outlets%2C%20Johor%2C%20Malaysia</t>
  </si>
  <si>
    <t>MC0019</t>
  </si>
  <si>
    <t>Kota Tinggi Waterfalls</t>
  </si>
  <si>
    <t>waterfall; forest; recreation</t>
  </si>
  <si>
    <t>A multi-tiered waterfall recreation area in Kota Tinggi with natural pools popular for swimming and picnicking.</t>
  </si>
  <si>
    <t>https://www.google.com/maps/search/?api=1&amp;query=Kota%20Tinggi%20Waterfalls%2C%20Johor%2C%20Malaysia</t>
  </si>
  <si>
    <t>MC0020</t>
  </si>
  <si>
    <t>Desaru Fruit Farm</t>
  </si>
  <si>
    <t>Food</t>
  </si>
  <si>
    <t>agrotourism; fruit; farm</t>
  </si>
  <si>
    <t>An agro-tourism farm near Kota Tinggi showcasing tropical fruit orchards and local produce.</t>
  </si>
  <si>
    <t>https://www.google.com/maps/search/?api=1&amp;query=Desaru%20Fruit%20Farm%2C%20Johor%2C%20Malaysia</t>
  </si>
  <si>
    <t>MC0021</t>
  </si>
  <si>
    <t>Desaru Coast Riverside</t>
  </si>
  <si>
    <t>waterfront; dining; leisure</t>
  </si>
  <si>
    <t>A riverside dining and leisure precinct within the Desaru Coast development in Kota Tinggi district.</t>
  </si>
  <si>
    <t>https://www.google.com/maps/search/?api=1&amp;query=Desaru%20Coast%20Riverside%2C%20Johor%2C%20Malaysia</t>
  </si>
  <si>
    <t>MC0022</t>
  </si>
  <si>
    <t>Pulau Rawa</t>
  </si>
  <si>
    <t>Mersing</t>
  </si>
  <si>
    <t>island; beach; snorkelling</t>
  </si>
  <si>
    <t>A small island off Mersing known for clear water and calm beaches, popular as a day-trip and resort destination.</t>
  </si>
  <si>
    <t>https://www.google.com/maps/search/?api=1&amp;query=Pulau%20Rawa%2C%20Johor%2C%20Malaysia</t>
  </si>
  <si>
    <t>MC0023</t>
  </si>
  <si>
    <t>Pulau Sibu</t>
  </si>
  <si>
    <t>island; beach; village</t>
  </si>
  <si>
    <t>An island off Mersing popular for diving and snorkelling, with several small beach resorts.</t>
  </si>
  <si>
    <t>https://www.google.com/maps/search/?api=1&amp;query=Pulau%20Sibu%2C%20Johor%2C%20Malaysia</t>
  </si>
  <si>
    <t>MC0024</t>
  </si>
  <si>
    <t>Pulau Besar</t>
  </si>
  <si>
    <t>island; marine life; beach</t>
  </si>
  <si>
    <t>An island off Mersing offering beaches and snorkelling within the Sultan Iskandar Marine Park.</t>
  </si>
  <si>
    <t>https://www.google.com/maps/search/?api=1&amp;query=Pulau%20Besar%2C%20Johor%2C%20Malaysia</t>
  </si>
  <si>
    <t>MC0025</t>
  </si>
  <si>
    <t>Air Papan Beach</t>
  </si>
  <si>
    <t>beach; picnic; village</t>
  </si>
  <si>
    <t>A long sandy beach near Mersing town popular with local day-trippers and campers.</t>
  </si>
  <si>
    <t>https://www.google.com/maps/search/?api=1&amp;query=Air%20Papan%20Beach%2C%20Johor%2C%20Malaysia</t>
  </si>
  <si>
    <t>MC0026</t>
  </si>
  <si>
    <t>Gunung Arong Recreational Forest</t>
  </si>
  <si>
    <t>Rural</t>
  </si>
  <si>
    <t>hiking; forest; summit</t>
  </si>
  <si>
    <t>A coastal forest reserve near Mersing with a short hiking trail leading to a sea-view summit.</t>
  </si>
  <si>
    <t>https://www.google.com/maps/search/?api=1&amp;query=Gunung%20Arong%20Recreational%20Forest%2C%20Johor%2C%20Malaysia</t>
  </si>
  <si>
    <t>MC0027</t>
  </si>
  <si>
    <t>Kukup Fishing Village</t>
  </si>
  <si>
    <t>fishing village; seafood; stilt houses</t>
  </si>
  <si>
    <t>A stilt fishing village in Pontian district known for seafood restaurants built out over the water.</t>
  </si>
  <si>
    <t>https://www.google.com/maps/search/?api=1&amp;query=Kukup%20Fishing%20Village%2C%20Johor%2C%20Malaysia</t>
  </si>
  <si>
    <t>MC0028</t>
  </si>
  <si>
    <t>Pulau Kukup National Park</t>
  </si>
  <si>
    <t>mangrove; island; boardwalk</t>
  </si>
  <si>
    <t>One of the world's largest uninhabited mangrove islands, a Ramsar-listed wetland site off Pontian.</t>
  </si>
  <si>
    <t>https://www.google.com/maps/search/?api=1&amp;query=Pulau%20Kukup%20National%20Park%2C%20Johor%2C%20Malaysia</t>
  </si>
  <si>
    <t>MC0029</t>
  </si>
  <si>
    <t>Pantai Minyak Beku</t>
  </si>
  <si>
    <t>Batu Pahat</t>
  </si>
  <si>
    <t>coast; local history; sunset</t>
  </si>
  <si>
    <t>A beach along the Batu Pahat coastline known locally for its calm waters.</t>
  </si>
  <si>
    <t>https://www.google.com/maps/search/?api=1&amp;query=Pantai%20Minyak%20Beku%2C%20Johor%2C%20Malaysia</t>
  </si>
  <si>
    <t>MC0030</t>
  </si>
  <si>
    <t>Chong Long Gong Temple</t>
  </si>
  <si>
    <t>temple; culture; riverside</t>
  </si>
  <si>
    <t>A Chinese temple in Batu Pahat district serving the local community.</t>
  </si>
  <si>
    <t>https://www.google.com/maps/search/?api=1&amp;query=Chong%20Long%20Gong%20Temple%2C%20Johor%2C%20Malaysia</t>
  </si>
  <si>
    <t>MC0031</t>
  </si>
  <si>
    <t>Tanjung Emas Park</t>
  </si>
  <si>
    <t>Muar</t>
  </si>
  <si>
    <t>riverfront; park; family</t>
  </si>
  <si>
    <t>A riverside park in Muar town along the banks of the Muar River.</t>
  </si>
  <si>
    <t>https://www.google.com/maps/search/?api=1&amp;query=Tanjung%20Emas%20Park%2C%20Johor%2C%20Malaysia</t>
  </si>
  <si>
    <t>MC0032</t>
  </si>
  <si>
    <t>Muar Cultural Walk</t>
  </si>
  <si>
    <t>street art; heritage; food</t>
  </si>
  <si>
    <t>A heritage walking trail through Muar's colonial-era shophouses and historic landmarks.</t>
  </si>
  <si>
    <t>https://www.google.com/maps/search/?api=1&amp;query=Muar%20Cultural%20Walk%2C%20Johor%2C%20Malaysia</t>
  </si>
  <si>
    <t>MC0033</t>
  </si>
  <si>
    <t>Gunung Lambak</t>
  </si>
  <si>
    <t>Kluang</t>
  </si>
  <si>
    <t>hiking; forest; viewpoint</t>
  </si>
  <si>
    <t>A popular hiking hill near Kluang town with several marked summit trails.</t>
  </si>
  <si>
    <t>https://www.google.com/maps/search/?api=1&amp;query=Gunung%20Lambak%2C%20Johor%2C%20Malaysia</t>
  </si>
  <si>
    <t>MC0034</t>
  </si>
  <si>
    <t>Kluang Rail Coffee and Railway Station Precinct</t>
  </si>
  <si>
    <t>rail heritage; coffee; local food</t>
  </si>
  <si>
    <t>A historic railway station precinct in Kluang known for its century-old railway platform coffee shop, still operating today.</t>
  </si>
  <si>
    <t>https://www.google.com/maps/search/?api=1&amp;query=Kluang%20Rail%20Coffee%20and%20Railway%20Station%20Precinct%2C%20Johor%2C%20Malaysia</t>
  </si>
  <si>
    <t>MC0035</t>
  </si>
  <si>
    <t>Sungai Bantang Waterfall</t>
  </si>
  <si>
    <t>Segamat</t>
  </si>
  <si>
    <t>waterfall; forest; picnic</t>
  </si>
  <si>
    <t>A waterfall recreational spot in Segamat district popular for picnics and swimming.</t>
  </si>
  <si>
    <t>https://www.google.com/maps/search/?api=1&amp;query=Sungai%20Bantang%20Waterfall%2C%20Johor%2C%20Malaysia</t>
  </si>
  <si>
    <t>MC0036</t>
  </si>
  <si>
    <t>Tree Top Walk Sungai Sedim</t>
  </si>
  <si>
    <t>Kedah</t>
  </si>
  <si>
    <t>Kulim</t>
  </si>
  <si>
    <t>Adventure</t>
  </si>
  <si>
    <t>Canopy walkway; rainforest; river; panoramic views; nature; walking; hiking; jungle trekking; birdwatching; wildlife; white-water rafting; kayaking; river tubing; abseiling; paintball; camping; team building; nature education; photography</t>
  </si>
  <si>
    <t>A 925-metre elevated canopy walkway in Sungai Sedim Recreational Park, approximately 30 minutes from Kulim. Rising to about 26 metres above the forest floor, it offers rainforest and river views, with separately arranged adventure activities such as rafting, kayaking, tubing, trekking and abseiling.</t>
  </si>
  <si>
    <t>https://www.treetopwalk.com.my/ ; https://www.malaysia.travel/explore/top-walk-sungai-sedim ; https://www.malaysia.travel/explore/7-hidden-gems-in-kedah-for-the-ultimate-escape ; https://ebrochures.malaysia.travel/en/malaysia-travel-guide/kedah/</t>
  </si>
  <si>
    <t>https://ebrochures.malaysia.travel/en/malaysia-travel-guide/kedah/</t>
  </si>
  <si>
    <t>Previous workbook seed</t>
  </si>
  <si>
    <t>A011</t>
  </si>
  <si>
    <t>MC0037</t>
  </si>
  <si>
    <t>Pulau Payar Marine Park</t>
  </si>
  <si>
    <t>Kota Setar</t>
  </si>
  <si>
    <t>Marine park; islands; coral reefs; marine life; snorkelling; scuba diving; swimming; boat trip; day trip; sharks; tropical fish; hiking; conservation; nature; family recreation; underwater photography</t>
  </si>
  <si>
    <t>A protected marine-park archipelago comprising Pulau Payar, Pulau Lembu, Pulau Kaca and Pulau Segantang. Its sheltered waters, coral reefs and diverse marine life support day-trip activities including snorkelling, scuba diving and swimming, while Pulau Payar also has basic visitor amenities and short hiking trails.</t>
  </si>
  <si>
    <t>https://www.malaysia.travel/explore/pulau-payar-marine-park ; https://www.dof.gov.my/en/services/marine-park-resource-management/marine-park-management/ ; https://www.dof.gov.my/en/services/marine-park-resource-management/conservation-charge-fee-rates/ ; https://pulaupayar.com/ ; https://ebrochures.malaysia.travel/en/langkawi/10-natures-best-in-langkawi/</t>
  </si>
  <si>
    <t>A012</t>
  </si>
  <si>
    <t>MC0038</t>
  </si>
  <si>
    <t>Langkawi Sky Bridge</t>
  </si>
  <si>
    <t>Langkawi</t>
  </si>
  <si>
    <t>scenery; cable car; bridge; nature; photography; adventure</t>
  </si>
  <si>
    <t>A curved pedestrian suspension bridge near the summit of Gunung Mat Cincang on Langkawi, reached via cable car and offering panoramic views over the island.</t>
  </si>
  <si>
    <t>https://www.google.com/maps/search/?api=1&amp;query=Langkawi%20Sky%20Bridge%2C%20Kedah%2C%20Malaysia</t>
  </si>
  <si>
    <t>A040</t>
  </si>
  <si>
    <t>MC0039</t>
  </si>
  <si>
    <t>Kilim Karst Geoforest Park</t>
  </si>
  <si>
    <t>mangrove; boat tour; geopark; wildlife; scenery; nature</t>
  </si>
  <si>
    <t>A mangrove and limestone karst area on Langkawi explored by boat, known for eagle-watching, sea caves and dramatic geological formations.</t>
  </si>
  <si>
    <t>https://www.google.com/maps/search/?api=1&amp;query=Kilim%20Karst%20Geoforest%20Park%2C%20Kedah%2C%20Malaysia</t>
  </si>
  <si>
    <t>A041</t>
  </si>
  <si>
    <t>MC0040</t>
  </si>
  <si>
    <t>Pantai Cenang</t>
  </si>
  <si>
    <t>beach; relaxation; water sports; shopping; food</t>
  </si>
  <si>
    <t>Langkawi's most popular beach strip, lined with resorts, restaurants, bars and water-sports operators.</t>
  </si>
  <si>
    <t>https://www.google.com/maps/search/?api=1&amp;query=Pantai%20Cenang%2C%20Kedah%2C%20Malaysia</t>
  </si>
  <si>
    <t>A042</t>
  </si>
  <si>
    <t>MC0041</t>
  </si>
  <si>
    <t>Langkawi Wildlife Park</t>
  </si>
  <si>
    <t>wildlife; animals; family; children; education</t>
  </si>
  <si>
    <t>A bird and wildlife park on Langkawi with walk-in aviaries and animal enclosures.</t>
  </si>
  <si>
    <t>https://www.google.com/maps/search/?api=1&amp;query=Langkawi%20Wildlife%20Park%2C%20Kedah%2C%20Malaysia</t>
  </si>
  <si>
    <t>A043</t>
  </si>
  <si>
    <t>MC0042</t>
  </si>
  <si>
    <t>Underwater World Langkawi</t>
  </si>
  <si>
    <t>aquarium; marine life; family; children; indoor</t>
  </si>
  <si>
    <t>A large aquarium at Pantai Cenang on Langkawi featuring marine and freshwater species.</t>
  </si>
  <si>
    <t>https://www.google.com/maps/search/?api=1&amp;query=Underwater%20World%20Langkawi%2C%20Kedah%2C%20Malaysia</t>
  </si>
  <si>
    <t>A044</t>
  </si>
  <si>
    <t>MC0043</t>
  </si>
  <si>
    <t>Lembah Bujang Archaeological Museum</t>
  </si>
  <si>
    <t>Merbok</t>
  </si>
  <si>
    <t>museum; archaeology; heritage; history; culture</t>
  </si>
  <si>
    <t>A museum near Merbok housing artefacts from the ancient Bujang Valley civilisation, among the earliest known settlements in Southeast Asia.</t>
  </si>
  <si>
    <t>https://www.google.com/maps/search/?api=1&amp;query=Lembah%20Bujang%20Archaeological%20Museum%2C%20Kedah%2C%20Malaysia</t>
  </si>
  <si>
    <t>A045</t>
  </si>
  <si>
    <t>MC0044</t>
  </si>
  <si>
    <t>Gunung Jerai</t>
  </si>
  <si>
    <t>Yan</t>
  </si>
  <si>
    <t>mountain; scenery; nature; hiking; relaxation</t>
  </si>
  <si>
    <t>A prominent limestone mountain in Yan district with hilltop Hindu-Buddhist temple ruins and scenic viewpoints.</t>
  </si>
  <si>
    <t>https://www.google.com/maps/search/?api=1&amp;query=Gunung%20Jerai%2C%20Kedah%2C%20Malaysia</t>
  </si>
  <si>
    <t>A046</t>
  </si>
  <si>
    <t>MC0045</t>
  </si>
  <si>
    <t>Pekan Rabu</t>
  </si>
  <si>
    <t>Alor Setar</t>
  </si>
  <si>
    <t>market; shopping; local food; handicrafts; culture</t>
  </si>
  <si>
    <t>A well-known Wednesday market in Alor Setar selling Kedah handicrafts, local snacks and produce.</t>
  </si>
  <si>
    <t>https://www.google.com/maps/search/?api=1&amp;query=Pekan%20Rabu%2C%20Kedah%2C%20Malaysia</t>
  </si>
  <si>
    <t>A047</t>
  </si>
  <si>
    <t>MC0046</t>
  </si>
  <si>
    <t>Dayang Bunting Marble Geoforest Park</t>
  </si>
  <si>
    <t>island; lake; geopark</t>
  </si>
  <si>
    <t>An island in the Langkawi archipelago home to the freshwater Lake of the Pregnant Maiden, a popular swimming spot tied to local legend.</t>
  </si>
  <si>
    <t>https://www.google.com/maps/search/?api=1&amp;query=Dayang%20Bunting%20Marble%20Geoforest%20Park%2C%20Kedah%2C%20Malaysia</t>
  </si>
  <si>
    <t>Kedah expansion batch</t>
  </si>
  <si>
    <t>MC0047</t>
  </si>
  <si>
    <t>Telaga Tujuh Waterfalls</t>
  </si>
  <si>
    <t>waterfall; hiking; rainforest</t>
  </si>
  <si>
    <t>A seven-tiered waterfall on Langkawi with natural rock pools, popular for hiking and swimming.</t>
  </si>
  <si>
    <t>https://www.google.com/maps/search/?api=1&amp;query=Telaga%20Tujuh%20Waterfalls%2C%20Kedah%2C%20Malaysia</t>
  </si>
  <si>
    <t>MC0048</t>
  </si>
  <si>
    <t>Tanjung Rhu Beach</t>
  </si>
  <si>
    <t>beach; sunset; scenery</t>
  </si>
  <si>
    <t>A quiet, scenic beach on Langkawi's northern coast known for its sandbar and limestone cliff backdrop.</t>
  </si>
  <si>
    <t>https://www.google.com/maps/search/?api=1&amp;query=Tanjung%20Rhu%20Beach%2C%20Kedah%2C%20Malaysia</t>
  </si>
  <si>
    <t>MC0049</t>
  </si>
  <si>
    <t>Black Sand Beach</t>
  </si>
  <si>
    <t>beach; geology; village</t>
  </si>
  <si>
    <t>A beach on Langkawi known for its distinctive dark-coloured sand.</t>
  </si>
  <si>
    <t>https://www.google.com/maps/search/?api=1&amp;query=Black%20Sand%20Beach%2C%20Kedah%2C%20Malaysia</t>
  </si>
  <si>
    <t>MC0050</t>
  </si>
  <si>
    <t>Laman Padi Langkawi</t>
  </si>
  <si>
    <t>rice culture; museum; agriculture</t>
  </si>
  <si>
    <t>A rice-farming heritage park and museum on Langkawi showcasing Malaysian paddy cultivation traditions.</t>
  </si>
  <si>
    <t>https://www.google.com/maps/search/?api=1&amp;query=Laman%20Padi%20Langkawi%2C%20Kedah%2C%20Malaysia</t>
  </si>
  <si>
    <t>MC0051</t>
  </si>
  <si>
    <t>MARDI Langkawi Agro Technology Park</t>
  </si>
  <si>
    <t>An agricultural research park on Langkawi open to visitors, showcasing tropical fruit orchards and farming technology.</t>
  </si>
  <si>
    <t>https://www.google.com/maps/search/?api=1&amp;query=MARDI%20Langkawi%20Agro%20Technology%20Park%2C%20Kedah%2C%20Malaysia</t>
  </si>
  <si>
    <t>MC0052</t>
  </si>
  <si>
    <t>Zahir Mosque</t>
  </si>
  <si>
    <t>mosque; architecture; landmark</t>
  </si>
  <si>
    <t>Kedah's state mosque in Alor Setar, one of Malaysia's oldest and grandest mosques, completed in 1912.</t>
  </si>
  <si>
    <t>https://www.google.com/maps/search/?api=1&amp;query=Zahir%20Mosque%2C%20Kedah%2C%20Malaysia</t>
  </si>
  <si>
    <t>MC0053</t>
  </si>
  <si>
    <t>Balai Besar</t>
  </si>
  <si>
    <t>royal heritage; architecture</t>
  </si>
  <si>
    <t>A royal audience hall in Alor Setar built in traditional Malay architectural style, used for official ceremonies.</t>
  </si>
  <si>
    <t>https://www.google.com/maps/search/?api=1&amp;query=Balai%20Besar%2C%20Kedah%2C%20Malaysia</t>
  </si>
  <si>
    <t>MC0054</t>
  </si>
  <si>
    <t>Pekan Rabu Complex</t>
  </si>
  <si>
    <t>market; crafts; local food</t>
  </si>
  <si>
    <t>The covered market building in Alor Setar housing Pekan Rabu vendors and Kedah handicraft stalls.</t>
  </si>
  <si>
    <t>https://www.google.com/maps/search/?api=1&amp;query=Pekan%20Rabu%20Complex%2C%20Kedah%2C%20Malaysia</t>
  </si>
  <si>
    <t>MC0055</t>
  </si>
  <si>
    <t>Kedah State Museum</t>
  </si>
  <si>
    <t>state history; culture; museum</t>
  </si>
  <si>
    <t>A state museum in Alor Setar covering Kedah's history, culture and links to the Bujang Valley civilisation.</t>
  </si>
  <si>
    <t>https://www.google.com/maps/search/?api=1&amp;query=Kedah%20State%20Museum%2C%20Kedah%2C%20Malaysia</t>
  </si>
  <si>
    <t>MC0056</t>
  </si>
  <si>
    <t>Kuala Kedah Fort</t>
  </si>
  <si>
    <t>Kuala Kedah</t>
  </si>
  <si>
    <t>fort; history; river mouth</t>
  </si>
  <si>
    <t>An 18th-century fort at the mouth of the Kedah River, built to defend against Siamese and Portuguese incursions.</t>
  </si>
  <si>
    <t>https://www.google.com/maps/search/?api=1&amp;query=Kuala%20Kedah%20Fort%2C%20Kedah%2C%20Malaysia</t>
  </si>
  <si>
    <t>MC0057</t>
  </si>
  <si>
    <t>Mount Jerai</t>
  </si>
  <si>
    <t>highland; hiking; viewpoint</t>
  </si>
  <si>
    <t>A mountain in Yan district with ancient temple ruins near its summit and panoramic viewpoints over the Kedah plains.</t>
  </si>
  <si>
    <t>https://www.google.com/maps/search/?api=1&amp;query=Mount%20Jerai%2C%20Kedah%2C%20Malaysia</t>
  </si>
  <si>
    <t>MC0058</t>
  </si>
  <si>
    <t>Titi Hayun Recreational Forest</t>
  </si>
  <si>
    <t>A forest recreation area in Yan district with waterfalls and picnic spots.</t>
  </si>
  <si>
    <t>https://www.google.com/maps/search/?api=1&amp;query=Titi%20Hayun%20Recreational%20Forest%2C%20Kedah%2C%20Malaysia</t>
  </si>
  <si>
    <t>MC0059</t>
  </si>
  <si>
    <t>Pantai Murni Waterfront</t>
  </si>
  <si>
    <t>waterfront; sunset; recreation</t>
  </si>
  <si>
    <t>A coastal recreational park in Yan district.</t>
  </si>
  <si>
    <t>https://www.google.com/maps/search/?api=1&amp;query=Pantai%20Murni%20Waterfront%2C%20Kedah%2C%20Malaysia</t>
  </si>
  <si>
    <t>MC0060</t>
  </si>
  <si>
    <t>Lata Bayu Recreational Forest</t>
  </si>
  <si>
    <t>Baling</t>
  </si>
  <si>
    <t>A waterfall-based recreational forest in Baling district.</t>
  </si>
  <si>
    <t>https://www.google.com/maps/search/?api=1&amp;query=Lata%20Bayu%20Recreational%20Forest%2C%20Kedah%2C%20Malaysia</t>
  </si>
  <si>
    <t>MC0061</t>
  </si>
  <si>
    <t>Ulu Legong Hot Spring</t>
  </si>
  <si>
    <t>Wellness and Relaxation</t>
  </si>
  <si>
    <t>hot spring; bathing; village</t>
  </si>
  <si>
    <t>A natural hot spring recreational area in Baling district.</t>
  </si>
  <si>
    <t>https://www.google.com/maps/search/?api=1&amp;query=Ulu%20Legong%20Hot%20Spring%2C%20Kedah%2C%20Malaysia</t>
  </si>
  <si>
    <t>MC0062</t>
  </si>
  <si>
    <t>Beris Lake</t>
  </si>
  <si>
    <t>Sik</t>
  </si>
  <si>
    <t>lake; scenery; fishing</t>
  </si>
  <si>
    <t>A reservoir lake in Sik district used for recreation and scenic views.</t>
  </si>
  <si>
    <t>https://www.google.com/maps/search/?api=1&amp;query=Beris%20Lake%2C%20Kedah%2C%20Malaysia</t>
  </si>
  <si>
    <t>MC0063</t>
  </si>
  <si>
    <t>Sungai Sedim Tree Top Walk</t>
  </si>
  <si>
    <t>canopy walk; rainforest; river</t>
  </si>
  <si>
    <t>A canopy walkway suspended in the rainforest of Kulim, among the longest tree-top walkways in Malaysia.</t>
  </si>
  <si>
    <t>https://www.google.com/maps/search/?api=1&amp;query=Sungai%20Sedim%20Tree%20Top%20Walk%2C%20Kedah%2C%20Malaysia</t>
  </si>
  <si>
    <t>MC0064</t>
  </si>
  <si>
    <t>Pedu Lake</t>
  </si>
  <si>
    <t>Padang Terap</t>
  </si>
  <si>
    <t>lake; forest; fishing</t>
  </si>
  <si>
    <t>A large reservoir lake in Padang Terap district known for fishing and eco-tourism chalets.</t>
  </si>
  <si>
    <t>https://www.google.com/maps/search/?api=1&amp;query=Pedu%20Lake%2C%20Kedah%2C%20Malaysia</t>
  </si>
  <si>
    <t>MC0065</t>
  </si>
  <si>
    <t>Taman Negara Kuala Koh</t>
  </si>
  <si>
    <t>Kelantan</t>
  </si>
  <si>
    <t>Gua Musang</t>
  </si>
  <si>
    <t>National park; tropical rainforest; biodiversity; jungle trekking; hiking; birdwatching; wildlife; fishing; rivers; canopy walkway; night walks; kayaking; rafting; tubing; canoeing; boat trips; camping; photography; research; nature education</t>
  </si>
  <si>
    <t>The Kelantan gateway to Taman Negara, located in Gua Musang district within the Bukit Hantu and Lebir forest reserves. Its tropical rainforest, rivers and trails support birdwatching, fishing, jungle trekking, canopy-walk, boating and night-walk experiences, with visitor facilities at Kuala Koh.</t>
  </si>
  <si>
    <t>https://www.malaysia.travel/explore/back-to-nature-at-taman-negara-kuala-koh ; https://www.wildlife.gov.my/en/taman-negara-kelantan-kuala-koh/ ; https://mdgm.kelantan.gov.my/index.php/pelawat/destinasi-menarik/tempat-pelancongan/194-taman-negara-kuala-koh ; https://www.wildlife.gov.my/soalan-lazim-ekopelancongan/</t>
  </si>
  <si>
    <t>https://ebrochures.malaysia.travel/en/malaysia-travel-guide/kelantan/</t>
  </si>
  <si>
    <t>A013</t>
  </si>
  <si>
    <t>MC0066</t>
  </si>
  <si>
    <t>Siti Khadijah Market</t>
  </si>
  <si>
    <t>Kota Bharu</t>
  </si>
  <si>
    <t>market; local food; shopping; culture; handicrafts</t>
  </si>
  <si>
    <t>Kota Bharu's iconic central market, known as the Women's Market for its many female traders selling produce, textiles and handicrafts.</t>
  </si>
  <si>
    <t>https://www.google.com/maps/search/?api=1&amp;query=Siti%20Khadijah%20Market%2C%20Kelantan%2C%20Malaysia</t>
  </si>
  <si>
    <t>A048</t>
  </si>
  <si>
    <t>MC0067</t>
  </si>
  <si>
    <t>Istana Jahar</t>
  </si>
  <si>
    <t>museum; royal heritage; culture; history; architecture</t>
  </si>
  <si>
    <t>A former royal palace in Kota Bharu, now the Royal Customs Museum, showcasing Kelantanese Malay ceremonial traditions.</t>
  </si>
  <si>
    <t>https://www.google.com/maps/search/?api=1&amp;query=Istana%20Jahar%2C%20Kelantan%2C%20Malaysia</t>
  </si>
  <si>
    <t>A049</t>
  </si>
  <si>
    <t>MC0068</t>
  </si>
  <si>
    <t>Handicraft Village and Craft Museum</t>
  </si>
  <si>
    <t>handicrafts; museum; culture; shopping; heritage</t>
  </si>
  <si>
    <t>A cluster of workshops and a museum in Kota Bharu showcasing Kelantanese crafts such as batik, songket and wau kite-making.</t>
  </si>
  <si>
    <t>https://www.google.com/maps/search/?api=1&amp;query=Handicraft%20Village%20and%20Craft%20Museum%2C%20Kelantan%2C%20Malaysia</t>
  </si>
  <si>
    <t>A050</t>
  </si>
  <si>
    <t>MC0069</t>
  </si>
  <si>
    <t>Wat Photivihan</t>
  </si>
  <si>
    <t>Tumpat</t>
  </si>
  <si>
    <t>temple; culture; religion; architecture; photography</t>
  </si>
  <si>
    <t>A Thai Buddhist temple in Tumpat district home to one of Southeast Asia's largest reclining Buddha statues.</t>
  </si>
  <si>
    <t>https://www.google.com/maps/search/?api=1&amp;query=Wat%20Photivihan%2C%20Kelantan%2C%20Malaysia</t>
  </si>
  <si>
    <t>A051</t>
  </si>
  <si>
    <t>MC0070</t>
  </si>
  <si>
    <t>Pantai Cahaya Bulan</t>
  </si>
  <si>
    <t>beach; relaxation; food; family; scenery</t>
  </si>
  <si>
    <t>A well-known beach near Kota Bharu, popularly called Moonlight Beach, lined with casuarina trees.</t>
  </si>
  <si>
    <t>https://www.google.com/maps/search/?api=1&amp;query=Pantai%20Cahaya%20Bulan%2C%20Kelantan%2C%20Malaysia</t>
  </si>
  <si>
    <t>A052</t>
  </si>
  <si>
    <t>MC0071</t>
  </si>
  <si>
    <t>Pantai Irama</t>
  </si>
  <si>
    <t>Bachok</t>
  </si>
  <si>
    <t>beach; relaxation; family; scenery; picnic</t>
  </si>
  <si>
    <t>A beach in Bachok district known for stretches of rocky coastline and coastal scenery.</t>
  </si>
  <si>
    <t>https://www.google.com/maps/search/?api=1&amp;query=Pantai%20Irama%2C%20Kelantan%2C%20Malaysia</t>
  </si>
  <si>
    <t>A053</t>
  </si>
  <si>
    <t>MC0072</t>
  </si>
  <si>
    <t>Gunung Stong State Park</t>
  </si>
  <si>
    <t>Dabong</t>
  </si>
  <si>
    <t>hiking; waterfall; forest; camping; adventure; nature</t>
  </si>
  <si>
    <t>A state park in Dabong district with waterfalls, hot springs and a multi-day hiking trail up Gunung Stong.</t>
  </si>
  <si>
    <t>https://www.google.com/maps/search/?api=1&amp;query=Gunung%20Stong%20State%20Park%2C%20Kelantan%2C%20Malaysia</t>
  </si>
  <si>
    <t>A054</t>
  </si>
  <si>
    <t>MC0073</t>
  </si>
  <si>
    <t>Min House Camp</t>
  </si>
  <si>
    <t>nature; river; fireflies; local culture; relaxation</t>
  </si>
  <si>
    <t>An eco-tourism camp near Kota Bharu offering rural riverside stays and outdoor activities.</t>
  </si>
  <si>
    <t>https://www.google.com/maps/search/?api=1&amp;query=Min%20House%20Camp%2C%20Kelantan%2C%20Malaysia</t>
  </si>
  <si>
    <t>A055</t>
  </si>
  <si>
    <t>MC0074</t>
  </si>
  <si>
    <t>Muhammadi Mosque</t>
  </si>
  <si>
    <t>mosque; religion; heritage; architecture; culture</t>
  </si>
  <si>
    <t>The old state mosque of Kelantan in Kota Bharu, among the state's oldest mosques.</t>
  </si>
  <si>
    <t>https://www.google.com/maps/search/?api=1&amp;query=Muhammadi%20Mosque%2C%20Kelantan%2C%20Malaysia</t>
  </si>
  <si>
    <t>A056</t>
  </si>
  <si>
    <t>MC0075</t>
  </si>
  <si>
    <t>Bank Kerapu War Museum</t>
  </si>
  <si>
    <t>war history; museum; heritage</t>
  </si>
  <si>
    <t>A museum in a former bank building in Kota Bharu documenting the Japanese occupation of Kelantan during the Second World War.</t>
  </si>
  <si>
    <t>https://www.google.com/maps/search/?api=1&amp;query=Bank%20Kerapu%20War%20Museum%2C%20Kelantan%2C%20Malaysia</t>
  </si>
  <si>
    <t>Kelantan expansion batch</t>
  </si>
  <si>
    <t>MC0076</t>
  </si>
  <si>
    <t>Kampung Kraftangan</t>
  </si>
  <si>
    <t>handicraft; demonstrations; shopping</t>
  </si>
  <si>
    <t>A crafts village and small museum in Kota Bharu showcasing traditional Kelantanese arts.</t>
  </si>
  <si>
    <t>https://www.google.com/maps/search/?api=1&amp;query=Kampung%20Kraftangan%2C%20Kelantan%2C%20Malaysia</t>
  </si>
  <si>
    <t>MC0077</t>
  </si>
  <si>
    <t>Wat Machimmaram</t>
  </si>
  <si>
    <t>Buddhist temple; statue; culture</t>
  </si>
  <si>
    <t>A Thai Buddhist temple in Tumpat district.</t>
  </si>
  <si>
    <t>https://www.google.com/maps/search/?api=1&amp;query=Wat%20Machimmaram%2C%20Kelantan%2C%20Malaysia</t>
  </si>
  <si>
    <t>MC0078</t>
  </si>
  <si>
    <t>Pantai Sri Tujuh</t>
  </si>
  <si>
    <t>beach; lagoon; festival</t>
  </si>
  <si>
    <t>A coastal recreational beach area in Tumpat district near the Kelantan-Thailand border.</t>
  </si>
  <si>
    <t>https://www.google.com/maps/search/?api=1&amp;query=Pantai%20Sri%20Tujuh%2C%20Kelantan%2C%20Malaysia</t>
  </si>
  <si>
    <t>MC0079</t>
  </si>
  <si>
    <t>Pantai Senok</t>
  </si>
  <si>
    <t>casuarina; beach; photography</t>
  </si>
  <si>
    <t>A beach in Bachok district popular with local visitors.</t>
  </si>
  <si>
    <t>https://www.google.com/maps/search/?api=1&amp;query=Pantai%20Senok%2C%20Kelantan%2C%20Malaysia</t>
  </si>
  <si>
    <t>MC0080</t>
  </si>
  <si>
    <t>Jeram Linang</t>
  </si>
  <si>
    <t>Pasir Puteh</t>
  </si>
  <si>
    <t>A waterfall recreational spot in Pasir Puteh district.</t>
  </si>
  <si>
    <t>https://www.google.com/maps/search/?api=1&amp;query=Jeram%20Linang%2C%20Kelantan%2C%20Malaysia</t>
  </si>
  <si>
    <t>MC0081</t>
  </si>
  <si>
    <t>Tok Bali Beach</t>
  </si>
  <si>
    <t>beach; fishing; sunset</t>
  </si>
  <si>
    <t>A fishing-village beach in Pasir Puteh district known for its jetty and seafood.</t>
  </si>
  <si>
    <t>https://www.google.com/maps/search/?api=1&amp;query=Tok%20Bali%20Beach%2C%20Kelantan%2C%20Malaysia</t>
  </si>
  <si>
    <t>MC0082</t>
  </si>
  <si>
    <t>Jelawang Waterfall</t>
  </si>
  <si>
    <t>waterfall; hiking; scenery</t>
  </si>
  <si>
    <t>A multi-tiered waterfall within Gunung Stong State Park in Dabong district.</t>
  </si>
  <si>
    <t>https://www.google.com/maps/search/?api=1&amp;query=Jelawang%20Waterfall%2C%20Kelantan%2C%20Malaysia</t>
  </si>
  <si>
    <t>MC0083</t>
  </si>
  <si>
    <t>Gua Musang Railway Heritage Precinct</t>
  </si>
  <si>
    <t>railway; old town; limestone</t>
  </si>
  <si>
    <t>A railway heritage precinct centred on Gua Musang's historic train station.</t>
  </si>
  <si>
    <t>https://www.google.com/maps/search/?api=1&amp;query=Gua%20Musang%20Railway%20Heritage%20Precinct%2C%20Kelantan%2C%20Malaysia</t>
  </si>
  <si>
    <t>MC0084</t>
  </si>
  <si>
    <t>Ethnobotany Park</t>
  </si>
  <si>
    <t>plants; education; park</t>
  </si>
  <si>
    <t>A botanical park in Gua Musang district showcasing regional plant species.</t>
  </si>
  <si>
    <t>https://www.google.com/maps/search/?api=1&amp;query=Ethnobotany%20Park%2C%20Kelantan%2C%20Malaysia</t>
  </si>
  <si>
    <t>MC0085</t>
  </si>
  <si>
    <t>Pergau Lake</t>
  </si>
  <si>
    <t>Jeli</t>
  </si>
  <si>
    <t>lake; countryside; fishing</t>
  </si>
  <si>
    <t>A hydroelectric reservoir lake in Jeli district.</t>
  </si>
  <si>
    <t>https://www.google.com/maps/search/?api=1&amp;query=Pergau%20Lake%2C%20Kelantan%2C%20Malaysia</t>
  </si>
  <si>
    <t>MC0086</t>
  </si>
  <si>
    <t>Lata Janggut</t>
  </si>
  <si>
    <t>A waterfall in Jeli district.</t>
  </si>
  <si>
    <t>https://www.google.com/maps/search/?api=1&amp;query=Lata%20Janggut%2C%20Kelantan%2C%20Malaysia</t>
  </si>
  <si>
    <t>MC0087</t>
  </si>
  <si>
    <t>Bukit Bunga Border Market</t>
  </si>
  <si>
    <t>Tanah Merah</t>
  </si>
  <si>
    <t>border market; local goods; food</t>
  </si>
  <si>
    <t>A border market in Tanah Merah near the Malaysia-Thailand crossing, popular for cross-border shopping.</t>
  </si>
  <si>
    <t>https://www.google.com/maps/search/?api=1&amp;query=Bukit%20Bunga%20Border%20Market%2C%20Kelantan%2C%20Malaysia</t>
  </si>
  <si>
    <t>MC0088</t>
  </si>
  <si>
    <t>Lata Rek</t>
  </si>
  <si>
    <t>Kuala Krai</t>
  </si>
  <si>
    <t>waterfall; village; recreation</t>
  </si>
  <si>
    <t>A waterfall recreational area in Kuala Krai district.</t>
  </si>
  <si>
    <t>https://www.google.com/maps/search/?api=1&amp;query=Lata%20Rek%2C%20Kelantan%2C%20Malaysia</t>
  </si>
  <si>
    <t>MC0089</t>
  </si>
  <si>
    <t>Pantai Klebang</t>
  </si>
  <si>
    <t>Melaka</t>
  </si>
  <si>
    <t>Melaka Tengah</t>
  </si>
  <si>
    <t>Beach; sunset; relaxation; photography; picnicking; horse riding; ATV; kite flying; bubbles; food stalls; local snacks; family recreation; outdoor leisure</t>
  </si>
  <si>
    <t>A relaxing coastal attraction in Klebang, Melaka, known for its shady beachfront setting and sunset views. Visitors can unwind by the beach, take photographs, rent chairs and tables, try horse riding or ATV activities, buy kites and bubbles, and sample local snacks from nearby food stalls.</t>
  </si>
  <si>
    <t>https://www.malaysia.travel/explore/pantai-klebang ; https://www.visitmelaka.com.my/index.php/nature-adventure/sports/66-horse-ride ; https://pdtmt.gov.my/1/page.php?s=destinasi-menarik</t>
  </si>
  <si>
    <t>https://ebrochures.malaysia.travel/en/malaysia-travel-guide/melaka/</t>
  </si>
  <si>
    <t>A008</t>
  </si>
  <si>
    <t>MC0090</t>
  </si>
  <si>
    <t>Pengkalan Balak</t>
  </si>
  <si>
    <t>Alor Gajah</t>
  </si>
  <si>
    <t>Beach; swimming; sunset; fishing; picnicking; camping; beach walks; fishing villages; seafood; family recreation; chalets; resorts; photography; relaxation</t>
  </si>
  <si>
    <t>A popular beach in the Alor Gajah district of Melaka, known for its broad coastline, peaceful fishing-village surroundings and sunset views. Visitors come for swimming, fishing, picnics, camping, long beach walks and seafood, with locally operated chalets and resorts available nearby.</t>
  </si>
  <si>
    <t>https://www.malaysia.travel/explore/pengkalan-balak ; https://www.mpag.gov.my/pantai-pengkalan-balak/</t>
  </si>
  <si>
    <t>A009</t>
  </si>
  <si>
    <t>MC0091</t>
  </si>
  <si>
    <t>A Famosa</t>
  </si>
  <si>
    <t>Melaka City</t>
  </si>
  <si>
    <t>fort; heritage; history; architecture; photography</t>
  </si>
  <si>
    <t>Portuguese fortress ruins in Melaka City, built in 1511, with the Porta de Santiago gate the only substantial structure still standing.</t>
  </si>
  <si>
    <t>https://www.google.com/maps/search/?api=1&amp;query=A%20Famosa%2C%20Melaka%2C%20Malaysia</t>
  </si>
  <si>
    <t>A057</t>
  </si>
  <si>
    <t>MC0092</t>
  </si>
  <si>
    <t>The Stadthuys</t>
  </si>
  <si>
    <t>museum; colonial heritage; history; architecture</t>
  </si>
  <si>
    <t>A Dutch colonial town hall in Melaka's Red Square, built in the 17th century and considered one of the oldest Dutch buildings in the East.</t>
  </si>
  <si>
    <t>https://www.google.com/maps/search/?api=1&amp;query=The%20Stadthuys%2C%20Melaka%2C%20Malaysia</t>
  </si>
  <si>
    <t>A058</t>
  </si>
  <si>
    <t>MC0093</t>
  </si>
  <si>
    <t>Jonker Walk</t>
  </si>
  <si>
    <t>night market; shopping; local food; heritage; culture</t>
  </si>
  <si>
    <t>Melaka's historic Chinatown street, famous for antique shops, cafes and a lively weekend night market.</t>
  </si>
  <si>
    <t>https://www.google.com/maps/search/?api=1&amp;query=Jonker%20Walk%2C%20Melaka%2C%20Malaysia</t>
  </si>
  <si>
    <t>A059</t>
  </si>
  <si>
    <t>MC0094</t>
  </si>
  <si>
    <t>Melaka River Cruise</t>
  </si>
  <si>
    <t>river cruise; sightseeing; relaxation; heritage; night activity</t>
  </si>
  <si>
    <t>A scenic boat tour along the Melaka River, passing riverside murals, old warehouses and heritage bridges.</t>
  </si>
  <si>
    <t>https://www.google.com/maps/search/?api=1&amp;query=Melaka%20River%20Cruise%2C%20Melaka%2C%20Malaysia</t>
  </si>
  <si>
    <t>A060</t>
  </si>
  <si>
    <t>MC0095</t>
  </si>
  <si>
    <t>Melaka Sultanate Palace Museum</t>
  </si>
  <si>
    <t>museum; Malay history; culture; heritage</t>
  </si>
  <si>
    <t>A reconstruction of the 15th-century Melaka Sultanate's wooden palace, now a museum on Malay royal history.</t>
  </si>
  <si>
    <t>https://www.google.com/maps/search/?api=1&amp;query=Melaka%20Sultanate%20Palace%20Museum%2C%20Melaka%2C%20Malaysia</t>
  </si>
  <si>
    <t>A061</t>
  </si>
  <si>
    <t>MC0096</t>
  </si>
  <si>
    <t>Baba and Nyonya Heritage Museum</t>
  </si>
  <si>
    <t>Peranakan culture; museum; heritage; history</t>
  </si>
  <si>
    <t>A preserved Peranakan townhouse museum in Melaka showcasing Baba-Nyonya (Straits Chinese) heritage, furnishings and lifestyle.</t>
  </si>
  <si>
    <t>https://www.google.com/maps/search/?api=1&amp;query=Baba%20and%20Nyonya%20Heritage%20Museum%2C%20Melaka%2C%20Malaysia</t>
  </si>
  <si>
    <t>A062</t>
  </si>
  <si>
    <t>MC0097</t>
  </si>
  <si>
    <t>Cheng Hoon Teng Temple</t>
  </si>
  <si>
    <t>temple; culture; heritage; architecture</t>
  </si>
  <si>
    <t>Malaysia's oldest functioning Chinese temple, built in Melaka in 1645 in traditional southern Chinese architectural style.</t>
  </si>
  <si>
    <t>https://www.google.com/maps/search/?api=1&amp;query=Cheng%20Hoon%20Teng%20Temple%2C%20Melaka%2C%20Malaysia</t>
  </si>
  <si>
    <t>A063</t>
  </si>
  <si>
    <t>MC0098</t>
  </si>
  <si>
    <t>Melaka Botanical Garden</t>
  </si>
  <si>
    <t>Ayer Keroh</t>
  </si>
  <si>
    <t>garden; nature; walking; relaxation; family</t>
  </si>
  <si>
    <t>A botanical park in Ayer Keroh, Melaka, with landscaped gardens and recreational facilities.</t>
  </si>
  <si>
    <t>https://www.google.com/maps/search/?api=1&amp;query=Melaka%20Botanical%20Garden%2C%20Melaka%2C%20Malaysia</t>
  </si>
  <si>
    <t>A064</t>
  </si>
  <si>
    <t>MC0099</t>
  </si>
  <si>
    <t>Stadthuys</t>
  </si>
  <si>
    <t>Dutch heritage; museum; architecture</t>
  </si>
  <si>
    <t>A Dutch colonial town hall in Melaka's Red Square, one of the oldest Dutch buildings in the East, built in the 17th century.</t>
  </si>
  <si>
    <t>https://www.google.com/maps/search/?api=1&amp;query=Stadthuys%2C%20Melaka%2C%20Malaysia</t>
  </si>
  <si>
    <t>Melaka expansion batch</t>
  </si>
  <si>
    <t>MC0100</t>
  </si>
  <si>
    <t>Christ Church Melaka</t>
  </si>
  <si>
    <t>church; heritage; architecture</t>
  </si>
  <si>
    <t>A pink-painted Anglican church in Melaka built by the Dutch in 1753, among the oldest churches in Malaysia.</t>
  </si>
  <si>
    <t>https://www.google.com/maps/search/?api=1&amp;query=Christ%20Church%20Melaka%2C%20Melaka%2C%20Malaysia</t>
  </si>
  <si>
    <t>MC0101</t>
  </si>
  <si>
    <t>St Paul's Hill and Church Ruins</t>
  </si>
  <si>
    <t>ruins; hill; history</t>
  </si>
  <si>
    <t>Hilltop ruins of a 16th-century Portuguese chapel in Melaka, later used by the Dutch as a burial ground, offering views over the city.</t>
  </si>
  <si>
    <t>https://www.google.com/maps/search/?api=1&amp;query=St%20Paul's%20Hill%20and%20Church%20Ruins%2C%20Melaka%2C%20Malaysia</t>
  </si>
  <si>
    <t>MC0102</t>
  </si>
  <si>
    <t>Kampung Kling Mosque</t>
  </si>
  <si>
    <t>An 18th-century mosque in Melaka blending Sumatran, Chinese and colonial architectural styles.</t>
  </si>
  <si>
    <t>https://www.google.com/maps/search/?api=1&amp;query=Kampung%20Kling%20Mosque%2C%20Melaka%2C%20Malaysia</t>
  </si>
  <si>
    <t>MC0103</t>
  </si>
  <si>
    <t>Muzium Kapal Selam</t>
  </si>
  <si>
    <t>submarine; maritime; family</t>
  </si>
  <si>
    <t>A museum in Melaka built around a decommissioned Royal Malaysian Navy submarine, open for public tours.</t>
  </si>
  <si>
    <t>https://www.google.com/maps/search/?api=1&amp;query=Muzium%20Kapal%20Selam%2C%20Melaka%2C%20Malaysia</t>
  </si>
  <si>
    <t>MC0104</t>
  </si>
  <si>
    <t>Melaka River Walk</t>
  </si>
  <si>
    <t>riverfront; street art; night walk</t>
  </si>
  <si>
    <t>A landscaped riverside promenade in Melaka lined with cafes and colourful heritage buildings.</t>
  </si>
  <si>
    <t>https://www.google.com/maps/search/?api=1&amp;query=Melaka%20River%20Walk%2C%20Melaka%2C%20Malaysia</t>
  </si>
  <si>
    <t>MC0105</t>
  </si>
  <si>
    <t>Portuguese Settlement</t>
  </si>
  <si>
    <t>community; food; heritage</t>
  </si>
  <si>
    <t>A coastal enclave of Melaka's Kristang (Portuguese-Eurasian) community, known for its seafood square and cultural festivals.</t>
  </si>
  <si>
    <t>https://www.google.com/maps/search/?api=1&amp;query=Portuguese%20Settlement%2C%20Melaka%2C%20Malaysia</t>
  </si>
  <si>
    <t>MC0106</t>
  </si>
  <si>
    <t>Melaka Butterfly and Reptile Sanctuary</t>
  </si>
  <si>
    <t>butterflies; reptiles; family</t>
  </si>
  <si>
    <t>A wildlife park in Ayer Keroh, Melaka, housing butterflies, reptiles and insects in landscaped enclosures.</t>
  </si>
  <si>
    <t>https://www.google.com/maps/search/?api=1&amp;query=Melaka%20Butterfly%20and%20Reptile%20Sanctuary%2C%20Melaka%2C%20Malaysia</t>
  </si>
  <si>
    <t>MC0107</t>
  </si>
  <si>
    <t>Mini Malaysia and ASEAN Cultural Park</t>
  </si>
  <si>
    <t>traditional houses; culture; family</t>
  </si>
  <si>
    <t>A cultural theme park in Ayer Keroh, Melaka, featuring miniature traditional houses representing Malaysia's states and ASEAN nations.</t>
  </si>
  <si>
    <t>https://www.google.com/maps/search/?api=1&amp;query=Mini%20Malaysia%20and%20ASEAN%20Cultural%20Park%2C%20Melaka%2C%20Malaysia</t>
  </si>
  <si>
    <t>MC0108</t>
  </si>
  <si>
    <t>Melaka Planetarium Adventure Science Centre</t>
  </si>
  <si>
    <t>science; astronomy; education</t>
  </si>
  <si>
    <t>A science centre in Ayer Keroh, Melaka, with a planetarium and interactive exhibits.</t>
  </si>
  <si>
    <t>https://www.google.com/maps/search/?api=1&amp;query=Melaka%20Planetarium%20Adventure%20Science%20Centre%2C%20Melaka%2C%20Malaysia</t>
  </si>
  <si>
    <t>MC0109</t>
  </si>
  <si>
    <t>A'Famosa Safari Wonderland</t>
  </si>
  <si>
    <t>safari; animals; family</t>
  </si>
  <si>
    <t>A wildlife and safari park within the A'Famosa Resort in Alor Gajah, Melaka.</t>
  </si>
  <si>
    <t>https://www.google.com/maps/search/?api=1&amp;query=A'Famosa%20Safari%20Wonderland%2C%20Melaka%2C%20Malaysia</t>
  </si>
  <si>
    <t>MC0110</t>
  </si>
  <si>
    <t>Freeport A'Famosa Outlet</t>
  </si>
  <si>
    <t>outlet; shopping; dining</t>
  </si>
  <si>
    <t>An outlet shopping mall within the A'Famosa Resort complex in Alor Gajah, Melaka.</t>
  </si>
  <si>
    <t>https://www.google.com/maps/search/?api=1&amp;query=Freeport%20A'Famosa%20Outlet%2C%20Melaka%2C%20Malaysia</t>
  </si>
  <si>
    <t>MC0111</t>
  </si>
  <si>
    <t>Jasin Hot Springs</t>
  </si>
  <si>
    <t>Jasin</t>
  </si>
  <si>
    <t>hot spring; bathing; family</t>
  </si>
  <si>
    <t>A natural hot spring recreational area in Jasin district, Melaka.</t>
  </si>
  <si>
    <t>https://www.google.com/maps/search/?api=1&amp;query=Jasin%20Hot%20Springs%2C%20Melaka%2C%20Malaysia</t>
  </si>
  <si>
    <t>MC0112</t>
  </si>
  <si>
    <t>Asahan Waterfall</t>
  </si>
  <si>
    <t>A waterfall recreational area in Jasin district, Melaka.</t>
  </si>
  <si>
    <t>https://www.google.com/maps/search/?api=1&amp;query=Asahan%20Waterfall%2C%20Melaka%2C%20Malaysia</t>
  </si>
  <si>
    <t>MC0113</t>
  </si>
  <si>
    <t>Tanjung Bidara Beach</t>
  </si>
  <si>
    <t>Masjid Tanah</t>
  </si>
  <si>
    <t>beach; picnic; coast</t>
  </si>
  <si>
    <t>A public beach in Masjid Tanah, Melaka, popular for its shallow, calm waters.</t>
  </si>
  <si>
    <t>https://www.google.com/maps/search/?api=1&amp;query=Tanjung%20Bidara%20Beach%2C%20Melaka%2C%20Malaysia</t>
  </si>
  <si>
    <t>MC0114</t>
  </si>
  <si>
    <t>Demang Abdul Ghani Gallery</t>
  </si>
  <si>
    <t>Sungai Rambai</t>
  </si>
  <si>
    <t>traditional house; history; culture</t>
  </si>
  <si>
    <t>A small heritage gallery in Sungai Rambai, Melaka.</t>
  </si>
  <si>
    <t>https://www.google.com/maps/search/?api=1&amp;query=Demang%20Abdul%20Ghani%20Gallery%2C%20Melaka%2C%20Malaysia</t>
  </si>
  <si>
    <t>MC0115</t>
  </si>
  <si>
    <t>Port Dickson</t>
  </si>
  <si>
    <t>Negeri Sembilan</t>
  </si>
  <si>
    <t>Beach; coastline; swimming; relaxation; sunset; picnicking; camping; water sports; kayaking; parasailing; jet skiing; banana boat; fishing; kite flying; waterfront; museums; military history; lighthouse; forest reserve; wildlife; family recreation; food; resorts; weekend getaway</t>
  </si>
  <si>
    <t>A popular west-coast seaside destination in Negeri Sembilan, approximately 90 km south of Kuala Lumpur. Its long coastline includes beaches such as Teluk Kemang, Saujana, Blue Lagoon and Cahaya Negeri, complemented by waterfront recreation, museums, nature attractions, family activities, restaurants and resorts.</t>
  </si>
  <si>
    <t>https://www.malaysia.travel/explore/port-dickson ; https://www.mppd.gov.my/ms/pelawat/destinasi-menarik ; https://www.mppd.gov.my/en/visitors/beach ; https://ebrochures.malaysia.travel/en/islands-and-beaches/port-diskson/</t>
  </si>
  <si>
    <t>https://ebrochures.malaysia.travel/en/malaysia-travel-guide/negeri-sembilan/</t>
  </si>
  <si>
    <t>A014</t>
  </si>
  <si>
    <t>MC0116</t>
  </si>
  <si>
    <t>Ulu Bendul Recreational Forest</t>
  </si>
  <si>
    <t>Kuala Pilah</t>
  </si>
  <si>
    <t>Recreational forest; eco park; tropical rainforest; river; stream; swimming; wading; natural pool; picnicking; camping; hiking; trekking; forest trail; Gunung Angsi; fishing; wildlife; birdwatching; photography; relaxation; family recreation</t>
  </si>
  <si>
    <t>A forest eco-park in the Angsi Forest Reserve near Kuala Pilah, centred on the clear Batang Terachi River and shaded tropical greenery. Visitors come for picnics, stream bathing, forest walks, camping, fishing and access toward Gunung Angsi, supported by basic recreational facilities.</t>
  </si>
  <si>
    <t>https://www.malaysia.travel/explore/ulu-bendul-recreational-forest ; https://www.forestry.gov.my/en/negeri-sembilan/taman-eko-rimba-ulu-bendul ; https://www.forestry.gov.my/my/negeri-sembilan/taman-eko-rimba-ulu-bendul ; https://www.forestry.gov.my/en/peta-lokasi/106-hutan-lipur-hutan-taman-negeri/hutan-lipur-negeri-sembilan/223-ter-ulu-bendul ; https://ebrochures.malaysia.travel/en/malaysia-travel-guide/negeri-sembilan/</t>
  </si>
  <si>
    <t>A015</t>
  </si>
  <si>
    <t>MC0117</t>
  </si>
  <si>
    <t>Army Museum Port Dickson</t>
  </si>
  <si>
    <t>museum; military history; education; heritage</t>
  </si>
  <si>
    <t>A military museum in Port Dickson showcasing Malaysian Army history and equipment.</t>
  </si>
  <si>
    <t>https://www.google.com/maps/search/?api=1&amp;query=Army%20Museum%20Port%20Dickson%2C%20Negeri%20Sembilan%2C%20Malaysia</t>
  </si>
  <si>
    <t>A065</t>
  </si>
  <si>
    <t>MC0118</t>
  </si>
  <si>
    <t>Cape Rachado Lighthouse</t>
  </si>
  <si>
    <t>lighthouse; hiking; history; scenery; nature</t>
  </si>
  <si>
    <t>A historic Portuguese-built lighthouse on a headland in Port Dickson, offering coastal views.</t>
  </si>
  <si>
    <t>https://www.google.com/maps/search/?api=1&amp;query=Cape%20Rachado%20Lighthouse%2C%20Negeri%20Sembilan%2C%20Malaysia</t>
  </si>
  <si>
    <t>A066</t>
  </si>
  <si>
    <t>MC0119</t>
  </si>
  <si>
    <t>Lukut Museum and Fort</t>
  </si>
  <si>
    <t>Lukut</t>
  </si>
  <si>
    <t>museum; fort; history; heritage; archaeology</t>
  </si>
  <si>
    <t>Ruins of a 19th-century tin-mining era fort in Lukut, with an adjoining heritage museum.</t>
  </si>
  <si>
    <t>https://www.google.com/maps/search/?api=1&amp;query=Lukut%20Museum%20and%20Fort%2C%20Negeri%20Sembilan%2C%20Malaysia</t>
  </si>
  <si>
    <t>A067</t>
  </si>
  <si>
    <t>MC0120</t>
  </si>
  <si>
    <t>Royal Museum of Seri Menanti</t>
  </si>
  <si>
    <t>royal museum; Minangkabau; culture; heritage; architecture</t>
  </si>
  <si>
    <t>The former wooden royal palace of Negeri Sembilan in Kuala Pilah, now a museum on the state's Minangkabau-influenced royal heritage.</t>
  </si>
  <si>
    <t>https://www.google.com/maps/search/?api=1&amp;query=Royal%20Museum%20of%20Seri%20Menanti%2C%20Negeri%20Sembilan%2C%20Malaysia</t>
  </si>
  <si>
    <t>A068</t>
  </si>
  <si>
    <t>MC0121</t>
  </si>
  <si>
    <t>Jelita Ostrich Farm</t>
  </si>
  <si>
    <t>Seremban</t>
  </si>
  <si>
    <t>ostrich; animals; farm; family; children</t>
  </si>
  <si>
    <t>An agro-tourism farm in Seremban where visitors can view and feed ostriches and other farm animals.</t>
  </si>
  <si>
    <t>https://www.google.com/maps/search/?api=1&amp;query=Jelita%20Ostrich%20Farm%2C%20Negeri%20Sembilan%2C%20Malaysia</t>
  </si>
  <si>
    <t>A069</t>
  </si>
  <si>
    <t>MC0122</t>
  </si>
  <si>
    <t>Gunung Angsi</t>
  </si>
  <si>
    <t>hiking; mountain; forest; adventure; nature</t>
  </si>
  <si>
    <t>A hiking mountain in Kuala Pilah district popular with trekkers.</t>
  </si>
  <si>
    <t>https://www.google.com/maps/search/?api=1&amp;query=Gunung%20Angsi%2C%20Negeri%20Sembilan%2C%20Malaysia</t>
  </si>
  <si>
    <t>A070</t>
  </si>
  <si>
    <t>MC0123</t>
  </si>
  <si>
    <t>Taman Tasik Seremban</t>
  </si>
  <si>
    <t>lake; walking; relaxation; family; urban park</t>
  </si>
  <si>
    <t>A lake garden park in central Seremban popular for jogging and picnics.</t>
  </si>
  <si>
    <t>https://www.google.com/maps/search/?api=1&amp;query=Taman%20Tasik%20Seremban%2C%20Negeri%20Sembilan%2C%20Malaysia</t>
  </si>
  <si>
    <t>A071</t>
  </si>
  <si>
    <t>MC0124</t>
  </si>
  <si>
    <t>Jeram Toi Recreational Forest</t>
  </si>
  <si>
    <t>Jelebu</t>
  </si>
  <si>
    <t>waterfall; forest; picnic; nature; relaxation</t>
  </si>
  <si>
    <t>A waterfall-based forest recreation area in Jelebu district.</t>
  </si>
  <si>
    <t>https://www.google.com/maps/search/?api=1&amp;query=Jeram%20Toi%20Recreational%20Forest%2C%20Negeri%20Sembilan%2C%20Malaysia</t>
  </si>
  <si>
    <t>A072</t>
  </si>
  <si>
    <t>MC0125</t>
  </si>
  <si>
    <t>Negeri Sembilan State Museum Complex</t>
  </si>
  <si>
    <t>Minangkabau; museum; heritage</t>
  </si>
  <si>
    <t>A museum complex in Seremban built in Minangkabau-style architecture, covering Negeri Sembilan's history and culture.</t>
  </si>
  <si>
    <t>https://www.google.com/maps/search/?api=1&amp;query=Negeri%20Sembilan%20State%20Museum%20Complex%2C%20Negeri%20Sembilan%2C%20Malaysia</t>
  </si>
  <si>
    <t>Negeri Sembilan expansion batch</t>
  </si>
  <si>
    <t>MC0126</t>
  </si>
  <si>
    <t>Seremban Lake Garden</t>
  </si>
  <si>
    <t>lake garden; walking; family</t>
  </si>
  <si>
    <t>A landscaped lake park in central Seremban, popular for jogging and family outings.</t>
  </si>
  <si>
    <t>https://www.google.com/maps/search/?api=1&amp;query=Seremban%20Lake%20Garden%2C%20Negeri%20Sembilan%2C%20Malaysia</t>
  </si>
  <si>
    <t>MC0127</t>
  </si>
  <si>
    <t>Centipede Temple</t>
  </si>
  <si>
    <t>temple; hill; viewpoint</t>
  </si>
  <si>
    <t>A Chinese temple in Seremban known locally for the folklore associated with its name.</t>
  </si>
  <si>
    <t>https://www.google.com/maps/search/?api=1&amp;query=Centipede%20Temple%2C%20Negeri%20Sembilan%2C%20Malaysia</t>
  </si>
  <si>
    <t>MC0128</t>
  </si>
  <si>
    <t>Royal Gallery Tuanku Ja'afar</t>
  </si>
  <si>
    <t>royal history; gallery; heritage</t>
  </si>
  <si>
    <t>A royal memorabilia gallery in Seremban named after a former Yang di-Pertuan Besar of Negeri Sembilan.</t>
  </si>
  <si>
    <t>https://www.google.com/maps/search/?api=1&amp;query=Royal%20Gallery%20Tuanku%20Ja'afar%2C%20Negeri%20Sembilan%2C%20Malaysia</t>
  </si>
  <si>
    <t>MC0129</t>
  </si>
  <si>
    <t>Seri Menanti Royal Museum</t>
  </si>
  <si>
    <t>royal palace; Minangkabau; museum</t>
  </si>
  <si>
    <t>The former wooden royal palace of Negeri Sembilan in Kuala Pilah, built without nails and now a museum.</t>
  </si>
  <si>
    <t>https://www.google.com/maps/search/?api=1&amp;query=Seri%20Menanti%20Royal%20Museum%2C%20Negeri%20Sembilan%2C%20Malaysia</t>
  </si>
  <si>
    <t>MC0130</t>
  </si>
  <si>
    <t>Rembau Museum</t>
  </si>
  <si>
    <t>Rembau</t>
  </si>
  <si>
    <t>local history; adat; museum</t>
  </si>
  <si>
    <t>A small district museum in Rembau town, Negeri Sembilan.</t>
  </si>
  <si>
    <t>https://www.google.com/maps/search/?api=1&amp;query=Rembau%20Museum%2C%20Negeri%20Sembilan%2C%20Malaysia</t>
  </si>
  <si>
    <t>MC0131</t>
  </si>
  <si>
    <t>Gunung Datuk Recreational Forest</t>
  </si>
  <si>
    <t>hiking; summit; viewpoint</t>
  </si>
  <si>
    <t>A steep hiking trail up Gunung Datuk in Rembau district, popular with adventure hikers.</t>
  </si>
  <si>
    <t>https://www.google.com/maps/search/?api=1&amp;query=Gunung%20Datuk%20Recreational%20Forest%2C%20Negeri%20Sembilan%2C%20Malaysia</t>
  </si>
  <si>
    <t>MC0132</t>
  </si>
  <si>
    <t>Kuala Klawang Customs Museum</t>
  </si>
  <si>
    <t>adat perpatih; museum; culture</t>
  </si>
  <si>
    <t>A small museum in Jelebu district related to local customs history.</t>
  </si>
  <si>
    <t>https://www.google.com/maps/search/?api=1&amp;query=Kuala%20Klawang%20Customs%20Museum%2C%20Negeri%20Sembilan%2C%20Malaysia</t>
  </si>
  <si>
    <t>MC0133</t>
  </si>
  <si>
    <t>Kenaboi State Park</t>
  </si>
  <si>
    <t>rainforest; river; trekking</t>
  </si>
  <si>
    <t>A forest reserve and state park in Jelebu district known for its biodiversity.</t>
  </si>
  <si>
    <t>https://www.google.com/maps/search/?api=1&amp;query=Kenaboi%20State%20Park%2C%20Negeri%20Sembilan%2C%20Malaysia</t>
  </si>
  <si>
    <t>MC0134</t>
  </si>
  <si>
    <t>Teratak Za'aba</t>
  </si>
  <si>
    <t>Jempol</t>
  </si>
  <si>
    <t>literary heritage; house museum; history</t>
  </si>
  <si>
    <t>The preserved birthplace house of Malay literary figure Za'aba, in Jempol district, Negeri Sembilan.</t>
  </si>
  <si>
    <t>https://www.google.com/maps/search/?api=1&amp;query=Teratak%20Za'aba%2C%20Negeri%20Sembilan%2C%20Malaysia</t>
  </si>
  <si>
    <t>MC0135</t>
  </si>
  <si>
    <t>De Bana Recreational Forest</t>
  </si>
  <si>
    <t>forest; river; recreation</t>
  </si>
  <si>
    <t>A forest recreation area in Jempol district, Negeri Sembilan.</t>
  </si>
  <si>
    <t>https://www.google.com/maps/search/?api=1&amp;query=De%20Bana%20Recreational%20Forest%2C%20Negeri%20Sembilan%2C%20Malaysia</t>
  </si>
  <si>
    <t>MC0136</t>
  </si>
  <si>
    <t>Blue Lagoon</t>
  </si>
  <si>
    <t>beach; swimming; family</t>
  </si>
  <si>
    <t>A scenic lagoon-like beach spot in Port Dickson.</t>
  </si>
  <si>
    <t>https://www.google.com/maps/search/?api=1&amp;query=Blue%20Lagoon%2C%20Negeri%20Sembilan%2C%20Malaysia</t>
  </si>
  <si>
    <t>MC0137</t>
  </si>
  <si>
    <t>Pengkalan Kempas Historical Complex</t>
  </si>
  <si>
    <t>megaliths; tomb; history</t>
  </si>
  <si>
    <t>A historical site in Port Dickson with ancient megalithic stones and a royal mausoleum.</t>
  </si>
  <si>
    <t>https://www.google.com/maps/search/?api=1&amp;query=Pengkalan%20Kempas%20Historical%20Complex%2C%20Negeri%20Sembilan%2C%20Malaysia</t>
  </si>
  <si>
    <t>MC0138</t>
  </si>
  <si>
    <t>Gunung Tampin Recreational Forest</t>
  </si>
  <si>
    <t>Tampin</t>
  </si>
  <si>
    <t>forest; hiking; wildlife</t>
  </si>
  <si>
    <t>A forest recreation area with hiking trails in Tampin district, Negeri Sembilan.</t>
  </si>
  <si>
    <t>https://www.google.com/maps/search/?api=1&amp;query=Gunung%20Tampin%20Recreational%20Forest%2C%20Negeri%20Sembilan%2C%20Malaysia</t>
  </si>
  <si>
    <t>MC0139</t>
  </si>
  <si>
    <t>Gemas Railway Station Heritage Precinct</t>
  </si>
  <si>
    <t>Gemas</t>
  </si>
  <si>
    <t>railway; war history; town</t>
  </si>
  <si>
    <t>A historic railway junction town home to a heritage railway station notable in Malaysia's rail network.</t>
  </si>
  <si>
    <t>https://www.google.com/maps/search/?api=1&amp;query=Gemas%20Railway%20Station%20Heritage%20Precinct%2C%20Negeri%20Sembilan%2C%20Malaysia</t>
  </si>
  <si>
    <t>MC0140</t>
  </si>
  <si>
    <t>Genting Highlands</t>
  </si>
  <si>
    <t>Pahang</t>
  </si>
  <si>
    <t>Highland resort; cool climate; theme parks; rides; indoor entertainment; outdoor entertainment; shopping; dining; nightlife; casino; cable car; temple; rainforest; nature; family recreation; photography</t>
  </si>
  <si>
    <t>A highland resort destination set among rainforest-covered hills in Pahang, combining cool-weather relaxation with theme parks, shopping, dining, nightlife and nature. Major experiences include Genting SkyWorlds, Skytropolis, SkyAvenue, Awana SkyWay, Genting Highlands Premium Outlets and Chin Swee Caves Temple.</t>
  </si>
  <si>
    <t>https://www.malaysia.travel/explore/genting-highlands ; https://www.rwgenting.com/ ; https://ebrochures.malaysia.travel/en/cool-highlands/genting-highlands/</t>
  </si>
  <si>
    <t>https://ebrochures.malaysia.travel/en/malaysia-travel-guide/pahang/</t>
  </si>
  <si>
    <t>A007</t>
  </si>
  <si>
    <t>MC0141</t>
  </si>
  <si>
    <t>Cameron Highlands</t>
  </si>
  <si>
    <t>Highland resort; cool climate; tea plantation; strawberry farm; flower garden; vegetable farm; agrotourism; Mossy Forest; rainforest; jungle trail; hiking; Gunung Brinchang; viewpoint; waterfall; market; local produce; museum; colonial heritage; photography; nature; family recreation; cafe; food; resort</t>
  </si>
  <si>
    <t>Pahang's best-known highland destination combines a cool mountain climate with rolling tea estates, strawberry and vegetable farms, flower gardens, markets, forest trails and heritage attractions. Its main visitor centres include Tanah Rata, Brinchang and Ringlet, with nature and agrotourism experiences spread across the district.</t>
  </si>
  <si>
    <t>https://www.malaysia.travel/explore/cameron-highlands ; https://www.cameronhighland.net/ ; https://www.mdcameron.gov.my/en/visitors/places-interest ; https://www.mdcameron.gov.my/en/visitors/places-interest/farm-garden ; https://www.mdcameron.gov.my/en/visitors/places-interest/mountain-forest ; https://www.pahangtourism.org.my/destination/highlands/cameron-highlands ; https://www.malaysia.travel/explore/the-best-of-cameron-highlands-a-3d2n-exploration-of-sights-and-senses-2</t>
  </si>
  <si>
    <t>A016</t>
  </si>
  <si>
    <t>MC0142</t>
  </si>
  <si>
    <t>Taman Negara Kuala Tahan</t>
  </si>
  <si>
    <t>Jerantut</t>
  </si>
  <si>
    <t>rainforest; hiking; wildlife; canopy walk; adventure</t>
  </si>
  <si>
    <t>The gateway village to Taman Negara, Malaysia's oldest rainforest national park, offering jungle trekking, river cruises and the famous canopy walkway.</t>
  </si>
  <si>
    <t>https://www.google.com/maps/search/?api=1&amp;query=Taman%20Negara%20Kuala%20Tahan%2C%20Pahang%2C%20Malaysia</t>
  </si>
  <si>
    <t>A073</t>
  </si>
  <si>
    <t>MC0143</t>
  </si>
  <si>
    <t>Fraser's Hill</t>
  </si>
  <si>
    <t>Raub</t>
  </si>
  <si>
    <t>cool climate; birdwatching; relaxation; nature; walking</t>
  </si>
  <si>
    <t>A cool hill station resort town in Raub district known for its colonial-era bungalows, golf course and birdwatching.</t>
  </si>
  <si>
    <t>https://www.google.com/maps/search/?api=1&amp;query=Fraser's%20Hill%2C%20Pahang%2C%20Malaysia</t>
  </si>
  <si>
    <t>A074</t>
  </si>
  <si>
    <t>MC0144</t>
  </si>
  <si>
    <t>Cherating Beach</t>
  </si>
  <si>
    <t>Kuantan</t>
  </si>
  <si>
    <t>beach; relaxation; water sports; family; scenery</t>
  </si>
  <si>
    <t>A laid-back beach town in Kuantan district popular with surfers, backpackers and windsurfing enthusiasts.</t>
  </si>
  <si>
    <t>https://www.google.com/maps/search/?api=1&amp;query=Cherating%20Beach%2C%20Pahang%2C%20Malaysia</t>
  </si>
  <si>
    <t>A075</t>
  </si>
  <si>
    <t>MC0145</t>
  </si>
  <si>
    <t>Kuala Gandah Elephant Conservation Centre</t>
  </si>
  <si>
    <t>Lanchang</t>
  </si>
  <si>
    <t>elephants; conservation; wildlife; education; family</t>
  </si>
  <si>
    <t>A government-run wildlife centre in Lanchang caring for relocated wild elephants, with public feeding and bathing sessions.</t>
  </si>
  <si>
    <t>https://www.google.com/maps/search/?api=1&amp;query=Kuala%20Gandah%20Elephant%20Conservation%20Centre%2C%20Pahang%2C%20Malaysia</t>
  </si>
  <si>
    <t>A076</t>
  </si>
  <si>
    <t>MC0146</t>
  </si>
  <si>
    <t>Sungai Pandan Waterfall</t>
  </si>
  <si>
    <t>waterfall; picnic; nature; relaxation; family</t>
  </si>
  <si>
    <t>A popular waterfall recreational area near Kuantan.</t>
  </si>
  <si>
    <t>https://www.google.com/maps/search/?api=1&amp;query=Sungai%20Pandan%20Waterfall%2C%20Pahang%2C%20Malaysia</t>
  </si>
  <si>
    <t>A077</t>
  </si>
  <si>
    <t>MC0147</t>
  </si>
  <si>
    <t>Colmar Tropicale</t>
  </si>
  <si>
    <t>Bentong</t>
  </si>
  <si>
    <t>architecture; family; photography; hill resort; relaxation</t>
  </si>
  <si>
    <t>A French-village-themed resort and shopping complex in Bentong, styled after the Alsace region of France.</t>
  </si>
  <si>
    <t>https://www.google.com/maps/search/?api=1&amp;query=Colmar%20Tropicale%2C%20Pahang%2C%20Malaysia</t>
  </si>
  <si>
    <t>A078</t>
  </si>
  <si>
    <t>MC0148</t>
  </si>
  <si>
    <t>Teluk Cempedak</t>
  </si>
  <si>
    <t>beach; relaxation; food; family; walking</t>
  </si>
  <si>
    <t>A popular beach in Kuantan town with resorts, food stalls and calm swimming waters.</t>
  </si>
  <si>
    <t>https://www.google.com/maps/search/?api=1&amp;query=Teluk%20Cempedak%2C%20Pahang%2C%20Malaysia</t>
  </si>
  <si>
    <t>A079</t>
  </si>
  <si>
    <t>MC0149</t>
  </si>
  <si>
    <t>Mossy Forest</t>
  </si>
  <si>
    <t>forest; hiking; scenery; cool climate; nature</t>
  </si>
  <si>
    <t>A montane cloud forest atop Cameron Highlands known for its stunted, moss-covered trees, explored via a raised boardwalk trail.</t>
  </si>
  <si>
    <t>https://www.google.com/maps/search/?api=1&amp;query=Mossy%20Forest%2C%20Pahang%2C%20Malaysia</t>
  </si>
  <si>
    <t>A080</t>
  </si>
  <si>
    <t>MC0150</t>
  </si>
  <si>
    <t>Sultan Ahmad Shah State Mosque</t>
  </si>
  <si>
    <t>Pahang's state mosque in Kuantan, notable for its distinctive blue dome.</t>
  </si>
  <si>
    <t>https://www.google.com/maps/search/?api=1&amp;query=Sultan%20Ahmad%20Shah%20State%20Mosque%2C%20Pahang%2C%20Malaysia</t>
  </si>
  <si>
    <t>Pahang expansion batch</t>
  </si>
  <si>
    <t>MC0151</t>
  </si>
  <si>
    <t>Taman Esplanade Kuantan</t>
  </si>
  <si>
    <t>riverfront; walking; family</t>
  </si>
  <si>
    <t>A riverside park along the Kuantan River popular for evening strolls and food stalls.</t>
  </si>
  <si>
    <t>https://www.google.com/maps/search/?api=1&amp;query=Taman%20Esplanade%20Kuantan%2C%20Pahang%2C%20Malaysia</t>
  </si>
  <si>
    <t>MC0152</t>
  </si>
  <si>
    <t>Sultan Abu Bakar Museum</t>
  </si>
  <si>
    <t>Pekan</t>
  </si>
  <si>
    <t>royal history; museum; heritage</t>
  </si>
  <si>
    <t>A former royal palace in Pekan turned museum, showcasing Pahang royal history and artefacts.</t>
  </si>
  <si>
    <t>https://www.google.com/maps/search/?api=1&amp;query=Sultan%20Abu%20Bakar%20Museum%2C%20Pahang%2C%20Malaysia</t>
  </si>
  <si>
    <t>MC0153</t>
  </si>
  <si>
    <t>Pulau Keladi Cultural Village</t>
  </si>
  <si>
    <t>weaving; village; culture</t>
  </si>
  <si>
    <t>A riverine cultural village near Pekan, Pahang.</t>
  </si>
  <si>
    <t>https://www.google.com/maps/search/?api=1&amp;query=Pulau%20Keladi%20Cultural%20Village%2C%20Pahang%2C%20Malaysia</t>
  </si>
  <si>
    <t>MC0154</t>
  </si>
  <si>
    <t>Cherating Turtle Sanctuary</t>
  </si>
  <si>
    <t>Cherating</t>
  </si>
  <si>
    <t>turtles; conservation; education</t>
  </si>
  <si>
    <t>A conservation centre near Cherating dedicated to protecting nesting sea turtles.</t>
  </si>
  <si>
    <t>https://www.google.com/maps/search/?api=1&amp;query=Cherating%20Turtle%20Sanctuary%2C%20Pahang%2C%20Malaysia</t>
  </si>
  <si>
    <t>MC0155</t>
  </si>
  <si>
    <t>Rompin State Park</t>
  </si>
  <si>
    <t>Rompin</t>
  </si>
  <si>
    <t>rainforest; wildlife; trekking</t>
  </si>
  <si>
    <t>A rainforest state park spanning Pahang and Johor (Endau-Rompin), known for biodiversity, waterfalls and jungle trekking.</t>
  </si>
  <si>
    <t>https://www.google.com/maps/search/?api=1&amp;query=Rompin%20State%20Park%2C%20Pahang%2C%20Malaysia</t>
  </si>
  <si>
    <t>MC0156</t>
  </si>
  <si>
    <t>Lanjut Beach</t>
  </si>
  <si>
    <t>beach; fishing; coast</t>
  </si>
  <si>
    <t>A beach in Rompin district, Pahang.</t>
  </si>
  <si>
    <t>https://www.google.com/maps/search/?api=1&amp;query=Lanjut%20Beach%2C%20Pahang%2C%20Malaysia</t>
  </si>
  <si>
    <t>MC0157</t>
  </si>
  <si>
    <t>Juara Turtle Project</t>
  </si>
  <si>
    <t>Tioman</t>
  </si>
  <si>
    <t>turtles; conservation; island</t>
  </si>
  <si>
    <t>A volunteer-run sea turtle conservation project on Tioman Island's Juara Beach.</t>
  </si>
  <si>
    <t>https://www.google.com/maps/search/?api=1&amp;query=Juara%20Turtle%20Project%2C%20Pahang%2C%20Malaysia</t>
  </si>
  <si>
    <t>MC0158</t>
  </si>
  <si>
    <t>Asah Waterfall</t>
  </si>
  <si>
    <t>waterfall; island; hiking</t>
  </si>
  <si>
    <t>A waterfall on Tioman Island near Juara village.</t>
  </si>
  <si>
    <t>https://www.google.com/maps/search/?api=1&amp;query=Asah%20Waterfall%2C%20Pahang%2C%20Malaysia</t>
  </si>
  <si>
    <t>MC0159</t>
  </si>
  <si>
    <t>Kuala Tahan</t>
  </si>
  <si>
    <t>national park gateway; river; village</t>
  </si>
  <si>
    <t>The main gateway settlement to Taman Negara national park in Jerantut district.</t>
  </si>
  <si>
    <t>https://www.google.com/maps/search/?api=1&amp;query=Kuala%20Tahan%2C%20Pahang%2C%20Malaysia</t>
  </si>
  <si>
    <t>MC0160</t>
  </si>
  <si>
    <t>Canopy Walkway Taman Negara</t>
  </si>
  <si>
    <t>canopy walk; rainforest; wildlife</t>
  </si>
  <si>
    <t>One of the world's longest rainforest canopy walkways, suspended within Taman Negara near Kuala Tahan.</t>
  </si>
  <si>
    <t>https://www.google.com/maps/search/?api=1&amp;query=Canopy%20Walkway%20Taman%20Negara%2C%20Pahang%2C%20Malaysia</t>
  </si>
  <si>
    <t>MC0161</t>
  </si>
  <si>
    <t>Kota Gelanggi Caves</t>
  </si>
  <si>
    <t>caves; limestone; history</t>
  </si>
  <si>
    <t>A limestone cave system in Jerantut district, Pahang.</t>
  </si>
  <si>
    <t>https://www.google.com/maps/search/?api=1&amp;query=Kota%20Gelanggi%20Caves%2C%20Pahang%2C%20Malaysia</t>
  </si>
  <si>
    <t>MC0162</t>
  </si>
  <si>
    <t>Kuala Gandah National Elephant Conservation Centre</t>
  </si>
  <si>
    <t>Temerloh</t>
  </si>
  <si>
    <t>elephants; conservation; education</t>
  </si>
  <si>
    <t>A government-run centre in Temerloh district caring for relocated wild elephants, with public feeding and bathing programmes.</t>
  </si>
  <si>
    <t>https://www.google.com/maps/search/?api=1&amp;query=Kuala%20Gandah%20National%20Elephant%20Conservation%20Centre%2C%20Pahang%2C%20Malaysia</t>
  </si>
  <si>
    <t>MC0163</t>
  </si>
  <si>
    <t>Deerland Park</t>
  </si>
  <si>
    <t>deer; nature; family</t>
  </si>
  <si>
    <t>A wildlife park in Temerloh featuring deer and other animals.</t>
  </si>
  <si>
    <t>https://www.google.com/maps/search/?api=1&amp;query=Deerland%20Park%2C%20Pahang%2C%20Malaysia</t>
  </si>
  <si>
    <t>MC0164</t>
  </si>
  <si>
    <t>Chamang Waterfall</t>
  </si>
  <si>
    <t>A popular multi-tiered waterfall in Bentong district, Pahang.</t>
  </si>
  <si>
    <t>https://www.google.com/maps/search/?api=1&amp;query=Chamang%20Waterfall%2C%20Pahang%2C%20Malaysia</t>
  </si>
  <si>
    <t>MC0165</t>
  </si>
  <si>
    <t>Bentong Walk</t>
  </si>
  <si>
    <t>night market; food; town</t>
  </si>
  <si>
    <t>A heritage shophouse walking trail through Bentong town, Pahang.</t>
  </si>
  <si>
    <t>https://www.google.com/maps/search/?api=1&amp;query=Bentong%20Walk%2C%20Pahang%2C%20Malaysia</t>
  </si>
  <si>
    <t>MC0166</t>
  </si>
  <si>
    <t>Sungai Chiling Fish Sanctuary</t>
  </si>
  <si>
    <t>river; hiking; fish sanctuary</t>
  </si>
  <si>
    <t>A protected river stretch in Raub district known for its fish sanctuary and swimming pools.</t>
  </si>
  <si>
    <t>https://www.google.com/maps/search/?api=1&amp;query=Sungai%20Chiling%20Fish%20Sanctuary%2C%20Pahang%2C%20Malaysia</t>
  </si>
  <si>
    <t>MC0167</t>
  </si>
  <si>
    <t>Boh Sungei Palas Tea Centre</t>
  </si>
  <si>
    <t>tea plantation; scenery; cafe</t>
  </si>
  <si>
    <t>A working tea plantation and visitor centre run by the Boh Tea company in Cameron Highlands.</t>
  </si>
  <si>
    <t>https://www.google.com/maps/search/?api=1&amp;query=Boh%20Sungei%20Palas%20Tea%20Centre%2C%20Pahang%2C%20Malaysia</t>
  </si>
  <si>
    <t>MC0168</t>
  </si>
  <si>
    <t>Agro Technology Park MARDI</t>
  </si>
  <si>
    <t>agriculture; gardens; education</t>
  </si>
  <si>
    <t>An agricultural research park in Cameron Highlands showcasing highland crop cultivation.</t>
  </si>
  <si>
    <t>https://www.google.com/maps/search/?api=1&amp;query=Agro%20Technology%20Park%20MARDI%2C%20Pahang%2C%20Malaysia</t>
  </si>
  <si>
    <t>MC0169</t>
  </si>
  <si>
    <t>Lubuk Yu Recreational Forest</t>
  </si>
  <si>
    <t>Maran</t>
  </si>
  <si>
    <t>river; forest; picnic</t>
  </si>
  <si>
    <t>A waterfall-based forest recreation area in Maran district, Pahang.</t>
  </si>
  <si>
    <t>https://www.google.com/maps/search/?api=1&amp;query=Lubuk%20Yu%20Recreational%20Forest%2C%20Pahang%2C%20Malaysia</t>
  </si>
  <si>
    <t>MC0170</t>
  </si>
  <si>
    <t>Bukit Panchor State Park</t>
  </si>
  <si>
    <t>Penang</t>
  </si>
  <si>
    <t>Nibong Tebal</t>
  </si>
  <si>
    <t>Lowland dipterocarp forest; peat swamp; hiking; trekking; caves; bat cave; wildlife; birdwatching; river; wetland boardwalk; mangroves; camping; picnicking; nature study</t>
  </si>
  <si>
    <t>A state recreation park within Bukit Panchor Permanent Forest Reserve near Nibong Tebal. Its lowland dipterocarp and peat-swamp environment supports forest walks, wildlife and birdwatching, river and wetland exploration, caves, camping and other nature-based recreation.</t>
  </si>
  <si>
    <t>https://www.forestry.gov.my/en/semenanjung-malaysia/taman-negeri-bukit-panchor ; https://www.mypenang.gov.my/nature-adventure/recreation/bukit-panchor-state-park/?lg=en ; https://www.penang-insider.com/bukit-panchor-state-park-penang/</t>
  </si>
  <si>
    <t>https://ebrochures.malaysia.travel/en/malaysia-travel-guide/penang/</t>
  </si>
  <si>
    <t>A005</t>
  </si>
  <si>
    <t>MC0171</t>
  </si>
  <si>
    <t>Penang National Park</t>
  </si>
  <si>
    <t>Teluk Bahang</t>
  </si>
  <si>
    <t>National park; rainforest; beaches; jungle trekking; hiking; wildlife; birdwatching; meromictic lake; turtle conservation; camping; picnicking; fishing; boat trips; lighthouse; mangroves; nature study</t>
  </si>
  <si>
    <t>A protected coastal rainforest at the northwestern tip of Penang Island, entered mainly from Teluk Bahang. It combines jungle trails, beaches, wildlife observation and boat trips with attractions such as Kerachut Beach, the meromictic lake, turtle conservation centre and Muka Head Lighthouse.</t>
  </si>
  <si>
    <t>https://www.wildlife.gov.my/en/taman-negara-pulau-pinang/ ; https://www.mypenang.gov.my/nature-adventure/parks-gardens/penang-national-park/?lg=en ; https://files.wildlife.gov.my/wildlife-wp-media/2025/09/12060821/PERATURAN_PERATURAN_TNPP.pdf</t>
  </si>
  <si>
    <t>A006</t>
  </si>
  <si>
    <t>MC0172</t>
  </si>
  <si>
    <t>George Town UNESCO World Heritage Site</t>
  </si>
  <si>
    <t>George Town</t>
  </si>
  <si>
    <t>heritage; history; architecture; street art; culture; walking</t>
  </si>
  <si>
    <t>Penang's historic capital, inscribed as a UNESCO World Heritage Site in 2008 for its unique multicultural architecture and streetscapes.</t>
  </si>
  <si>
    <t>https://www.google.com/maps/search/?api=1&amp;query=George%20Town%20UNESCO%20World%20Heritage%20Site%2C%20Penang%2C%20Malaysia</t>
  </si>
  <si>
    <t>A081</t>
  </si>
  <si>
    <t>MC0173</t>
  </si>
  <si>
    <t>Penang Hill</t>
  </si>
  <si>
    <t>hill; scenery; cool climate; relaxation; nature; funicular</t>
  </si>
  <si>
    <t>A hill resort above George Town reached by funicular railway, offering panoramic views and cooler temperatures.</t>
  </si>
  <si>
    <t>https://www.google.com/maps/search/?api=1&amp;query=Penang%20Hill%2C%20Penang%2C%20Malaysia</t>
  </si>
  <si>
    <t>A082</t>
  </si>
  <si>
    <t>MC0174</t>
  </si>
  <si>
    <t>Kek Lok Si Temple</t>
  </si>
  <si>
    <t>Air Itam</t>
  </si>
  <si>
    <t>temple; culture; architecture; heritage; photography</t>
  </si>
  <si>
    <t>One of the largest Buddhist temple complexes in Southeast Asia, in Air Itam, known for its multi-tiered pagoda and giant Kuan Yin statue.</t>
  </si>
  <si>
    <t>https://www.google.com/maps/search/?api=1&amp;query=Kek%20Lok%20Si%20Temple%2C%20Penang%2C%20Malaysia</t>
  </si>
  <si>
    <t>A083</t>
  </si>
  <si>
    <t>MC0175</t>
  </si>
  <si>
    <t>Tropical Spice Garden</t>
  </si>
  <si>
    <t>garden; nature; walking; education; relaxation</t>
  </si>
  <si>
    <t>A landscaped garden in Teluk Bahang, Penang, showcasing tropical spice and medicinal plants.</t>
  </si>
  <si>
    <t>https://www.google.com/maps/search/?api=1&amp;query=Tropical%20Spice%20Garden%2C%20Penang%2C%20Malaysia</t>
  </si>
  <si>
    <t>A084</t>
  </si>
  <si>
    <t>MC0176</t>
  </si>
  <si>
    <t>Entopia by Penang Butterfly Farm</t>
  </si>
  <si>
    <t>butterflies; insects; nature; family; children; education</t>
  </si>
  <si>
    <t>A walk-in butterfly and insect sanctuary in Teluk Bahang, Penang.</t>
  </si>
  <si>
    <t>https://www.google.com/maps/search/?api=1&amp;query=Entopia%20by%20Penang%20Butterfly%20Farm%2C%20Penang%2C%20Malaysia</t>
  </si>
  <si>
    <t>A085</t>
  </si>
  <si>
    <t>MC0177</t>
  </si>
  <si>
    <t>ESCAPE Penang</t>
  </si>
  <si>
    <t>theme park; adventure; family; water park; outdoor activities</t>
  </si>
  <si>
    <t>An outdoor adventure theme park in Teluk Bahang, Penang, with obstacle courses and a water park.</t>
  </si>
  <si>
    <t>https://www.google.com/maps/search/?api=1&amp;query=ESCAPE%20Penang%2C%20Penang%2C%20Malaysia</t>
  </si>
  <si>
    <t>A086</t>
  </si>
  <si>
    <t>MC0178</t>
  </si>
  <si>
    <t>Batu Ferringhi Beach</t>
  </si>
  <si>
    <t>Batu Ferringhi</t>
  </si>
  <si>
    <t>beach; relaxation; water sports; food; shopping</t>
  </si>
  <si>
    <t>Penang's main resort beach strip, known for its hotels, night market and water sports.</t>
  </si>
  <si>
    <t>https://www.google.com/maps/search/?api=1&amp;query=Batu%20Ferringhi%20Beach%2C%20Penang%2C%20Malaysia</t>
  </si>
  <si>
    <t>A087</t>
  </si>
  <si>
    <t>MC0179</t>
  </si>
  <si>
    <t>Penang Botanic Gardens</t>
  </si>
  <si>
    <t>garden; walking; nature; relaxation; wildlife</t>
  </si>
  <si>
    <t>A colonial-era botanical garden in George Town, also known as the Waterfall Gardens.</t>
  </si>
  <si>
    <t>https://www.google.com/maps/search/?api=1&amp;query=Penang%20Botanic%20Gardens%2C%20Penang%2C%20Malaysia</t>
  </si>
  <si>
    <t>A088</t>
  </si>
  <si>
    <t>MC0180</t>
  </si>
  <si>
    <t>Pinang Peranakan Mansion</t>
  </si>
  <si>
    <t>Peranakan; mansion; museum</t>
  </si>
  <si>
    <t>A restored 19th-century mansion museum in George Town showcasing opulent Straits Chinese (Peranakan) heritage and antiques.</t>
  </si>
  <si>
    <t>https://www.google.com/maps/search/?api=1&amp;query=Pinang%20Peranakan%20Mansion%2C%20Penang%2C%20Malaysia</t>
  </si>
  <si>
    <t>Penang expansion batch</t>
  </si>
  <si>
    <t>MC0181</t>
  </si>
  <si>
    <t>Khoo Kongsi</t>
  </si>
  <si>
    <t>clan house; architecture; culture</t>
  </si>
  <si>
    <t>An elaborately decorated clan temple and clanhouse complex in George Town built by the Khoo family.</t>
  </si>
  <si>
    <t>https://www.google.com/maps/search/?api=1&amp;query=Khoo%20Kongsi%2C%20Penang%2C%20Malaysia</t>
  </si>
  <si>
    <t>MC0182</t>
  </si>
  <si>
    <t>Cheong Fatt Tze Mansion</t>
  </si>
  <si>
    <t>mansion; architecture; history</t>
  </si>
  <si>
    <t>An indigo-blue heritage mansion in George Town, known as the Blue Mansion, built by a 19th-century Chinese business magnate.</t>
  </si>
  <si>
    <t>https://www.google.com/maps/search/?api=1&amp;query=Cheong%20Fatt%20Tze%20Mansion%2C%20Penang%2C%20Malaysia</t>
  </si>
  <si>
    <t>MC0183</t>
  </si>
  <si>
    <t>Fort Cornwallis</t>
  </si>
  <si>
    <t>fort; colonial history; landmark</t>
  </si>
  <si>
    <t>A star-shaped fort in George Town built by the British East India Company, marking the founding site of the city.</t>
  </si>
  <si>
    <t>https://www.google.com/maps/search/?api=1&amp;query=Fort%20Cornwallis%2C%20Penang%2C%20Malaysia</t>
  </si>
  <si>
    <t>MC0184</t>
  </si>
  <si>
    <t>Penang State Museum and Art Gallery</t>
  </si>
  <si>
    <t>state history; art; museum</t>
  </si>
  <si>
    <t>A museum in George Town documenting Penang's multicultural history and communities.</t>
  </si>
  <si>
    <t>https://www.google.com/maps/search/?api=1&amp;query=Penang%20State%20Museum%20and%20Art%20Gallery%2C%20Penang%2C%20Malaysia</t>
  </si>
  <si>
    <t>MC0185</t>
  </si>
  <si>
    <t>Clan Jetties</t>
  </si>
  <si>
    <t>water village; heritage; community</t>
  </si>
  <si>
    <t>Waterfront settlements built on stilts by Chinese clan communities in George Town, the best known being Chew Jetty.</t>
  </si>
  <si>
    <t>https://www.google.com/maps/search/?api=1&amp;query=Clan%20Jetties%2C%20Penang%2C%20Malaysia</t>
  </si>
  <si>
    <t>MC0186</t>
  </si>
  <si>
    <t>Hin Bus Depot</t>
  </si>
  <si>
    <t>art; creative space; market</t>
  </si>
  <si>
    <t>A converted former bus depot in George Town, now an arts and events space known for murals and exhibitions.</t>
  </si>
  <si>
    <t>https://www.google.com/maps/search/?api=1&amp;query=Hin%20Bus%20Depot%2C%20Penang%2C%20Malaysia</t>
  </si>
  <si>
    <t>MC0187</t>
  </si>
  <si>
    <t>Air Itam Market</t>
  </si>
  <si>
    <t>market; local food; neighbourhood</t>
  </si>
  <si>
    <t>A wet market and food hub near Kek Lok Si Temple in Air Itam, Penang.</t>
  </si>
  <si>
    <t>https://www.google.com/maps/search/?api=1&amp;query=Air%20Itam%20Market%2C%20Penang%2C%20Malaysia</t>
  </si>
  <si>
    <t>MC0188</t>
  </si>
  <si>
    <t>Saanen Dairy Goat Farm</t>
  </si>
  <si>
    <t>Balik Pulau</t>
  </si>
  <si>
    <t>farm; dairy; rural</t>
  </si>
  <si>
    <t>A goat dairy farm in Balik Pulau, Penang, open for visits and fresh dairy products.</t>
  </si>
  <si>
    <t>https://www.google.com/maps/search/?api=1&amp;query=Saanen%20Dairy%20Goat%20Farm%2C%20Penang%2C%20Malaysia</t>
  </si>
  <si>
    <t>MC0189</t>
  </si>
  <si>
    <t>Audi Dream Farm</t>
  </si>
  <si>
    <t>farm; animals; family</t>
  </si>
  <si>
    <t>A family-run farm in Balik Pulau, Penang, offering animal encounters and agro-tourism activities.</t>
  </si>
  <si>
    <t>https://www.google.com/maps/search/?api=1&amp;query=Audi%20Dream%20Farm%2C%20Penang%2C%20Malaysia</t>
  </si>
  <si>
    <t>MC0190</t>
  </si>
  <si>
    <t>Penang War Museum</t>
  </si>
  <si>
    <t>Bayan Lepas</t>
  </si>
  <si>
    <t>war history; fort; museum</t>
  </si>
  <si>
    <t>A former British military fort in Bayan Lepas, Penang, now a museum documenting the Second World War in the region.</t>
  </si>
  <si>
    <t>https://www.google.com/maps/search/?api=1&amp;query=Penang%20War%20Museum%2C%20Penang%2C%20Malaysia</t>
  </si>
  <si>
    <t>MC0191</t>
  </si>
  <si>
    <t>Snake Temple</t>
  </si>
  <si>
    <t>temple; snakes; culture</t>
  </si>
  <si>
    <t>A Chinese temple in Bayan Lepas, Penang, historically known for housing live pit vipers among its altars.</t>
  </si>
  <si>
    <t>https://www.google.com/maps/search/?api=1&amp;query=Snake%20Temple%2C%20Penang%2C%20Malaysia</t>
  </si>
  <si>
    <t>MC0192</t>
  </si>
  <si>
    <t>St Anne's Church</t>
  </si>
  <si>
    <t>Bukit Mertajam</t>
  </si>
  <si>
    <t>church; pilgrimage; heritage</t>
  </si>
  <si>
    <t>A Catholic church in Bukit Mertajam, Penang, known for its annual pilgrimage feast day drawing large crowds.</t>
  </si>
  <si>
    <t>https://www.google.com/maps/search/?api=1&amp;query=St%20Anne's%20Church%2C%20Penang%2C%20Malaysia</t>
  </si>
  <si>
    <t>MC0193</t>
  </si>
  <si>
    <t>Mengkuang Dam</t>
  </si>
  <si>
    <t>Seberang Perai</t>
  </si>
  <si>
    <t>reservoir; walking; scenery</t>
  </si>
  <si>
    <t>A reservoir dam in Seberang Perai, Penang, popular for scenic drives and photography.</t>
  </si>
  <si>
    <t>https://www.google.com/maps/search/?api=1&amp;query=Mengkuang%20Dam%2C%20Penang%2C%20Malaysia</t>
  </si>
  <si>
    <t>MC0194</t>
  </si>
  <si>
    <t>Penang Bird Park</t>
  </si>
  <si>
    <t>birds; family; gardens</t>
  </si>
  <si>
    <t>A bird park in Seberang Perai, Penang, with walk-in aviaries of various bird species.</t>
  </si>
  <si>
    <t>https://www.google.com/maps/search/?api=1&amp;query=Penang%20Bird%20Park%2C%20Penang%2C%20Malaysia</t>
  </si>
  <si>
    <t>MC0195</t>
  </si>
  <si>
    <t>Pangkor Island</t>
  </si>
  <si>
    <t>Perak</t>
  </si>
  <si>
    <t>Manjung</t>
  </si>
  <si>
    <t>Beach; island; relaxation; snorkelling; kayaking; jet skiing; island hopping; jungle trekking; hornbill feeding; wildlife; fishing villages; seafood; heritage; Dutch Fort; temples; mosques; sunset; duty-free shopping</t>
  </si>
  <si>
    <t>Perak's popular tropical island getaway in the Manjung district, known for beaches, fishing villages, seafood, wildlife and heritage sites. Visitors can combine water activities with jungle trekking, hornbill feeding, temple and mosque visits, and exploration of the Dutch Fort.</t>
  </si>
  <si>
    <t>https://www.tourismperakmalaysia.com/pangkor-island/ ; https://www.malaysia.travel/explore/pangkor-island</t>
  </si>
  <si>
    <t>https://ebrochures.malaysia.travel/en/malaysia-travel-guide/perak/</t>
  </si>
  <si>
    <t>A003</t>
  </si>
  <si>
    <t>MC0196</t>
  </si>
  <si>
    <t>Sungai Klah Hot Springs</t>
  </si>
  <si>
    <t>Sungkai</t>
  </si>
  <si>
    <t>Hot springs; relaxation; wellness; spa; swimming; water park; private jacuzzi; water reflexology; egg boiling; water slides; forest; family recreation</t>
  </si>
  <si>
    <t>A managed natural hot-springs park near Sungkai at the foothills of the Titiwangsa Range. Its forest setting combines hot-spring bathing and swimming with spa-style and family activities such as private jacuzzis, water reflexology, egg boiling and water slides.</t>
  </si>
  <si>
    <t>https://www.tourismperakmalaysia.com/sungai-klah-hot-springs/ ; https://www.feldaresidences.com/hot-spring-water-park/ ; https://www.malaysia.travel/explore/perak-s-top-10-activities-from-the-thrilling-to-relaxing</t>
  </si>
  <si>
    <t>A004</t>
  </si>
  <si>
    <t>MC0197</t>
  </si>
  <si>
    <t>Lost World of Tambun</t>
  </si>
  <si>
    <t>Ipoh</t>
  </si>
  <si>
    <t>theme park; hot springs; relaxation; family; water park</t>
  </si>
  <si>
    <t>A theme park in Ipoh combining water rides, wildlife encounters and hot springs set against limestone hills.</t>
  </si>
  <si>
    <t>https://www.google.com/maps/search/?api=1&amp;query=Lost%20World%20of%20Tambun%2C%20Perak%2C%20Malaysia</t>
  </si>
  <si>
    <t>A089</t>
  </si>
  <si>
    <t>MC0198</t>
  </si>
  <si>
    <t>Kellie's Castle</t>
  </si>
  <si>
    <t>Batu Gajah</t>
  </si>
  <si>
    <t>castle; heritage; history; architecture; photography</t>
  </si>
  <si>
    <t>An unfinished early-20th-century mansion in Batu Gajah, Perak, built by Scottish planter William Kellie Smith and known for its unusual architecture and legends.</t>
  </si>
  <si>
    <t>https://www.google.com/maps/search/?api=1&amp;query=Kellie's%20Castle%2C%20Perak%2C%20Malaysia</t>
  </si>
  <si>
    <t>A090</t>
  </si>
  <si>
    <t>MC0199</t>
  </si>
  <si>
    <t>Ipoh Old Town</t>
  </si>
  <si>
    <t>heritage; street art; local food; history; walking</t>
  </si>
  <si>
    <t>Ipoh's historic core, known for well-preserved colonial shophouses, street art and famous local food.</t>
  </si>
  <si>
    <t>https://www.google.com/maps/search/?api=1&amp;query=Ipoh%20Old%20Town%2C%20Perak%2C%20Malaysia</t>
  </si>
  <si>
    <t>A091</t>
  </si>
  <si>
    <t>MC0200</t>
  </si>
  <si>
    <t>Royal Belum State Park</t>
  </si>
  <si>
    <t>Gerik</t>
  </si>
  <si>
    <t>rainforest; wildlife; boat trip; nature; adventure</t>
  </si>
  <si>
    <t>A vast ancient rainforest in Gerik district, Perak, among the world's oldest rainforests, known for wildlife and Orang Asli communities.</t>
  </si>
  <si>
    <t>https://www.google.com/maps/search/?api=1&amp;query=Royal%20Belum%20State%20Park%2C%20Perak%2C%20Malaysia</t>
  </si>
  <si>
    <t>A092</t>
  </si>
  <si>
    <t>MC0201</t>
  </si>
  <si>
    <t>Taiping Lake Gardens</t>
  </si>
  <si>
    <t>Taiping</t>
  </si>
  <si>
    <t>lake; garden; walking; relaxation; family</t>
  </si>
  <si>
    <t>A landscaped garden built on former tin-mining pools in Taiping, considered one of Malaysia's earliest and most scenic public parks.</t>
  </si>
  <si>
    <t>https://www.google.com/maps/search/?api=1&amp;query=Taiping%20Lake%20Gardens%2C%20Perak%2C%20Malaysia</t>
  </si>
  <si>
    <t>A093</t>
  </si>
  <si>
    <t>MC0202</t>
  </si>
  <si>
    <t>Perak Cave Temple</t>
  </si>
  <si>
    <t>cave temple; culture; architecture; religion; scenery</t>
  </si>
  <si>
    <t>A Chinese Buddhist cave temple in Ipoh built into a limestone hill, with murals and a hilltop viewpoint.</t>
  </si>
  <si>
    <t>https://www.google.com/maps/search/?api=1&amp;query=Perak%20Cave%20Temple%2C%20Perak%2C%20Malaysia</t>
  </si>
  <si>
    <t>A094</t>
  </si>
  <si>
    <t>MC0203</t>
  </si>
  <si>
    <t>Matang Mangrove Forest Reserve</t>
  </si>
  <si>
    <t>Kuala Sepetang</t>
  </si>
  <si>
    <t>mangrove; nature; wildlife; education; river</t>
  </si>
  <si>
    <t>One of the best-managed mangrove forest reserves in Asia, near Kuala Sepetang, Perak, known for sustainable charcoal production and wildlife.</t>
  </si>
  <si>
    <t>https://www.google.com/maps/search/?api=1&amp;query=Matang%20Mangrove%20Forest%20Reserve%2C%20Perak%2C%20Malaysia</t>
  </si>
  <si>
    <t>A095</t>
  </si>
  <si>
    <t>MC0204</t>
  </si>
  <si>
    <t>Gua Tempurung</t>
  </si>
  <si>
    <t>Gopeng</t>
  </si>
  <si>
    <t>cave; adventure; geology; hiking; nature</t>
  </si>
  <si>
    <t>One of Peninsular Malaysia's largest limestone cave systems, in Gopeng, offering guided cave tours and adventure caving routes.</t>
  </si>
  <si>
    <t>https://www.google.com/maps/search/?api=1&amp;query=Gua%20Tempurung%2C%20Perak%2C%20Malaysia</t>
  </si>
  <si>
    <t>A096</t>
  </si>
  <si>
    <t>MC0205</t>
  </si>
  <si>
    <t>Ipoh Old Town Heritage Trail</t>
  </si>
  <si>
    <t>heritage; street art; food</t>
  </si>
  <si>
    <t>A self-guided walking trail through Ipoh's colonial-era heritage buildings and street art.</t>
  </si>
  <si>
    <t>https://www.google.com/maps/search/?api=1&amp;query=Ipoh%20Old%20Town%20Heritage%20Trail%2C%20Perak%2C%20Malaysia</t>
  </si>
  <si>
    <t>Perak expansion batch</t>
  </si>
  <si>
    <t>MC0206</t>
  </si>
  <si>
    <t>Han Chin Pet Soo</t>
  </si>
  <si>
    <t>tin mining; museum; heritage</t>
  </si>
  <si>
    <t>A former Hakka tin-miners' clan clubhouse in Ipoh, now a museum on the region's tin-mining Chinese community.</t>
  </si>
  <si>
    <t>https://www.google.com/maps/search/?api=1&amp;query=Han%20Chin%20Pet%20Soo%2C%20Perak%2C%20Malaysia</t>
  </si>
  <si>
    <t>MC0207</t>
  </si>
  <si>
    <t>Ho Yan Hor Museum</t>
  </si>
  <si>
    <t>heritage house; tea; museum</t>
  </si>
  <si>
    <t>A museum in Ipoh dedicated to the history of the Ho Yan Hor herbal tea brand and its founder.</t>
  </si>
  <si>
    <t>https://www.google.com/maps/search/?api=1&amp;query=Ho%20Yan%20Hor%20Museum%2C%20Perak%2C%20Malaysia</t>
  </si>
  <si>
    <t>MC0208</t>
  </si>
  <si>
    <t>Kek Lok Tong Cave Temple</t>
  </si>
  <si>
    <t>cave temple; garden; limestone</t>
  </si>
  <si>
    <t>A Buddhist cave temple in Ipoh set within a limestone cavern, with a garden and reflective pool at its rear entrance.</t>
  </si>
  <si>
    <t>https://www.google.com/maps/search/?api=1&amp;query=Kek%20Lok%20Tong%20Cave%20Temple%2C%20Perak%2C%20Malaysia</t>
  </si>
  <si>
    <t>MC0209</t>
  </si>
  <si>
    <t>Sam Poh Tong Temple</t>
  </si>
  <si>
    <t>cave temple; architecture; culture</t>
  </si>
  <si>
    <t>A Buddhist cave temple in Ipoh built into a limestone outcrop, with a turtle pond and landscaped garden.</t>
  </si>
  <si>
    <t>https://www.google.com/maps/search/?api=1&amp;query=Sam%20Poh%20Tong%20Temple%2C%20Perak%2C%20Malaysia</t>
  </si>
  <si>
    <t>MC0210</t>
  </si>
  <si>
    <t>Gunung Lang Recreational Park</t>
  </si>
  <si>
    <t>lake; limestone; family</t>
  </si>
  <si>
    <t>A scenic lakeside park in Ipoh set against limestone cliffs, popular for kayaking and photography.</t>
  </si>
  <si>
    <t>https://www.google.com/maps/search/?api=1&amp;query=Gunung%20Lang%20Recreational%20Park%2C%20Perak%2C%20Malaysia</t>
  </si>
  <si>
    <t>MC0211</t>
  </si>
  <si>
    <t>Ubudiah Mosque</t>
  </si>
  <si>
    <t>Kuala Kangsar</t>
  </si>
  <si>
    <t>mosque; architecture; royal town</t>
  </si>
  <si>
    <t>An ornate gold-domed mosque in Kuala Kangsar, the royal town of Perak, completed in 1917.</t>
  </si>
  <si>
    <t>https://www.google.com/maps/search/?api=1&amp;query=Ubudiah%20Mosque%2C%20Perak%2C%20Malaysia</t>
  </si>
  <si>
    <t>MC0212</t>
  </si>
  <si>
    <t>Royal Museum of Perak</t>
  </si>
  <si>
    <t>royal heritage; palace; museum</t>
  </si>
  <si>
    <t>A former royal palace in Kuala Kangsar, Istana Kenangan, now housing exhibits on Perak's royal history.</t>
  </si>
  <si>
    <t>https://www.google.com/maps/search/?api=1&amp;query=Royal%20Museum%20of%20Perak%2C%20Perak%2C%20Malaysia</t>
  </si>
  <si>
    <t>MC0213</t>
  </si>
  <si>
    <t>Victoria Bridge</t>
  </si>
  <si>
    <t>railway bridge; photography; history</t>
  </si>
  <si>
    <t>A historic railway bridge in Kuala Kangsar, Perak, built during the British colonial era.</t>
  </si>
  <si>
    <t>https://www.google.com/maps/search/?api=1&amp;query=Victoria%20Bridge%2C%20Perak%2C%20Malaysia</t>
  </si>
  <si>
    <t>MC0214</t>
  </si>
  <si>
    <t>Perak Museum</t>
  </si>
  <si>
    <t>natural history; museum; heritage</t>
  </si>
  <si>
    <t>Malaysia's oldest museum, established in Taiping in 1883, covering natural history and regional culture.</t>
  </si>
  <si>
    <t>https://www.google.com/maps/search/?api=1&amp;query=Perak%20Museum%2C%20Perak%2C%20Malaysia</t>
  </si>
  <si>
    <t>MC0215</t>
  </si>
  <si>
    <t>Bukit Larut</t>
  </si>
  <si>
    <t>highland; forest; viewpoint</t>
  </si>
  <si>
    <t>Formerly Maxwell Hill, a hill station above Taiping reached by Land Rover, known for its cool climate and heavy rainfall.</t>
  </si>
  <si>
    <t>https://www.google.com/maps/search/?api=1&amp;query=Bukit%20Larut%2C%20Perak%2C%20Malaysia</t>
  </si>
  <si>
    <t>MC0216</t>
  </si>
  <si>
    <t>Kuala Sepetang Charcoal Factory</t>
  </si>
  <si>
    <t>charcoal; industry; mangrove</t>
  </si>
  <si>
    <t>A traditional mangrove-wood charcoal production site near Kuala Sepetang, Perak, open to visitors.</t>
  </si>
  <si>
    <t>https://www.google.com/maps/search/?api=1&amp;query=Kuala%20Sepetang%20Charcoal%20Factory%2C%20Perak%2C%20Malaysia</t>
  </si>
  <si>
    <t>MC0217</t>
  </si>
  <si>
    <t>Kinta Tin Mining Museum</t>
  </si>
  <si>
    <t>Kampar</t>
  </si>
  <si>
    <t>tin mining; history; museum</t>
  </si>
  <si>
    <t>A museum in Kampar, Perak, documenting the Kinta Valley's tin-mining heritage.</t>
  </si>
  <si>
    <t>https://www.google.com/maps/search/?api=1&amp;query=Kinta%20Tin%20Mining%20Museum%2C%20Perak%2C%20Malaysia</t>
  </si>
  <si>
    <t>MC0218</t>
  </si>
  <si>
    <t>Ulu Geroh Rafflesia Trail</t>
  </si>
  <si>
    <t>rafflesia; village guide; hiking</t>
  </si>
  <si>
    <t>A jungle trail near Gopeng, run with the local Orang Asli community, offering seasonal viewings of the giant Rafflesia flower.</t>
  </si>
  <si>
    <t>https://www.google.com/maps/search/?api=1&amp;query=Ulu%20Geroh%20Rafflesia%20Trail%2C%20Perak%2C%20Malaysia</t>
  </si>
  <si>
    <t>MC0219</t>
  </si>
  <si>
    <t>Lenggong Valley Archaeological Gallery</t>
  </si>
  <si>
    <t>Lenggong</t>
  </si>
  <si>
    <t>archaeology; UNESCO; museum</t>
  </si>
  <si>
    <t>A gallery near the UNESCO-listed Lenggong Valley showcasing prehistoric archaeological finds, including ancient stone tools.</t>
  </si>
  <si>
    <t>https://www.google.com/maps/search/?api=1&amp;query=Lenggong%20Valley%20Archaeological%20Gallery%2C%20Perak%2C%20Malaysia</t>
  </si>
  <si>
    <t>MC0220</t>
  </si>
  <si>
    <t>Temengor Lake</t>
  </si>
  <si>
    <t>lake; rainforest; boating</t>
  </si>
  <si>
    <t>A large reservoir lake near Gerik, Perak, surrounded by rainforest and known for fishing and hornbill-watching.</t>
  </si>
  <si>
    <t>https://www.google.com/maps/search/?api=1&amp;query=Temengor%20Lake%2C%20Perak%2C%20Malaysia</t>
  </si>
  <si>
    <t>MC0221</t>
  </si>
  <si>
    <t>Leaning Tower of Teluk Intan</t>
  </si>
  <si>
    <t>Teluk Intan</t>
  </si>
  <si>
    <t>tower; landmark; history</t>
  </si>
  <si>
    <t>A distinctive leaning clock tower in Teluk Intan, built in 1885 and often compared to the Leaning Tower of Pisa.</t>
  </si>
  <si>
    <t>https://www.google.com/maps/search/?api=1&amp;query=Leaning%20Tower%20of%20Teluk%20Intan%2C%20Perak%2C%20Malaysia</t>
  </si>
  <si>
    <t>MC0222</t>
  </si>
  <si>
    <t>Dutch Fort Pangkor</t>
  </si>
  <si>
    <t>fort; island; history</t>
  </si>
  <si>
    <t>A small 17th-century Dutch fort ruin on the Perak mainland opposite Pangkor Island.</t>
  </si>
  <si>
    <t>https://www.google.com/maps/search/?api=1&amp;query=Dutch%20Fort%20Pangkor%2C%20Perak%2C%20Malaysia</t>
  </si>
  <si>
    <t>MC0223</t>
  </si>
  <si>
    <t>Tanjung Tualang Tin Dredge No. 5</t>
  </si>
  <si>
    <t>Tanjung Tualang</t>
  </si>
  <si>
    <t>industrial heritage; mining; museum</t>
  </si>
  <si>
    <t>A preserved historic tin dredge, now a museum illustrating Malaysia's tin-mining industry, near Tanjung Tualang, Perak.</t>
  </si>
  <si>
    <t>https://www.google.com/maps/search/?api=1&amp;query=Tanjung%20Tualang%20Tin%20Dredge%20No.%205%2C%20Perak%2C%20Malaysia</t>
  </si>
  <si>
    <t>MC0224</t>
  </si>
  <si>
    <t>Gua Kelam Recreational Park</t>
  </si>
  <si>
    <t>Perlis</t>
  </si>
  <si>
    <t>Kaki Bukit</t>
  </si>
  <si>
    <t>Limestone cave; show cave; cave exploration; geology; rock formations; bats; tin-mining heritage; suspension bridge; wooden walkway; underground stream; river; swimming; wet trail; dry trail; caving; adventure; photography; gallery; virtual reality; ATV; camping; nature education; family recreation</t>
  </si>
  <si>
    <t>A limestone-cave and ecotourism complex near Kaki Bukit, centred on the 370-metre Gua Kelam 1 showcave. A lit wooden suspension walkway follows an underground stream past cave formations, bats and remnants of historic tin mining, while Gua Kelam 2 offers more demanding guided dry and wet caving experiences.</t>
  </si>
  <si>
    <t>https://www.malaysia.travel/explore/gua-kelam-recreational-park ; https://www.forestry.gov.my/en/semenanjung-malaysia/taman-negeri-perlis ; https://forestry.perlis.gov.my/eko-pelancongan/gua-kelam ; https://explore.perlis.gov.my/bm/Destination/View/r4Hnz ; https://geopark.perlis.gov.my/tour-item/lombong-gua-kelam/ ; https://ebrochures.malaysia.travel/en/malaysia-travel-guide/perlis/ ; https://www.malaysia.travel/explore/3d2n-in-perlis-a-weekend-guide</t>
  </si>
  <si>
    <t>https://ebrochures.malaysia.travel/en/malaysia-travel-guide/perlis/</t>
  </si>
  <si>
    <t>A017</t>
  </si>
  <si>
    <t>MC0225</t>
  </si>
  <si>
    <t>Timah Tasoh Lake</t>
  </si>
  <si>
    <t>Beseri</t>
  </si>
  <si>
    <t>Lake; reservoir; dam; water catchment; sunset; scenic view; mountains; birdwatching; migratory birds; wetland; wildlife; fishing; freshwater fish; aquaculture; photography; relaxation; picnicking; camping; boating; boat cruise; kayaking; sailing; water sports; orchards; rural tourism</t>
  </si>
  <si>
    <t>A large man-made reservoir near Beseri in northern Perlis, formed where Sungai Timah and Sungai Tasoh meet. Surrounded by hills and greenery, the lake is known for sunset views, migratory birds, freshwater fishing and peaceful lakeside recreation, with selected tourism and water activities around the wider reservoir area.</t>
  </si>
  <si>
    <t>https://www.malaysia.travel/explore/timah-tasoh-lake ; https://www.malaysia.travel/index.php/explore/timah-tasoh-lake ; https://tourism.perlis.gov.my/tour-item/tasik-timah-tasoh/ ; https://explore.perlis.gov.my/Destination/view/OJkEf ; https://explore.perlis.gov.my/Destination/view/KNZl3 ; https://ebrochures.malaysia.travel/en/birdwatching-paradise/perlis/ ; https://jps.perlis.gov.my/index.php/galeri/arkib-berita/339-pembukaan-pintu-alur-limpah-barat-empangan-timah-tasoh-2</t>
  </si>
  <si>
    <t>A018</t>
  </si>
  <si>
    <t>MC0226</t>
  </si>
  <si>
    <t>Wang Kelian Viewpoint</t>
  </si>
  <si>
    <t>Wang Kelian</t>
  </si>
  <si>
    <t>viewpoint; scenery; sunrise; nature; photography</t>
  </si>
  <si>
    <t>A scenic viewpoint near the Malaysia-Thailand border within Perlis State Park.</t>
  </si>
  <si>
    <t>https://www.google.com/maps/search/?api=1&amp;query=Wang%20Kelian%20View%20Point%2C%20Perlis%2C%20Malaysia</t>
  </si>
  <si>
    <t>A097</t>
  </si>
  <si>
    <t>MC0227</t>
  </si>
  <si>
    <t>Perlis State Park</t>
  </si>
  <si>
    <t>forest; hiking; caves; wildlife; nature</t>
  </si>
  <si>
    <t>Malaysia's smallest state park, a limestone forest reserve near Wang Kelian known for caves and hiking trails.</t>
  </si>
  <si>
    <t>https://www.google.com/maps/search/?api=1&amp;query=Perlis%20State%20Park%2C%20Perlis%2C%20Malaysia</t>
  </si>
  <si>
    <t>A098</t>
  </si>
  <si>
    <t>MC0228</t>
  </si>
  <si>
    <t>Padang Besar Market</t>
  </si>
  <si>
    <t>Padang Besar</t>
  </si>
  <si>
    <t>market; shopping; local food; border town; culture</t>
  </si>
  <si>
    <t>A cross-border market town at the Malaysia-Thailand border known for duty-free shopping.</t>
  </si>
  <si>
    <t>https://www.google.com/maps/search/?api=1&amp;query=Padang%20Besar%20Market%2C%20Perlis%2C%20Malaysia</t>
  </si>
  <si>
    <t>A099</t>
  </si>
  <si>
    <t>MC0229</t>
  </si>
  <si>
    <t>Kota Kayang Museum</t>
  </si>
  <si>
    <t>Kuala Perlis</t>
  </si>
  <si>
    <t>museum; history; archaeology; heritage; culture</t>
  </si>
  <si>
    <t>A small archaeological and historical museum in Kuala Perlis.</t>
  </si>
  <si>
    <t>https://www.google.com/maps/search/?api=1&amp;query=Kota%20Kayang%20Museum%2C%20Perlis%2C%20Malaysia</t>
  </si>
  <si>
    <t>A100</t>
  </si>
  <si>
    <t>MC0230</t>
  </si>
  <si>
    <t>Tasik Melati Recreational Park</t>
  </si>
  <si>
    <t>Kangar</t>
  </si>
  <si>
    <t>lake; walking; relaxation; family; nature</t>
  </si>
  <si>
    <t>A lake recreational park near Kangar, Perlis, with boating and a small zoo.</t>
  </si>
  <si>
    <t>https://www.google.com/maps/search/?api=1&amp;query=Tasik%20Melati%20Recreational%20Park%2C%20Perlis%2C%20Malaysia</t>
  </si>
  <si>
    <t>A101</t>
  </si>
  <si>
    <t>MC0231</t>
  </si>
  <si>
    <t>Perlis Snake and Reptile Farm</t>
  </si>
  <si>
    <t>Sungai Batu Pahat</t>
  </si>
  <si>
    <t>reptiles; snakes; family; education; wildlife</t>
  </si>
  <si>
    <t>A reptile park in Sungai Batu Pahat district, Perlis, showcasing snakes and other reptiles.</t>
  </si>
  <si>
    <t>https://www.google.com/maps/search/?api=1&amp;query=Perlis%20Snake%20and%20Reptile%20Farm%2C%20Perlis%2C%20Malaysia</t>
  </si>
  <si>
    <t>A102</t>
  </si>
  <si>
    <t>MC0232</t>
  </si>
  <si>
    <t>Al-Hussain Mosque</t>
  </si>
  <si>
    <t>mosque; architecture; religion; sunset; photography</t>
  </si>
  <si>
    <t>A landmark mosque in Kuala Perlis built on stilts over the water, giving it a floating appearance.</t>
  </si>
  <si>
    <t>https://www.google.com/maps/search/?api=1&amp;query=Al-Hussain%20Mosque%2C%20Perlis%2C%20Malaysia</t>
  </si>
  <si>
    <t>A103</t>
  </si>
  <si>
    <t>MC0233</t>
  </si>
  <si>
    <t>Bukit Ayer Recreational Forest</t>
  </si>
  <si>
    <t>forest; waterfall; picnic; relaxation; family</t>
  </si>
  <si>
    <t>A forest recreation area in Sungai Batu Pahat district, Perlis, with waterfalls.</t>
  </si>
  <si>
    <t>https://www.google.com/maps/search/?api=1&amp;query=Bukit%20Ayer%20Recreational%20Forest%2C%20Perlis%2C%20Malaysia</t>
  </si>
  <si>
    <t>A104</t>
  </si>
  <si>
    <t>MC0234</t>
  </si>
  <si>
    <t>viewpoint; sunrise; countryside</t>
  </si>
  <si>
    <t>A scenic border viewpoint within Perlis State Park near Wang Kelian.</t>
  </si>
  <si>
    <t>https://www.google.com/maps/search/?api=1&amp;query=Wang%20Kelian%20Viewpoint%2C%20Perlis%2C%20Malaysia</t>
  </si>
  <si>
    <t>Perlis expansion batch</t>
  </si>
  <si>
    <t>Rejected</t>
  </si>
  <si>
    <t>Duplicate of MC0226 – Wang Kelian Viewpoint. Retained only for audit history; do not import into the application database.</t>
  </si>
  <si>
    <t>MC0235</t>
  </si>
  <si>
    <t>Tasik Melati</t>
  </si>
  <si>
    <t>lake; wetland; boardwalk</t>
  </si>
  <si>
    <t>A lake recreational park in Beseri district near Kangar, popular for boating and picnics.</t>
  </si>
  <si>
    <t>https://www.google.com/maps/search/?api=1&amp;query=Tasik%20Melati%2C%20Perlis%2C%20Malaysia</t>
  </si>
  <si>
    <t>MC0236</t>
  </si>
  <si>
    <t>Kuala Perlis Waterfront</t>
  </si>
  <si>
    <t>seafood; sunset; waterfront</t>
  </si>
  <si>
    <t>A waterfront promenade in Kuala Perlis known for seafood restaurants and ferry connections to Langkawi.</t>
  </si>
  <si>
    <t>https://www.google.com/maps/search/?api=1&amp;query=Kuala%20Perlis%20Waterfront%2C%20Perlis%2C%20Malaysia</t>
  </si>
  <si>
    <t>MC0237</t>
  </si>
  <si>
    <t>Perlis Royal Gallery</t>
  </si>
  <si>
    <t>Arau</t>
  </si>
  <si>
    <t>A museum in Arau, Perlis, showcasing the state's royal family history and regalia.</t>
  </si>
  <si>
    <t>https://www.google.com/maps/search/?api=1&amp;query=Perlis%20Royal%20Gallery%2C%20Perlis%2C%20Malaysia</t>
  </si>
  <si>
    <t>MC0238</t>
  </si>
  <si>
    <t>Arau Palace Grounds</t>
  </si>
  <si>
    <t>royal town; architecture; landmark</t>
  </si>
  <si>
    <t>The royal town of Arau, home to Istana Arau, the official palace of the Raja of Perlis.</t>
  </si>
  <si>
    <t>https://www.google.com/maps/search/?api=1&amp;query=Arau%20Palace%20Grounds%2C%20Perlis%2C%20Malaysia</t>
  </si>
  <si>
    <t>MC0239</t>
  </si>
  <si>
    <t>Syed Alwi Mosque</t>
  </si>
  <si>
    <t>mosque; heritage; architecture</t>
  </si>
  <si>
    <t>A mosque in Kangar, Perlis, named after a former Raja of Perlis.</t>
  </si>
  <si>
    <t>https://www.google.com/maps/search/?api=1&amp;query=Syed%20Alwi%20Mosque%2C%20Perlis%2C%20Malaysia</t>
  </si>
  <si>
    <t>MC0240</t>
  </si>
  <si>
    <t>Taman Rekreasi Sungai Batu Pahat</t>
  </si>
  <si>
    <t>park; river; family</t>
  </si>
  <si>
    <t>A river recreational park in Kangar district, Perlis.</t>
  </si>
  <si>
    <t>https://www.google.com/maps/search/?api=1&amp;query=Taman%20Rekreasi%20Sungai%20Batu%20Pahat%2C%20Perlis%2C%20Malaysia</t>
  </si>
  <si>
    <t>MC0241</t>
  </si>
  <si>
    <t>Bukit Keteri</t>
  </si>
  <si>
    <t>Chuping</t>
  </si>
  <si>
    <t>rock climbing; limestone; viewpoint</t>
  </si>
  <si>
    <t>A hiking hill in Chuping district, Perlis, known for a nearby blue lake view.</t>
  </si>
  <si>
    <t>https://www.google.com/maps/search/?api=1&amp;query=Bukit%20Keteri%2C%20Perlis%2C%20Malaysia</t>
  </si>
  <si>
    <t>MC0242</t>
  </si>
  <si>
    <t>Bukit Chabang</t>
  </si>
  <si>
    <t>hiking; twin peaks; countryside</t>
  </si>
  <si>
    <t>A hiking spot in Chuping district, Perlis, near the Thai border.</t>
  </si>
  <si>
    <t>https://www.google.com/maps/search/?api=1&amp;query=Bukit%20Chabang%2C%20Perlis%2C%20Malaysia</t>
  </si>
  <si>
    <t>MC0243</t>
  </si>
  <si>
    <t>Ladang Nipah Kipli</t>
  </si>
  <si>
    <t>Kuala Sanglang</t>
  </si>
  <si>
    <t>nipah farm; local food; village</t>
  </si>
  <si>
    <t>A nipah palm plantation and agro-tourism site in Kuala Sanglang, Perlis.</t>
  </si>
  <si>
    <t>https://www.google.com/maps/search/?api=1&amp;query=Ladang%20Nipah%20Kipli%2C%20Perlis%2C%20Malaysia</t>
  </si>
  <si>
    <t>MC0244</t>
  </si>
  <si>
    <t>Harumanis Mango Plantation Experience</t>
  </si>
  <si>
    <t>Simpang Empat</t>
  </si>
  <si>
    <t>Seasonal</t>
  </si>
  <si>
    <t>mango; orchard; agrotourism</t>
  </si>
  <si>
    <t>An orchard tour experience in Simpang Empat, Perlis, showcasing the state's famous Harumanis mango variety, best visited during the seasonal harvest.</t>
  </si>
  <si>
    <t>https://www.google.com/maps/search/?api=1&amp;query=Harumanis%20Mango%20Plantation%20Experience%2C%20Perlis%2C%20Malaysia</t>
  </si>
  <si>
    <t>MC0245</t>
  </si>
  <si>
    <t>Kinabalu Park</t>
  </si>
  <si>
    <t>Sabah</t>
  </si>
  <si>
    <t>Ranau / Kota Belud / Kota Marudu</t>
  </si>
  <si>
    <t>UNESCO World Heritage Site; UNESCO Global Geopark; Mount Kinabalu; rainforest; montane forest; subalpine habitat; biodiversity; endemic flora; wildlife; birdwatching; hiking; jungle trekking; nature trails; botanical garden; mountain climbing; sunrise; waterfalls; hot springs; canopy walkway; photography; geology; conservation; research; nature education; camping</t>
  </si>
  <si>
    <t>Malaysia's first UNESCO World Heritage Site is a 754-square-kilometre protected mountain landscape centred on Mount Kinabalu. From its highland headquarters, visitors can explore botanical gardens, forest trails, galleries and exceptional biodiversity, while separately booked climbers can attempt the 4,095.2-metre summit.</t>
  </si>
  <si>
    <t>https://www.malaysia.travel/explore/kinabalu-park ; https://www.malaysia.travel/index.php/explore/kinabalu-park ; https://www.sabahparks.org.my/kinabalu-park ; https://sabahparks.org.my/index.php/kinabalu-park/mount-kinabalu ; https://reservation.sabahparks.org.my/mountain-climbing/tickets ; https://www.sabahparks.org.my/index.php/services/mount-kinabalu-climbing ; https://ebrochures.malaysia.travel/en/cool-highlands/kinabalu-park/ ; https://ebrochures.malaysia.travel/en/birdwatching-paradise/sabah/</t>
  </si>
  <si>
    <t>https://ebrochures.malaysia.travel/en/malaysia-travel-guide/sabah/</t>
  </si>
  <si>
    <t>A019</t>
  </si>
  <si>
    <t>MC0246</t>
  </si>
  <si>
    <t>Bohey Dulang Island</t>
  </si>
  <si>
    <t>Semporna</t>
  </si>
  <si>
    <t>Island; marine park; volcanic island; crater lagoon; panoramic viewpoint; hiking; jungle trekking; nature trail; forest; birdwatching; hornbills; wildlife; coral reef; marine life; snorkelling; scuba diving; giant clam hatchery; seaweed farming; island hopping; boating; photography; geology; conservation; Bajau Laut culture; honeymoon</t>
  </si>
  <si>
    <t>A 313-hectare volcanic island in Tun Sakaran Marine Park, reached by speedboat from Semporna. Its challenging forest trail climbs to a 353-metre peak overlooking the crater lagoon and surrounding reefs, while nearby waters support snorkelling, diving and rich marine life.</t>
  </si>
  <si>
    <t>https://www.malaysia.travel/explore/bohey-dulang-island ; https://sabahtourism.com/destination/bohey-dulang/ ; https://www.sabahparks.org.my/tun-sakaran-marine-park ; https://sabahparks.org.my/tun-sakaran-marine-park/activities-facilities ; https://sabahtourism.com/destination/tun-sakaran-marine-park/ ; https://mdsemporna.sabah.gov.my/2025/01/01/bohey-dulang/ ; https://mapcarta.com/15813028</t>
  </si>
  <si>
    <t>A020</t>
  </si>
  <si>
    <t>MC0247</t>
  </si>
  <si>
    <t>Tunku Abdul Rahman Park</t>
  </si>
  <si>
    <t>Kota Kinabalu</t>
  </si>
  <si>
    <t>island; beach; snorkelling; relaxation; marine life</t>
  </si>
  <si>
    <t>A marine park of five islands off Kota Kinabalu, popular for snorkelling, diving and beach day trips.</t>
  </si>
  <si>
    <t>https://www.google.com/maps/search/?api=1&amp;query=Tunku%20Abdul%20Rahman%20Park%2C%20Sabah%2C%20Malaysia</t>
  </si>
  <si>
    <t>A105</t>
  </si>
  <si>
    <t>MC0248</t>
  </si>
  <si>
    <t>Sepilok Orangutan Rehabilitation Centre</t>
  </si>
  <si>
    <t>Sandakan</t>
  </si>
  <si>
    <t>https://www.google.com/maps/search/?api=1&amp;query=Sepilok%20Orangutan%20Rehabilitation%20Centre%2C%20Sabah%2C%20Malaysia</t>
  </si>
  <si>
    <t>A106</t>
  </si>
  <si>
    <t>MC0249</t>
  </si>
  <si>
    <t>Sabah State Museum</t>
  </si>
  <si>
    <t>museum; history; culture; heritage; indoor</t>
  </si>
  <si>
    <t>A museum in Kota Kinabalu covering Sabah's natural history, ethnography and colonial past.</t>
  </si>
  <si>
    <t>https://www.google.com/maps/search/?api=1&amp;query=Sabah%20State%20Museum%2C%20Sabah%2C%20Malaysia</t>
  </si>
  <si>
    <t>A107</t>
  </si>
  <si>
    <t>MC0250</t>
  </si>
  <si>
    <t>Mari Mari Cultural Village</t>
  </si>
  <si>
    <t>indigenous culture; heritage; performance; food; education</t>
  </si>
  <si>
    <t>A living cultural village near Kota Kinabalu showcasing the traditions of Sabah's indigenous ethnic groups.</t>
  </si>
  <si>
    <t>https://www.google.com/maps/search/?api=1&amp;query=Mari%20Mari%20Cultural%20Village%2C%20Sabah%2C%20Malaysia</t>
  </si>
  <si>
    <t>A108</t>
  </si>
  <si>
    <t>MC0251</t>
  </si>
  <si>
    <t>Poring Hot Spring</t>
  </si>
  <si>
    <t>Ranau</t>
  </si>
  <si>
    <t>hot springs; relaxation; nature; canopy walk; wellness</t>
  </si>
  <si>
    <t>A hot spring and canopy walkway attraction within Kinabalu Park in Ranau district, Sabah.</t>
  </si>
  <si>
    <t>https://www.google.com/maps/search/?api=1&amp;query=Poring%20Hot%20Spring%2C%20Sabah%2C%20Malaysia</t>
  </si>
  <si>
    <t>A109</t>
  </si>
  <si>
    <t>MC0252</t>
  </si>
  <si>
    <t>Danum Valley Conservation Area</t>
  </si>
  <si>
    <t>Lahad Datu</t>
  </si>
  <si>
    <t>rainforest; wildlife; conservation; hiking; nature</t>
  </si>
  <si>
    <t>One of the world's most pristine lowland rainforests, in Lahad Datu district, Sabah, known for wildlife research and eco-tourism.</t>
  </si>
  <si>
    <t>https://www.google.com/maps/search/?api=1&amp;query=Danum%20Valley%20Conservation%20Area%2C%20Sabah%2C%20Malaysia</t>
  </si>
  <si>
    <t>A110</t>
  </si>
  <si>
    <t>MC0253</t>
  </si>
  <si>
    <t>Tip of Borneo</t>
  </si>
  <si>
    <t>Kudat</t>
  </si>
  <si>
    <t>coast; scenery; sunset; photography; relaxation</t>
  </si>
  <si>
    <t>The northernmost point of Borneo island, in Kudat district, Sabah, known for its dramatic coastal viewpoint.</t>
  </si>
  <si>
    <t>https://www.google.com/maps/search/?api=1&amp;query=Tip%20of%20Borneo%2C%20Sabah%2C%20Malaysia</t>
  </si>
  <si>
    <t>A111</t>
  </si>
  <si>
    <t>MC0254</t>
  </si>
  <si>
    <t>Lok Kawi Wildlife Park</t>
  </si>
  <si>
    <t>Penampang</t>
  </si>
  <si>
    <t>A zoo and wildlife park near Penampang, Sabah, housing Bornean species including orangutans and elephants.</t>
  </si>
  <si>
    <t>https://www.google.com/maps/search/?api=1&amp;query=Lok%20Kawi%20Wildlife%20Park%2C%20Sabah%2C%20Malaysia</t>
  </si>
  <si>
    <t>A112</t>
  </si>
  <si>
    <t>MC0255</t>
  </si>
  <si>
    <t>Signal Hill Observatory Platform</t>
  </si>
  <si>
    <t>viewpoint; city; sunset</t>
  </si>
  <si>
    <t>A hilltop viewpoint in Kota Kinabalu offering panoramic city and harbour views.</t>
  </si>
  <si>
    <t>https://www.google.com/maps/search/?api=1&amp;query=Signal%20Hill%20Observatory%20Platform%2C%20Sabah%2C%20Malaysia</t>
  </si>
  <si>
    <t>Sabah expansion batch</t>
  </si>
  <si>
    <t>MC0256</t>
  </si>
  <si>
    <t>Kota Kinabalu City Mosque</t>
  </si>
  <si>
    <t>mosque; lagoon; architecture</t>
  </si>
  <si>
    <t>A large waterfront mosque in Kota Kinabalu known as the floating mosque for its reflection in a surrounding lagoon.</t>
  </si>
  <si>
    <t>https://www.google.com/maps/search/?api=1&amp;query=Kota%20Kinabalu%20City%20Mosque%2C%20Sabah%2C%20Malaysia</t>
  </si>
  <si>
    <t>MC0257</t>
  </si>
  <si>
    <t>Gaya Street Sunday Market</t>
  </si>
  <si>
    <t>market; crafts; food</t>
  </si>
  <si>
    <t>A popular weekly street market in Kota Kinabalu selling local produce, crafts and food.</t>
  </si>
  <si>
    <t>https://www.google.com/maps/search/?api=1&amp;query=Gaya%20Street%20Sunday%20Market%2C%20Sabah%2C%20Malaysia</t>
  </si>
  <si>
    <t>MC0258</t>
  </si>
  <si>
    <t>Tanjung Aru Beach</t>
  </si>
  <si>
    <t>beach; sunset; local food</t>
  </si>
  <si>
    <t>A beach in Kota Kinabalu known for its sunset views and seafood stalls.</t>
  </si>
  <si>
    <t>https://www.google.com/maps/search/?api=1&amp;query=Tanjung%20Aru%20Beach%2C%20Sabah%2C%20Malaysia</t>
  </si>
  <si>
    <t>MC0259</t>
  </si>
  <si>
    <t>Monsopiad Heritage Village</t>
  </si>
  <si>
    <t>Kadazan culture; heritage; village</t>
  </si>
  <si>
    <t>A cultural village in Penampang, Sabah, dedicated to Kadazan warrior heritage and traditions.</t>
  </si>
  <si>
    <t>https://www.google.com/maps/search/?api=1&amp;query=Monsopiad%20Heritage%20Village%2C%20Sabah%2C%20Malaysia</t>
  </si>
  <si>
    <t>MC0260</t>
  </si>
  <si>
    <t>Kiulu River</t>
  </si>
  <si>
    <t>Tamparuli</t>
  </si>
  <si>
    <t>rafting; countryside; river</t>
  </si>
  <si>
    <t>A river in Tamparuli district, Sabah, popular for white-water rafting and tubing.</t>
  </si>
  <si>
    <t>https://www.google.com/maps/search/?api=1&amp;query=Kiulu%20River%2C%20Sabah%2C%20Malaysia</t>
  </si>
  <si>
    <t>MC0261</t>
  </si>
  <si>
    <t>Upside Down House Sabah</t>
  </si>
  <si>
    <t>Tuaran</t>
  </si>
  <si>
    <t>family; photography; novelty</t>
  </si>
  <si>
    <t>A novelty attraction house in Tuaran, Sabah, built entirely inverted.</t>
  </si>
  <si>
    <t>https://www.google.com/maps/search/?api=1&amp;query=Upside%20Down%20House%20Sabah%2C%20Sabah%2C%20Malaysia</t>
  </si>
  <si>
    <t>MC0262</t>
  </si>
  <si>
    <t>Mantanani Islands</t>
  </si>
  <si>
    <t>Kota Belud</t>
  </si>
  <si>
    <t>island; diving; beach</t>
  </si>
  <si>
    <t>A group of islands off Kota Belud, Sabah, known for clear waters, coral reefs and turtle sightings.</t>
  </si>
  <si>
    <t>https://www.google.com/maps/search/?api=1&amp;query=Mantanani%20Islands%2C%20Sabah%2C%20Malaysia</t>
  </si>
  <si>
    <t>MC0263</t>
  </si>
  <si>
    <t>Kota Belud Tamu</t>
  </si>
  <si>
    <t>weekly market; culture; local food</t>
  </si>
  <si>
    <t>A weekly open-air market in Kota Belud, Sabah, known for its Bajau traders and local produce.</t>
  </si>
  <si>
    <t>https://www.google.com/maps/search/?api=1&amp;query=Kota%20Belud%20Tamu%2C%20Sabah%2C%20Malaysia</t>
  </si>
  <si>
    <t>MC0264</t>
  </si>
  <si>
    <t>Kundasang War Memorial</t>
  </si>
  <si>
    <t>Kundasang</t>
  </si>
  <si>
    <t>war memorial; gardens; history</t>
  </si>
  <si>
    <t>A memorial garden in Kundasang, Sabah, honouring Allied soldiers and Sandakan-Ranau Death March victims of the Second World War.</t>
  </si>
  <si>
    <t>https://www.google.com/maps/search/?api=1&amp;query=Kundasang%20War%20Memorial%2C%20Sabah%2C%20Malaysia</t>
  </si>
  <si>
    <t>MC0265</t>
  </si>
  <si>
    <t>Desa Cattle Dairy Farm</t>
  </si>
  <si>
    <t>dairy farm; scenery; family</t>
  </si>
  <si>
    <t>A highland dairy farm in Kundasang, Sabah, popular for scenic views and fresh dairy products.</t>
  </si>
  <si>
    <t>https://www.google.com/maps/search/?api=1&amp;query=Desa%20Cattle%20Dairy%20Farm%2C%20Sabah%2C%20Malaysia</t>
  </si>
  <si>
    <t>MC0266</t>
  </si>
  <si>
    <t>Sabah Tea Garden</t>
  </si>
  <si>
    <t>tea plantation; highland; cafe</t>
  </si>
  <si>
    <t>A working tea plantation in Ranau district, Sabah, near Mount Kinabalu, open for tours and stays.</t>
  </si>
  <si>
    <t>https://www.google.com/maps/search/?api=1&amp;query=Sabah%20Tea%20Garden%2C%20Sabah%2C%20Malaysia</t>
  </si>
  <si>
    <t>MC0267</t>
  </si>
  <si>
    <t>Gombizau Honey Bee Farm</t>
  </si>
  <si>
    <t>honey; village; agrotourism</t>
  </si>
  <si>
    <t>A stingless bee farm in Kudat district, Sabah, showcasing local honey production.</t>
  </si>
  <si>
    <t>https://www.google.com/maps/search/?api=1&amp;query=Gombizau%20Honey%20Bee%20Farm%2C%20Sabah%2C%20Malaysia</t>
  </si>
  <si>
    <t>MC0268</t>
  </si>
  <si>
    <t>Sumangkap Gong Making Village</t>
  </si>
  <si>
    <t>gong making; crafts; village</t>
  </si>
  <si>
    <t>A village in Kudat district, Sabah, known for traditional handmade brass gong craftsmanship.</t>
  </si>
  <si>
    <t>https://www.google.com/maps/search/?api=1&amp;query=Sumangkap%20Gong%20Making%20Village%2C%20Sabah%2C%20Malaysia</t>
  </si>
  <si>
    <t>MC0269</t>
  </si>
  <si>
    <t>Bornean Sun Bear Conservation Centre</t>
  </si>
  <si>
    <t>sun bear; conservation; education</t>
  </si>
  <si>
    <t>A conservation centre near Sandakan dedicated to the rescue and rehabilitation of Bornean sun bears.</t>
  </si>
  <si>
    <t>https://www.google.com/maps/search/?api=1&amp;query=Bornean%20Sun%20Bear%20Conservation%20Centre%2C%20Sabah%2C%20Malaysia</t>
  </si>
  <si>
    <t>MC0270</t>
  </si>
  <si>
    <t>Rainforest Discovery Centre</t>
  </si>
  <si>
    <t>canopy walk; birdwatching; rainforest</t>
  </si>
  <si>
    <t>A nature education centre near Sandakan with a canopy walkway through lowland rainforest.</t>
  </si>
  <si>
    <t>https://www.google.com/maps/search/?api=1&amp;query=Rainforest%20Discovery%20Centre%2C%20Sabah%2C%20Malaysia</t>
  </si>
  <si>
    <t>MC0271</t>
  </si>
  <si>
    <t>Sandakan Memorial Park</t>
  </si>
  <si>
    <t>war history; memorial; park</t>
  </si>
  <si>
    <t>A memorial park in Sandakan on the site of a former Second World War POW camp, honouring Death March victims.</t>
  </si>
  <si>
    <t>https://www.google.com/maps/search/?api=1&amp;query=Sandakan%20Memorial%20Park%2C%20Sabah%2C%20Malaysia</t>
  </si>
  <si>
    <t>MC0272</t>
  </si>
  <si>
    <t>Kinabatangan River</t>
  </si>
  <si>
    <t>Kinabatangan</t>
  </si>
  <si>
    <t>river cruise; wildlife; rainforest</t>
  </si>
  <si>
    <t>Sabah's longest river, renowned for wildlife river cruises spotting proboscis monkeys, orangutans and pygmy elephants.</t>
  </si>
  <si>
    <t>https://www.google.com/maps/search/?api=1&amp;query=Kinabatangan%20River%2C%20Sabah%2C%20Malaysia</t>
  </si>
  <si>
    <t>MC0273</t>
  </si>
  <si>
    <t>Tabin Wildlife Reserve</t>
  </si>
  <si>
    <t>wildlife; rainforest; mud volcano</t>
  </si>
  <si>
    <t>A large wildlife reserve in Lahad Datu district, Sabah, known for its mud volcano and diverse rainforest fauna.</t>
  </si>
  <si>
    <t>https://www.google.com/maps/search/?api=1&amp;query=Tabin%20Wildlife%20Reserve%2C%20Sabah%2C%20Malaysia</t>
  </si>
  <si>
    <t>MC0274</t>
  </si>
  <si>
    <t>Tun Sakaran Marine Park</t>
  </si>
  <si>
    <t>marine park; islands; diving</t>
  </si>
  <si>
    <t>A marine park off Semporna, Sabah, comprising several islands known for coral reefs and diving.</t>
  </si>
  <si>
    <t>https://www.google.com/maps/search/?api=1&amp;query=Tun%20Sakaran%20Marine%20Park%2C%20Sabah%2C%20Malaysia</t>
  </si>
  <si>
    <t>MC0275</t>
  </si>
  <si>
    <t>Tawau Hills Park</t>
  </si>
  <si>
    <t>Tawau</t>
  </si>
  <si>
    <t>rainforest; waterfall; hiking</t>
  </si>
  <si>
    <t>A rainforest park near Tawau town, Sabah, with hot springs and Malaysia's tallest tropical tree.</t>
  </si>
  <si>
    <t>https://www.google.com/maps/search/?api=1&amp;query=Tawau%20Hills%20Park%2C%20Sabah%2C%20Malaysia</t>
  </si>
  <si>
    <t>MC0276</t>
  </si>
  <si>
    <t>Sabah Agriculture Park</t>
  </si>
  <si>
    <t>Tenom</t>
  </si>
  <si>
    <t>An agricultural showcase park in Tenom, Sabah, featuring plantations and demonstration farms.</t>
  </si>
  <si>
    <t>https://www.google.com/maps/search/?api=1&amp;query=Sabah%20Agriculture%20Park%2C%20Sabah%2C%20Malaysia</t>
  </si>
  <si>
    <t>MC0277</t>
  </si>
  <si>
    <t>Batu Sumpah Keningau</t>
  </si>
  <si>
    <t>Keningau</t>
  </si>
  <si>
    <t>historic monument; civic history; landmark</t>
  </si>
  <si>
    <t>A historic monument in Keningau, Sabah, marking the 1964 Sabah Oath Stone agreement among native leaders.</t>
  </si>
  <si>
    <t>https://www.google.com/maps/search/?api=1&amp;query=Batu%20Sumpah%20Keningau%2C%20Sabah%2C%20Malaysia</t>
  </si>
  <si>
    <t>MC0278</t>
  </si>
  <si>
    <t>Bako National Park</t>
  </si>
  <si>
    <t>Sarawak</t>
  </si>
  <si>
    <t>Kuching</t>
  </si>
  <si>
    <t>ASEAN Heritage Park; national park; rainforest; mangrove; peat swamp; kerangas heath forest; dipterocarp forest; coastal cliffs; beaches; sea stacks; rock formations; jungle trekking; hiking; nature trails; wildlife; proboscis monkey; silvered langur; long-tailed macaque; bearded pig; monitor lizard; birdwatching; pitcher plants; night walk; photography; geology; conservation; nature education; camping; boat ride</t>
  </si>
  <si>
    <t>Sarawak's oldest national park protects 2,727 hectares of rainforest, mangroves, heath forest, beaches and rugged coastal formations. Reached by boat from Kampung Bako, its 18 colour-coded trails offer wildlife watching, pitcher plants, sea-stack views and hikes ranging from gentle walks to full-day routes.</t>
  </si>
  <si>
    <t>https://www.malaysia.travel/explore/bako-national-park ; https://www.malaysia.travel/index.php/explore/bako-national-park ; https://bakonationalpark.com/ ; https://sfc.sarawak.gov.my/web/subpage/webpage_view/49 ; https://forestry.sarawak.gov.my/web/subpage/webpage_view/1024 ; https://service.sarawak.gov.my/web/web/home/sla_view/211/690/ ; https://forestry.sarawak.gov.my/web/subpage/webpage_view/1012 ; https://www.malaysia.travel/explore/exploring-sarawak-a-treasure-trove-of-natural-wonders ; https://mapcarta.com/Bako_National_Park</t>
  </si>
  <si>
    <t>https://ebrochures.malaysia.travel/en/malaysia-travel-guide/sarawak/</t>
  </si>
  <si>
    <t>A021</t>
  </si>
  <si>
    <t>MC0279</t>
  </si>
  <si>
    <t>Gunung Mulu National Park</t>
  </si>
  <si>
    <t>Miri / Mulu</t>
  </si>
  <si>
    <t>UNESCO World Heritage Site; national park; tropical rainforest; limestone karst; caves; cave exploration; show caves; adventure caving; Sarawak Chamber; Deer Cave; Lang Cave; Clearwater Cave; Cave of the Winds; Garden of Eden; underground river; bats; bat exodus; limestone pinnacles; Gunung Api; Mount Mulu; mountain climbing; jungle trekking; hiking; canopy walk; longboat; waterfalls; birdwatching; wildlife; orchids; pitcher plants; endemic species; geology; biodiversity; conservation; research; photography; Penan culture</t>
  </si>
  <si>
    <t>A remote UNESCO World Heritage Site protecting 528.64 square kilometres of equatorial rainforest, mountains, limestone pinnacles and immense cave systems. Visitors can explore show caves, watch the Deer Cave bat exodus, walk the canopy bridge or undertake demanding guided expeditions to the Pinnacles and Mount Mulu.</t>
  </si>
  <si>
    <t>https://www.malaysia.travel/explore/gunung-mulu-national-park ; https://mulupark.com/about-us/mulu-world-heritage-area/ ; https://mulupark.com/plan-your-trip/ ; https://mulupark.com/tours-activities/ ; https://mulupark.com/clearwater-winds/ ; https://www.malaysia.travel/explore/exploring-sarawak-a-treasure-trove-of-natural-wonders ; https://www.malaysia.travel/explore/echoes-of-the-past-discover-malaysia-s-unesco-world-heritage-sites ; https://ebrochures.malaysia.travel/en/birdwatching-paradise/sarawak/</t>
  </si>
  <si>
    <t>A022</t>
  </si>
  <si>
    <t>MC0280</t>
  </si>
  <si>
    <t>Sarawak Cultural Village</t>
  </si>
  <si>
    <t>culture; indigenous heritage; performance; family; education</t>
  </si>
  <si>
    <t>A living museum near Kuching showcasing the traditional houses and lifestyles of Sarawak's various ethnic groups.</t>
  </si>
  <si>
    <t>https://www.google.com/maps/search/?api=1&amp;query=Sarawak%20Cultural%20Village%2C%20Sarawak%2C%20Malaysia</t>
  </si>
  <si>
    <t>A113</t>
  </si>
  <si>
    <t>MC0281</t>
  </si>
  <si>
    <t>Semenggoh Wildlife Centre</t>
  </si>
  <si>
    <t>orangutan; conservation; wildlife; nature; education</t>
  </si>
  <si>
    <t>A wildlife rehabilitation centre near Kuching known for its semi-wild orangutan feeding sessions.</t>
  </si>
  <si>
    <t>https://www.google.com/maps/search/?api=1&amp;query=Semenggoh%20Wildlife%20Centre%2C%20Sarawak%2C%20Malaysia</t>
  </si>
  <si>
    <t>A114</t>
  </si>
  <si>
    <t>MC0282</t>
  </si>
  <si>
    <t>Kuching Waterfront</t>
  </si>
  <si>
    <t>waterfront; walking; relaxation; food; heritage</t>
  </si>
  <si>
    <t>A landscaped riverside promenade along the Sarawak River in central Kuching.</t>
  </si>
  <si>
    <t>https://www.google.com/maps/search/?api=1&amp;query=Kuching%20Waterfront%2C%20Sarawak%2C%20Malaysia</t>
  </si>
  <si>
    <t>A115</t>
  </si>
  <si>
    <t>MC0283</t>
  </si>
  <si>
    <t>Fort Margherita</t>
  </si>
  <si>
    <t>fort; history; museum; heritage; architecture</t>
  </si>
  <si>
    <t>A 19th-century fort built by the Brooke dynasty overlooking the Sarawak River in Kuching.</t>
  </si>
  <si>
    <t>https://www.google.com/maps/search/?api=1&amp;query=Fort%20Margherita%2C%20Sarawak%2C%20Malaysia</t>
  </si>
  <si>
    <t>A116</t>
  </si>
  <si>
    <t>MC0284</t>
  </si>
  <si>
    <t>Niah National Park</t>
  </si>
  <si>
    <t>Miri</t>
  </si>
  <si>
    <t>cave; archaeology; hiking; rainforest; heritage</t>
  </si>
  <si>
    <t>A national park near Miri famous for its vast limestone caves with archaeological significance and swiftlet nests.</t>
  </si>
  <si>
    <t>https://www.google.com/maps/search/?api=1&amp;query=Niah%20National%20Park%2C%20Sarawak%2C%20Malaysia</t>
  </si>
  <si>
    <t>A117</t>
  </si>
  <si>
    <t>MC0285</t>
  </si>
  <si>
    <t>Kubah National Park</t>
  </si>
  <si>
    <t>rainforest; hiking; waterfall; wildlife; nature</t>
  </si>
  <si>
    <t>A rainforest park near Kuching known for its palm species and waterfalls.</t>
  </si>
  <si>
    <t>https://www.google.com/maps/search/?api=1&amp;query=Kubah%20National%20Park%2C%20Sarawak%2C%20Malaysia</t>
  </si>
  <si>
    <t>A118</t>
  </si>
  <si>
    <t>MC0286</t>
  </si>
  <si>
    <t>Fairy Cave</t>
  </si>
  <si>
    <t>Bau</t>
  </si>
  <si>
    <t>cave; limestone; hiking; nature; photography</t>
  </si>
  <si>
    <t>A large limestone cave in Bau district, Sarawak, with dramatic light shafts, popular for exploration.</t>
  </si>
  <si>
    <t>https://www.google.com/maps/search/?api=1&amp;query=Fairy%20Cave%2C%20Sarawak%2C%20Malaysia</t>
  </si>
  <si>
    <t>A119</t>
  </si>
  <si>
    <t>MC0287</t>
  </si>
  <si>
    <t>Cat Museum</t>
  </si>
  <si>
    <t>museum; cats; family; culture; indoor</t>
  </si>
  <si>
    <t>A museum in Kuching dedicated to cat-themed exhibits, reflecting the city's name, which means cat in Malay.</t>
  </si>
  <si>
    <t>https://www.google.com/maps/search/?api=1&amp;query=Cat%20Museum%2C%20Sarawak%2C%20Malaysia</t>
  </si>
  <si>
    <t>A120</t>
  </si>
  <si>
    <t>MC0288</t>
  </si>
  <si>
    <t>Sarawak Museum Complex</t>
  </si>
  <si>
    <t>Borneo cultures; museum; history</t>
  </si>
  <si>
    <t>Borneo's oldest museum, in Kuching, covering the region's natural history, ethnography and archaeology.</t>
  </si>
  <si>
    <t>https://www.google.com/maps/search/?api=1&amp;query=Sarawak%20Museum%20Complex%2C%20Sarawak%2C%20Malaysia</t>
  </si>
  <si>
    <t>Sarawak expansion batch</t>
  </si>
  <si>
    <t>MC0289</t>
  </si>
  <si>
    <t>Darul Hana Bridge</t>
  </si>
  <si>
    <t>pedestrian bridge; architecture; river</t>
  </si>
  <si>
    <t>A pedestrian bridge across the Sarawak River in Kuching connecting the old town to the new waterfront.</t>
  </si>
  <si>
    <t>https://www.google.com/maps/search/?api=1&amp;query=Darul%20Hana%20Bridge%2C%20Sarawak%2C%20Malaysia</t>
  </si>
  <si>
    <t>MC0290</t>
  </si>
  <si>
    <t>Fort Margherita and Brooke Gallery</t>
  </si>
  <si>
    <t>fort; Brooke history; museum</t>
  </si>
  <si>
    <t>A Brooke-era fort in Kuching, now housing a gallery on the history of the Brooke dynasty's rule over Sarawak.</t>
  </si>
  <si>
    <t>https://www.google.com/maps/search/?api=1&amp;query=Fort%20Margherita%20and%20Brooke%20Gallery%2C%20Sarawak%2C%20Malaysia</t>
  </si>
  <si>
    <t>MC0291</t>
  </si>
  <si>
    <t>Main Bazaar</t>
  </si>
  <si>
    <t>handicrafts; heritage shops; waterfront</t>
  </si>
  <si>
    <t>Kuching's oldest street, lined with antique shops, art galleries and handicraft stores.</t>
  </si>
  <si>
    <t>https://www.google.com/maps/search/?api=1&amp;query=Main%20Bazaar%2C%20Sarawak%2C%20Malaysia</t>
  </si>
  <si>
    <t>MC0292</t>
  </si>
  <si>
    <t>Damai Beach</t>
  </si>
  <si>
    <t>Santubong</t>
  </si>
  <si>
    <t>beach; mountain; resort</t>
  </si>
  <si>
    <t>A beach resort area near Santubong, close to Kuching, popular for its mountain backdrop.</t>
  </si>
  <si>
    <t>https://www.google.com/maps/search/?api=1&amp;query=Damai%20Beach%2C%20Sarawak%2C%20Malaysia</t>
  </si>
  <si>
    <t>MC0293</t>
  </si>
  <si>
    <t>Fairy Cave Nature Reserve</t>
  </si>
  <si>
    <t>limestone cave; hiking; viewpoint</t>
  </si>
  <si>
    <t>A limestone show cave in Bau district, Sarawak, known for its cathedral-like chambers and shafts of light.</t>
  </si>
  <si>
    <t>https://www.google.com/maps/search/?api=1&amp;query=Fairy%20Cave%20Nature%20Reserve%2C%20Sarawak%2C%20Malaysia</t>
  </si>
  <si>
    <t>MC0294</t>
  </si>
  <si>
    <t>Wind Cave Nature Reserve</t>
  </si>
  <si>
    <t>cave; bats; river</t>
  </si>
  <si>
    <t>A limestone cave system in Bau district, Sarawak, known for its bat colonies and underground river.</t>
  </si>
  <si>
    <t>https://www.google.com/maps/search/?api=1&amp;query=Wind%20Cave%20Nature%20Reserve%2C%20Sarawak%2C%20Malaysia</t>
  </si>
  <si>
    <t>MC0295</t>
  </si>
  <si>
    <t>Annah Rais Longhouse</t>
  </si>
  <si>
    <t>Padawan</t>
  </si>
  <si>
    <t>Bidayuh; longhouse; village</t>
  </si>
  <si>
    <t>A traditional Bidayuh longhouse settlement near Kuching offering cultural homestay experiences.</t>
  </si>
  <si>
    <t>https://www.google.com/maps/search/?api=1&amp;query=Annah%20Rais%20Longhouse%2C%20Sarawak%2C%20Malaysia</t>
  </si>
  <si>
    <t>MC0296</t>
  </si>
  <si>
    <t>Gunung Gading National Park</t>
  </si>
  <si>
    <t>Lundu</t>
  </si>
  <si>
    <t>rafflesia; hiking; rainforest</t>
  </si>
  <si>
    <t>A national park in Lundu district, Sarawak, famous for seasonal Rafflesia flower sightings.</t>
  </si>
  <si>
    <t>https://www.google.com/maps/search/?api=1&amp;query=Gunung%20Gading%20National%20Park%2C%20Sarawak%2C%20Malaysia</t>
  </si>
  <si>
    <t>MC0297</t>
  </si>
  <si>
    <t>Tanjung Datu National Park</t>
  </si>
  <si>
    <t>remote coast; rainforest; turtles</t>
  </si>
  <si>
    <t>A remote coastal rainforest park in Lundu district, Sarawak, known for pristine beaches and marine life.</t>
  </si>
  <si>
    <t>https://www.google.com/maps/search/?api=1&amp;query=Tanjung%20Datu%20National%20Park%2C%20Sarawak%2C%20Malaysia</t>
  </si>
  <si>
    <t>MC0298</t>
  </si>
  <si>
    <t>Batang Ai National Park</t>
  </si>
  <si>
    <t>Sri Aman</t>
  </si>
  <si>
    <t>rainforest; lake; Iban culture</t>
  </si>
  <si>
    <t>A rainforest park around the Batang Ai reservoir in Sri Aman, Sarawak, known for Iban longhouses and orangutan habitat.</t>
  </si>
  <si>
    <t>https://www.google.com/maps/search/?api=1&amp;query=Batang%20Ai%20National%20Park%2C%20Sarawak%2C%20Malaysia</t>
  </si>
  <si>
    <t>MC0299</t>
  </si>
  <si>
    <t>Fort Alice</t>
  </si>
  <si>
    <t>fort; local history; museum</t>
  </si>
  <si>
    <t>A 19th-century Brooke-era fort in Sri Aman town, Sarawak.</t>
  </si>
  <si>
    <t>https://www.google.com/maps/search/?api=1&amp;query=Fort%20Alice%2C%20Sarawak%2C%20Malaysia</t>
  </si>
  <si>
    <t>MC0300</t>
  </si>
  <si>
    <t>Sibu Central Market</t>
  </si>
  <si>
    <t>Sibu</t>
  </si>
  <si>
    <t>market; local produce; food</t>
  </si>
  <si>
    <t>One of the largest markets in Sarawak, in Sibu, known for its wide range of local produce and food.</t>
  </si>
  <si>
    <t>https://www.google.com/maps/search/?api=1&amp;query=Sibu%20Central%20Market%2C%20Sarawak%2C%20Malaysia</t>
  </si>
  <si>
    <t>MC0301</t>
  </si>
  <si>
    <t>Sibu Heritage Centre</t>
  </si>
  <si>
    <t>town history; culture; museum</t>
  </si>
  <si>
    <t>A museum in Sibu documenting the town's Foochow Chinese settlement history.</t>
  </si>
  <si>
    <t>https://www.google.com/maps/search/?api=1&amp;query=Sibu%20Heritage%20Centre%2C%20Sarawak%2C%20Malaysia</t>
  </si>
  <si>
    <t>MC0302</t>
  </si>
  <si>
    <t>Lamin Dana Cultural Boutique Lodge</t>
  </si>
  <si>
    <t>Mukah</t>
  </si>
  <si>
    <t>Melanau culture; village; crafts</t>
  </si>
  <si>
    <t>A Melanau cultural lodge in Mukah district, Sarawak.</t>
  </si>
  <si>
    <t>https://www.google.com/maps/search/?api=1&amp;query=Lamin%20Dana%20Cultural%20Boutique%20Lodge%2C%20Sarawak%2C%20Malaysia</t>
  </si>
  <si>
    <t>MC0303</t>
  </si>
  <si>
    <t>Similajau National Park</t>
  </si>
  <si>
    <t>Bintulu</t>
  </si>
  <si>
    <t>coast; rainforest; hiking</t>
  </si>
  <si>
    <t>A coastal rainforest park near Bintulu, Sarawak, known for its beaches and wildlife.</t>
  </si>
  <si>
    <t>https://www.google.com/maps/search/?api=1&amp;query=Similajau%20National%20Park%2C%20Sarawak%2C%20Malaysia</t>
  </si>
  <si>
    <t>MC0304</t>
  </si>
  <si>
    <t>Taman Tumbina</t>
  </si>
  <si>
    <t>botanical garden; animals; family</t>
  </si>
  <si>
    <t>A wildlife and botanical park in Bintulu, Sarawak, combining a zoo and gardens.</t>
  </si>
  <si>
    <t>https://www.google.com/maps/search/?api=1&amp;query=Taman%20Tumbina%2C%20Sarawak%2C%20Malaysia</t>
  </si>
  <si>
    <t>MC0305</t>
  </si>
  <si>
    <t>Miri-Sibuti Coral Reefs National Park</t>
  </si>
  <si>
    <t>diving; coral reefs; marine park</t>
  </si>
  <si>
    <t>A marine park off Miri, Sarawak, protecting coral reefs and popular for diving.</t>
  </si>
  <si>
    <t>https://www.google.com/maps/search/?api=1&amp;query=Miri-Sibuti%20Coral%20Reefs%20National%20Park%2C%20Sarawak%2C%20Malaysia</t>
  </si>
  <si>
    <t>MC0306</t>
  </si>
  <si>
    <t>Canada Hill and The Grand Old Lady</t>
  </si>
  <si>
    <t>oil history; viewpoint; museum</t>
  </si>
  <si>
    <t>A hill in Miri, Sarawak, home to the Grand Old Lady, Malaysia's first oil well, and a related petroleum museum.</t>
  </si>
  <si>
    <t>https://www.google.com/maps/search/?api=1&amp;query=Canada%20Hill%20and%20The%20Grand%20Old%20Lady%2C%20Sarawak%2C%20Malaysia</t>
  </si>
  <si>
    <t>MC0307</t>
  </si>
  <si>
    <t>Bukit Mas</t>
  </si>
  <si>
    <t>Limbang</t>
  </si>
  <si>
    <t>hill; hiking; viewpoint</t>
  </si>
  <si>
    <t>A hill and nature site in Limbang district, Sarawak.</t>
  </si>
  <si>
    <t>https://www.google.com/maps/search/?api=1&amp;query=Bukit%20Mas%2C%20Sarawak%2C%20Malaysia</t>
  </si>
  <si>
    <t>MC0308</t>
  </si>
  <si>
    <t>Ba'kelalan Highlands</t>
  </si>
  <si>
    <t>Lawas</t>
  </si>
  <si>
    <t>highland village; Lun Bawang; salt</t>
  </si>
  <si>
    <t>A remote highland farming community near the Kalimantan border in Lawas district, Sarawak, known for rice terraces and apple orchards.</t>
  </si>
  <si>
    <t>https://www.google.com/maps/search/?api=1&amp;query=Ba'kelalan%20Highlands%2C%20Sarawak%2C%20Malaysia</t>
  </si>
  <si>
    <t>MC0309</t>
  </si>
  <si>
    <t>Bario Highlands</t>
  </si>
  <si>
    <t>Bario</t>
  </si>
  <si>
    <t>Kelabit culture; highland; trekking</t>
  </si>
  <si>
    <t>A remote highland region in the Kelabit Highlands, Sarawak, accessible mainly by air, known for trekking and Kelabit longhouse culture.</t>
  </si>
  <si>
    <t>https://www.google.com/maps/search/?api=1&amp;query=Bario%20Highlands%2C%20Sarawak%2C%20Malaysia</t>
  </si>
  <si>
    <t>MC0310</t>
  </si>
  <si>
    <t>Bakun Lake</t>
  </si>
  <si>
    <t>Belaga</t>
  </si>
  <si>
    <t>lake; interior; boating</t>
  </si>
  <si>
    <t>A large reservoir formed by the Bakun Dam in Belaga district, Sarawak.</t>
  </si>
  <si>
    <t>https://www.google.com/maps/search/?api=1&amp;query=Bakun%20Lake%2C%20Sarawak%2C%20Malaysia</t>
  </si>
  <si>
    <t>MC0311</t>
  </si>
  <si>
    <t>Pulau Ketam</t>
  </si>
  <si>
    <t>Selangor</t>
  </si>
  <si>
    <t>Klang / Port Klang</t>
  </si>
  <si>
    <t>Island; fishing village; stilt houses; mangrove; mudflats; Chinese heritage; Hokkien culture; Teochew culture; seafood; crab; fishing; seafood processing; temples; Hock Leng Keng Temple; murals; colourful houses; boardwalk; cycling; electric scooter; walking; village life; cultural tourism; photography; boat ride; ferry; homestay; local food; car-free destination</t>
  </si>
  <si>
    <t>A car-free mangrove island off Port Klang, known for its Chinese fishing villages built on stilts above tidal mudflats. Visitors explore narrow boardwalks on foot or bicycle, observe the working fishing community, visit colourful temples and murals, and enjoy seafood—especially locally caught crab.</t>
  </si>
  <si>
    <t>https://www.malaysia.travel/explore/pulau-ketam ; https://www.pulauketam.com/v3/ferry-schedule/ ; https://selangor.travel/wp-content/uploads/2017/04/TS2025_DIRECTORY_Screen_Sp-1.pdf ; https://selangor.travel/exploring-royal-klang-a-journey-through-heritage-culture-and-flavours/ ; https://selangor.travel/wp-content/uploads/2023/03/TS_SPLENDID-SELANGOR-TRAVEL-ITINERARY_compressed.pdf ; https://www.mbdk.gov.my/en/tourism/tourist-spot ; https://mygeoname.mygeoportal.gov.my/pdf/10.pdf</t>
  </si>
  <si>
    <t>https://ebrochures.malaysia.travel/en/malaysia-travel-guide/selangor/</t>
  </si>
  <si>
    <t>A023</t>
  </si>
  <si>
    <t>MC0312</t>
  </si>
  <si>
    <t>Batu Caves</t>
  </si>
  <si>
    <t>Gombak / Batu Caves</t>
  </si>
  <si>
    <t>Hindu temple; pilgrimage; Thaipusam; Lord Murugan; Sri Subramaniar Swamy Temple; Temple Cave; Cathedral Cave; Ramayana Cave; Cave Villa; limestone cave; 272 steps; rainbow staircase; Tamil culture; Indian heritage; religious tourism; cultural tourism; architecture; geology; photography; monkeys; festival; KTM Komuter</t>
  </si>
  <si>
    <t>An important Hindu pilgrimage complex within a limestone hill in Gombak. Visitors pass the monumental golden Lord Murugan statue and climb 272 colourful steps to the Temple Cave, while the site becomes a major centre of worship and celebration during Thaipusam.</t>
  </si>
  <si>
    <t>https://www.malaysia.travel/explore/batu-caves ; https://www.malaysia.travel/explore/4-top-cultural-destinations-in-selangor ; https://selangor.travel/listing/batu-caves/ ; https://www.tourism.gov.my/media/view/vm2026-strenghtens-visibility-at-thaipusam-festival-batu-caves ; https://www.ktmb.com.my/komuter.html ; https://www.ktmb.com.my/TrainTime.html ; https://www.mps.gov.my/ms/batu-caves ; https://www.mindat.org/loc-312776.html</t>
  </si>
  <si>
    <t>A024</t>
  </si>
  <si>
    <t>MC0313</t>
  </si>
  <si>
    <t>Sunway Lagoon</t>
  </si>
  <si>
    <t>Petaling Jaya / Bandar Sunway</t>
  </si>
  <si>
    <t>Theme park; water park; Sunway Lost Lagoon; amusement park; wildlife park; X Park; Scream Park; Captain Quack Land; Night Park; water slides; wave pool; thrill rides; roller coaster; wildlife; family attraction; children's attractions; adventure; bungy jump; flying fox; go kart; bird and animal encounters; live entertainment; swimming; photography; nightlife; shopping nearby; Sunway City</t>
  </si>
  <si>
    <t>A large multi-park attraction in Bandar Sunway combining water rides, amusement rides, wildlife encounters, adventure activities, a scare attraction and an evening park. Its seven experiences and more than 90 rides and attractions cater to families, children and thrill-seekers, subject to individual height, age, weight and health restrictions.</t>
  </si>
  <si>
    <t>https://www.malaysia.travel/explore/sunway-lagoon ; https://sunwaylagoon.com/ ; https://sunwaylagoon.com/pricing/ ; https://sunwaylagoon.com/etickets/ ; https://sunwaylagoon.com/frequently-asked-questions/ ; https://sunwaylagoon.com/park-rules/ ; https://sunwaylagoon.com/how-to-get-here/ ; https://sunwaylagoon.com/quack-xpress/</t>
  </si>
  <si>
    <t>A028</t>
  </si>
  <si>
    <t>MC0314</t>
  </si>
  <si>
    <t>i-City Theme Park</t>
  </si>
  <si>
    <t>Shah Alam</t>
  </si>
  <si>
    <t>theme park; lights; family; children; night activity</t>
  </si>
  <si>
    <t>A mixed leisure and theme park complex in Shah Alam known for its digital light displays and water park.</t>
  </si>
  <si>
    <t>https://www.google.com/maps/search/?api=1&amp;query=i-City%20Theme%20Park%2C%20Selangor%2C%20Malaysia</t>
  </si>
  <si>
    <t>A121</t>
  </si>
  <si>
    <t>MC0315</t>
  </si>
  <si>
    <t>Sky Mirror Kuala Selangor</t>
  </si>
  <si>
    <t>Kuala Selangor</t>
  </si>
  <si>
    <t>sandbank; photography; boat trip; nature; scenery</t>
  </si>
  <si>
    <t>A tidal sandbank off Kuala Selangor that creates a mirror-like reflection at low tide, accessible by boat.</t>
  </si>
  <si>
    <t>https://www.google.com/maps/search/?api=1&amp;query=Sky%20Mirror%20Kuala%20Selangor%2C%20Selangor%2C%20Malaysia</t>
  </si>
  <si>
    <t>A122</t>
  </si>
  <si>
    <t>MC0316</t>
  </si>
  <si>
    <t>Kuala Selangor Nature Park</t>
  </si>
  <si>
    <t>mangrove; birdwatching; walking; wildlife; relaxation</t>
  </si>
  <si>
    <t>A mangrove nature reserve near Kuala Selangor known for silvered leaf monkeys, birdlife and nearby firefly viewing.</t>
  </si>
  <si>
    <t>https://www.google.com/maps/search/?api=1&amp;query=Kuala%20Selangor%20Nature%20Park%2C%20Selangor%2C%20Malaysia</t>
  </si>
  <si>
    <t>A123</t>
  </si>
  <si>
    <t>MC0317</t>
  </si>
  <si>
    <t>Sekinchan Paddy Fields</t>
  </si>
  <si>
    <t>Sekinchan</t>
  </si>
  <si>
    <t>paddy fields; scenery; photography; rural culture; relaxation</t>
  </si>
  <si>
    <t>Expansive rice paddy fields in Sekinchan, Selangor, a popular photography and agro-tourism destination.</t>
  </si>
  <si>
    <t>https://www.google.com/maps/search/?api=1&amp;query=Sekinchan%20Paddy%20Fields%2C%20Selangor%2C%20Malaysia</t>
  </si>
  <si>
    <t>A124</t>
  </si>
  <si>
    <t>MC0318</t>
  </si>
  <si>
    <t>Sultan Salahuddin Abdul Aziz Shah Mosque</t>
  </si>
  <si>
    <t>mosque; architecture; religion; photography; culture</t>
  </si>
  <si>
    <t>Selangor's state mosque in Shah Alam, one of the largest mosques in Southeast Asia, known for its large blue dome.</t>
  </si>
  <si>
    <t>https://www.google.com/maps/search/?api=1&amp;query=Sultan%20Salahuddin%20Abdul%20Aziz%20Shah%20Mosque%2C%20Selangor%2C%20Malaysia</t>
  </si>
  <si>
    <t>A125</t>
  </si>
  <si>
    <t>MC0319</t>
  </si>
  <si>
    <t>Farm in the City</t>
  </si>
  <si>
    <t>Seri Kembangan</t>
  </si>
  <si>
    <t>animals; farm; family; children; education</t>
  </si>
  <si>
    <t>A family-oriented agro-tourism park in Seri Kembangan, Selangor, with farm animals and interactive activities.</t>
  </si>
  <si>
    <t>https://www.google.com/maps/search/?api=1&amp;query=Farm%20in%20the%20City%2C%20Selangor%2C%20Malaysia</t>
  </si>
  <si>
    <t>A126</t>
  </si>
  <si>
    <t>MC0320</t>
  </si>
  <si>
    <t>National Botanical Garden Shah Alam</t>
  </si>
  <si>
    <t>garden; nature; walking; family; relaxation</t>
  </si>
  <si>
    <t>A large botanical garden in Shah Alam with themed plant sections and a canopy walk.</t>
  </si>
  <si>
    <t>https://www.google.com/maps/search/?api=1&amp;query=National%20Botanical%20Garden%20Shah%20Alam%2C%20Selangor%2C%20Malaysia</t>
  </si>
  <si>
    <t>A127</t>
  </si>
  <si>
    <t>MC0321</t>
  </si>
  <si>
    <t>Sultan Salahuddin Abdul Aziz Mosque</t>
  </si>
  <si>
    <t>blue mosque; architecture; landmark</t>
  </si>
  <si>
    <t>Selangor's state mosque in Shah Alam, notable for one of the largest domes in the world and its blue-and-white architecture.</t>
  </si>
  <si>
    <t>https://www.google.com/maps/search/?api=1&amp;query=Sultan%20Salahuddin%20Abdul%20Aziz%20Mosque%2C%20Selangor%2C%20Malaysia</t>
  </si>
  <si>
    <t>Selangor expansion batch</t>
  </si>
  <si>
    <t>MC0322</t>
  </si>
  <si>
    <t>Selangor State Museum</t>
  </si>
  <si>
    <t>state history; museum; culture</t>
  </si>
  <si>
    <t>A museum in Shah Alam, also known as Muzium Sultan Alam Shah, documenting Selangor's history and culture.</t>
  </si>
  <si>
    <t>https://www.google.com/maps/search/?api=1&amp;query=Selangor%20State%20Museum%2C%20Selangor%2C%20Malaysia</t>
  </si>
  <si>
    <t>MC0323</t>
  </si>
  <si>
    <t>National Botanic Gardens Shah Alam</t>
  </si>
  <si>
    <t>botanical garden; cycling; family</t>
  </si>
  <si>
    <t>A landscaped botanical garden in Shah Alam featuring themed gardens and a canopy walkway.</t>
  </si>
  <si>
    <t>https://www.google.com/maps/search/?api=1&amp;query=National%20Botanic%20Gardens%20Shah%20Alam%2C%20Selangor%2C%20Malaysia</t>
  </si>
  <si>
    <t>MC0324</t>
  </si>
  <si>
    <t>Raja Tun Uda Library</t>
  </si>
  <si>
    <t>library; family; architecture</t>
  </si>
  <si>
    <t>A public library and cultural landmark in Shah Alam known for its distinctive architecture.</t>
  </si>
  <si>
    <t>https://www.google.com/maps/search/?api=1&amp;query=Raja%20Tun%20Uda%20Library%2C%20Selangor%2C%20Malaysia</t>
  </si>
  <si>
    <t>MC0325</t>
  </si>
  <si>
    <t>Sultan Abdul Aziz Royal Gallery</t>
  </si>
  <si>
    <t>Klang</t>
  </si>
  <si>
    <t>A royal gallery in Klang showcasing Selangor's royal history and regalia.</t>
  </si>
  <si>
    <t>https://www.google.com/maps/search/?api=1&amp;query=Sultan%20Abdul%20Aziz%20Royal%20Gallery%2C%20Selangor%2C%20Malaysia</t>
  </si>
  <si>
    <t>MC0326</t>
  </si>
  <si>
    <t>Klang Heritage Walk</t>
  </si>
  <si>
    <t>heritage buildings; food; walking</t>
  </si>
  <si>
    <t>A heritage trail through Klang's historic royal town, passing colonial buildings and temples.</t>
  </si>
  <si>
    <t>https://www.google.com/maps/search/?api=1&amp;query=Klang%20Heritage%20Walk%2C%20Selangor%2C%20Malaysia</t>
  </si>
  <si>
    <t>MC0327</t>
  </si>
  <si>
    <t>Bukit Melawati</t>
  </si>
  <si>
    <t>fort; lighthouse; monkeys</t>
  </si>
  <si>
    <t>A historic hill in Kuala Selangor with a former fort, lighthouse and views over the river mouth.</t>
  </si>
  <si>
    <t>https://www.google.com/maps/search/?api=1&amp;query=Bukit%20Melawati%2C%20Selangor%2C%20Malaysia</t>
  </si>
  <si>
    <t>MC0328</t>
  </si>
  <si>
    <t>Kampung Kuantan Fireflies</t>
  </si>
  <si>
    <t>fireflies; river; night boat</t>
  </si>
  <si>
    <t>A riverside village near Kuala Selangor famous for synchronised firefly-watching boat rides.</t>
  </si>
  <si>
    <t>https://www.google.com/maps/search/?api=1&amp;query=Kampung%20Kuantan%20Fireflies%2C%20Selangor%2C%20Malaysia</t>
  </si>
  <si>
    <t>MC0329</t>
  </si>
  <si>
    <t>Pantai Redang Sekinchan</t>
  </si>
  <si>
    <t>beach; fishing village; sunset</t>
  </si>
  <si>
    <t>A coastal recreational beach area in Sekinchan, Selangor.</t>
  </si>
  <si>
    <t>https://www.google.com/maps/search/?api=1&amp;query=Pantai%20Redang%20Sekinchan%2C%20Selangor%2C%20Malaysia</t>
  </si>
  <si>
    <t>MC0330</t>
  </si>
  <si>
    <t>Sabak Bernam Museum</t>
  </si>
  <si>
    <t>Sabak Bernam</t>
  </si>
  <si>
    <t>agriculture; local history; museum</t>
  </si>
  <si>
    <t>A small district museum in Sabak Bernam, Selangor.</t>
  </si>
  <si>
    <t>https://www.google.com/maps/search/?api=1&amp;query=Sabak%20Bernam%20Museum%2C%20Selangor%2C%20Malaysia</t>
  </si>
  <si>
    <t>MC0331</t>
  </si>
  <si>
    <t>Kuala Kubu Bharu Heritage Town</t>
  </si>
  <si>
    <t>Hulu Selangor</t>
  </si>
  <si>
    <t>heritage town; murals; food</t>
  </si>
  <si>
    <t>A small historic town in Hulu Selangor known for its colonial-era shophouses and nearby waterfalls.</t>
  </si>
  <si>
    <t>https://www.google.com/maps/search/?api=1&amp;query=Kuala%20Kubu%20Bharu%20Heritage%20Town%2C%20Selangor%2C%20Malaysia</t>
  </si>
  <si>
    <t>MC0332</t>
  </si>
  <si>
    <t>Sungai Chiling Waterfall</t>
  </si>
  <si>
    <t>waterfall; hiking; river</t>
  </si>
  <si>
    <t>A popular waterfall and hiking trail in Hulu Selangor district.</t>
  </si>
  <si>
    <t>https://www.google.com/maps/search/?api=1&amp;query=Sungai%20Chiling%20Waterfall%2C%20Selangor%2C%20Malaysia</t>
  </si>
  <si>
    <t>MC0333</t>
  </si>
  <si>
    <t>Kanching Recreational Forest</t>
  </si>
  <si>
    <t>Rawang</t>
  </si>
  <si>
    <t>waterfall; forest; hiking</t>
  </si>
  <si>
    <t>A waterfall recreational forest in Rawang, Selangor, popular with hikers.</t>
  </si>
  <si>
    <t>https://www.google.com/maps/search/?api=1&amp;query=Kanching%20Recreational%20Forest%2C%20Selangor%2C%20Malaysia</t>
  </si>
  <si>
    <t>MC0334</t>
  </si>
  <si>
    <t>FRIM Forest Skywalk</t>
  </si>
  <si>
    <t>Gombak</t>
  </si>
  <si>
    <t>forest; canopy; education</t>
  </si>
  <si>
    <t>A canopy walkway within the Forest Research Institute Malaysia in Gombak, suspended above tropical rainforest.</t>
  </si>
  <si>
    <t>https://www.google.com/maps/search/?api=1&amp;query=FRIM%20Forest%20Skywalk%2C%20Selangor%2C%20Malaysia</t>
  </si>
  <si>
    <t>MC0335</t>
  </si>
  <si>
    <t>Taman Jaya</t>
  </si>
  <si>
    <t>Petaling Jaya</t>
  </si>
  <si>
    <t>urban park; lake; walking</t>
  </si>
  <si>
    <t>A lake park in Petaling Jaya popular for jogging and family outings.</t>
  </si>
  <si>
    <t>https://www.google.com/maps/search/?api=1&amp;query=Taman%20Jaya%2C%20Selangor%2C%20Malaysia</t>
  </si>
  <si>
    <t>MC0336</t>
  </si>
  <si>
    <t>Subang Ria Recreational Park</t>
  </si>
  <si>
    <t>Subang Jaya</t>
  </si>
  <si>
    <t>lake; park; family</t>
  </si>
  <si>
    <t>A recreational lake park in Subang Jaya with a mini water theme park.</t>
  </si>
  <si>
    <t>https://www.google.com/maps/search/?api=1&amp;query=Subang%20Ria%20Recreational%20Park%2C%20Selangor%2C%20Malaysia</t>
  </si>
  <si>
    <t>MC0337</t>
  </si>
  <si>
    <t>Sepang International Circuit</t>
  </si>
  <si>
    <t>Sepang</t>
  </si>
  <si>
    <t>motorsport; events; landmark</t>
  </si>
  <si>
    <t>A motorsport racing circuit in Sepang, Selangor, that has hosted major international races.</t>
  </si>
  <si>
    <t>https://www.google.com/maps/search/?api=1&amp;query=Sepang%20International%20Circuit%2C%20Selangor%2C%20Malaysia</t>
  </si>
  <si>
    <t>MC0338</t>
  </si>
  <si>
    <t>Bagan Lalang Beach</t>
  </si>
  <si>
    <t>beach; seafood; sunset</t>
  </si>
  <si>
    <t>A beach in Sepang district, Selangor, popular for kite-flying and water sports.</t>
  </si>
  <si>
    <t>https://www.google.com/maps/search/?api=1&amp;query=Bagan%20Lalang%20Beach%2C%20Selangor%2C%20Malaysia</t>
  </si>
  <si>
    <t>MC0339</t>
  </si>
  <si>
    <t>Mah Meri Cultural Village</t>
  </si>
  <si>
    <t>Banting</t>
  </si>
  <si>
    <t>indigenous culture; masks; crafts</t>
  </si>
  <si>
    <t>A cultural village in Banting, Selangor, showcasing the traditions and wood-carving craft of the Mah Meri indigenous community.</t>
  </si>
  <si>
    <t>https://www.google.com/maps/search/?api=1&amp;query=Mah%20Meri%20Cultural%20Village%2C%20Selangor%2C%20Malaysia</t>
  </si>
  <si>
    <t>MC0340</t>
  </si>
  <si>
    <t>Pulau Tenggol</t>
  </si>
  <si>
    <t>Terengganu</t>
  </si>
  <si>
    <t>Dungun / Kuala Dungun</t>
  </si>
  <si>
    <t>Island; marine park; South China Sea; scuba diving; snorkelling; wall diving; drift diving; wreck diving; coral reef; marine life; whale shark; blacktip reef shark; turtle; nudibranch; batfish; underwater photography; strong currents; beach; rocky cliffs; boat trip; day trip; resort; nature; adventure; conservation</t>
  </si>
  <si>
    <t>A small, comparatively secluded marine-park island off Kuala Dungun, renowned for clear water, coral gardens, steep underwater walls, wrecks and diverse marine life. Its strong currents and numerous dive sites make it especially attractive to experienced scuba divers, while sheltered areas also support snorkelling.</t>
  </si>
  <si>
    <t>https://www.malaysia.travel/explore/pulau-tenggol-terengganu-a-thalassophile-s-heaven ; https://mpd.gov.my/index.php/en/visitors/places-of-interest/pulau-tenggol ; https://ebrochures.malaysia.travel/en/islands-and-beaches/islands-of-terengganu/ ; https://ebrochures.malaysia.travel/en/dive-in-paradise/pulau-tenggol/ ; https://www.malaysia.travel/explore/5-most-beautiful-islands-to-discover-in-terengganu ; https://www.dof.gov.my/en/services/marine-park-resource-management/marine-park-management/ ; https://www.dof.gov.my/en/services/marine-park-resource-management/conservation-charge-fee-rates/ ; https://mygeoname.mygeoportal.gov.my/exportpdf00.jsp?kodnegeri=11 ; https://www.tenggol.com.my/go-diving/</t>
  </si>
  <si>
    <t>https://ebrochures.malaysia.travel/en/malaysia-travel-guide/terengganu/</t>
  </si>
  <si>
    <t>A025</t>
  </si>
  <si>
    <t>MC0341</t>
  </si>
  <si>
    <t>Chemerong Forest Reserve</t>
  </si>
  <si>
    <t>Dungun / Hulu Dungun</t>
  </si>
  <si>
    <t>Forest reserve; forest eco park; Pasir Raja Forest Reserve; Chemerong Waterfall; CBL trail; Chemerong-Berembun-Langsir; Mount Berembun; Langsir Waterfall; hill dipterocarp forest; jungle trekking; hiking; camping; waterfall; river; swimming; Jeram Lesung Pool; giant Chengal tree; nature; adventure; photography; guided hike; multi-day expedition</t>
  </si>
  <si>
    <t>A hill-dipterocarp recreation forest in Hulu Dungun centred on Chemerong Waterfall and the demanding Chemerong-Berembun-Langsir hiking circuit. Casual visitors can use the recreation area, while experienced hikers undertake guided waterfall, mountain and multi-day camping routes through the reserve.</t>
  </si>
  <si>
    <t>https://www.malaysia.travel/explore/chemerong-forest-reserve ; https://trgforestry.terengganu.gov.my/index.php?option=com_content&amp;view=article&amp;id=83&amp;Itemid=339&amp;lang=en ; https://www.forestry.gov.my/my/terengganu/taman-eko-rimba-chemerong ; https://www.forestry.gov.my/index.php/my/perkhidmatan/info-perhutanan/hutan-lipur-hutan-taman-negeri ; https://ebrochures.malaysia.travel/en/malaysia-travel-guide/terengganu/ ; https://ebrochures.malaysia.travel/en/adventure-with-nature/jungle-trekking/</t>
  </si>
  <si>
    <t>A026</t>
  </si>
  <si>
    <t>MC0342</t>
  </si>
  <si>
    <t>Redang Island</t>
  </si>
  <si>
    <t>Kuala Nerus</t>
  </si>
  <si>
    <t>island; beach; snorkelling; diving; relaxation</t>
  </si>
  <si>
    <t>An island off Kuala Nerus, Terengganu, known for its clear turquoise waters and coral reefs, popular for diving and snorkelling.</t>
  </si>
  <si>
    <t>https://www.google.com/maps/search/?api=1&amp;query=Redang%20Island%2C%20Terengganu%2C%20Malaysia</t>
  </si>
  <si>
    <t>A128</t>
  </si>
  <si>
    <t>MC0343</t>
  </si>
  <si>
    <t>Perhentian Islands</t>
  </si>
  <si>
    <t>Besut</t>
  </si>
  <si>
    <t>A pair of islands off Besut, Terengganu, renowned for coral reefs, turtles and backpacker-friendly beaches.</t>
  </si>
  <si>
    <t>https://www.google.com/maps/search/?api=1&amp;query=Perhentian%20Islands%2C%20Terengganu%2C%20Malaysia</t>
  </si>
  <si>
    <t>A129</t>
  </si>
  <si>
    <t>MC0344</t>
  </si>
  <si>
    <t>Islamic Civilisation Park</t>
  </si>
  <si>
    <t>Kuala Terengganu</t>
  </si>
  <si>
    <t>Islamic architecture; monuments; family; culture; education</t>
  </si>
  <si>
    <t>A park in Kuala Terengganu featuring scale replicas of famous Islamic monuments from around the world.</t>
  </si>
  <si>
    <t>https://www.google.com/maps/search/?api=1&amp;query=Islamic%20Civilisation%20Park%2C%20Terengganu%2C%20Malaysia</t>
  </si>
  <si>
    <t>A130</t>
  </si>
  <si>
    <t>MC0345</t>
  </si>
  <si>
    <t>Terengganu State Museum</t>
  </si>
  <si>
    <t>museum; culture; heritage; history; indoor</t>
  </si>
  <si>
    <t>One of the largest museums in Southeast Asia, in Kuala Terengganu, covering the state's maritime and Islamic heritage.</t>
  </si>
  <si>
    <t>https://www.google.com/maps/search/?api=1&amp;query=Terengganu%20State%20Museum%2C%20Terengganu%2C%20Malaysia</t>
  </si>
  <si>
    <t>A131</t>
  </si>
  <si>
    <t>MC0346</t>
  </si>
  <si>
    <t>Crystal Mosque</t>
  </si>
  <si>
    <t>mosque; architecture; religion; photography; waterfront</t>
  </si>
  <si>
    <t>A striking glass-and-steel mosque in Kuala Terengganu, illuminated at night and set on Wan Man Island.</t>
  </si>
  <si>
    <t>https://www.google.com/maps/search/?api=1&amp;query=Crystal%20Mosque%2C%20Terengganu%2C%20Malaysia</t>
  </si>
  <si>
    <t>A132</t>
  </si>
  <si>
    <t>MC0347</t>
  </si>
  <si>
    <t>Kenyir Lake</t>
  </si>
  <si>
    <t>Hulu Terengganu</t>
  </si>
  <si>
    <t>lake; boat trip; fishing; nature; relaxation; adventure</t>
  </si>
  <si>
    <t>Malaysia's largest man-made lake, in Hulu Terengganu, surrounded by rainforest and popular for fishing and eco-tourism.</t>
  </si>
  <si>
    <t>https://www.google.com/maps/search/?api=1&amp;query=Kenyir%20Lake%2C%20Terengganu%2C%20Malaysia</t>
  </si>
  <si>
    <t>A133</t>
  </si>
  <si>
    <t>MC0348</t>
  </si>
  <si>
    <t>Rantau Abang Turtle Information Centre</t>
  </si>
  <si>
    <t>Dungun</t>
  </si>
  <si>
    <t>turtles; conservation; education; wildlife; family</t>
  </si>
  <si>
    <t>A conservation and education centre in Dungun, Terengganu, dedicated to sea turtle protection.</t>
  </si>
  <si>
    <t>https://www.google.com/maps/search/?api=1&amp;query=Rantau%20Abang%20Turtle%20Information%20Centre%2C%20Terengganu%2C%20Malaysia</t>
  </si>
  <si>
    <t>A134</t>
  </si>
  <si>
    <t>MC0349</t>
  </si>
  <si>
    <t>Kampung Cina Kuala Terengganu</t>
  </si>
  <si>
    <t>heritage; culture; food; architecture; walking</t>
  </si>
  <si>
    <t>Kuala Terengganu's historic Chinatown, known for its riverside shophouses and temples.</t>
  </si>
  <si>
    <t>https://www.google.com/maps/search/?api=1&amp;query=Kampung%20Cina%20Kuala%20Terengganu%2C%20Terengganu%2C%20Malaysia</t>
  </si>
  <si>
    <t>A135</t>
  </si>
  <si>
    <t>MC0350</t>
  </si>
  <si>
    <t>Pasar Payang</t>
  </si>
  <si>
    <t>market; batik; local food</t>
  </si>
  <si>
    <t>Kuala Terengganu's main market, known for local textiles like batik and songket, plus fresh produce and seafood.</t>
  </si>
  <si>
    <t>https://www.google.com/maps/search/?api=1&amp;query=Pasar%20Payang%2C%20Terengganu%2C%20Malaysia</t>
  </si>
  <si>
    <t>Terengganu expansion batch</t>
  </si>
  <si>
    <t>MC0351</t>
  </si>
  <si>
    <t>Kampung Cina</t>
  </si>
  <si>
    <t>heritage street; murals; food</t>
  </si>
  <si>
    <t>The historic Chinatown quarter of Kuala Terengganu along the waterfront.</t>
  </si>
  <si>
    <t>https://www.google.com/maps/search/?api=1&amp;query=Kampung%20Cina%2C%20Terengganu%2C%20Malaysia</t>
  </si>
  <si>
    <t>MC0352</t>
  </si>
  <si>
    <t>Pulau Duyong</t>
  </si>
  <si>
    <t>boatbuilding; village; river</t>
  </si>
  <si>
    <t>A river island in Kuala Terengganu traditionally known for wooden boat-building craftsmanship.</t>
  </si>
  <si>
    <t>https://www.google.com/maps/search/?api=1&amp;query=Pulau%20Duyong%2C%20Terengganu%2C%20Malaysia</t>
  </si>
  <si>
    <t>MC0353</t>
  </si>
  <si>
    <t>Tengku Tengah Zaharah Mosque</t>
  </si>
  <si>
    <t>floating mosque; architecture; lagoon</t>
  </si>
  <si>
    <t>A mosque in Kuala Nerus, Terengganu, built to appear as if floating on the Terengganu River lagoon.</t>
  </si>
  <si>
    <t>https://www.google.com/maps/search/?api=1&amp;query=Tengku%20Tengah%20Zaharah%20Mosque%2C%20Terengganu%2C%20Malaysia</t>
  </si>
  <si>
    <t>MC0354</t>
  </si>
  <si>
    <t>Setiu Wetlands</t>
  </si>
  <si>
    <t>Setiu</t>
  </si>
  <si>
    <t>wetland; mangrove; wildlife</t>
  </si>
  <si>
    <t>An ecologically rich wetland area in Setiu district, Terengganu, known for its diverse birdlife and lagoon system.</t>
  </si>
  <si>
    <t>https://www.google.com/maps/search/?api=1&amp;query=Setiu%20Wetlands%2C%20Terengganu%2C%20Malaysia</t>
  </si>
  <si>
    <t>MC0355</t>
  </si>
  <si>
    <t>Penarik Beach</t>
  </si>
  <si>
    <t>beach; fishing village; seafood</t>
  </si>
  <si>
    <t>A quiet beach in Setiu district, Terengganu, known for its casuarina trees.</t>
  </si>
  <si>
    <t>https://www.google.com/maps/search/?api=1&amp;query=Penarik%20Beach%2C%20Terengganu%2C%20Malaysia</t>
  </si>
  <si>
    <t>MC0356</t>
  </si>
  <si>
    <t>Lang Tengah Island</t>
  </si>
  <si>
    <t>A small island off Setiu district, Terengganu, known for pristine reefs and boutique island resorts.</t>
  </si>
  <si>
    <t>https://www.google.com/maps/search/?api=1&amp;query=Lang%20Tengah%20Island%2C%20Terengganu%2C%20Malaysia</t>
  </si>
  <si>
    <t>MC0357</t>
  </si>
  <si>
    <t>Perhentian Besar Island</t>
  </si>
  <si>
    <t>island; snorkelling; beach</t>
  </si>
  <si>
    <t>The larger of the two Perhentian Islands, known for family-friendly beaches and resorts.</t>
  </si>
  <si>
    <t>https://www.google.com/maps/search/?api=1&amp;query=Perhentian%20Besar%20Island%2C%20Terengganu%2C%20Malaysia</t>
  </si>
  <si>
    <t>MC0358</t>
  </si>
  <si>
    <t>Perhentian Kecil Island</t>
  </si>
  <si>
    <t>island; diving; village</t>
  </si>
  <si>
    <t>The smaller Perhentian Island, popular with backpackers for its budget accommodation and nightlife.</t>
  </si>
  <si>
    <t>https://www.google.com/maps/search/?api=1&amp;query=Perhentian%20Kecil%20Island%2C%20Terengganu%2C%20Malaysia</t>
  </si>
  <si>
    <t>MC0359</t>
  </si>
  <si>
    <t>Lata Tembakah Waterfall</t>
  </si>
  <si>
    <t>A waterfall recreational spot in Besut district, Terengganu.</t>
  </si>
  <si>
    <t>https://www.google.com/maps/search/?api=1&amp;query=Lata%20Tembakah%20Waterfall%2C%20Terengganu%2C%20Malaysia</t>
  </si>
  <si>
    <t>MC0360</t>
  </si>
  <si>
    <t>Kapas Island</t>
  </si>
  <si>
    <t>Marang</t>
  </si>
  <si>
    <t>A small island off Marang, Terengganu, known for clear water and turtle sightings.</t>
  </si>
  <si>
    <t>https://www.google.com/maps/search/?api=1&amp;query=Kapas%20Island%2C%20Terengganu%2C%20Malaysia</t>
  </si>
  <si>
    <t>MC0361</t>
  </si>
  <si>
    <t>Kelulut Beach</t>
  </si>
  <si>
    <t>beach; coast; recreation</t>
  </si>
  <si>
    <t>A beach in Marang district, Terengganu.</t>
  </si>
  <si>
    <t>https://www.google.com/maps/search/?api=1&amp;query=Kelulut%20Beach%2C%20Terengganu%2C%20Malaysia</t>
  </si>
  <si>
    <t>MC0362</t>
  </si>
  <si>
    <t>Tenggol Island</t>
  </si>
  <si>
    <t>island; diving; marine life</t>
  </si>
  <si>
    <t>An island off Dungun, Terengganu, popular for diving with soft corals and marine life.</t>
  </si>
  <si>
    <t>https://www.google.com/maps/search/?api=1&amp;query=Tenggol%20Island%2C%20Terengganu%2C%20Malaysia</t>
  </si>
  <si>
    <t>MC0363</t>
  </si>
  <si>
    <t>Chemerong Waterfall</t>
  </si>
  <si>
    <t>waterfall; trekking; rainforest</t>
  </si>
  <si>
    <t>A tall waterfall in Dungun district, Terengganu, among the tallest in the Peninsula, popular with hikers.</t>
  </si>
  <si>
    <t>https://www.google.com/maps/search/?api=1&amp;query=Chemerong%20Waterfall%2C%20Terengganu%2C%20Malaysia</t>
  </si>
  <si>
    <t>MC0364</t>
  </si>
  <si>
    <t>Bukit Besi Museum</t>
  </si>
  <si>
    <t>mining history; museum; town</t>
  </si>
  <si>
    <t>A museum in Dungun, Terengganu, documenting the area's former iron-ore mining town history.</t>
  </si>
  <si>
    <t>https://www.google.com/maps/search/?api=1&amp;query=Bukit%20Besi%20Museum%2C%20Terengganu%2C%20Malaysia</t>
  </si>
  <si>
    <t>MC0365</t>
  </si>
  <si>
    <t>Kemasik Beach</t>
  </si>
  <si>
    <t>Kemaman</t>
  </si>
  <si>
    <t>beach; rock formation; coast</t>
  </si>
  <si>
    <t>A beach in Kemaman district, Terengganu, known for its unique rock formations.</t>
  </si>
  <si>
    <t>https://www.google.com/maps/search/?api=1&amp;query=Kemasik%20Beach%2C%20Terengganu%2C%20Malaysia</t>
  </si>
  <si>
    <t>MC0366</t>
  </si>
  <si>
    <t>Yak Yah Firefly Sanctuary</t>
  </si>
  <si>
    <t>A firefly-watching river site in Kemaman district, Terengganu.</t>
  </si>
  <si>
    <t>https://www.google.com/maps/search/?api=1&amp;query=Yak%20Yah%20Firefly%20Sanctuary%2C%20Terengganu%2C%20Malaysia</t>
  </si>
  <si>
    <t>MC0367</t>
  </si>
  <si>
    <t>Lake Kenyir</t>
  </si>
  <si>
    <t>lake; islands; rainforest</t>
  </si>
  <si>
    <t>Malaysia's largest man-made lake, in Hulu Terengganu, offering houseboats, waterfalls and jungle trekking.</t>
  </si>
  <si>
    <t>https://www.google.com/maps/search/?api=1&amp;query=Lake%20Kenyir%2C%20Terengganu%2C%20Malaysia</t>
  </si>
  <si>
    <t>MC0368</t>
  </si>
  <si>
    <t>Kenyir Elephant Conservation Village</t>
  </si>
  <si>
    <t>elephants; conservation; forest</t>
  </si>
  <si>
    <t>An elephant conservation site near Kenyir Lake in Hulu Terengganu district.</t>
  </si>
  <si>
    <t>https://www.google.com/maps/search/?api=1&amp;query=Kenyir%20Elephant%20Conservation%20Village%2C%20Terengganu%2C%20Malaysia</t>
  </si>
  <si>
    <t>MC0369</t>
  </si>
  <si>
    <t>Sekayu Recreational Forest</t>
  </si>
  <si>
    <t>A waterfall recreational forest in Hulu Terengganu district, Terengganu.</t>
  </si>
  <si>
    <t>https://www.google.com/maps/search/?api=1&amp;query=Sekayu%20Recreational%20Forest%2C%20Terengganu%2C%20Malaysia</t>
  </si>
  <si>
    <t>MC0370</t>
  </si>
  <si>
    <t>Kelah Sanctuary</t>
  </si>
  <si>
    <t>fish sanctuary; river; rainforest</t>
  </si>
  <si>
    <t>A river sanctuary for Malaysian mahseer (kelah) fish in Hulu Terengganu district.</t>
  </si>
  <si>
    <t>https://www.google.com/maps/search/?api=1&amp;query=Kelah%20Sanctuary%2C%20Terengganu%2C%20Malaysia</t>
  </si>
  <si>
    <t>MC0371</t>
  </si>
  <si>
    <t>Rantau Abang Turtle Beach</t>
  </si>
  <si>
    <t>Rantau Abang</t>
  </si>
  <si>
    <t>turtles; beach; conservation</t>
  </si>
  <si>
    <t>A beach in Rantau Abang, Terengganu, historically known as a major leatherback turtle nesting site.</t>
  </si>
  <si>
    <t>https://www.google.com/maps/search/?api=1&amp;query=Rantau%20Abang%20Turtle%20Beach%2C%20Terengganu%2C%20Malaysia</t>
  </si>
  <si>
    <t>MC0372</t>
  </si>
  <si>
    <t>KL Bird Park</t>
  </si>
  <si>
    <t>W.P. Kuala Lumpur</t>
  </si>
  <si>
    <t>Perdana Botanical Gardens / Tasik Perdana</t>
  </si>
  <si>
    <t>Bird park; aviary; free-flight aviary; wildlife; birds; birdwatching; ecotourism; family attraction; education; conservation; photography; bird show; bird feeding; hornbill; flamingo; parrot; macaw; eagle; ostrich; Birds of Paradise; Rhinoceros Hornbill; landscaped park; nature; outdoor walking; Kuala Lumpur Lake Gardens</t>
  </si>
  <si>
    <t>A 20.9-acre bird park beside Perdana Botanical Gardens, housing about 3,000 local and international birds from more than 200 species. Its four zones combine large free-flight walk-in aviaries with hornbills, parrots, flightless birds, feeding sessions, educational displays and scheduled bird shows.</t>
  </si>
  <si>
    <t>https://www.malaysia.travel/explore/kl-bird-park ; https://www.klbirdpark.com/ ; https://www.klbirdpark.com/plan-your-visit/ ; https://www.klbirdpark.com/contacts/ ; https://www.malaysia.travel/storage/files/pdf/2026-Malaysia-Surreal-Experience.pdf ; https://ebrochures.malaysia.travel/en/malaysia-travel-guide/kuala-lumpur/ ; https://www.findlatitudeandlongitude.com/l/Kuala%2BLumpur%2BBird%2BPark%252C%2B920%252C%2BJalan%2BCenderawasih%252C%2BPerdana%2BBotanical%2BGardens%252C%2BKuala%2BLumpur%252C%2BKuala%2BLumpur%252C%2BMalaysia%252C%2B50480/6564055/</t>
  </si>
  <si>
    <t>https://ebrochures.malaysia.travel/en/malaysia-travel-guide/kuala-lumpur/</t>
  </si>
  <si>
    <t>A027</t>
  </si>
  <si>
    <t>MC0373</t>
  </si>
  <si>
    <t>Petronas Twin Towers</t>
  </si>
  <si>
    <t>Kuala Lumpur City Centre</t>
  </si>
  <si>
    <t>architecture; city view; shopping; photography; landmark</t>
  </si>
  <si>
    <t>An 88-storey twin skyscraper in KLCC, once the world's tallest buildings, with a Skybridge and observation deck.</t>
  </si>
  <si>
    <t>https://www.google.com/maps/search/?api=1&amp;query=Petronas%20Twin%20Towers%2C%20Kuala%20Lumpur%2C%20Malaysia</t>
  </si>
  <si>
    <t>A136</t>
  </si>
  <si>
    <t>MC0374</t>
  </si>
  <si>
    <t>KLCC Park</t>
  </si>
  <si>
    <t>urban park; walking; relaxation; family; scenery</t>
  </si>
  <si>
    <t>A landscaped park at the foot of the Petronas Twin Towers, featuring the Lake Symphony fountain show and a wading pool.</t>
  </si>
  <si>
    <t>https://www.google.com/maps/search/?api=1&amp;query=KLCC%20Park%2C%20Kuala%20Lumpur%2C%20Malaysia</t>
  </si>
  <si>
    <t>A137</t>
  </si>
  <si>
    <t>MC0375</t>
  </si>
  <si>
    <t>Aquaria KLCC</t>
  </si>
  <si>
    <t>An aquarium beneath the Kuala Lumpur Convention Centre showcasing marine and freshwater species via a walk-through tunnel.</t>
  </si>
  <si>
    <t>https://www.google.com/maps/search/?api=1&amp;query=Aquaria%20KLCC%2C%20Kuala%20Lumpur%2C%20Malaysia</t>
  </si>
  <si>
    <t>A138</t>
  </si>
  <si>
    <t>MC0376</t>
  </si>
  <si>
    <t>Central Market Kuala Lumpur</t>
  </si>
  <si>
    <t>City Centre</t>
  </si>
  <si>
    <t>market; handicrafts; shopping; culture; local food</t>
  </si>
  <si>
    <t>A historic Art Deco market building in downtown Kuala Lumpur, now a hub for arts, crafts and cultural souvenirs.</t>
  </si>
  <si>
    <t>https://www.google.com/maps/search/?api=1&amp;query=Central%20Market%20Kuala%20Lumpur%2C%20Kuala%20Lumpur%2C%20Malaysia</t>
  </si>
  <si>
    <t>A139</t>
  </si>
  <si>
    <t>MC0377</t>
  </si>
  <si>
    <t>Perdana Botanical Gardens</t>
  </si>
  <si>
    <t>Lake Gardens</t>
  </si>
  <si>
    <t>garden; walking; relaxation; nature; family</t>
  </si>
  <si>
    <t>Kuala Lumpur's main public garden, formerly the Lake Gardens, featuring landscaped grounds, a lake and a deer park.</t>
  </si>
  <si>
    <t>https://www.google.com/maps/search/?api=1&amp;query=Perdana%20Botanical%20Gardens%2C%20Kuala%20Lumpur%2C%20Malaysia</t>
  </si>
  <si>
    <t>A140</t>
  </si>
  <si>
    <t>MC0378</t>
  </si>
  <si>
    <t>Islamic Arts Museum Malaysia</t>
  </si>
  <si>
    <t>museum; Islamic art; culture; architecture; indoor</t>
  </si>
  <si>
    <t>A museum in the Lake Gardens area of Kuala Lumpur with one of the region's most comprehensive collections of Islamic decorative arts.</t>
  </si>
  <si>
    <t>https://www.google.com/maps/search/?api=1&amp;query=Islamic%20Arts%20Museum%20Malaysia%2C%20Kuala%20Lumpur%2C%20Malaysia</t>
  </si>
  <si>
    <t>A141</t>
  </si>
  <si>
    <t>MC0379</t>
  </si>
  <si>
    <t>National Museum of Malaysia</t>
  </si>
  <si>
    <t>Brickfields</t>
  </si>
  <si>
    <t>museum; Malaysian history; culture; heritage; indoor</t>
  </si>
  <si>
    <t>Kuala Lumpur's main national museum, covering Malaysian history, culture and natural heritage in Minangkabau-inspired architecture.</t>
  </si>
  <si>
    <t>https://www.google.com/maps/search/?api=1&amp;query=National%20Museum%20of%20Malaysia%2C%20Kuala%20Lumpur%2C%20Malaysia</t>
  </si>
  <si>
    <t>A142</t>
  </si>
  <si>
    <t>MC0380</t>
  </si>
  <si>
    <t>Thean Hou Temple</t>
  </si>
  <si>
    <t>Seputeh</t>
  </si>
  <si>
    <t>temple; architecture; culture; religion; photography</t>
  </si>
  <si>
    <t>A large, colourful Chinese temple in Seputeh, Kuala Lumpur, built on a hilltop and popular for its city views and Chinese New Year decorations.</t>
  </si>
  <si>
    <t>https://www.google.com/maps/search/?api=1&amp;query=Thean%20Hou%20Temple%2C%20Kuala%20Lumpur%2C%20Malaysia</t>
  </si>
  <si>
    <t>A143</t>
  </si>
  <si>
    <t>MC0381</t>
  </si>
  <si>
    <t>Jalan Alor</t>
  </si>
  <si>
    <t>Bukit Bintang</t>
  </si>
  <si>
    <t>street food; local food; night activity; culture; walking</t>
  </si>
  <si>
    <t>A famous street food strip in Bukit Bintang, Kuala Lumpur, lined with hawker stalls and open-air restaurants.</t>
  </si>
  <si>
    <t>https://www.google.com/maps/search/?api=1&amp;query=Jalan%20Alor%2C%20Kuala%20Lumpur%2C%20Malaysia</t>
  </si>
  <si>
    <t>A144</t>
  </si>
  <si>
    <t>MC0382</t>
  </si>
  <si>
    <t>Pavilion Kuala Lumpur</t>
  </si>
  <si>
    <t>shopping; dining; city</t>
  </si>
  <si>
    <t>A major upscale shopping mall in Bukit Bintang, Kuala Lumpur.</t>
  </si>
  <si>
    <t>https://www.google.com/maps/search/?api=1&amp;query=Pavilion%20Kuala%20Lumpur%2C%20Kuala%20Lumpur%2C%20Malaysia</t>
  </si>
  <si>
    <t>Kuala Lumpur expansion batch</t>
  </si>
  <si>
    <t>MC0383</t>
  </si>
  <si>
    <t>Petaling Street</t>
  </si>
  <si>
    <t>Chinatown</t>
  </si>
  <si>
    <t>market; heritage; food</t>
  </si>
  <si>
    <t>The heart of Kuala Lumpur's Chinatown, known for its bustling market lane and street food.</t>
  </si>
  <si>
    <t>https://www.google.com/maps/search/?api=1&amp;query=Petaling%20Street%2C%20Kuala%20Lumpur%2C%20Malaysia</t>
  </si>
  <si>
    <t>MC0384</t>
  </si>
  <si>
    <t>Central Market</t>
  </si>
  <si>
    <t>crafts; heritage; souvenirs</t>
  </si>
  <si>
    <t>A historic Art Deco heritage crafts market near Kuala Lumpur's Chinatown.</t>
  </si>
  <si>
    <t>https://www.google.com/maps/search/?api=1&amp;query=Central%20Market%2C%20Kuala%20Lumpur%2C%20Malaysia</t>
  </si>
  <si>
    <t>MC0385</t>
  </si>
  <si>
    <t>Kwai Chai Hong</t>
  </si>
  <si>
    <t>laneway; murals; heritage</t>
  </si>
  <si>
    <t>A restored heritage back-alley in Kuala Lumpur's Chinatown known for its murals and retro-themed shops.</t>
  </si>
  <si>
    <t>https://www.google.com/maps/search/?api=1&amp;query=Kwai%20Chai%20Hong%2C%20Kuala%20Lumpur%2C%20Malaysia</t>
  </si>
  <si>
    <t>MC0386</t>
  </si>
  <si>
    <t>Sultan Abdul Samad Building</t>
  </si>
  <si>
    <t>Merdeka Square</t>
  </si>
  <si>
    <t>colonial architecture; landmark; history</t>
  </si>
  <si>
    <t>An iconic colonial-era building with a clock tower facing Merdeka Square, formerly housing British administrative offices.</t>
  </si>
  <si>
    <t>https://www.google.com/maps/search/?api=1&amp;query=Sultan%20Abdul%20Samad%20Building%2C%20Kuala%20Lumpur%2C%20Malaysia</t>
  </si>
  <si>
    <t>MC0387</t>
  </si>
  <si>
    <t>Kuala Lumpur City Gallery</t>
  </si>
  <si>
    <t>city history; models; gallery</t>
  </si>
  <si>
    <t>An exhibition centre at Merdeka Square showcasing Kuala Lumpur's urban development and history, with a large city model.</t>
  </si>
  <si>
    <t>https://www.google.com/maps/search/?api=1&amp;query=Kuala%20Lumpur%20City%20Gallery%2C%20Kuala%20Lumpur%2C%20Malaysia</t>
  </si>
  <si>
    <t>MC0388</t>
  </si>
  <si>
    <t>Kuala Lumpur Bird Park</t>
  </si>
  <si>
    <t>birds; aviary; family</t>
  </si>
  <si>
    <t>One of the world's largest free-flight walk-in aviaries, located in Kuala Lumpur's Lake Gardens.</t>
  </si>
  <si>
    <t>https://www.google.com/maps/search/?api=1&amp;query=Kuala%20Lumpur%20Bird%20Park%2C%20Kuala%20Lumpur%2C%20Malaysia</t>
  </si>
  <si>
    <t>MC0389</t>
  </si>
  <si>
    <t>Little India Brickfields</t>
  </si>
  <si>
    <t>food; shopping; neighbourhood</t>
  </si>
  <si>
    <t>A cultural enclave in Brickfields, Kuala Lumpur, known for Indian eateries, textile shops and temples.</t>
  </si>
  <si>
    <t>https://www.google.com/maps/search/?api=1&amp;query=Little%20India%20Brickfields%2C%20Kuala%20Lumpur%2C%20Malaysia</t>
  </si>
  <si>
    <t>MC0390</t>
  </si>
  <si>
    <t>Kampung Baru Food Trail</t>
  </si>
  <si>
    <t>Kampung Baru</t>
  </si>
  <si>
    <t>Malay food; village; city</t>
  </si>
  <si>
    <t>A Malay heritage enclave near KLCC known for traditional food stalls and old wooden houses amid the modern skyline.</t>
  </si>
  <si>
    <t>https://www.google.com/maps/search/?api=1&amp;query=Kampung%20Baru%20Food%20Trail%2C%20Kuala%20Lumpur%2C%20Malaysia</t>
  </si>
  <si>
    <t>MC0391</t>
  </si>
  <si>
    <t>Sentul Depot</t>
  </si>
  <si>
    <t>Sentul</t>
  </si>
  <si>
    <t>industrial heritage; arts; events</t>
  </si>
  <si>
    <t>A former railway depot in Sentul, Kuala Lumpur, redeveloped into an arts and performance space.</t>
  </si>
  <si>
    <t>https://www.google.com/maps/search/?api=1&amp;query=Sentul%20Depot%2C%20Kuala%20Lumpur%2C%20Malaysia</t>
  </si>
  <si>
    <t>MC0392</t>
  </si>
  <si>
    <t>Titiwangsa Lake Gardens</t>
  </si>
  <si>
    <t>Titiwangsa</t>
  </si>
  <si>
    <t>lake; skyline; family</t>
  </si>
  <si>
    <t>A lake park in Titiwangsa, Kuala Lumpur, popular for paddle boating and skyline views of the city.</t>
  </si>
  <si>
    <t>https://www.google.com/maps/search/?api=1&amp;query=Titiwangsa%20Lake%20Gardens%2C%20Kuala%20Lumpur%2C%20Malaysia</t>
  </si>
  <si>
    <t>MC0393</t>
  </si>
  <si>
    <t>Royal Selangor Visitor Centre</t>
  </si>
  <si>
    <t>Setapak</t>
  </si>
  <si>
    <t>pewter; factory tour; crafts</t>
  </si>
  <si>
    <t>A pewter-making visitor centre and factory tour by Royal Selangor in Setapak, Kuala Lumpur.</t>
  </si>
  <si>
    <t>https://www.google.com/maps/search/?api=1&amp;query=Royal%20Selangor%20Visitor%20Centre%2C%20Kuala%20Lumpur%2C%20Malaysia</t>
  </si>
  <si>
    <t>MC0394</t>
  </si>
  <si>
    <t>Taman Tasik Permaisuri</t>
  </si>
  <si>
    <t>Cheras</t>
  </si>
  <si>
    <t>lake park; walking; family</t>
  </si>
  <si>
    <t>A lake park in Cheras, Kuala Lumpur, popular for jogging and family outings.</t>
  </si>
  <si>
    <t>https://www.google.com/maps/search/?api=1&amp;query=Taman%20Tasik%20Permaisuri%2C%20Kuala%20Lumpur%2C%20Malaysia</t>
  </si>
  <si>
    <t>MC0395</t>
  </si>
  <si>
    <t>Bukit Kembara Trail</t>
  </si>
  <si>
    <t>Ampang</t>
  </si>
  <si>
    <t>hiking; reservoir; forest</t>
  </si>
  <si>
    <t>A hiking trail in the Ampang forest reserve area of Kuala Lumpur.</t>
  </si>
  <si>
    <t>https://www.google.com/maps/search/?api=1&amp;query=Bukit%20Kembara%20Trail%2C%20Kuala%20Lumpur%2C%20Malaysia</t>
  </si>
  <si>
    <t>MC0396</t>
  </si>
  <si>
    <t>Saujana Hijau Park</t>
  </si>
  <si>
    <t>W.P. Putrajaya</t>
  </si>
  <si>
    <t>Presint 11 / Putrajaya</t>
  </si>
  <si>
    <t>Urban park; landscaped garden; conifer garden; highland landscape; gymnosperms; pine trees; juniper; thuja; cycads; European Garden; Oriental Garden; English Garden; three hills; jogging; brisk walking; cycling; picnic; playground; viewpoints; photography; wedding photography; OOTD; botanical education; research; guided visit; family recreation; wheelchair-friendly; gazebos; lawns; nature; relaxation</t>
  </si>
  <si>
    <t>A 117-acre landscaped park in Putrajaya's Precinct 11, spread across three hills and known for conifers and other gymnosperms. Its English, Oriental and European themed gardens, broad paths, lawns, gazebos and viewpoints support jogging, walking, cycling, picnics, photography and nature education.</t>
  </si>
  <si>
    <t>https://www.malaysia.travel/explore/saujana-hijau-park ; https://www.ppj.gov.my/en/second-menu/taman-saujana-hijau ; https://www.ppj.gov.my/en/second-page/latar-belakang-taman ; https://www.ppj.gov.my/second-page/perkhidmatan-aktiviti-rekreasi-5 ; https://www.ppj.gov.my/second-page/fasiliti-5 ; https://www.ppj.gov.my/second-page/waktu-operasi-taman-3 ; https://taman.ppj.gov.my/ ; https://mygeoname.mygeoportal.gov.my/exportpdf00.jsp?kodnegeri=16</t>
  </si>
  <si>
    <t>https://ebrochures.malaysia.travel/en/malaysia-travel-guide/putrajaya/</t>
  </si>
  <si>
    <t>A031</t>
  </si>
  <si>
    <t>MC0397</t>
  </si>
  <si>
    <t>Putrajaya Wetlands Park</t>
  </si>
  <si>
    <t>Presint 13 / Putrajaya</t>
  </si>
  <si>
    <t>Constructed freshwater wetland; wetland park; urban ecology; green lung; 24 wetland cells; open lake; natural water filtration; birdwatching; migratory birds; local birds; freshwater fish; aquatic wildlife; flora and fauna; Nature Interpretation Centre; Wetland Studio; Lookout Tower; Flamingo Pond; Swan Lake; walking trails; lakeside promenade; jogging; brisk walking; cycling; picnic; photography; guided visit; environmental education; research; camping; glamping; fishing; kayaking; buggy; adventure activities; family recreation; wheelchair-friendly</t>
  </si>
  <si>
    <t>A major public park in Precinct 13 that serves as the visitor gateway to Putrajaya's constructed freshwater wetland system of lakes and 24 wetland cells. It combines water-filtration ecology, bird and aquatic habitats, walking and cycling routes, interpretation facilities, viewpoints and family recreation.</t>
  </si>
  <si>
    <t>https://www.malaysia.travel/explore/putrajaya-wetlands-park ; https://www.ppj.gov.my/en/second-menu/taman-wetland ; https://www.ppj.gov.my/en/page/taman-wetland-putrajaya?slug=eko-pelancongan ; https://www.ppj.gov.my/index.php/second-page/latar-belakang-taman-6 ; https://gerbang.ppj.gov.my/second-page/perkhidmatan-aktiviti-rekreasi-7 ; https://www.ppj.gov.my/second-page/fasiliti-2 ; https://www.ppj.gov.my/index.php/second-page/waktu-operasi-taman-5 ; https://www.ppj.gov.my/second-page/kadar-sewaan-perkhidmatan ; https://taman.ppj.gov.my/</t>
  </si>
  <si>
    <t>A032</t>
  </si>
  <si>
    <t>MC0398</t>
  </si>
  <si>
    <t>Putra Mosque</t>
  </si>
  <si>
    <t>Putrajaya</t>
  </si>
  <si>
    <t>mosque; architecture; religion; lakeside; photography</t>
  </si>
  <si>
    <t>Putrajaya's pink-domed mosque, built from rose-tinted granite and overlooking Putrajaya Lake.</t>
  </si>
  <si>
    <t>https://www.google.com/maps/search/?api=1&amp;query=Putra%20Mosque%2C%20W.P.%20Putrajaya%2C%20Malaysia</t>
  </si>
  <si>
    <t>A145</t>
  </si>
  <si>
    <t>MC0399</t>
  </si>
  <si>
    <t>Putrajaya Botanical Garden</t>
  </si>
  <si>
    <t>garden; walking; cycling; relaxation; nature</t>
  </si>
  <si>
    <t>A large botanical garden in Putrajaya showcasing tropical flora across themed sections.</t>
  </si>
  <si>
    <t>https://www.google.com/maps/search/?api=1&amp;query=Putrajaya%20Botanical%20Garden%2C%20W.P.%20Putrajaya%2C%20Malaysia</t>
  </si>
  <si>
    <t>A146</t>
  </si>
  <si>
    <t>MC0400</t>
  </si>
  <si>
    <t>Putrajaya Lake</t>
  </si>
  <si>
    <t>lake; scenery; walking; relaxation; recreation</t>
  </si>
  <si>
    <t>A large man-made lake at the centre of Putrajaya used for recreation, boating and water sports events.</t>
  </si>
  <si>
    <t>https://www.google.com/maps/search/?api=1&amp;query=Putrajaya%20Lake%2C%20W.P.%20Putrajaya%2C%20Malaysia</t>
  </si>
  <si>
    <t>A147</t>
  </si>
  <si>
    <t>MC0401</t>
  </si>
  <si>
    <t>Cruise Tasik Putrajaya</t>
  </si>
  <si>
    <t>lake cruise; sightseeing; relaxation; architecture; family</t>
  </si>
  <si>
    <t>A scenic boat cruise on Putrajaya Lake passing the city's landmark bridges and government buildings.</t>
  </si>
  <si>
    <t>https://www.google.com/maps/search/?api=1&amp;query=Cruise%20Tasik%20Putrajaya%2C%20W.P.%20Putrajaya%2C%20Malaysia</t>
  </si>
  <si>
    <t>A148</t>
  </si>
  <si>
    <t>MC0402</t>
  </si>
  <si>
    <t>Moroccan Pavilion Putrajaya</t>
  </si>
  <si>
    <t>architecture; culture; photography; garden; indoor</t>
  </si>
  <si>
    <t>A Moroccan-style pavilion and garden on the shores of Putrajaya Lake.</t>
  </si>
  <si>
    <t>https://www.google.com/maps/search/?api=1&amp;query=Moroccan%20Pavilion%20Putrajaya%2C%20W.P.%20Putrajaya%2C%20Malaysia</t>
  </si>
  <si>
    <t>A149</t>
  </si>
  <si>
    <t>MC0403</t>
  </si>
  <si>
    <t>Millennium Monument</t>
  </si>
  <si>
    <t>monument; history; lakeside; walking; photography</t>
  </si>
  <si>
    <t>A monument in Putrajaya commemorating Malaysia's development milestones.</t>
  </si>
  <si>
    <t>https://www.google.com/maps/search/?api=1&amp;query=Millennium%20Monument%2C%20W.P.%20Putrajaya%2C%20Malaysia</t>
  </si>
  <si>
    <t>A150</t>
  </si>
  <si>
    <t>MC0404</t>
  </si>
  <si>
    <t>Seri Wawasan Bridge</t>
  </si>
  <si>
    <t>bridge; architecture; night view; photography; sightseeing</t>
  </si>
  <si>
    <t>A cable-stayed bridge in Putrajaya, one of several architecturally distinct bridges spanning the lake.</t>
  </si>
  <si>
    <t>https://www.google.com/maps/search/?api=1&amp;query=Seri%20Wawasan%20Bridge%2C%20W.P.%20Putrajaya%2C%20Malaysia</t>
  </si>
  <si>
    <t>A151</t>
  </si>
  <si>
    <t>MC0405</t>
  </si>
  <si>
    <t>Anjung Floria</t>
  </si>
  <si>
    <t>garden; flowers; walking; relaxation; family</t>
  </si>
  <si>
    <t>A flower garden along Putrajaya Lake, popular for photography.</t>
  </si>
  <si>
    <t>https://www.google.com/maps/search/?api=1&amp;query=Anjung%20Floria%2C%20W.P.%20Putrajaya%2C%20Malaysia</t>
  </si>
  <si>
    <t>A152</t>
  </si>
  <si>
    <t>MC0406</t>
  </si>
  <si>
    <t>Perdana Putra</t>
  </si>
  <si>
    <t>Precinct 1</t>
  </si>
  <si>
    <t>civic architecture; landmark; photography</t>
  </si>
  <si>
    <t>The Malaysian Prime Minister's office building in Precinct 1, Putrajaya, a landmark with a green dome overlooking the city.</t>
  </si>
  <si>
    <t>https://www.google.com/maps/search/?api=1&amp;query=Perdana%20Putra%2C%20W.P.%20Putrajaya%2C%20Malaysia</t>
  </si>
  <si>
    <t>W.P. Putrajaya expansion batch</t>
  </si>
  <si>
    <t>MC0407</t>
  </si>
  <si>
    <t>Tuanku Mizan Zainal Abidin Mosque</t>
  </si>
  <si>
    <t>Precinct 3</t>
  </si>
  <si>
    <t>iron mosque; architecture; landmark</t>
  </si>
  <si>
    <t>A large mosque in Precinct 3, Putrajaya, known as the Iron Mosque for its steel structure.</t>
  </si>
  <si>
    <t>https://www.google.com/maps/search/?api=1&amp;query=Tuanku%20Mizan%20Zainal%20Abidin%20Mosque%2C%20W.P.%20Putrajaya%2C%20Malaysia</t>
  </si>
  <si>
    <t>MC0408</t>
  </si>
  <si>
    <t>Seri Gemilang Bridge</t>
  </si>
  <si>
    <t>Precinct 4</t>
  </si>
  <si>
    <t>bridge; architecture; photography</t>
  </si>
  <si>
    <t>A landmark bridge in Putrajaya connecting government precincts across the lake.</t>
  </si>
  <si>
    <t>https://www.google.com/maps/search/?api=1&amp;query=Seri%20Gemilang%20Bridge%2C%20W.P.%20Putrajaya%2C%20Malaysia</t>
  </si>
  <si>
    <t>MC0409</t>
  </si>
  <si>
    <t>China-Malaysia Friendship Garden</t>
  </si>
  <si>
    <t>Precinct 16</t>
  </si>
  <si>
    <t>garden; landscaping; photography</t>
  </si>
  <si>
    <t>A garden in Precinct 16, Putrajaya, commemorating diplomatic ties between China and Malaysia.</t>
  </si>
  <si>
    <t>https://www.google.com/maps/search/?api=1&amp;query=China-Malaysia%20Friendship%20Garden%2C%20W.P.%20Putrajaya%2C%20Malaysia</t>
  </si>
  <si>
    <t>MC0410</t>
  </si>
  <si>
    <t>Taman Saujana Hijau</t>
  </si>
  <si>
    <t>Precinct 19</t>
  </si>
  <si>
    <t>landscape park; cycling; sunrise</t>
  </si>
  <si>
    <t>A large public park in Precinct 19, Putrajaya, used for events and recreation.</t>
  </si>
  <si>
    <t>https://www.google.com/maps/search/?api=1&amp;query=Taman%20Saujana%20Hijau%2C%20W.P.%20Putrajaya%2C%20Malaysia</t>
  </si>
  <si>
    <t>MC0411</t>
  </si>
  <si>
    <t>Putrajaya Steps</t>
  </si>
  <si>
    <t>stairs; viewpoint; civic space</t>
  </si>
  <si>
    <t>A landscaped promenade and staircase feature near Precinct 1, Putrajaya, by the lake.</t>
  </si>
  <si>
    <t>https://www.google.com/maps/search/?api=1&amp;query=Putrajaya%20Steps%2C%20W.P.%20Putrajaya%2C%20Malaysia</t>
  </si>
  <si>
    <t>MC0412</t>
  </si>
  <si>
    <t>Marina Putrajaya</t>
  </si>
  <si>
    <t>Precinct 6</t>
  </si>
  <si>
    <t>water sports; lakeside; family</t>
  </si>
  <si>
    <t>A waterfront marina and leisure precinct in Precinct 6, Putrajaya, used for water sports and lake cruises.</t>
  </si>
  <si>
    <t>https://www.google.com/maps/search/?api=1&amp;query=Marina%20Putrajaya%2C%20W.P.%20Putrajaya%2C%20Malaysia</t>
  </si>
  <si>
    <t>MC0413</t>
  </si>
  <si>
    <t>Labuan War Cemetery</t>
  </si>
  <si>
    <t>W.P. Labuan</t>
  </si>
  <si>
    <t>Labuan / Victoria</t>
  </si>
  <si>
    <t>World War II; war cemetery; memorial; Commonwealth War Graves Commission; North Borneo; Borneo Campaign; Sandakan Death Marches; prisoners of war; Commonwealth forces; Australian history; British history; Indian history; New Zealand history; military history; heritage; remembrance; education; reflection; cemetery; Labuan Memorial; Labuan Cremation Memorial; Remembrance Day; photography</t>
  </si>
  <si>
    <t>A Commonwealth war cemetery and memorial on Jalan Tanjung Batu containing 3,922 Second World War burials gathered from across Borneo. Its landscaped grounds, Labuan Memorial and Cremation Memorial commemorate Commonwealth personnel and preserve the history of the Borneo campaign, prisoner-of-war camps and Sandakan death marches.</t>
  </si>
  <si>
    <t>https://www.malaysia.travel/explore/the-labuan-war-cemetery-a-journey-through-north-borneo-s-history ; https://www.cwgc.org/visit-us/find-cemeteries-memorials/cemetery-details/17000/labuan-war-cemetery/ ; https://ebrochures.malaysia.travel/en/malaysia-travel-guide/labuan/ ; https://www.malaysia.travel/events/remembrance-day ; https://www.pl.gov.my/wp-content/uploads/2026/04/BUKU-LAPORAN-2023-PL_compressed.pdf</t>
  </si>
  <si>
    <t>https://ebrochures.malaysia.travel/en/malaysia-travel-guide/labuan/</t>
  </si>
  <si>
    <t>A029</t>
  </si>
  <si>
    <t>MC0414</t>
  </si>
  <si>
    <t>Pantai Layang-Layangan</t>
  </si>
  <si>
    <t>Layang-Layangan / Labuan Island</t>
  </si>
  <si>
    <t>Beach; island coastline; South China Sea; west coast; sunset; United Nations Beach; UN'08; COBSEA; clean beach; seaside walk; cycling; beach volleyball; picnic; horse riding; live music; restaurants; nature; sand crabs; beach wildlife; family recreation; couples; photography; relaxation; Peace Park; Surrender Point</t>
  </si>
  <si>
    <t>A long public beach on Labuan's west coast facing the South China Sea and forming part of the UN'08 beach stretch. It is known for clean coastal scenery, sand-crab patterns and sunset views, with opportunities for walking, cycling, beach volleyball, picnics and evening food or live music nearby.</t>
  </si>
  <si>
    <t>https://www.malaysia.travel/explore/pantai-layang-layangan ; https://www.pl.gov.my/pantai-awam/?lang=en ; https://mygeoname.mygeoportal.gov.my/exportpdf00.jsp?kodnegeri=15 ; https://www.pl.gov.my/wp-content/uploads/2026/04/BUKU-LAPORAN-2023-PL_compressed.pdf</t>
  </si>
  <si>
    <t>A030</t>
  </si>
  <si>
    <t>MC0415</t>
  </si>
  <si>
    <t>Labuan Marine Museum</t>
  </si>
  <si>
    <t>Labuan</t>
  </si>
  <si>
    <t>marine museum; aquarium; education; family; indoor</t>
  </si>
  <si>
    <t>A museum in Labuan showcasing marine biodiversity and maritime heritage.</t>
  </si>
  <si>
    <t>https://www.google.com/maps/search/?api=1&amp;query=Labuan%20Marine%20Museum%2C%20W.P.%20Labuan%2C%20Malaysia</t>
  </si>
  <si>
    <t>A153</t>
  </si>
  <si>
    <t>MC0416</t>
  </si>
  <si>
    <t>Chimney Museum</t>
  </si>
  <si>
    <t>Tanjung Kubong</t>
  </si>
  <si>
    <t>museum; coal mining; history; heritage; architecture</t>
  </si>
  <si>
    <t>A preserved 19th-century brick chimney in Tanjung Kubong, Labuan, a remnant of the island's colonial coal-mining industry.</t>
  </si>
  <si>
    <t>https://www.google.com/maps/search/?api=1&amp;query=Chimney%20Museum%2C%20W.P.%20Labuan%2C%20Malaysia</t>
  </si>
  <si>
    <t>A154</t>
  </si>
  <si>
    <t>MC0417</t>
  </si>
  <si>
    <t>Labuan Bird Park</t>
  </si>
  <si>
    <t>birds; wildlife; family; children; education</t>
  </si>
  <si>
    <t>A bird park in Tanjung Kubong, Labuan, with walk-in aviaries.</t>
  </si>
  <si>
    <t>https://www.google.com/maps/search/?api=1&amp;query=Labuan%20Bird%20Park%2C%20W.P.%20Labuan%2C%20Malaysia</t>
  </si>
  <si>
    <t>A155</t>
  </si>
  <si>
    <t>MC0418</t>
  </si>
  <si>
    <t>Peace Park</t>
  </si>
  <si>
    <t>Layang-Layangan</t>
  </si>
  <si>
    <t>memorial; garden; walking; history; relaxation</t>
  </si>
  <si>
    <t>A memorial park in Layang-Layangan, Labuan, commemorating Second World War surrender ceremonies.</t>
  </si>
  <si>
    <t>https://www.google.com/maps/search/?api=1&amp;query=Peace%20Park%2C%20W.P.%20Labuan%2C%20Malaysia</t>
  </si>
  <si>
    <t>A156</t>
  </si>
  <si>
    <t>MC0419</t>
  </si>
  <si>
    <t>Surrender Point</t>
  </si>
  <si>
    <t>war history; memorial; heritage; education; outdoor</t>
  </si>
  <si>
    <t>A historic site in Layang-Layangan, Labuan, marking the site of the Japanese surrender to Allied forces in 1945.</t>
  </si>
  <si>
    <t>https://www.google.com/maps/search/?api=1&amp;query=Surrender%20Point%2C%20W.P.%20Labuan%2C%20Malaysia</t>
  </si>
  <si>
    <t>A157</t>
  </si>
  <si>
    <t>MC0420</t>
  </si>
  <si>
    <t>Labuan International Sea Sports Complex</t>
  </si>
  <si>
    <t>sea sports; recreation; family; waterfront; events</t>
  </si>
  <si>
    <t>A waterfront sports complex in Labuan used for sailing and water-sports events.</t>
  </si>
  <si>
    <t>https://www.google.com/maps/search/?api=1&amp;query=Labuan%20International%20Sea%20Sports%20Complex%2C%20W.P.%20Labuan%2C%20Malaysia</t>
  </si>
  <si>
    <t>A158</t>
  </si>
  <si>
    <t>MC0421</t>
  </si>
  <si>
    <t>Patau-Patau Water Village</t>
  </si>
  <si>
    <t>water village; local culture; heritage; walking; photography</t>
  </si>
  <si>
    <t>A stilt water village in Labuan town.</t>
  </si>
  <si>
    <t>https://www.google.com/maps/search/?api=1&amp;query=Patau-Patau%20Water%20Village%2C%20W.P.%20Labuan%2C%20Malaysia</t>
  </si>
  <si>
    <t>A159</t>
  </si>
  <si>
    <t>MC0422</t>
  </si>
  <si>
    <t>Rusukan Besar Island</t>
  </si>
  <si>
    <t>island; beach; snorkelling; marine life; relaxation</t>
  </si>
  <si>
    <t>An island off Labuan known for diving and marine park status.</t>
  </si>
  <si>
    <t>https://www.google.com/maps/search/?api=1&amp;query=Rusukan%20Besar%20Island%2C%20W.P.%20Labuan%2C%20Malaysia</t>
  </si>
  <si>
    <t>A160</t>
  </si>
  <si>
    <t>MC0423</t>
  </si>
  <si>
    <t>Labuan Museum</t>
  </si>
  <si>
    <t>Bandar Labuan</t>
  </si>
  <si>
    <t>island history; museum; culture</t>
  </si>
  <si>
    <t>A museum in Bandar Labuan covering the island's history and culture.</t>
  </si>
  <si>
    <t>https://www.google.com/maps/search/?api=1&amp;query=Labuan%20Museum%2C%20W.P.%20Labuan%2C%20Malaysia</t>
  </si>
  <si>
    <t>W.P. Labuan expansion batch</t>
  </si>
  <si>
    <t>MC0424</t>
  </si>
  <si>
    <t>Labuan Botanical Garden</t>
  </si>
  <si>
    <t>garden; walking; heritage</t>
  </si>
  <si>
    <t>A botanical garden in Bandar Labuan with landscaped tropical plant collections.</t>
  </si>
  <si>
    <t>https://www.google.com/maps/search/?api=1&amp;query=Labuan%20Botanical%20Garden%2C%20W.P.%20Labuan%2C%20Malaysia</t>
  </si>
  <si>
    <t>MC0425</t>
  </si>
  <si>
    <t>Labuan Weekend Tamu</t>
  </si>
  <si>
    <t>market; food; crafts</t>
  </si>
  <si>
    <t>A weekend market in Bandar Labuan selling local produce and goods.</t>
  </si>
  <si>
    <t>https://www.google.com/maps/search/?api=1&amp;query=Labuan%20Weekend%20Tamu%2C%20W.P.%20Labuan%2C%20Malaysia</t>
  </si>
  <si>
    <t>MC0426</t>
  </si>
  <si>
    <t>Labuan Clock Tower</t>
  </si>
  <si>
    <t>Tanjung Purun</t>
  </si>
  <si>
    <t>clock tower; landmark; history</t>
  </si>
  <si>
    <t>A heritage clock tower landmark in Tanjung Purun, Labuan.</t>
  </si>
  <si>
    <t>https://www.google.com/maps/search/?api=1&amp;query=Labuan%20Clock%20Tower%2C%20W.P.%20Labuan%2C%20Malaysia</t>
  </si>
  <si>
    <t>MC0427</t>
  </si>
  <si>
    <t>Bebuloh Water Village</t>
  </si>
  <si>
    <t>Kampung Bebuloh</t>
  </si>
  <si>
    <t>water village; community; local life</t>
  </si>
  <si>
    <t>A traditional stilt water village in Kampung Bebuloh, Labuan.</t>
  </si>
  <si>
    <t>https://www.google.com/maps/search/?api=1&amp;query=Bebuloh%20Water%20Village%2C%20W.P.%20Labuan%2C%20Malaysia</t>
  </si>
  <si>
    <t>MC0428</t>
  </si>
  <si>
    <t>Pohon Batu Beach</t>
  </si>
  <si>
    <t>Pohon Batu</t>
  </si>
  <si>
    <t>beach; sunset; recreation</t>
  </si>
  <si>
    <t>A beach in Pohon Batu, Labuan.</t>
  </si>
  <si>
    <t>https://www.google.com/maps/search/?api=1&amp;query=Pohon%20Batu%20Beach%2C%20W.P.%20Labuan%2C%20Malaysia</t>
  </si>
  <si>
    <t>MC0429</t>
  </si>
  <si>
    <t>Pancur Hitam Beach</t>
  </si>
  <si>
    <t>Pancur Hitam</t>
  </si>
  <si>
    <t>beach; park; family</t>
  </si>
  <si>
    <t>A beach in Pancur Hitam, Labuan.</t>
  </si>
  <si>
    <t>https://www.google.com/maps/search/?api=1&amp;query=Pancur%20Hitam%20Beach%2C%20W.P.%20Labuan%2C%20Malaysia</t>
  </si>
  <si>
    <t>MC0430</t>
  </si>
  <si>
    <t>Kinabenuwa Mangrove Ecology Park</t>
  </si>
  <si>
    <t>Kinabenuwa</t>
  </si>
  <si>
    <t>mangrove; boardwalk; ecology</t>
  </si>
  <si>
    <t>A mangrove eco-park in Kinabenuwa, Labuan.</t>
  </si>
  <si>
    <t>https://www.google.com/maps/search/?api=1&amp;query=Kinabenuwa%20Mangrove%20Ecology%20Park%2C%20W.P.%20Labuan%2C%20Malaysia</t>
  </si>
  <si>
    <t>MC0431</t>
  </si>
  <si>
    <t>Pulau Rusukan Besar Marine Park</t>
  </si>
  <si>
    <t>Rusukan Besar</t>
  </si>
  <si>
    <t>island; snorkelling; marine park</t>
  </si>
  <si>
    <t>A marine park island off Labuan protecting coral reefs, popular for diving.</t>
  </si>
  <si>
    <t>https://www.google.com/maps/search/?api=1&amp;query=Pulau%20Rusukan%20Besar%20Marine%20Park%2C%20W.P.%20Labuan%2C%20Malaysia</t>
  </si>
  <si>
    <t>State-by-State Review Queue</t>
  </si>
  <si>
    <t>Counts update automatically when Review Status or Coverage Lens is changed in the Catalogue sheet.</t>
  </si>
  <si>
    <t>Candidates</t>
  </si>
  <si>
    <t>Unclassified / Other</t>
  </si>
  <si>
    <t>Pending Review</t>
  </si>
  <si>
    <t>Non-map Source Links</t>
  </si>
  <si>
    <t>Reviewed</t>
  </si>
  <si>
    <t>Review %</t>
  </si>
  <si>
    <t>TOTAL</t>
  </si>
  <si>
    <t>Source Index and Research Basis</t>
  </si>
  <si>
    <t>These links support candidate discovery. They do not make a row verified; review the exact attraction page and current visitor information before approval.</t>
  </si>
  <si>
    <t>Tourism Malaysia Guide</t>
  </si>
  <si>
    <t>Coverage Role</t>
  </si>
  <si>
    <t>Per-row Discovery Link</t>
  </si>
  <si>
    <t>Required Reviewer Action</t>
  </si>
  <si>
    <t>Official state-level discovery guide</t>
  </si>
  <si>
    <t>See Candidate Source URL in Catalogue</t>
  </si>
  <si>
    <t>Confirm exact place, authoritative source, current access and suitable metadata</t>
  </si>
  <si>
    <t>How to Review Master Candidates</t>
  </si>
  <si>
    <t>Recommended review sequence</t>
  </si>
  <si>
    <t>1</t>
  </si>
  <si>
    <t>Open the Candidate Source URL</t>
  </si>
  <si>
    <t>Confirm the place exists and the name/locality are correct.</t>
  </si>
  <si>
    <t>2</t>
  </si>
  <si>
    <t>Find an authoritative page</t>
  </si>
  <si>
    <t>Prefer attraction operator, government, park authority, museum, UNESCO or established tourism body.</t>
  </si>
  <si>
    <t>3</t>
  </si>
  <si>
    <t>Check current visitor relevance</t>
  </si>
  <si>
    <t>Confirm public access, seasonality, closures, booking requirements and whether it is suitable for recommendation.</t>
  </si>
  <si>
    <t>4</t>
  </si>
  <si>
    <t>Improve classification</t>
  </si>
  <si>
    <t>Update category, coverage lens, setting, tags and description using supported facts only.</t>
  </si>
  <si>
    <t>5</t>
  </si>
  <si>
    <t>Set Review Status</t>
  </si>
  <si>
    <t>Choose Approved only when the attraction and sources are sufficient; otherwise use Needs More Research or Rejected.</t>
  </si>
  <si>
    <t>Status meanings</t>
  </si>
  <si>
    <t>Status</t>
  </si>
  <si>
    <t>Use when</t>
  </si>
  <si>
    <t>Colour</t>
  </si>
  <si>
    <t>Default for every generated or imported candidate</t>
  </si>
  <si>
    <t>Amber</t>
  </si>
  <si>
    <t>Approved</t>
  </si>
  <si>
    <t>Place and key source evidence have been checked</t>
  </si>
  <si>
    <t>Green</t>
  </si>
  <si>
    <t>Needs More Research</t>
  </si>
  <si>
    <t>Promising candidate but evidence or current details are incomplete</t>
  </si>
  <si>
    <t>Blue</t>
  </si>
  <si>
    <t>Duplicate, closed, unsuitable, mislocated or unsupported</t>
  </si>
  <si>
    <t>Red</t>
  </si>
  <si>
    <t>Important scope note</t>
  </si>
  <si>
    <t>This workbook is a best-effort research queue, not a verified tourism database. Descriptions on expansion rows are deliberately cautious and should not be used as chatbot facts until the corresponding row is approved and migrated into the production dataset.</t>
  </si>
  <si>
    <t>Source rule: Google Maps search links are discovery aids only. Before approving a place, add at least one direct official, government, tourism-board, or attraction-operator source and record the review date.</t>
  </si>
  <si>
    <t>orangutan; primate; primates; rehabilitation; rehabilitated wildlife; conservation; protected sanctuary; wildlife; education; nature</t>
  </si>
  <si>
    <t>A protected wildlife rehabilitation centre near Sandakan that cares for orphaned and injured orangutans, which are primates, before preparing them for release into the wild.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</si>
</sst>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8" formatCode="yyyy\-mm\-dd"/>
    <numFmt numFmtId="169" formatCode="0.0%"/>
  </numFmts>
  <fonts count="14" x14ac:knownFonts="1">
    <font>
      <sz val="10"/>
      <name val="Arial"/>
      <family val="2"/>
    </font>
    <font>
      <sz val="10"/>
      <name val="Arial"/>
      <charset val="1"/>
    </font>
    <font>
      <b/>
      <sz val="18"/>
      <color rgb="FFFFFFFF"/>
      <name val="Aptos Display"/>
      <charset val="1"/>
    </font>
    <font>
      <i/>
      <sz val="10"/>
      <color rgb="FF1F1F1F"/>
      <name val="Aptos"/>
      <charset val="1"/>
    </font>
    <font>
      <b/>
      <sz val="10"/>
      <color rgb="FFFFFFFF"/>
      <name val="Aptos"/>
      <charset val="1"/>
    </font>
    <font>
      <sz val="10"/>
      <name val="Aptos"/>
      <charset val="1"/>
    </font>
    <font>
      <b/>
      <sz val="17"/>
      <color rgb="FFFFFFFF"/>
      <name val="Aptos Display"/>
      <charset val="1"/>
    </font>
    <font>
      <i/>
      <sz val="10"/>
      <name val="Aptos"/>
      <charset val="1"/>
    </font>
    <font>
      <i/>
      <sz val="11"/>
      <name val="Calibri"/>
      <charset val="1"/>
    </font>
    <font>
      <b/>
      <sz val="11"/>
      <color rgb="FFFFFFFF"/>
      <name val="Calibri"/>
      <charset val="1"/>
    </font>
    <font>
      <b/>
      <sz val="11"/>
      <name val="Calibri"/>
      <charset val="1"/>
    </font>
    <font>
      <sz val="11"/>
      <name val="Calibri"/>
      <charset val="1"/>
    </font>
    <font>
      <sz val="11"/>
      <color rgb="FF7F6000"/>
      <name val="Calibri"/>
      <charset val="1"/>
    </font>
    <font>
      <b/>
      <sz val="10"/>
      <color rgb="FF7F6000"/>
      <name val="Arial"/>
      <charset val="1"/>
    </font>
  </fonts>
  <fills count="7">
    <fill>
      <patternFill patternType="none"/>
    </fill>
    <fill>
      <patternFill patternType="gray125"/>
    </fill>
    <fill>
      <patternFill patternType="solid">
        <fgColor rgb="FF17365D"/>
        <bgColor rgb="FF1F4E78"/>
      </patternFill>
    </fill>
    <fill>
      <patternFill patternType="solid">
        <fgColor rgb="FFD9EAF7"/>
        <bgColor rgb="FFD9E2F3"/>
      </patternFill>
    </fill>
    <fill>
      <patternFill patternType="solid">
        <fgColor rgb="FF2F75B5"/>
        <bgColor rgb="FF0066CC"/>
      </patternFill>
    </fill>
    <fill>
      <patternFill patternType="solid">
        <fgColor rgb="FF1F4E78"/>
        <bgColor rgb="FF17365D"/>
      </patternFill>
    </fill>
    <fill>
      <patternFill patternType="solid">
        <fgColor rgb="FFFFF2CC"/>
        <bgColor rgb="FFFCE4D6"/>
      </patternFill>
    </fill>
  </fills>
  <borders count="5">
    <border>
      <left/>
      <right/>
      <top/>
      <bottom/>
      <diagonal/>
    </border>
    <border>
      <left/>
      <right/>
      <top/>
      <bottom style="thin">
        <color rgb="FFD9E2F3"/>
      </bottom>
      <diagonal/>
    </border>
    <border>
      <left/>
      <right/>
      <top style="thin">
        <color rgb="FFD9E2F3"/>
      </top>
      <bottom style="thin">
        <color rgb="FFD9E2F3"/>
      </bottom>
      <diagonal/>
    </border>
    <border>
      <left/>
      <right/>
      <top style="thin">
        <color rgb="FFD9E2F3"/>
      </top>
      <bottom/>
      <diagonal/>
    </border>
    <border>
      <left/>
      <right/>
      <top/>
      <bottom style="double">
        <color rgb="FF17365D"/>
      </bottom>
      <diagonal/>
    </border>
  </borders>
  <cellStyleXfs count="2">
    <xf numFmtId="0" fontId="0" fillId="0" borderId="0"/>
    <xf numFmtId="0" fontId="1" fillId="0" borderId="0"/>
  </cellStyleXfs>
  <cellXfs count="43">
    <xf numFmtId="0" fontId="0" fillId="0" borderId="0" xfId="0"/>
    <xf numFmtId="0" fontId="13" fillId="6" borderId="0" xfId="1" applyFont="1" applyFill="1" applyAlignment="1">
      <alignment wrapText="1"/>
    </xf>
    <xf numFmtId="0" fontId="12" fillId="6" borderId="0" xfId="1" applyFont="1" applyFill="1" applyAlignment="1">
      <alignment vertical="center" wrapText="1"/>
    </xf>
    <xf numFmtId="0" fontId="9" fillId="4" borderId="0" xfId="1" applyFont="1" applyFill="1"/>
    <xf numFmtId="0" fontId="8" fillId="3" borderId="0" xfId="1" applyFont="1" applyFill="1" applyAlignment="1">
      <alignment wrapText="1"/>
    </xf>
    <xf numFmtId="0" fontId="7" fillId="3" borderId="0" xfId="1" applyFont="1" applyFill="1"/>
    <xf numFmtId="0" fontId="6" fillId="2" borderId="0" xfId="1" applyFont="1" applyFill="1"/>
    <xf numFmtId="0" fontId="3" fillId="3" borderId="0" xfId="1" applyFont="1" applyFill="1" applyAlignment="1">
      <alignment vertical="center" wrapText="1"/>
    </xf>
    <xf numFmtId="0" fontId="2" fillId="2" borderId="0" xfId="1" applyFont="1" applyFill="1" applyAlignment="1">
      <alignment vertical="center"/>
    </xf>
    <xf numFmtId="0" fontId="1" fillId="0" borderId="0" xfId="1"/>
    <xf numFmtId="0" fontId="4" fillId="4" borderId="0" xfId="1" applyFont="1" applyFill="1" applyAlignment="1">
      <alignment vertical="center" wrapText="1"/>
    </xf>
    <xf numFmtId="0" fontId="4" fillId="5" borderId="0" xfId="1" applyFont="1" applyFill="1" applyAlignment="1">
      <alignment vertical="center" wrapText="1"/>
    </xf>
    <xf numFmtId="0" fontId="5" fillId="0" borderId="1" xfId="1" applyFont="1" applyBorder="1" applyAlignment="1">
      <alignment vertical="top"/>
    </xf>
    <xf numFmtId="0" fontId="5" fillId="0" borderId="1" xfId="1" applyFont="1" applyBorder="1" applyAlignment="1">
      <alignment vertical="top" wrapText="1"/>
    </xf>
    <xf numFmtId="168" fontId="5" fillId="0" borderId="1" xfId="1" applyNumberFormat="1" applyFont="1" applyBorder="1" applyAlignment="1">
      <alignment vertical="top"/>
    </xf>
    <xf numFmtId="0" fontId="5" fillId="0" borderId="1" xfId="1" applyFont="1" applyBorder="1" applyAlignment="1">
      <alignment horizontal="center" vertical="top"/>
    </xf>
    <xf numFmtId="0" fontId="5" fillId="0" borderId="2" xfId="1" applyFont="1" applyBorder="1" applyAlignment="1">
      <alignment vertical="top"/>
    </xf>
    <xf numFmtId="0" fontId="5" fillId="0" borderId="2" xfId="1" applyFont="1" applyBorder="1" applyAlignment="1">
      <alignment vertical="top" wrapText="1"/>
    </xf>
    <xf numFmtId="168" fontId="5" fillId="0" borderId="2" xfId="1" applyNumberFormat="1" applyFont="1" applyBorder="1" applyAlignment="1">
      <alignment vertical="top"/>
    </xf>
    <xf numFmtId="0" fontId="5" fillId="0" borderId="2" xfId="1" applyFont="1" applyBorder="1" applyAlignment="1">
      <alignment horizontal="center" vertical="top"/>
    </xf>
    <xf numFmtId="0" fontId="5" fillId="0" borderId="3" xfId="1" applyFont="1" applyBorder="1" applyAlignment="1">
      <alignment vertical="top"/>
    </xf>
    <xf numFmtId="0" fontId="5" fillId="0" borderId="3" xfId="1" applyFont="1" applyBorder="1" applyAlignment="1">
      <alignment vertical="top" wrapText="1"/>
    </xf>
    <xf numFmtId="168" fontId="5" fillId="0" borderId="3" xfId="1" applyNumberFormat="1" applyFont="1" applyBorder="1" applyAlignment="1">
      <alignment vertical="top"/>
    </xf>
    <xf numFmtId="0" fontId="5" fillId="0" borderId="3" xfId="1" applyFont="1" applyBorder="1" applyAlignment="1">
      <alignment horizontal="center" vertical="top"/>
    </xf>
    <xf numFmtId="0" fontId="5" fillId="0" borderId="0" xfId="1" applyFont="1"/>
    <xf numFmtId="0" fontId="4" fillId="4" borderId="0" xfId="1" applyFont="1" applyFill="1" applyAlignment="1">
      <alignment wrapText="1"/>
    </xf>
    <xf numFmtId="0" fontId="5" fillId="0" borderId="1" xfId="1" applyFont="1" applyBorder="1"/>
    <xf numFmtId="169" fontId="5" fillId="0" borderId="1" xfId="1" applyNumberFormat="1" applyFont="1" applyBorder="1"/>
    <xf numFmtId="0" fontId="5" fillId="0" borderId="2" xfId="1" applyFont="1" applyBorder="1"/>
    <xf numFmtId="169" fontId="5" fillId="0" borderId="2" xfId="1" applyNumberFormat="1" applyFont="1" applyBorder="1"/>
    <xf numFmtId="0" fontId="5" fillId="0" borderId="3" xfId="1" applyFont="1" applyBorder="1"/>
    <xf numFmtId="169" fontId="5" fillId="0" borderId="3" xfId="1" applyNumberFormat="1" applyFont="1" applyBorder="1"/>
    <xf numFmtId="169" fontId="5" fillId="0" borderId="0" xfId="1" applyNumberFormat="1" applyFont="1"/>
    <xf numFmtId="0" fontId="4" fillId="2" borderId="4" xfId="1" applyFont="1" applyFill="1" applyBorder="1"/>
    <xf numFmtId="169" fontId="4" fillId="2" borderId="4" xfId="1" applyNumberFormat="1" applyFont="1" applyFill="1" applyBorder="1"/>
    <xf numFmtId="0" fontId="9" fillId="4" borderId="0" xfId="1" applyFont="1" applyFill="1" applyAlignment="1">
      <alignment wrapText="1"/>
    </xf>
    <xf numFmtId="0" fontId="5" fillId="0" borderId="1" xfId="1" applyFont="1" applyBorder="1" applyAlignment="1">
      <alignment wrapText="1"/>
    </xf>
    <xf numFmtId="0" fontId="5" fillId="0" borderId="2" xfId="1" applyFont="1" applyBorder="1" applyAlignment="1">
      <alignment wrapText="1"/>
    </xf>
    <xf numFmtId="0" fontId="5" fillId="0" borderId="3" xfId="1" applyFont="1" applyBorder="1" applyAlignment="1">
      <alignment wrapText="1"/>
    </xf>
    <xf numFmtId="0" fontId="10" fillId="3" borderId="0" xfId="1" applyFont="1" applyFill="1"/>
    <xf numFmtId="0" fontId="11" fillId="0" borderId="1" xfId="1" applyFont="1" applyBorder="1" applyAlignment="1">
      <alignment wrapText="1"/>
    </xf>
    <xf numFmtId="0" fontId="11" fillId="0" borderId="2" xfId="1" applyFont="1" applyBorder="1" applyAlignment="1">
      <alignment wrapText="1"/>
    </xf>
    <xf numFmtId="0" fontId="11" fillId="0" borderId="3" xfId="1" applyFont="1" applyBorder="1" applyAlignment="1">
      <alignment wrapText="1"/>
    </xf>
  </cellXfs>
  <cellStyles count="2">
    <cellStyle name="Normal" xfId="0" builtinId="0"/>
    <cellStyle name="Normal 2" xfId="1" xr:uid="{00000000-0005-0000-0000-000006000000}"/>
  </cellStyles>
  <dxfs count="4">
    <dxf>
      <font>
        <b/>
        <color rgb="FF9C0006"/>
      </font>
      <fill>
        <patternFill>
          <bgColor rgb="FFFCE4D6"/>
        </patternFill>
      </fill>
    </dxf>
    <dxf>
      <font>
        <color rgb="FF9C0006"/>
      </font>
      <fill>
        <patternFill>
          <bgColor rgb="FFFCE4D6"/>
        </patternFill>
      </fill>
    </dxf>
    <dxf>
      <font>
        <color rgb="FF375623"/>
      </font>
      <fill>
        <patternFill>
          <bgColor rgb="FFE2F0D9"/>
        </patternFill>
      </fill>
    </dxf>
    <dxf>
      <font>
        <color rgb="FF7F6000"/>
      </font>
      <fill>
        <patternFill>
          <bgColor rgb="FFFFF2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7F6000"/>
      <rgbColor rgb="FF800080"/>
      <rgbColor rgb="FF008080"/>
      <rgbColor rgb="FFC0C0C0"/>
      <rgbColor rgb="FF808080"/>
      <rgbColor rgb="FF9999FF"/>
      <rgbColor rgb="FF993366"/>
      <rgbColor rgb="FFFFF2CC"/>
      <rgbColor rgb="FFD9EAF7"/>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F0D9"/>
      <rgbColor rgb="FFFFFF99"/>
      <rgbColor rgb="FF99CCFF"/>
      <rgbColor rgb="FFFF99CC"/>
      <rgbColor rgb="FFCC99FF"/>
      <rgbColor rgb="FFFCE4D6"/>
      <rgbColor rgb="FF2F75B5"/>
      <rgbColor rgb="FF33CCCC"/>
      <rgbColor rgb="FF99CC00"/>
      <rgbColor rgb="FFFFCC00"/>
      <rgbColor rgb="FFFF9900"/>
      <rgbColor rgb="FFFF6600"/>
      <rgbColor rgb="FF666699"/>
      <rgbColor rgb="FF969696"/>
      <rgbColor rgb="FF17365D"/>
      <rgbColor rgb="FF339966"/>
      <rgbColor rgb="FF003300"/>
      <rgbColor rgb="FF375623"/>
      <rgbColor rgb="FF993300"/>
      <rgbColor rgb="FF993366"/>
      <rgbColor rgb="FF1F4E78"/>
      <rgbColor rgb="FF1F1F1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sterCandidatesTable" displayName="MasterCandidatesTable" ref="A3:R434" totalsRowShown="0">
  <tableColumns count="18">
    <tableColumn id="1" xr3:uid="{00000000-0010-0000-0000-000001000000}" name="Candidate ID"/>
    <tableColumn id="2" xr3:uid="{00000000-0010-0000-0000-000002000000}" name="Attraction Name"/>
    <tableColumn id="3" xr3:uid="{00000000-0010-0000-0000-000003000000}" name="State / Territory"/>
    <tableColumn id="4" xr3:uid="{00000000-0010-0000-0000-000004000000}" name="City / District"/>
    <tableColumn id="5" xr3:uid="{00000000-0010-0000-0000-000005000000}" name="Primary Category"/>
    <tableColumn id="6" xr3:uid="{00000000-0010-0000-0000-000006000000}" name="Coverage Lens"/>
    <tableColumn id="7" xr3:uid="{00000000-0010-0000-0000-000007000000}" name="Setting"/>
    <tableColumn id="8" xr3:uid="{00000000-0010-0000-0000-000008000000}" name="Interests / Tags"/>
    <tableColumn id="9" xr3:uid="{00000000-0010-0000-0000-000009000000}" name="Candidate Description"/>
    <tableColumn id="10" xr3:uid="{00000000-0010-0000-0000-00000A000000}" name="Discovery / Source Link(s)"/>
    <tableColumn id="11" xr3:uid="{00000000-0010-0000-0000-00000B000000}" name="State Tourism Guide URL"/>
    <tableColumn id="12" xr3:uid="{00000000-0010-0000-0000-00000C000000}" name="Source Basis"/>
    <tableColumn id="13" xr3:uid="{00000000-0010-0000-0000-00000D000000}" name="Origin Batch"/>
    <tableColumn id="14" xr3:uid="{00000000-0010-0000-0000-00000E000000}" name="Existing Record ID"/>
    <tableColumn id="15" xr3:uid="{00000000-0010-0000-0000-00000F000000}" name="Date Added"/>
    <tableColumn id="16" xr3:uid="{00000000-0010-0000-0000-000010000000}" name="Review Status"/>
    <tableColumn id="17" xr3:uid="{00000000-0010-0000-0000-000011000000}" name="Reviewer Notes"/>
    <tableColumn id="18" xr3:uid="{00000000-0010-0000-0000-000012000000}" name="Source Status"/>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SourceIndexTable" displayName="SourceIndexTable" ref="A4:E20" totalsRowShown="0">
  <tableColumns count="5">
    <tableColumn id="1" xr3:uid="{00000000-0010-0000-0100-000001000000}" name="State / Territory"/>
    <tableColumn id="2" xr3:uid="{00000000-0010-0000-0100-000002000000}" name="Tourism Malaysia Guide"/>
    <tableColumn id="3" xr3:uid="{00000000-0010-0000-0100-000003000000}" name="Coverage Role"/>
    <tableColumn id="4" xr3:uid="{00000000-0010-0000-0100-000004000000}" name="Per-row Discovery Link"/>
    <tableColumn id="5" xr3:uid="{00000000-0010-0000-0100-000005000000}" name="Required Reviewer Action"/>
  </tableColumns>
  <tableStyleInfo showFirstColumn="0" showLastColumn="0" showRowStripes="1" showColumnStripes="0"/>
</table>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434"/>
  <sheetViews>
    <sheetView showGridLines="0" tabSelected="1" topLeftCell="M247" zoomScaleNormal="100" workbookViewId="0">
      <selection activeCell="I251" sqref="I251"/>
    </sheetView>
  </sheetViews>
  <sheetFormatPr defaultColWidth="8.7109375" defaultRowHeight="12.75" x14ac:dyDescent="0.2"/>
  <cols>
    <col min="1" max="1" width="14" style="9" customWidth="1"/>
    <col min="2" max="2" width="31" style="9" customWidth="1"/>
    <col min="3" max="3" width="19" style="9" customWidth="1"/>
    <col min="4" max="5" width="22" style="9" customWidth="1"/>
    <col min="6" max="6" width="16" style="9" customWidth="1"/>
    <col min="7" max="7" width="15" style="9" customWidth="1"/>
    <col min="8" max="8" width="34" style="9" customWidth="1"/>
    <col min="9" max="9" width="58" style="9" customWidth="1"/>
    <col min="10" max="10" width="44" style="9" customWidth="1"/>
    <col min="11" max="11" width="42" style="9" customWidth="1"/>
    <col min="12" max="12" width="34" style="9" customWidth="1"/>
    <col min="13" max="13" width="27" style="9" customWidth="1"/>
    <col min="14" max="14" width="16" style="9" customWidth="1"/>
    <col min="15" max="15" width="13" style="9" customWidth="1"/>
    <col min="16" max="16" width="18" style="9" customWidth="1"/>
    <col min="17" max="17" width="34" style="9" customWidth="1"/>
    <col min="18" max="18" width="17" style="9" customWidth="1"/>
  </cols>
  <sheetData>
    <row r="1" spans="1:18" ht="30" customHeight="1" x14ac:dyDescent="0.2">
      <c r="A1" s="8" t="s">
        <v>0</v>
      </c>
      <c r="B1" s="8"/>
      <c r="C1" s="8"/>
      <c r="D1" s="8"/>
      <c r="E1" s="8"/>
      <c r="F1" s="8"/>
      <c r="G1" s="8"/>
      <c r="H1" s="8"/>
      <c r="I1" s="8"/>
      <c r="J1" s="8"/>
      <c r="K1" s="8"/>
      <c r="L1" s="8"/>
      <c r="M1" s="8"/>
      <c r="N1" s="8"/>
      <c r="O1" s="8"/>
      <c r="P1" s="8"/>
      <c r="Q1" s="8"/>
      <c r="R1" s="8"/>
    </row>
    <row r="2" spans="1:18" ht="30" customHeight="1" x14ac:dyDescent="0.2">
      <c r="A2" s="7" t="s">
        <v>1</v>
      </c>
      <c r="B2" s="7"/>
      <c r="C2" s="7"/>
      <c r="D2" s="7"/>
      <c r="E2" s="7"/>
      <c r="F2" s="7"/>
      <c r="G2" s="7"/>
      <c r="H2" s="7"/>
      <c r="I2" s="7"/>
      <c r="J2" s="7"/>
      <c r="K2" s="7"/>
      <c r="L2" s="7"/>
      <c r="M2" s="7"/>
      <c r="N2" s="7"/>
      <c r="O2" s="7"/>
      <c r="P2" s="7"/>
      <c r="Q2" s="7"/>
      <c r="R2" s="7"/>
    </row>
    <row r="3" spans="1:18" ht="33.75" customHeight="1" x14ac:dyDescent="0.2">
      <c r="A3" s="10" t="s">
        <v>2</v>
      </c>
      <c r="B3" s="10" t="s">
        <v>3</v>
      </c>
      <c r="C3" s="10" t="s">
        <v>4</v>
      </c>
      <c r="D3" s="10" t="s">
        <v>5</v>
      </c>
      <c r="E3" s="10" t="s">
        <v>6</v>
      </c>
      <c r="F3" s="10" t="s">
        <v>7</v>
      </c>
      <c r="G3" s="10" t="s">
        <v>8</v>
      </c>
      <c r="H3" s="10" t="s">
        <v>9</v>
      </c>
      <c r="I3" s="10" t="s">
        <v>10</v>
      </c>
      <c r="J3" s="10" t="s">
        <v>11</v>
      </c>
      <c r="K3" s="10" t="s">
        <v>12</v>
      </c>
      <c r="L3" s="10" t="s">
        <v>13</v>
      </c>
      <c r="M3" s="10" t="s">
        <v>14</v>
      </c>
      <c r="N3" s="10" t="s">
        <v>15</v>
      </c>
      <c r="O3" s="10" t="s">
        <v>16</v>
      </c>
      <c r="P3" s="11" t="s">
        <v>17</v>
      </c>
      <c r="Q3" s="11" t="s">
        <v>18</v>
      </c>
      <c r="R3" s="11" t="s">
        <v>19</v>
      </c>
    </row>
    <row r="4" spans="1:18" ht="60" customHeight="1" x14ac:dyDescent="0.2">
      <c r="A4" s="12" t="s">
        <v>20</v>
      </c>
      <c r="B4" s="12" t="s">
        <v>21</v>
      </c>
      <c r="C4" s="12" t="s">
        <v>22</v>
      </c>
      <c r="D4" s="12" t="s">
        <v>23</v>
      </c>
      <c r="E4" s="12" t="s">
        <v>24</v>
      </c>
      <c r="F4" s="12" t="s">
        <v>25</v>
      </c>
      <c r="G4" s="12" t="s">
        <v>26</v>
      </c>
      <c r="H4" s="13" t="s">
        <v>27</v>
      </c>
      <c r="I4" s="13" t="s">
        <v>28</v>
      </c>
      <c r="J4" s="13" t="s">
        <v>29</v>
      </c>
      <c r="K4" s="13" t="s">
        <v>30</v>
      </c>
      <c r="L4" s="13" t="s">
        <v>31</v>
      </c>
      <c r="M4" s="13" t="s">
        <v>32</v>
      </c>
      <c r="N4" s="12" t="s">
        <v>33</v>
      </c>
      <c r="O4" s="14">
        <v>46249</v>
      </c>
      <c r="P4" s="15" t="s">
        <v>34</v>
      </c>
      <c r="Q4" s="13"/>
      <c r="R4" s="15" t="str">
        <f t="shared" ref="R4:R67" si="0">IF(J4="","Missing Link",IF(AND(ISNUMBER(SEARCH("google.com/maps",J4)),ISERROR(SEARCH(";",J4))),"Discovery Link Only","Source Link Present"))</f>
        <v>Source Link Present</v>
      </c>
    </row>
    <row r="5" spans="1:18" ht="60" customHeight="1" x14ac:dyDescent="0.2">
      <c r="A5" s="16" t="s">
        <v>35</v>
      </c>
      <c r="B5" s="16" t="s">
        <v>36</v>
      </c>
      <c r="C5" s="16" t="s">
        <v>22</v>
      </c>
      <c r="D5" s="16" t="s">
        <v>23</v>
      </c>
      <c r="E5" s="16" t="s">
        <v>37</v>
      </c>
      <c r="F5" s="16" t="s">
        <v>25</v>
      </c>
      <c r="G5" s="16" t="s">
        <v>26</v>
      </c>
      <c r="H5" s="17" t="s">
        <v>38</v>
      </c>
      <c r="I5" s="17" t="s">
        <v>39</v>
      </c>
      <c r="J5" s="17" t="s">
        <v>40</v>
      </c>
      <c r="K5" s="17" t="s">
        <v>30</v>
      </c>
      <c r="L5" s="17" t="s">
        <v>31</v>
      </c>
      <c r="M5" s="17" t="s">
        <v>32</v>
      </c>
      <c r="N5" s="16" t="s">
        <v>41</v>
      </c>
      <c r="O5" s="18">
        <v>46249</v>
      </c>
      <c r="P5" s="19" t="s">
        <v>34</v>
      </c>
      <c r="Q5" s="17"/>
      <c r="R5" s="19" t="str">
        <f t="shared" si="0"/>
        <v>Source Link Present</v>
      </c>
    </row>
    <row r="6" spans="1:18" ht="60" customHeight="1" x14ac:dyDescent="0.2">
      <c r="A6" s="16" t="s">
        <v>42</v>
      </c>
      <c r="B6" s="16" t="s">
        <v>43</v>
      </c>
      <c r="C6" s="16" t="s">
        <v>22</v>
      </c>
      <c r="D6" s="16" t="s">
        <v>44</v>
      </c>
      <c r="E6" s="16" t="s">
        <v>45</v>
      </c>
      <c r="F6" s="16" t="s">
        <v>25</v>
      </c>
      <c r="G6" s="16" t="s">
        <v>46</v>
      </c>
      <c r="H6" s="17" t="s">
        <v>47</v>
      </c>
      <c r="I6" s="17" t="s">
        <v>48</v>
      </c>
      <c r="J6" s="17" t="s">
        <v>49</v>
      </c>
      <c r="K6" s="17" t="s">
        <v>30</v>
      </c>
      <c r="L6" s="17" t="s">
        <v>31</v>
      </c>
      <c r="M6" s="17" t="s">
        <v>32</v>
      </c>
      <c r="N6" s="16" t="s">
        <v>50</v>
      </c>
      <c r="O6" s="18">
        <v>46249</v>
      </c>
      <c r="P6" s="19" t="s">
        <v>34</v>
      </c>
      <c r="Q6" s="17"/>
      <c r="R6" s="19" t="str">
        <f t="shared" si="0"/>
        <v>Source Link Present</v>
      </c>
    </row>
    <row r="7" spans="1:18" ht="60" customHeight="1" x14ac:dyDescent="0.2">
      <c r="A7" s="16" t="s">
        <v>51</v>
      </c>
      <c r="B7" s="16" t="s">
        <v>52</v>
      </c>
      <c r="C7" s="16" t="s">
        <v>22</v>
      </c>
      <c r="D7" s="16" t="s">
        <v>53</v>
      </c>
      <c r="E7" s="16" t="s">
        <v>54</v>
      </c>
      <c r="F7" s="16" t="s">
        <v>25</v>
      </c>
      <c r="G7" s="16" t="s">
        <v>46</v>
      </c>
      <c r="H7" s="17" t="s">
        <v>55</v>
      </c>
      <c r="I7" s="17" t="s">
        <v>56</v>
      </c>
      <c r="J7" s="17" t="s">
        <v>57</v>
      </c>
      <c r="K7" s="17" t="s">
        <v>30</v>
      </c>
      <c r="L7" s="17" t="s">
        <v>58</v>
      </c>
      <c r="M7" s="17" t="s">
        <v>59</v>
      </c>
      <c r="N7" s="16" t="s">
        <v>60</v>
      </c>
      <c r="O7" s="18">
        <v>46249</v>
      </c>
      <c r="P7" s="19" t="s">
        <v>34</v>
      </c>
      <c r="Q7" s="17"/>
      <c r="R7" s="19" t="str">
        <f t="shared" si="0"/>
        <v>Discovery Link Only</v>
      </c>
    </row>
    <row r="8" spans="1:18" ht="60" customHeight="1" x14ac:dyDescent="0.2">
      <c r="A8" s="16" t="s">
        <v>61</v>
      </c>
      <c r="B8" s="16" t="s">
        <v>62</v>
      </c>
      <c r="C8" s="16" t="s">
        <v>22</v>
      </c>
      <c r="D8" s="16" t="s">
        <v>63</v>
      </c>
      <c r="E8" s="16" t="s">
        <v>64</v>
      </c>
      <c r="F8" s="16" t="s">
        <v>25</v>
      </c>
      <c r="G8" s="16" t="s">
        <v>26</v>
      </c>
      <c r="H8" s="17" t="s">
        <v>65</v>
      </c>
      <c r="I8" s="17" t="s">
        <v>66</v>
      </c>
      <c r="J8" s="17" t="s">
        <v>67</v>
      </c>
      <c r="K8" s="17" t="s">
        <v>30</v>
      </c>
      <c r="L8" s="17" t="s">
        <v>58</v>
      </c>
      <c r="M8" s="17" t="s">
        <v>59</v>
      </c>
      <c r="N8" s="16" t="s">
        <v>68</v>
      </c>
      <c r="O8" s="18">
        <v>46249</v>
      </c>
      <c r="P8" s="19" t="s">
        <v>34</v>
      </c>
      <c r="Q8" s="17"/>
      <c r="R8" s="19" t="str">
        <f t="shared" si="0"/>
        <v>Discovery Link Only</v>
      </c>
    </row>
    <row r="9" spans="1:18" ht="60" customHeight="1" x14ac:dyDescent="0.2">
      <c r="A9" s="16" t="s">
        <v>69</v>
      </c>
      <c r="B9" s="16" t="s">
        <v>70</v>
      </c>
      <c r="C9" s="16" t="s">
        <v>22</v>
      </c>
      <c r="D9" s="16" t="s">
        <v>71</v>
      </c>
      <c r="E9" s="16" t="s">
        <v>72</v>
      </c>
      <c r="F9" s="16" t="s">
        <v>25</v>
      </c>
      <c r="G9" s="16" t="s">
        <v>26</v>
      </c>
      <c r="H9" s="17" t="s">
        <v>73</v>
      </c>
      <c r="I9" s="17" t="s">
        <v>74</v>
      </c>
      <c r="J9" s="17" t="s">
        <v>75</v>
      </c>
      <c r="K9" s="17" t="s">
        <v>30</v>
      </c>
      <c r="L9" s="17" t="s">
        <v>58</v>
      </c>
      <c r="M9" s="17" t="s">
        <v>59</v>
      </c>
      <c r="N9" s="16" t="s">
        <v>76</v>
      </c>
      <c r="O9" s="18">
        <v>46249</v>
      </c>
      <c r="P9" s="19" t="s">
        <v>34</v>
      </c>
      <c r="Q9" s="17"/>
      <c r="R9" s="19" t="str">
        <f t="shared" si="0"/>
        <v>Discovery Link Only</v>
      </c>
    </row>
    <row r="10" spans="1:18" ht="60" customHeight="1" x14ac:dyDescent="0.2">
      <c r="A10" s="16" t="s">
        <v>77</v>
      </c>
      <c r="B10" s="16" t="s">
        <v>78</v>
      </c>
      <c r="C10" s="16" t="s">
        <v>22</v>
      </c>
      <c r="D10" s="16" t="s">
        <v>79</v>
      </c>
      <c r="E10" s="16" t="s">
        <v>45</v>
      </c>
      <c r="F10" s="16" t="s">
        <v>25</v>
      </c>
      <c r="G10" s="16" t="s">
        <v>26</v>
      </c>
      <c r="H10" s="17" t="s">
        <v>80</v>
      </c>
      <c r="I10" s="17" t="s">
        <v>81</v>
      </c>
      <c r="J10" s="17" t="s">
        <v>82</v>
      </c>
      <c r="K10" s="17" t="s">
        <v>30</v>
      </c>
      <c r="L10" s="17" t="s">
        <v>58</v>
      </c>
      <c r="M10" s="17" t="s">
        <v>59</v>
      </c>
      <c r="N10" s="16" t="s">
        <v>83</v>
      </c>
      <c r="O10" s="18">
        <v>46249</v>
      </c>
      <c r="P10" s="19" t="s">
        <v>34</v>
      </c>
      <c r="Q10" s="17"/>
      <c r="R10" s="19" t="str">
        <f t="shared" si="0"/>
        <v>Discovery Link Only</v>
      </c>
    </row>
    <row r="11" spans="1:18" ht="60" customHeight="1" x14ac:dyDescent="0.2">
      <c r="A11" s="16" t="s">
        <v>84</v>
      </c>
      <c r="B11" s="16" t="s">
        <v>85</v>
      </c>
      <c r="C11" s="16" t="s">
        <v>22</v>
      </c>
      <c r="D11" s="16" t="s">
        <v>86</v>
      </c>
      <c r="E11" s="16" t="s">
        <v>45</v>
      </c>
      <c r="F11" s="16" t="s">
        <v>25</v>
      </c>
      <c r="G11" s="16" t="s">
        <v>26</v>
      </c>
      <c r="H11" s="17" t="s">
        <v>87</v>
      </c>
      <c r="I11" s="17" t="s">
        <v>88</v>
      </c>
      <c r="J11" s="17" t="s">
        <v>89</v>
      </c>
      <c r="K11" s="17" t="s">
        <v>30</v>
      </c>
      <c r="L11" s="17" t="s">
        <v>58</v>
      </c>
      <c r="M11" s="17" t="s">
        <v>59</v>
      </c>
      <c r="N11" s="16" t="s">
        <v>90</v>
      </c>
      <c r="O11" s="18">
        <v>46249</v>
      </c>
      <c r="P11" s="19" t="s">
        <v>34</v>
      </c>
      <c r="Q11" s="17"/>
      <c r="R11" s="19" t="str">
        <f t="shared" si="0"/>
        <v>Discovery Link Only</v>
      </c>
    </row>
    <row r="12" spans="1:18" ht="60" customHeight="1" x14ac:dyDescent="0.2">
      <c r="A12" s="16" t="s">
        <v>91</v>
      </c>
      <c r="B12" s="16" t="s">
        <v>92</v>
      </c>
      <c r="C12" s="16" t="s">
        <v>22</v>
      </c>
      <c r="D12" s="16" t="s">
        <v>71</v>
      </c>
      <c r="E12" s="16" t="s">
        <v>37</v>
      </c>
      <c r="F12" s="16" t="s">
        <v>25</v>
      </c>
      <c r="G12" s="16" t="s">
        <v>26</v>
      </c>
      <c r="H12" s="17" t="s">
        <v>93</v>
      </c>
      <c r="I12" s="17" t="s">
        <v>94</v>
      </c>
      <c r="J12" s="17" t="s">
        <v>95</v>
      </c>
      <c r="K12" s="17" t="s">
        <v>30</v>
      </c>
      <c r="L12" s="17" t="s">
        <v>58</v>
      </c>
      <c r="M12" s="17" t="s">
        <v>59</v>
      </c>
      <c r="N12" s="16" t="s">
        <v>96</v>
      </c>
      <c r="O12" s="18">
        <v>46249</v>
      </c>
      <c r="P12" s="19" t="s">
        <v>34</v>
      </c>
      <c r="Q12" s="17"/>
      <c r="R12" s="19" t="str">
        <f t="shared" si="0"/>
        <v>Discovery Link Only</v>
      </c>
    </row>
    <row r="13" spans="1:18" ht="60" customHeight="1" x14ac:dyDescent="0.2">
      <c r="A13" s="16" t="s">
        <v>97</v>
      </c>
      <c r="B13" s="16" t="s">
        <v>98</v>
      </c>
      <c r="C13" s="16" t="s">
        <v>22</v>
      </c>
      <c r="D13" s="16" t="s">
        <v>23</v>
      </c>
      <c r="E13" s="16" t="s">
        <v>99</v>
      </c>
      <c r="F13" s="16" t="s">
        <v>25</v>
      </c>
      <c r="G13" s="16" t="s">
        <v>46</v>
      </c>
      <c r="H13" s="17" t="s">
        <v>100</v>
      </c>
      <c r="I13" s="17" t="s">
        <v>101</v>
      </c>
      <c r="J13" s="17" t="s">
        <v>102</v>
      </c>
      <c r="K13" s="17" t="s">
        <v>30</v>
      </c>
      <c r="L13" s="17" t="s">
        <v>58</v>
      </c>
      <c r="M13" s="17" t="s">
        <v>59</v>
      </c>
      <c r="N13" s="16" t="s">
        <v>103</v>
      </c>
      <c r="O13" s="18">
        <v>46249</v>
      </c>
      <c r="P13" s="19" t="s">
        <v>34</v>
      </c>
      <c r="Q13" s="17"/>
      <c r="R13" s="19" t="str">
        <f t="shared" si="0"/>
        <v>Discovery Link Only</v>
      </c>
    </row>
    <row r="14" spans="1:18" ht="60" customHeight="1" x14ac:dyDescent="0.2">
      <c r="A14" s="16" t="s">
        <v>104</v>
      </c>
      <c r="B14" s="16" t="s">
        <v>105</v>
      </c>
      <c r="C14" s="16" t="s">
        <v>22</v>
      </c>
      <c r="D14" s="16" t="s">
        <v>23</v>
      </c>
      <c r="E14" s="16" t="s">
        <v>106</v>
      </c>
      <c r="F14" s="16" t="s">
        <v>107</v>
      </c>
      <c r="G14" s="16" t="s">
        <v>46</v>
      </c>
      <c r="H14" s="17" t="s">
        <v>108</v>
      </c>
      <c r="I14" s="17" t="s">
        <v>109</v>
      </c>
      <c r="J14" s="17" t="s">
        <v>110</v>
      </c>
      <c r="K14" s="17" t="s">
        <v>30</v>
      </c>
      <c r="L14" s="17" t="s">
        <v>111</v>
      </c>
      <c r="M14" s="17" t="s">
        <v>112</v>
      </c>
      <c r="N14" s="16"/>
      <c r="O14" s="18">
        <v>46249</v>
      </c>
      <c r="P14" s="19" t="s">
        <v>34</v>
      </c>
      <c r="Q14" s="17"/>
      <c r="R14" s="19" t="str">
        <f t="shared" si="0"/>
        <v>Discovery Link Only</v>
      </c>
    </row>
    <row r="15" spans="1:18" ht="60" customHeight="1" x14ac:dyDescent="0.2">
      <c r="A15" s="16" t="s">
        <v>113</v>
      </c>
      <c r="B15" s="16" t="s">
        <v>114</v>
      </c>
      <c r="C15" s="16" t="s">
        <v>22</v>
      </c>
      <c r="D15" s="16" t="s">
        <v>23</v>
      </c>
      <c r="E15" s="16" t="s">
        <v>115</v>
      </c>
      <c r="F15" s="16" t="s">
        <v>107</v>
      </c>
      <c r="G15" s="16" t="s">
        <v>46</v>
      </c>
      <c r="H15" s="17" t="s">
        <v>116</v>
      </c>
      <c r="I15" s="17" t="s">
        <v>117</v>
      </c>
      <c r="J15" s="17" t="s">
        <v>118</v>
      </c>
      <c r="K15" s="17" t="s">
        <v>30</v>
      </c>
      <c r="L15" s="17" t="s">
        <v>111</v>
      </c>
      <c r="M15" s="17" t="s">
        <v>112</v>
      </c>
      <c r="N15" s="16"/>
      <c r="O15" s="18">
        <v>46249</v>
      </c>
      <c r="P15" s="19" t="s">
        <v>34</v>
      </c>
      <c r="Q15" s="17"/>
      <c r="R15" s="19" t="str">
        <f t="shared" si="0"/>
        <v>Discovery Link Only</v>
      </c>
    </row>
    <row r="16" spans="1:18" ht="60" customHeight="1" x14ac:dyDescent="0.2">
      <c r="A16" s="16" t="s">
        <v>119</v>
      </c>
      <c r="B16" s="16" t="s">
        <v>120</v>
      </c>
      <c r="C16" s="16" t="s">
        <v>22</v>
      </c>
      <c r="D16" s="16" t="s">
        <v>23</v>
      </c>
      <c r="E16" s="16" t="s">
        <v>115</v>
      </c>
      <c r="F16" s="16" t="s">
        <v>121</v>
      </c>
      <c r="G16" s="16" t="s">
        <v>46</v>
      </c>
      <c r="H16" s="17" t="s">
        <v>122</v>
      </c>
      <c r="I16" s="17" t="s">
        <v>123</v>
      </c>
      <c r="J16" s="17" t="s">
        <v>124</v>
      </c>
      <c r="K16" s="17" t="s">
        <v>30</v>
      </c>
      <c r="L16" s="17" t="s">
        <v>111</v>
      </c>
      <c r="M16" s="17" t="s">
        <v>112</v>
      </c>
      <c r="N16" s="16"/>
      <c r="O16" s="18">
        <v>46249</v>
      </c>
      <c r="P16" s="19" t="s">
        <v>34</v>
      </c>
      <c r="Q16" s="17"/>
      <c r="R16" s="19" t="str">
        <f t="shared" si="0"/>
        <v>Discovery Link Only</v>
      </c>
    </row>
    <row r="17" spans="1:18" ht="60" customHeight="1" x14ac:dyDescent="0.2">
      <c r="A17" s="16" t="s">
        <v>125</v>
      </c>
      <c r="B17" s="16" t="s">
        <v>126</v>
      </c>
      <c r="C17" s="16" t="s">
        <v>22</v>
      </c>
      <c r="D17" s="16" t="s">
        <v>23</v>
      </c>
      <c r="E17" s="16" t="s">
        <v>106</v>
      </c>
      <c r="F17" s="16" t="s">
        <v>127</v>
      </c>
      <c r="G17" s="16" t="s">
        <v>46</v>
      </c>
      <c r="H17" s="17" t="s">
        <v>128</v>
      </c>
      <c r="I17" s="17" t="s">
        <v>129</v>
      </c>
      <c r="J17" s="17" t="s">
        <v>130</v>
      </c>
      <c r="K17" s="17" t="s">
        <v>30</v>
      </c>
      <c r="L17" s="17" t="s">
        <v>111</v>
      </c>
      <c r="M17" s="17" t="s">
        <v>112</v>
      </c>
      <c r="N17" s="16"/>
      <c r="O17" s="18">
        <v>46249</v>
      </c>
      <c r="P17" s="19" t="s">
        <v>34</v>
      </c>
      <c r="Q17" s="17"/>
      <c r="R17" s="19" t="str">
        <f t="shared" si="0"/>
        <v>Discovery Link Only</v>
      </c>
    </row>
    <row r="18" spans="1:18" ht="60" customHeight="1" x14ac:dyDescent="0.2">
      <c r="A18" s="16" t="s">
        <v>131</v>
      </c>
      <c r="B18" s="16" t="s">
        <v>132</v>
      </c>
      <c r="C18" s="16" t="s">
        <v>22</v>
      </c>
      <c r="D18" s="16" t="s">
        <v>23</v>
      </c>
      <c r="E18" s="16" t="s">
        <v>133</v>
      </c>
      <c r="F18" s="16" t="s">
        <v>107</v>
      </c>
      <c r="G18" s="16" t="s">
        <v>134</v>
      </c>
      <c r="H18" s="17" t="s">
        <v>135</v>
      </c>
      <c r="I18" s="17" t="s">
        <v>136</v>
      </c>
      <c r="J18" s="17" t="s">
        <v>137</v>
      </c>
      <c r="K18" s="17" t="s">
        <v>30</v>
      </c>
      <c r="L18" s="17" t="s">
        <v>111</v>
      </c>
      <c r="M18" s="17" t="s">
        <v>112</v>
      </c>
      <c r="N18" s="16"/>
      <c r="O18" s="18">
        <v>46249</v>
      </c>
      <c r="P18" s="19" t="s">
        <v>34</v>
      </c>
      <c r="Q18" s="17"/>
      <c r="R18" s="19" t="str">
        <f t="shared" si="0"/>
        <v>Discovery Link Only</v>
      </c>
    </row>
    <row r="19" spans="1:18" ht="60" customHeight="1" x14ac:dyDescent="0.2">
      <c r="A19" s="16" t="s">
        <v>138</v>
      </c>
      <c r="B19" s="16" t="s">
        <v>139</v>
      </c>
      <c r="C19" s="16" t="s">
        <v>22</v>
      </c>
      <c r="D19" s="16" t="s">
        <v>53</v>
      </c>
      <c r="E19" s="16" t="s">
        <v>140</v>
      </c>
      <c r="F19" s="16" t="s">
        <v>107</v>
      </c>
      <c r="G19" s="16" t="s">
        <v>46</v>
      </c>
      <c r="H19" s="17" t="s">
        <v>141</v>
      </c>
      <c r="I19" s="17" t="s">
        <v>142</v>
      </c>
      <c r="J19" s="17" t="s">
        <v>143</v>
      </c>
      <c r="K19" s="17" t="s">
        <v>30</v>
      </c>
      <c r="L19" s="17" t="s">
        <v>111</v>
      </c>
      <c r="M19" s="17" t="s">
        <v>112</v>
      </c>
      <c r="N19" s="16"/>
      <c r="O19" s="18">
        <v>46249</v>
      </c>
      <c r="P19" s="19" t="s">
        <v>34</v>
      </c>
      <c r="Q19" s="17"/>
      <c r="R19" s="19" t="str">
        <f t="shared" si="0"/>
        <v>Discovery Link Only</v>
      </c>
    </row>
    <row r="20" spans="1:18" ht="60" customHeight="1" x14ac:dyDescent="0.2">
      <c r="A20" s="16" t="s">
        <v>144</v>
      </c>
      <c r="B20" s="16" t="s">
        <v>145</v>
      </c>
      <c r="C20" s="16" t="s">
        <v>22</v>
      </c>
      <c r="D20" s="16" t="s">
        <v>53</v>
      </c>
      <c r="E20" s="16" t="s">
        <v>140</v>
      </c>
      <c r="F20" s="16" t="s">
        <v>121</v>
      </c>
      <c r="G20" s="16" t="s">
        <v>46</v>
      </c>
      <c r="H20" s="17" t="s">
        <v>146</v>
      </c>
      <c r="I20" s="17" t="s">
        <v>147</v>
      </c>
      <c r="J20" s="17" t="s">
        <v>148</v>
      </c>
      <c r="K20" s="17" t="s">
        <v>30</v>
      </c>
      <c r="L20" s="17" t="s">
        <v>111</v>
      </c>
      <c r="M20" s="17" t="s">
        <v>112</v>
      </c>
      <c r="N20" s="16"/>
      <c r="O20" s="18">
        <v>46249</v>
      </c>
      <c r="P20" s="19" t="s">
        <v>34</v>
      </c>
      <c r="Q20" s="17"/>
      <c r="R20" s="19" t="str">
        <f t="shared" si="0"/>
        <v>Discovery Link Only</v>
      </c>
    </row>
    <row r="21" spans="1:18" ht="60" customHeight="1" x14ac:dyDescent="0.2">
      <c r="A21" s="16" t="s">
        <v>149</v>
      </c>
      <c r="B21" s="16" t="s">
        <v>150</v>
      </c>
      <c r="C21" s="16" t="s">
        <v>22</v>
      </c>
      <c r="D21" s="16" t="s">
        <v>86</v>
      </c>
      <c r="E21" s="16" t="s">
        <v>151</v>
      </c>
      <c r="F21" s="16" t="s">
        <v>107</v>
      </c>
      <c r="G21" s="16" t="s">
        <v>134</v>
      </c>
      <c r="H21" s="17" t="s">
        <v>152</v>
      </c>
      <c r="I21" s="17" t="s">
        <v>153</v>
      </c>
      <c r="J21" s="17" t="s">
        <v>154</v>
      </c>
      <c r="K21" s="17" t="s">
        <v>30</v>
      </c>
      <c r="L21" s="17" t="s">
        <v>111</v>
      </c>
      <c r="M21" s="17" t="s">
        <v>112</v>
      </c>
      <c r="N21" s="16"/>
      <c r="O21" s="18">
        <v>46249</v>
      </c>
      <c r="P21" s="19" t="s">
        <v>34</v>
      </c>
      <c r="Q21" s="17"/>
      <c r="R21" s="19" t="str">
        <f t="shared" si="0"/>
        <v>Discovery Link Only</v>
      </c>
    </row>
    <row r="22" spans="1:18" ht="60" customHeight="1" x14ac:dyDescent="0.2">
      <c r="A22" s="16" t="s">
        <v>155</v>
      </c>
      <c r="B22" s="16" t="s">
        <v>156</v>
      </c>
      <c r="C22" s="16" t="s">
        <v>22</v>
      </c>
      <c r="D22" s="16" t="s">
        <v>71</v>
      </c>
      <c r="E22" s="16" t="s">
        <v>45</v>
      </c>
      <c r="F22" s="16" t="s">
        <v>107</v>
      </c>
      <c r="G22" s="16" t="s">
        <v>26</v>
      </c>
      <c r="H22" s="17" t="s">
        <v>157</v>
      </c>
      <c r="I22" s="17" t="s">
        <v>158</v>
      </c>
      <c r="J22" s="17" t="s">
        <v>159</v>
      </c>
      <c r="K22" s="17" t="s">
        <v>30</v>
      </c>
      <c r="L22" s="17" t="s">
        <v>111</v>
      </c>
      <c r="M22" s="17" t="s">
        <v>112</v>
      </c>
      <c r="N22" s="16"/>
      <c r="O22" s="18">
        <v>46249</v>
      </c>
      <c r="P22" s="19" t="s">
        <v>34</v>
      </c>
      <c r="Q22" s="17"/>
      <c r="R22" s="19" t="str">
        <f t="shared" si="0"/>
        <v>Discovery Link Only</v>
      </c>
    </row>
    <row r="23" spans="1:18" ht="60" customHeight="1" x14ac:dyDescent="0.2">
      <c r="A23" s="16" t="s">
        <v>160</v>
      </c>
      <c r="B23" s="16" t="s">
        <v>161</v>
      </c>
      <c r="C23" s="16" t="s">
        <v>22</v>
      </c>
      <c r="D23" s="16" t="s">
        <v>71</v>
      </c>
      <c r="E23" s="16" t="s">
        <v>162</v>
      </c>
      <c r="F23" s="16" t="s">
        <v>121</v>
      </c>
      <c r="G23" s="16" t="s">
        <v>46</v>
      </c>
      <c r="H23" s="17" t="s">
        <v>163</v>
      </c>
      <c r="I23" s="17" t="s">
        <v>164</v>
      </c>
      <c r="J23" s="17" t="s">
        <v>165</v>
      </c>
      <c r="K23" s="17" t="s">
        <v>30</v>
      </c>
      <c r="L23" s="17" t="s">
        <v>111</v>
      </c>
      <c r="M23" s="17" t="s">
        <v>112</v>
      </c>
      <c r="N23" s="16"/>
      <c r="O23" s="18">
        <v>46249</v>
      </c>
      <c r="P23" s="19" t="s">
        <v>34</v>
      </c>
      <c r="Q23" s="17"/>
      <c r="R23" s="19" t="str">
        <f t="shared" si="0"/>
        <v>Discovery Link Only</v>
      </c>
    </row>
    <row r="24" spans="1:18" ht="60" customHeight="1" x14ac:dyDescent="0.2">
      <c r="A24" s="16" t="s">
        <v>166</v>
      </c>
      <c r="B24" s="16" t="s">
        <v>167</v>
      </c>
      <c r="C24" s="16" t="s">
        <v>22</v>
      </c>
      <c r="D24" s="16" t="s">
        <v>71</v>
      </c>
      <c r="E24" s="16" t="s">
        <v>140</v>
      </c>
      <c r="F24" s="16" t="s">
        <v>121</v>
      </c>
      <c r="G24" s="16" t="s">
        <v>46</v>
      </c>
      <c r="H24" s="17" t="s">
        <v>168</v>
      </c>
      <c r="I24" s="17" t="s">
        <v>169</v>
      </c>
      <c r="J24" s="17" t="s">
        <v>170</v>
      </c>
      <c r="K24" s="17" t="s">
        <v>30</v>
      </c>
      <c r="L24" s="17" t="s">
        <v>111</v>
      </c>
      <c r="M24" s="17" t="s">
        <v>112</v>
      </c>
      <c r="N24" s="16"/>
      <c r="O24" s="18">
        <v>46249</v>
      </c>
      <c r="P24" s="19" t="s">
        <v>34</v>
      </c>
      <c r="Q24" s="17"/>
      <c r="R24" s="19" t="str">
        <f t="shared" si="0"/>
        <v>Discovery Link Only</v>
      </c>
    </row>
    <row r="25" spans="1:18" ht="60" customHeight="1" x14ac:dyDescent="0.2">
      <c r="A25" s="16" t="s">
        <v>171</v>
      </c>
      <c r="B25" s="16" t="s">
        <v>172</v>
      </c>
      <c r="C25" s="16" t="s">
        <v>22</v>
      </c>
      <c r="D25" s="16" t="s">
        <v>173</v>
      </c>
      <c r="E25" s="16" t="s">
        <v>72</v>
      </c>
      <c r="F25" s="16" t="s">
        <v>107</v>
      </c>
      <c r="G25" s="16" t="s">
        <v>26</v>
      </c>
      <c r="H25" s="17" t="s">
        <v>174</v>
      </c>
      <c r="I25" s="17" t="s">
        <v>175</v>
      </c>
      <c r="J25" s="17" t="s">
        <v>176</v>
      </c>
      <c r="K25" s="17" t="s">
        <v>30</v>
      </c>
      <c r="L25" s="17" t="s">
        <v>111</v>
      </c>
      <c r="M25" s="17" t="s">
        <v>112</v>
      </c>
      <c r="N25" s="16"/>
      <c r="O25" s="18">
        <v>46249</v>
      </c>
      <c r="P25" s="19" t="s">
        <v>34</v>
      </c>
      <c r="Q25" s="17"/>
      <c r="R25" s="19" t="str">
        <f t="shared" si="0"/>
        <v>Discovery Link Only</v>
      </c>
    </row>
    <row r="26" spans="1:18" ht="60" customHeight="1" x14ac:dyDescent="0.2">
      <c r="A26" s="16" t="s">
        <v>177</v>
      </c>
      <c r="B26" s="16" t="s">
        <v>178</v>
      </c>
      <c r="C26" s="16" t="s">
        <v>22</v>
      </c>
      <c r="D26" s="16" t="s">
        <v>173</v>
      </c>
      <c r="E26" s="16" t="s">
        <v>72</v>
      </c>
      <c r="F26" s="16" t="s">
        <v>127</v>
      </c>
      <c r="G26" s="16" t="s">
        <v>26</v>
      </c>
      <c r="H26" s="17" t="s">
        <v>179</v>
      </c>
      <c r="I26" s="17" t="s">
        <v>180</v>
      </c>
      <c r="J26" s="17" t="s">
        <v>181</v>
      </c>
      <c r="K26" s="17" t="s">
        <v>30</v>
      </c>
      <c r="L26" s="17" t="s">
        <v>111</v>
      </c>
      <c r="M26" s="17" t="s">
        <v>112</v>
      </c>
      <c r="N26" s="16"/>
      <c r="O26" s="18">
        <v>46249</v>
      </c>
      <c r="P26" s="19" t="s">
        <v>34</v>
      </c>
      <c r="Q26" s="17"/>
      <c r="R26" s="19" t="str">
        <f t="shared" si="0"/>
        <v>Discovery Link Only</v>
      </c>
    </row>
    <row r="27" spans="1:18" ht="60" customHeight="1" x14ac:dyDescent="0.2">
      <c r="A27" s="16" t="s">
        <v>182</v>
      </c>
      <c r="B27" s="16" t="s">
        <v>183</v>
      </c>
      <c r="C27" s="16" t="s">
        <v>22</v>
      </c>
      <c r="D27" s="16" t="s">
        <v>173</v>
      </c>
      <c r="E27" s="16" t="s">
        <v>72</v>
      </c>
      <c r="F27" s="16" t="s">
        <v>127</v>
      </c>
      <c r="G27" s="16" t="s">
        <v>26</v>
      </c>
      <c r="H27" s="17" t="s">
        <v>184</v>
      </c>
      <c r="I27" s="17" t="s">
        <v>185</v>
      </c>
      <c r="J27" s="17" t="s">
        <v>186</v>
      </c>
      <c r="K27" s="17" t="s">
        <v>30</v>
      </c>
      <c r="L27" s="17" t="s">
        <v>111</v>
      </c>
      <c r="M27" s="17" t="s">
        <v>112</v>
      </c>
      <c r="N27" s="16"/>
      <c r="O27" s="18">
        <v>46249</v>
      </c>
      <c r="P27" s="19" t="s">
        <v>34</v>
      </c>
      <c r="Q27" s="17"/>
      <c r="R27" s="19" t="str">
        <f t="shared" si="0"/>
        <v>Discovery Link Only</v>
      </c>
    </row>
    <row r="28" spans="1:18" ht="60" customHeight="1" x14ac:dyDescent="0.2">
      <c r="A28" s="16" t="s">
        <v>187</v>
      </c>
      <c r="B28" s="16" t="s">
        <v>188</v>
      </c>
      <c r="C28" s="16" t="s">
        <v>22</v>
      </c>
      <c r="D28" s="16" t="s">
        <v>173</v>
      </c>
      <c r="E28" s="16" t="s">
        <v>72</v>
      </c>
      <c r="F28" s="16" t="s">
        <v>121</v>
      </c>
      <c r="G28" s="16" t="s">
        <v>26</v>
      </c>
      <c r="H28" s="17" t="s">
        <v>189</v>
      </c>
      <c r="I28" s="17" t="s">
        <v>190</v>
      </c>
      <c r="J28" s="17" t="s">
        <v>191</v>
      </c>
      <c r="K28" s="17" t="s">
        <v>30</v>
      </c>
      <c r="L28" s="17" t="s">
        <v>111</v>
      </c>
      <c r="M28" s="17" t="s">
        <v>112</v>
      </c>
      <c r="N28" s="16"/>
      <c r="O28" s="18">
        <v>46249</v>
      </c>
      <c r="P28" s="19" t="s">
        <v>34</v>
      </c>
      <c r="Q28" s="17"/>
      <c r="R28" s="19" t="str">
        <f t="shared" si="0"/>
        <v>Discovery Link Only</v>
      </c>
    </row>
    <row r="29" spans="1:18" ht="60" customHeight="1" x14ac:dyDescent="0.2">
      <c r="A29" s="16" t="s">
        <v>192</v>
      </c>
      <c r="B29" s="16" t="s">
        <v>193</v>
      </c>
      <c r="C29" s="16" t="s">
        <v>22</v>
      </c>
      <c r="D29" s="16" t="s">
        <v>173</v>
      </c>
      <c r="E29" s="16" t="s">
        <v>45</v>
      </c>
      <c r="F29" s="16" t="s">
        <v>194</v>
      </c>
      <c r="G29" s="16" t="s">
        <v>26</v>
      </c>
      <c r="H29" s="17" t="s">
        <v>195</v>
      </c>
      <c r="I29" s="17" t="s">
        <v>196</v>
      </c>
      <c r="J29" s="17" t="s">
        <v>197</v>
      </c>
      <c r="K29" s="17" t="s">
        <v>30</v>
      </c>
      <c r="L29" s="17" t="s">
        <v>111</v>
      </c>
      <c r="M29" s="17" t="s">
        <v>112</v>
      </c>
      <c r="N29" s="16"/>
      <c r="O29" s="18">
        <v>46249</v>
      </c>
      <c r="P29" s="19" t="s">
        <v>34</v>
      </c>
      <c r="Q29" s="17"/>
      <c r="R29" s="19" t="str">
        <f t="shared" si="0"/>
        <v>Discovery Link Only</v>
      </c>
    </row>
    <row r="30" spans="1:18" ht="60" customHeight="1" x14ac:dyDescent="0.2">
      <c r="A30" s="16" t="s">
        <v>198</v>
      </c>
      <c r="B30" s="16" t="s">
        <v>199</v>
      </c>
      <c r="C30" s="16" t="s">
        <v>22</v>
      </c>
      <c r="D30" s="16" t="s">
        <v>79</v>
      </c>
      <c r="E30" s="16" t="s">
        <v>99</v>
      </c>
      <c r="F30" s="16" t="s">
        <v>121</v>
      </c>
      <c r="G30" s="16" t="s">
        <v>46</v>
      </c>
      <c r="H30" s="17" t="s">
        <v>200</v>
      </c>
      <c r="I30" s="17" t="s">
        <v>201</v>
      </c>
      <c r="J30" s="17" t="s">
        <v>202</v>
      </c>
      <c r="K30" s="17" t="s">
        <v>30</v>
      </c>
      <c r="L30" s="17" t="s">
        <v>111</v>
      </c>
      <c r="M30" s="17" t="s">
        <v>112</v>
      </c>
      <c r="N30" s="16"/>
      <c r="O30" s="18">
        <v>46249</v>
      </c>
      <c r="P30" s="19" t="s">
        <v>34</v>
      </c>
      <c r="Q30" s="17"/>
      <c r="R30" s="19" t="str">
        <f t="shared" si="0"/>
        <v>Discovery Link Only</v>
      </c>
    </row>
    <row r="31" spans="1:18" ht="60" customHeight="1" x14ac:dyDescent="0.2">
      <c r="A31" s="16" t="s">
        <v>203</v>
      </c>
      <c r="B31" s="16" t="s">
        <v>204</v>
      </c>
      <c r="C31" s="16" t="s">
        <v>22</v>
      </c>
      <c r="D31" s="16" t="s">
        <v>79</v>
      </c>
      <c r="E31" s="16" t="s">
        <v>45</v>
      </c>
      <c r="F31" s="16" t="s">
        <v>127</v>
      </c>
      <c r="G31" s="16" t="s">
        <v>26</v>
      </c>
      <c r="H31" s="17" t="s">
        <v>205</v>
      </c>
      <c r="I31" s="17" t="s">
        <v>206</v>
      </c>
      <c r="J31" s="17" t="s">
        <v>207</v>
      </c>
      <c r="K31" s="17" t="s">
        <v>30</v>
      </c>
      <c r="L31" s="17" t="s">
        <v>111</v>
      </c>
      <c r="M31" s="17" t="s">
        <v>112</v>
      </c>
      <c r="N31" s="16"/>
      <c r="O31" s="18">
        <v>46249</v>
      </c>
      <c r="P31" s="19" t="s">
        <v>34</v>
      </c>
      <c r="Q31" s="17"/>
      <c r="R31" s="19" t="str">
        <f t="shared" si="0"/>
        <v>Discovery Link Only</v>
      </c>
    </row>
    <row r="32" spans="1:18" ht="60" customHeight="1" x14ac:dyDescent="0.2">
      <c r="A32" s="16" t="s">
        <v>208</v>
      </c>
      <c r="B32" s="16" t="s">
        <v>209</v>
      </c>
      <c r="C32" s="16" t="s">
        <v>22</v>
      </c>
      <c r="D32" s="16" t="s">
        <v>210</v>
      </c>
      <c r="E32" s="16" t="s">
        <v>72</v>
      </c>
      <c r="F32" s="16" t="s">
        <v>121</v>
      </c>
      <c r="G32" s="16" t="s">
        <v>26</v>
      </c>
      <c r="H32" s="17" t="s">
        <v>211</v>
      </c>
      <c r="I32" s="17" t="s">
        <v>212</v>
      </c>
      <c r="J32" s="17" t="s">
        <v>213</v>
      </c>
      <c r="K32" s="17" t="s">
        <v>30</v>
      </c>
      <c r="L32" s="17" t="s">
        <v>111</v>
      </c>
      <c r="M32" s="17" t="s">
        <v>112</v>
      </c>
      <c r="N32" s="16"/>
      <c r="O32" s="18">
        <v>46249</v>
      </c>
      <c r="P32" s="19" t="s">
        <v>34</v>
      </c>
      <c r="Q32" s="17"/>
      <c r="R32" s="19" t="str">
        <f t="shared" si="0"/>
        <v>Discovery Link Only</v>
      </c>
    </row>
    <row r="33" spans="1:18" ht="60" customHeight="1" x14ac:dyDescent="0.2">
      <c r="A33" s="16" t="s">
        <v>214</v>
      </c>
      <c r="B33" s="16" t="s">
        <v>215</v>
      </c>
      <c r="C33" s="16" t="s">
        <v>22</v>
      </c>
      <c r="D33" s="16" t="s">
        <v>210</v>
      </c>
      <c r="E33" s="16" t="s">
        <v>106</v>
      </c>
      <c r="F33" s="16" t="s">
        <v>127</v>
      </c>
      <c r="G33" s="16" t="s">
        <v>46</v>
      </c>
      <c r="H33" s="17" t="s">
        <v>216</v>
      </c>
      <c r="I33" s="17" t="s">
        <v>217</v>
      </c>
      <c r="J33" s="17" t="s">
        <v>218</v>
      </c>
      <c r="K33" s="17" t="s">
        <v>30</v>
      </c>
      <c r="L33" s="17" t="s">
        <v>111</v>
      </c>
      <c r="M33" s="17" t="s">
        <v>112</v>
      </c>
      <c r="N33" s="16"/>
      <c r="O33" s="18">
        <v>46249</v>
      </c>
      <c r="P33" s="19" t="s">
        <v>34</v>
      </c>
      <c r="Q33" s="17"/>
      <c r="R33" s="19" t="str">
        <f t="shared" si="0"/>
        <v>Discovery Link Only</v>
      </c>
    </row>
    <row r="34" spans="1:18" ht="60" customHeight="1" x14ac:dyDescent="0.2">
      <c r="A34" s="16" t="s">
        <v>219</v>
      </c>
      <c r="B34" s="16" t="s">
        <v>220</v>
      </c>
      <c r="C34" s="16" t="s">
        <v>22</v>
      </c>
      <c r="D34" s="16" t="s">
        <v>221</v>
      </c>
      <c r="E34" s="16" t="s">
        <v>24</v>
      </c>
      <c r="F34" s="16" t="s">
        <v>121</v>
      </c>
      <c r="G34" s="16" t="s">
        <v>26</v>
      </c>
      <c r="H34" s="17" t="s">
        <v>222</v>
      </c>
      <c r="I34" s="17" t="s">
        <v>223</v>
      </c>
      <c r="J34" s="17" t="s">
        <v>224</v>
      </c>
      <c r="K34" s="17" t="s">
        <v>30</v>
      </c>
      <c r="L34" s="17" t="s">
        <v>111</v>
      </c>
      <c r="M34" s="17" t="s">
        <v>112</v>
      </c>
      <c r="N34" s="16"/>
      <c r="O34" s="18">
        <v>46249</v>
      </c>
      <c r="P34" s="19" t="s">
        <v>34</v>
      </c>
      <c r="Q34" s="17"/>
      <c r="R34" s="19" t="str">
        <f t="shared" si="0"/>
        <v>Discovery Link Only</v>
      </c>
    </row>
    <row r="35" spans="1:18" ht="60" customHeight="1" x14ac:dyDescent="0.2">
      <c r="A35" s="16" t="s">
        <v>225</v>
      </c>
      <c r="B35" s="16" t="s">
        <v>226</v>
      </c>
      <c r="C35" s="16" t="s">
        <v>22</v>
      </c>
      <c r="D35" s="16" t="s">
        <v>221</v>
      </c>
      <c r="E35" s="16" t="s">
        <v>115</v>
      </c>
      <c r="F35" s="16" t="s">
        <v>121</v>
      </c>
      <c r="G35" s="16" t="s">
        <v>46</v>
      </c>
      <c r="H35" s="17" t="s">
        <v>227</v>
      </c>
      <c r="I35" s="17" t="s">
        <v>228</v>
      </c>
      <c r="J35" s="17" t="s">
        <v>229</v>
      </c>
      <c r="K35" s="17" t="s">
        <v>30</v>
      </c>
      <c r="L35" s="17" t="s">
        <v>111</v>
      </c>
      <c r="M35" s="17" t="s">
        <v>112</v>
      </c>
      <c r="N35" s="16"/>
      <c r="O35" s="18">
        <v>46249</v>
      </c>
      <c r="P35" s="19" t="s">
        <v>34</v>
      </c>
      <c r="Q35" s="17"/>
      <c r="R35" s="19" t="str">
        <f t="shared" si="0"/>
        <v>Discovery Link Only</v>
      </c>
    </row>
    <row r="36" spans="1:18" ht="60" customHeight="1" x14ac:dyDescent="0.2">
      <c r="A36" s="16" t="s">
        <v>230</v>
      </c>
      <c r="B36" s="16" t="s">
        <v>231</v>
      </c>
      <c r="C36" s="16" t="s">
        <v>22</v>
      </c>
      <c r="D36" s="16" t="s">
        <v>232</v>
      </c>
      <c r="E36" s="16" t="s">
        <v>45</v>
      </c>
      <c r="F36" s="16" t="s">
        <v>107</v>
      </c>
      <c r="G36" s="16" t="s">
        <v>26</v>
      </c>
      <c r="H36" s="17" t="s">
        <v>233</v>
      </c>
      <c r="I36" s="17" t="s">
        <v>234</v>
      </c>
      <c r="J36" s="17" t="s">
        <v>235</v>
      </c>
      <c r="K36" s="17" t="s">
        <v>30</v>
      </c>
      <c r="L36" s="17" t="s">
        <v>111</v>
      </c>
      <c r="M36" s="17" t="s">
        <v>112</v>
      </c>
      <c r="N36" s="16"/>
      <c r="O36" s="18">
        <v>46249</v>
      </c>
      <c r="P36" s="19" t="s">
        <v>34</v>
      </c>
      <c r="Q36" s="17"/>
      <c r="R36" s="19" t="str">
        <f t="shared" si="0"/>
        <v>Discovery Link Only</v>
      </c>
    </row>
    <row r="37" spans="1:18" ht="60" customHeight="1" x14ac:dyDescent="0.2">
      <c r="A37" s="16" t="s">
        <v>236</v>
      </c>
      <c r="B37" s="16" t="s">
        <v>237</v>
      </c>
      <c r="C37" s="16" t="s">
        <v>22</v>
      </c>
      <c r="D37" s="16" t="s">
        <v>232</v>
      </c>
      <c r="E37" s="16" t="s">
        <v>162</v>
      </c>
      <c r="F37" s="16" t="s">
        <v>121</v>
      </c>
      <c r="G37" s="16" t="s">
        <v>46</v>
      </c>
      <c r="H37" s="17" t="s">
        <v>238</v>
      </c>
      <c r="I37" s="17" t="s">
        <v>239</v>
      </c>
      <c r="J37" s="17" t="s">
        <v>240</v>
      </c>
      <c r="K37" s="17" t="s">
        <v>30</v>
      </c>
      <c r="L37" s="17" t="s">
        <v>111</v>
      </c>
      <c r="M37" s="17" t="s">
        <v>112</v>
      </c>
      <c r="N37" s="16"/>
      <c r="O37" s="18">
        <v>46249</v>
      </c>
      <c r="P37" s="19" t="s">
        <v>34</v>
      </c>
      <c r="Q37" s="17"/>
      <c r="R37" s="19" t="str">
        <f t="shared" si="0"/>
        <v>Discovery Link Only</v>
      </c>
    </row>
    <row r="38" spans="1:18" ht="60" customHeight="1" x14ac:dyDescent="0.2">
      <c r="A38" s="16" t="s">
        <v>241</v>
      </c>
      <c r="B38" s="16" t="s">
        <v>242</v>
      </c>
      <c r="C38" s="16" t="s">
        <v>22</v>
      </c>
      <c r="D38" s="16" t="s">
        <v>243</v>
      </c>
      <c r="E38" s="16" t="s">
        <v>45</v>
      </c>
      <c r="F38" s="16" t="s">
        <v>194</v>
      </c>
      <c r="G38" s="16" t="s">
        <v>26</v>
      </c>
      <c r="H38" s="17" t="s">
        <v>244</v>
      </c>
      <c r="I38" s="17" t="s">
        <v>245</v>
      </c>
      <c r="J38" s="17" t="s">
        <v>246</v>
      </c>
      <c r="K38" s="17" t="s">
        <v>30</v>
      </c>
      <c r="L38" s="17" t="s">
        <v>111</v>
      </c>
      <c r="M38" s="17" t="s">
        <v>112</v>
      </c>
      <c r="N38" s="16"/>
      <c r="O38" s="18">
        <v>46249</v>
      </c>
      <c r="P38" s="19" t="s">
        <v>34</v>
      </c>
      <c r="Q38" s="17"/>
      <c r="R38" s="19" t="str">
        <f t="shared" si="0"/>
        <v>Discovery Link Only</v>
      </c>
    </row>
    <row r="39" spans="1:18" ht="60" customHeight="1" x14ac:dyDescent="0.2">
      <c r="A39" s="16" t="s">
        <v>247</v>
      </c>
      <c r="B39" s="16" t="s">
        <v>248</v>
      </c>
      <c r="C39" s="16" t="s">
        <v>249</v>
      </c>
      <c r="D39" s="16" t="s">
        <v>250</v>
      </c>
      <c r="E39" s="16" t="s">
        <v>251</v>
      </c>
      <c r="F39" s="16" t="s">
        <v>25</v>
      </c>
      <c r="G39" s="16" t="s">
        <v>26</v>
      </c>
      <c r="H39" s="17" t="s">
        <v>252</v>
      </c>
      <c r="I39" s="17" t="s">
        <v>253</v>
      </c>
      <c r="J39" s="17" t="s">
        <v>254</v>
      </c>
      <c r="K39" s="17" t="s">
        <v>255</v>
      </c>
      <c r="L39" s="17" t="s">
        <v>58</v>
      </c>
      <c r="M39" s="17" t="s">
        <v>256</v>
      </c>
      <c r="N39" s="16" t="s">
        <v>257</v>
      </c>
      <c r="O39" s="18">
        <v>46249</v>
      </c>
      <c r="P39" s="19" t="s">
        <v>34</v>
      </c>
      <c r="Q39" s="17"/>
      <c r="R39" s="19" t="str">
        <f t="shared" si="0"/>
        <v>Source Link Present</v>
      </c>
    </row>
    <row r="40" spans="1:18" ht="60" customHeight="1" x14ac:dyDescent="0.2">
      <c r="A40" s="16" t="s">
        <v>258</v>
      </c>
      <c r="B40" s="16" t="s">
        <v>259</v>
      </c>
      <c r="C40" s="16" t="s">
        <v>249</v>
      </c>
      <c r="D40" s="16" t="s">
        <v>260</v>
      </c>
      <c r="E40" s="16" t="s">
        <v>72</v>
      </c>
      <c r="F40" s="16" t="s">
        <v>25</v>
      </c>
      <c r="G40" s="16" t="s">
        <v>26</v>
      </c>
      <c r="H40" s="17" t="s">
        <v>261</v>
      </c>
      <c r="I40" s="17" t="s">
        <v>262</v>
      </c>
      <c r="J40" s="17" t="s">
        <v>263</v>
      </c>
      <c r="K40" s="17" t="s">
        <v>255</v>
      </c>
      <c r="L40" s="17" t="s">
        <v>58</v>
      </c>
      <c r="M40" s="17" t="s">
        <v>256</v>
      </c>
      <c r="N40" s="16" t="s">
        <v>264</v>
      </c>
      <c r="O40" s="18">
        <v>46249</v>
      </c>
      <c r="P40" s="19" t="s">
        <v>34</v>
      </c>
      <c r="Q40" s="17"/>
      <c r="R40" s="19" t="str">
        <f t="shared" si="0"/>
        <v>Source Link Present</v>
      </c>
    </row>
    <row r="41" spans="1:18" ht="60" customHeight="1" x14ac:dyDescent="0.2">
      <c r="A41" s="16" t="s">
        <v>265</v>
      </c>
      <c r="B41" s="16" t="s">
        <v>266</v>
      </c>
      <c r="C41" s="16" t="s">
        <v>249</v>
      </c>
      <c r="D41" s="16" t="s">
        <v>267</v>
      </c>
      <c r="E41" s="16" t="s">
        <v>251</v>
      </c>
      <c r="F41" s="16" t="s">
        <v>25</v>
      </c>
      <c r="G41" s="16" t="s">
        <v>26</v>
      </c>
      <c r="H41" s="17" t="s">
        <v>268</v>
      </c>
      <c r="I41" s="17" t="s">
        <v>269</v>
      </c>
      <c r="J41" s="17" t="s">
        <v>270</v>
      </c>
      <c r="K41" s="17" t="s">
        <v>255</v>
      </c>
      <c r="L41" s="17" t="s">
        <v>58</v>
      </c>
      <c r="M41" s="17" t="s">
        <v>256</v>
      </c>
      <c r="N41" s="16" t="s">
        <v>271</v>
      </c>
      <c r="O41" s="18">
        <v>46249</v>
      </c>
      <c r="P41" s="19" t="s">
        <v>34</v>
      </c>
      <c r="Q41" s="17"/>
      <c r="R41" s="19" t="str">
        <f t="shared" si="0"/>
        <v>Discovery Link Only</v>
      </c>
    </row>
    <row r="42" spans="1:18" ht="60" customHeight="1" x14ac:dyDescent="0.2">
      <c r="A42" s="16" t="s">
        <v>272</v>
      </c>
      <c r="B42" s="16" t="s">
        <v>273</v>
      </c>
      <c r="C42" s="16" t="s">
        <v>249</v>
      </c>
      <c r="D42" s="16" t="s">
        <v>267</v>
      </c>
      <c r="E42" s="16" t="s">
        <v>45</v>
      </c>
      <c r="F42" s="16" t="s">
        <v>25</v>
      </c>
      <c r="G42" s="16" t="s">
        <v>26</v>
      </c>
      <c r="H42" s="17" t="s">
        <v>274</v>
      </c>
      <c r="I42" s="17" t="s">
        <v>275</v>
      </c>
      <c r="J42" s="17" t="s">
        <v>276</v>
      </c>
      <c r="K42" s="17" t="s">
        <v>255</v>
      </c>
      <c r="L42" s="17" t="s">
        <v>58</v>
      </c>
      <c r="M42" s="17" t="s">
        <v>256</v>
      </c>
      <c r="N42" s="16" t="s">
        <v>277</v>
      </c>
      <c r="O42" s="18">
        <v>46249</v>
      </c>
      <c r="P42" s="19" t="s">
        <v>34</v>
      </c>
      <c r="Q42" s="17"/>
      <c r="R42" s="19" t="str">
        <f t="shared" si="0"/>
        <v>Discovery Link Only</v>
      </c>
    </row>
    <row r="43" spans="1:18" ht="60" customHeight="1" x14ac:dyDescent="0.2">
      <c r="A43" s="16" t="s">
        <v>278</v>
      </c>
      <c r="B43" s="16" t="s">
        <v>279</v>
      </c>
      <c r="C43" s="16" t="s">
        <v>249</v>
      </c>
      <c r="D43" s="16" t="s">
        <v>267</v>
      </c>
      <c r="E43" s="16" t="s">
        <v>72</v>
      </c>
      <c r="F43" s="16" t="s">
        <v>25</v>
      </c>
      <c r="G43" s="16" t="s">
        <v>26</v>
      </c>
      <c r="H43" s="17" t="s">
        <v>280</v>
      </c>
      <c r="I43" s="17" t="s">
        <v>281</v>
      </c>
      <c r="J43" s="17" t="s">
        <v>282</v>
      </c>
      <c r="K43" s="17" t="s">
        <v>255</v>
      </c>
      <c r="L43" s="17" t="s">
        <v>58</v>
      </c>
      <c r="M43" s="17" t="s">
        <v>256</v>
      </c>
      <c r="N43" s="16" t="s">
        <v>283</v>
      </c>
      <c r="O43" s="18">
        <v>46249</v>
      </c>
      <c r="P43" s="19" t="s">
        <v>34</v>
      </c>
      <c r="Q43" s="17"/>
      <c r="R43" s="19" t="str">
        <f t="shared" si="0"/>
        <v>Discovery Link Only</v>
      </c>
    </row>
    <row r="44" spans="1:18" ht="60" customHeight="1" x14ac:dyDescent="0.2">
      <c r="A44" s="16" t="s">
        <v>284</v>
      </c>
      <c r="B44" s="16" t="s">
        <v>285</v>
      </c>
      <c r="C44" s="16" t="s">
        <v>249</v>
      </c>
      <c r="D44" s="16" t="s">
        <v>267</v>
      </c>
      <c r="E44" s="16" t="s">
        <v>37</v>
      </c>
      <c r="F44" s="16" t="s">
        <v>25</v>
      </c>
      <c r="G44" s="16" t="s">
        <v>46</v>
      </c>
      <c r="H44" s="17" t="s">
        <v>286</v>
      </c>
      <c r="I44" s="17" t="s">
        <v>287</v>
      </c>
      <c r="J44" s="17" t="s">
        <v>288</v>
      </c>
      <c r="K44" s="17" t="s">
        <v>255</v>
      </c>
      <c r="L44" s="17" t="s">
        <v>58</v>
      </c>
      <c r="M44" s="17" t="s">
        <v>256</v>
      </c>
      <c r="N44" s="16" t="s">
        <v>289</v>
      </c>
      <c r="O44" s="18">
        <v>46249</v>
      </c>
      <c r="P44" s="19" t="s">
        <v>34</v>
      </c>
      <c r="Q44" s="17"/>
      <c r="R44" s="19" t="str">
        <f t="shared" si="0"/>
        <v>Discovery Link Only</v>
      </c>
    </row>
    <row r="45" spans="1:18" ht="60" customHeight="1" x14ac:dyDescent="0.2">
      <c r="A45" s="16" t="s">
        <v>290</v>
      </c>
      <c r="B45" s="16" t="s">
        <v>291</v>
      </c>
      <c r="C45" s="16" t="s">
        <v>249</v>
      </c>
      <c r="D45" s="16" t="s">
        <v>267</v>
      </c>
      <c r="E45" s="16" t="s">
        <v>54</v>
      </c>
      <c r="F45" s="16" t="s">
        <v>25</v>
      </c>
      <c r="G45" s="16" t="s">
        <v>134</v>
      </c>
      <c r="H45" s="17" t="s">
        <v>292</v>
      </c>
      <c r="I45" s="17" t="s">
        <v>293</v>
      </c>
      <c r="J45" s="17" t="s">
        <v>294</v>
      </c>
      <c r="K45" s="17" t="s">
        <v>255</v>
      </c>
      <c r="L45" s="17" t="s">
        <v>58</v>
      </c>
      <c r="M45" s="17" t="s">
        <v>256</v>
      </c>
      <c r="N45" s="16" t="s">
        <v>295</v>
      </c>
      <c r="O45" s="18">
        <v>46249</v>
      </c>
      <c r="P45" s="19" t="s">
        <v>34</v>
      </c>
      <c r="Q45" s="17"/>
      <c r="R45" s="19" t="str">
        <f t="shared" si="0"/>
        <v>Discovery Link Only</v>
      </c>
    </row>
    <row r="46" spans="1:18" ht="60" customHeight="1" x14ac:dyDescent="0.2">
      <c r="A46" s="16" t="s">
        <v>296</v>
      </c>
      <c r="B46" s="16" t="s">
        <v>297</v>
      </c>
      <c r="C46" s="16" t="s">
        <v>249</v>
      </c>
      <c r="D46" s="16" t="s">
        <v>298</v>
      </c>
      <c r="E46" s="16" t="s">
        <v>133</v>
      </c>
      <c r="F46" s="16" t="s">
        <v>25</v>
      </c>
      <c r="G46" s="16" t="s">
        <v>46</v>
      </c>
      <c r="H46" s="17" t="s">
        <v>299</v>
      </c>
      <c r="I46" s="17" t="s">
        <v>300</v>
      </c>
      <c r="J46" s="17" t="s">
        <v>301</v>
      </c>
      <c r="K46" s="17" t="s">
        <v>255</v>
      </c>
      <c r="L46" s="17" t="s">
        <v>58</v>
      </c>
      <c r="M46" s="17" t="s">
        <v>256</v>
      </c>
      <c r="N46" s="16" t="s">
        <v>302</v>
      </c>
      <c r="O46" s="18">
        <v>46249</v>
      </c>
      <c r="P46" s="19" t="s">
        <v>34</v>
      </c>
      <c r="Q46" s="17"/>
      <c r="R46" s="19" t="str">
        <f t="shared" si="0"/>
        <v>Discovery Link Only</v>
      </c>
    </row>
    <row r="47" spans="1:18" ht="60" customHeight="1" x14ac:dyDescent="0.2">
      <c r="A47" s="16" t="s">
        <v>303</v>
      </c>
      <c r="B47" s="16" t="s">
        <v>304</v>
      </c>
      <c r="C47" s="16" t="s">
        <v>249</v>
      </c>
      <c r="D47" s="16" t="s">
        <v>305</v>
      </c>
      <c r="E47" s="16" t="s">
        <v>45</v>
      </c>
      <c r="F47" s="16" t="s">
        <v>25</v>
      </c>
      <c r="G47" s="16" t="s">
        <v>26</v>
      </c>
      <c r="H47" s="17" t="s">
        <v>306</v>
      </c>
      <c r="I47" s="17" t="s">
        <v>307</v>
      </c>
      <c r="J47" s="17" t="s">
        <v>308</v>
      </c>
      <c r="K47" s="17" t="s">
        <v>255</v>
      </c>
      <c r="L47" s="17" t="s">
        <v>58</v>
      </c>
      <c r="M47" s="17" t="s">
        <v>256</v>
      </c>
      <c r="N47" s="16" t="s">
        <v>309</v>
      </c>
      <c r="O47" s="18">
        <v>46249</v>
      </c>
      <c r="P47" s="19" t="s">
        <v>34</v>
      </c>
      <c r="Q47" s="17"/>
      <c r="R47" s="19" t="str">
        <f t="shared" si="0"/>
        <v>Discovery Link Only</v>
      </c>
    </row>
    <row r="48" spans="1:18" ht="60" customHeight="1" x14ac:dyDescent="0.2">
      <c r="A48" s="16" t="s">
        <v>310</v>
      </c>
      <c r="B48" s="16" t="s">
        <v>311</v>
      </c>
      <c r="C48" s="16" t="s">
        <v>249</v>
      </c>
      <c r="D48" s="16" t="s">
        <v>312</v>
      </c>
      <c r="E48" s="16" t="s">
        <v>151</v>
      </c>
      <c r="F48" s="16" t="s">
        <v>121</v>
      </c>
      <c r="G48" s="16" t="s">
        <v>46</v>
      </c>
      <c r="H48" s="17" t="s">
        <v>313</v>
      </c>
      <c r="I48" s="17" t="s">
        <v>314</v>
      </c>
      <c r="J48" s="17" t="s">
        <v>315</v>
      </c>
      <c r="K48" s="17" t="s">
        <v>255</v>
      </c>
      <c r="L48" s="17" t="s">
        <v>58</v>
      </c>
      <c r="M48" s="17" t="s">
        <v>256</v>
      </c>
      <c r="N48" s="16" t="s">
        <v>316</v>
      </c>
      <c r="O48" s="18">
        <v>46249</v>
      </c>
      <c r="P48" s="19" t="s">
        <v>34</v>
      </c>
      <c r="Q48" s="17"/>
      <c r="R48" s="19" t="str">
        <f t="shared" si="0"/>
        <v>Discovery Link Only</v>
      </c>
    </row>
    <row r="49" spans="1:18" ht="60" customHeight="1" x14ac:dyDescent="0.2">
      <c r="A49" s="16" t="s">
        <v>317</v>
      </c>
      <c r="B49" s="16" t="s">
        <v>318</v>
      </c>
      <c r="C49" s="16" t="s">
        <v>249</v>
      </c>
      <c r="D49" s="16" t="s">
        <v>267</v>
      </c>
      <c r="E49" s="16" t="s">
        <v>45</v>
      </c>
      <c r="F49" s="16" t="s">
        <v>107</v>
      </c>
      <c r="G49" s="16" t="s">
        <v>26</v>
      </c>
      <c r="H49" s="17" t="s">
        <v>319</v>
      </c>
      <c r="I49" s="17" t="s">
        <v>320</v>
      </c>
      <c r="J49" s="17" t="s">
        <v>321</v>
      </c>
      <c r="K49" s="17" t="s">
        <v>255</v>
      </c>
      <c r="L49" s="17" t="s">
        <v>111</v>
      </c>
      <c r="M49" s="17" t="s">
        <v>322</v>
      </c>
      <c r="N49" s="16"/>
      <c r="O49" s="18">
        <v>46249</v>
      </c>
      <c r="P49" s="19" t="s">
        <v>34</v>
      </c>
      <c r="Q49" s="17"/>
      <c r="R49" s="19" t="str">
        <f t="shared" si="0"/>
        <v>Discovery Link Only</v>
      </c>
    </row>
    <row r="50" spans="1:18" ht="60" customHeight="1" x14ac:dyDescent="0.2">
      <c r="A50" s="16" t="s">
        <v>323</v>
      </c>
      <c r="B50" s="16" t="s">
        <v>324</v>
      </c>
      <c r="C50" s="16" t="s">
        <v>249</v>
      </c>
      <c r="D50" s="16" t="s">
        <v>267</v>
      </c>
      <c r="E50" s="16" t="s">
        <v>45</v>
      </c>
      <c r="F50" s="16" t="s">
        <v>107</v>
      </c>
      <c r="G50" s="16" t="s">
        <v>26</v>
      </c>
      <c r="H50" s="17" t="s">
        <v>325</v>
      </c>
      <c r="I50" s="17" t="s">
        <v>326</v>
      </c>
      <c r="J50" s="17" t="s">
        <v>327</v>
      </c>
      <c r="K50" s="17" t="s">
        <v>255</v>
      </c>
      <c r="L50" s="17" t="s">
        <v>111</v>
      </c>
      <c r="M50" s="17" t="s">
        <v>322</v>
      </c>
      <c r="N50" s="16"/>
      <c r="O50" s="18">
        <v>46249</v>
      </c>
      <c r="P50" s="19" t="s">
        <v>34</v>
      </c>
      <c r="Q50" s="17"/>
      <c r="R50" s="19" t="str">
        <f t="shared" si="0"/>
        <v>Discovery Link Only</v>
      </c>
    </row>
    <row r="51" spans="1:18" ht="60" customHeight="1" x14ac:dyDescent="0.2">
      <c r="A51" s="16" t="s">
        <v>328</v>
      </c>
      <c r="B51" s="16" t="s">
        <v>329</v>
      </c>
      <c r="C51" s="16" t="s">
        <v>249</v>
      </c>
      <c r="D51" s="16" t="s">
        <v>267</v>
      </c>
      <c r="E51" s="16" t="s">
        <v>72</v>
      </c>
      <c r="F51" s="16" t="s">
        <v>107</v>
      </c>
      <c r="G51" s="16" t="s">
        <v>26</v>
      </c>
      <c r="H51" s="17" t="s">
        <v>330</v>
      </c>
      <c r="I51" s="17" t="s">
        <v>331</v>
      </c>
      <c r="J51" s="17" t="s">
        <v>332</v>
      </c>
      <c r="K51" s="17" t="s">
        <v>255</v>
      </c>
      <c r="L51" s="17" t="s">
        <v>111</v>
      </c>
      <c r="M51" s="17" t="s">
        <v>322</v>
      </c>
      <c r="N51" s="16"/>
      <c r="O51" s="18">
        <v>46249</v>
      </c>
      <c r="P51" s="19" t="s">
        <v>34</v>
      </c>
      <c r="Q51" s="17"/>
      <c r="R51" s="19" t="str">
        <f t="shared" si="0"/>
        <v>Discovery Link Only</v>
      </c>
    </row>
    <row r="52" spans="1:18" ht="60" customHeight="1" x14ac:dyDescent="0.2">
      <c r="A52" s="16" t="s">
        <v>333</v>
      </c>
      <c r="B52" s="16" t="s">
        <v>334</v>
      </c>
      <c r="C52" s="16" t="s">
        <v>249</v>
      </c>
      <c r="D52" s="16" t="s">
        <v>267</v>
      </c>
      <c r="E52" s="16" t="s">
        <v>72</v>
      </c>
      <c r="F52" s="16" t="s">
        <v>127</v>
      </c>
      <c r="G52" s="16" t="s">
        <v>26</v>
      </c>
      <c r="H52" s="17" t="s">
        <v>335</v>
      </c>
      <c r="I52" s="17" t="s">
        <v>336</v>
      </c>
      <c r="J52" s="17" t="s">
        <v>337</v>
      </c>
      <c r="K52" s="17" t="s">
        <v>255</v>
      </c>
      <c r="L52" s="17" t="s">
        <v>111</v>
      </c>
      <c r="M52" s="17" t="s">
        <v>322</v>
      </c>
      <c r="N52" s="16"/>
      <c r="O52" s="18">
        <v>46249</v>
      </c>
      <c r="P52" s="19" t="s">
        <v>34</v>
      </c>
      <c r="Q52" s="17"/>
      <c r="R52" s="19" t="str">
        <f t="shared" si="0"/>
        <v>Discovery Link Only</v>
      </c>
    </row>
    <row r="53" spans="1:18" ht="60" customHeight="1" x14ac:dyDescent="0.2">
      <c r="A53" s="16" t="s">
        <v>338</v>
      </c>
      <c r="B53" s="16" t="s">
        <v>339</v>
      </c>
      <c r="C53" s="16" t="s">
        <v>249</v>
      </c>
      <c r="D53" s="16" t="s">
        <v>267</v>
      </c>
      <c r="E53" s="16" t="s">
        <v>99</v>
      </c>
      <c r="F53" s="16" t="s">
        <v>121</v>
      </c>
      <c r="G53" s="16" t="s">
        <v>46</v>
      </c>
      <c r="H53" s="17" t="s">
        <v>340</v>
      </c>
      <c r="I53" s="17" t="s">
        <v>341</v>
      </c>
      <c r="J53" s="17" t="s">
        <v>342</v>
      </c>
      <c r="K53" s="17" t="s">
        <v>255</v>
      </c>
      <c r="L53" s="17" t="s">
        <v>111</v>
      </c>
      <c r="M53" s="17" t="s">
        <v>322</v>
      </c>
      <c r="N53" s="16"/>
      <c r="O53" s="18">
        <v>46249</v>
      </c>
      <c r="P53" s="19" t="s">
        <v>34</v>
      </c>
      <c r="Q53" s="17"/>
      <c r="R53" s="19" t="str">
        <f t="shared" si="0"/>
        <v>Discovery Link Only</v>
      </c>
    </row>
    <row r="54" spans="1:18" ht="60" customHeight="1" x14ac:dyDescent="0.2">
      <c r="A54" s="16" t="s">
        <v>343</v>
      </c>
      <c r="B54" s="16" t="s">
        <v>344</v>
      </c>
      <c r="C54" s="16" t="s">
        <v>249</v>
      </c>
      <c r="D54" s="16" t="s">
        <v>267</v>
      </c>
      <c r="E54" s="16" t="s">
        <v>162</v>
      </c>
      <c r="F54" s="16" t="s">
        <v>121</v>
      </c>
      <c r="G54" s="16" t="s">
        <v>46</v>
      </c>
      <c r="H54" s="17" t="s">
        <v>163</v>
      </c>
      <c r="I54" s="17" t="s">
        <v>345</v>
      </c>
      <c r="J54" s="17" t="s">
        <v>346</v>
      </c>
      <c r="K54" s="17" t="s">
        <v>255</v>
      </c>
      <c r="L54" s="17" t="s">
        <v>111</v>
      </c>
      <c r="M54" s="17" t="s">
        <v>322</v>
      </c>
      <c r="N54" s="16"/>
      <c r="O54" s="18">
        <v>46249</v>
      </c>
      <c r="P54" s="19" t="s">
        <v>34</v>
      </c>
      <c r="Q54" s="17"/>
      <c r="R54" s="19" t="str">
        <f t="shared" si="0"/>
        <v>Discovery Link Only</v>
      </c>
    </row>
    <row r="55" spans="1:18" ht="60" customHeight="1" x14ac:dyDescent="0.2">
      <c r="A55" s="16" t="s">
        <v>347</v>
      </c>
      <c r="B55" s="16" t="s">
        <v>348</v>
      </c>
      <c r="C55" s="16" t="s">
        <v>249</v>
      </c>
      <c r="D55" s="16" t="s">
        <v>312</v>
      </c>
      <c r="E55" s="16" t="s">
        <v>106</v>
      </c>
      <c r="F55" s="16" t="s">
        <v>107</v>
      </c>
      <c r="G55" s="16" t="s">
        <v>46</v>
      </c>
      <c r="H55" s="17" t="s">
        <v>349</v>
      </c>
      <c r="I55" s="17" t="s">
        <v>350</v>
      </c>
      <c r="J55" s="17" t="s">
        <v>351</v>
      </c>
      <c r="K55" s="17" t="s">
        <v>255</v>
      </c>
      <c r="L55" s="17" t="s">
        <v>111</v>
      </c>
      <c r="M55" s="17" t="s">
        <v>322</v>
      </c>
      <c r="N55" s="16"/>
      <c r="O55" s="18">
        <v>46249</v>
      </c>
      <c r="P55" s="19" t="s">
        <v>34</v>
      </c>
      <c r="Q55" s="17"/>
      <c r="R55" s="19" t="str">
        <f t="shared" si="0"/>
        <v>Discovery Link Only</v>
      </c>
    </row>
    <row r="56" spans="1:18" ht="60" customHeight="1" x14ac:dyDescent="0.2">
      <c r="A56" s="16" t="s">
        <v>352</v>
      </c>
      <c r="B56" s="16" t="s">
        <v>353</v>
      </c>
      <c r="C56" s="16" t="s">
        <v>249</v>
      </c>
      <c r="D56" s="16" t="s">
        <v>312</v>
      </c>
      <c r="E56" s="16" t="s">
        <v>115</v>
      </c>
      <c r="F56" s="16" t="s">
        <v>127</v>
      </c>
      <c r="G56" s="16" t="s">
        <v>46</v>
      </c>
      <c r="H56" s="17" t="s">
        <v>354</v>
      </c>
      <c r="I56" s="17" t="s">
        <v>355</v>
      </c>
      <c r="J56" s="17" t="s">
        <v>356</v>
      </c>
      <c r="K56" s="17" t="s">
        <v>255</v>
      </c>
      <c r="L56" s="17" t="s">
        <v>111</v>
      </c>
      <c r="M56" s="17" t="s">
        <v>322</v>
      </c>
      <c r="N56" s="16"/>
      <c r="O56" s="18">
        <v>46249</v>
      </c>
      <c r="P56" s="19" t="s">
        <v>34</v>
      </c>
      <c r="Q56" s="17"/>
      <c r="R56" s="19" t="str">
        <f t="shared" si="0"/>
        <v>Discovery Link Only</v>
      </c>
    </row>
    <row r="57" spans="1:18" ht="60" customHeight="1" x14ac:dyDescent="0.2">
      <c r="A57" s="16" t="s">
        <v>357</v>
      </c>
      <c r="B57" s="16" t="s">
        <v>358</v>
      </c>
      <c r="C57" s="16" t="s">
        <v>249</v>
      </c>
      <c r="D57" s="16" t="s">
        <v>312</v>
      </c>
      <c r="E57" s="16" t="s">
        <v>151</v>
      </c>
      <c r="F57" s="16" t="s">
        <v>121</v>
      </c>
      <c r="G57" s="16" t="s">
        <v>134</v>
      </c>
      <c r="H57" s="17" t="s">
        <v>359</v>
      </c>
      <c r="I57" s="17" t="s">
        <v>360</v>
      </c>
      <c r="J57" s="17" t="s">
        <v>361</v>
      </c>
      <c r="K57" s="17" t="s">
        <v>255</v>
      </c>
      <c r="L57" s="17" t="s">
        <v>111</v>
      </c>
      <c r="M57" s="17" t="s">
        <v>322</v>
      </c>
      <c r="N57" s="16"/>
      <c r="O57" s="18">
        <v>46249</v>
      </c>
      <c r="P57" s="19" t="s">
        <v>34</v>
      </c>
      <c r="Q57" s="17"/>
      <c r="R57" s="19" t="str">
        <f t="shared" si="0"/>
        <v>Discovery Link Only</v>
      </c>
    </row>
    <row r="58" spans="1:18" ht="60" customHeight="1" x14ac:dyDescent="0.2">
      <c r="A58" s="16" t="s">
        <v>362</v>
      </c>
      <c r="B58" s="16" t="s">
        <v>363</v>
      </c>
      <c r="C58" s="16" t="s">
        <v>249</v>
      </c>
      <c r="D58" s="16" t="s">
        <v>312</v>
      </c>
      <c r="E58" s="16" t="s">
        <v>133</v>
      </c>
      <c r="F58" s="16" t="s">
        <v>121</v>
      </c>
      <c r="G58" s="16" t="s">
        <v>134</v>
      </c>
      <c r="H58" s="17" t="s">
        <v>364</v>
      </c>
      <c r="I58" s="17" t="s">
        <v>365</v>
      </c>
      <c r="J58" s="17" t="s">
        <v>366</v>
      </c>
      <c r="K58" s="17" t="s">
        <v>255</v>
      </c>
      <c r="L58" s="17" t="s">
        <v>111</v>
      </c>
      <c r="M58" s="17" t="s">
        <v>322</v>
      </c>
      <c r="N58" s="16"/>
      <c r="O58" s="18">
        <v>46249</v>
      </c>
      <c r="P58" s="19" t="s">
        <v>34</v>
      </c>
      <c r="Q58" s="17"/>
      <c r="R58" s="19" t="str">
        <f t="shared" si="0"/>
        <v>Discovery Link Only</v>
      </c>
    </row>
    <row r="59" spans="1:18" ht="60" customHeight="1" x14ac:dyDescent="0.2">
      <c r="A59" s="16" t="s">
        <v>367</v>
      </c>
      <c r="B59" s="16" t="s">
        <v>368</v>
      </c>
      <c r="C59" s="16" t="s">
        <v>249</v>
      </c>
      <c r="D59" s="16" t="s">
        <v>369</v>
      </c>
      <c r="E59" s="16" t="s">
        <v>115</v>
      </c>
      <c r="F59" s="16" t="s">
        <v>107</v>
      </c>
      <c r="G59" s="16" t="s">
        <v>46</v>
      </c>
      <c r="H59" s="17" t="s">
        <v>370</v>
      </c>
      <c r="I59" s="17" t="s">
        <v>371</v>
      </c>
      <c r="J59" s="17" t="s">
        <v>372</v>
      </c>
      <c r="K59" s="17" t="s">
        <v>255</v>
      </c>
      <c r="L59" s="17" t="s">
        <v>111</v>
      </c>
      <c r="M59" s="17" t="s">
        <v>322</v>
      </c>
      <c r="N59" s="16"/>
      <c r="O59" s="18">
        <v>46249</v>
      </c>
      <c r="P59" s="19" t="s">
        <v>34</v>
      </c>
      <c r="Q59" s="17"/>
      <c r="R59" s="19" t="str">
        <f t="shared" si="0"/>
        <v>Discovery Link Only</v>
      </c>
    </row>
    <row r="60" spans="1:18" ht="60" customHeight="1" x14ac:dyDescent="0.2">
      <c r="A60" s="16" t="s">
        <v>373</v>
      </c>
      <c r="B60" s="16" t="s">
        <v>374</v>
      </c>
      <c r="C60" s="16" t="s">
        <v>249</v>
      </c>
      <c r="D60" s="16" t="s">
        <v>305</v>
      </c>
      <c r="E60" s="16" t="s">
        <v>45</v>
      </c>
      <c r="F60" s="16" t="s">
        <v>107</v>
      </c>
      <c r="G60" s="16" t="s">
        <v>26</v>
      </c>
      <c r="H60" s="17" t="s">
        <v>375</v>
      </c>
      <c r="I60" s="17" t="s">
        <v>376</v>
      </c>
      <c r="J60" s="17" t="s">
        <v>377</v>
      </c>
      <c r="K60" s="17" t="s">
        <v>255</v>
      </c>
      <c r="L60" s="17" t="s">
        <v>111</v>
      </c>
      <c r="M60" s="17" t="s">
        <v>322</v>
      </c>
      <c r="N60" s="16"/>
      <c r="O60" s="18">
        <v>46249</v>
      </c>
      <c r="P60" s="19" t="s">
        <v>34</v>
      </c>
      <c r="Q60" s="17"/>
      <c r="R60" s="19" t="str">
        <f t="shared" si="0"/>
        <v>Discovery Link Only</v>
      </c>
    </row>
    <row r="61" spans="1:18" ht="60" customHeight="1" x14ac:dyDescent="0.2">
      <c r="A61" s="16" t="s">
        <v>378</v>
      </c>
      <c r="B61" s="16" t="s">
        <v>379</v>
      </c>
      <c r="C61" s="16" t="s">
        <v>249</v>
      </c>
      <c r="D61" s="16" t="s">
        <v>305</v>
      </c>
      <c r="E61" s="16" t="s">
        <v>45</v>
      </c>
      <c r="F61" s="16" t="s">
        <v>121</v>
      </c>
      <c r="G61" s="16" t="s">
        <v>26</v>
      </c>
      <c r="H61" s="17" t="s">
        <v>244</v>
      </c>
      <c r="I61" s="17" t="s">
        <v>380</v>
      </c>
      <c r="J61" s="17" t="s">
        <v>381</v>
      </c>
      <c r="K61" s="17" t="s">
        <v>255</v>
      </c>
      <c r="L61" s="17" t="s">
        <v>111</v>
      </c>
      <c r="M61" s="17" t="s">
        <v>322</v>
      </c>
      <c r="N61" s="16"/>
      <c r="O61" s="18">
        <v>46249</v>
      </c>
      <c r="P61" s="19" t="s">
        <v>34</v>
      </c>
      <c r="Q61" s="17"/>
      <c r="R61" s="19" t="str">
        <f t="shared" si="0"/>
        <v>Discovery Link Only</v>
      </c>
    </row>
    <row r="62" spans="1:18" ht="60" customHeight="1" x14ac:dyDescent="0.2">
      <c r="A62" s="16" t="s">
        <v>382</v>
      </c>
      <c r="B62" s="16" t="s">
        <v>383</v>
      </c>
      <c r="C62" s="16" t="s">
        <v>249</v>
      </c>
      <c r="D62" s="16" t="s">
        <v>305</v>
      </c>
      <c r="E62" s="16" t="s">
        <v>24</v>
      </c>
      <c r="F62" s="16" t="s">
        <v>121</v>
      </c>
      <c r="G62" s="16" t="s">
        <v>26</v>
      </c>
      <c r="H62" s="17" t="s">
        <v>384</v>
      </c>
      <c r="I62" s="17" t="s">
        <v>385</v>
      </c>
      <c r="J62" s="17" t="s">
        <v>386</v>
      </c>
      <c r="K62" s="17" t="s">
        <v>255</v>
      </c>
      <c r="L62" s="17" t="s">
        <v>111</v>
      </c>
      <c r="M62" s="17" t="s">
        <v>322</v>
      </c>
      <c r="N62" s="16"/>
      <c r="O62" s="18">
        <v>46249</v>
      </c>
      <c r="P62" s="19" t="s">
        <v>34</v>
      </c>
      <c r="Q62" s="17"/>
      <c r="R62" s="19" t="str">
        <f t="shared" si="0"/>
        <v>Discovery Link Only</v>
      </c>
    </row>
    <row r="63" spans="1:18" ht="60" customHeight="1" x14ac:dyDescent="0.2">
      <c r="A63" s="16" t="s">
        <v>387</v>
      </c>
      <c r="B63" s="16" t="s">
        <v>388</v>
      </c>
      <c r="C63" s="16" t="s">
        <v>249</v>
      </c>
      <c r="D63" s="16" t="s">
        <v>389</v>
      </c>
      <c r="E63" s="16" t="s">
        <v>45</v>
      </c>
      <c r="F63" s="16" t="s">
        <v>194</v>
      </c>
      <c r="G63" s="16" t="s">
        <v>26</v>
      </c>
      <c r="H63" s="17" t="s">
        <v>244</v>
      </c>
      <c r="I63" s="17" t="s">
        <v>390</v>
      </c>
      <c r="J63" s="17" t="s">
        <v>391</v>
      </c>
      <c r="K63" s="17" t="s">
        <v>255</v>
      </c>
      <c r="L63" s="17" t="s">
        <v>111</v>
      </c>
      <c r="M63" s="17" t="s">
        <v>322</v>
      </c>
      <c r="N63" s="16"/>
      <c r="O63" s="18">
        <v>46249</v>
      </c>
      <c r="P63" s="19" t="s">
        <v>34</v>
      </c>
      <c r="Q63" s="17"/>
      <c r="R63" s="19" t="str">
        <f t="shared" si="0"/>
        <v>Discovery Link Only</v>
      </c>
    </row>
    <row r="64" spans="1:18" ht="60" customHeight="1" x14ac:dyDescent="0.2">
      <c r="A64" s="16" t="s">
        <v>392</v>
      </c>
      <c r="B64" s="16" t="s">
        <v>393</v>
      </c>
      <c r="C64" s="16" t="s">
        <v>249</v>
      </c>
      <c r="D64" s="16" t="s">
        <v>389</v>
      </c>
      <c r="E64" s="16" t="s">
        <v>394</v>
      </c>
      <c r="F64" s="16" t="s">
        <v>121</v>
      </c>
      <c r="G64" s="16" t="s">
        <v>46</v>
      </c>
      <c r="H64" s="17" t="s">
        <v>395</v>
      </c>
      <c r="I64" s="17" t="s">
        <v>396</v>
      </c>
      <c r="J64" s="17" t="s">
        <v>397</v>
      </c>
      <c r="K64" s="17" t="s">
        <v>255</v>
      </c>
      <c r="L64" s="17" t="s">
        <v>111</v>
      </c>
      <c r="M64" s="17" t="s">
        <v>322</v>
      </c>
      <c r="N64" s="16"/>
      <c r="O64" s="18">
        <v>46249</v>
      </c>
      <c r="P64" s="19" t="s">
        <v>34</v>
      </c>
      <c r="Q64" s="17"/>
      <c r="R64" s="19" t="str">
        <f t="shared" si="0"/>
        <v>Discovery Link Only</v>
      </c>
    </row>
    <row r="65" spans="1:18" ht="60" customHeight="1" x14ac:dyDescent="0.2">
      <c r="A65" s="16" t="s">
        <v>398</v>
      </c>
      <c r="B65" s="16" t="s">
        <v>399</v>
      </c>
      <c r="C65" s="16" t="s">
        <v>249</v>
      </c>
      <c r="D65" s="16" t="s">
        <v>400</v>
      </c>
      <c r="E65" s="16" t="s">
        <v>45</v>
      </c>
      <c r="F65" s="16" t="s">
        <v>194</v>
      </c>
      <c r="G65" s="16" t="s">
        <v>26</v>
      </c>
      <c r="H65" s="17" t="s">
        <v>401</v>
      </c>
      <c r="I65" s="17" t="s">
        <v>402</v>
      </c>
      <c r="J65" s="17" t="s">
        <v>403</v>
      </c>
      <c r="K65" s="17" t="s">
        <v>255</v>
      </c>
      <c r="L65" s="17" t="s">
        <v>111</v>
      </c>
      <c r="M65" s="17" t="s">
        <v>322</v>
      </c>
      <c r="N65" s="16"/>
      <c r="O65" s="18">
        <v>46249</v>
      </c>
      <c r="P65" s="19" t="s">
        <v>34</v>
      </c>
      <c r="Q65" s="17"/>
      <c r="R65" s="19" t="str">
        <f t="shared" si="0"/>
        <v>Discovery Link Only</v>
      </c>
    </row>
    <row r="66" spans="1:18" ht="60" customHeight="1" x14ac:dyDescent="0.2">
      <c r="A66" s="16" t="s">
        <v>404</v>
      </c>
      <c r="B66" s="16" t="s">
        <v>405</v>
      </c>
      <c r="C66" s="16" t="s">
        <v>249</v>
      </c>
      <c r="D66" s="16" t="s">
        <v>250</v>
      </c>
      <c r="E66" s="16" t="s">
        <v>251</v>
      </c>
      <c r="F66" s="16" t="s">
        <v>107</v>
      </c>
      <c r="G66" s="16" t="s">
        <v>26</v>
      </c>
      <c r="H66" s="17" t="s">
        <v>406</v>
      </c>
      <c r="I66" s="17" t="s">
        <v>407</v>
      </c>
      <c r="J66" s="17" t="s">
        <v>408</v>
      </c>
      <c r="K66" s="17" t="s">
        <v>255</v>
      </c>
      <c r="L66" s="17" t="s">
        <v>111</v>
      </c>
      <c r="M66" s="17" t="s">
        <v>322</v>
      </c>
      <c r="N66" s="16"/>
      <c r="O66" s="18">
        <v>46249</v>
      </c>
      <c r="P66" s="19" t="s">
        <v>34</v>
      </c>
      <c r="Q66" s="17"/>
      <c r="R66" s="19" t="str">
        <f t="shared" si="0"/>
        <v>Discovery Link Only</v>
      </c>
    </row>
    <row r="67" spans="1:18" ht="60" customHeight="1" x14ac:dyDescent="0.2">
      <c r="A67" s="16" t="s">
        <v>409</v>
      </c>
      <c r="B67" s="16" t="s">
        <v>410</v>
      </c>
      <c r="C67" s="16" t="s">
        <v>249</v>
      </c>
      <c r="D67" s="16" t="s">
        <v>411</v>
      </c>
      <c r="E67" s="16" t="s">
        <v>45</v>
      </c>
      <c r="F67" s="16" t="s">
        <v>194</v>
      </c>
      <c r="G67" s="16" t="s">
        <v>26</v>
      </c>
      <c r="H67" s="17" t="s">
        <v>412</v>
      </c>
      <c r="I67" s="17" t="s">
        <v>413</v>
      </c>
      <c r="J67" s="17" t="s">
        <v>414</v>
      </c>
      <c r="K67" s="17" t="s">
        <v>255</v>
      </c>
      <c r="L67" s="17" t="s">
        <v>111</v>
      </c>
      <c r="M67" s="17" t="s">
        <v>322</v>
      </c>
      <c r="N67" s="16"/>
      <c r="O67" s="18">
        <v>46249</v>
      </c>
      <c r="P67" s="19" t="s">
        <v>34</v>
      </c>
      <c r="Q67" s="17"/>
      <c r="R67" s="19" t="str">
        <f t="shared" si="0"/>
        <v>Discovery Link Only</v>
      </c>
    </row>
    <row r="68" spans="1:18" ht="60" customHeight="1" x14ac:dyDescent="0.2">
      <c r="A68" s="16" t="s">
        <v>415</v>
      </c>
      <c r="B68" s="16" t="s">
        <v>416</v>
      </c>
      <c r="C68" s="16" t="s">
        <v>417</v>
      </c>
      <c r="D68" s="16" t="s">
        <v>418</v>
      </c>
      <c r="E68" s="16" t="s">
        <v>45</v>
      </c>
      <c r="F68" s="16" t="s">
        <v>25</v>
      </c>
      <c r="G68" s="16" t="s">
        <v>46</v>
      </c>
      <c r="H68" s="17" t="s">
        <v>419</v>
      </c>
      <c r="I68" s="17" t="s">
        <v>420</v>
      </c>
      <c r="J68" s="17" t="s">
        <v>421</v>
      </c>
      <c r="K68" s="17" t="s">
        <v>422</v>
      </c>
      <c r="L68" s="17" t="s">
        <v>58</v>
      </c>
      <c r="M68" s="17" t="s">
        <v>256</v>
      </c>
      <c r="N68" s="16" t="s">
        <v>423</v>
      </c>
      <c r="O68" s="18">
        <v>46249</v>
      </c>
      <c r="P68" s="19" t="s">
        <v>34</v>
      </c>
      <c r="Q68" s="17"/>
      <c r="R68" s="19" t="str">
        <f t="shared" ref="R68:R131" si="1">IF(J68="","Missing Link",IF(AND(ISNUMBER(SEARCH("google.com/maps",J68)),ISERROR(SEARCH(";",J68))),"Discovery Link Only","Source Link Present"))</f>
        <v>Source Link Present</v>
      </c>
    </row>
    <row r="69" spans="1:18" ht="60" customHeight="1" x14ac:dyDescent="0.2">
      <c r="A69" s="16" t="s">
        <v>424</v>
      </c>
      <c r="B69" s="16" t="s">
        <v>425</v>
      </c>
      <c r="C69" s="16" t="s">
        <v>417</v>
      </c>
      <c r="D69" s="16" t="s">
        <v>426</v>
      </c>
      <c r="E69" s="16" t="s">
        <v>162</v>
      </c>
      <c r="F69" s="16" t="s">
        <v>121</v>
      </c>
      <c r="G69" s="16" t="s">
        <v>134</v>
      </c>
      <c r="H69" s="17" t="s">
        <v>427</v>
      </c>
      <c r="I69" s="17" t="s">
        <v>428</v>
      </c>
      <c r="J69" s="17" t="s">
        <v>429</v>
      </c>
      <c r="K69" s="17" t="s">
        <v>422</v>
      </c>
      <c r="L69" s="17" t="s">
        <v>58</v>
      </c>
      <c r="M69" s="17" t="s">
        <v>256</v>
      </c>
      <c r="N69" s="16" t="s">
        <v>430</v>
      </c>
      <c r="O69" s="18">
        <v>46249</v>
      </c>
      <c r="P69" s="19" t="s">
        <v>34</v>
      </c>
      <c r="Q69" s="17"/>
      <c r="R69" s="19" t="str">
        <f t="shared" si="1"/>
        <v>Discovery Link Only</v>
      </c>
    </row>
    <row r="70" spans="1:18" ht="60" customHeight="1" x14ac:dyDescent="0.2">
      <c r="A70" s="16" t="s">
        <v>431</v>
      </c>
      <c r="B70" s="16" t="s">
        <v>432</v>
      </c>
      <c r="C70" s="16" t="s">
        <v>417</v>
      </c>
      <c r="D70" s="16" t="s">
        <v>426</v>
      </c>
      <c r="E70" s="16" t="s">
        <v>133</v>
      </c>
      <c r="F70" s="16" t="s">
        <v>25</v>
      </c>
      <c r="G70" s="16" t="s">
        <v>46</v>
      </c>
      <c r="H70" s="17" t="s">
        <v>433</v>
      </c>
      <c r="I70" s="17" t="s">
        <v>434</v>
      </c>
      <c r="J70" s="17" t="s">
        <v>435</v>
      </c>
      <c r="K70" s="17" t="s">
        <v>422</v>
      </c>
      <c r="L70" s="17" t="s">
        <v>58</v>
      </c>
      <c r="M70" s="17" t="s">
        <v>256</v>
      </c>
      <c r="N70" s="16" t="s">
        <v>436</v>
      </c>
      <c r="O70" s="18">
        <v>46249</v>
      </c>
      <c r="P70" s="19" t="s">
        <v>34</v>
      </c>
      <c r="Q70" s="17"/>
      <c r="R70" s="19" t="str">
        <f t="shared" si="1"/>
        <v>Discovery Link Only</v>
      </c>
    </row>
    <row r="71" spans="1:18" ht="60" customHeight="1" x14ac:dyDescent="0.2">
      <c r="A71" s="16" t="s">
        <v>437</v>
      </c>
      <c r="B71" s="16" t="s">
        <v>438</v>
      </c>
      <c r="C71" s="16" t="s">
        <v>417</v>
      </c>
      <c r="D71" s="16" t="s">
        <v>426</v>
      </c>
      <c r="E71" s="16" t="s">
        <v>99</v>
      </c>
      <c r="F71" s="16" t="s">
        <v>121</v>
      </c>
      <c r="G71" s="16" t="s">
        <v>46</v>
      </c>
      <c r="H71" s="17" t="s">
        <v>439</v>
      </c>
      <c r="I71" s="17" t="s">
        <v>440</v>
      </c>
      <c r="J71" s="17" t="s">
        <v>441</v>
      </c>
      <c r="K71" s="17" t="s">
        <v>422</v>
      </c>
      <c r="L71" s="17" t="s">
        <v>58</v>
      </c>
      <c r="M71" s="17" t="s">
        <v>256</v>
      </c>
      <c r="N71" s="16" t="s">
        <v>442</v>
      </c>
      <c r="O71" s="18">
        <v>46249</v>
      </c>
      <c r="P71" s="19" t="s">
        <v>34</v>
      </c>
      <c r="Q71" s="17"/>
      <c r="R71" s="19" t="str">
        <f t="shared" si="1"/>
        <v>Discovery Link Only</v>
      </c>
    </row>
    <row r="72" spans="1:18" ht="60" customHeight="1" x14ac:dyDescent="0.2">
      <c r="A72" s="16" t="s">
        <v>443</v>
      </c>
      <c r="B72" s="16" t="s">
        <v>444</v>
      </c>
      <c r="C72" s="16" t="s">
        <v>417</v>
      </c>
      <c r="D72" s="16" t="s">
        <v>445</v>
      </c>
      <c r="E72" s="16" t="s">
        <v>106</v>
      </c>
      <c r="F72" s="16" t="s">
        <v>25</v>
      </c>
      <c r="G72" s="16" t="s">
        <v>46</v>
      </c>
      <c r="H72" s="17" t="s">
        <v>446</v>
      </c>
      <c r="I72" s="17" t="s">
        <v>447</v>
      </c>
      <c r="J72" s="17" t="s">
        <v>448</v>
      </c>
      <c r="K72" s="17" t="s">
        <v>422</v>
      </c>
      <c r="L72" s="17" t="s">
        <v>58</v>
      </c>
      <c r="M72" s="17" t="s">
        <v>256</v>
      </c>
      <c r="N72" s="16" t="s">
        <v>449</v>
      </c>
      <c r="O72" s="18">
        <v>46249</v>
      </c>
      <c r="P72" s="19" t="s">
        <v>34</v>
      </c>
      <c r="Q72" s="17"/>
      <c r="R72" s="19" t="str">
        <f t="shared" si="1"/>
        <v>Discovery Link Only</v>
      </c>
    </row>
    <row r="73" spans="1:18" ht="60" customHeight="1" x14ac:dyDescent="0.2">
      <c r="A73" s="16" t="s">
        <v>450</v>
      </c>
      <c r="B73" s="16" t="s">
        <v>451</v>
      </c>
      <c r="C73" s="16" t="s">
        <v>417</v>
      </c>
      <c r="D73" s="16" t="s">
        <v>426</v>
      </c>
      <c r="E73" s="16" t="s">
        <v>72</v>
      </c>
      <c r="F73" s="16" t="s">
        <v>25</v>
      </c>
      <c r="G73" s="16" t="s">
        <v>26</v>
      </c>
      <c r="H73" s="17" t="s">
        <v>452</v>
      </c>
      <c r="I73" s="17" t="s">
        <v>453</v>
      </c>
      <c r="J73" s="17" t="s">
        <v>454</v>
      </c>
      <c r="K73" s="17" t="s">
        <v>422</v>
      </c>
      <c r="L73" s="17" t="s">
        <v>58</v>
      </c>
      <c r="M73" s="17" t="s">
        <v>256</v>
      </c>
      <c r="N73" s="16" t="s">
        <v>455</v>
      </c>
      <c r="O73" s="18">
        <v>46249</v>
      </c>
      <c r="P73" s="19" t="s">
        <v>34</v>
      </c>
      <c r="Q73" s="17"/>
      <c r="R73" s="19" t="str">
        <f t="shared" si="1"/>
        <v>Discovery Link Only</v>
      </c>
    </row>
    <row r="74" spans="1:18" ht="60" customHeight="1" x14ac:dyDescent="0.2">
      <c r="A74" s="16" t="s">
        <v>456</v>
      </c>
      <c r="B74" s="16" t="s">
        <v>457</v>
      </c>
      <c r="C74" s="16" t="s">
        <v>417</v>
      </c>
      <c r="D74" s="16" t="s">
        <v>458</v>
      </c>
      <c r="E74" s="16" t="s">
        <v>72</v>
      </c>
      <c r="F74" s="16" t="s">
        <v>25</v>
      </c>
      <c r="G74" s="16" t="s">
        <v>26</v>
      </c>
      <c r="H74" s="17" t="s">
        <v>459</v>
      </c>
      <c r="I74" s="17" t="s">
        <v>460</v>
      </c>
      <c r="J74" s="17" t="s">
        <v>461</v>
      </c>
      <c r="K74" s="17" t="s">
        <v>422</v>
      </c>
      <c r="L74" s="17" t="s">
        <v>58</v>
      </c>
      <c r="M74" s="17" t="s">
        <v>256</v>
      </c>
      <c r="N74" s="16" t="s">
        <v>462</v>
      </c>
      <c r="O74" s="18">
        <v>46249</v>
      </c>
      <c r="P74" s="19" t="s">
        <v>34</v>
      </c>
      <c r="Q74" s="17"/>
      <c r="R74" s="19" t="str">
        <f t="shared" si="1"/>
        <v>Discovery Link Only</v>
      </c>
    </row>
    <row r="75" spans="1:18" ht="60" customHeight="1" x14ac:dyDescent="0.2">
      <c r="A75" s="16" t="s">
        <v>463</v>
      </c>
      <c r="B75" s="16" t="s">
        <v>464</v>
      </c>
      <c r="C75" s="16" t="s">
        <v>417</v>
      </c>
      <c r="D75" s="16" t="s">
        <v>465</v>
      </c>
      <c r="E75" s="16" t="s">
        <v>251</v>
      </c>
      <c r="F75" s="16" t="s">
        <v>25</v>
      </c>
      <c r="G75" s="16" t="s">
        <v>26</v>
      </c>
      <c r="H75" s="17" t="s">
        <v>466</v>
      </c>
      <c r="I75" s="17" t="s">
        <v>467</v>
      </c>
      <c r="J75" s="17" t="s">
        <v>468</v>
      </c>
      <c r="K75" s="17" t="s">
        <v>422</v>
      </c>
      <c r="L75" s="17" t="s">
        <v>58</v>
      </c>
      <c r="M75" s="17" t="s">
        <v>256</v>
      </c>
      <c r="N75" s="16" t="s">
        <v>469</v>
      </c>
      <c r="O75" s="18">
        <v>46249</v>
      </c>
      <c r="P75" s="19" t="s">
        <v>34</v>
      </c>
      <c r="Q75" s="17"/>
      <c r="R75" s="19" t="str">
        <f t="shared" si="1"/>
        <v>Discovery Link Only</v>
      </c>
    </row>
    <row r="76" spans="1:18" ht="60" customHeight="1" x14ac:dyDescent="0.2">
      <c r="A76" s="16" t="s">
        <v>470</v>
      </c>
      <c r="B76" s="16" t="s">
        <v>471</v>
      </c>
      <c r="C76" s="16" t="s">
        <v>417</v>
      </c>
      <c r="D76" s="16" t="s">
        <v>426</v>
      </c>
      <c r="E76" s="16" t="s">
        <v>45</v>
      </c>
      <c r="F76" s="16" t="s">
        <v>121</v>
      </c>
      <c r="G76" s="16" t="s">
        <v>26</v>
      </c>
      <c r="H76" s="17" t="s">
        <v>472</v>
      </c>
      <c r="I76" s="17" t="s">
        <v>473</v>
      </c>
      <c r="J76" s="17" t="s">
        <v>474</v>
      </c>
      <c r="K76" s="17" t="s">
        <v>422</v>
      </c>
      <c r="L76" s="17" t="s">
        <v>58</v>
      </c>
      <c r="M76" s="17" t="s">
        <v>256</v>
      </c>
      <c r="N76" s="16" t="s">
        <v>475</v>
      </c>
      <c r="O76" s="18">
        <v>46249</v>
      </c>
      <c r="P76" s="19" t="s">
        <v>34</v>
      </c>
      <c r="Q76" s="17"/>
      <c r="R76" s="19" t="str">
        <f t="shared" si="1"/>
        <v>Discovery Link Only</v>
      </c>
    </row>
    <row r="77" spans="1:18" ht="60" customHeight="1" x14ac:dyDescent="0.2">
      <c r="A77" s="16" t="s">
        <v>476</v>
      </c>
      <c r="B77" s="16" t="s">
        <v>477</v>
      </c>
      <c r="C77" s="16" t="s">
        <v>417</v>
      </c>
      <c r="D77" s="16" t="s">
        <v>426</v>
      </c>
      <c r="E77" s="16" t="s">
        <v>106</v>
      </c>
      <c r="F77" s="16" t="s">
        <v>25</v>
      </c>
      <c r="G77" s="16" t="s">
        <v>46</v>
      </c>
      <c r="H77" s="17" t="s">
        <v>478</v>
      </c>
      <c r="I77" s="17" t="s">
        <v>479</v>
      </c>
      <c r="J77" s="17" t="s">
        <v>480</v>
      </c>
      <c r="K77" s="17" t="s">
        <v>422</v>
      </c>
      <c r="L77" s="17" t="s">
        <v>58</v>
      </c>
      <c r="M77" s="17" t="s">
        <v>256</v>
      </c>
      <c r="N77" s="16" t="s">
        <v>481</v>
      </c>
      <c r="O77" s="18">
        <v>46249</v>
      </c>
      <c r="P77" s="19" t="s">
        <v>34</v>
      </c>
      <c r="Q77" s="17"/>
      <c r="R77" s="19" t="str">
        <f t="shared" si="1"/>
        <v>Discovery Link Only</v>
      </c>
    </row>
    <row r="78" spans="1:18" ht="60" customHeight="1" x14ac:dyDescent="0.2">
      <c r="A78" s="16" t="s">
        <v>482</v>
      </c>
      <c r="B78" s="16" t="s">
        <v>483</v>
      </c>
      <c r="C78" s="16" t="s">
        <v>417</v>
      </c>
      <c r="D78" s="16" t="s">
        <v>426</v>
      </c>
      <c r="E78" s="16" t="s">
        <v>133</v>
      </c>
      <c r="F78" s="16" t="s">
        <v>121</v>
      </c>
      <c r="G78" s="16" t="s">
        <v>134</v>
      </c>
      <c r="H78" s="17" t="s">
        <v>484</v>
      </c>
      <c r="I78" s="17" t="s">
        <v>485</v>
      </c>
      <c r="J78" s="17" t="s">
        <v>486</v>
      </c>
      <c r="K78" s="17" t="s">
        <v>422</v>
      </c>
      <c r="L78" s="17" t="s">
        <v>111</v>
      </c>
      <c r="M78" s="17" t="s">
        <v>487</v>
      </c>
      <c r="N78" s="16"/>
      <c r="O78" s="18">
        <v>46249</v>
      </c>
      <c r="P78" s="19" t="s">
        <v>34</v>
      </c>
      <c r="Q78" s="17"/>
      <c r="R78" s="19" t="str">
        <f t="shared" si="1"/>
        <v>Discovery Link Only</v>
      </c>
    </row>
    <row r="79" spans="1:18" ht="60" customHeight="1" x14ac:dyDescent="0.2">
      <c r="A79" s="16" t="s">
        <v>488</v>
      </c>
      <c r="B79" s="16" t="s">
        <v>489</v>
      </c>
      <c r="C79" s="16" t="s">
        <v>417</v>
      </c>
      <c r="D79" s="16" t="s">
        <v>426</v>
      </c>
      <c r="E79" s="16" t="s">
        <v>99</v>
      </c>
      <c r="F79" s="16" t="s">
        <v>121</v>
      </c>
      <c r="G79" s="16" t="s">
        <v>46</v>
      </c>
      <c r="H79" s="17" t="s">
        <v>490</v>
      </c>
      <c r="I79" s="17" t="s">
        <v>491</v>
      </c>
      <c r="J79" s="17" t="s">
        <v>492</v>
      </c>
      <c r="K79" s="17" t="s">
        <v>422</v>
      </c>
      <c r="L79" s="17" t="s">
        <v>111</v>
      </c>
      <c r="M79" s="17" t="s">
        <v>487</v>
      </c>
      <c r="N79" s="16"/>
      <c r="O79" s="18">
        <v>46249</v>
      </c>
      <c r="P79" s="19" t="s">
        <v>34</v>
      </c>
      <c r="Q79" s="17"/>
      <c r="R79" s="19" t="str">
        <f t="shared" si="1"/>
        <v>Discovery Link Only</v>
      </c>
    </row>
    <row r="80" spans="1:18" ht="60" customHeight="1" x14ac:dyDescent="0.2">
      <c r="A80" s="16" t="s">
        <v>493</v>
      </c>
      <c r="B80" s="16" t="s">
        <v>494</v>
      </c>
      <c r="C80" s="16" t="s">
        <v>417</v>
      </c>
      <c r="D80" s="16" t="s">
        <v>445</v>
      </c>
      <c r="E80" s="16" t="s">
        <v>106</v>
      </c>
      <c r="F80" s="16" t="s">
        <v>127</v>
      </c>
      <c r="G80" s="16" t="s">
        <v>46</v>
      </c>
      <c r="H80" s="17" t="s">
        <v>495</v>
      </c>
      <c r="I80" s="17" t="s">
        <v>496</v>
      </c>
      <c r="J80" s="17" t="s">
        <v>497</v>
      </c>
      <c r="K80" s="17" t="s">
        <v>422</v>
      </c>
      <c r="L80" s="17" t="s">
        <v>111</v>
      </c>
      <c r="M80" s="17" t="s">
        <v>487</v>
      </c>
      <c r="N80" s="16"/>
      <c r="O80" s="18">
        <v>46249</v>
      </c>
      <c r="P80" s="19" t="s">
        <v>34</v>
      </c>
      <c r="Q80" s="17"/>
      <c r="R80" s="19" t="str">
        <f t="shared" si="1"/>
        <v>Discovery Link Only</v>
      </c>
    </row>
    <row r="81" spans="1:18" ht="60" customHeight="1" x14ac:dyDescent="0.2">
      <c r="A81" s="16" t="s">
        <v>498</v>
      </c>
      <c r="B81" s="16" t="s">
        <v>499</v>
      </c>
      <c r="C81" s="16" t="s">
        <v>417</v>
      </c>
      <c r="D81" s="16" t="s">
        <v>445</v>
      </c>
      <c r="E81" s="16" t="s">
        <v>72</v>
      </c>
      <c r="F81" s="16" t="s">
        <v>121</v>
      </c>
      <c r="G81" s="16" t="s">
        <v>26</v>
      </c>
      <c r="H81" s="17" t="s">
        <v>500</v>
      </c>
      <c r="I81" s="17" t="s">
        <v>501</v>
      </c>
      <c r="J81" s="17" t="s">
        <v>502</v>
      </c>
      <c r="K81" s="17" t="s">
        <v>422</v>
      </c>
      <c r="L81" s="17" t="s">
        <v>111</v>
      </c>
      <c r="M81" s="17" t="s">
        <v>487</v>
      </c>
      <c r="N81" s="16"/>
      <c r="O81" s="18">
        <v>46249</v>
      </c>
      <c r="P81" s="19" t="s">
        <v>34</v>
      </c>
      <c r="Q81" s="17"/>
      <c r="R81" s="19" t="str">
        <f t="shared" si="1"/>
        <v>Discovery Link Only</v>
      </c>
    </row>
    <row r="82" spans="1:18" ht="60" customHeight="1" x14ac:dyDescent="0.2">
      <c r="A82" s="16" t="s">
        <v>503</v>
      </c>
      <c r="B82" s="16" t="s">
        <v>504</v>
      </c>
      <c r="C82" s="16" t="s">
        <v>417</v>
      </c>
      <c r="D82" s="16" t="s">
        <v>458</v>
      </c>
      <c r="E82" s="16" t="s">
        <v>72</v>
      </c>
      <c r="F82" s="16" t="s">
        <v>121</v>
      </c>
      <c r="G82" s="16" t="s">
        <v>26</v>
      </c>
      <c r="H82" s="17" t="s">
        <v>505</v>
      </c>
      <c r="I82" s="17" t="s">
        <v>506</v>
      </c>
      <c r="J82" s="17" t="s">
        <v>507</v>
      </c>
      <c r="K82" s="17" t="s">
        <v>422</v>
      </c>
      <c r="L82" s="17" t="s">
        <v>111</v>
      </c>
      <c r="M82" s="17" t="s">
        <v>487</v>
      </c>
      <c r="N82" s="16"/>
      <c r="O82" s="18">
        <v>46249</v>
      </c>
      <c r="P82" s="19" t="s">
        <v>34</v>
      </c>
      <c r="Q82" s="17"/>
      <c r="R82" s="19" t="str">
        <f t="shared" si="1"/>
        <v>Discovery Link Only</v>
      </c>
    </row>
    <row r="83" spans="1:18" ht="60" customHeight="1" x14ac:dyDescent="0.2">
      <c r="A83" s="16" t="s">
        <v>508</v>
      </c>
      <c r="B83" s="16" t="s">
        <v>509</v>
      </c>
      <c r="C83" s="16" t="s">
        <v>417</v>
      </c>
      <c r="D83" s="16" t="s">
        <v>510</v>
      </c>
      <c r="E83" s="16" t="s">
        <v>45</v>
      </c>
      <c r="F83" s="16" t="s">
        <v>121</v>
      </c>
      <c r="G83" s="16" t="s">
        <v>26</v>
      </c>
      <c r="H83" s="17" t="s">
        <v>244</v>
      </c>
      <c r="I83" s="17" t="s">
        <v>511</v>
      </c>
      <c r="J83" s="17" t="s">
        <v>512</v>
      </c>
      <c r="K83" s="17" t="s">
        <v>422</v>
      </c>
      <c r="L83" s="17" t="s">
        <v>111</v>
      </c>
      <c r="M83" s="17" t="s">
        <v>487</v>
      </c>
      <c r="N83" s="16"/>
      <c r="O83" s="18">
        <v>46249</v>
      </c>
      <c r="P83" s="19" t="s">
        <v>34</v>
      </c>
      <c r="Q83" s="17"/>
      <c r="R83" s="19" t="str">
        <f t="shared" si="1"/>
        <v>Discovery Link Only</v>
      </c>
    </row>
    <row r="84" spans="1:18" ht="60" customHeight="1" x14ac:dyDescent="0.2">
      <c r="A84" s="16" t="s">
        <v>513</v>
      </c>
      <c r="B84" s="16" t="s">
        <v>514</v>
      </c>
      <c r="C84" s="16" t="s">
        <v>417</v>
      </c>
      <c r="D84" s="16" t="s">
        <v>510</v>
      </c>
      <c r="E84" s="16" t="s">
        <v>72</v>
      </c>
      <c r="F84" s="16" t="s">
        <v>121</v>
      </c>
      <c r="G84" s="16" t="s">
        <v>26</v>
      </c>
      <c r="H84" s="17" t="s">
        <v>515</v>
      </c>
      <c r="I84" s="17" t="s">
        <v>516</v>
      </c>
      <c r="J84" s="17" t="s">
        <v>517</v>
      </c>
      <c r="K84" s="17" t="s">
        <v>422</v>
      </c>
      <c r="L84" s="17" t="s">
        <v>111</v>
      </c>
      <c r="M84" s="17" t="s">
        <v>487</v>
      </c>
      <c r="N84" s="16"/>
      <c r="O84" s="18">
        <v>46249</v>
      </c>
      <c r="P84" s="19" t="s">
        <v>34</v>
      </c>
      <c r="Q84" s="17"/>
      <c r="R84" s="19" t="str">
        <f t="shared" si="1"/>
        <v>Discovery Link Only</v>
      </c>
    </row>
    <row r="85" spans="1:18" ht="60" customHeight="1" x14ac:dyDescent="0.2">
      <c r="A85" s="16" t="s">
        <v>518</v>
      </c>
      <c r="B85" s="16" t="s">
        <v>519</v>
      </c>
      <c r="C85" s="16" t="s">
        <v>417</v>
      </c>
      <c r="D85" s="16" t="s">
        <v>465</v>
      </c>
      <c r="E85" s="16" t="s">
        <v>45</v>
      </c>
      <c r="F85" s="16" t="s">
        <v>107</v>
      </c>
      <c r="G85" s="16" t="s">
        <v>26</v>
      </c>
      <c r="H85" s="17" t="s">
        <v>520</v>
      </c>
      <c r="I85" s="17" t="s">
        <v>521</v>
      </c>
      <c r="J85" s="17" t="s">
        <v>522</v>
      </c>
      <c r="K85" s="17" t="s">
        <v>422</v>
      </c>
      <c r="L85" s="17" t="s">
        <v>111</v>
      </c>
      <c r="M85" s="17" t="s">
        <v>487</v>
      </c>
      <c r="N85" s="16"/>
      <c r="O85" s="18">
        <v>46249</v>
      </c>
      <c r="P85" s="19" t="s">
        <v>34</v>
      </c>
      <c r="Q85" s="17"/>
      <c r="R85" s="19" t="str">
        <f t="shared" si="1"/>
        <v>Discovery Link Only</v>
      </c>
    </row>
    <row r="86" spans="1:18" ht="60" customHeight="1" x14ac:dyDescent="0.2">
      <c r="A86" s="16" t="s">
        <v>523</v>
      </c>
      <c r="B86" s="16" t="s">
        <v>524</v>
      </c>
      <c r="C86" s="16" t="s">
        <v>417</v>
      </c>
      <c r="D86" s="16" t="s">
        <v>418</v>
      </c>
      <c r="E86" s="16" t="s">
        <v>115</v>
      </c>
      <c r="F86" s="16" t="s">
        <v>127</v>
      </c>
      <c r="G86" s="16" t="s">
        <v>46</v>
      </c>
      <c r="H86" s="17" t="s">
        <v>525</v>
      </c>
      <c r="I86" s="17" t="s">
        <v>526</v>
      </c>
      <c r="J86" s="17" t="s">
        <v>527</v>
      </c>
      <c r="K86" s="17" t="s">
        <v>422</v>
      </c>
      <c r="L86" s="17" t="s">
        <v>111</v>
      </c>
      <c r="M86" s="17" t="s">
        <v>487</v>
      </c>
      <c r="N86" s="16"/>
      <c r="O86" s="18">
        <v>46249</v>
      </c>
      <c r="P86" s="19" t="s">
        <v>34</v>
      </c>
      <c r="Q86" s="17"/>
      <c r="R86" s="19" t="str">
        <f t="shared" si="1"/>
        <v>Discovery Link Only</v>
      </c>
    </row>
    <row r="87" spans="1:18" ht="60" customHeight="1" x14ac:dyDescent="0.2">
      <c r="A87" s="16" t="s">
        <v>528</v>
      </c>
      <c r="B87" s="16" t="s">
        <v>529</v>
      </c>
      <c r="C87" s="16" t="s">
        <v>417</v>
      </c>
      <c r="D87" s="16" t="s">
        <v>418</v>
      </c>
      <c r="E87" s="16" t="s">
        <v>45</v>
      </c>
      <c r="F87" s="16" t="s">
        <v>127</v>
      </c>
      <c r="G87" s="16" t="s">
        <v>26</v>
      </c>
      <c r="H87" s="17" t="s">
        <v>530</v>
      </c>
      <c r="I87" s="17" t="s">
        <v>531</v>
      </c>
      <c r="J87" s="17" t="s">
        <v>532</v>
      </c>
      <c r="K87" s="17" t="s">
        <v>422</v>
      </c>
      <c r="L87" s="17" t="s">
        <v>111</v>
      </c>
      <c r="M87" s="17" t="s">
        <v>487</v>
      </c>
      <c r="N87" s="16"/>
      <c r="O87" s="18">
        <v>46249</v>
      </c>
      <c r="P87" s="19" t="s">
        <v>34</v>
      </c>
      <c r="Q87" s="17"/>
      <c r="R87" s="19" t="str">
        <f t="shared" si="1"/>
        <v>Discovery Link Only</v>
      </c>
    </row>
    <row r="88" spans="1:18" ht="60" customHeight="1" x14ac:dyDescent="0.2">
      <c r="A88" s="16" t="s">
        <v>533</v>
      </c>
      <c r="B88" s="16" t="s">
        <v>534</v>
      </c>
      <c r="C88" s="16" t="s">
        <v>417</v>
      </c>
      <c r="D88" s="16" t="s">
        <v>535</v>
      </c>
      <c r="E88" s="16" t="s">
        <v>45</v>
      </c>
      <c r="F88" s="16" t="s">
        <v>194</v>
      </c>
      <c r="G88" s="16" t="s">
        <v>26</v>
      </c>
      <c r="H88" s="17" t="s">
        <v>536</v>
      </c>
      <c r="I88" s="17" t="s">
        <v>537</v>
      </c>
      <c r="J88" s="17" t="s">
        <v>538</v>
      </c>
      <c r="K88" s="17" t="s">
        <v>422</v>
      </c>
      <c r="L88" s="17" t="s">
        <v>111</v>
      </c>
      <c r="M88" s="17" t="s">
        <v>487</v>
      </c>
      <c r="N88" s="16"/>
      <c r="O88" s="18">
        <v>46249</v>
      </c>
      <c r="P88" s="19" t="s">
        <v>34</v>
      </c>
      <c r="Q88" s="17"/>
      <c r="R88" s="19" t="str">
        <f t="shared" si="1"/>
        <v>Discovery Link Only</v>
      </c>
    </row>
    <row r="89" spans="1:18" ht="60" customHeight="1" x14ac:dyDescent="0.2">
      <c r="A89" s="16" t="s">
        <v>539</v>
      </c>
      <c r="B89" s="16" t="s">
        <v>540</v>
      </c>
      <c r="C89" s="16" t="s">
        <v>417</v>
      </c>
      <c r="D89" s="16" t="s">
        <v>535</v>
      </c>
      <c r="E89" s="16" t="s">
        <v>45</v>
      </c>
      <c r="F89" s="16" t="s">
        <v>194</v>
      </c>
      <c r="G89" s="16" t="s">
        <v>26</v>
      </c>
      <c r="H89" s="17" t="s">
        <v>244</v>
      </c>
      <c r="I89" s="17" t="s">
        <v>541</v>
      </c>
      <c r="J89" s="17" t="s">
        <v>542</v>
      </c>
      <c r="K89" s="17" t="s">
        <v>422</v>
      </c>
      <c r="L89" s="17" t="s">
        <v>111</v>
      </c>
      <c r="M89" s="17" t="s">
        <v>487</v>
      </c>
      <c r="N89" s="16"/>
      <c r="O89" s="18">
        <v>46249</v>
      </c>
      <c r="P89" s="19" t="s">
        <v>34</v>
      </c>
      <c r="Q89" s="17"/>
      <c r="R89" s="19" t="str">
        <f t="shared" si="1"/>
        <v>Discovery Link Only</v>
      </c>
    </row>
    <row r="90" spans="1:18" ht="60" customHeight="1" x14ac:dyDescent="0.2">
      <c r="A90" s="16" t="s">
        <v>543</v>
      </c>
      <c r="B90" s="16" t="s">
        <v>544</v>
      </c>
      <c r="C90" s="16" t="s">
        <v>417</v>
      </c>
      <c r="D90" s="16" t="s">
        <v>545</v>
      </c>
      <c r="E90" s="16" t="s">
        <v>151</v>
      </c>
      <c r="F90" s="16" t="s">
        <v>121</v>
      </c>
      <c r="G90" s="16" t="s">
        <v>134</v>
      </c>
      <c r="H90" s="17" t="s">
        <v>546</v>
      </c>
      <c r="I90" s="17" t="s">
        <v>547</v>
      </c>
      <c r="J90" s="17" t="s">
        <v>548</v>
      </c>
      <c r="K90" s="17" t="s">
        <v>422</v>
      </c>
      <c r="L90" s="17" t="s">
        <v>111</v>
      </c>
      <c r="M90" s="17" t="s">
        <v>487</v>
      </c>
      <c r="N90" s="16"/>
      <c r="O90" s="18">
        <v>46249</v>
      </c>
      <c r="P90" s="19" t="s">
        <v>34</v>
      </c>
      <c r="Q90" s="17"/>
      <c r="R90" s="19" t="str">
        <f t="shared" si="1"/>
        <v>Discovery Link Only</v>
      </c>
    </row>
    <row r="91" spans="1:18" ht="60" customHeight="1" x14ac:dyDescent="0.2">
      <c r="A91" s="16" t="s">
        <v>549</v>
      </c>
      <c r="B91" s="16" t="s">
        <v>550</v>
      </c>
      <c r="C91" s="16" t="s">
        <v>417</v>
      </c>
      <c r="D91" s="16" t="s">
        <v>551</v>
      </c>
      <c r="E91" s="16" t="s">
        <v>45</v>
      </c>
      <c r="F91" s="16" t="s">
        <v>194</v>
      </c>
      <c r="G91" s="16" t="s">
        <v>26</v>
      </c>
      <c r="H91" s="17" t="s">
        <v>552</v>
      </c>
      <c r="I91" s="17" t="s">
        <v>553</v>
      </c>
      <c r="J91" s="17" t="s">
        <v>554</v>
      </c>
      <c r="K91" s="17" t="s">
        <v>422</v>
      </c>
      <c r="L91" s="17" t="s">
        <v>111</v>
      </c>
      <c r="M91" s="17" t="s">
        <v>487</v>
      </c>
      <c r="N91" s="16"/>
      <c r="O91" s="18">
        <v>46249</v>
      </c>
      <c r="P91" s="19" t="s">
        <v>34</v>
      </c>
      <c r="Q91" s="17"/>
      <c r="R91" s="19" t="str">
        <f t="shared" si="1"/>
        <v>Discovery Link Only</v>
      </c>
    </row>
    <row r="92" spans="1:18" ht="60" customHeight="1" x14ac:dyDescent="0.2">
      <c r="A92" s="16" t="s">
        <v>555</v>
      </c>
      <c r="B92" s="16" t="s">
        <v>556</v>
      </c>
      <c r="C92" s="16" t="s">
        <v>557</v>
      </c>
      <c r="D92" s="16" t="s">
        <v>558</v>
      </c>
      <c r="E92" s="16" t="s">
        <v>72</v>
      </c>
      <c r="F92" s="16" t="s">
        <v>121</v>
      </c>
      <c r="G92" s="16" t="s">
        <v>26</v>
      </c>
      <c r="H92" s="17" t="s">
        <v>559</v>
      </c>
      <c r="I92" s="17" t="s">
        <v>560</v>
      </c>
      <c r="J92" s="17" t="s">
        <v>561</v>
      </c>
      <c r="K92" s="17" t="s">
        <v>562</v>
      </c>
      <c r="L92" s="17" t="s">
        <v>58</v>
      </c>
      <c r="M92" s="17" t="s">
        <v>256</v>
      </c>
      <c r="N92" s="16" t="s">
        <v>563</v>
      </c>
      <c r="O92" s="18">
        <v>46249</v>
      </c>
      <c r="P92" s="19" t="s">
        <v>34</v>
      </c>
      <c r="Q92" s="17"/>
      <c r="R92" s="19" t="str">
        <f t="shared" si="1"/>
        <v>Source Link Present</v>
      </c>
    </row>
    <row r="93" spans="1:18" ht="60" customHeight="1" x14ac:dyDescent="0.2">
      <c r="A93" s="16" t="s">
        <v>564</v>
      </c>
      <c r="B93" s="16" t="s">
        <v>565</v>
      </c>
      <c r="C93" s="16" t="s">
        <v>557</v>
      </c>
      <c r="D93" s="16" t="s">
        <v>566</v>
      </c>
      <c r="E93" s="16" t="s">
        <v>72</v>
      </c>
      <c r="F93" s="16" t="s">
        <v>121</v>
      </c>
      <c r="G93" s="16" t="s">
        <v>26</v>
      </c>
      <c r="H93" s="17" t="s">
        <v>567</v>
      </c>
      <c r="I93" s="17" t="s">
        <v>568</v>
      </c>
      <c r="J93" s="17" t="s">
        <v>569</v>
      </c>
      <c r="K93" s="17" t="s">
        <v>562</v>
      </c>
      <c r="L93" s="17" t="s">
        <v>58</v>
      </c>
      <c r="M93" s="17" t="s">
        <v>256</v>
      </c>
      <c r="N93" s="16" t="s">
        <v>570</v>
      </c>
      <c r="O93" s="18">
        <v>46249</v>
      </c>
      <c r="P93" s="19" t="s">
        <v>34</v>
      </c>
      <c r="Q93" s="17"/>
      <c r="R93" s="19" t="str">
        <f t="shared" si="1"/>
        <v>Source Link Present</v>
      </c>
    </row>
    <row r="94" spans="1:18" ht="60" customHeight="1" x14ac:dyDescent="0.2">
      <c r="A94" s="16" t="s">
        <v>571</v>
      </c>
      <c r="B94" s="16" t="s">
        <v>572</v>
      </c>
      <c r="C94" s="16" t="s">
        <v>557</v>
      </c>
      <c r="D94" s="16" t="s">
        <v>573</v>
      </c>
      <c r="E94" s="16" t="s">
        <v>115</v>
      </c>
      <c r="F94" s="16" t="s">
        <v>25</v>
      </c>
      <c r="G94" s="16" t="s">
        <v>26</v>
      </c>
      <c r="H94" s="17" t="s">
        <v>574</v>
      </c>
      <c r="I94" s="17" t="s">
        <v>575</v>
      </c>
      <c r="J94" s="17" t="s">
        <v>576</v>
      </c>
      <c r="K94" s="17" t="s">
        <v>562</v>
      </c>
      <c r="L94" s="17" t="s">
        <v>58</v>
      </c>
      <c r="M94" s="17" t="s">
        <v>256</v>
      </c>
      <c r="N94" s="16" t="s">
        <v>577</v>
      </c>
      <c r="O94" s="18">
        <v>46249</v>
      </c>
      <c r="P94" s="19" t="s">
        <v>34</v>
      </c>
      <c r="Q94" s="17"/>
      <c r="R94" s="19" t="str">
        <f t="shared" si="1"/>
        <v>Discovery Link Only</v>
      </c>
    </row>
    <row r="95" spans="1:18" ht="60" customHeight="1" x14ac:dyDescent="0.2">
      <c r="A95" s="16" t="s">
        <v>578</v>
      </c>
      <c r="B95" s="16" t="s">
        <v>579</v>
      </c>
      <c r="C95" s="16" t="s">
        <v>557</v>
      </c>
      <c r="D95" s="16" t="s">
        <v>573</v>
      </c>
      <c r="E95" s="16" t="s">
        <v>133</v>
      </c>
      <c r="F95" s="16" t="s">
        <v>25</v>
      </c>
      <c r="G95" s="16" t="s">
        <v>46</v>
      </c>
      <c r="H95" s="17" t="s">
        <v>580</v>
      </c>
      <c r="I95" s="17" t="s">
        <v>581</v>
      </c>
      <c r="J95" s="17" t="s">
        <v>582</v>
      </c>
      <c r="K95" s="17" t="s">
        <v>562</v>
      </c>
      <c r="L95" s="17" t="s">
        <v>58</v>
      </c>
      <c r="M95" s="17" t="s">
        <v>256</v>
      </c>
      <c r="N95" s="16" t="s">
        <v>583</v>
      </c>
      <c r="O95" s="18">
        <v>46249</v>
      </c>
      <c r="P95" s="19" t="s">
        <v>34</v>
      </c>
      <c r="Q95" s="17"/>
      <c r="R95" s="19" t="str">
        <f t="shared" si="1"/>
        <v>Discovery Link Only</v>
      </c>
    </row>
    <row r="96" spans="1:18" ht="60" customHeight="1" x14ac:dyDescent="0.2">
      <c r="A96" s="16" t="s">
        <v>584</v>
      </c>
      <c r="B96" s="16" t="s">
        <v>585</v>
      </c>
      <c r="C96" s="16" t="s">
        <v>557</v>
      </c>
      <c r="D96" s="16" t="s">
        <v>573</v>
      </c>
      <c r="E96" s="16" t="s">
        <v>151</v>
      </c>
      <c r="F96" s="16" t="s">
        <v>121</v>
      </c>
      <c r="G96" s="16" t="s">
        <v>26</v>
      </c>
      <c r="H96" s="17" t="s">
        <v>586</v>
      </c>
      <c r="I96" s="17" t="s">
        <v>587</v>
      </c>
      <c r="J96" s="17" t="s">
        <v>588</v>
      </c>
      <c r="K96" s="17" t="s">
        <v>562</v>
      </c>
      <c r="L96" s="17" t="s">
        <v>58</v>
      </c>
      <c r="M96" s="17" t="s">
        <v>256</v>
      </c>
      <c r="N96" s="16" t="s">
        <v>589</v>
      </c>
      <c r="O96" s="18">
        <v>46249</v>
      </c>
      <c r="P96" s="19" t="s">
        <v>34</v>
      </c>
      <c r="Q96" s="17"/>
      <c r="R96" s="19" t="str">
        <f t="shared" si="1"/>
        <v>Discovery Link Only</v>
      </c>
    </row>
    <row r="97" spans="1:18" ht="60" customHeight="1" x14ac:dyDescent="0.2">
      <c r="A97" s="16" t="s">
        <v>590</v>
      </c>
      <c r="B97" s="16" t="s">
        <v>591</v>
      </c>
      <c r="C97" s="16" t="s">
        <v>557</v>
      </c>
      <c r="D97" s="16" t="s">
        <v>573</v>
      </c>
      <c r="E97" s="16" t="s">
        <v>140</v>
      </c>
      <c r="F97" s="16" t="s">
        <v>25</v>
      </c>
      <c r="G97" s="16" t="s">
        <v>26</v>
      </c>
      <c r="H97" s="17" t="s">
        <v>592</v>
      </c>
      <c r="I97" s="17" t="s">
        <v>593</v>
      </c>
      <c r="J97" s="17" t="s">
        <v>594</v>
      </c>
      <c r="K97" s="17" t="s">
        <v>562</v>
      </c>
      <c r="L97" s="17" t="s">
        <v>58</v>
      </c>
      <c r="M97" s="17" t="s">
        <v>256</v>
      </c>
      <c r="N97" s="16" t="s">
        <v>595</v>
      </c>
      <c r="O97" s="18">
        <v>46249</v>
      </c>
      <c r="P97" s="19" t="s">
        <v>34</v>
      </c>
      <c r="Q97" s="17"/>
      <c r="R97" s="19" t="str">
        <f t="shared" si="1"/>
        <v>Discovery Link Only</v>
      </c>
    </row>
    <row r="98" spans="1:18" ht="60" customHeight="1" x14ac:dyDescent="0.2">
      <c r="A98" s="16" t="s">
        <v>596</v>
      </c>
      <c r="B98" s="16" t="s">
        <v>597</v>
      </c>
      <c r="C98" s="16" t="s">
        <v>557</v>
      </c>
      <c r="D98" s="16" t="s">
        <v>573</v>
      </c>
      <c r="E98" s="16" t="s">
        <v>133</v>
      </c>
      <c r="F98" s="16" t="s">
        <v>25</v>
      </c>
      <c r="G98" s="16" t="s">
        <v>46</v>
      </c>
      <c r="H98" s="17" t="s">
        <v>598</v>
      </c>
      <c r="I98" s="17" t="s">
        <v>599</v>
      </c>
      <c r="J98" s="17" t="s">
        <v>600</v>
      </c>
      <c r="K98" s="17" t="s">
        <v>562</v>
      </c>
      <c r="L98" s="17" t="s">
        <v>58</v>
      </c>
      <c r="M98" s="17" t="s">
        <v>256</v>
      </c>
      <c r="N98" s="16" t="s">
        <v>601</v>
      </c>
      <c r="O98" s="18">
        <v>46249</v>
      </c>
      <c r="P98" s="19" t="s">
        <v>34</v>
      </c>
      <c r="Q98" s="17"/>
      <c r="R98" s="19" t="str">
        <f t="shared" si="1"/>
        <v>Discovery Link Only</v>
      </c>
    </row>
    <row r="99" spans="1:18" ht="60" customHeight="1" x14ac:dyDescent="0.2">
      <c r="A99" s="16" t="s">
        <v>602</v>
      </c>
      <c r="B99" s="16" t="s">
        <v>603</v>
      </c>
      <c r="C99" s="16" t="s">
        <v>557</v>
      </c>
      <c r="D99" s="16" t="s">
        <v>573</v>
      </c>
      <c r="E99" s="16" t="s">
        <v>133</v>
      </c>
      <c r="F99" s="16" t="s">
        <v>25</v>
      </c>
      <c r="G99" s="16" t="s">
        <v>134</v>
      </c>
      <c r="H99" s="17" t="s">
        <v>604</v>
      </c>
      <c r="I99" s="17" t="s">
        <v>605</v>
      </c>
      <c r="J99" s="17" t="s">
        <v>606</v>
      </c>
      <c r="K99" s="17" t="s">
        <v>562</v>
      </c>
      <c r="L99" s="17" t="s">
        <v>58</v>
      </c>
      <c r="M99" s="17" t="s">
        <v>256</v>
      </c>
      <c r="N99" s="16" t="s">
        <v>607</v>
      </c>
      <c r="O99" s="18">
        <v>46249</v>
      </c>
      <c r="P99" s="19" t="s">
        <v>34</v>
      </c>
      <c r="Q99" s="17"/>
      <c r="R99" s="19" t="str">
        <f t="shared" si="1"/>
        <v>Discovery Link Only</v>
      </c>
    </row>
    <row r="100" spans="1:18" ht="60" customHeight="1" x14ac:dyDescent="0.2">
      <c r="A100" s="16" t="s">
        <v>608</v>
      </c>
      <c r="B100" s="16" t="s">
        <v>609</v>
      </c>
      <c r="C100" s="16" t="s">
        <v>557</v>
      </c>
      <c r="D100" s="16" t="s">
        <v>573</v>
      </c>
      <c r="E100" s="16" t="s">
        <v>106</v>
      </c>
      <c r="F100" s="16" t="s">
        <v>25</v>
      </c>
      <c r="G100" s="16" t="s">
        <v>46</v>
      </c>
      <c r="H100" s="17" t="s">
        <v>610</v>
      </c>
      <c r="I100" s="17" t="s">
        <v>611</v>
      </c>
      <c r="J100" s="17" t="s">
        <v>612</v>
      </c>
      <c r="K100" s="17" t="s">
        <v>562</v>
      </c>
      <c r="L100" s="17" t="s">
        <v>58</v>
      </c>
      <c r="M100" s="17" t="s">
        <v>256</v>
      </c>
      <c r="N100" s="16" t="s">
        <v>613</v>
      </c>
      <c r="O100" s="18">
        <v>46249</v>
      </c>
      <c r="P100" s="19" t="s">
        <v>34</v>
      </c>
      <c r="Q100" s="17"/>
      <c r="R100" s="19" t="str">
        <f t="shared" si="1"/>
        <v>Discovery Link Only</v>
      </c>
    </row>
    <row r="101" spans="1:18" ht="60" customHeight="1" x14ac:dyDescent="0.2">
      <c r="A101" s="16" t="s">
        <v>614</v>
      </c>
      <c r="B101" s="16" t="s">
        <v>615</v>
      </c>
      <c r="C101" s="16" t="s">
        <v>557</v>
      </c>
      <c r="D101" s="16" t="s">
        <v>616</v>
      </c>
      <c r="E101" s="16" t="s">
        <v>24</v>
      </c>
      <c r="F101" s="16" t="s">
        <v>25</v>
      </c>
      <c r="G101" s="16" t="s">
        <v>26</v>
      </c>
      <c r="H101" s="17" t="s">
        <v>617</v>
      </c>
      <c r="I101" s="17" t="s">
        <v>618</v>
      </c>
      <c r="J101" s="17" t="s">
        <v>619</v>
      </c>
      <c r="K101" s="17" t="s">
        <v>562</v>
      </c>
      <c r="L101" s="17" t="s">
        <v>58</v>
      </c>
      <c r="M101" s="17" t="s">
        <v>256</v>
      </c>
      <c r="N101" s="16" t="s">
        <v>620</v>
      </c>
      <c r="O101" s="18">
        <v>46249</v>
      </c>
      <c r="P101" s="19" t="s">
        <v>34</v>
      </c>
      <c r="Q101" s="17"/>
      <c r="R101" s="19" t="str">
        <f t="shared" si="1"/>
        <v>Discovery Link Only</v>
      </c>
    </row>
    <row r="102" spans="1:18" ht="60" customHeight="1" x14ac:dyDescent="0.2">
      <c r="A102" s="16" t="s">
        <v>621</v>
      </c>
      <c r="B102" s="16" t="s">
        <v>622</v>
      </c>
      <c r="C102" s="16" t="s">
        <v>557</v>
      </c>
      <c r="D102" s="16" t="s">
        <v>558</v>
      </c>
      <c r="E102" s="16" t="s">
        <v>115</v>
      </c>
      <c r="F102" s="16" t="s">
        <v>107</v>
      </c>
      <c r="G102" s="16" t="s">
        <v>46</v>
      </c>
      <c r="H102" s="17" t="s">
        <v>623</v>
      </c>
      <c r="I102" s="17" t="s">
        <v>624</v>
      </c>
      <c r="J102" s="17" t="s">
        <v>625</v>
      </c>
      <c r="K102" s="17" t="s">
        <v>562</v>
      </c>
      <c r="L102" s="17" t="s">
        <v>111</v>
      </c>
      <c r="M102" s="17" t="s">
        <v>626</v>
      </c>
      <c r="N102" s="16"/>
      <c r="O102" s="18">
        <v>46249</v>
      </c>
      <c r="P102" s="19" t="s">
        <v>34</v>
      </c>
      <c r="Q102" s="17"/>
      <c r="R102" s="19" t="str">
        <f t="shared" si="1"/>
        <v>Discovery Link Only</v>
      </c>
    </row>
    <row r="103" spans="1:18" ht="60" customHeight="1" x14ac:dyDescent="0.2">
      <c r="A103" s="16" t="s">
        <v>627</v>
      </c>
      <c r="B103" s="16" t="s">
        <v>628</v>
      </c>
      <c r="C103" s="16" t="s">
        <v>557</v>
      </c>
      <c r="D103" s="16" t="s">
        <v>558</v>
      </c>
      <c r="E103" s="16" t="s">
        <v>106</v>
      </c>
      <c r="F103" s="16" t="s">
        <v>107</v>
      </c>
      <c r="G103" s="16" t="s">
        <v>46</v>
      </c>
      <c r="H103" s="17" t="s">
        <v>629</v>
      </c>
      <c r="I103" s="17" t="s">
        <v>630</v>
      </c>
      <c r="J103" s="17" t="s">
        <v>631</v>
      </c>
      <c r="K103" s="17" t="s">
        <v>562</v>
      </c>
      <c r="L103" s="17" t="s">
        <v>111</v>
      </c>
      <c r="M103" s="17" t="s">
        <v>626</v>
      </c>
      <c r="N103" s="16"/>
      <c r="O103" s="18">
        <v>46249</v>
      </c>
      <c r="P103" s="19" t="s">
        <v>34</v>
      </c>
      <c r="Q103" s="17"/>
      <c r="R103" s="19" t="str">
        <f t="shared" si="1"/>
        <v>Discovery Link Only</v>
      </c>
    </row>
    <row r="104" spans="1:18" ht="60" customHeight="1" x14ac:dyDescent="0.2">
      <c r="A104" s="16" t="s">
        <v>632</v>
      </c>
      <c r="B104" s="16" t="s">
        <v>633</v>
      </c>
      <c r="C104" s="16" t="s">
        <v>557</v>
      </c>
      <c r="D104" s="16" t="s">
        <v>558</v>
      </c>
      <c r="E104" s="16" t="s">
        <v>115</v>
      </c>
      <c r="F104" s="16" t="s">
        <v>107</v>
      </c>
      <c r="G104" s="16" t="s">
        <v>46</v>
      </c>
      <c r="H104" s="17" t="s">
        <v>634</v>
      </c>
      <c r="I104" s="17" t="s">
        <v>635</v>
      </c>
      <c r="J104" s="17" t="s">
        <v>636</v>
      </c>
      <c r="K104" s="17" t="s">
        <v>562</v>
      </c>
      <c r="L104" s="17" t="s">
        <v>111</v>
      </c>
      <c r="M104" s="17" t="s">
        <v>626</v>
      </c>
      <c r="N104" s="16"/>
      <c r="O104" s="18">
        <v>46249</v>
      </c>
      <c r="P104" s="19" t="s">
        <v>34</v>
      </c>
      <c r="Q104" s="17"/>
      <c r="R104" s="19" t="str">
        <f t="shared" si="1"/>
        <v>Discovery Link Only</v>
      </c>
    </row>
    <row r="105" spans="1:18" ht="60" customHeight="1" x14ac:dyDescent="0.2">
      <c r="A105" s="16" t="s">
        <v>637</v>
      </c>
      <c r="B105" s="16" t="s">
        <v>638</v>
      </c>
      <c r="C105" s="16" t="s">
        <v>557</v>
      </c>
      <c r="D105" s="16" t="s">
        <v>558</v>
      </c>
      <c r="E105" s="16" t="s">
        <v>106</v>
      </c>
      <c r="F105" s="16" t="s">
        <v>127</v>
      </c>
      <c r="G105" s="16" t="s">
        <v>46</v>
      </c>
      <c r="H105" s="17" t="s">
        <v>108</v>
      </c>
      <c r="I105" s="17" t="s">
        <v>639</v>
      </c>
      <c r="J105" s="17" t="s">
        <v>640</v>
      </c>
      <c r="K105" s="17" t="s">
        <v>562</v>
      </c>
      <c r="L105" s="17" t="s">
        <v>111</v>
      </c>
      <c r="M105" s="17" t="s">
        <v>626</v>
      </c>
      <c r="N105" s="16"/>
      <c r="O105" s="18">
        <v>46249</v>
      </c>
      <c r="P105" s="19" t="s">
        <v>34</v>
      </c>
      <c r="Q105" s="17"/>
      <c r="R105" s="19" t="str">
        <f t="shared" si="1"/>
        <v>Discovery Link Only</v>
      </c>
    </row>
    <row r="106" spans="1:18" ht="60" customHeight="1" x14ac:dyDescent="0.2">
      <c r="A106" s="16" t="s">
        <v>641</v>
      </c>
      <c r="B106" s="16" t="s">
        <v>642</v>
      </c>
      <c r="C106" s="16" t="s">
        <v>557</v>
      </c>
      <c r="D106" s="16" t="s">
        <v>558</v>
      </c>
      <c r="E106" s="16" t="s">
        <v>133</v>
      </c>
      <c r="F106" s="16" t="s">
        <v>121</v>
      </c>
      <c r="G106" s="16" t="s">
        <v>134</v>
      </c>
      <c r="H106" s="17" t="s">
        <v>643</v>
      </c>
      <c r="I106" s="17" t="s">
        <v>644</v>
      </c>
      <c r="J106" s="17" t="s">
        <v>645</v>
      </c>
      <c r="K106" s="17" t="s">
        <v>562</v>
      </c>
      <c r="L106" s="17" t="s">
        <v>111</v>
      </c>
      <c r="M106" s="17" t="s">
        <v>626</v>
      </c>
      <c r="N106" s="16"/>
      <c r="O106" s="18">
        <v>46249</v>
      </c>
      <c r="P106" s="19" t="s">
        <v>34</v>
      </c>
      <c r="Q106" s="17"/>
      <c r="R106" s="19" t="str">
        <f t="shared" si="1"/>
        <v>Discovery Link Only</v>
      </c>
    </row>
    <row r="107" spans="1:18" ht="60" customHeight="1" x14ac:dyDescent="0.2">
      <c r="A107" s="16" t="s">
        <v>646</v>
      </c>
      <c r="B107" s="16" t="s">
        <v>647</v>
      </c>
      <c r="C107" s="16" t="s">
        <v>557</v>
      </c>
      <c r="D107" s="16" t="s">
        <v>558</v>
      </c>
      <c r="E107" s="16" t="s">
        <v>140</v>
      </c>
      <c r="F107" s="16" t="s">
        <v>107</v>
      </c>
      <c r="G107" s="16" t="s">
        <v>46</v>
      </c>
      <c r="H107" s="17" t="s">
        <v>648</v>
      </c>
      <c r="I107" s="17" t="s">
        <v>649</v>
      </c>
      <c r="J107" s="17" t="s">
        <v>650</v>
      </c>
      <c r="K107" s="17" t="s">
        <v>562</v>
      </c>
      <c r="L107" s="17" t="s">
        <v>111</v>
      </c>
      <c r="M107" s="17" t="s">
        <v>626</v>
      </c>
      <c r="N107" s="16"/>
      <c r="O107" s="18">
        <v>46249</v>
      </c>
      <c r="P107" s="19" t="s">
        <v>34</v>
      </c>
      <c r="Q107" s="17"/>
      <c r="R107" s="19" t="str">
        <f t="shared" si="1"/>
        <v>Discovery Link Only</v>
      </c>
    </row>
    <row r="108" spans="1:18" ht="60" customHeight="1" x14ac:dyDescent="0.2">
      <c r="A108" s="16" t="s">
        <v>651</v>
      </c>
      <c r="B108" s="16" t="s">
        <v>652</v>
      </c>
      <c r="C108" s="16" t="s">
        <v>557</v>
      </c>
      <c r="D108" s="16" t="s">
        <v>558</v>
      </c>
      <c r="E108" s="16" t="s">
        <v>99</v>
      </c>
      <c r="F108" s="16" t="s">
        <v>121</v>
      </c>
      <c r="G108" s="16" t="s">
        <v>46</v>
      </c>
      <c r="H108" s="17" t="s">
        <v>653</v>
      </c>
      <c r="I108" s="17" t="s">
        <v>654</v>
      </c>
      <c r="J108" s="17" t="s">
        <v>655</v>
      </c>
      <c r="K108" s="17" t="s">
        <v>562</v>
      </c>
      <c r="L108" s="17" t="s">
        <v>111</v>
      </c>
      <c r="M108" s="17" t="s">
        <v>626</v>
      </c>
      <c r="N108" s="16"/>
      <c r="O108" s="18">
        <v>46249</v>
      </c>
      <c r="P108" s="19" t="s">
        <v>34</v>
      </c>
      <c r="Q108" s="17"/>
      <c r="R108" s="19" t="str">
        <f t="shared" si="1"/>
        <v>Discovery Link Only</v>
      </c>
    </row>
    <row r="109" spans="1:18" ht="60" customHeight="1" x14ac:dyDescent="0.2">
      <c r="A109" s="16" t="s">
        <v>656</v>
      </c>
      <c r="B109" s="16" t="s">
        <v>657</v>
      </c>
      <c r="C109" s="16" t="s">
        <v>557</v>
      </c>
      <c r="D109" s="16" t="s">
        <v>616</v>
      </c>
      <c r="E109" s="16" t="s">
        <v>37</v>
      </c>
      <c r="F109" s="16" t="s">
        <v>107</v>
      </c>
      <c r="G109" s="16" t="s">
        <v>26</v>
      </c>
      <c r="H109" s="17" t="s">
        <v>658</v>
      </c>
      <c r="I109" s="17" t="s">
        <v>659</v>
      </c>
      <c r="J109" s="17" t="s">
        <v>660</v>
      </c>
      <c r="K109" s="17" t="s">
        <v>562</v>
      </c>
      <c r="L109" s="17" t="s">
        <v>111</v>
      </c>
      <c r="M109" s="17" t="s">
        <v>626</v>
      </c>
      <c r="N109" s="16"/>
      <c r="O109" s="18">
        <v>46249</v>
      </c>
      <c r="P109" s="19" t="s">
        <v>34</v>
      </c>
      <c r="Q109" s="17"/>
      <c r="R109" s="19" t="str">
        <f t="shared" si="1"/>
        <v>Discovery Link Only</v>
      </c>
    </row>
    <row r="110" spans="1:18" ht="60" customHeight="1" x14ac:dyDescent="0.2">
      <c r="A110" s="16" t="s">
        <v>661</v>
      </c>
      <c r="B110" s="16" t="s">
        <v>662</v>
      </c>
      <c r="C110" s="16" t="s">
        <v>557</v>
      </c>
      <c r="D110" s="16" t="s">
        <v>616</v>
      </c>
      <c r="E110" s="16" t="s">
        <v>99</v>
      </c>
      <c r="F110" s="16" t="s">
        <v>121</v>
      </c>
      <c r="G110" s="16" t="s">
        <v>46</v>
      </c>
      <c r="H110" s="17" t="s">
        <v>663</v>
      </c>
      <c r="I110" s="17" t="s">
        <v>664</v>
      </c>
      <c r="J110" s="17" t="s">
        <v>665</v>
      </c>
      <c r="K110" s="17" t="s">
        <v>562</v>
      </c>
      <c r="L110" s="17" t="s">
        <v>111</v>
      </c>
      <c r="M110" s="17" t="s">
        <v>626</v>
      </c>
      <c r="N110" s="16"/>
      <c r="O110" s="18">
        <v>46249</v>
      </c>
      <c r="P110" s="19" t="s">
        <v>34</v>
      </c>
      <c r="Q110" s="17"/>
      <c r="R110" s="19" t="str">
        <f t="shared" si="1"/>
        <v>Discovery Link Only</v>
      </c>
    </row>
    <row r="111" spans="1:18" ht="60" customHeight="1" x14ac:dyDescent="0.2">
      <c r="A111" s="16" t="s">
        <v>666</v>
      </c>
      <c r="B111" s="16" t="s">
        <v>667</v>
      </c>
      <c r="C111" s="16" t="s">
        <v>557</v>
      </c>
      <c r="D111" s="16" t="s">
        <v>616</v>
      </c>
      <c r="E111" s="16" t="s">
        <v>54</v>
      </c>
      <c r="F111" s="16" t="s">
        <v>127</v>
      </c>
      <c r="G111" s="16" t="s">
        <v>46</v>
      </c>
      <c r="H111" s="17" t="s">
        <v>668</v>
      </c>
      <c r="I111" s="17" t="s">
        <v>669</v>
      </c>
      <c r="J111" s="17" t="s">
        <v>670</v>
      </c>
      <c r="K111" s="17" t="s">
        <v>562</v>
      </c>
      <c r="L111" s="17" t="s">
        <v>111</v>
      </c>
      <c r="M111" s="17" t="s">
        <v>626</v>
      </c>
      <c r="N111" s="16"/>
      <c r="O111" s="18">
        <v>46249</v>
      </c>
      <c r="P111" s="19" t="s">
        <v>34</v>
      </c>
      <c r="Q111" s="17"/>
      <c r="R111" s="19" t="str">
        <f t="shared" si="1"/>
        <v>Discovery Link Only</v>
      </c>
    </row>
    <row r="112" spans="1:18" ht="60" customHeight="1" x14ac:dyDescent="0.2">
      <c r="A112" s="16" t="s">
        <v>671</v>
      </c>
      <c r="B112" s="16" t="s">
        <v>672</v>
      </c>
      <c r="C112" s="16" t="s">
        <v>557</v>
      </c>
      <c r="D112" s="16" t="s">
        <v>566</v>
      </c>
      <c r="E112" s="16" t="s">
        <v>37</v>
      </c>
      <c r="F112" s="16" t="s">
        <v>107</v>
      </c>
      <c r="G112" s="16" t="s">
        <v>26</v>
      </c>
      <c r="H112" s="17" t="s">
        <v>673</v>
      </c>
      <c r="I112" s="17" t="s">
        <v>674</v>
      </c>
      <c r="J112" s="17" t="s">
        <v>675</v>
      </c>
      <c r="K112" s="17" t="s">
        <v>562</v>
      </c>
      <c r="L112" s="17" t="s">
        <v>111</v>
      </c>
      <c r="M112" s="17" t="s">
        <v>626</v>
      </c>
      <c r="N112" s="16"/>
      <c r="O112" s="18">
        <v>46249</v>
      </c>
      <c r="P112" s="19" t="s">
        <v>34</v>
      </c>
      <c r="Q112" s="17"/>
      <c r="R112" s="19" t="str">
        <f t="shared" si="1"/>
        <v>Discovery Link Only</v>
      </c>
    </row>
    <row r="113" spans="1:18" ht="60" customHeight="1" x14ac:dyDescent="0.2">
      <c r="A113" s="16" t="s">
        <v>676</v>
      </c>
      <c r="B113" s="16" t="s">
        <v>677</v>
      </c>
      <c r="C113" s="16" t="s">
        <v>557</v>
      </c>
      <c r="D113" s="16" t="s">
        <v>566</v>
      </c>
      <c r="E113" s="16" t="s">
        <v>151</v>
      </c>
      <c r="F113" s="16" t="s">
        <v>107</v>
      </c>
      <c r="G113" s="16" t="s">
        <v>134</v>
      </c>
      <c r="H113" s="17" t="s">
        <v>678</v>
      </c>
      <c r="I113" s="17" t="s">
        <v>679</v>
      </c>
      <c r="J113" s="17" t="s">
        <v>680</v>
      </c>
      <c r="K113" s="17" t="s">
        <v>562</v>
      </c>
      <c r="L113" s="17" t="s">
        <v>111</v>
      </c>
      <c r="M113" s="17" t="s">
        <v>626</v>
      </c>
      <c r="N113" s="16"/>
      <c r="O113" s="18">
        <v>46249</v>
      </c>
      <c r="P113" s="19" t="s">
        <v>34</v>
      </c>
      <c r="Q113" s="17"/>
      <c r="R113" s="19" t="str">
        <f t="shared" si="1"/>
        <v>Discovery Link Only</v>
      </c>
    </row>
    <row r="114" spans="1:18" ht="60" customHeight="1" x14ac:dyDescent="0.2">
      <c r="A114" s="16" t="s">
        <v>681</v>
      </c>
      <c r="B114" s="16" t="s">
        <v>682</v>
      </c>
      <c r="C114" s="16" t="s">
        <v>557</v>
      </c>
      <c r="D114" s="16" t="s">
        <v>683</v>
      </c>
      <c r="E114" s="16" t="s">
        <v>394</v>
      </c>
      <c r="F114" s="16" t="s">
        <v>121</v>
      </c>
      <c r="G114" s="16" t="s">
        <v>46</v>
      </c>
      <c r="H114" s="17" t="s">
        <v>684</v>
      </c>
      <c r="I114" s="17" t="s">
        <v>685</v>
      </c>
      <c r="J114" s="17" t="s">
        <v>686</v>
      </c>
      <c r="K114" s="17" t="s">
        <v>562</v>
      </c>
      <c r="L114" s="17" t="s">
        <v>111</v>
      </c>
      <c r="M114" s="17" t="s">
        <v>626</v>
      </c>
      <c r="N114" s="16"/>
      <c r="O114" s="18">
        <v>46249</v>
      </c>
      <c r="P114" s="19" t="s">
        <v>34</v>
      </c>
      <c r="Q114" s="17"/>
      <c r="R114" s="19" t="str">
        <f t="shared" si="1"/>
        <v>Discovery Link Only</v>
      </c>
    </row>
    <row r="115" spans="1:18" ht="60" customHeight="1" x14ac:dyDescent="0.2">
      <c r="A115" s="16" t="s">
        <v>687</v>
      </c>
      <c r="B115" s="16" t="s">
        <v>688</v>
      </c>
      <c r="C115" s="16" t="s">
        <v>557</v>
      </c>
      <c r="D115" s="16" t="s">
        <v>683</v>
      </c>
      <c r="E115" s="16" t="s">
        <v>45</v>
      </c>
      <c r="F115" s="16" t="s">
        <v>194</v>
      </c>
      <c r="G115" s="16" t="s">
        <v>26</v>
      </c>
      <c r="H115" s="17" t="s">
        <v>244</v>
      </c>
      <c r="I115" s="17" t="s">
        <v>689</v>
      </c>
      <c r="J115" s="17" t="s">
        <v>690</v>
      </c>
      <c r="K115" s="17" t="s">
        <v>562</v>
      </c>
      <c r="L115" s="17" t="s">
        <v>111</v>
      </c>
      <c r="M115" s="17" t="s">
        <v>626</v>
      </c>
      <c r="N115" s="16"/>
      <c r="O115" s="18">
        <v>46249</v>
      </c>
      <c r="P115" s="19" t="s">
        <v>34</v>
      </c>
      <c r="Q115" s="17"/>
      <c r="R115" s="19" t="str">
        <f t="shared" si="1"/>
        <v>Discovery Link Only</v>
      </c>
    </row>
    <row r="116" spans="1:18" ht="60" customHeight="1" x14ac:dyDescent="0.2">
      <c r="A116" s="16" t="s">
        <v>691</v>
      </c>
      <c r="B116" s="16" t="s">
        <v>692</v>
      </c>
      <c r="C116" s="16" t="s">
        <v>557</v>
      </c>
      <c r="D116" s="16" t="s">
        <v>693</v>
      </c>
      <c r="E116" s="16" t="s">
        <v>72</v>
      </c>
      <c r="F116" s="16" t="s">
        <v>121</v>
      </c>
      <c r="G116" s="16" t="s">
        <v>26</v>
      </c>
      <c r="H116" s="17" t="s">
        <v>694</v>
      </c>
      <c r="I116" s="17" t="s">
        <v>695</v>
      </c>
      <c r="J116" s="17" t="s">
        <v>696</v>
      </c>
      <c r="K116" s="17" t="s">
        <v>562</v>
      </c>
      <c r="L116" s="17" t="s">
        <v>111</v>
      </c>
      <c r="M116" s="17" t="s">
        <v>626</v>
      </c>
      <c r="N116" s="16"/>
      <c r="O116" s="18">
        <v>46249</v>
      </c>
      <c r="P116" s="19" t="s">
        <v>34</v>
      </c>
      <c r="Q116" s="17"/>
      <c r="R116" s="19" t="str">
        <f t="shared" si="1"/>
        <v>Discovery Link Only</v>
      </c>
    </row>
    <row r="117" spans="1:18" ht="60" customHeight="1" x14ac:dyDescent="0.2">
      <c r="A117" s="16" t="s">
        <v>697</v>
      </c>
      <c r="B117" s="16" t="s">
        <v>698</v>
      </c>
      <c r="C117" s="16" t="s">
        <v>557</v>
      </c>
      <c r="D117" s="16" t="s">
        <v>699</v>
      </c>
      <c r="E117" s="16" t="s">
        <v>133</v>
      </c>
      <c r="F117" s="16" t="s">
        <v>127</v>
      </c>
      <c r="G117" s="16" t="s">
        <v>134</v>
      </c>
      <c r="H117" s="17" t="s">
        <v>700</v>
      </c>
      <c r="I117" s="17" t="s">
        <v>701</v>
      </c>
      <c r="J117" s="17" t="s">
        <v>702</v>
      </c>
      <c r="K117" s="17" t="s">
        <v>562</v>
      </c>
      <c r="L117" s="17" t="s">
        <v>111</v>
      </c>
      <c r="M117" s="17" t="s">
        <v>626</v>
      </c>
      <c r="N117" s="16"/>
      <c r="O117" s="18">
        <v>46249</v>
      </c>
      <c r="P117" s="19" t="s">
        <v>34</v>
      </c>
      <c r="Q117" s="17"/>
      <c r="R117" s="19" t="str">
        <f t="shared" si="1"/>
        <v>Discovery Link Only</v>
      </c>
    </row>
    <row r="118" spans="1:18" ht="60" customHeight="1" x14ac:dyDescent="0.2">
      <c r="A118" s="16" t="s">
        <v>703</v>
      </c>
      <c r="B118" s="16" t="s">
        <v>704</v>
      </c>
      <c r="C118" s="16" t="s">
        <v>705</v>
      </c>
      <c r="D118" s="16" t="s">
        <v>704</v>
      </c>
      <c r="E118" s="16" t="s">
        <v>72</v>
      </c>
      <c r="F118" s="16" t="s">
        <v>25</v>
      </c>
      <c r="G118" s="16" t="s">
        <v>46</v>
      </c>
      <c r="H118" s="17" t="s">
        <v>706</v>
      </c>
      <c r="I118" s="17" t="s">
        <v>707</v>
      </c>
      <c r="J118" s="17" t="s">
        <v>708</v>
      </c>
      <c r="K118" s="17" t="s">
        <v>709</v>
      </c>
      <c r="L118" s="17" t="s">
        <v>58</v>
      </c>
      <c r="M118" s="17" t="s">
        <v>256</v>
      </c>
      <c r="N118" s="16" t="s">
        <v>710</v>
      </c>
      <c r="O118" s="18">
        <v>46249</v>
      </c>
      <c r="P118" s="19" t="s">
        <v>34</v>
      </c>
      <c r="Q118" s="17"/>
      <c r="R118" s="19" t="str">
        <f t="shared" si="1"/>
        <v>Source Link Present</v>
      </c>
    </row>
    <row r="119" spans="1:18" ht="60" customHeight="1" x14ac:dyDescent="0.2">
      <c r="A119" s="16" t="s">
        <v>711</v>
      </c>
      <c r="B119" s="16" t="s">
        <v>712</v>
      </c>
      <c r="C119" s="16" t="s">
        <v>705</v>
      </c>
      <c r="D119" s="16" t="s">
        <v>713</v>
      </c>
      <c r="E119" s="16" t="s">
        <v>45</v>
      </c>
      <c r="F119" s="16" t="s">
        <v>25</v>
      </c>
      <c r="G119" s="16" t="s">
        <v>26</v>
      </c>
      <c r="H119" s="17" t="s">
        <v>714</v>
      </c>
      <c r="I119" s="17" t="s">
        <v>715</v>
      </c>
      <c r="J119" s="17" t="s">
        <v>716</v>
      </c>
      <c r="K119" s="17" t="s">
        <v>709</v>
      </c>
      <c r="L119" s="17" t="s">
        <v>58</v>
      </c>
      <c r="M119" s="17" t="s">
        <v>256</v>
      </c>
      <c r="N119" s="16" t="s">
        <v>717</v>
      </c>
      <c r="O119" s="18">
        <v>46249</v>
      </c>
      <c r="P119" s="19" t="s">
        <v>34</v>
      </c>
      <c r="Q119" s="17"/>
      <c r="R119" s="19" t="str">
        <f t="shared" si="1"/>
        <v>Source Link Present</v>
      </c>
    </row>
    <row r="120" spans="1:18" ht="60" customHeight="1" x14ac:dyDescent="0.2">
      <c r="A120" s="16" t="s">
        <v>718</v>
      </c>
      <c r="B120" s="16" t="s">
        <v>719</v>
      </c>
      <c r="C120" s="16" t="s">
        <v>705</v>
      </c>
      <c r="D120" s="16" t="s">
        <v>704</v>
      </c>
      <c r="E120" s="16" t="s">
        <v>133</v>
      </c>
      <c r="F120" s="16" t="s">
        <v>25</v>
      </c>
      <c r="G120" s="16" t="s">
        <v>46</v>
      </c>
      <c r="H120" s="17" t="s">
        <v>720</v>
      </c>
      <c r="I120" s="17" t="s">
        <v>721</v>
      </c>
      <c r="J120" s="17" t="s">
        <v>722</v>
      </c>
      <c r="K120" s="17" t="s">
        <v>709</v>
      </c>
      <c r="L120" s="17" t="s">
        <v>58</v>
      </c>
      <c r="M120" s="17" t="s">
        <v>256</v>
      </c>
      <c r="N120" s="16" t="s">
        <v>723</v>
      </c>
      <c r="O120" s="18">
        <v>46249</v>
      </c>
      <c r="P120" s="19" t="s">
        <v>34</v>
      </c>
      <c r="Q120" s="17"/>
      <c r="R120" s="19" t="str">
        <f t="shared" si="1"/>
        <v>Discovery Link Only</v>
      </c>
    </row>
    <row r="121" spans="1:18" ht="60" customHeight="1" x14ac:dyDescent="0.2">
      <c r="A121" s="16" t="s">
        <v>724</v>
      </c>
      <c r="B121" s="16" t="s">
        <v>725</v>
      </c>
      <c r="C121" s="16" t="s">
        <v>705</v>
      </c>
      <c r="D121" s="16" t="s">
        <v>704</v>
      </c>
      <c r="E121" s="16" t="s">
        <v>115</v>
      </c>
      <c r="F121" s="16" t="s">
        <v>25</v>
      </c>
      <c r="G121" s="16" t="s">
        <v>26</v>
      </c>
      <c r="H121" s="17" t="s">
        <v>726</v>
      </c>
      <c r="I121" s="17" t="s">
        <v>727</v>
      </c>
      <c r="J121" s="17" t="s">
        <v>728</v>
      </c>
      <c r="K121" s="17" t="s">
        <v>709</v>
      </c>
      <c r="L121" s="17" t="s">
        <v>58</v>
      </c>
      <c r="M121" s="17" t="s">
        <v>256</v>
      </c>
      <c r="N121" s="16" t="s">
        <v>729</v>
      </c>
      <c r="O121" s="18">
        <v>46249</v>
      </c>
      <c r="P121" s="19" t="s">
        <v>34</v>
      </c>
      <c r="Q121" s="17"/>
      <c r="R121" s="19" t="str">
        <f t="shared" si="1"/>
        <v>Discovery Link Only</v>
      </c>
    </row>
    <row r="122" spans="1:18" ht="60" customHeight="1" x14ac:dyDescent="0.2">
      <c r="A122" s="16" t="s">
        <v>730</v>
      </c>
      <c r="B122" s="16" t="s">
        <v>731</v>
      </c>
      <c r="C122" s="16" t="s">
        <v>705</v>
      </c>
      <c r="D122" s="16" t="s">
        <v>732</v>
      </c>
      <c r="E122" s="16" t="s">
        <v>133</v>
      </c>
      <c r="F122" s="16" t="s">
        <v>25</v>
      </c>
      <c r="G122" s="16" t="s">
        <v>46</v>
      </c>
      <c r="H122" s="17" t="s">
        <v>733</v>
      </c>
      <c r="I122" s="17" t="s">
        <v>734</v>
      </c>
      <c r="J122" s="17" t="s">
        <v>735</v>
      </c>
      <c r="K122" s="17" t="s">
        <v>709</v>
      </c>
      <c r="L122" s="17" t="s">
        <v>58</v>
      </c>
      <c r="M122" s="17" t="s">
        <v>256</v>
      </c>
      <c r="N122" s="16" t="s">
        <v>736</v>
      </c>
      <c r="O122" s="18">
        <v>46249</v>
      </c>
      <c r="P122" s="19" t="s">
        <v>34</v>
      </c>
      <c r="Q122" s="17"/>
      <c r="R122" s="19" t="str">
        <f t="shared" si="1"/>
        <v>Discovery Link Only</v>
      </c>
    </row>
    <row r="123" spans="1:18" ht="60" customHeight="1" x14ac:dyDescent="0.2">
      <c r="A123" s="16" t="s">
        <v>737</v>
      </c>
      <c r="B123" s="16" t="s">
        <v>738</v>
      </c>
      <c r="C123" s="16" t="s">
        <v>705</v>
      </c>
      <c r="D123" s="16" t="s">
        <v>713</v>
      </c>
      <c r="E123" s="16" t="s">
        <v>133</v>
      </c>
      <c r="F123" s="16" t="s">
        <v>25</v>
      </c>
      <c r="G123" s="16" t="s">
        <v>46</v>
      </c>
      <c r="H123" s="17" t="s">
        <v>739</v>
      </c>
      <c r="I123" s="17" t="s">
        <v>740</v>
      </c>
      <c r="J123" s="17" t="s">
        <v>741</v>
      </c>
      <c r="K123" s="17" t="s">
        <v>709</v>
      </c>
      <c r="L123" s="17" t="s">
        <v>58</v>
      </c>
      <c r="M123" s="17" t="s">
        <v>256</v>
      </c>
      <c r="N123" s="16" t="s">
        <v>742</v>
      </c>
      <c r="O123" s="18">
        <v>46249</v>
      </c>
      <c r="P123" s="19" t="s">
        <v>34</v>
      </c>
      <c r="Q123" s="17"/>
      <c r="R123" s="19" t="str">
        <f t="shared" si="1"/>
        <v>Discovery Link Only</v>
      </c>
    </row>
    <row r="124" spans="1:18" ht="60" customHeight="1" x14ac:dyDescent="0.2">
      <c r="A124" s="16" t="s">
        <v>743</v>
      </c>
      <c r="B124" s="16" t="s">
        <v>744</v>
      </c>
      <c r="C124" s="16" t="s">
        <v>705</v>
      </c>
      <c r="D124" s="16" t="s">
        <v>745</v>
      </c>
      <c r="E124" s="16" t="s">
        <v>54</v>
      </c>
      <c r="F124" s="16" t="s">
        <v>25</v>
      </c>
      <c r="G124" s="16" t="s">
        <v>26</v>
      </c>
      <c r="H124" s="17" t="s">
        <v>746</v>
      </c>
      <c r="I124" s="17" t="s">
        <v>747</v>
      </c>
      <c r="J124" s="17" t="s">
        <v>748</v>
      </c>
      <c r="K124" s="17" t="s">
        <v>709</v>
      </c>
      <c r="L124" s="17" t="s">
        <v>58</v>
      </c>
      <c r="M124" s="17" t="s">
        <v>256</v>
      </c>
      <c r="N124" s="16" t="s">
        <v>749</v>
      </c>
      <c r="O124" s="18">
        <v>46249</v>
      </c>
      <c r="P124" s="19" t="s">
        <v>34</v>
      </c>
      <c r="Q124" s="17"/>
      <c r="R124" s="19" t="str">
        <f t="shared" si="1"/>
        <v>Discovery Link Only</v>
      </c>
    </row>
    <row r="125" spans="1:18" ht="60" customHeight="1" x14ac:dyDescent="0.2">
      <c r="A125" s="16" t="s">
        <v>750</v>
      </c>
      <c r="B125" s="16" t="s">
        <v>751</v>
      </c>
      <c r="C125" s="16" t="s">
        <v>705</v>
      </c>
      <c r="D125" s="16" t="s">
        <v>713</v>
      </c>
      <c r="E125" s="16" t="s">
        <v>251</v>
      </c>
      <c r="F125" s="16" t="s">
        <v>25</v>
      </c>
      <c r="G125" s="16" t="s">
        <v>26</v>
      </c>
      <c r="H125" s="17" t="s">
        <v>752</v>
      </c>
      <c r="I125" s="17" t="s">
        <v>753</v>
      </c>
      <c r="J125" s="17" t="s">
        <v>754</v>
      </c>
      <c r="K125" s="17" t="s">
        <v>709</v>
      </c>
      <c r="L125" s="17" t="s">
        <v>58</v>
      </c>
      <c r="M125" s="17" t="s">
        <v>256</v>
      </c>
      <c r="N125" s="16" t="s">
        <v>755</v>
      </c>
      <c r="O125" s="18">
        <v>46249</v>
      </c>
      <c r="P125" s="19" t="s">
        <v>34</v>
      </c>
      <c r="Q125" s="17"/>
      <c r="R125" s="19" t="str">
        <f t="shared" si="1"/>
        <v>Discovery Link Only</v>
      </c>
    </row>
    <row r="126" spans="1:18" ht="60" customHeight="1" x14ac:dyDescent="0.2">
      <c r="A126" s="16" t="s">
        <v>756</v>
      </c>
      <c r="B126" s="16" t="s">
        <v>757</v>
      </c>
      <c r="C126" s="16" t="s">
        <v>705</v>
      </c>
      <c r="D126" s="16" t="s">
        <v>745</v>
      </c>
      <c r="E126" s="16" t="s">
        <v>24</v>
      </c>
      <c r="F126" s="16" t="s">
        <v>25</v>
      </c>
      <c r="G126" s="16" t="s">
        <v>26</v>
      </c>
      <c r="H126" s="17" t="s">
        <v>758</v>
      </c>
      <c r="I126" s="17" t="s">
        <v>759</v>
      </c>
      <c r="J126" s="17" t="s">
        <v>760</v>
      </c>
      <c r="K126" s="17" t="s">
        <v>709</v>
      </c>
      <c r="L126" s="17" t="s">
        <v>58</v>
      </c>
      <c r="M126" s="17" t="s">
        <v>256</v>
      </c>
      <c r="N126" s="16" t="s">
        <v>761</v>
      </c>
      <c r="O126" s="18">
        <v>46249</v>
      </c>
      <c r="P126" s="19" t="s">
        <v>34</v>
      </c>
      <c r="Q126" s="17"/>
      <c r="R126" s="19" t="str">
        <f t="shared" si="1"/>
        <v>Discovery Link Only</v>
      </c>
    </row>
    <row r="127" spans="1:18" ht="60" customHeight="1" x14ac:dyDescent="0.2">
      <c r="A127" s="16" t="s">
        <v>762</v>
      </c>
      <c r="B127" s="16" t="s">
        <v>763</v>
      </c>
      <c r="C127" s="16" t="s">
        <v>705</v>
      </c>
      <c r="D127" s="16" t="s">
        <v>764</v>
      </c>
      <c r="E127" s="16" t="s">
        <v>45</v>
      </c>
      <c r="F127" s="16" t="s">
        <v>25</v>
      </c>
      <c r="G127" s="16" t="s">
        <v>26</v>
      </c>
      <c r="H127" s="17" t="s">
        <v>765</v>
      </c>
      <c r="I127" s="17" t="s">
        <v>766</v>
      </c>
      <c r="J127" s="17" t="s">
        <v>767</v>
      </c>
      <c r="K127" s="17" t="s">
        <v>709</v>
      </c>
      <c r="L127" s="17" t="s">
        <v>58</v>
      </c>
      <c r="M127" s="17" t="s">
        <v>256</v>
      </c>
      <c r="N127" s="16" t="s">
        <v>768</v>
      </c>
      <c r="O127" s="18">
        <v>46249</v>
      </c>
      <c r="P127" s="19" t="s">
        <v>34</v>
      </c>
      <c r="Q127" s="17"/>
      <c r="R127" s="19" t="str">
        <f t="shared" si="1"/>
        <v>Discovery Link Only</v>
      </c>
    </row>
    <row r="128" spans="1:18" ht="60" customHeight="1" x14ac:dyDescent="0.2">
      <c r="A128" s="16" t="s">
        <v>769</v>
      </c>
      <c r="B128" s="16" t="s">
        <v>770</v>
      </c>
      <c r="C128" s="16" t="s">
        <v>705</v>
      </c>
      <c r="D128" s="16" t="s">
        <v>745</v>
      </c>
      <c r="E128" s="16" t="s">
        <v>133</v>
      </c>
      <c r="F128" s="16" t="s">
        <v>107</v>
      </c>
      <c r="G128" s="16" t="s">
        <v>134</v>
      </c>
      <c r="H128" s="17" t="s">
        <v>771</v>
      </c>
      <c r="I128" s="17" t="s">
        <v>772</v>
      </c>
      <c r="J128" s="17" t="s">
        <v>773</v>
      </c>
      <c r="K128" s="17" t="s">
        <v>709</v>
      </c>
      <c r="L128" s="17" t="s">
        <v>111</v>
      </c>
      <c r="M128" s="17" t="s">
        <v>774</v>
      </c>
      <c r="N128" s="16"/>
      <c r="O128" s="18">
        <v>46249</v>
      </c>
      <c r="P128" s="19" t="s">
        <v>34</v>
      </c>
      <c r="Q128" s="17"/>
      <c r="R128" s="19" t="str">
        <f t="shared" si="1"/>
        <v>Discovery Link Only</v>
      </c>
    </row>
    <row r="129" spans="1:18" ht="60" customHeight="1" x14ac:dyDescent="0.2">
      <c r="A129" s="16" t="s">
        <v>775</v>
      </c>
      <c r="B129" s="16" t="s">
        <v>776</v>
      </c>
      <c r="C129" s="16" t="s">
        <v>705</v>
      </c>
      <c r="D129" s="16" t="s">
        <v>745</v>
      </c>
      <c r="E129" s="16" t="s">
        <v>24</v>
      </c>
      <c r="F129" s="16" t="s">
        <v>121</v>
      </c>
      <c r="G129" s="16" t="s">
        <v>26</v>
      </c>
      <c r="H129" s="17" t="s">
        <v>777</v>
      </c>
      <c r="I129" s="17" t="s">
        <v>778</v>
      </c>
      <c r="J129" s="17" t="s">
        <v>779</v>
      </c>
      <c r="K129" s="17" t="s">
        <v>709</v>
      </c>
      <c r="L129" s="17" t="s">
        <v>111</v>
      </c>
      <c r="M129" s="17" t="s">
        <v>774</v>
      </c>
      <c r="N129" s="16"/>
      <c r="O129" s="18">
        <v>46249</v>
      </c>
      <c r="P129" s="19" t="s">
        <v>34</v>
      </c>
      <c r="Q129" s="17"/>
      <c r="R129" s="19" t="str">
        <f t="shared" si="1"/>
        <v>Discovery Link Only</v>
      </c>
    </row>
    <row r="130" spans="1:18" ht="60" customHeight="1" x14ac:dyDescent="0.2">
      <c r="A130" s="16" t="s">
        <v>780</v>
      </c>
      <c r="B130" s="16" t="s">
        <v>781</v>
      </c>
      <c r="C130" s="16" t="s">
        <v>705</v>
      </c>
      <c r="D130" s="16" t="s">
        <v>745</v>
      </c>
      <c r="E130" s="16" t="s">
        <v>106</v>
      </c>
      <c r="F130" s="16" t="s">
        <v>121</v>
      </c>
      <c r="G130" s="16" t="s">
        <v>46</v>
      </c>
      <c r="H130" s="17" t="s">
        <v>782</v>
      </c>
      <c r="I130" s="17" t="s">
        <v>783</v>
      </c>
      <c r="J130" s="17" t="s">
        <v>784</v>
      </c>
      <c r="K130" s="17" t="s">
        <v>709</v>
      </c>
      <c r="L130" s="17" t="s">
        <v>111</v>
      </c>
      <c r="M130" s="17" t="s">
        <v>774</v>
      </c>
      <c r="N130" s="16"/>
      <c r="O130" s="18">
        <v>46249</v>
      </c>
      <c r="P130" s="19" t="s">
        <v>34</v>
      </c>
      <c r="Q130" s="17"/>
      <c r="R130" s="19" t="str">
        <f t="shared" si="1"/>
        <v>Discovery Link Only</v>
      </c>
    </row>
    <row r="131" spans="1:18" ht="60" customHeight="1" x14ac:dyDescent="0.2">
      <c r="A131" s="16" t="s">
        <v>785</v>
      </c>
      <c r="B131" s="16" t="s">
        <v>786</v>
      </c>
      <c r="C131" s="16" t="s">
        <v>705</v>
      </c>
      <c r="D131" s="16" t="s">
        <v>745</v>
      </c>
      <c r="E131" s="16" t="s">
        <v>133</v>
      </c>
      <c r="F131" s="16" t="s">
        <v>121</v>
      </c>
      <c r="G131" s="16" t="s">
        <v>134</v>
      </c>
      <c r="H131" s="17" t="s">
        <v>787</v>
      </c>
      <c r="I131" s="17" t="s">
        <v>788</v>
      </c>
      <c r="J131" s="17" t="s">
        <v>789</v>
      </c>
      <c r="K131" s="17" t="s">
        <v>709</v>
      </c>
      <c r="L131" s="17" t="s">
        <v>111</v>
      </c>
      <c r="M131" s="17" t="s">
        <v>774</v>
      </c>
      <c r="N131" s="16"/>
      <c r="O131" s="18">
        <v>46249</v>
      </c>
      <c r="P131" s="19" t="s">
        <v>34</v>
      </c>
      <c r="Q131" s="17"/>
      <c r="R131" s="19" t="str">
        <f t="shared" si="1"/>
        <v>Discovery Link Only</v>
      </c>
    </row>
    <row r="132" spans="1:18" ht="60" customHeight="1" x14ac:dyDescent="0.2">
      <c r="A132" s="16" t="s">
        <v>790</v>
      </c>
      <c r="B132" s="16" t="s">
        <v>791</v>
      </c>
      <c r="C132" s="16" t="s">
        <v>705</v>
      </c>
      <c r="D132" s="16" t="s">
        <v>713</v>
      </c>
      <c r="E132" s="16" t="s">
        <v>133</v>
      </c>
      <c r="F132" s="16" t="s">
        <v>107</v>
      </c>
      <c r="G132" s="16" t="s">
        <v>134</v>
      </c>
      <c r="H132" s="17" t="s">
        <v>792</v>
      </c>
      <c r="I132" s="17" t="s">
        <v>793</v>
      </c>
      <c r="J132" s="17" t="s">
        <v>794</v>
      </c>
      <c r="K132" s="17" t="s">
        <v>709</v>
      </c>
      <c r="L132" s="17" t="s">
        <v>111</v>
      </c>
      <c r="M132" s="17" t="s">
        <v>774</v>
      </c>
      <c r="N132" s="16"/>
      <c r="O132" s="18">
        <v>46249</v>
      </c>
      <c r="P132" s="19" t="s">
        <v>34</v>
      </c>
      <c r="Q132" s="17"/>
      <c r="R132" s="19" t="str">
        <f t="shared" ref="R132:R195" si="2">IF(J132="","Missing Link",IF(AND(ISNUMBER(SEARCH("google.com/maps",J132)),ISERROR(SEARCH(";",J132))),"Discovery Link Only","Source Link Present"))</f>
        <v>Discovery Link Only</v>
      </c>
    </row>
    <row r="133" spans="1:18" ht="60" customHeight="1" x14ac:dyDescent="0.2">
      <c r="A133" s="16" t="s">
        <v>795</v>
      </c>
      <c r="B133" s="16" t="s">
        <v>796</v>
      </c>
      <c r="C133" s="16" t="s">
        <v>705</v>
      </c>
      <c r="D133" s="16" t="s">
        <v>797</v>
      </c>
      <c r="E133" s="16" t="s">
        <v>133</v>
      </c>
      <c r="F133" s="16" t="s">
        <v>127</v>
      </c>
      <c r="G133" s="16" t="s">
        <v>134</v>
      </c>
      <c r="H133" s="17" t="s">
        <v>798</v>
      </c>
      <c r="I133" s="17" t="s">
        <v>799</v>
      </c>
      <c r="J133" s="17" t="s">
        <v>800</v>
      </c>
      <c r="K133" s="17" t="s">
        <v>709</v>
      </c>
      <c r="L133" s="17" t="s">
        <v>111</v>
      </c>
      <c r="M133" s="17" t="s">
        <v>774</v>
      </c>
      <c r="N133" s="16"/>
      <c r="O133" s="18">
        <v>46249</v>
      </c>
      <c r="P133" s="19" t="s">
        <v>34</v>
      </c>
      <c r="Q133" s="17"/>
      <c r="R133" s="19" t="str">
        <f t="shared" si="2"/>
        <v>Discovery Link Only</v>
      </c>
    </row>
    <row r="134" spans="1:18" ht="60" customHeight="1" x14ac:dyDescent="0.2">
      <c r="A134" s="16" t="s">
        <v>801</v>
      </c>
      <c r="B134" s="16" t="s">
        <v>802</v>
      </c>
      <c r="C134" s="16" t="s">
        <v>705</v>
      </c>
      <c r="D134" s="16" t="s">
        <v>797</v>
      </c>
      <c r="E134" s="16" t="s">
        <v>251</v>
      </c>
      <c r="F134" s="16" t="s">
        <v>107</v>
      </c>
      <c r="G134" s="16" t="s">
        <v>26</v>
      </c>
      <c r="H134" s="17" t="s">
        <v>803</v>
      </c>
      <c r="I134" s="17" t="s">
        <v>804</v>
      </c>
      <c r="J134" s="17" t="s">
        <v>805</v>
      </c>
      <c r="K134" s="17" t="s">
        <v>709</v>
      </c>
      <c r="L134" s="17" t="s">
        <v>111</v>
      </c>
      <c r="M134" s="17" t="s">
        <v>774</v>
      </c>
      <c r="N134" s="16"/>
      <c r="O134" s="18">
        <v>46249</v>
      </c>
      <c r="P134" s="19" t="s">
        <v>34</v>
      </c>
      <c r="Q134" s="17"/>
      <c r="R134" s="19" t="str">
        <f t="shared" si="2"/>
        <v>Discovery Link Only</v>
      </c>
    </row>
    <row r="135" spans="1:18" ht="60" customHeight="1" x14ac:dyDescent="0.2">
      <c r="A135" s="16" t="s">
        <v>806</v>
      </c>
      <c r="B135" s="16" t="s">
        <v>807</v>
      </c>
      <c r="C135" s="16" t="s">
        <v>705</v>
      </c>
      <c r="D135" s="16" t="s">
        <v>764</v>
      </c>
      <c r="E135" s="16" t="s">
        <v>133</v>
      </c>
      <c r="F135" s="16" t="s">
        <v>127</v>
      </c>
      <c r="G135" s="16" t="s">
        <v>134</v>
      </c>
      <c r="H135" s="17" t="s">
        <v>808</v>
      </c>
      <c r="I135" s="17" t="s">
        <v>809</v>
      </c>
      <c r="J135" s="17" t="s">
        <v>810</v>
      </c>
      <c r="K135" s="17" t="s">
        <v>709</v>
      </c>
      <c r="L135" s="17" t="s">
        <v>111</v>
      </c>
      <c r="M135" s="17" t="s">
        <v>774</v>
      </c>
      <c r="N135" s="16"/>
      <c r="O135" s="18">
        <v>46249</v>
      </c>
      <c r="P135" s="19" t="s">
        <v>34</v>
      </c>
      <c r="Q135" s="17"/>
      <c r="R135" s="19" t="str">
        <f t="shared" si="2"/>
        <v>Discovery Link Only</v>
      </c>
    </row>
    <row r="136" spans="1:18" ht="60" customHeight="1" x14ac:dyDescent="0.2">
      <c r="A136" s="16" t="s">
        <v>811</v>
      </c>
      <c r="B136" s="16" t="s">
        <v>812</v>
      </c>
      <c r="C136" s="16" t="s">
        <v>705</v>
      </c>
      <c r="D136" s="16" t="s">
        <v>764</v>
      </c>
      <c r="E136" s="16" t="s">
        <v>45</v>
      </c>
      <c r="F136" s="16" t="s">
        <v>194</v>
      </c>
      <c r="G136" s="16" t="s">
        <v>26</v>
      </c>
      <c r="H136" s="17" t="s">
        <v>813</v>
      </c>
      <c r="I136" s="17" t="s">
        <v>814</v>
      </c>
      <c r="J136" s="17" t="s">
        <v>815</v>
      </c>
      <c r="K136" s="17" t="s">
        <v>709</v>
      </c>
      <c r="L136" s="17" t="s">
        <v>111</v>
      </c>
      <c r="M136" s="17" t="s">
        <v>774</v>
      </c>
      <c r="N136" s="16"/>
      <c r="O136" s="18">
        <v>46249</v>
      </c>
      <c r="P136" s="19" t="s">
        <v>34</v>
      </c>
      <c r="Q136" s="17"/>
      <c r="R136" s="19" t="str">
        <f t="shared" si="2"/>
        <v>Discovery Link Only</v>
      </c>
    </row>
    <row r="137" spans="1:18" ht="60" customHeight="1" x14ac:dyDescent="0.2">
      <c r="A137" s="16" t="s">
        <v>816</v>
      </c>
      <c r="B137" s="16" t="s">
        <v>817</v>
      </c>
      <c r="C137" s="16" t="s">
        <v>705</v>
      </c>
      <c r="D137" s="16" t="s">
        <v>818</v>
      </c>
      <c r="E137" s="16" t="s">
        <v>133</v>
      </c>
      <c r="F137" s="16" t="s">
        <v>127</v>
      </c>
      <c r="G137" s="16" t="s">
        <v>134</v>
      </c>
      <c r="H137" s="17" t="s">
        <v>819</v>
      </c>
      <c r="I137" s="17" t="s">
        <v>820</v>
      </c>
      <c r="J137" s="17" t="s">
        <v>821</v>
      </c>
      <c r="K137" s="17" t="s">
        <v>709</v>
      </c>
      <c r="L137" s="17" t="s">
        <v>111</v>
      </c>
      <c r="M137" s="17" t="s">
        <v>774</v>
      </c>
      <c r="N137" s="16"/>
      <c r="O137" s="18">
        <v>46249</v>
      </c>
      <c r="P137" s="19" t="s">
        <v>34</v>
      </c>
      <c r="Q137" s="17"/>
      <c r="R137" s="19" t="str">
        <f t="shared" si="2"/>
        <v>Discovery Link Only</v>
      </c>
    </row>
    <row r="138" spans="1:18" ht="60" customHeight="1" x14ac:dyDescent="0.2">
      <c r="A138" s="16" t="s">
        <v>822</v>
      </c>
      <c r="B138" s="16" t="s">
        <v>823</v>
      </c>
      <c r="C138" s="16" t="s">
        <v>705</v>
      </c>
      <c r="D138" s="16" t="s">
        <v>818</v>
      </c>
      <c r="E138" s="16" t="s">
        <v>45</v>
      </c>
      <c r="F138" s="16" t="s">
        <v>194</v>
      </c>
      <c r="G138" s="16" t="s">
        <v>26</v>
      </c>
      <c r="H138" s="17" t="s">
        <v>824</v>
      </c>
      <c r="I138" s="17" t="s">
        <v>825</v>
      </c>
      <c r="J138" s="17" t="s">
        <v>826</v>
      </c>
      <c r="K138" s="17" t="s">
        <v>709</v>
      </c>
      <c r="L138" s="17" t="s">
        <v>111</v>
      </c>
      <c r="M138" s="17" t="s">
        <v>774</v>
      </c>
      <c r="N138" s="16"/>
      <c r="O138" s="18">
        <v>46249</v>
      </c>
      <c r="P138" s="19" t="s">
        <v>34</v>
      </c>
      <c r="Q138" s="17"/>
      <c r="R138" s="19" t="str">
        <f t="shared" si="2"/>
        <v>Discovery Link Only</v>
      </c>
    </row>
    <row r="139" spans="1:18" ht="60" customHeight="1" x14ac:dyDescent="0.2">
      <c r="A139" s="16" t="s">
        <v>827</v>
      </c>
      <c r="B139" s="16" t="s">
        <v>828</v>
      </c>
      <c r="C139" s="16" t="s">
        <v>705</v>
      </c>
      <c r="D139" s="16" t="s">
        <v>704</v>
      </c>
      <c r="E139" s="16" t="s">
        <v>72</v>
      </c>
      <c r="F139" s="16" t="s">
        <v>107</v>
      </c>
      <c r="G139" s="16" t="s">
        <v>26</v>
      </c>
      <c r="H139" s="17" t="s">
        <v>829</v>
      </c>
      <c r="I139" s="17" t="s">
        <v>830</v>
      </c>
      <c r="J139" s="17" t="s">
        <v>831</v>
      </c>
      <c r="K139" s="17" t="s">
        <v>709</v>
      </c>
      <c r="L139" s="17" t="s">
        <v>111</v>
      </c>
      <c r="M139" s="17" t="s">
        <v>774</v>
      </c>
      <c r="N139" s="16"/>
      <c r="O139" s="18">
        <v>46249</v>
      </c>
      <c r="P139" s="19" t="s">
        <v>34</v>
      </c>
      <c r="Q139" s="17"/>
      <c r="R139" s="19" t="str">
        <f t="shared" si="2"/>
        <v>Discovery Link Only</v>
      </c>
    </row>
    <row r="140" spans="1:18" ht="60" customHeight="1" x14ac:dyDescent="0.2">
      <c r="A140" s="16" t="s">
        <v>832</v>
      </c>
      <c r="B140" s="16" t="s">
        <v>833</v>
      </c>
      <c r="C140" s="16" t="s">
        <v>705</v>
      </c>
      <c r="D140" s="16" t="s">
        <v>704</v>
      </c>
      <c r="E140" s="16" t="s">
        <v>115</v>
      </c>
      <c r="F140" s="16" t="s">
        <v>127</v>
      </c>
      <c r="G140" s="16" t="s">
        <v>46</v>
      </c>
      <c r="H140" s="17" t="s">
        <v>834</v>
      </c>
      <c r="I140" s="17" t="s">
        <v>835</v>
      </c>
      <c r="J140" s="17" t="s">
        <v>836</v>
      </c>
      <c r="K140" s="17" t="s">
        <v>709</v>
      </c>
      <c r="L140" s="17" t="s">
        <v>111</v>
      </c>
      <c r="M140" s="17" t="s">
        <v>774</v>
      </c>
      <c r="N140" s="16"/>
      <c r="O140" s="18">
        <v>46249</v>
      </c>
      <c r="P140" s="19" t="s">
        <v>34</v>
      </c>
      <c r="Q140" s="17"/>
      <c r="R140" s="19" t="str">
        <f t="shared" si="2"/>
        <v>Discovery Link Only</v>
      </c>
    </row>
    <row r="141" spans="1:18" ht="60" customHeight="1" x14ac:dyDescent="0.2">
      <c r="A141" s="16" t="s">
        <v>837</v>
      </c>
      <c r="B141" s="16" t="s">
        <v>838</v>
      </c>
      <c r="C141" s="16" t="s">
        <v>705</v>
      </c>
      <c r="D141" s="16" t="s">
        <v>839</v>
      </c>
      <c r="E141" s="16" t="s">
        <v>45</v>
      </c>
      <c r="F141" s="16" t="s">
        <v>121</v>
      </c>
      <c r="G141" s="16" t="s">
        <v>26</v>
      </c>
      <c r="H141" s="17" t="s">
        <v>840</v>
      </c>
      <c r="I141" s="17" t="s">
        <v>841</v>
      </c>
      <c r="J141" s="17" t="s">
        <v>842</v>
      </c>
      <c r="K141" s="17" t="s">
        <v>709</v>
      </c>
      <c r="L141" s="17" t="s">
        <v>111</v>
      </c>
      <c r="M141" s="17" t="s">
        <v>774</v>
      </c>
      <c r="N141" s="16"/>
      <c r="O141" s="18">
        <v>46249</v>
      </c>
      <c r="P141" s="19" t="s">
        <v>34</v>
      </c>
      <c r="Q141" s="17"/>
      <c r="R141" s="19" t="str">
        <f t="shared" si="2"/>
        <v>Discovery Link Only</v>
      </c>
    </row>
    <row r="142" spans="1:18" ht="60" customHeight="1" x14ac:dyDescent="0.2">
      <c r="A142" s="16" t="s">
        <v>843</v>
      </c>
      <c r="B142" s="16" t="s">
        <v>844</v>
      </c>
      <c r="C142" s="16" t="s">
        <v>705</v>
      </c>
      <c r="D142" s="16" t="s">
        <v>845</v>
      </c>
      <c r="E142" s="16" t="s">
        <v>115</v>
      </c>
      <c r="F142" s="16" t="s">
        <v>127</v>
      </c>
      <c r="G142" s="16" t="s">
        <v>46</v>
      </c>
      <c r="H142" s="17" t="s">
        <v>846</v>
      </c>
      <c r="I142" s="17" t="s">
        <v>847</v>
      </c>
      <c r="J142" s="17" t="s">
        <v>848</v>
      </c>
      <c r="K142" s="17" t="s">
        <v>709</v>
      </c>
      <c r="L142" s="17" t="s">
        <v>111</v>
      </c>
      <c r="M142" s="17" t="s">
        <v>774</v>
      </c>
      <c r="N142" s="16"/>
      <c r="O142" s="18">
        <v>46249</v>
      </c>
      <c r="P142" s="19" t="s">
        <v>34</v>
      </c>
      <c r="Q142" s="17"/>
      <c r="R142" s="19" t="str">
        <f t="shared" si="2"/>
        <v>Discovery Link Only</v>
      </c>
    </row>
    <row r="143" spans="1:18" ht="60" customHeight="1" x14ac:dyDescent="0.2">
      <c r="A143" s="16" t="s">
        <v>849</v>
      </c>
      <c r="B143" s="16" t="s">
        <v>850</v>
      </c>
      <c r="C143" s="16" t="s">
        <v>851</v>
      </c>
      <c r="D143" s="16" t="s">
        <v>850</v>
      </c>
      <c r="E143" s="16" t="s">
        <v>54</v>
      </c>
      <c r="F143" s="16" t="s">
        <v>25</v>
      </c>
      <c r="G143" s="16" t="s">
        <v>46</v>
      </c>
      <c r="H143" s="17" t="s">
        <v>852</v>
      </c>
      <c r="I143" s="17" t="s">
        <v>853</v>
      </c>
      <c r="J143" s="17" t="s">
        <v>854</v>
      </c>
      <c r="K143" s="17" t="s">
        <v>855</v>
      </c>
      <c r="L143" s="17" t="s">
        <v>58</v>
      </c>
      <c r="M143" s="17" t="s">
        <v>256</v>
      </c>
      <c r="N143" s="16" t="s">
        <v>856</v>
      </c>
      <c r="O143" s="18">
        <v>46249</v>
      </c>
      <c r="P143" s="19" t="s">
        <v>34</v>
      </c>
      <c r="Q143" s="17"/>
      <c r="R143" s="19" t="str">
        <f t="shared" si="2"/>
        <v>Source Link Present</v>
      </c>
    </row>
    <row r="144" spans="1:18" ht="60" customHeight="1" x14ac:dyDescent="0.2">
      <c r="A144" s="16" t="s">
        <v>857</v>
      </c>
      <c r="B144" s="16" t="s">
        <v>858</v>
      </c>
      <c r="C144" s="16" t="s">
        <v>851</v>
      </c>
      <c r="D144" s="16" t="s">
        <v>858</v>
      </c>
      <c r="E144" s="16" t="s">
        <v>45</v>
      </c>
      <c r="F144" s="16" t="s">
        <v>121</v>
      </c>
      <c r="G144" s="16" t="s">
        <v>46</v>
      </c>
      <c r="H144" s="17" t="s">
        <v>859</v>
      </c>
      <c r="I144" s="17" t="s">
        <v>860</v>
      </c>
      <c r="J144" s="17" t="s">
        <v>861</v>
      </c>
      <c r="K144" s="17" t="s">
        <v>855</v>
      </c>
      <c r="L144" s="17" t="s">
        <v>58</v>
      </c>
      <c r="M144" s="17" t="s">
        <v>256</v>
      </c>
      <c r="N144" s="16" t="s">
        <v>862</v>
      </c>
      <c r="O144" s="18">
        <v>46249</v>
      </c>
      <c r="P144" s="19" t="s">
        <v>34</v>
      </c>
      <c r="Q144" s="17"/>
      <c r="R144" s="19" t="str">
        <f t="shared" si="2"/>
        <v>Source Link Present</v>
      </c>
    </row>
    <row r="145" spans="1:18" ht="60" customHeight="1" x14ac:dyDescent="0.2">
      <c r="A145" s="16" t="s">
        <v>863</v>
      </c>
      <c r="B145" s="16" t="s">
        <v>864</v>
      </c>
      <c r="C145" s="16" t="s">
        <v>851</v>
      </c>
      <c r="D145" s="16" t="s">
        <v>865</v>
      </c>
      <c r="E145" s="16" t="s">
        <v>251</v>
      </c>
      <c r="F145" s="16" t="s">
        <v>25</v>
      </c>
      <c r="G145" s="16" t="s">
        <v>26</v>
      </c>
      <c r="H145" s="17" t="s">
        <v>866</v>
      </c>
      <c r="I145" s="17" t="s">
        <v>867</v>
      </c>
      <c r="J145" s="17" t="s">
        <v>868</v>
      </c>
      <c r="K145" s="17" t="s">
        <v>855</v>
      </c>
      <c r="L145" s="17" t="s">
        <v>58</v>
      </c>
      <c r="M145" s="17" t="s">
        <v>256</v>
      </c>
      <c r="N145" s="16" t="s">
        <v>869</v>
      </c>
      <c r="O145" s="18">
        <v>46249</v>
      </c>
      <c r="P145" s="19" t="s">
        <v>34</v>
      </c>
      <c r="Q145" s="17"/>
      <c r="R145" s="19" t="str">
        <f t="shared" si="2"/>
        <v>Discovery Link Only</v>
      </c>
    </row>
    <row r="146" spans="1:18" ht="60" customHeight="1" x14ac:dyDescent="0.2">
      <c r="A146" s="16" t="s">
        <v>870</v>
      </c>
      <c r="B146" s="16" t="s">
        <v>871</v>
      </c>
      <c r="C146" s="16" t="s">
        <v>851</v>
      </c>
      <c r="D146" s="16" t="s">
        <v>872</v>
      </c>
      <c r="E146" s="16" t="s">
        <v>394</v>
      </c>
      <c r="F146" s="16" t="s">
        <v>25</v>
      </c>
      <c r="G146" s="16" t="s">
        <v>26</v>
      </c>
      <c r="H146" s="17" t="s">
        <v>873</v>
      </c>
      <c r="I146" s="17" t="s">
        <v>874</v>
      </c>
      <c r="J146" s="17" t="s">
        <v>875</v>
      </c>
      <c r="K146" s="17" t="s">
        <v>855</v>
      </c>
      <c r="L146" s="17" t="s">
        <v>58</v>
      </c>
      <c r="M146" s="17" t="s">
        <v>256</v>
      </c>
      <c r="N146" s="16" t="s">
        <v>876</v>
      </c>
      <c r="O146" s="18">
        <v>46249</v>
      </c>
      <c r="P146" s="19" t="s">
        <v>34</v>
      </c>
      <c r="Q146" s="17"/>
      <c r="R146" s="19" t="str">
        <f t="shared" si="2"/>
        <v>Discovery Link Only</v>
      </c>
    </row>
    <row r="147" spans="1:18" ht="60" customHeight="1" x14ac:dyDescent="0.2">
      <c r="A147" s="16" t="s">
        <v>877</v>
      </c>
      <c r="B147" s="16" t="s">
        <v>878</v>
      </c>
      <c r="C147" s="16" t="s">
        <v>851</v>
      </c>
      <c r="D147" s="16" t="s">
        <v>879</v>
      </c>
      <c r="E147" s="16" t="s">
        <v>72</v>
      </c>
      <c r="F147" s="16" t="s">
        <v>25</v>
      </c>
      <c r="G147" s="16" t="s">
        <v>26</v>
      </c>
      <c r="H147" s="17" t="s">
        <v>880</v>
      </c>
      <c r="I147" s="17" t="s">
        <v>881</v>
      </c>
      <c r="J147" s="17" t="s">
        <v>882</v>
      </c>
      <c r="K147" s="17" t="s">
        <v>855</v>
      </c>
      <c r="L147" s="17" t="s">
        <v>58</v>
      </c>
      <c r="M147" s="17" t="s">
        <v>256</v>
      </c>
      <c r="N147" s="16" t="s">
        <v>883</v>
      </c>
      <c r="O147" s="18">
        <v>46249</v>
      </c>
      <c r="P147" s="19" t="s">
        <v>34</v>
      </c>
      <c r="Q147" s="17"/>
      <c r="R147" s="19" t="str">
        <f t="shared" si="2"/>
        <v>Discovery Link Only</v>
      </c>
    </row>
    <row r="148" spans="1:18" ht="60" customHeight="1" x14ac:dyDescent="0.2">
      <c r="A148" s="16" t="s">
        <v>884</v>
      </c>
      <c r="B148" s="16" t="s">
        <v>885</v>
      </c>
      <c r="C148" s="16" t="s">
        <v>851</v>
      </c>
      <c r="D148" s="16" t="s">
        <v>886</v>
      </c>
      <c r="E148" s="16" t="s">
        <v>37</v>
      </c>
      <c r="F148" s="16" t="s">
        <v>25</v>
      </c>
      <c r="G148" s="16" t="s">
        <v>26</v>
      </c>
      <c r="H148" s="17" t="s">
        <v>887</v>
      </c>
      <c r="I148" s="17" t="s">
        <v>888</v>
      </c>
      <c r="J148" s="17" t="s">
        <v>889</v>
      </c>
      <c r="K148" s="17" t="s">
        <v>855</v>
      </c>
      <c r="L148" s="17" t="s">
        <v>58</v>
      </c>
      <c r="M148" s="17" t="s">
        <v>256</v>
      </c>
      <c r="N148" s="16" t="s">
        <v>890</v>
      </c>
      <c r="O148" s="18">
        <v>46249</v>
      </c>
      <c r="P148" s="19" t="s">
        <v>34</v>
      </c>
      <c r="Q148" s="17"/>
      <c r="R148" s="19" t="str">
        <f t="shared" si="2"/>
        <v>Discovery Link Only</v>
      </c>
    </row>
    <row r="149" spans="1:18" ht="60" customHeight="1" x14ac:dyDescent="0.2">
      <c r="A149" s="16" t="s">
        <v>891</v>
      </c>
      <c r="B149" s="16" t="s">
        <v>892</v>
      </c>
      <c r="C149" s="16" t="s">
        <v>851</v>
      </c>
      <c r="D149" s="16" t="s">
        <v>879</v>
      </c>
      <c r="E149" s="16" t="s">
        <v>45</v>
      </c>
      <c r="F149" s="16" t="s">
        <v>25</v>
      </c>
      <c r="G149" s="16" t="s">
        <v>26</v>
      </c>
      <c r="H149" s="17" t="s">
        <v>893</v>
      </c>
      <c r="I149" s="17" t="s">
        <v>894</v>
      </c>
      <c r="J149" s="17" t="s">
        <v>895</v>
      </c>
      <c r="K149" s="17" t="s">
        <v>855</v>
      </c>
      <c r="L149" s="17" t="s">
        <v>58</v>
      </c>
      <c r="M149" s="17" t="s">
        <v>256</v>
      </c>
      <c r="N149" s="16" t="s">
        <v>896</v>
      </c>
      <c r="O149" s="18">
        <v>46249</v>
      </c>
      <c r="P149" s="19" t="s">
        <v>34</v>
      </c>
      <c r="Q149" s="17"/>
      <c r="R149" s="19" t="str">
        <f t="shared" si="2"/>
        <v>Discovery Link Only</v>
      </c>
    </row>
    <row r="150" spans="1:18" ht="60" customHeight="1" x14ac:dyDescent="0.2">
      <c r="A150" s="16" t="s">
        <v>897</v>
      </c>
      <c r="B150" s="16" t="s">
        <v>898</v>
      </c>
      <c r="C150" s="16" t="s">
        <v>851</v>
      </c>
      <c r="D150" s="16" t="s">
        <v>899</v>
      </c>
      <c r="E150" s="16" t="s">
        <v>54</v>
      </c>
      <c r="F150" s="16" t="s">
        <v>25</v>
      </c>
      <c r="G150" s="16" t="s">
        <v>46</v>
      </c>
      <c r="H150" s="17" t="s">
        <v>900</v>
      </c>
      <c r="I150" s="17" t="s">
        <v>901</v>
      </c>
      <c r="J150" s="17" t="s">
        <v>902</v>
      </c>
      <c r="K150" s="17" t="s">
        <v>855</v>
      </c>
      <c r="L150" s="17" t="s">
        <v>58</v>
      </c>
      <c r="M150" s="17" t="s">
        <v>256</v>
      </c>
      <c r="N150" s="16" t="s">
        <v>903</v>
      </c>
      <c r="O150" s="18">
        <v>46249</v>
      </c>
      <c r="P150" s="19" t="s">
        <v>34</v>
      </c>
      <c r="Q150" s="17"/>
      <c r="R150" s="19" t="str">
        <f t="shared" si="2"/>
        <v>Discovery Link Only</v>
      </c>
    </row>
    <row r="151" spans="1:18" ht="60" customHeight="1" x14ac:dyDescent="0.2">
      <c r="A151" s="16" t="s">
        <v>904</v>
      </c>
      <c r="B151" s="16" t="s">
        <v>905</v>
      </c>
      <c r="C151" s="16" t="s">
        <v>851</v>
      </c>
      <c r="D151" s="16" t="s">
        <v>879</v>
      </c>
      <c r="E151" s="16" t="s">
        <v>72</v>
      </c>
      <c r="F151" s="16" t="s">
        <v>25</v>
      </c>
      <c r="G151" s="16" t="s">
        <v>26</v>
      </c>
      <c r="H151" s="17" t="s">
        <v>906</v>
      </c>
      <c r="I151" s="17" t="s">
        <v>907</v>
      </c>
      <c r="J151" s="17" t="s">
        <v>908</v>
      </c>
      <c r="K151" s="17" t="s">
        <v>855</v>
      </c>
      <c r="L151" s="17" t="s">
        <v>58</v>
      </c>
      <c r="M151" s="17" t="s">
        <v>256</v>
      </c>
      <c r="N151" s="16" t="s">
        <v>909</v>
      </c>
      <c r="O151" s="18">
        <v>46249</v>
      </c>
      <c r="P151" s="19" t="s">
        <v>34</v>
      </c>
      <c r="Q151" s="17"/>
      <c r="R151" s="19" t="str">
        <f t="shared" si="2"/>
        <v>Discovery Link Only</v>
      </c>
    </row>
    <row r="152" spans="1:18" ht="60" customHeight="1" x14ac:dyDescent="0.2">
      <c r="A152" s="16" t="s">
        <v>910</v>
      </c>
      <c r="B152" s="16" t="s">
        <v>911</v>
      </c>
      <c r="C152" s="16" t="s">
        <v>851</v>
      </c>
      <c r="D152" s="16" t="s">
        <v>858</v>
      </c>
      <c r="E152" s="16" t="s">
        <v>45</v>
      </c>
      <c r="F152" s="16" t="s">
        <v>25</v>
      </c>
      <c r="G152" s="16" t="s">
        <v>26</v>
      </c>
      <c r="H152" s="17" t="s">
        <v>912</v>
      </c>
      <c r="I152" s="17" t="s">
        <v>913</v>
      </c>
      <c r="J152" s="17" t="s">
        <v>914</v>
      </c>
      <c r="K152" s="17" t="s">
        <v>855</v>
      </c>
      <c r="L152" s="17" t="s">
        <v>58</v>
      </c>
      <c r="M152" s="17" t="s">
        <v>256</v>
      </c>
      <c r="N152" s="16" t="s">
        <v>915</v>
      </c>
      <c r="O152" s="18">
        <v>46249</v>
      </c>
      <c r="P152" s="19" t="s">
        <v>34</v>
      </c>
      <c r="Q152" s="17"/>
      <c r="R152" s="19" t="str">
        <f t="shared" si="2"/>
        <v>Discovery Link Only</v>
      </c>
    </row>
    <row r="153" spans="1:18" ht="60" customHeight="1" x14ac:dyDescent="0.2">
      <c r="A153" s="16" t="s">
        <v>916</v>
      </c>
      <c r="B153" s="16" t="s">
        <v>917</v>
      </c>
      <c r="C153" s="16" t="s">
        <v>851</v>
      </c>
      <c r="D153" s="16" t="s">
        <v>879</v>
      </c>
      <c r="E153" s="16" t="s">
        <v>106</v>
      </c>
      <c r="F153" s="16" t="s">
        <v>107</v>
      </c>
      <c r="G153" s="16" t="s">
        <v>46</v>
      </c>
      <c r="H153" s="17" t="s">
        <v>349</v>
      </c>
      <c r="I153" s="17" t="s">
        <v>918</v>
      </c>
      <c r="J153" s="17" t="s">
        <v>919</v>
      </c>
      <c r="K153" s="17" t="s">
        <v>855</v>
      </c>
      <c r="L153" s="17" t="s">
        <v>111</v>
      </c>
      <c r="M153" s="17" t="s">
        <v>920</v>
      </c>
      <c r="N153" s="16"/>
      <c r="O153" s="18">
        <v>46249</v>
      </c>
      <c r="P153" s="19" t="s">
        <v>34</v>
      </c>
      <c r="Q153" s="17"/>
      <c r="R153" s="19" t="str">
        <f t="shared" si="2"/>
        <v>Discovery Link Only</v>
      </c>
    </row>
    <row r="154" spans="1:18" ht="60" customHeight="1" x14ac:dyDescent="0.2">
      <c r="A154" s="16" t="s">
        <v>921</v>
      </c>
      <c r="B154" s="16" t="s">
        <v>922</v>
      </c>
      <c r="C154" s="16" t="s">
        <v>851</v>
      </c>
      <c r="D154" s="16" t="s">
        <v>879</v>
      </c>
      <c r="E154" s="16" t="s">
        <v>24</v>
      </c>
      <c r="F154" s="16" t="s">
        <v>121</v>
      </c>
      <c r="G154" s="16" t="s">
        <v>26</v>
      </c>
      <c r="H154" s="17" t="s">
        <v>923</v>
      </c>
      <c r="I154" s="17" t="s">
        <v>924</v>
      </c>
      <c r="J154" s="17" t="s">
        <v>925</v>
      </c>
      <c r="K154" s="17" t="s">
        <v>855</v>
      </c>
      <c r="L154" s="17" t="s">
        <v>111</v>
      </c>
      <c r="M154" s="17" t="s">
        <v>920</v>
      </c>
      <c r="N154" s="16"/>
      <c r="O154" s="18">
        <v>46249</v>
      </c>
      <c r="P154" s="19" t="s">
        <v>34</v>
      </c>
      <c r="Q154" s="17"/>
      <c r="R154" s="19" t="str">
        <f t="shared" si="2"/>
        <v>Discovery Link Only</v>
      </c>
    </row>
    <row r="155" spans="1:18" ht="60" customHeight="1" x14ac:dyDescent="0.2">
      <c r="A155" s="16" t="s">
        <v>926</v>
      </c>
      <c r="B155" s="16" t="s">
        <v>927</v>
      </c>
      <c r="C155" s="16" t="s">
        <v>851</v>
      </c>
      <c r="D155" s="16" t="s">
        <v>928</v>
      </c>
      <c r="E155" s="16" t="s">
        <v>133</v>
      </c>
      <c r="F155" s="16" t="s">
        <v>107</v>
      </c>
      <c r="G155" s="16" t="s">
        <v>134</v>
      </c>
      <c r="H155" s="17" t="s">
        <v>929</v>
      </c>
      <c r="I155" s="17" t="s">
        <v>930</v>
      </c>
      <c r="J155" s="17" t="s">
        <v>931</v>
      </c>
      <c r="K155" s="17" t="s">
        <v>855</v>
      </c>
      <c r="L155" s="17" t="s">
        <v>111</v>
      </c>
      <c r="M155" s="17" t="s">
        <v>920</v>
      </c>
      <c r="N155" s="16"/>
      <c r="O155" s="18">
        <v>46249</v>
      </c>
      <c r="P155" s="19" t="s">
        <v>34</v>
      </c>
      <c r="Q155" s="17"/>
      <c r="R155" s="19" t="str">
        <f t="shared" si="2"/>
        <v>Discovery Link Only</v>
      </c>
    </row>
    <row r="156" spans="1:18" ht="60" customHeight="1" x14ac:dyDescent="0.2">
      <c r="A156" s="16" t="s">
        <v>932</v>
      </c>
      <c r="B156" s="16" t="s">
        <v>933</v>
      </c>
      <c r="C156" s="16" t="s">
        <v>851</v>
      </c>
      <c r="D156" s="16" t="s">
        <v>928</v>
      </c>
      <c r="E156" s="16" t="s">
        <v>99</v>
      </c>
      <c r="F156" s="16" t="s">
        <v>127</v>
      </c>
      <c r="G156" s="16" t="s">
        <v>46</v>
      </c>
      <c r="H156" s="17" t="s">
        <v>934</v>
      </c>
      <c r="I156" s="17" t="s">
        <v>935</v>
      </c>
      <c r="J156" s="17" t="s">
        <v>936</v>
      </c>
      <c r="K156" s="17" t="s">
        <v>855</v>
      </c>
      <c r="L156" s="17" t="s">
        <v>111</v>
      </c>
      <c r="M156" s="17" t="s">
        <v>920</v>
      </c>
      <c r="N156" s="16"/>
      <c r="O156" s="18">
        <v>46249</v>
      </c>
      <c r="P156" s="19" t="s">
        <v>34</v>
      </c>
      <c r="Q156" s="17"/>
      <c r="R156" s="19" t="str">
        <f t="shared" si="2"/>
        <v>Discovery Link Only</v>
      </c>
    </row>
    <row r="157" spans="1:18" ht="60" customHeight="1" x14ac:dyDescent="0.2">
      <c r="A157" s="16" t="s">
        <v>937</v>
      </c>
      <c r="B157" s="16" t="s">
        <v>938</v>
      </c>
      <c r="C157" s="16" t="s">
        <v>851</v>
      </c>
      <c r="D157" s="16" t="s">
        <v>939</v>
      </c>
      <c r="E157" s="16" t="s">
        <v>37</v>
      </c>
      <c r="F157" s="16" t="s">
        <v>107</v>
      </c>
      <c r="G157" s="16" t="s">
        <v>26</v>
      </c>
      <c r="H157" s="17" t="s">
        <v>940</v>
      </c>
      <c r="I157" s="17" t="s">
        <v>941</v>
      </c>
      <c r="J157" s="17" t="s">
        <v>942</v>
      </c>
      <c r="K157" s="17" t="s">
        <v>855</v>
      </c>
      <c r="L157" s="17" t="s">
        <v>111</v>
      </c>
      <c r="M157" s="17" t="s">
        <v>920</v>
      </c>
      <c r="N157" s="16"/>
      <c r="O157" s="18">
        <v>46249</v>
      </c>
      <c r="P157" s="19" t="s">
        <v>34</v>
      </c>
      <c r="Q157" s="17"/>
      <c r="R157" s="19" t="str">
        <f t="shared" si="2"/>
        <v>Discovery Link Only</v>
      </c>
    </row>
    <row r="158" spans="1:18" ht="60" customHeight="1" x14ac:dyDescent="0.2">
      <c r="A158" s="16" t="s">
        <v>943</v>
      </c>
      <c r="B158" s="16" t="s">
        <v>944</v>
      </c>
      <c r="C158" s="16" t="s">
        <v>851</v>
      </c>
      <c r="D158" s="16" t="s">
        <v>945</v>
      </c>
      <c r="E158" s="16" t="s">
        <v>45</v>
      </c>
      <c r="F158" s="16" t="s">
        <v>194</v>
      </c>
      <c r="G158" s="16" t="s">
        <v>26</v>
      </c>
      <c r="H158" s="17" t="s">
        <v>946</v>
      </c>
      <c r="I158" s="17" t="s">
        <v>947</v>
      </c>
      <c r="J158" s="17" t="s">
        <v>948</v>
      </c>
      <c r="K158" s="17" t="s">
        <v>855</v>
      </c>
      <c r="L158" s="17" t="s">
        <v>111</v>
      </c>
      <c r="M158" s="17" t="s">
        <v>920</v>
      </c>
      <c r="N158" s="16"/>
      <c r="O158" s="18">
        <v>46249</v>
      </c>
      <c r="P158" s="19" t="s">
        <v>34</v>
      </c>
      <c r="Q158" s="17"/>
      <c r="R158" s="19" t="str">
        <f t="shared" si="2"/>
        <v>Discovery Link Only</v>
      </c>
    </row>
    <row r="159" spans="1:18" ht="60" customHeight="1" x14ac:dyDescent="0.2">
      <c r="A159" s="16" t="s">
        <v>949</v>
      </c>
      <c r="B159" s="16" t="s">
        <v>950</v>
      </c>
      <c r="C159" s="16" t="s">
        <v>851</v>
      </c>
      <c r="D159" s="16" t="s">
        <v>945</v>
      </c>
      <c r="E159" s="16" t="s">
        <v>72</v>
      </c>
      <c r="F159" s="16" t="s">
        <v>127</v>
      </c>
      <c r="G159" s="16" t="s">
        <v>26</v>
      </c>
      <c r="H159" s="17" t="s">
        <v>951</v>
      </c>
      <c r="I159" s="17" t="s">
        <v>952</v>
      </c>
      <c r="J159" s="17" t="s">
        <v>953</v>
      </c>
      <c r="K159" s="17" t="s">
        <v>855</v>
      </c>
      <c r="L159" s="17" t="s">
        <v>111</v>
      </c>
      <c r="M159" s="17" t="s">
        <v>920</v>
      </c>
      <c r="N159" s="16"/>
      <c r="O159" s="18">
        <v>46249</v>
      </c>
      <c r="P159" s="19" t="s">
        <v>34</v>
      </c>
      <c r="Q159" s="17"/>
      <c r="R159" s="19" t="str">
        <f t="shared" si="2"/>
        <v>Discovery Link Only</v>
      </c>
    </row>
    <row r="160" spans="1:18" ht="60" customHeight="1" x14ac:dyDescent="0.2">
      <c r="A160" s="16" t="s">
        <v>954</v>
      </c>
      <c r="B160" s="16" t="s">
        <v>955</v>
      </c>
      <c r="C160" s="16" t="s">
        <v>851</v>
      </c>
      <c r="D160" s="16" t="s">
        <v>956</v>
      </c>
      <c r="E160" s="16" t="s">
        <v>37</v>
      </c>
      <c r="F160" s="16" t="s">
        <v>121</v>
      </c>
      <c r="G160" s="16" t="s">
        <v>26</v>
      </c>
      <c r="H160" s="17" t="s">
        <v>957</v>
      </c>
      <c r="I160" s="17" t="s">
        <v>958</v>
      </c>
      <c r="J160" s="17" t="s">
        <v>959</v>
      </c>
      <c r="K160" s="17" t="s">
        <v>855</v>
      </c>
      <c r="L160" s="17" t="s">
        <v>111</v>
      </c>
      <c r="M160" s="17" t="s">
        <v>920</v>
      </c>
      <c r="N160" s="16"/>
      <c r="O160" s="18">
        <v>46249</v>
      </c>
      <c r="P160" s="19" t="s">
        <v>34</v>
      </c>
      <c r="Q160" s="17"/>
      <c r="R160" s="19" t="str">
        <f t="shared" si="2"/>
        <v>Discovery Link Only</v>
      </c>
    </row>
    <row r="161" spans="1:18" ht="60" customHeight="1" x14ac:dyDescent="0.2">
      <c r="A161" s="16" t="s">
        <v>960</v>
      </c>
      <c r="B161" s="16" t="s">
        <v>961</v>
      </c>
      <c r="C161" s="16" t="s">
        <v>851</v>
      </c>
      <c r="D161" s="16" t="s">
        <v>956</v>
      </c>
      <c r="E161" s="16" t="s">
        <v>45</v>
      </c>
      <c r="F161" s="16" t="s">
        <v>127</v>
      </c>
      <c r="G161" s="16" t="s">
        <v>26</v>
      </c>
      <c r="H161" s="17" t="s">
        <v>962</v>
      </c>
      <c r="I161" s="17" t="s">
        <v>963</v>
      </c>
      <c r="J161" s="17" t="s">
        <v>964</v>
      </c>
      <c r="K161" s="17" t="s">
        <v>855</v>
      </c>
      <c r="L161" s="17" t="s">
        <v>111</v>
      </c>
      <c r="M161" s="17" t="s">
        <v>920</v>
      </c>
      <c r="N161" s="16"/>
      <c r="O161" s="18">
        <v>46249</v>
      </c>
      <c r="P161" s="19" t="s">
        <v>34</v>
      </c>
      <c r="Q161" s="17"/>
      <c r="R161" s="19" t="str">
        <f t="shared" si="2"/>
        <v>Discovery Link Only</v>
      </c>
    </row>
    <row r="162" spans="1:18" ht="60" customHeight="1" x14ac:dyDescent="0.2">
      <c r="A162" s="16" t="s">
        <v>965</v>
      </c>
      <c r="B162" s="16" t="s">
        <v>966</v>
      </c>
      <c r="C162" s="16" t="s">
        <v>851</v>
      </c>
      <c r="D162" s="16" t="s">
        <v>865</v>
      </c>
      <c r="E162" s="16" t="s">
        <v>45</v>
      </c>
      <c r="F162" s="16" t="s">
        <v>107</v>
      </c>
      <c r="G162" s="16" t="s">
        <v>26</v>
      </c>
      <c r="H162" s="17" t="s">
        <v>967</v>
      </c>
      <c r="I162" s="17" t="s">
        <v>968</v>
      </c>
      <c r="J162" s="17" t="s">
        <v>969</v>
      </c>
      <c r="K162" s="17" t="s">
        <v>855</v>
      </c>
      <c r="L162" s="17" t="s">
        <v>111</v>
      </c>
      <c r="M162" s="17" t="s">
        <v>920</v>
      </c>
      <c r="N162" s="16"/>
      <c r="O162" s="18">
        <v>46249</v>
      </c>
      <c r="P162" s="19" t="s">
        <v>34</v>
      </c>
      <c r="Q162" s="17"/>
      <c r="R162" s="19" t="str">
        <f t="shared" si="2"/>
        <v>Discovery Link Only</v>
      </c>
    </row>
    <row r="163" spans="1:18" ht="60" customHeight="1" x14ac:dyDescent="0.2">
      <c r="A163" s="16" t="s">
        <v>970</v>
      </c>
      <c r="B163" s="16" t="s">
        <v>971</v>
      </c>
      <c r="C163" s="16" t="s">
        <v>851</v>
      </c>
      <c r="D163" s="16" t="s">
        <v>865</v>
      </c>
      <c r="E163" s="16" t="s">
        <v>251</v>
      </c>
      <c r="F163" s="16" t="s">
        <v>107</v>
      </c>
      <c r="G163" s="16" t="s">
        <v>26</v>
      </c>
      <c r="H163" s="17" t="s">
        <v>972</v>
      </c>
      <c r="I163" s="17" t="s">
        <v>973</v>
      </c>
      <c r="J163" s="17" t="s">
        <v>974</v>
      </c>
      <c r="K163" s="17" t="s">
        <v>855</v>
      </c>
      <c r="L163" s="17" t="s">
        <v>111</v>
      </c>
      <c r="M163" s="17" t="s">
        <v>920</v>
      </c>
      <c r="N163" s="16"/>
      <c r="O163" s="18">
        <v>46249</v>
      </c>
      <c r="P163" s="19" t="s">
        <v>34</v>
      </c>
      <c r="Q163" s="17"/>
      <c r="R163" s="19" t="str">
        <f t="shared" si="2"/>
        <v>Discovery Link Only</v>
      </c>
    </row>
    <row r="164" spans="1:18" ht="60" customHeight="1" x14ac:dyDescent="0.2">
      <c r="A164" s="16" t="s">
        <v>975</v>
      </c>
      <c r="B164" s="16" t="s">
        <v>976</v>
      </c>
      <c r="C164" s="16" t="s">
        <v>851</v>
      </c>
      <c r="D164" s="16" t="s">
        <v>865</v>
      </c>
      <c r="E164" s="16" t="s">
        <v>45</v>
      </c>
      <c r="F164" s="16" t="s">
        <v>127</v>
      </c>
      <c r="G164" s="16" t="s">
        <v>26</v>
      </c>
      <c r="H164" s="17" t="s">
        <v>977</v>
      </c>
      <c r="I164" s="17" t="s">
        <v>978</v>
      </c>
      <c r="J164" s="17" t="s">
        <v>979</v>
      </c>
      <c r="K164" s="17" t="s">
        <v>855</v>
      </c>
      <c r="L164" s="17" t="s">
        <v>111</v>
      </c>
      <c r="M164" s="17" t="s">
        <v>920</v>
      </c>
      <c r="N164" s="16"/>
      <c r="O164" s="18">
        <v>46249</v>
      </c>
      <c r="P164" s="19" t="s">
        <v>34</v>
      </c>
      <c r="Q164" s="17"/>
      <c r="R164" s="19" t="str">
        <f t="shared" si="2"/>
        <v>Discovery Link Only</v>
      </c>
    </row>
    <row r="165" spans="1:18" ht="60" customHeight="1" x14ac:dyDescent="0.2">
      <c r="A165" s="16" t="s">
        <v>980</v>
      </c>
      <c r="B165" s="16" t="s">
        <v>981</v>
      </c>
      <c r="C165" s="16" t="s">
        <v>851</v>
      </c>
      <c r="D165" s="16" t="s">
        <v>982</v>
      </c>
      <c r="E165" s="16" t="s">
        <v>37</v>
      </c>
      <c r="F165" s="16" t="s">
        <v>107</v>
      </c>
      <c r="G165" s="16" t="s">
        <v>26</v>
      </c>
      <c r="H165" s="17" t="s">
        <v>983</v>
      </c>
      <c r="I165" s="17" t="s">
        <v>984</v>
      </c>
      <c r="J165" s="17" t="s">
        <v>985</v>
      </c>
      <c r="K165" s="17" t="s">
        <v>855</v>
      </c>
      <c r="L165" s="17" t="s">
        <v>111</v>
      </c>
      <c r="M165" s="17" t="s">
        <v>920</v>
      </c>
      <c r="N165" s="16"/>
      <c r="O165" s="18">
        <v>46249</v>
      </c>
      <c r="P165" s="19" t="s">
        <v>34</v>
      </c>
      <c r="Q165" s="17"/>
      <c r="R165" s="19" t="str">
        <f t="shared" si="2"/>
        <v>Discovery Link Only</v>
      </c>
    </row>
    <row r="166" spans="1:18" ht="60" customHeight="1" x14ac:dyDescent="0.2">
      <c r="A166" s="16" t="s">
        <v>986</v>
      </c>
      <c r="B166" s="16" t="s">
        <v>987</v>
      </c>
      <c r="C166" s="16" t="s">
        <v>851</v>
      </c>
      <c r="D166" s="16" t="s">
        <v>982</v>
      </c>
      <c r="E166" s="16" t="s">
        <v>37</v>
      </c>
      <c r="F166" s="16" t="s">
        <v>121</v>
      </c>
      <c r="G166" s="16" t="s">
        <v>26</v>
      </c>
      <c r="H166" s="17" t="s">
        <v>988</v>
      </c>
      <c r="I166" s="17" t="s">
        <v>989</v>
      </c>
      <c r="J166" s="17" t="s">
        <v>990</v>
      </c>
      <c r="K166" s="17" t="s">
        <v>855</v>
      </c>
      <c r="L166" s="17" t="s">
        <v>111</v>
      </c>
      <c r="M166" s="17" t="s">
        <v>920</v>
      </c>
      <c r="N166" s="16"/>
      <c r="O166" s="18">
        <v>46249</v>
      </c>
      <c r="P166" s="19" t="s">
        <v>34</v>
      </c>
      <c r="Q166" s="17"/>
      <c r="R166" s="19" t="str">
        <f t="shared" si="2"/>
        <v>Discovery Link Only</v>
      </c>
    </row>
    <row r="167" spans="1:18" ht="60" customHeight="1" x14ac:dyDescent="0.2">
      <c r="A167" s="16" t="s">
        <v>991</v>
      </c>
      <c r="B167" s="16" t="s">
        <v>992</v>
      </c>
      <c r="C167" s="16" t="s">
        <v>851</v>
      </c>
      <c r="D167" s="16" t="s">
        <v>899</v>
      </c>
      <c r="E167" s="16" t="s">
        <v>45</v>
      </c>
      <c r="F167" s="16" t="s">
        <v>107</v>
      </c>
      <c r="G167" s="16" t="s">
        <v>26</v>
      </c>
      <c r="H167" s="17" t="s">
        <v>244</v>
      </c>
      <c r="I167" s="17" t="s">
        <v>993</v>
      </c>
      <c r="J167" s="17" t="s">
        <v>994</v>
      </c>
      <c r="K167" s="17" t="s">
        <v>855</v>
      </c>
      <c r="L167" s="17" t="s">
        <v>111</v>
      </c>
      <c r="M167" s="17" t="s">
        <v>920</v>
      </c>
      <c r="N167" s="16"/>
      <c r="O167" s="18">
        <v>46249</v>
      </c>
      <c r="P167" s="19" t="s">
        <v>34</v>
      </c>
      <c r="Q167" s="17"/>
      <c r="R167" s="19" t="str">
        <f t="shared" si="2"/>
        <v>Discovery Link Only</v>
      </c>
    </row>
    <row r="168" spans="1:18" ht="60" customHeight="1" x14ac:dyDescent="0.2">
      <c r="A168" s="16" t="s">
        <v>995</v>
      </c>
      <c r="B168" s="16" t="s">
        <v>996</v>
      </c>
      <c r="C168" s="16" t="s">
        <v>851</v>
      </c>
      <c r="D168" s="16" t="s">
        <v>899</v>
      </c>
      <c r="E168" s="16" t="s">
        <v>140</v>
      </c>
      <c r="F168" s="16" t="s">
        <v>121</v>
      </c>
      <c r="G168" s="16" t="s">
        <v>46</v>
      </c>
      <c r="H168" s="17" t="s">
        <v>997</v>
      </c>
      <c r="I168" s="17" t="s">
        <v>998</v>
      </c>
      <c r="J168" s="17" t="s">
        <v>999</v>
      </c>
      <c r="K168" s="17" t="s">
        <v>855</v>
      </c>
      <c r="L168" s="17" t="s">
        <v>111</v>
      </c>
      <c r="M168" s="17" t="s">
        <v>920</v>
      </c>
      <c r="N168" s="16"/>
      <c r="O168" s="18">
        <v>46249</v>
      </c>
      <c r="P168" s="19" t="s">
        <v>34</v>
      </c>
      <c r="Q168" s="17"/>
      <c r="R168" s="19" t="str">
        <f t="shared" si="2"/>
        <v>Discovery Link Only</v>
      </c>
    </row>
    <row r="169" spans="1:18" ht="60" customHeight="1" x14ac:dyDescent="0.2">
      <c r="A169" s="16" t="s">
        <v>1000</v>
      </c>
      <c r="B169" s="16" t="s">
        <v>1001</v>
      </c>
      <c r="C169" s="16" t="s">
        <v>851</v>
      </c>
      <c r="D169" s="16" t="s">
        <v>872</v>
      </c>
      <c r="E169" s="16" t="s">
        <v>45</v>
      </c>
      <c r="F169" s="16" t="s">
        <v>107</v>
      </c>
      <c r="G169" s="16" t="s">
        <v>26</v>
      </c>
      <c r="H169" s="17" t="s">
        <v>1002</v>
      </c>
      <c r="I169" s="17" t="s">
        <v>1003</v>
      </c>
      <c r="J169" s="17" t="s">
        <v>1004</v>
      </c>
      <c r="K169" s="17" t="s">
        <v>855</v>
      </c>
      <c r="L169" s="17" t="s">
        <v>111</v>
      </c>
      <c r="M169" s="17" t="s">
        <v>920</v>
      </c>
      <c r="N169" s="16"/>
      <c r="O169" s="18">
        <v>46249</v>
      </c>
      <c r="P169" s="19" t="s">
        <v>34</v>
      </c>
      <c r="Q169" s="17"/>
      <c r="R169" s="19" t="str">
        <f t="shared" si="2"/>
        <v>Discovery Link Only</v>
      </c>
    </row>
    <row r="170" spans="1:18" ht="60" customHeight="1" x14ac:dyDescent="0.2">
      <c r="A170" s="16" t="s">
        <v>1005</v>
      </c>
      <c r="B170" s="16" t="s">
        <v>1006</v>
      </c>
      <c r="C170" s="16" t="s">
        <v>851</v>
      </c>
      <c r="D170" s="16" t="s">
        <v>858</v>
      </c>
      <c r="E170" s="16" t="s">
        <v>162</v>
      </c>
      <c r="F170" s="16" t="s">
        <v>107</v>
      </c>
      <c r="G170" s="16" t="s">
        <v>46</v>
      </c>
      <c r="H170" s="17" t="s">
        <v>1007</v>
      </c>
      <c r="I170" s="17" t="s">
        <v>1008</v>
      </c>
      <c r="J170" s="17" t="s">
        <v>1009</v>
      </c>
      <c r="K170" s="17" t="s">
        <v>855</v>
      </c>
      <c r="L170" s="17" t="s">
        <v>111</v>
      </c>
      <c r="M170" s="17" t="s">
        <v>920</v>
      </c>
      <c r="N170" s="16"/>
      <c r="O170" s="18">
        <v>46249</v>
      </c>
      <c r="P170" s="19" t="s">
        <v>34</v>
      </c>
      <c r="Q170" s="17"/>
      <c r="R170" s="19" t="str">
        <f t="shared" si="2"/>
        <v>Discovery Link Only</v>
      </c>
    </row>
    <row r="171" spans="1:18" ht="60" customHeight="1" x14ac:dyDescent="0.2">
      <c r="A171" s="16" t="s">
        <v>1010</v>
      </c>
      <c r="B171" s="16" t="s">
        <v>1011</v>
      </c>
      <c r="C171" s="16" t="s">
        <v>851</v>
      </c>
      <c r="D171" s="16" t="s">
        <v>858</v>
      </c>
      <c r="E171" s="16" t="s">
        <v>162</v>
      </c>
      <c r="F171" s="16" t="s">
        <v>121</v>
      </c>
      <c r="G171" s="16" t="s">
        <v>46</v>
      </c>
      <c r="H171" s="17" t="s">
        <v>1012</v>
      </c>
      <c r="I171" s="17" t="s">
        <v>1013</v>
      </c>
      <c r="J171" s="17" t="s">
        <v>1014</v>
      </c>
      <c r="K171" s="17" t="s">
        <v>855</v>
      </c>
      <c r="L171" s="17" t="s">
        <v>111</v>
      </c>
      <c r="M171" s="17" t="s">
        <v>920</v>
      </c>
      <c r="N171" s="16"/>
      <c r="O171" s="18">
        <v>46249</v>
      </c>
      <c r="P171" s="19" t="s">
        <v>34</v>
      </c>
      <c r="Q171" s="17"/>
      <c r="R171" s="19" t="str">
        <f t="shared" si="2"/>
        <v>Discovery Link Only</v>
      </c>
    </row>
    <row r="172" spans="1:18" ht="60" customHeight="1" x14ac:dyDescent="0.2">
      <c r="A172" s="16" t="s">
        <v>1015</v>
      </c>
      <c r="B172" s="16" t="s">
        <v>1016</v>
      </c>
      <c r="C172" s="16" t="s">
        <v>851</v>
      </c>
      <c r="D172" s="16" t="s">
        <v>1017</v>
      </c>
      <c r="E172" s="16" t="s">
        <v>45</v>
      </c>
      <c r="F172" s="16" t="s">
        <v>194</v>
      </c>
      <c r="G172" s="16" t="s">
        <v>26</v>
      </c>
      <c r="H172" s="17" t="s">
        <v>1018</v>
      </c>
      <c r="I172" s="17" t="s">
        <v>1019</v>
      </c>
      <c r="J172" s="17" t="s">
        <v>1020</v>
      </c>
      <c r="K172" s="17" t="s">
        <v>855</v>
      </c>
      <c r="L172" s="17" t="s">
        <v>111</v>
      </c>
      <c r="M172" s="17" t="s">
        <v>920</v>
      </c>
      <c r="N172" s="16"/>
      <c r="O172" s="18">
        <v>46249</v>
      </c>
      <c r="P172" s="19" t="s">
        <v>34</v>
      </c>
      <c r="Q172" s="17"/>
      <c r="R172" s="19" t="str">
        <f t="shared" si="2"/>
        <v>Discovery Link Only</v>
      </c>
    </row>
    <row r="173" spans="1:18" ht="60" customHeight="1" x14ac:dyDescent="0.2">
      <c r="A173" s="16" t="s">
        <v>1021</v>
      </c>
      <c r="B173" s="16" t="s">
        <v>1022</v>
      </c>
      <c r="C173" s="16" t="s">
        <v>1023</v>
      </c>
      <c r="D173" s="16" t="s">
        <v>1024</v>
      </c>
      <c r="E173" s="16" t="s">
        <v>45</v>
      </c>
      <c r="F173" s="16" t="s">
        <v>25</v>
      </c>
      <c r="G173" s="16" t="s">
        <v>26</v>
      </c>
      <c r="H173" s="17" t="s">
        <v>1025</v>
      </c>
      <c r="I173" s="17" t="s">
        <v>1026</v>
      </c>
      <c r="J173" s="17" t="s">
        <v>1027</v>
      </c>
      <c r="K173" s="17" t="s">
        <v>1028</v>
      </c>
      <c r="L173" s="17" t="s">
        <v>58</v>
      </c>
      <c r="M173" s="17" t="s">
        <v>256</v>
      </c>
      <c r="N173" s="16" t="s">
        <v>1029</v>
      </c>
      <c r="O173" s="18">
        <v>46249</v>
      </c>
      <c r="P173" s="19" t="s">
        <v>34</v>
      </c>
      <c r="Q173" s="17"/>
      <c r="R173" s="19" t="str">
        <f t="shared" si="2"/>
        <v>Source Link Present</v>
      </c>
    </row>
    <row r="174" spans="1:18" ht="60" customHeight="1" x14ac:dyDescent="0.2">
      <c r="A174" s="16" t="s">
        <v>1030</v>
      </c>
      <c r="B174" s="16" t="s">
        <v>1031</v>
      </c>
      <c r="C174" s="16" t="s">
        <v>1023</v>
      </c>
      <c r="D174" s="16" t="s">
        <v>1032</v>
      </c>
      <c r="E174" s="16" t="s">
        <v>45</v>
      </c>
      <c r="F174" s="16" t="s">
        <v>25</v>
      </c>
      <c r="G174" s="16" t="s">
        <v>26</v>
      </c>
      <c r="H174" s="17" t="s">
        <v>1033</v>
      </c>
      <c r="I174" s="17" t="s">
        <v>1034</v>
      </c>
      <c r="J174" s="17" t="s">
        <v>1035</v>
      </c>
      <c r="K174" s="17" t="s">
        <v>1028</v>
      </c>
      <c r="L174" s="17" t="s">
        <v>58</v>
      </c>
      <c r="M174" s="17" t="s">
        <v>256</v>
      </c>
      <c r="N174" s="16" t="s">
        <v>1036</v>
      </c>
      <c r="O174" s="18">
        <v>46249</v>
      </c>
      <c r="P174" s="19" t="s">
        <v>34</v>
      </c>
      <c r="Q174" s="17"/>
      <c r="R174" s="19" t="str">
        <f t="shared" si="2"/>
        <v>Source Link Present</v>
      </c>
    </row>
    <row r="175" spans="1:18" ht="60" customHeight="1" x14ac:dyDescent="0.2">
      <c r="A175" s="16" t="s">
        <v>1037</v>
      </c>
      <c r="B175" s="16" t="s">
        <v>1038</v>
      </c>
      <c r="C175" s="16" t="s">
        <v>1023</v>
      </c>
      <c r="D175" s="16" t="s">
        <v>1039</v>
      </c>
      <c r="E175" s="16" t="s">
        <v>115</v>
      </c>
      <c r="F175" s="16" t="s">
        <v>25</v>
      </c>
      <c r="G175" s="16" t="s">
        <v>26</v>
      </c>
      <c r="H175" s="17" t="s">
        <v>1040</v>
      </c>
      <c r="I175" s="17" t="s">
        <v>1041</v>
      </c>
      <c r="J175" s="17" t="s">
        <v>1042</v>
      </c>
      <c r="K175" s="17" t="s">
        <v>1028</v>
      </c>
      <c r="L175" s="17" t="s">
        <v>58</v>
      </c>
      <c r="M175" s="17" t="s">
        <v>256</v>
      </c>
      <c r="N175" s="16" t="s">
        <v>1043</v>
      </c>
      <c r="O175" s="18">
        <v>46249</v>
      </c>
      <c r="P175" s="19" t="s">
        <v>34</v>
      </c>
      <c r="Q175" s="17"/>
      <c r="R175" s="19" t="str">
        <f t="shared" si="2"/>
        <v>Discovery Link Only</v>
      </c>
    </row>
    <row r="176" spans="1:18" ht="60" customHeight="1" x14ac:dyDescent="0.2">
      <c r="A176" s="16" t="s">
        <v>1044</v>
      </c>
      <c r="B176" s="16" t="s">
        <v>1045</v>
      </c>
      <c r="C176" s="16" t="s">
        <v>1023</v>
      </c>
      <c r="D176" s="16" t="s">
        <v>1039</v>
      </c>
      <c r="E176" s="16" t="s">
        <v>394</v>
      </c>
      <c r="F176" s="16" t="s">
        <v>25</v>
      </c>
      <c r="G176" s="16" t="s">
        <v>46</v>
      </c>
      <c r="H176" s="17" t="s">
        <v>1046</v>
      </c>
      <c r="I176" s="17" t="s">
        <v>1047</v>
      </c>
      <c r="J176" s="17" t="s">
        <v>1048</v>
      </c>
      <c r="K176" s="17" t="s">
        <v>1028</v>
      </c>
      <c r="L176" s="17" t="s">
        <v>58</v>
      </c>
      <c r="M176" s="17" t="s">
        <v>256</v>
      </c>
      <c r="N176" s="16" t="s">
        <v>1049</v>
      </c>
      <c r="O176" s="18">
        <v>46249</v>
      </c>
      <c r="P176" s="19" t="s">
        <v>34</v>
      </c>
      <c r="Q176" s="17"/>
      <c r="R176" s="19" t="str">
        <f t="shared" si="2"/>
        <v>Discovery Link Only</v>
      </c>
    </row>
    <row r="177" spans="1:18" ht="60" customHeight="1" x14ac:dyDescent="0.2">
      <c r="A177" s="16" t="s">
        <v>1050</v>
      </c>
      <c r="B177" s="16" t="s">
        <v>1051</v>
      </c>
      <c r="C177" s="16" t="s">
        <v>1023</v>
      </c>
      <c r="D177" s="16" t="s">
        <v>1052</v>
      </c>
      <c r="E177" s="16" t="s">
        <v>106</v>
      </c>
      <c r="F177" s="16" t="s">
        <v>25</v>
      </c>
      <c r="G177" s="16" t="s">
        <v>46</v>
      </c>
      <c r="H177" s="17" t="s">
        <v>1053</v>
      </c>
      <c r="I177" s="17" t="s">
        <v>1054</v>
      </c>
      <c r="J177" s="17" t="s">
        <v>1055</v>
      </c>
      <c r="K177" s="17" t="s">
        <v>1028</v>
      </c>
      <c r="L177" s="17" t="s">
        <v>58</v>
      </c>
      <c r="M177" s="17" t="s">
        <v>256</v>
      </c>
      <c r="N177" s="16" t="s">
        <v>1056</v>
      </c>
      <c r="O177" s="18">
        <v>46249</v>
      </c>
      <c r="P177" s="19" t="s">
        <v>34</v>
      </c>
      <c r="Q177" s="17"/>
      <c r="R177" s="19" t="str">
        <f t="shared" si="2"/>
        <v>Discovery Link Only</v>
      </c>
    </row>
    <row r="178" spans="1:18" ht="60" customHeight="1" x14ac:dyDescent="0.2">
      <c r="A178" s="16" t="s">
        <v>1057</v>
      </c>
      <c r="B178" s="16" t="s">
        <v>1058</v>
      </c>
      <c r="C178" s="16" t="s">
        <v>1023</v>
      </c>
      <c r="D178" s="16" t="s">
        <v>1032</v>
      </c>
      <c r="E178" s="16" t="s">
        <v>45</v>
      </c>
      <c r="F178" s="16" t="s">
        <v>25</v>
      </c>
      <c r="G178" s="16" t="s">
        <v>26</v>
      </c>
      <c r="H178" s="17" t="s">
        <v>1059</v>
      </c>
      <c r="I178" s="17" t="s">
        <v>1060</v>
      </c>
      <c r="J178" s="17" t="s">
        <v>1061</v>
      </c>
      <c r="K178" s="17" t="s">
        <v>1028</v>
      </c>
      <c r="L178" s="17" t="s">
        <v>58</v>
      </c>
      <c r="M178" s="17" t="s">
        <v>256</v>
      </c>
      <c r="N178" s="16" t="s">
        <v>1062</v>
      </c>
      <c r="O178" s="18">
        <v>46249</v>
      </c>
      <c r="P178" s="19" t="s">
        <v>34</v>
      </c>
      <c r="Q178" s="17"/>
      <c r="R178" s="19" t="str">
        <f t="shared" si="2"/>
        <v>Discovery Link Only</v>
      </c>
    </row>
    <row r="179" spans="1:18" ht="60" customHeight="1" x14ac:dyDescent="0.2">
      <c r="A179" s="16" t="s">
        <v>1063</v>
      </c>
      <c r="B179" s="16" t="s">
        <v>1064</v>
      </c>
      <c r="C179" s="16" t="s">
        <v>1023</v>
      </c>
      <c r="D179" s="16" t="s">
        <v>1032</v>
      </c>
      <c r="E179" s="16" t="s">
        <v>37</v>
      </c>
      <c r="F179" s="16" t="s">
        <v>25</v>
      </c>
      <c r="G179" s="16" t="s">
        <v>46</v>
      </c>
      <c r="H179" s="17" t="s">
        <v>1065</v>
      </c>
      <c r="I179" s="17" t="s">
        <v>1066</v>
      </c>
      <c r="J179" s="17" t="s">
        <v>1067</v>
      </c>
      <c r="K179" s="17" t="s">
        <v>1028</v>
      </c>
      <c r="L179" s="17" t="s">
        <v>58</v>
      </c>
      <c r="M179" s="17" t="s">
        <v>256</v>
      </c>
      <c r="N179" s="16" t="s">
        <v>1068</v>
      </c>
      <c r="O179" s="18">
        <v>46249</v>
      </c>
      <c r="P179" s="19" t="s">
        <v>34</v>
      </c>
      <c r="Q179" s="17"/>
      <c r="R179" s="19" t="str">
        <f t="shared" si="2"/>
        <v>Discovery Link Only</v>
      </c>
    </row>
    <row r="180" spans="1:18" ht="60" customHeight="1" x14ac:dyDescent="0.2">
      <c r="A180" s="16" t="s">
        <v>1069</v>
      </c>
      <c r="B180" s="16" t="s">
        <v>1070</v>
      </c>
      <c r="C180" s="16" t="s">
        <v>1023</v>
      </c>
      <c r="D180" s="16" t="s">
        <v>1032</v>
      </c>
      <c r="E180" s="16" t="s">
        <v>64</v>
      </c>
      <c r="F180" s="16" t="s">
        <v>25</v>
      </c>
      <c r="G180" s="16" t="s">
        <v>26</v>
      </c>
      <c r="H180" s="17" t="s">
        <v>1071</v>
      </c>
      <c r="I180" s="17" t="s">
        <v>1072</v>
      </c>
      <c r="J180" s="17" t="s">
        <v>1073</v>
      </c>
      <c r="K180" s="17" t="s">
        <v>1028</v>
      </c>
      <c r="L180" s="17" t="s">
        <v>58</v>
      </c>
      <c r="M180" s="17" t="s">
        <v>256</v>
      </c>
      <c r="N180" s="16" t="s">
        <v>1074</v>
      </c>
      <c r="O180" s="18">
        <v>46249</v>
      </c>
      <c r="P180" s="19" t="s">
        <v>34</v>
      </c>
      <c r="Q180" s="17"/>
      <c r="R180" s="19" t="str">
        <f t="shared" si="2"/>
        <v>Discovery Link Only</v>
      </c>
    </row>
    <row r="181" spans="1:18" ht="60" customHeight="1" x14ac:dyDescent="0.2">
      <c r="A181" s="16" t="s">
        <v>1075</v>
      </c>
      <c r="B181" s="16" t="s">
        <v>1076</v>
      </c>
      <c r="C181" s="16" t="s">
        <v>1023</v>
      </c>
      <c r="D181" s="16" t="s">
        <v>1077</v>
      </c>
      <c r="E181" s="16" t="s">
        <v>72</v>
      </c>
      <c r="F181" s="16" t="s">
        <v>25</v>
      </c>
      <c r="G181" s="16" t="s">
        <v>26</v>
      </c>
      <c r="H181" s="17" t="s">
        <v>1078</v>
      </c>
      <c r="I181" s="17" t="s">
        <v>1079</v>
      </c>
      <c r="J181" s="17" t="s">
        <v>1080</v>
      </c>
      <c r="K181" s="17" t="s">
        <v>1028</v>
      </c>
      <c r="L181" s="17" t="s">
        <v>58</v>
      </c>
      <c r="M181" s="17" t="s">
        <v>256</v>
      </c>
      <c r="N181" s="16" t="s">
        <v>1081</v>
      </c>
      <c r="O181" s="18">
        <v>46249</v>
      </c>
      <c r="P181" s="19" t="s">
        <v>34</v>
      </c>
      <c r="Q181" s="17"/>
      <c r="R181" s="19" t="str">
        <f t="shared" si="2"/>
        <v>Discovery Link Only</v>
      </c>
    </row>
    <row r="182" spans="1:18" ht="60" customHeight="1" x14ac:dyDescent="0.2">
      <c r="A182" s="16" t="s">
        <v>1082</v>
      </c>
      <c r="B182" s="16" t="s">
        <v>1083</v>
      </c>
      <c r="C182" s="16" t="s">
        <v>1023</v>
      </c>
      <c r="D182" s="16" t="s">
        <v>1039</v>
      </c>
      <c r="E182" s="16" t="s">
        <v>24</v>
      </c>
      <c r="F182" s="16" t="s">
        <v>25</v>
      </c>
      <c r="G182" s="16" t="s">
        <v>26</v>
      </c>
      <c r="H182" s="17" t="s">
        <v>1084</v>
      </c>
      <c r="I182" s="17" t="s">
        <v>1085</v>
      </c>
      <c r="J182" s="17" t="s">
        <v>1086</v>
      </c>
      <c r="K182" s="17" t="s">
        <v>1028</v>
      </c>
      <c r="L182" s="17" t="s">
        <v>58</v>
      </c>
      <c r="M182" s="17" t="s">
        <v>256</v>
      </c>
      <c r="N182" s="16" t="s">
        <v>1087</v>
      </c>
      <c r="O182" s="18">
        <v>46249</v>
      </c>
      <c r="P182" s="19" t="s">
        <v>34</v>
      </c>
      <c r="Q182" s="17"/>
      <c r="R182" s="19" t="str">
        <f t="shared" si="2"/>
        <v>Discovery Link Only</v>
      </c>
    </row>
    <row r="183" spans="1:18" ht="60" customHeight="1" x14ac:dyDescent="0.2">
      <c r="A183" s="16" t="s">
        <v>1088</v>
      </c>
      <c r="B183" s="16" t="s">
        <v>1089</v>
      </c>
      <c r="C183" s="16" t="s">
        <v>1023</v>
      </c>
      <c r="D183" s="16" t="s">
        <v>1039</v>
      </c>
      <c r="E183" s="16" t="s">
        <v>133</v>
      </c>
      <c r="F183" s="16" t="s">
        <v>107</v>
      </c>
      <c r="G183" s="16" t="s">
        <v>134</v>
      </c>
      <c r="H183" s="17" t="s">
        <v>1090</v>
      </c>
      <c r="I183" s="17" t="s">
        <v>1091</v>
      </c>
      <c r="J183" s="17" t="s">
        <v>1092</v>
      </c>
      <c r="K183" s="17" t="s">
        <v>1028</v>
      </c>
      <c r="L183" s="17" t="s">
        <v>111</v>
      </c>
      <c r="M183" s="17" t="s">
        <v>1093</v>
      </c>
      <c r="N183" s="16"/>
      <c r="O183" s="18">
        <v>46249</v>
      </c>
      <c r="P183" s="19" t="s">
        <v>34</v>
      </c>
      <c r="Q183" s="17"/>
      <c r="R183" s="19" t="str">
        <f t="shared" si="2"/>
        <v>Discovery Link Only</v>
      </c>
    </row>
    <row r="184" spans="1:18" ht="60" customHeight="1" x14ac:dyDescent="0.2">
      <c r="A184" s="16" t="s">
        <v>1094</v>
      </c>
      <c r="B184" s="16" t="s">
        <v>1095</v>
      </c>
      <c r="C184" s="16" t="s">
        <v>1023</v>
      </c>
      <c r="D184" s="16" t="s">
        <v>1039</v>
      </c>
      <c r="E184" s="16" t="s">
        <v>115</v>
      </c>
      <c r="F184" s="16" t="s">
        <v>107</v>
      </c>
      <c r="G184" s="16" t="s">
        <v>46</v>
      </c>
      <c r="H184" s="17" t="s">
        <v>1096</v>
      </c>
      <c r="I184" s="17" t="s">
        <v>1097</v>
      </c>
      <c r="J184" s="17" t="s">
        <v>1098</v>
      </c>
      <c r="K184" s="17" t="s">
        <v>1028</v>
      </c>
      <c r="L184" s="17" t="s">
        <v>111</v>
      </c>
      <c r="M184" s="17" t="s">
        <v>1093</v>
      </c>
      <c r="N184" s="16"/>
      <c r="O184" s="18">
        <v>46249</v>
      </c>
      <c r="P184" s="19" t="s">
        <v>34</v>
      </c>
      <c r="Q184" s="17"/>
      <c r="R184" s="19" t="str">
        <f t="shared" si="2"/>
        <v>Discovery Link Only</v>
      </c>
    </row>
    <row r="185" spans="1:18" ht="60" customHeight="1" x14ac:dyDescent="0.2">
      <c r="A185" s="16" t="s">
        <v>1099</v>
      </c>
      <c r="B185" s="16" t="s">
        <v>1100</v>
      </c>
      <c r="C185" s="16" t="s">
        <v>1023</v>
      </c>
      <c r="D185" s="16" t="s">
        <v>1039</v>
      </c>
      <c r="E185" s="16" t="s">
        <v>115</v>
      </c>
      <c r="F185" s="16" t="s">
        <v>107</v>
      </c>
      <c r="G185" s="16" t="s">
        <v>46</v>
      </c>
      <c r="H185" s="17" t="s">
        <v>1101</v>
      </c>
      <c r="I185" s="17" t="s">
        <v>1102</v>
      </c>
      <c r="J185" s="17" t="s">
        <v>1103</v>
      </c>
      <c r="K185" s="17" t="s">
        <v>1028</v>
      </c>
      <c r="L185" s="17" t="s">
        <v>111</v>
      </c>
      <c r="M185" s="17" t="s">
        <v>1093</v>
      </c>
      <c r="N185" s="16"/>
      <c r="O185" s="18">
        <v>46249</v>
      </c>
      <c r="P185" s="19" t="s">
        <v>34</v>
      </c>
      <c r="Q185" s="17"/>
      <c r="R185" s="19" t="str">
        <f t="shared" si="2"/>
        <v>Discovery Link Only</v>
      </c>
    </row>
    <row r="186" spans="1:18" ht="60" customHeight="1" x14ac:dyDescent="0.2">
      <c r="A186" s="16" t="s">
        <v>1104</v>
      </c>
      <c r="B186" s="16" t="s">
        <v>1105</v>
      </c>
      <c r="C186" s="16" t="s">
        <v>1023</v>
      </c>
      <c r="D186" s="16" t="s">
        <v>1039</v>
      </c>
      <c r="E186" s="16" t="s">
        <v>115</v>
      </c>
      <c r="F186" s="16" t="s">
        <v>107</v>
      </c>
      <c r="G186" s="16" t="s">
        <v>46</v>
      </c>
      <c r="H186" s="17" t="s">
        <v>1106</v>
      </c>
      <c r="I186" s="17" t="s">
        <v>1107</v>
      </c>
      <c r="J186" s="17" t="s">
        <v>1108</v>
      </c>
      <c r="K186" s="17" t="s">
        <v>1028</v>
      </c>
      <c r="L186" s="17" t="s">
        <v>111</v>
      </c>
      <c r="M186" s="17" t="s">
        <v>1093</v>
      </c>
      <c r="N186" s="16"/>
      <c r="O186" s="18">
        <v>46249</v>
      </c>
      <c r="P186" s="19" t="s">
        <v>34</v>
      </c>
      <c r="Q186" s="17"/>
      <c r="R186" s="19" t="str">
        <f t="shared" si="2"/>
        <v>Discovery Link Only</v>
      </c>
    </row>
    <row r="187" spans="1:18" ht="60" customHeight="1" x14ac:dyDescent="0.2">
      <c r="A187" s="16" t="s">
        <v>1109</v>
      </c>
      <c r="B187" s="16" t="s">
        <v>1110</v>
      </c>
      <c r="C187" s="16" t="s">
        <v>1023</v>
      </c>
      <c r="D187" s="16" t="s">
        <v>1039</v>
      </c>
      <c r="E187" s="16" t="s">
        <v>133</v>
      </c>
      <c r="F187" s="16" t="s">
        <v>121</v>
      </c>
      <c r="G187" s="16" t="s">
        <v>134</v>
      </c>
      <c r="H187" s="17" t="s">
        <v>1111</v>
      </c>
      <c r="I187" s="17" t="s">
        <v>1112</v>
      </c>
      <c r="J187" s="17" t="s">
        <v>1113</v>
      </c>
      <c r="K187" s="17" t="s">
        <v>1028</v>
      </c>
      <c r="L187" s="17" t="s">
        <v>111</v>
      </c>
      <c r="M187" s="17" t="s">
        <v>1093</v>
      </c>
      <c r="N187" s="16"/>
      <c r="O187" s="18">
        <v>46249</v>
      </c>
      <c r="P187" s="19" t="s">
        <v>34</v>
      </c>
      <c r="Q187" s="17"/>
      <c r="R187" s="19" t="str">
        <f t="shared" si="2"/>
        <v>Discovery Link Only</v>
      </c>
    </row>
    <row r="188" spans="1:18" ht="60" customHeight="1" x14ac:dyDescent="0.2">
      <c r="A188" s="16" t="s">
        <v>1114</v>
      </c>
      <c r="B188" s="16" t="s">
        <v>1115</v>
      </c>
      <c r="C188" s="16" t="s">
        <v>1023</v>
      </c>
      <c r="D188" s="16" t="s">
        <v>1039</v>
      </c>
      <c r="E188" s="16" t="s">
        <v>99</v>
      </c>
      <c r="F188" s="16" t="s">
        <v>107</v>
      </c>
      <c r="G188" s="16" t="s">
        <v>46</v>
      </c>
      <c r="H188" s="17" t="s">
        <v>1116</v>
      </c>
      <c r="I188" s="17" t="s">
        <v>1117</v>
      </c>
      <c r="J188" s="17" t="s">
        <v>1118</v>
      </c>
      <c r="K188" s="17" t="s">
        <v>1028</v>
      </c>
      <c r="L188" s="17" t="s">
        <v>111</v>
      </c>
      <c r="M188" s="17" t="s">
        <v>1093</v>
      </c>
      <c r="N188" s="16"/>
      <c r="O188" s="18">
        <v>46249</v>
      </c>
      <c r="P188" s="19" t="s">
        <v>34</v>
      </c>
      <c r="Q188" s="17"/>
      <c r="R188" s="19" t="str">
        <f t="shared" si="2"/>
        <v>Discovery Link Only</v>
      </c>
    </row>
    <row r="189" spans="1:18" ht="60" customHeight="1" x14ac:dyDescent="0.2">
      <c r="A189" s="16" t="s">
        <v>1119</v>
      </c>
      <c r="B189" s="16" t="s">
        <v>1120</v>
      </c>
      <c r="C189" s="16" t="s">
        <v>1023</v>
      </c>
      <c r="D189" s="16" t="s">
        <v>1039</v>
      </c>
      <c r="E189" s="16" t="s">
        <v>99</v>
      </c>
      <c r="F189" s="16" t="s">
        <v>121</v>
      </c>
      <c r="G189" s="16" t="s">
        <v>46</v>
      </c>
      <c r="H189" s="17" t="s">
        <v>1121</v>
      </c>
      <c r="I189" s="17" t="s">
        <v>1122</v>
      </c>
      <c r="J189" s="17" t="s">
        <v>1123</v>
      </c>
      <c r="K189" s="17" t="s">
        <v>1028</v>
      </c>
      <c r="L189" s="17" t="s">
        <v>111</v>
      </c>
      <c r="M189" s="17" t="s">
        <v>1093</v>
      </c>
      <c r="N189" s="16"/>
      <c r="O189" s="18">
        <v>46249</v>
      </c>
      <c r="P189" s="19" t="s">
        <v>34</v>
      </c>
      <c r="Q189" s="17"/>
      <c r="R189" s="19" t="str">
        <f t="shared" si="2"/>
        <v>Discovery Link Only</v>
      </c>
    </row>
    <row r="190" spans="1:18" ht="60" customHeight="1" x14ac:dyDescent="0.2">
      <c r="A190" s="16" t="s">
        <v>1124</v>
      </c>
      <c r="B190" s="16" t="s">
        <v>1125</v>
      </c>
      <c r="C190" s="16" t="s">
        <v>1023</v>
      </c>
      <c r="D190" s="16" t="s">
        <v>1052</v>
      </c>
      <c r="E190" s="16" t="s">
        <v>162</v>
      </c>
      <c r="F190" s="16" t="s">
        <v>121</v>
      </c>
      <c r="G190" s="16" t="s">
        <v>46</v>
      </c>
      <c r="H190" s="17" t="s">
        <v>1126</v>
      </c>
      <c r="I190" s="17" t="s">
        <v>1127</v>
      </c>
      <c r="J190" s="17" t="s">
        <v>1128</v>
      </c>
      <c r="K190" s="17" t="s">
        <v>1028</v>
      </c>
      <c r="L190" s="17" t="s">
        <v>111</v>
      </c>
      <c r="M190" s="17" t="s">
        <v>1093</v>
      </c>
      <c r="N190" s="16"/>
      <c r="O190" s="18">
        <v>46249</v>
      </c>
      <c r="P190" s="19" t="s">
        <v>34</v>
      </c>
      <c r="Q190" s="17"/>
      <c r="R190" s="19" t="str">
        <f t="shared" si="2"/>
        <v>Discovery Link Only</v>
      </c>
    </row>
    <row r="191" spans="1:18" ht="60" customHeight="1" x14ac:dyDescent="0.2">
      <c r="A191" s="16" t="s">
        <v>1129</v>
      </c>
      <c r="B191" s="16" t="s">
        <v>1130</v>
      </c>
      <c r="C191" s="16" t="s">
        <v>1023</v>
      </c>
      <c r="D191" s="16" t="s">
        <v>1131</v>
      </c>
      <c r="E191" s="16" t="s">
        <v>162</v>
      </c>
      <c r="F191" s="16" t="s">
        <v>121</v>
      </c>
      <c r="G191" s="16" t="s">
        <v>46</v>
      </c>
      <c r="H191" s="17" t="s">
        <v>1132</v>
      </c>
      <c r="I191" s="17" t="s">
        <v>1133</v>
      </c>
      <c r="J191" s="17" t="s">
        <v>1134</v>
      </c>
      <c r="K191" s="17" t="s">
        <v>1028</v>
      </c>
      <c r="L191" s="17" t="s">
        <v>111</v>
      </c>
      <c r="M191" s="17" t="s">
        <v>1093</v>
      </c>
      <c r="N191" s="16"/>
      <c r="O191" s="18">
        <v>46249</v>
      </c>
      <c r="P191" s="19" t="s">
        <v>34</v>
      </c>
      <c r="Q191" s="17"/>
      <c r="R191" s="19" t="str">
        <f t="shared" si="2"/>
        <v>Discovery Link Only</v>
      </c>
    </row>
    <row r="192" spans="1:18" ht="60" customHeight="1" x14ac:dyDescent="0.2">
      <c r="A192" s="16" t="s">
        <v>1135</v>
      </c>
      <c r="B192" s="16" t="s">
        <v>1136</v>
      </c>
      <c r="C192" s="16" t="s">
        <v>1023</v>
      </c>
      <c r="D192" s="16" t="s">
        <v>1131</v>
      </c>
      <c r="E192" s="16" t="s">
        <v>162</v>
      </c>
      <c r="F192" s="16" t="s">
        <v>121</v>
      </c>
      <c r="G192" s="16" t="s">
        <v>46</v>
      </c>
      <c r="H192" s="17" t="s">
        <v>1137</v>
      </c>
      <c r="I192" s="17" t="s">
        <v>1138</v>
      </c>
      <c r="J192" s="17" t="s">
        <v>1139</v>
      </c>
      <c r="K192" s="17" t="s">
        <v>1028</v>
      </c>
      <c r="L192" s="17" t="s">
        <v>111</v>
      </c>
      <c r="M192" s="17" t="s">
        <v>1093</v>
      </c>
      <c r="N192" s="16"/>
      <c r="O192" s="18">
        <v>46249</v>
      </c>
      <c r="P192" s="19" t="s">
        <v>34</v>
      </c>
      <c r="Q192" s="17"/>
      <c r="R192" s="19" t="str">
        <f t="shared" si="2"/>
        <v>Discovery Link Only</v>
      </c>
    </row>
    <row r="193" spans="1:18" ht="60" customHeight="1" x14ac:dyDescent="0.2">
      <c r="A193" s="16" t="s">
        <v>1140</v>
      </c>
      <c r="B193" s="16" t="s">
        <v>1141</v>
      </c>
      <c r="C193" s="16" t="s">
        <v>1023</v>
      </c>
      <c r="D193" s="16" t="s">
        <v>1142</v>
      </c>
      <c r="E193" s="16" t="s">
        <v>133</v>
      </c>
      <c r="F193" s="16" t="s">
        <v>107</v>
      </c>
      <c r="G193" s="16" t="s">
        <v>134</v>
      </c>
      <c r="H193" s="17" t="s">
        <v>1143</v>
      </c>
      <c r="I193" s="17" t="s">
        <v>1144</v>
      </c>
      <c r="J193" s="17" t="s">
        <v>1145</v>
      </c>
      <c r="K193" s="17" t="s">
        <v>1028</v>
      </c>
      <c r="L193" s="17" t="s">
        <v>111</v>
      </c>
      <c r="M193" s="17" t="s">
        <v>1093</v>
      </c>
      <c r="N193" s="16"/>
      <c r="O193" s="18">
        <v>46249</v>
      </c>
      <c r="P193" s="19" t="s">
        <v>34</v>
      </c>
      <c r="Q193" s="17"/>
      <c r="R193" s="19" t="str">
        <f t="shared" si="2"/>
        <v>Discovery Link Only</v>
      </c>
    </row>
    <row r="194" spans="1:18" ht="60" customHeight="1" x14ac:dyDescent="0.2">
      <c r="A194" s="16" t="s">
        <v>1146</v>
      </c>
      <c r="B194" s="16" t="s">
        <v>1147</v>
      </c>
      <c r="C194" s="16" t="s">
        <v>1023</v>
      </c>
      <c r="D194" s="16" t="s">
        <v>1142</v>
      </c>
      <c r="E194" s="16" t="s">
        <v>106</v>
      </c>
      <c r="F194" s="16" t="s">
        <v>107</v>
      </c>
      <c r="G194" s="16" t="s">
        <v>46</v>
      </c>
      <c r="H194" s="17" t="s">
        <v>1148</v>
      </c>
      <c r="I194" s="17" t="s">
        <v>1149</v>
      </c>
      <c r="J194" s="17" t="s">
        <v>1150</v>
      </c>
      <c r="K194" s="17" t="s">
        <v>1028</v>
      </c>
      <c r="L194" s="17" t="s">
        <v>111</v>
      </c>
      <c r="M194" s="17" t="s">
        <v>1093</v>
      </c>
      <c r="N194" s="16"/>
      <c r="O194" s="18">
        <v>46249</v>
      </c>
      <c r="P194" s="19" t="s">
        <v>34</v>
      </c>
      <c r="Q194" s="17"/>
      <c r="R194" s="19" t="str">
        <f t="shared" si="2"/>
        <v>Discovery Link Only</v>
      </c>
    </row>
    <row r="195" spans="1:18" ht="60" customHeight="1" x14ac:dyDescent="0.2">
      <c r="A195" s="16" t="s">
        <v>1151</v>
      </c>
      <c r="B195" s="16" t="s">
        <v>1152</v>
      </c>
      <c r="C195" s="16" t="s">
        <v>1023</v>
      </c>
      <c r="D195" s="16" t="s">
        <v>1153</v>
      </c>
      <c r="E195" s="16" t="s">
        <v>106</v>
      </c>
      <c r="F195" s="16" t="s">
        <v>107</v>
      </c>
      <c r="G195" s="16" t="s">
        <v>46</v>
      </c>
      <c r="H195" s="17" t="s">
        <v>1154</v>
      </c>
      <c r="I195" s="17" t="s">
        <v>1155</v>
      </c>
      <c r="J195" s="17" t="s">
        <v>1156</v>
      </c>
      <c r="K195" s="17" t="s">
        <v>1028</v>
      </c>
      <c r="L195" s="17" t="s">
        <v>111</v>
      </c>
      <c r="M195" s="17" t="s">
        <v>1093</v>
      </c>
      <c r="N195" s="16"/>
      <c r="O195" s="18">
        <v>46249</v>
      </c>
      <c r="P195" s="19" t="s">
        <v>34</v>
      </c>
      <c r="Q195" s="17"/>
      <c r="R195" s="19" t="str">
        <f t="shared" si="2"/>
        <v>Discovery Link Only</v>
      </c>
    </row>
    <row r="196" spans="1:18" ht="60" customHeight="1" x14ac:dyDescent="0.2">
      <c r="A196" s="16" t="s">
        <v>1157</v>
      </c>
      <c r="B196" s="16" t="s">
        <v>1158</v>
      </c>
      <c r="C196" s="16" t="s">
        <v>1023</v>
      </c>
      <c r="D196" s="16" t="s">
        <v>1159</v>
      </c>
      <c r="E196" s="16" t="s">
        <v>45</v>
      </c>
      <c r="F196" s="16" t="s">
        <v>121</v>
      </c>
      <c r="G196" s="16" t="s">
        <v>26</v>
      </c>
      <c r="H196" s="17" t="s">
        <v>1160</v>
      </c>
      <c r="I196" s="17" t="s">
        <v>1161</v>
      </c>
      <c r="J196" s="17" t="s">
        <v>1162</v>
      </c>
      <c r="K196" s="17" t="s">
        <v>1028</v>
      </c>
      <c r="L196" s="17" t="s">
        <v>111</v>
      </c>
      <c r="M196" s="17" t="s">
        <v>1093</v>
      </c>
      <c r="N196" s="16"/>
      <c r="O196" s="18">
        <v>46249</v>
      </c>
      <c r="P196" s="19" t="s">
        <v>34</v>
      </c>
      <c r="Q196" s="17"/>
      <c r="R196" s="19" t="str">
        <f t="shared" ref="R196:R259" si="3">IF(J196="","Missing Link",IF(AND(ISNUMBER(SEARCH("google.com/maps",J196)),ISERROR(SEARCH(";",J196))),"Discovery Link Only","Source Link Present"))</f>
        <v>Discovery Link Only</v>
      </c>
    </row>
    <row r="197" spans="1:18" ht="60" customHeight="1" x14ac:dyDescent="0.2">
      <c r="A197" s="16" t="s">
        <v>1163</v>
      </c>
      <c r="B197" s="16" t="s">
        <v>1164</v>
      </c>
      <c r="C197" s="16" t="s">
        <v>1023</v>
      </c>
      <c r="D197" s="16" t="s">
        <v>1159</v>
      </c>
      <c r="E197" s="16" t="s">
        <v>37</v>
      </c>
      <c r="F197" s="16" t="s">
        <v>121</v>
      </c>
      <c r="G197" s="16" t="s">
        <v>26</v>
      </c>
      <c r="H197" s="17" t="s">
        <v>1165</v>
      </c>
      <c r="I197" s="17" t="s">
        <v>1166</v>
      </c>
      <c r="J197" s="17" t="s">
        <v>1167</v>
      </c>
      <c r="K197" s="17" t="s">
        <v>1028</v>
      </c>
      <c r="L197" s="17" t="s">
        <v>111</v>
      </c>
      <c r="M197" s="17" t="s">
        <v>1093</v>
      </c>
      <c r="N197" s="16"/>
      <c r="O197" s="18">
        <v>46249</v>
      </c>
      <c r="P197" s="19" t="s">
        <v>34</v>
      </c>
      <c r="Q197" s="17"/>
      <c r="R197" s="19" t="str">
        <f t="shared" si="3"/>
        <v>Discovery Link Only</v>
      </c>
    </row>
    <row r="198" spans="1:18" ht="60" customHeight="1" x14ac:dyDescent="0.2">
      <c r="A198" s="16" t="s">
        <v>1168</v>
      </c>
      <c r="B198" s="16" t="s">
        <v>1169</v>
      </c>
      <c r="C198" s="16" t="s">
        <v>1170</v>
      </c>
      <c r="D198" s="16" t="s">
        <v>1171</v>
      </c>
      <c r="E198" s="16" t="s">
        <v>72</v>
      </c>
      <c r="F198" s="16" t="s">
        <v>121</v>
      </c>
      <c r="G198" s="16" t="s">
        <v>26</v>
      </c>
      <c r="H198" s="17" t="s">
        <v>1172</v>
      </c>
      <c r="I198" s="17" t="s">
        <v>1173</v>
      </c>
      <c r="J198" s="17" t="s">
        <v>1174</v>
      </c>
      <c r="K198" s="17" t="s">
        <v>1175</v>
      </c>
      <c r="L198" s="17" t="s">
        <v>58</v>
      </c>
      <c r="M198" s="17" t="s">
        <v>256</v>
      </c>
      <c r="N198" s="16" t="s">
        <v>1176</v>
      </c>
      <c r="O198" s="18">
        <v>46249</v>
      </c>
      <c r="P198" s="19" t="s">
        <v>34</v>
      </c>
      <c r="Q198" s="17"/>
      <c r="R198" s="19" t="str">
        <f t="shared" si="3"/>
        <v>Source Link Present</v>
      </c>
    </row>
    <row r="199" spans="1:18" ht="60" customHeight="1" x14ac:dyDescent="0.2">
      <c r="A199" s="16" t="s">
        <v>1177</v>
      </c>
      <c r="B199" s="16" t="s">
        <v>1178</v>
      </c>
      <c r="C199" s="16" t="s">
        <v>1170</v>
      </c>
      <c r="D199" s="16" t="s">
        <v>1179</v>
      </c>
      <c r="E199" s="16" t="s">
        <v>394</v>
      </c>
      <c r="F199" s="16" t="s">
        <v>25</v>
      </c>
      <c r="G199" s="16" t="s">
        <v>26</v>
      </c>
      <c r="H199" s="17" t="s">
        <v>1180</v>
      </c>
      <c r="I199" s="17" t="s">
        <v>1181</v>
      </c>
      <c r="J199" s="17" t="s">
        <v>1182</v>
      </c>
      <c r="K199" s="17" t="s">
        <v>1175</v>
      </c>
      <c r="L199" s="17" t="s">
        <v>58</v>
      </c>
      <c r="M199" s="17" t="s">
        <v>256</v>
      </c>
      <c r="N199" s="16" t="s">
        <v>1183</v>
      </c>
      <c r="O199" s="18">
        <v>46249</v>
      </c>
      <c r="P199" s="19" t="s">
        <v>34</v>
      </c>
      <c r="Q199" s="17"/>
      <c r="R199" s="19" t="str">
        <f t="shared" si="3"/>
        <v>Source Link Present</v>
      </c>
    </row>
    <row r="200" spans="1:18" ht="60" customHeight="1" x14ac:dyDescent="0.2">
      <c r="A200" s="16" t="s">
        <v>1184</v>
      </c>
      <c r="B200" s="16" t="s">
        <v>1185</v>
      </c>
      <c r="C200" s="16" t="s">
        <v>1170</v>
      </c>
      <c r="D200" s="16" t="s">
        <v>1186</v>
      </c>
      <c r="E200" s="16" t="s">
        <v>64</v>
      </c>
      <c r="F200" s="16" t="s">
        <v>25</v>
      </c>
      <c r="G200" s="16" t="s">
        <v>46</v>
      </c>
      <c r="H200" s="17" t="s">
        <v>1187</v>
      </c>
      <c r="I200" s="17" t="s">
        <v>1188</v>
      </c>
      <c r="J200" s="17" t="s">
        <v>1189</v>
      </c>
      <c r="K200" s="17" t="s">
        <v>1175</v>
      </c>
      <c r="L200" s="17" t="s">
        <v>58</v>
      </c>
      <c r="M200" s="17" t="s">
        <v>256</v>
      </c>
      <c r="N200" s="16" t="s">
        <v>1190</v>
      </c>
      <c r="O200" s="18">
        <v>46249</v>
      </c>
      <c r="P200" s="19" t="s">
        <v>34</v>
      </c>
      <c r="Q200" s="17"/>
      <c r="R200" s="19" t="str">
        <f t="shared" si="3"/>
        <v>Discovery Link Only</v>
      </c>
    </row>
    <row r="201" spans="1:18" ht="60" customHeight="1" x14ac:dyDescent="0.2">
      <c r="A201" s="16" t="s">
        <v>1191</v>
      </c>
      <c r="B201" s="16" t="s">
        <v>1192</v>
      </c>
      <c r="C201" s="16" t="s">
        <v>1170</v>
      </c>
      <c r="D201" s="16" t="s">
        <v>1193</v>
      </c>
      <c r="E201" s="16" t="s">
        <v>115</v>
      </c>
      <c r="F201" s="16" t="s">
        <v>25</v>
      </c>
      <c r="G201" s="16" t="s">
        <v>46</v>
      </c>
      <c r="H201" s="17" t="s">
        <v>1194</v>
      </c>
      <c r="I201" s="17" t="s">
        <v>1195</v>
      </c>
      <c r="J201" s="17" t="s">
        <v>1196</v>
      </c>
      <c r="K201" s="17" t="s">
        <v>1175</v>
      </c>
      <c r="L201" s="17" t="s">
        <v>58</v>
      </c>
      <c r="M201" s="17" t="s">
        <v>256</v>
      </c>
      <c r="N201" s="16" t="s">
        <v>1197</v>
      </c>
      <c r="O201" s="18">
        <v>46249</v>
      </c>
      <c r="P201" s="19" t="s">
        <v>34</v>
      </c>
      <c r="Q201" s="17"/>
      <c r="R201" s="19" t="str">
        <f t="shared" si="3"/>
        <v>Discovery Link Only</v>
      </c>
    </row>
    <row r="202" spans="1:18" ht="60" customHeight="1" x14ac:dyDescent="0.2">
      <c r="A202" s="16" t="s">
        <v>1198</v>
      </c>
      <c r="B202" s="16" t="s">
        <v>1199</v>
      </c>
      <c r="C202" s="16" t="s">
        <v>1170</v>
      </c>
      <c r="D202" s="16" t="s">
        <v>1186</v>
      </c>
      <c r="E202" s="16" t="s">
        <v>140</v>
      </c>
      <c r="F202" s="16" t="s">
        <v>121</v>
      </c>
      <c r="G202" s="16" t="s">
        <v>26</v>
      </c>
      <c r="H202" s="17" t="s">
        <v>1200</v>
      </c>
      <c r="I202" s="17" t="s">
        <v>1201</v>
      </c>
      <c r="J202" s="17" t="s">
        <v>1202</v>
      </c>
      <c r="K202" s="17" t="s">
        <v>1175</v>
      </c>
      <c r="L202" s="17" t="s">
        <v>58</v>
      </c>
      <c r="M202" s="17" t="s">
        <v>256</v>
      </c>
      <c r="N202" s="16" t="s">
        <v>1203</v>
      </c>
      <c r="O202" s="18">
        <v>46249</v>
      </c>
      <c r="P202" s="19" t="s">
        <v>34</v>
      </c>
      <c r="Q202" s="17"/>
      <c r="R202" s="19" t="str">
        <f t="shared" si="3"/>
        <v>Discovery Link Only</v>
      </c>
    </row>
    <row r="203" spans="1:18" ht="60" customHeight="1" x14ac:dyDescent="0.2">
      <c r="A203" s="16" t="s">
        <v>1204</v>
      </c>
      <c r="B203" s="16" t="s">
        <v>1205</v>
      </c>
      <c r="C203" s="16" t="s">
        <v>1170</v>
      </c>
      <c r="D203" s="16" t="s">
        <v>1206</v>
      </c>
      <c r="E203" s="16" t="s">
        <v>45</v>
      </c>
      <c r="F203" s="16" t="s">
        <v>25</v>
      </c>
      <c r="G203" s="16" t="s">
        <v>26</v>
      </c>
      <c r="H203" s="17" t="s">
        <v>1207</v>
      </c>
      <c r="I203" s="17" t="s">
        <v>1208</v>
      </c>
      <c r="J203" s="17" t="s">
        <v>1209</v>
      </c>
      <c r="K203" s="17" t="s">
        <v>1175</v>
      </c>
      <c r="L203" s="17" t="s">
        <v>58</v>
      </c>
      <c r="M203" s="17" t="s">
        <v>256</v>
      </c>
      <c r="N203" s="16" t="s">
        <v>1210</v>
      </c>
      <c r="O203" s="18">
        <v>46249</v>
      </c>
      <c r="P203" s="19" t="s">
        <v>34</v>
      </c>
      <c r="Q203" s="17"/>
      <c r="R203" s="19" t="str">
        <f t="shared" si="3"/>
        <v>Discovery Link Only</v>
      </c>
    </row>
    <row r="204" spans="1:18" ht="60" customHeight="1" x14ac:dyDescent="0.2">
      <c r="A204" s="16" t="s">
        <v>1211</v>
      </c>
      <c r="B204" s="16" t="s">
        <v>1212</v>
      </c>
      <c r="C204" s="16" t="s">
        <v>1170</v>
      </c>
      <c r="D204" s="16" t="s">
        <v>1213</v>
      </c>
      <c r="E204" s="16" t="s">
        <v>24</v>
      </c>
      <c r="F204" s="16" t="s">
        <v>25</v>
      </c>
      <c r="G204" s="16" t="s">
        <v>26</v>
      </c>
      <c r="H204" s="17" t="s">
        <v>1214</v>
      </c>
      <c r="I204" s="17" t="s">
        <v>1215</v>
      </c>
      <c r="J204" s="17" t="s">
        <v>1216</v>
      </c>
      <c r="K204" s="17" t="s">
        <v>1175</v>
      </c>
      <c r="L204" s="17" t="s">
        <v>58</v>
      </c>
      <c r="M204" s="17" t="s">
        <v>256</v>
      </c>
      <c r="N204" s="16" t="s">
        <v>1217</v>
      </c>
      <c r="O204" s="18">
        <v>46249</v>
      </c>
      <c r="P204" s="19" t="s">
        <v>34</v>
      </c>
      <c r="Q204" s="17"/>
      <c r="R204" s="19" t="str">
        <f t="shared" si="3"/>
        <v>Discovery Link Only</v>
      </c>
    </row>
    <row r="205" spans="1:18" ht="60" customHeight="1" x14ac:dyDescent="0.2">
      <c r="A205" s="16" t="s">
        <v>1218</v>
      </c>
      <c r="B205" s="16" t="s">
        <v>1219</v>
      </c>
      <c r="C205" s="16" t="s">
        <v>1170</v>
      </c>
      <c r="D205" s="16" t="s">
        <v>1186</v>
      </c>
      <c r="E205" s="16" t="s">
        <v>106</v>
      </c>
      <c r="F205" s="16" t="s">
        <v>25</v>
      </c>
      <c r="G205" s="16" t="s">
        <v>46</v>
      </c>
      <c r="H205" s="17" t="s">
        <v>1220</v>
      </c>
      <c r="I205" s="17" t="s">
        <v>1221</v>
      </c>
      <c r="J205" s="17" t="s">
        <v>1222</v>
      </c>
      <c r="K205" s="17" t="s">
        <v>1175</v>
      </c>
      <c r="L205" s="17" t="s">
        <v>58</v>
      </c>
      <c r="M205" s="17" t="s">
        <v>256</v>
      </c>
      <c r="N205" s="16" t="s">
        <v>1223</v>
      </c>
      <c r="O205" s="18">
        <v>46249</v>
      </c>
      <c r="P205" s="19" t="s">
        <v>34</v>
      </c>
      <c r="Q205" s="17"/>
      <c r="R205" s="19" t="str">
        <f t="shared" si="3"/>
        <v>Discovery Link Only</v>
      </c>
    </row>
    <row r="206" spans="1:18" ht="60" customHeight="1" x14ac:dyDescent="0.2">
      <c r="A206" s="16" t="s">
        <v>1224</v>
      </c>
      <c r="B206" s="16" t="s">
        <v>1225</v>
      </c>
      <c r="C206" s="16" t="s">
        <v>1170</v>
      </c>
      <c r="D206" s="16" t="s">
        <v>1226</v>
      </c>
      <c r="E206" s="16" t="s">
        <v>45</v>
      </c>
      <c r="F206" s="16" t="s">
        <v>25</v>
      </c>
      <c r="G206" s="16" t="s">
        <v>26</v>
      </c>
      <c r="H206" s="17" t="s">
        <v>1227</v>
      </c>
      <c r="I206" s="17" t="s">
        <v>1228</v>
      </c>
      <c r="J206" s="17" t="s">
        <v>1229</v>
      </c>
      <c r="K206" s="17" t="s">
        <v>1175</v>
      </c>
      <c r="L206" s="17" t="s">
        <v>58</v>
      </c>
      <c r="M206" s="17" t="s">
        <v>256</v>
      </c>
      <c r="N206" s="16" t="s">
        <v>1230</v>
      </c>
      <c r="O206" s="18">
        <v>46249</v>
      </c>
      <c r="P206" s="19" t="s">
        <v>34</v>
      </c>
      <c r="Q206" s="17"/>
      <c r="R206" s="19" t="str">
        <f t="shared" si="3"/>
        <v>Discovery Link Only</v>
      </c>
    </row>
    <row r="207" spans="1:18" ht="60" customHeight="1" x14ac:dyDescent="0.2">
      <c r="A207" s="16" t="s">
        <v>1231</v>
      </c>
      <c r="B207" s="16" t="s">
        <v>1232</v>
      </c>
      <c r="C207" s="16" t="s">
        <v>1170</v>
      </c>
      <c r="D207" s="16" t="s">
        <v>1233</v>
      </c>
      <c r="E207" s="16" t="s">
        <v>251</v>
      </c>
      <c r="F207" s="16" t="s">
        <v>25</v>
      </c>
      <c r="G207" s="16" t="s">
        <v>26</v>
      </c>
      <c r="H207" s="17" t="s">
        <v>1234</v>
      </c>
      <c r="I207" s="17" t="s">
        <v>1235</v>
      </c>
      <c r="J207" s="17" t="s">
        <v>1236</v>
      </c>
      <c r="K207" s="17" t="s">
        <v>1175</v>
      </c>
      <c r="L207" s="17" t="s">
        <v>58</v>
      </c>
      <c r="M207" s="17" t="s">
        <v>256</v>
      </c>
      <c r="N207" s="16" t="s">
        <v>1237</v>
      </c>
      <c r="O207" s="18">
        <v>46249</v>
      </c>
      <c r="P207" s="19" t="s">
        <v>34</v>
      </c>
      <c r="Q207" s="17"/>
      <c r="R207" s="19" t="str">
        <f t="shared" si="3"/>
        <v>Discovery Link Only</v>
      </c>
    </row>
    <row r="208" spans="1:18" ht="60" customHeight="1" x14ac:dyDescent="0.2">
      <c r="A208" s="16" t="s">
        <v>1238</v>
      </c>
      <c r="B208" s="16" t="s">
        <v>1239</v>
      </c>
      <c r="C208" s="16" t="s">
        <v>1170</v>
      </c>
      <c r="D208" s="16" t="s">
        <v>1186</v>
      </c>
      <c r="E208" s="16" t="s">
        <v>115</v>
      </c>
      <c r="F208" s="16" t="s">
        <v>107</v>
      </c>
      <c r="G208" s="16" t="s">
        <v>46</v>
      </c>
      <c r="H208" s="17" t="s">
        <v>1240</v>
      </c>
      <c r="I208" s="17" t="s">
        <v>1241</v>
      </c>
      <c r="J208" s="17" t="s">
        <v>1242</v>
      </c>
      <c r="K208" s="17" t="s">
        <v>1175</v>
      </c>
      <c r="L208" s="17" t="s">
        <v>111</v>
      </c>
      <c r="M208" s="17" t="s">
        <v>1243</v>
      </c>
      <c r="N208" s="16"/>
      <c r="O208" s="18">
        <v>46249</v>
      </c>
      <c r="P208" s="19" t="s">
        <v>34</v>
      </c>
      <c r="Q208" s="17"/>
      <c r="R208" s="19" t="str">
        <f t="shared" si="3"/>
        <v>Discovery Link Only</v>
      </c>
    </row>
    <row r="209" spans="1:18" ht="60" customHeight="1" x14ac:dyDescent="0.2">
      <c r="A209" s="16" t="s">
        <v>1244</v>
      </c>
      <c r="B209" s="16" t="s">
        <v>1245</v>
      </c>
      <c r="C209" s="16" t="s">
        <v>1170</v>
      </c>
      <c r="D209" s="16" t="s">
        <v>1186</v>
      </c>
      <c r="E209" s="16" t="s">
        <v>133</v>
      </c>
      <c r="F209" s="16" t="s">
        <v>107</v>
      </c>
      <c r="G209" s="16" t="s">
        <v>134</v>
      </c>
      <c r="H209" s="17" t="s">
        <v>1246</v>
      </c>
      <c r="I209" s="17" t="s">
        <v>1247</v>
      </c>
      <c r="J209" s="17" t="s">
        <v>1248</v>
      </c>
      <c r="K209" s="17" t="s">
        <v>1175</v>
      </c>
      <c r="L209" s="17" t="s">
        <v>111</v>
      </c>
      <c r="M209" s="17" t="s">
        <v>1243</v>
      </c>
      <c r="N209" s="16"/>
      <c r="O209" s="18">
        <v>46249</v>
      </c>
      <c r="P209" s="19" t="s">
        <v>34</v>
      </c>
      <c r="Q209" s="17"/>
      <c r="R209" s="19" t="str">
        <f t="shared" si="3"/>
        <v>Discovery Link Only</v>
      </c>
    </row>
    <row r="210" spans="1:18" ht="60" customHeight="1" x14ac:dyDescent="0.2">
      <c r="A210" s="16" t="s">
        <v>1249</v>
      </c>
      <c r="B210" s="16" t="s">
        <v>1250</v>
      </c>
      <c r="C210" s="16" t="s">
        <v>1170</v>
      </c>
      <c r="D210" s="16" t="s">
        <v>1186</v>
      </c>
      <c r="E210" s="16" t="s">
        <v>133</v>
      </c>
      <c r="F210" s="16" t="s">
        <v>121</v>
      </c>
      <c r="G210" s="16" t="s">
        <v>134</v>
      </c>
      <c r="H210" s="17" t="s">
        <v>1251</v>
      </c>
      <c r="I210" s="17" t="s">
        <v>1252</v>
      </c>
      <c r="J210" s="17" t="s">
        <v>1253</v>
      </c>
      <c r="K210" s="17" t="s">
        <v>1175</v>
      </c>
      <c r="L210" s="17" t="s">
        <v>111</v>
      </c>
      <c r="M210" s="17" t="s">
        <v>1243</v>
      </c>
      <c r="N210" s="16"/>
      <c r="O210" s="18">
        <v>46249</v>
      </c>
      <c r="P210" s="19" t="s">
        <v>34</v>
      </c>
      <c r="Q210" s="17"/>
      <c r="R210" s="19" t="str">
        <f t="shared" si="3"/>
        <v>Discovery Link Only</v>
      </c>
    </row>
    <row r="211" spans="1:18" ht="60" customHeight="1" x14ac:dyDescent="0.2">
      <c r="A211" s="16" t="s">
        <v>1254</v>
      </c>
      <c r="B211" s="16" t="s">
        <v>1255</v>
      </c>
      <c r="C211" s="16" t="s">
        <v>1170</v>
      </c>
      <c r="D211" s="16" t="s">
        <v>1186</v>
      </c>
      <c r="E211" s="16" t="s">
        <v>106</v>
      </c>
      <c r="F211" s="16" t="s">
        <v>107</v>
      </c>
      <c r="G211" s="16" t="s">
        <v>46</v>
      </c>
      <c r="H211" s="17" t="s">
        <v>1256</v>
      </c>
      <c r="I211" s="17" t="s">
        <v>1257</v>
      </c>
      <c r="J211" s="17" t="s">
        <v>1258</v>
      </c>
      <c r="K211" s="17" t="s">
        <v>1175</v>
      </c>
      <c r="L211" s="17" t="s">
        <v>111</v>
      </c>
      <c r="M211" s="17" t="s">
        <v>1243</v>
      </c>
      <c r="N211" s="16"/>
      <c r="O211" s="18">
        <v>46249</v>
      </c>
      <c r="P211" s="19" t="s">
        <v>34</v>
      </c>
      <c r="Q211" s="17"/>
      <c r="R211" s="19" t="str">
        <f t="shared" si="3"/>
        <v>Discovery Link Only</v>
      </c>
    </row>
    <row r="212" spans="1:18" ht="60" customHeight="1" x14ac:dyDescent="0.2">
      <c r="A212" s="16" t="s">
        <v>1259</v>
      </c>
      <c r="B212" s="16" t="s">
        <v>1260</v>
      </c>
      <c r="C212" s="16" t="s">
        <v>1170</v>
      </c>
      <c r="D212" s="16" t="s">
        <v>1186</v>
      </c>
      <c r="E212" s="16" t="s">
        <v>106</v>
      </c>
      <c r="F212" s="16" t="s">
        <v>107</v>
      </c>
      <c r="G212" s="16" t="s">
        <v>46</v>
      </c>
      <c r="H212" s="17" t="s">
        <v>1261</v>
      </c>
      <c r="I212" s="17" t="s">
        <v>1262</v>
      </c>
      <c r="J212" s="17" t="s">
        <v>1263</v>
      </c>
      <c r="K212" s="17" t="s">
        <v>1175</v>
      </c>
      <c r="L212" s="17" t="s">
        <v>111</v>
      </c>
      <c r="M212" s="17" t="s">
        <v>1243</v>
      </c>
      <c r="N212" s="16"/>
      <c r="O212" s="18">
        <v>46249</v>
      </c>
      <c r="P212" s="19" t="s">
        <v>34</v>
      </c>
      <c r="Q212" s="17"/>
      <c r="R212" s="19" t="str">
        <f t="shared" si="3"/>
        <v>Discovery Link Only</v>
      </c>
    </row>
    <row r="213" spans="1:18" ht="60" customHeight="1" x14ac:dyDescent="0.2">
      <c r="A213" s="16" t="s">
        <v>1264</v>
      </c>
      <c r="B213" s="16" t="s">
        <v>1265</v>
      </c>
      <c r="C213" s="16" t="s">
        <v>1170</v>
      </c>
      <c r="D213" s="16" t="s">
        <v>1186</v>
      </c>
      <c r="E213" s="16" t="s">
        <v>24</v>
      </c>
      <c r="F213" s="16" t="s">
        <v>121</v>
      </c>
      <c r="G213" s="16" t="s">
        <v>26</v>
      </c>
      <c r="H213" s="17" t="s">
        <v>1266</v>
      </c>
      <c r="I213" s="17" t="s">
        <v>1267</v>
      </c>
      <c r="J213" s="17" t="s">
        <v>1268</v>
      </c>
      <c r="K213" s="17" t="s">
        <v>1175</v>
      </c>
      <c r="L213" s="17" t="s">
        <v>111</v>
      </c>
      <c r="M213" s="17" t="s">
        <v>1243</v>
      </c>
      <c r="N213" s="16"/>
      <c r="O213" s="18">
        <v>46249</v>
      </c>
      <c r="P213" s="19" t="s">
        <v>34</v>
      </c>
      <c r="Q213" s="17"/>
      <c r="R213" s="19" t="str">
        <f t="shared" si="3"/>
        <v>Discovery Link Only</v>
      </c>
    </row>
    <row r="214" spans="1:18" ht="60" customHeight="1" x14ac:dyDescent="0.2">
      <c r="A214" s="16" t="s">
        <v>1269</v>
      </c>
      <c r="B214" s="16" t="s">
        <v>1270</v>
      </c>
      <c r="C214" s="16" t="s">
        <v>1170</v>
      </c>
      <c r="D214" s="16" t="s">
        <v>1271</v>
      </c>
      <c r="E214" s="16" t="s">
        <v>106</v>
      </c>
      <c r="F214" s="16" t="s">
        <v>107</v>
      </c>
      <c r="G214" s="16" t="s">
        <v>46</v>
      </c>
      <c r="H214" s="17" t="s">
        <v>1272</v>
      </c>
      <c r="I214" s="17" t="s">
        <v>1273</v>
      </c>
      <c r="J214" s="17" t="s">
        <v>1274</v>
      </c>
      <c r="K214" s="17" t="s">
        <v>1175</v>
      </c>
      <c r="L214" s="17" t="s">
        <v>111</v>
      </c>
      <c r="M214" s="17" t="s">
        <v>1243</v>
      </c>
      <c r="N214" s="16"/>
      <c r="O214" s="18">
        <v>46249</v>
      </c>
      <c r="P214" s="19" t="s">
        <v>34</v>
      </c>
      <c r="Q214" s="17"/>
      <c r="R214" s="19" t="str">
        <f t="shared" si="3"/>
        <v>Discovery Link Only</v>
      </c>
    </row>
    <row r="215" spans="1:18" ht="60" customHeight="1" x14ac:dyDescent="0.2">
      <c r="A215" s="16" t="s">
        <v>1275</v>
      </c>
      <c r="B215" s="16" t="s">
        <v>1276</v>
      </c>
      <c r="C215" s="16" t="s">
        <v>1170</v>
      </c>
      <c r="D215" s="16" t="s">
        <v>1271</v>
      </c>
      <c r="E215" s="16" t="s">
        <v>133</v>
      </c>
      <c r="F215" s="16" t="s">
        <v>107</v>
      </c>
      <c r="G215" s="16" t="s">
        <v>134</v>
      </c>
      <c r="H215" s="17" t="s">
        <v>1277</v>
      </c>
      <c r="I215" s="17" t="s">
        <v>1278</v>
      </c>
      <c r="J215" s="17" t="s">
        <v>1279</v>
      </c>
      <c r="K215" s="17" t="s">
        <v>1175</v>
      </c>
      <c r="L215" s="17" t="s">
        <v>111</v>
      </c>
      <c r="M215" s="17" t="s">
        <v>1243</v>
      </c>
      <c r="N215" s="16"/>
      <c r="O215" s="18">
        <v>46249</v>
      </c>
      <c r="P215" s="19" t="s">
        <v>34</v>
      </c>
      <c r="Q215" s="17"/>
      <c r="R215" s="19" t="str">
        <f t="shared" si="3"/>
        <v>Discovery Link Only</v>
      </c>
    </row>
    <row r="216" spans="1:18" ht="60" customHeight="1" x14ac:dyDescent="0.2">
      <c r="A216" s="16" t="s">
        <v>1280</v>
      </c>
      <c r="B216" s="16" t="s">
        <v>1281</v>
      </c>
      <c r="C216" s="16" t="s">
        <v>1170</v>
      </c>
      <c r="D216" s="16" t="s">
        <v>1271</v>
      </c>
      <c r="E216" s="16" t="s">
        <v>115</v>
      </c>
      <c r="F216" s="16" t="s">
        <v>127</v>
      </c>
      <c r="G216" s="16" t="s">
        <v>46</v>
      </c>
      <c r="H216" s="17" t="s">
        <v>1282</v>
      </c>
      <c r="I216" s="17" t="s">
        <v>1283</v>
      </c>
      <c r="J216" s="17" t="s">
        <v>1284</v>
      </c>
      <c r="K216" s="17" t="s">
        <v>1175</v>
      </c>
      <c r="L216" s="17" t="s">
        <v>111</v>
      </c>
      <c r="M216" s="17" t="s">
        <v>1243</v>
      </c>
      <c r="N216" s="16"/>
      <c r="O216" s="18">
        <v>46249</v>
      </c>
      <c r="P216" s="19" t="s">
        <v>34</v>
      </c>
      <c r="Q216" s="17"/>
      <c r="R216" s="19" t="str">
        <f t="shared" si="3"/>
        <v>Discovery Link Only</v>
      </c>
    </row>
    <row r="217" spans="1:18" ht="60" customHeight="1" x14ac:dyDescent="0.2">
      <c r="A217" s="16" t="s">
        <v>1285</v>
      </c>
      <c r="B217" s="16" t="s">
        <v>1286</v>
      </c>
      <c r="C217" s="16" t="s">
        <v>1170</v>
      </c>
      <c r="D217" s="16" t="s">
        <v>1213</v>
      </c>
      <c r="E217" s="16" t="s">
        <v>133</v>
      </c>
      <c r="F217" s="16" t="s">
        <v>107</v>
      </c>
      <c r="G217" s="16" t="s">
        <v>134</v>
      </c>
      <c r="H217" s="17" t="s">
        <v>1287</v>
      </c>
      <c r="I217" s="17" t="s">
        <v>1288</v>
      </c>
      <c r="J217" s="17" t="s">
        <v>1289</v>
      </c>
      <c r="K217" s="17" t="s">
        <v>1175</v>
      </c>
      <c r="L217" s="17" t="s">
        <v>111</v>
      </c>
      <c r="M217" s="17" t="s">
        <v>1243</v>
      </c>
      <c r="N217" s="16"/>
      <c r="O217" s="18">
        <v>46249</v>
      </c>
      <c r="P217" s="19" t="s">
        <v>34</v>
      </c>
      <c r="Q217" s="17"/>
      <c r="R217" s="19" t="str">
        <f t="shared" si="3"/>
        <v>Discovery Link Only</v>
      </c>
    </row>
    <row r="218" spans="1:18" ht="60" customHeight="1" x14ac:dyDescent="0.2">
      <c r="A218" s="16" t="s">
        <v>1290</v>
      </c>
      <c r="B218" s="16" t="s">
        <v>1291</v>
      </c>
      <c r="C218" s="16" t="s">
        <v>1170</v>
      </c>
      <c r="D218" s="16" t="s">
        <v>1213</v>
      </c>
      <c r="E218" s="16" t="s">
        <v>45</v>
      </c>
      <c r="F218" s="16" t="s">
        <v>107</v>
      </c>
      <c r="G218" s="16" t="s">
        <v>26</v>
      </c>
      <c r="H218" s="17" t="s">
        <v>1292</v>
      </c>
      <c r="I218" s="17" t="s">
        <v>1293</v>
      </c>
      <c r="J218" s="17" t="s">
        <v>1294</v>
      </c>
      <c r="K218" s="17" t="s">
        <v>1175</v>
      </c>
      <c r="L218" s="17" t="s">
        <v>111</v>
      </c>
      <c r="M218" s="17" t="s">
        <v>1243</v>
      </c>
      <c r="N218" s="16"/>
      <c r="O218" s="18">
        <v>46249</v>
      </c>
      <c r="P218" s="19" t="s">
        <v>34</v>
      </c>
      <c r="Q218" s="17"/>
      <c r="R218" s="19" t="str">
        <f t="shared" si="3"/>
        <v>Discovery Link Only</v>
      </c>
    </row>
    <row r="219" spans="1:18" ht="60" customHeight="1" x14ac:dyDescent="0.2">
      <c r="A219" s="16" t="s">
        <v>1295</v>
      </c>
      <c r="B219" s="16" t="s">
        <v>1296</v>
      </c>
      <c r="C219" s="16" t="s">
        <v>1170</v>
      </c>
      <c r="D219" s="16" t="s">
        <v>1226</v>
      </c>
      <c r="E219" s="16" t="s">
        <v>99</v>
      </c>
      <c r="F219" s="16" t="s">
        <v>121</v>
      </c>
      <c r="G219" s="16" t="s">
        <v>46</v>
      </c>
      <c r="H219" s="17" t="s">
        <v>1297</v>
      </c>
      <c r="I219" s="17" t="s">
        <v>1298</v>
      </c>
      <c r="J219" s="17" t="s">
        <v>1299</v>
      </c>
      <c r="K219" s="17" t="s">
        <v>1175</v>
      </c>
      <c r="L219" s="17" t="s">
        <v>111</v>
      </c>
      <c r="M219" s="17" t="s">
        <v>1243</v>
      </c>
      <c r="N219" s="16"/>
      <c r="O219" s="18">
        <v>46249</v>
      </c>
      <c r="P219" s="19" t="s">
        <v>34</v>
      </c>
      <c r="Q219" s="17"/>
      <c r="R219" s="19" t="str">
        <f t="shared" si="3"/>
        <v>Discovery Link Only</v>
      </c>
    </row>
    <row r="220" spans="1:18" ht="60" customHeight="1" x14ac:dyDescent="0.2">
      <c r="A220" s="16" t="s">
        <v>1300</v>
      </c>
      <c r="B220" s="16" t="s">
        <v>1301</v>
      </c>
      <c r="C220" s="16" t="s">
        <v>1170</v>
      </c>
      <c r="D220" s="16" t="s">
        <v>1302</v>
      </c>
      <c r="E220" s="16" t="s">
        <v>133</v>
      </c>
      <c r="F220" s="16" t="s">
        <v>121</v>
      </c>
      <c r="G220" s="16" t="s">
        <v>134</v>
      </c>
      <c r="H220" s="17" t="s">
        <v>1303</v>
      </c>
      <c r="I220" s="17" t="s">
        <v>1304</v>
      </c>
      <c r="J220" s="17" t="s">
        <v>1305</v>
      </c>
      <c r="K220" s="17" t="s">
        <v>1175</v>
      </c>
      <c r="L220" s="17" t="s">
        <v>111</v>
      </c>
      <c r="M220" s="17" t="s">
        <v>1243</v>
      </c>
      <c r="N220" s="16"/>
      <c r="O220" s="18">
        <v>46249</v>
      </c>
      <c r="P220" s="19" t="s">
        <v>34</v>
      </c>
      <c r="Q220" s="17"/>
      <c r="R220" s="19" t="str">
        <f t="shared" si="3"/>
        <v>Discovery Link Only</v>
      </c>
    </row>
    <row r="221" spans="1:18" ht="60" customHeight="1" x14ac:dyDescent="0.2">
      <c r="A221" s="16" t="s">
        <v>1306</v>
      </c>
      <c r="B221" s="16" t="s">
        <v>1307</v>
      </c>
      <c r="C221" s="16" t="s">
        <v>1170</v>
      </c>
      <c r="D221" s="16" t="s">
        <v>1233</v>
      </c>
      <c r="E221" s="16" t="s">
        <v>45</v>
      </c>
      <c r="F221" s="16" t="s">
        <v>194</v>
      </c>
      <c r="G221" s="16" t="s">
        <v>26</v>
      </c>
      <c r="H221" s="17" t="s">
        <v>1308</v>
      </c>
      <c r="I221" s="17" t="s">
        <v>1309</v>
      </c>
      <c r="J221" s="17" t="s">
        <v>1310</v>
      </c>
      <c r="K221" s="17" t="s">
        <v>1175</v>
      </c>
      <c r="L221" s="17" t="s">
        <v>111</v>
      </c>
      <c r="M221" s="17" t="s">
        <v>1243</v>
      </c>
      <c r="N221" s="16"/>
      <c r="O221" s="18">
        <v>46249</v>
      </c>
      <c r="P221" s="19" t="s">
        <v>34</v>
      </c>
      <c r="Q221" s="17"/>
      <c r="R221" s="19" t="str">
        <f t="shared" si="3"/>
        <v>Discovery Link Only</v>
      </c>
    </row>
    <row r="222" spans="1:18" ht="60" customHeight="1" x14ac:dyDescent="0.2">
      <c r="A222" s="16" t="s">
        <v>1311</v>
      </c>
      <c r="B222" s="16" t="s">
        <v>1312</v>
      </c>
      <c r="C222" s="16" t="s">
        <v>1170</v>
      </c>
      <c r="D222" s="16" t="s">
        <v>1313</v>
      </c>
      <c r="E222" s="16" t="s">
        <v>133</v>
      </c>
      <c r="F222" s="16" t="s">
        <v>107</v>
      </c>
      <c r="G222" s="16" t="s">
        <v>134</v>
      </c>
      <c r="H222" s="17" t="s">
        <v>1314</v>
      </c>
      <c r="I222" s="17" t="s">
        <v>1315</v>
      </c>
      <c r="J222" s="17" t="s">
        <v>1316</v>
      </c>
      <c r="K222" s="17" t="s">
        <v>1175</v>
      </c>
      <c r="L222" s="17" t="s">
        <v>111</v>
      </c>
      <c r="M222" s="17" t="s">
        <v>1243</v>
      </c>
      <c r="N222" s="16"/>
      <c r="O222" s="18">
        <v>46249</v>
      </c>
      <c r="P222" s="19" t="s">
        <v>34</v>
      </c>
      <c r="Q222" s="17"/>
      <c r="R222" s="19" t="str">
        <f t="shared" si="3"/>
        <v>Discovery Link Only</v>
      </c>
    </row>
    <row r="223" spans="1:18" ht="60" customHeight="1" x14ac:dyDescent="0.2">
      <c r="A223" s="16" t="s">
        <v>1317</v>
      </c>
      <c r="B223" s="16" t="s">
        <v>1318</v>
      </c>
      <c r="C223" s="16" t="s">
        <v>1170</v>
      </c>
      <c r="D223" s="16" t="s">
        <v>1206</v>
      </c>
      <c r="E223" s="16" t="s">
        <v>45</v>
      </c>
      <c r="F223" s="16" t="s">
        <v>194</v>
      </c>
      <c r="G223" s="16" t="s">
        <v>26</v>
      </c>
      <c r="H223" s="17" t="s">
        <v>1319</v>
      </c>
      <c r="I223" s="17" t="s">
        <v>1320</v>
      </c>
      <c r="J223" s="17" t="s">
        <v>1321</v>
      </c>
      <c r="K223" s="17" t="s">
        <v>1175</v>
      </c>
      <c r="L223" s="17" t="s">
        <v>111</v>
      </c>
      <c r="M223" s="17" t="s">
        <v>1243</v>
      </c>
      <c r="N223" s="16"/>
      <c r="O223" s="18">
        <v>46249</v>
      </c>
      <c r="P223" s="19" t="s">
        <v>34</v>
      </c>
      <c r="Q223" s="17"/>
      <c r="R223" s="19" t="str">
        <f t="shared" si="3"/>
        <v>Discovery Link Only</v>
      </c>
    </row>
    <row r="224" spans="1:18" ht="60" customHeight="1" x14ac:dyDescent="0.2">
      <c r="A224" s="16" t="s">
        <v>1322</v>
      </c>
      <c r="B224" s="16" t="s">
        <v>1323</v>
      </c>
      <c r="C224" s="16" t="s">
        <v>1170</v>
      </c>
      <c r="D224" s="16" t="s">
        <v>1324</v>
      </c>
      <c r="E224" s="16" t="s">
        <v>115</v>
      </c>
      <c r="F224" s="16" t="s">
        <v>107</v>
      </c>
      <c r="G224" s="16" t="s">
        <v>46</v>
      </c>
      <c r="H224" s="17" t="s">
        <v>1325</v>
      </c>
      <c r="I224" s="17" t="s">
        <v>1326</v>
      </c>
      <c r="J224" s="17" t="s">
        <v>1327</v>
      </c>
      <c r="K224" s="17" t="s">
        <v>1175</v>
      </c>
      <c r="L224" s="17" t="s">
        <v>111</v>
      </c>
      <c r="M224" s="17" t="s">
        <v>1243</v>
      </c>
      <c r="N224" s="16"/>
      <c r="O224" s="18">
        <v>46249</v>
      </c>
      <c r="P224" s="19" t="s">
        <v>34</v>
      </c>
      <c r="Q224" s="17"/>
      <c r="R224" s="19" t="str">
        <f t="shared" si="3"/>
        <v>Discovery Link Only</v>
      </c>
    </row>
    <row r="225" spans="1:18" ht="60" customHeight="1" x14ac:dyDescent="0.2">
      <c r="A225" s="16" t="s">
        <v>1328</v>
      </c>
      <c r="B225" s="16" t="s">
        <v>1329</v>
      </c>
      <c r="C225" s="16" t="s">
        <v>1170</v>
      </c>
      <c r="D225" s="16" t="s">
        <v>1171</v>
      </c>
      <c r="E225" s="16" t="s">
        <v>115</v>
      </c>
      <c r="F225" s="16" t="s">
        <v>121</v>
      </c>
      <c r="G225" s="16" t="s">
        <v>46</v>
      </c>
      <c r="H225" s="17" t="s">
        <v>1330</v>
      </c>
      <c r="I225" s="17" t="s">
        <v>1331</v>
      </c>
      <c r="J225" s="17" t="s">
        <v>1332</v>
      </c>
      <c r="K225" s="17" t="s">
        <v>1175</v>
      </c>
      <c r="L225" s="17" t="s">
        <v>111</v>
      </c>
      <c r="M225" s="17" t="s">
        <v>1243</v>
      </c>
      <c r="N225" s="16"/>
      <c r="O225" s="18">
        <v>46249</v>
      </c>
      <c r="P225" s="19" t="s">
        <v>34</v>
      </c>
      <c r="Q225" s="17"/>
      <c r="R225" s="19" t="str">
        <f t="shared" si="3"/>
        <v>Discovery Link Only</v>
      </c>
    </row>
    <row r="226" spans="1:18" ht="60" customHeight="1" x14ac:dyDescent="0.2">
      <c r="A226" s="16" t="s">
        <v>1333</v>
      </c>
      <c r="B226" s="16" t="s">
        <v>1334</v>
      </c>
      <c r="C226" s="16" t="s">
        <v>1170</v>
      </c>
      <c r="D226" s="16" t="s">
        <v>1335</v>
      </c>
      <c r="E226" s="16" t="s">
        <v>133</v>
      </c>
      <c r="F226" s="16" t="s">
        <v>107</v>
      </c>
      <c r="G226" s="16" t="s">
        <v>134</v>
      </c>
      <c r="H226" s="17" t="s">
        <v>1336</v>
      </c>
      <c r="I226" s="17" t="s">
        <v>1337</v>
      </c>
      <c r="J226" s="17" t="s">
        <v>1338</v>
      </c>
      <c r="K226" s="17" t="s">
        <v>1175</v>
      </c>
      <c r="L226" s="17" t="s">
        <v>111</v>
      </c>
      <c r="M226" s="17" t="s">
        <v>1243</v>
      </c>
      <c r="N226" s="16"/>
      <c r="O226" s="18">
        <v>46249</v>
      </c>
      <c r="P226" s="19" t="s">
        <v>34</v>
      </c>
      <c r="Q226" s="17"/>
      <c r="R226" s="19" t="str">
        <f t="shared" si="3"/>
        <v>Discovery Link Only</v>
      </c>
    </row>
    <row r="227" spans="1:18" ht="60" customHeight="1" x14ac:dyDescent="0.2">
      <c r="A227" s="16" t="s">
        <v>1339</v>
      </c>
      <c r="B227" s="16" t="s">
        <v>1340</v>
      </c>
      <c r="C227" s="16" t="s">
        <v>1341</v>
      </c>
      <c r="D227" s="16" t="s">
        <v>1342</v>
      </c>
      <c r="E227" s="16" t="s">
        <v>45</v>
      </c>
      <c r="F227" s="16" t="s">
        <v>25</v>
      </c>
      <c r="G227" s="16" t="s">
        <v>46</v>
      </c>
      <c r="H227" s="17" t="s">
        <v>1343</v>
      </c>
      <c r="I227" s="17" t="s">
        <v>1344</v>
      </c>
      <c r="J227" s="17" t="s">
        <v>1345</v>
      </c>
      <c r="K227" s="17" t="s">
        <v>1346</v>
      </c>
      <c r="L227" s="17" t="s">
        <v>58</v>
      </c>
      <c r="M227" s="17" t="s">
        <v>256</v>
      </c>
      <c r="N227" s="16" t="s">
        <v>1347</v>
      </c>
      <c r="O227" s="18">
        <v>46249</v>
      </c>
      <c r="P227" s="19" t="s">
        <v>34</v>
      </c>
      <c r="Q227" s="17"/>
      <c r="R227" s="19" t="str">
        <f t="shared" si="3"/>
        <v>Source Link Present</v>
      </c>
    </row>
    <row r="228" spans="1:18" ht="60" customHeight="1" x14ac:dyDescent="0.2">
      <c r="A228" s="16" t="s">
        <v>1348</v>
      </c>
      <c r="B228" s="16" t="s">
        <v>1349</v>
      </c>
      <c r="C228" s="16" t="s">
        <v>1341</v>
      </c>
      <c r="D228" s="16" t="s">
        <v>1350</v>
      </c>
      <c r="E228" s="16" t="s">
        <v>45</v>
      </c>
      <c r="F228" s="16" t="s">
        <v>25</v>
      </c>
      <c r="G228" s="16" t="s">
        <v>26</v>
      </c>
      <c r="H228" s="17" t="s">
        <v>1351</v>
      </c>
      <c r="I228" s="17" t="s">
        <v>1352</v>
      </c>
      <c r="J228" s="17" t="s">
        <v>1353</v>
      </c>
      <c r="K228" s="17" t="s">
        <v>1346</v>
      </c>
      <c r="L228" s="17" t="s">
        <v>58</v>
      </c>
      <c r="M228" s="17" t="s">
        <v>256</v>
      </c>
      <c r="N228" s="16" t="s">
        <v>1354</v>
      </c>
      <c r="O228" s="18">
        <v>46249</v>
      </c>
      <c r="P228" s="19" t="s">
        <v>34</v>
      </c>
      <c r="Q228" s="17"/>
      <c r="R228" s="19" t="str">
        <f t="shared" si="3"/>
        <v>Source Link Present</v>
      </c>
    </row>
    <row r="229" spans="1:18" ht="60" customHeight="1" x14ac:dyDescent="0.2">
      <c r="A229" s="16" t="s">
        <v>1355</v>
      </c>
      <c r="B229" s="16" t="s">
        <v>1356</v>
      </c>
      <c r="C229" s="16" t="s">
        <v>1341</v>
      </c>
      <c r="D229" s="16" t="s">
        <v>1357</v>
      </c>
      <c r="E229" s="16" t="s">
        <v>45</v>
      </c>
      <c r="F229" s="16" t="s">
        <v>25</v>
      </c>
      <c r="G229" s="16" t="s">
        <v>26</v>
      </c>
      <c r="H229" s="17" t="s">
        <v>1358</v>
      </c>
      <c r="I229" s="17" t="s">
        <v>1359</v>
      </c>
      <c r="J229" s="17" t="s">
        <v>1360</v>
      </c>
      <c r="K229" s="17" t="s">
        <v>1346</v>
      </c>
      <c r="L229" s="17" t="s">
        <v>58</v>
      </c>
      <c r="M229" s="17" t="s">
        <v>256</v>
      </c>
      <c r="N229" s="16" t="s">
        <v>1361</v>
      </c>
      <c r="O229" s="18">
        <v>46249</v>
      </c>
      <c r="P229" s="19" t="s">
        <v>34</v>
      </c>
      <c r="Q229" s="17"/>
      <c r="R229" s="19" t="str">
        <f t="shared" si="3"/>
        <v>Discovery Link Only</v>
      </c>
    </row>
    <row r="230" spans="1:18" ht="60" customHeight="1" x14ac:dyDescent="0.2">
      <c r="A230" s="16" t="s">
        <v>1362</v>
      </c>
      <c r="B230" s="16" t="s">
        <v>1363</v>
      </c>
      <c r="C230" s="16" t="s">
        <v>1341</v>
      </c>
      <c r="D230" s="16" t="s">
        <v>1357</v>
      </c>
      <c r="E230" s="16" t="s">
        <v>251</v>
      </c>
      <c r="F230" s="16" t="s">
        <v>25</v>
      </c>
      <c r="G230" s="16" t="s">
        <v>26</v>
      </c>
      <c r="H230" s="17" t="s">
        <v>1364</v>
      </c>
      <c r="I230" s="17" t="s">
        <v>1365</v>
      </c>
      <c r="J230" s="17" t="s">
        <v>1366</v>
      </c>
      <c r="K230" s="17" t="s">
        <v>1346</v>
      </c>
      <c r="L230" s="17" t="s">
        <v>58</v>
      </c>
      <c r="M230" s="17" t="s">
        <v>256</v>
      </c>
      <c r="N230" s="16" t="s">
        <v>1367</v>
      </c>
      <c r="O230" s="18">
        <v>46249</v>
      </c>
      <c r="P230" s="19" t="s">
        <v>34</v>
      </c>
      <c r="Q230" s="17"/>
      <c r="R230" s="19" t="str">
        <f t="shared" si="3"/>
        <v>Discovery Link Only</v>
      </c>
    </row>
    <row r="231" spans="1:18" ht="60" customHeight="1" x14ac:dyDescent="0.2">
      <c r="A231" s="16" t="s">
        <v>1368</v>
      </c>
      <c r="B231" s="16" t="s">
        <v>1369</v>
      </c>
      <c r="C231" s="16" t="s">
        <v>1341</v>
      </c>
      <c r="D231" s="16" t="s">
        <v>1370</v>
      </c>
      <c r="E231" s="16" t="s">
        <v>151</v>
      </c>
      <c r="F231" s="16" t="s">
        <v>121</v>
      </c>
      <c r="G231" s="16" t="s">
        <v>46</v>
      </c>
      <c r="H231" s="17" t="s">
        <v>1371</v>
      </c>
      <c r="I231" s="17" t="s">
        <v>1372</v>
      </c>
      <c r="J231" s="17" t="s">
        <v>1373</v>
      </c>
      <c r="K231" s="17" t="s">
        <v>1346</v>
      </c>
      <c r="L231" s="17" t="s">
        <v>58</v>
      </c>
      <c r="M231" s="17" t="s">
        <v>256</v>
      </c>
      <c r="N231" s="16" t="s">
        <v>1374</v>
      </c>
      <c r="O231" s="18">
        <v>46249</v>
      </c>
      <c r="P231" s="19" t="s">
        <v>34</v>
      </c>
      <c r="Q231" s="17"/>
      <c r="R231" s="19" t="str">
        <f t="shared" si="3"/>
        <v>Discovery Link Only</v>
      </c>
    </row>
    <row r="232" spans="1:18" ht="60" customHeight="1" x14ac:dyDescent="0.2">
      <c r="A232" s="16" t="s">
        <v>1375</v>
      </c>
      <c r="B232" s="16" t="s">
        <v>1376</v>
      </c>
      <c r="C232" s="16" t="s">
        <v>1341</v>
      </c>
      <c r="D232" s="16" t="s">
        <v>1377</v>
      </c>
      <c r="E232" s="16" t="s">
        <v>133</v>
      </c>
      <c r="F232" s="16" t="s">
        <v>25</v>
      </c>
      <c r="G232" s="16" t="s">
        <v>46</v>
      </c>
      <c r="H232" s="17" t="s">
        <v>1378</v>
      </c>
      <c r="I232" s="17" t="s">
        <v>1379</v>
      </c>
      <c r="J232" s="17" t="s">
        <v>1380</v>
      </c>
      <c r="K232" s="17" t="s">
        <v>1346</v>
      </c>
      <c r="L232" s="17" t="s">
        <v>58</v>
      </c>
      <c r="M232" s="17" t="s">
        <v>256</v>
      </c>
      <c r="N232" s="16" t="s">
        <v>1381</v>
      </c>
      <c r="O232" s="18">
        <v>46249</v>
      </c>
      <c r="P232" s="19" t="s">
        <v>34</v>
      </c>
      <c r="Q232" s="17"/>
      <c r="R232" s="19" t="str">
        <f t="shared" si="3"/>
        <v>Discovery Link Only</v>
      </c>
    </row>
    <row r="233" spans="1:18" ht="60" customHeight="1" x14ac:dyDescent="0.2">
      <c r="A233" s="16" t="s">
        <v>1382</v>
      </c>
      <c r="B233" s="16" t="s">
        <v>1383</v>
      </c>
      <c r="C233" s="16" t="s">
        <v>1341</v>
      </c>
      <c r="D233" s="16" t="s">
        <v>1384</v>
      </c>
      <c r="E233" s="16" t="s">
        <v>24</v>
      </c>
      <c r="F233" s="16" t="s">
        <v>25</v>
      </c>
      <c r="G233" s="16" t="s">
        <v>26</v>
      </c>
      <c r="H233" s="17" t="s">
        <v>1385</v>
      </c>
      <c r="I233" s="17" t="s">
        <v>1386</v>
      </c>
      <c r="J233" s="17" t="s">
        <v>1387</v>
      </c>
      <c r="K233" s="17" t="s">
        <v>1346</v>
      </c>
      <c r="L233" s="17" t="s">
        <v>58</v>
      </c>
      <c r="M233" s="17" t="s">
        <v>256</v>
      </c>
      <c r="N233" s="16" t="s">
        <v>1388</v>
      </c>
      <c r="O233" s="18">
        <v>46249</v>
      </c>
      <c r="P233" s="19" t="s">
        <v>34</v>
      </c>
      <c r="Q233" s="17"/>
      <c r="R233" s="19" t="str">
        <f t="shared" si="3"/>
        <v>Discovery Link Only</v>
      </c>
    </row>
    <row r="234" spans="1:18" ht="60" customHeight="1" x14ac:dyDescent="0.2">
      <c r="A234" s="16" t="s">
        <v>1389</v>
      </c>
      <c r="B234" s="16" t="s">
        <v>1390</v>
      </c>
      <c r="C234" s="16" t="s">
        <v>1341</v>
      </c>
      <c r="D234" s="16" t="s">
        <v>1391</v>
      </c>
      <c r="E234" s="16" t="s">
        <v>37</v>
      </c>
      <c r="F234" s="16" t="s">
        <v>25</v>
      </c>
      <c r="G234" s="16" t="s">
        <v>46</v>
      </c>
      <c r="H234" s="17" t="s">
        <v>1392</v>
      </c>
      <c r="I234" s="17" t="s">
        <v>1393</v>
      </c>
      <c r="J234" s="17" t="s">
        <v>1394</v>
      </c>
      <c r="K234" s="17" t="s">
        <v>1346</v>
      </c>
      <c r="L234" s="17" t="s">
        <v>58</v>
      </c>
      <c r="M234" s="17" t="s">
        <v>256</v>
      </c>
      <c r="N234" s="16" t="s">
        <v>1395</v>
      </c>
      <c r="O234" s="18">
        <v>46249</v>
      </c>
      <c r="P234" s="19" t="s">
        <v>34</v>
      </c>
      <c r="Q234" s="17"/>
      <c r="R234" s="19" t="str">
        <f t="shared" si="3"/>
        <v>Discovery Link Only</v>
      </c>
    </row>
    <row r="235" spans="1:18" ht="60" customHeight="1" x14ac:dyDescent="0.2">
      <c r="A235" s="16" t="s">
        <v>1396</v>
      </c>
      <c r="B235" s="16" t="s">
        <v>1397</v>
      </c>
      <c r="C235" s="16" t="s">
        <v>1341</v>
      </c>
      <c r="D235" s="16" t="s">
        <v>1377</v>
      </c>
      <c r="E235" s="16" t="s">
        <v>106</v>
      </c>
      <c r="F235" s="16" t="s">
        <v>25</v>
      </c>
      <c r="G235" s="16" t="s">
        <v>46</v>
      </c>
      <c r="H235" s="17" t="s">
        <v>1398</v>
      </c>
      <c r="I235" s="17" t="s">
        <v>1399</v>
      </c>
      <c r="J235" s="17" t="s">
        <v>1400</v>
      </c>
      <c r="K235" s="17" t="s">
        <v>1346</v>
      </c>
      <c r="L235" s="17" t="s">
        <v>58</v>
      </c>
      <c r="M235" s="17" t="s">
        <v>256</v>
      </c>
      <c r="N235" s="16" t="s">
        <v>1401</v>
      </c>
      <c r="O235" s="18">
        <v>46249</v>
      </c>
      <c r="P235" s="19" t="s">
        <v>34</v>
      </c>
      <c r="Q235" s="17"/>
      <c r="R235" s="19" t="str">
        <f t="shared" si="3"/>
        <v>Discovery Link Only</v>
      </c>
    </row>
    <row r="236" spans="1:18" ht="60" customHeight="1" x14ac:dyDescent="0.2">
      <c r="A236" s="16" t="s">
        <v>1402</v>
      </c>
      <c r="B236" s="16" t="s">
        <v>1403</v>
      </c>
      <c r="C236" s="16" t="s">
        <v>1341</v>
      </c>
      <c r="D236" s="16" t="s">
        <v>1391</v>
      </c>
      <c r="E236" s="16" t="s">
        <v>45</v>
      </c>
      <c r="F236" s="16" t="s">
        <v>25</v>
      </c>
      <c r="G236" s="16" t="s">
        <v>26</v>
      </c>
      <c r="H236" s="17" t="s">
        <v>1404</v>
      </c>
      <c r="I236" s="17" t="s">
        <v>1405</v>
      </c>
      <c r="J236" s="17" t="s">
        <v>1406</v>
      </c>
      <c r="K236" s="17" t="s">
        <v>1346</v>
      </c>
      <c r="L236" s="17" t="s">
        <v>58</v>
      </c>
      <c r="M236" s="17" t="s">
        <v>256</v>
      </c>
      <c r="N236" s="16" t="s">
        <v>1407</v>
      </c>
      <c r="O236" s="18">
        <v>46249</v>
      </c>
      <c r="P236" s="19" t="s">
        <v>34</v>
      </c>
      <c r="Q236" s="17"/>
      <c r="R236" s="19" t="str">
        <f t="shared" si="3"/>
        <v>Discovery Link Only</v>
      </c>
    </row>
    <row r="237" spans="1:18" ht="60" customHeight="1" x14ac:dyDescent="0.2">
      <c r="A237" s="16" t="s">
        <v>1408</v>
      </c>
      <c r="B237" s="16" t="s">
        <v>1356</v>
      </c>
      <c r="C237" s="16" t="s">
        <v>1341</v>
      </c>
      <c r="D237" s="16" t="s">
        <v>1357</v>
      </c>
      <c r="E237" s="16" t="s">
        <v>45</v>
      </c>
      <c r="F237" s="16" t="s">
        <v>107</v>
      </c>
      <c r="G237" s="16" t="s">
        <v>26</v>
      </c>
      <c r="H237" s="17" t="s">
        <v>1409</v>
      </c>
      <c r="I237" s="17" t="s">
        <v>1410</v>
      </c>
      <c r="J237" s="17" t="s">
        <v>1411</v>
      </c>
      <c r="K237" s="17" t="s">
        <v>1346</v>
      </c>
      <c r="L237" s="17" t="s">
        <v>111</v>
      </c>
      <c r="M237" s="17" t="s">
        <v>1412</v>
      </c>
      <c r="N237" s="16"/>
      <c r="O237" s="18">
        <v>46249</v>
      </c>
      <c r="P237" s="19" t="s">
        <v>1413</v>
      </c>
      <c r="Q237" s="17" t="s">
        <v>1414</v>
      </c>
      <c r="R237" s="19" t="str">
        <f t="shared" si="3"/>
        <v>Discovery Link Only</v>
      </c>
    </row>
    <row r="238" spans="1:18" ht="60" customHeight="1" x14ac:dyDescent="0.2">
      <c r="A238" s="16" t="s">
        <v>1415</v>
      </c>
      <c r="B238" s="16" t="s">
        <v>1416</v>
      </c>
      <c r="C238" s="16" t="s">
        <v>1341</v>
      </c>
      <c r="D238" s="16" t="s">
        <v>1350</v>
      </c>
      <c r="E238" s="16" t="s">
        <v>45</v>
      </c>
      <c r="F238" s="16" t="s">
        <v>121</v>
      </c>
      <c r="G238" s="16" t="s">
        <v>26</v>
      </c>
      <c r="H238" s="17" t="s">
        <v>1417</v>
      </c>
      <c r="I238" s="17" t="s">
        <v>1418</v>
      </c>
      <c r="J238" s="17" t="s">
        <v>1419</v>
      </c>
      <c r="K238" s="17" t="s">
        <v>1346</v>
      </c>
      <c r="L238" s="17" t="s">
        <v>111</v>
      </c>
      <c r="M238" s="17" t="s">
        <v>1412</v>
      </c>
      <c r="N238" s="16"/>
      <c r="O238" s="18">
        <v>46249</v>
      </c>
      <c r="P238" s="19" t="s">
        <v>34</v>
      </c>
      <c r="Q238" s="17"/>
      <c r="R238" s="19" t="str">
        <f t="shared" si="3"/>
        <v>Discovery Link Only</v>
      </c>
    </row>
    <row r="239" spans="1:18" ht="60" customHeight="1" x14ac:dyDescent="0.2">
      <c r="A239" s="16" t="s">
        <v>1420</v>
      </c>
      <c r="B239" s="16" t="s">
        <v>1421</v>
      </c>
      <c r="C239" s="16" t="s">
        <v>1341</v>
      </c>
      <c r="D239" s="16" t="s">
        <v>1377</v>
      </c>
      <c r="E239" s="16" t="s">
        <v>140</v>
      </c>
      <c r="F239" s="16" t="s">
        <v>121</v>
      </c>
      <c r="G239" s="16" t="s">
        <v>46</v>
      </c>
      <c r="H239" s="17" t="s">
        <v>1422</v>
      </c>
      <c r="I239" s="17" t="s">
        <v>1423</v>
      </c>
      <c r="J239" s="17" t="s">
        <v>1424</v>
      </c>
      <c r="K239" s="17" t="s">
        <v>1346</v>
      </c>
      <c r="L239" s="17" t="s">
        <v>111</v>
      </c>
      <c r="M239" s="17" t="s">
        <v>1412</v>
      </c>
      <c r="N239" s="16"/>
      <c r="O239" s="18">
        <v>46249</v>
      </c>
      <c r="P239" s="19" t="s">
        <v>34</v>
      </c>
      <c r="Q239" s="17"/>
      <c r="R239" s="19" t="str">
        <f t="shared" si="3"/>
        <v>Discovery Link Only</v>
      </c>
    </row>
    <row r="240" spans="1:18" ht="60" customHeight="1" x14ac:dyDescent="0.2">
      <c r="A240" s="16" t="s">
        <v>1425</v>
      </c>
      <c r="B240" s="16" t="s">
        <v>1426</v>
      </c>
      <c r="C240" s="16" t="s">
        <v>1341</v>
      </c>
      <c r="D240" s="16" t="s">
        <v>1427</v>
      </c>
      <c r="E240" s="16" t="s">
        <v>133</v>
      </c>
      <c r="F240" s="16" t="s">
        <v>121</v>
      </c>
      <c r="G240" s="16" t="s">
        <v>134</v>
      </c>
      <c r="H240" s="17" t="s">
        <v>787</v>
      </c>
      <c r="I240" s="17" t="s">
        <v>1428</v>
      </c>
      <c r="J240" s="17" t="s">
        <v>1429</v>
      </c>
      <c r="K240" s="17" t="s">
        <v>1346</v>
      </c>
      <c r="L240" s="17" t="s">
        <v>111</v>
      </c>
      <c r="M240" s="17" t="s">
        <v>1412</v>
      </c>
      <c r="N240" s="16"/>
      <c r="O240" s="18">
        <v>46249</v>
      </c>
      <c r="P240" s="19" t="s">
        <v>34</v>
      </c>
      <c r="Q240" s="17"/>
      <c r="R240" s="19" t="str">
        <f t="shared" si="3"/>
        <v>Discovery Link Only</v>
      </c>
    </row>
    <row r="241" spans="1:18" ht="60" customHeight="1" x14ac:dyDescent="0.2">
      <c r="A241" s="16" t="s">
        <v>1430</v>
      </c>
      <c r="B241" s="16" t="s">
        <v>1431</v>
      </c>
      <c r="C241" s="16" t="s">
        <v>1341</v>
      </c>
      <c r="D241" s="16" t="s">
        <v>1427</v>
      </c>
      <c r="E241" s="16" t="s">
        <v>115</v>
      </c>
      <c r="F241" s="16" t="s">
        <v>127</v>
      </c>
      <c r="G241" s="16" t="s">
        <v>46</v>
      </c>
      <c r="H241" s="17" t="s">
        <v>1432</v>
      </c>
      <c r="I241" s="17" t="s">
        <v>1433</v>
      </c>
      <c r="J241" s="17" t="s">
        <v>1434</v>
      </c>
      <c r="K241" s="17" t="s">
        <v>1346</v>
      </c>
      <c r="L241" s="17" t="s">
        <v>111</v>
      </c>
      <c r="M241" s="17" t="s">
        <v>1412</v>
      </c>
      <c r="N241" s="16"/>
      <c r="O241" s="18">
        <v>46249</v>
      </c>
      <c r="P241" s="19" t="s">
        <v>34</v>
      </c>
      <c r="Q241" s="17"/>
      <c r="R241" s="19" t="str">
        <f t="shared" si="3"/>
        <v>Discovery Link Only</v>
      </c>
    </row>
    <row r="242" spans="1:18" ht="60" customHeight="1" x14ac:dyDescent="0.2">
      <c r="A242" s="16" t="s">
        <v>1435</v>
      </c>
      <c r="B242" s="16" t="s">
        <v>1436</v>
      </c>
      <c r="C242" s="16" t="s">
        <v>1341</v>
      </c>
      <c r="D242" s="16" t="s">
        <v>1384</v>
      </c>
      <c r="E242" s="16" t="s">
        <v>106</v>
      </c>
      <c r="F242" s="16" t="s">
        <v>121</v>
      </c>
      <c r="G242" s="16" t="s">
        <v>46</v>
      </c>
      <c r="H242" s="17" t="s">
        <v>1437</v>
      </c>
      <c r="I242" s="17" t="s">
        <v>1438</v>
      </c>
      <c r="J242" s="17" t="s">
        <v>1439</v>
      </c>
      <c r="K242" s="17" t="s">
        <v>1346</v>
      </c>
      <c r="L242" s="17" t="s">
        <v>111</v>
      </c>
      <c r="M242" s="17" t="s">
        <v>1412</v>
      </c>
      <c r="N242" s="16"/>
      <c r="O242" s="18">
        <v>46249</v>
      </c>
      <c r="P242" s="19" t="s">
        <v>34</v>
      </c>
      <c r="Q242" s="17"/>
      <c r="R242" s="19" t="str">
        <f t="shared" si="3"/>
        <v>Discovery Link Only</v>
      </c>
    </row>
    <row r="243" spans="1:18" ht="60" customHeight="1" x14ac:dyDescent="0.2">
      <c r="A243" s="16" t="s">
        <v>1440</v>
      </c>
      <c r="B243" s="16" t="s">
        <v>1441</v>
      </c>
      <c r="C243" s="16" t="s">
        <v>1341</v>
      </c>
      <c r="D243" s="16" t="s">
        <v>1384</v>
      </c>
      <c r="E243" s="16" t="s">
        <v>24</v>
      </c>
      <c r="F243" s="16" t="s">
        <v>121</v>
      </c>
      <c r="G243" s="16" t="s">
        <v>26</v>
      </c>
      <c r="H243" s="17" t="s">
        <v>1442</v>
      </c>
      <c r="I243" s="17" t="s">
        <v>1443</v>
      </c>
      <c r="J243" s="17" t="s">
        <v>1444</v>
      </c>
      <c r="K243" s="17" t="s">
        <v>1346</v>
      </c>
      <c r="L243" s="17" t="s">
        <v>111</v>
      </c>
      <c r="M243" s="17" t="s">
        <v>1412</v>
      </c>
      <c r="N243" s="16"/>
      <c r="O243" s="18">
        <v>46249</v>
      </c>
      <c r="P243" s="19" t="s">
        <v>34</v>
      </c>
      <c r="Q243" s="17"/>
      <c r="R243" s="19" t="str">
        <f t="shared" si="3"/>
        <v>Discovery Link Only</v>
      </c>
    </row>
    <row r="244" spans="1:18" ht="60" customHeight="1" x14ac:dyDescent="0.2">
      <c r="A244" s="16" t="s">
        <v>1445</v>
      </c>
      <c r="B244" s="16" t="s">
        <v>1446</v>
      </c>
      <c r="C244" s="16" t="s">
        <v>1341</v>
      </c>
      <c r="D244" s="16" t="s">
        <v>1447</v>
      </c>
      <c r="E244" s="16" t="s">
        <v>251</v>
      </c>
      <c r="F244" s="16" t="s">
        <v>107</v>
      </c>
      <c r="G244" s="16" t="s">
        <v>26</v>
      </c>
      <c r="H244" s="17" t="s">
        <v>1448</v>
      </c>
      <c r="I244" s="17" t="s">
        <v>1449</v>
      </c>
      <c r="J244" s="17" t="s">
        <v>1450</v>
      </c>
      <c r="K244" s="17" t="s">
        <v>1346</v>
      </c>
      <c r="L244" s="17" t="s">
        <v>111</v>
      </c>
      <c r="M244" s="17" t="s">
        <v>1412</v>
      </c>
      <c r="N244" s="16"/>
      <c r="O244" s="18">
        <v>46249</v>
      </c>
      <c r="P244" s="19" t="s">
        <v>34</v>
      </c>
      <c r="Q244" s="17"/>
      <c r="R244" s="19" t="str">
        <f t="shared" si="3"/>
        <v>Discovery Link Only</v>
      </c>
    </row>
    <row r="245" spans="1:18" ht="60" customHeight="1" x14ac:dyDescent="0.2">
      <c r="A245" s="16" t="s">
        <v>1451</v>
      </c>
      <c r="B245" s="16" t="s">
        <v>1452</v>
      </c>
      <c r="C245" s="16" t="s">
        <v>1341</v>
      </c>
      <c r="D245" s="16" t="s">
        <v>1447</v>
      </c>
      <c r="E245" s="16" t="s">
        <v>251</v>
      </c>
      <c r="F245" s="16" t="s">
        <v>127</v>
      </c>
      <c r="G245" s="16" t="s">
        <v>26</v>
      </c>
      <c r="H245" s="17" t="s">
        <v>1453</v>
      </c>
      <c r="I245" s="17" t="s">
        <v>1454</v>
      </c>
      <c r="J245" s="17" t="s">
        <v>1455</v>
      </c>
      <c r="K245" s="17" t="s">
        <v>1346</v>
      </c>
      <c r="L245" s="17" t="s">
        <v>111</v>
      </c>
      <c r="M245" s="17" t="s">
        <v>1412</v>
      </c>
      <c r="N245" s="16"/>
      <c r="O245" s="18">
        <v>46249</v>
      </c>
      <c r="P245" s="19" t="s">
        <v>34</v>
      </c>
      <c r="Q245" s="17"/>
      <c r="R245" s="19" t="str">
        <f t="shared" si="3"/>
        <v>Discovery Link Only</v>
      </c>
    </row>
    <row r="246" spans="1:18" ht="60" customHeight="1" x14ac:dyDescent="0.2">
      <c r="A246" s="16" t="s">
        <v>1456</v>
      </c>
      <c r="B246" s="16" t="s">
        <v>1457</v>
      </c>
      <c r="C246" s="16" t="s">
        <v>1341</v>
      </c>
      <c r="D246" s="16" t="s">
        <v>1458</v>
      </c>
      <c r="E246" s="16" t="s">
        <v>162</v>
      </c>
      <c r="F246" s="16" t="s">
        <v>194</v>
      </c>
      <c r="G246" s="16" t="s">
        <v>46</v>
      </c>
      <c r="H246" s="17" t="s">
        <v>1459</v>
      </c>
      <c r="I246" s="17" t="s">
        <v>1460</v>
      </c>
      <c r="J246" s="17" t="s">
        <v>1461</v>
      </c>
      <c r="K246" s="17" t="s">
        <v>1346</v>
      </c>
      <c r="L246" s="17" t="s">
        <v>111</v>
      </c>
      <c r="M246" s="17" t="s">
        <v>1412</v>
      </c>
      <c r="N246" s="16"/>
      <c r="O246" s="18">
        <v>46249</v>
      </c>
      <c r="P246" s="19" t="s">
        <v>34</v>
      </c>
      <c r="Q246" s="17"/>
      <c r="R246" s="19" t="str">
        <f t="shared" si="3"/>
        <v>Discovery Link Only</v>
      </c>
    </row>
    <row r="247" spans="1:18" ht="60" customHeight="1" x14ac:dyDescent="0.2">
      <c r="A247" s="16" t="s">
        <v>1462</v>
      </c>
      <c r="B247" s="16" t="s">
        <v>1463</v>
      </c>
      <c r="C247" s="16" t="s">
        <v>1341</v>
      </c>
      <c r="D247" s="16" t="s">
        <v>1464</v>
      </c>
      <c r="E247" s="16" t="s">
        <v>162</v>
      </c>
      <c r="F247" s="16" t="s">
        <v>1465</v>
      </c>
      <c r="G247" s="16" t="s">
        <v>46</v>
      </c>
      <c r="H247" s="17" t="s">
        <v>1466</v>
      </c>
      <c r="I247" s="17" t="s">
        <v>1467</v>
      </c>
      <c r="J247" s="17" t="s">
        <v>1468</v>
      </c>
      <c r="K247" s="17" t="s">
        <v>1346</v>
      </c>
      <c r="L247" s="17" t="s">
        <v>111</v>
      </c>
      <c r="M247" s="17" t="s">
        <v>1412</v>
      </c>
      <c r="N247" s="16"/>
      <c r="O247" s="18">
        <v>46249</v>
      </c>
      <c r="P247" s="19" t="s">
        <v>34</v>
      </c>
      <c r="Q247" s="17"/>
      <c r="R247" s="19" t="str">
        <f t="shared" si="3"/>
        <v>Discovery Link Only</v>
      </c>
    </row>
    <row r="248" spans="1:18" ht="60" customHeight="1" x14ac:dyDescent="0.2">
      <c r="A248" s="16" t="s">
        <v>1469</v>
      </c>
      <c r="B248" s="16" t="s">
        <v>1470</v>
      </c>
      <c r="C248" s="16" t="s">
        <v>1471</v>
      </c>
      <c r="D248" s="16" t="s">
        <v>1472</v>
      </c>
      <c r="E248" s="16" t="s">
        <v>45</v>
      </c>
      <c r="F248" s="16" t="s">
        <v>25</v>
      </c>
      <c r="G248" s="16" t="s">
        <v>46</v>
      </c>
      <c r="H248" s="17" t="s">
        <v>1473</v>
      </c>
      <c r="I248" s="17" t="s">
        <v>1474</v>
      </c>
      <c r="J248" s="17" t="s">
        <v>1475</v>
      </c>
      <c r="K248" s="17" t="s">
        <v>1476</v>
      </c>
      <c r="L248" s="17" t="s">
        <v>58</v>
      </c>
      <c r="M248" s="17" t="s">
        <v>256</v>
      </c>
      <c r="N248" s="16" t="s">
        <v>1477</v>
      </c>
      <c r="O248" s="18">
        <v>46249</v>
      </c>
      <c r="P248" s="19" t="s">
        <v>34</v>
      </c>
      <c r="Q248" s="17"/>
      <c r="R248" s="19" t="str">
        <f t="shared" si="3"/>
        <v>Source Link Present</v>
      </c>
    </row>
    <row r="249" spans="1:18" ht="60" customHeight="1" x14ac:dyDescent="0.2">
      <c r="A249" s="16" t="s">
        <v>1478</v>
      </c>
      <c r="B249" s="16" t="s">
        <v>1479</v>
      </c>
      <c r="C249" s="16" t="s">
        <v>1471</v>
      </c>
      <c r="D249" s="16" t="s">
        <v>1480</v>
      </c>
      <c r="E249" s="16" t="s">
        <v>72</v>
      </c>
      <c r="F249" s="16" t="s">
        <v>25</v>
      </c>
      <c r="G249" s="16" t="s">
        <v>26</v>
      </c>
      <c r="H249" s="17" t="s">
        <v>1481</v>
      </c>
      <c r="I249" s="17" t="s">
        <v>1482</v>
      </c>
      <c r="J249" s="17" t="s">
        <v>1483</v>
      </c>
      <c r="K249" s="17" t="s">
        <v>1476</v>
      </c>
      <c r="L249" s="17" t="s">
        <v>58</v>
      </c>
      <c r="M249" s="17" t="s">
        <v>256</v>
      </c>
      <c r="N249" s="16" t="s">
        <v>1484</v>
      </c>
      <c r="O249" s="18">
        <v>46249</v>
      </c>
      <c r="P249" s="19" t="s">
        <v>34</v>
      </c>
      <c r="Q249" s="17"/>
      <c r="R249" s="19" t="str">
        <f t="shared" si="3"/>
        <v>Source Link Present</v>
      </c>
    </row>
    <row r="250" spans="1:18" ht="60" customHeight="1" x14ac:dyDescent="0.2">
      <c r="A250" s="16" t="s">
        <v>1485</v>
      </c>
      <c r="B250" s="16" t="s">
        <v>1486</v>
      </c>
      <c r="C250" s="16" t="s">
        <v>1471</v>
      </c>
      <c r="D250" s="16" t="s">
        <v>1487</v>
      </c>
      <c r="E250" s="16" t="s">
        <v>72</v>
      </c>
      <c r="F250" s="16" t="s">
        <v>25</v>
      </c>
      <c r="G250" s="16" t="s">
        <v>26</v>
      </c>
      <c r="H250" s="17" t="s">
        <v>1488</v>
      </c>
      <c r="I250" s="17" t="s">
        <v>1489</v>
      </c>
      <c r="J250" s="17" t="s">
        <v>1490</v>
      </c>
      <c r="K250" s="17" t="s">
        <v>1476</v>
      </c>
      <c r="L250" s="17" t="s">
        <v>58</v>
      </c>
      <c r="M250" s="17" t="s">
        <v>256</v>
      </c>
      <c r="N250" s="16" t="s">
        <v>1491</v>
      </c>
      <c r="O250" s="18">
        <v>46249</v>
      </c>
      <c r="P250" s="19" t="s">
        <v>34</v>
      </c>
      <c r="Q250" s="17"/>
      <c r="R250" s="19" t="str">
        <f t="shared" si="3"/>
        <v>Discovery Link Only</v>
      </c>
    </row>
    <row r="251" spans="1:18" ht="60" customHeight="1" x14ac:dyDescent="0.2">
      <c r="A251" s="16" t="s">
        <v>1492</v>
      </c>
      <c r="B251" s="16" t="s">
        <v>1493</v>
      </c>
      <c r="C251" s="16" t="s">
        <v>1471</v>
      </c>
      <c r="D251" s="16" t="s">
        <v>1494</v>
      </c>
      <c r="E251" s="16" t="s">
        <v>37</v>
      </c>
      <c r="F251" s="16" t="s">
        <v>25</v>
      </c>
      <c r="G251" s="16" t="s">
        <v>46</v>
      </c>
      <c r="H251" s="17" t="s">
        <v>2629</v>
      </c>
      <c r="I251" s="17" t="s">
        <v>2630</v>
      </c>
      <c r="J251" s="17" t="s">
        <v>1495</v>
      </c>
      <c r="K251" s="17" t="s">
        <v>1476</v>
      </c>
      <c r="L251" s="17" t="s">
        <v>58</v>
      </c>
      <c r="M251" s="17" t="s">
        <v>256</v>
      </c>
      <c r="N251" s="16" t="s">
        <v>1496</v>
      </c>
      <c r="O251" s="18">
        <v>46249</v>
      </c>
      <c r="P251" s="19" t="s">
        <v>34</v>
      </c>
      <c r="Q251" s="17"/>
      <c r="R251" s="19" t="str">
        <f t="shared" si="3"/>
        <v>Discovery Link Only</v>
      </c>
    </row>
    <row r="252" spans="1:18" ht="60" customHeight="1" x14ac:dyDescent="0.2">
      <c r="A252" s="16" t="s">
        <v>1497</v>
      </c>
      <c r="B252" s="16" t="s">
        <v>1498</v>
      </c>
      <c r="C252" s="16" t="s">
        <v>1471</v>
      </c>
      <c r="D252" s="16" t="s">
        <v>1487</v>
      </c>
      <c r="E252" s="16" t="s">
        <v>133</v>
      </c>
      <c r="F252" s="16" t="s">
        <v>25</v>
      </c>
      <c r="G252" s="16" t="s">
        <v>46</v>
      </c>
      <c r="H252" s="17" t="s">
        <v>1499</v>
      </c>
      <c r="I252" s="17" t="s">
        <v>1500</v>
      </c>
      <c r="J252" s="17" t="s">
        <v>1501</v>
      </c>
      <c r="K252" s="17" t="s">
        <v>1476</v>
      </c>
      <c r="L252" s="17" t="s">
        <v>58</v>
      </c>
      <c r="M252" s="17" t="s">
        <v>256</v>
      </c>
      <c r="N252" s="16" t="s">
        <v>1502</v>
      </c>
      <c r="O252" s="18">
        <v>46249</v>
      </c>
      <c r="P252" s="19" t="s">
        <v>34</v>
      </c>
      <c r="Q252" s="17"/>
      <c r="R252" s="19" t="str">
        <f t="shared" si="3"/>
        <v>Discovery Link Only</v>
      </c>
    </row>
    <row r="253" spans="1:18" ht="60" customHeight="1" x14ac:dyDescent="0.2">
      <c r="A253" s="16" t="s">
        <v>1503</v>
      </c>
      <c r="B253" s="16" t="s">
        <v>1504</v>
      </c>
      <c r="C253" s="16" t="s">
        <v>1471</v>
      </c>
      <c r="D253" s="16" t="s">
        <v>1487</v>
      </c>
      <c r="E253" s="16" t="s">
        <v>99</v>
      </c>
      <c r="F253" s="16" t="s">
        <v>121</v>
      </c>
      <c r="G253" s="16" t="s">
        <v>46</v>
      </c>
      <c r="H253" s="17" t="s">
        <v>1505</v>
      </c>
      <c r="I253" s="17" t="s">
        <v>1506</v>
      </c>
      <c r="J253" s="17" t="s">
        <v>1507</v>
      </c>
      <c r="K253" s="17" t="s">
        <v>1476</v>
      </c>
      <c r="L253" s="17" t="s">
        <v>58</v>
      </c>
      <c r="M253" s="17" t="s">
        <v>256</v>
      </c>
      <c r="N253" s="16" t="s">
        <v>1508</v>
      </c>
      <c r="O253" s="18">
        <v>46249</v>
      </c>
      <c r="P253" s="19" t="s">
        <v>34</v>
      </c>
      <c r="Q253" s="17"/>
      <c r="R253" s="19" t="str">
        <f t="shared" si="3"/>
        <v>Discovery Link Only</v>
      </c>
    </row>
    <row r="254" spans="1:18" ht="60" customHeight="1" x14ac:dyDescent="0.2">
      <c r="A254" s="16" t="s">
        <v>1509</v>
      </c>
      <c r="B254" s="16" t="s">
        <v>1510</v>
      </c>
      <c r="C254" s="16" t="s">
        <v>1471</v>
      </c>
      <c r="D254" s="16" t="s">
        <v>1511</v>
      </c>
      <c r="E254" s="16" t="s">
        <v>394</v>
      </c>
      <c r="F254" s="16" t="s">
        <v>25</v>
      </c>
      <c r="G254" s="16" t="s">
        <v>26</v>
      </c>
      <c r="H254" s="17" t="s">
        <v>1512</v>
      </c>
      <c r="I254" s="17" t="s">
        <v>1513</v>
      </c>
      <c r="J254" s="17" t="s">
        <v>1514</v>
      </c>
      <c r="K254" s="17" t="s">
        <v>1476</v>
      </c>
      <c r="L254" s="17" t="s">
        <v>58</v>
      </c>
      <c r="M254" s="17" t="s">
        <v>256</v>
      </c>
      <c r="N254" s="16" t="s">
        <v>1515</v>
      </c>
      <c r="O254" s="18">
        <v>46249</v>
      </c>
      <c r="P254" s="19" t="s">
        <v>34</v>
      </c>
      <c r="Q254" s="17"/>
      <c r="R254" s="19" t="str">
        <f t="shared" si="3"/>
        <v>Discovery Link Only</v>
      </c>
    </row>
    <row r="255" spans="1:18" ht="60" customHeight="1" x14ac:dyDescent="0.2">
      <c r="A255" s="16" t="s">
        <v>1516</v>
      </c>
      <c r="B255" s="16" t="s">
        <v>1517</v>
      </c>
      <c r="C255" s="16" t="s">
        <v>1471</v>
      </c>
      <c r="D255" s="16" t="s">
        <v>1518</v>
      </c>
      <c r="E255" s="16" t="s">
        <v>45</v>
      </c>
      <c r="F255" s="16" t="s">
        <v>25</v>
      </c>
      <c r="G255" s="16" t="s">
        <v>26</v>
      </c>
      <c r="H255" s="17" t="s">
        <v>1519</v>
      </c>
      <c r="I255" s="17" t="s">
        <v>1520</v>
      </c>
      <c r="J255" s="17" t="s">
        <v>1521</v>
      </c>
      <c r="K255" s="17" t="s">
        <v>1476</v>
      </c>
      <c r="L255" s="17" t="s">
        <v>58</v>
      </c>
      <c r="M255" s="17" t="s">
        <v>256</v>
      </c>
      <c r="N255" s="16" t="s">
        <v>1522</v>
      </c>
      <c r="O255" s="18">
        <v>46249</v>
      </c>
      <c r="P255" s="19" t="s">
        <v>34</v>
      </c>
      <c r="Q255" s="17"/>
      <c r="R255" s="19" t="str">
        <f t="shared" si="3"/>
        <v>Discovery Link Only</v>
      </c>
    </row>
    <row r="256" spans="1:18" ht="60" customHeight="1" x14ac:dyDescent="0.2">
      <c r="A256" s="16" t="s">
        <v>1523</v>
      </c>
      <c r="B256" s="16" t="s">
        <v>1524</v>
      </c>
      <c r="C256" s="16" t="s">
        <v>1471</v>
      </c>
      <c r="D256" s="16" t="s">
        <v>1525</v>
      </c>
      <c r="E256" s="16" t="s">
        <v>45</v>
      </c>
      <c r="F256" s="16" t="s">
        <v>25</v>
      </c>
      <c r="G256" s="16" t="s">
        <v>26</v>
      </c>
      <c r="H256" s="17" t="s">
        <v>1526</v>
      </c>
      <c r="I256" s="17" t="s">
        <v>1527</v>
      </c>
      <c r="J256" s="17" t="s">
        <v>1528</v>
      </c>
      <c r="K256" s="17" t="s">
        <v>1476</v>
      </c>
      <c r="L256" s="17" t="s">
        <v>58</v>
      </c>
      <c r="M256" s="17" t="s">
        <v>256</v>
      </c>
      <c r="N256" s="16" t="s">
        <v>1529</v>
      </c>
      <c r="O256" s="18">
        <v>46249</v>
      </c>
      <c r="P256" s="19" t="s">
        <v>34</v>
      </c>
      <c r="Q256" s="17"/>
      <c r="R256" s="19" t="str">
        <f t="shared" si="3"/>
        <v>Discovery Link Only</v>
      </c>
    </row>
    <row r="257" spans="1:18" ht="60" customHeight="1" x14ac:dyDescent="0.2">
      <c r="A257" s="16" t="s">
        <v>1530</v>
      </c>
      <c r="B257" s="16" t="s">
        <v>1531</v>
      </c>
      <c r="C257" s="16" t="s">
        <v>1471</v>
      </c>
      <c r="D257" s="16" t="s">
        <v>1532</v>
      </c>
      <c r="E257" s="16" t="s">
        <v>37</v>
      </c>
      <c r="F257" s="16" t="s">
        <v>25</v>
      </c>
      <c r="G257" s="16" t="s">
        <v>26</v>
      </c>
      <c r="H257" s="17" t="s">
        <v>286</v>
      </c>
      <c r="I257" s="17" t="s">
        <v>1533</v>
      </c>
      <c r="J257" s="17" t="s">
        <v>1534</v>
      </c>
      <c r="K257" s="17" t="s">
        <v>1476</v>
      </c>
      <c r="L257" s="17" t="s">
        <v>58</v>
      </c>
      <c r="M257" s="17" t="s">
        <v>256</v>
      </c>
      <c r="N257" s="16" t="s">
        <v>1535</v>
      </c>
      <c r="O257" s="18">
        <v>46249</v>
      </c>
      <c r="P257" s="19" t="s">
        <v>34</v>
      </c>
      <c r="Q257" s="17"/>
      <c r="R257" s="19" t="str">
        <f t="shared" si="3"/>
        <v>Discovery Link Only</v>
      </c>
    </row>
    <row r="258" spans="1:18" ht="60" customHeight="1" x14ac:dyDescent="0.2">
      <c r="A258" s="16" t="s">
        <v>1536</v>
      </c>
      <c r="B258" s="16" t="s">
        <v>1537</v>
      </c>
      <c r="C258" s="16" t="s">
        <v>1471</v>
      </c>
      <c r="D258" s="16" t="s">
        <v>1487</v>
      </c>
      <c r="E258" s="16" t="s">
        <v>140</v>
      </c>
      <c r="F258" s="16" t="s">
        <v>107</v>
      </c>
      <c r="G258" s="16" t="s">
        <v>46</v>
      </c>
      <c r="H258" s="17" t="s">
        <v>1538</v>
      </c>
      <c r="I258" s="17" t="s">
        <v>1539</v>
      </c>
      <c r="J258" s="17" t="s">
        <v>1540</v>
      </c>
      <c r="K258" s="17" t="s">
        <v>1476</v>
      </c>
      <c r="L258" s="17" t="s">
        <v>111</v>
      </c>
      <c r="M258" s="17" t="s">
        <v>1541</v>
      </c>
      <c r="N258" s="16"/>
      <c r="O258" s="18">
        <v>46249</v>
      </c>
      <c r="P258" s="19" t="s">
        <v>34</v>
      </c>
      <c r="Q258" s="17"/>
      <c r="R258" s="19" t="str">
        <f t="shared" si="3"/>
        <v>Discovery Link Only</v>
      </c>
    </row>
    <row r="259" spans="1:18" ht="60" customHeight="1" x14ac:dyDescent="0.2">
      <c r="A259" s="16" t="s">
        <v>1542</v>
      </c>
      <c r="B259" s="16" t="s">
        <v>1543</v>
      </c>
      <c r="C259" s="16" t="s">
        <v>1471</v>
      </c>
      <c r="D259" s="16" t="s">
        <v>1487</v>
      </c>
      <c r="E259" s="16" t="s">
        <v>106</v>
      </c>
      <c r="F259" s="16" t="s">
        <v>107</v>
      </c>
      <c r="G259" s="16" t="s">
        <v>46</v>
      </c>
      <c r="H259" s="17" t="s">
        <v>1544</v>
      </c>
      <c r="I259" s="17" t="s">
        <v>1545</v>
      </c>
      <c r="J259" s="17" t="s">
        <v>1546</v>
      </c>
      <c r="K259" s="17" t="s">
        <v>1476</v>
      </c>
      <c r="L259" s="17" t="s">
        <v>111</v>
      </c>
      <c r="M259" s="17" t="s">
        <v>1541</v>
      </c>
      <c r="N259" s="16"/>
      <c r="O259" s="18">
        <v>46249</v>
      </c>
      <c r="P259" s="19" t="s">
        <v>34</v>
      </c>
      <c r="Q259" s="17"/>
      <c r="R259" s="19" t="str">
        <f t="shared" si="3"/>
        <v>Discovery Link Only</v>
      </c>
    </row>
    <row r="260" spans="1:18" ht="60" customHeight="1" x14ac:dyDescent="0.2">
      <c r="A260" s="16" t="s">
        <v>1547</v>
      </c>
      <c r="B260" s="16" t="s">
        <v>1548</v>
      </c>
      <c r="C260" s="16" t="s">
        <v>1471</v>
      </c>
      <c r="D260" s="16" t="s">
        <v>1487</v>
      </c>
      <c r="E260" s="16" t="s">
        <v>151</v>
      </c>
      <c r="F260" s="16" t="s">
        <v>121</v>
      </c>
      <c r="G260" s="16" t="s">
        <v>134</v>
      </c>
      <c r="H260" s="17" t="s">
        <v>1549</v>
      </c>
      <c r="I260" s="17" t="s">
        <v>1550</v>
      </c>
      <c r="J260" s="17" t="s">
        <v>1551</v>
      </c>
      <c r="K260" s="17" t="s">
        <v>1476</v>
      </c>
      <c r="L260" s="17" t="s">
        <v>111</v>
      </c>
      <c r="M260" s="17" t="s">
        <v>1541</v>
      </c>
      <c r="N260" s="16"/>
      <c r="O260" s="18">
        <v>46249</v>
      </c>
      <c r="P260" s="19" t="s">
        <v>34</v>
      </c>
      <c r="Q260" s="17"/>
      <c r="R260" s="19" t="str">
        <f t="shared" ref="R260:R323" si="4">IF(J260="","Missing Link",IF(AND(ISNUMBER(SEARCH("google.com/maps",J260)),ISERROR(SEARCH(";",J260))),"Discovery Link Only","Source Link Present"))</f>
        <v>Discovery Link Only</v>
      </c>
    </row>
    <row r="261" spans="1:18" ht="60" customHeight="1" x14ac:dyDescent="0.2">
      <c r="A261" s="16" t="s">
        <v>1552</v>
      </c>
      <c r="B261" s="16" t="s">
        <v>1553</v>
      </c>
      <c r="C261" s="16" t="s">
        <v>1471</v>
      </c>
      <c r="D261" s="16" t="s">
        <v>1487</v>
      </c>
      <c r="E261" s="16" t="s">
        <v>72</v>
      </c>
      <c r="F261" s="16" t="s">
        <v>107</v>
      </c>
      <c r="G261" s="16" t="s">
        <v>26</v>
      </c>
      <c r="H261" s="17" t="s">
        <v>1554</v>
      </c>
      <c r="I261" s="17" t="s">
        <v>1555</v>
      </c>
      <c r="J261" s="17" t="s">
        <v>1556</v>
      </c>
      <c r="K261" s="17" t="s">
        <v>1476</v>
      </c>
      <c r="L261" s="17" t="s">
        <v>111</v>
      </c>
      <c r="M261" s="17" t="s">
        <v>1541</v>
      </c>
      <c r="N261" s="16"/>
      <c r="O261" s="18">
        <v>46249</v>
      </c>
      <c r="P261" s="19" t="s">
        <v>34</v>
      </c>
      <c r="Q261" s="17"/>
      <c r="R261" s="19" t="str">
        <f t="shared" si="4"/>
        <v>Discovery Link Only</v>
      </c>
    </row>
    <row r="262" spans="1:18" ht="60" customHeight="1" x14ac:dyDescent="0.2">
      <c r="A262" s="16" t="s">
        <v>1557</v>
      </c>
      <c r="B262" s="16" t="s">
        <v>1558</v>
      </c>
      <c r="C262" s="16" t="s">
        <v>1471</v>
      </c>
      <c r="D262" s="16" t="s">
        <v>1532</v>
      </c>
      <c r="E262" s="16" t="s">
        <v>99</v>
      </c>
      <c r="F262" s="16" t="s">
        <v>107</v>
      </c>
      <c r="G262" s="16" t="s">
        <v>46</v>
      </c>
      <c r="H262" s="17" t="s">
        <v>1559</v>
      </c>
      <c r="I262" s="17" t="s">
        <v>1560</v>
      </c>
      <c r="J262" s="17" t="s">
        <v>1561</v>
      </c>
      <c r="K262" s="17" t="s">
        <v>1476</v>
      </c>
      <c r="L262" s="17" t="s">
        <v>111</v>
      </c>
      <c r="M262" s="17" t="s">
        <v>1541</v>
      </c>
      <c r="N262" s="16"/>
      <c r="O262" s="18">
        <v>46249</v>
      </c>
      <c r="P262" s="19" t="s">
        <v>34</v>
      </c>
      <c r="Q262" s="17"/>
      <c r="R262" s="19" t="str">
        <f t="shared" si="4"/>
        <v>Discovery Link Only</v>
      </c>
    </row>
    <row r="263" spans="1:18" ht="60" customHeight="1" x14ac:dyDescent="0.2">
      <c r="A263" s="16" t="s">
        <v>1562</v>
      </c>
      <c r="B263" s="16" t="s">
        <v>1563</v>
      </c>
      <c r="C263" s="16" t="s">
        <v>1471</v>
      </c>
      <c r="D263" s="16" t="s">
        <v>1564</v>
      </c>
      <c r="E263" s="16" t="s">
        <v>251</v>
      </c>
      <c r="F263" s="16" t="s">
        <v>107</v>
      </c>
      <c r="G263" s="16" t="s">
        <v>26</v>
      </c>
      <c r="H263" s="17" t="s">
        <v>1565</v>
      </c>
      <c r="I263" s="17" t="s">
        <v>1566</v>
      </c>
      <c r="J263" s="17" t="s">
        <v>1567</v>
      </c>
      <c r="K263" s="17" t="s">
        <v>1476</v>
      </c>
      <c r="L263" s="17" t="s">
        <v>111</v>
      </c>
      <c r="M263" s="17" t="s">
        <v>1541</v>
      </c>
      <c r="N263" s="16"/>
      <c r="O263" s="18">
        <v>46249</v>
      </c>
      <c r="P263" s="19" t="s">
        <v>34</v>
      </c>
      <c r="Q263" s="17"/>
      <c r="R263" s="19" t="str">
        <f t="shared" si="4"/>
        <v>Discovery Link Only</v>
      </c>
    </row>
    <row r="264" spans="1:18" ht="60" customHeight="1" x14ac:dyDescent="0.2">
      <c r="A264" s="16" t="s">
        <v>1568</v>
      </c>
      <c r="B264" s="16" t="s">
        <v>1569</v>
      </c>
      <c r="C264" s="16" t="s">
        <v>1471</v>
      </c>
      <c r="D264" s="16" t="s">
        <v>1570</v>
      </c>
      <c r="E264" s="16" t="s">
        <v>54</v>
      </c>
      <c r="F264" s="16" t="s">
        <v>121</v>
      </c>
      <c r="G264" s="16" t="s">
        <v>46</v>
      </c>
      <c r="H264" s="17" t="s">
        <v>1571</v>
      </c>
      <c r="I264" s="17" t="s">
        <v>1572</v>
      </c>
      <c r="J264" s="17" t="s">
        <v>1573</v>
      </c>
      <c r="K264" s="17" t="s">
        <v>1476</v>
      </c>
      <c r="L264" s="17" t="s">
        <v>111</v>
      </c>
      <c r="M264" s="17" t="s">
        <v>1541</v>
      </c>
      <c r="N264" s="16"/>
      <c r="O264" s="18">
        <v>46249</v>
      </c>
      <c r="P264" s="19" t="s">
        <v>34</v>
      </c>
      <c r="Q264" s="17"/>
      <c r="R264" s="19" t="str">
        <f t="shared" si="4"/>
        <v>Discovery Link Only</v>
      </c>
    </row>
    <row r="265" spans="1:18" ht="60" customHeight="1" x14ac:dyDescent="0.2">
      <c r="A265" s="16" t="s">
        <v>1574</v>
      </c>
      <c r="B265" s="16" t="s">
        <v>1575</v>
      </c>
      <c r="C265" s="16" t="s">
        <v>1471</v>
      </c>
      <c r="D265" s="16" t="s">
        <v>1576</v>
      </c>
      <c r="E265" s="16" t="s">
        <v>72</v>
      </c>
      <c r="F265" s="16" t="s">
        <v>107</v>
      </c>
      <c r="G265" s="16" t="s">
        <v>26</v>
      </c>
      <c r="H265" s="17" t="s">
        <v>1577</v>
      </c>
      <c r="I265" s="17" t="s">
        <v>1578</v>
      </c>
      <c r="J265" s="17" t="s">
        <v>1579</v>
      </c>
      <c r="K265" s="17" t="s">
        <v>1476</v>
      </c>
      <c r="L265" s="17" t="s">
        <v>111</v>
      </c>
      <c r="M265" s="17" t="s">
        <v>1541</v>
      </c>
      <c r="N265" s="16"/>
      <c r="O265" s="18">
        <v>46249</v>
      </c>
      <c r="P265" s="19" t="s">
        <v>34</v>
      </c>
      <c r="Q265" s="17"/>
      <c r="R265" s="19" t="str">
        <f t="shared" si="4"/>
        <v>Discovery Link Only</v>
      </c>
    </row>
    <row r="266" spans="1:18" ht="60" customHeight="1" x14ac:dyDescent="0.2">
      <c r="A266" s="16" t="s">
        <v>1580</v>
      </c>
      <c r="B266" s="16" t="s">
        <v>1581</v>
      </c>
      <c r="C266" s="16" t="s">
        <v>1471</v>
      </c>
      <c r="D266" s="16" t="s">
        <v>1576</v>
      </c>
      <c r="E266" s="16" t="s">
        <v>151</v>
      </c>
      <c r="F266" s="16" t="s">
        <v>121</v>
      </c>
      <c r="G266" s="16" t="s">
        <v>134</v>
      </c>
      <c r="H266" s="17" t="s">
        <v>1582</v>
      </c>
      <c r="I266" s="17" t="s">
        <v>1583</v>
      </c>
      <c r="J266" s="17" t="s">
        <v>1584</v>
      </c>
      <c r="K266" s="17" t="s">
        <v>1476</v>
      </c>
      <c r="L266" s="17" t="s">
        <v>111</v>
      </c>
      <c r="M266" s="17" t="s">
        <v>1541</v>
      </c>
      <c r="N266" s="16"/>
      <c r="O266" s="18">
        <v>46249</v>
      </c>
      <c r="P266" s="19" t="s">
        <v>34</v>
      </c>
      <c r="Q266" s="17"/>
      <c r="R266" s="19" t="str">
        <f t="shared" si="4"/>
        <v>Discovery Link Only</v>
      </c>
    </row>
    <row r="267" spans="1:18" ht="60" customHeight="1" x14ac:dyDescent="0.2">
      <c r="A267" s="16" t="s">
        <v>1585</v>
      </c>
      <c r="B267" s="16" t="s">
        <v>1586</v>
      </c>
      <c r="C267" s="16" t="s">
        <v>1471</v>
      </c>
      <c r="D267" s="16" t="s">
        <v>1587</v>
      </c>
      <c r="E267" s="16" t="s">
        <v>115</v>
      </c>
      <c r="F267" s="16" t="s">
        <v>107</v>
      </c>
      <c r="G267" s="16" t="s">
        <v>46</v>
      </c>
      <c r="H267" s="17" t="s">
        <v>1588</v>
      </c>
      <c r="I267" s="17" t="s">
        <v>1589</v>
      </c>
      <c r="J267" s="17" t="s">
        <v>1590</v>
      </c>
      <c r="K267" s="17" t="s">
        <v>1476</v>
      </c>
      <c r="L267" s="17" t="s">
        <v>111</v>
      </c>
      <c r="M267" s="17" t="s">
        <v>1541</v>
      </c>
      <c r="N267" s="16"/>
      <c r="O267" s="18">
        <v>46249</v>
      </c>
      <c r="P267" s="19" t="s">
        <v>34</v>
      </c>
      <c r="Q267" s="17"/>
      <c r="R267" s="19" t="str">
        <f t="shared" si="4"/>
        <v>Discovery Link Only</v>
      </c>
    </row>
    <row r="268" spans="1:18" ht="60" customHeight="1" x14ac:dyDescent="0.2">
      <c r="A268" s="16" t="s">
        <v>1591</v>
      </c>
      <c r="B268" s="16" t="s">
        <v>1592</v>
      </c>
      <c r="C268" s="16" t="s">
        <v>1471</v>
      </c>
      <c r="D268" s="16" t="s">
        <v>1587</v>
      </c>
      <c r="E268" s="16" t="s">
        <v>162</v>
      </c>
      <c r="F268" s="16" t="s">
        <v>107</v>
      </c>
      <c r="G268" s="16" t="s">
        <v>46</v>
      </c>
      <c r="H268" s="17" t="s">
        <v>1593</v>
      </c>
      <c r="I268" s="17" t="s">
        <v>1594</v>
      </c>
      <c r="J268" s="17" t="s">
        <v>1595</v>
      </c>
      <c r="K268" s="17" t="s">
        <v>1476</v>
      </c>
      <c r="L268" s="17" t="s">
        <v>111</v>
      </c>
      <c r="M268" s="17" t="s">
        <v>1541</v>
      </c>
      <c r="N268" s="16"/>
      <c r="O268" s="18">
        <v>46249</v>
      </c>
      <c r="P268" s="19" t="s">
        <v>34</v>
      </c>
      <c r="Q268" s="17"/>
      <c r="R268" s="19" t="str">
        <f t="shared" si="4"/>
        <v>Discovery Link Only</v>
      </c>
    </row>
    <row r="269" spans="1:18" ht="60" customHeight="1" x14ac:dyDescent="0.2">
      <c r="A269" s="16" t="s">
        <v>1596</v>
      </c>
      <c r="B269" s="16" t="s">
        <v>1597</v>
      </c>
      <c r="C269" s="16" t="s">
        <v>1471</v>
      </c>
      <c r="D269" s="16" t="s">
        <v>1511</v>
      </c>
      <c r="E269" s="16" t="s">
        <v>162</v>
      </c>
      <c r="F269" s="16" t="s">
        <v>121</v>
      </c>
      <c r="G269" s="16" t="s">
        <v>46</v>
      </c>
      <c r="H269" s="17" t="s">
        <v>1598</v>
      </c>
      <c r="I269" s="17" t="s">
        <v>1599</v>
      </c>
      <c r="J269" s="17" t="s">
        <v>1600</v>
      </c>
      <c r="K269" s="17" t="s">
        <v>1476</v>
      </c>
      <c r="L269" s="17" t="s">
        <v>111</v>
      </c>
      <c r="M269" s="17" t="s">
        <v>1541</v>
      </c>
      <c r="N269" s="16"/>
      <c r="O269" s="18">
        <v>46249</v>
      </c>
      <c r="P269" s="19" t="s">
        <v>34</v>
      </c>
      <c r="Q269" s="17"/>
      <c r="R269" s="19" t="str">
        <f t="shared" si="4"/>
        <v>Discovery Link Only</v>
      </c>
    </row>
    <row r="270" spans="1:18" ht="60" customHeight="1" x14ac:dyDescent="0.2">
      <c r="A270" s="16" t="s">
        <v>1601</v>
      </c>
      <c r="B270" s="16" t="s">
        <v>1602</v>
      </c>
      <c r="C270" s="16" t="s">
        <v>1471</v>
      </c>
      <c r="D270" s="16" t="s">
        <v>1525</v>
      </c>
      <c r="E270" s="16" t="s">
        <v>162</v>
      </c>
      <c r="F270" s="16" t="s">
        <v>194</v>
      </c>
      <c r="G270" s="16" t="s">
        <v>46</v>
      </c>
      <c r="H270" s="17" t="s">
        <v>1603</v>
      </c>
      <c r="I270" s="17" t="s">
        <v>1604</v>
      </c>
      <c r="J270" s="17" t="s">
        <v>1605</v>
      </c>
      <c r="K270" s="17" t="s">
        <v>1476</v>
      </c>
      <c r="L270" s="17" t="s">
        <v>111</v>
      </c>
      <c r="M270" s="17" t="s">
        <v>1541</v>
      </c>
      <c r="N270" s="16"/>
      <c r="O270" s="18">
        <v>46249</v>
      </c>
      <c r="P270" s="19" t="s">
        <v>34</v>
      </c>
      <c r="Q270" s="17"/>
      <c r="R270" s="19" t="str">
        <f t="shared" si="4"/>
        <v>Discovery Link Only</v>
      </c>
    </row>
    <row r="271" spans="1:18" ht="60" customHeight="1" x14ac:dyDescent="0.2">
      <c r="A271" s="16" t="s">
        <v>1606</v>
      </c>
      <c r="B271" s="16" t="s">
        <v>1607</v>
      </c>
      <c r="C271" s="16" t="s">
        <v>1471</v>
      </c>
      <c r="D271" s="16" t="s">
        <v>1525</v>
      </c>
      <c r="E271" s="16" t="s">
        <v>99</v>
      </c>
      <c r="F271" s="16" t="s">
        <v>194</v>
      </c>
      <c r="G271" s="16" t="s">
        <v>46</v>
      </c>
      <c r="H271" s="17" t="s">
        <v>1608</v>
      </c>
      <c r="I271" s="17" t="s">
        <v>1609</v>
      </c>
      <c r="J271" s="17" t="s">
        <v>1610</v>
      </c>
      <c r="K271" s="17" t="s">
        <v>1476</v>
      </c>
      <c r="L271" s="17" t="s">
        <v>111</v>
      </c>
      <c r="M271" s="17" t="s">
        <v>1541</v>
      </c>
      <c r="N271" s="16"/>
      <c r="O271" s="18">
        <v>46249</v>
      </c>
      <c r="P271" s="19" t="s">
        <v>34</v>
      </c>
      <c r="Q271" s="17"/>
      <c r="R271" s="19" t="str">
        <f t="shared" si="4"/>
        <v>Discovery Link Only</v>
      </c>
    </row>
    <row r="272" spans="1:18" ht="60" customHeight="1" x14ac:dyDescent="0.2">
      <c r="A272" s="16" t="s">
        <v>1611</v>
      </c>
      <c r="B272" s="16" t="s">
        <v>1612</v>
      </c>
      <c r="C272" s="16" t="s">
        <v>1471</v>
      </c>
      <c r="D272" s="16" t="s">
        <v>1494</v>
      </c>
      <c r="E272" s="16" t="s">
        <v>37</v>
      </c>
      <c r="F272" s="16" t="s">
        <v>107</v>
      </c>
      <c r="G272" s="16" t="s">
        <v>26</v>
      </c>
      <c r="H272" s="17" t="s">
        <v>1613</v>
      </c>
      <c r="I272" s="17" t="s">
        <v>1614</v>
      </c>
      <c r="J272" s="17" t="s">
        <v>1615</v>
      </c>
      <c r="K272" s="17" t="s">
        <v>1476</v>
      </c>
      <c r="L272" s="17" t="s">
        <v>111</v>
      </c>
      <c r="M272" s="17" t="s">
        <v>1541</v>
      </c>
      <c r="N272" s="16"/>
      <c r="O272" s="18">
        <v>46249</v>
      </c>
      <c r="P272" s="19" t="s">
        <v>34</v>
      </c>
      <c r="Q272" s="17"/>
      <c r="R272" s="19" t="str">
        <f t="shared" si="4"/>
        <v>Discovery Link Only</v>
      </c>
    </row>
    <row r="273" spans="1:18" ht="60" customHeight="1" x14ac:dyDescent="0.2">
      <c r="A273" s="16" t="s">
        <v>1616</v>
      </c>
      <c r="B273" s="16" t="s">
        <v>1617</v>
      </c>
      <c r="C273" s="16" t="s">
        <v>1471</v>
      </c>
      <c r="D273" s="16" t="s">
        <v>1494</v>
      </c>
      <c r="E273" s="16" t="s">
        <v>45</v>
      </c>
      <c r="F273" s="16" t="s">
        <v>107</v>
      </c>
      <c r="G273" s="16" t="s">
        <v>26</v>
      </c>
      <c r="H273" s="17" t="s">
        <v>1618</v>
      </c>
      <c r="I273" s="17" t="s">
        <v>1619</v>
      </c>
      <c r="J273" s="17" t="s">
        <v>1620</v>
      </c>
      <c r="K273" s="17" t="s">
        <v>1476</v>
      </c>
      <c r="L273" s="17" t="s">
        <v>111</v>
      </c>
      <c r="M273" s="17" t="s">
        <v>1541</v>
      </c>
      <c r="N273" s="16"/>
      <c r="O273" s="18">
        <v>46249</v>
      </c>
      <c r="P273" s="19" t="s">
        <v>34</v>
      </c>
      <c r="Q273" s="17"/>
      <c r="R273" s="19" t="str">
        <f t="shared" si="4"/>
        <v>Discovery Link Only</v>
      </c>
    </row>
    <row r="274" spans="1:18" ht="60" customHeight="1" x14ac:dyDescent="0.2">
      <c r="A274" s="16" t="s">
        <v>1621</v>
      </c>
      <c r="B274" s="16" t="s">
        <v>1622</v>
      </c>
      <c r="C274" s="16" t="s">
        <v>1471</v>
      </c>
      <c r="D274" s="16" t="s">
        <v>1494</v>
      </c>
      <c r="E274" s="16" t="s">
        <v>115</v>
      </c>
      <c r="F274" s="16" t="s">
        <v>107</v>
      </c>
      <c r="G274" s="16" t="s">
        <v>46</v>
      </c>
      <c r="H274" s="17" t="s">
        <v>1623</v>
      </c>
      <c r="I274" s="17" t="s">
        <v>1624</v>
      </c>
      <c r="J274" s="17" t="s">
        <v>1625</v>
      </c>
      <c r="K274" s="17" t="s">
        <v>1476</v>
      </c>
      <c r="L274" s="17" t="s">
        <v>111</v>
      </c>
      <c r="M274" s="17" t="s">
        <v>1541</v>
      </c>
      <c r="N274" s="16"/>
      <c r="O274" s="18">
        <v>46249</v>
      </c>
      <c r="P274" s="19" t="s">
        <v>34</v>
      </c>
      <c r="Q274" s="17"/>
      <c r="R274" s="19" t="str">
        <f t="shared" si="4"/>
        <v>Discovery Link Only</v>
      </c>
    </row>
    <row r="275" spans="1:18" ht="60" customHeight="1" x14ac:dyDescent="0.2">
      <c r="A275" s="16" t="s">
        <v>1626</v>
      </c>
      <c r="B275" s="16" t="s">
        <v>1627</v>
      </c>
      <c r="C275" s="16" t="s">
        <v>1471</v>
      </c>
      <c r="D275" s="16" t="s">
        <v>1628</v>
      </c>
      <c r="E275" s="16" t="s">
        <v>37</v>
      </c>
      <c r="F275" s="16" t="s">
        <v>107</v>
      </c>
      <c r="G275" s="16" t="s">
        <v>26</v>
      </c>
      <c r="H275" s="17" t="s">
        <v>1629</v>
      </c>
      <c r="I275" s="17" t="s">
        <v>1630</v>
      </c>
      <c r="J275" s="17" t="s">
        <v>1631</v>
      </c>
      <c r="K275" s="17" t="s">
        <v>1476</v>
      </c>
      <c r="L275" s="17" t="s">
        <v>111</v>
      </c>
      <c r="M275" s="17" t="s">
        <v>1541</v>
      </c>
      <c r="N275" s="16"/>
      <c r="O275" s="18">
        <v>46249</v>
      </c>
      <c r="P275" s="19" t="s">
        <v>34</v>
      </c>
      <c r="Q275" s="17"/>
      <c r="R275" s="19" t="str">
        <f t="shared" si="4"/>
        <v>Discovery Link Only</v>
      </c>
    </row>
    <row r="276" spans="1:18" ht="60" customHeight="1" x14ac:dyDescent="0.2">
      <c r="A276" s="16" t="s">
        <v>1632</v>
      </c>
      <c r="B276" s="16" t="s">
        <v>1633</v>
      </c>
      <c r="C276" s="16" t="s">
        <v>1471</v>
      </c>
      <c r="D276" s="16" t="s">
        <v>1518</v>
      </c>
      <c r="E276" s="16" t="s">
        <v>37</v>
      </c>
      <c r="F276" s="16" t="s">
        <v>107</v>
      </c>
      <c r="G276" s="16" t="s">
        <v>26</v>
      </c>
      <c r="H276" s="17" t="s">
        <v>1634</v>
      </c>
      <c r="I276" s="17" t="s">
        <v>1635</v>
      </c>
      <c r="J276" s="17" t="s">
        <v>1636</v>
      </c>
      <c r="K276" s="17" t="s">
        <v>1476</v>
      </c>
      <c r="L276" s="17" t="s">
        <v>111</v>
      </c>
      <c r="M276" s="17" t="s">
        <v>1541</v>
      </c>
      <c r="N276" s="16"/>
      <c r="O276" s="18">
        <v>46249</v>
      </c>
      <c r="P276" s="19" t="s">
        <v>34</v>
      </c>
      <c r="Q276" s="17"/>
      <c r="R276" s="19" t="str">
        <f t="shared" si="4"/>
        <v>Discovery Link Only</v>
      </c>
    </row>
    <row r="277" spans="1:18" ht="60" customHeight="1" x14ac:dyDescent="0.2">
      <c r="A277" s="16" t="s">
        <v>1637</v>
      </c>
      <c r="B277" s="16" t="s">
        <v>1638</v>
      </c>
      <c r="C277" s="16" t="s">
        <v>1471</v>
      </c>
      <c r="D277" s="16" t="s">
        <v>1480</v>
      </c>
      <c r="E277" s="16" t="s">
        <v>72</v>
      </c>
      <c r="F277" s="16" t="s">
        <v>107</v>
      </c>
      <c r="G277" s="16" t="s">
        <v>26</v>
      </c>
      <c r="H277" s="17" t="s">
        <v>1639</v>
      </c>
      <c r="I277" s="17" t="s">
        <v>1640</v>
      </c>
      <c r="J277" s="17" t="s">
        <v>1641</v>
      </c>
      <c r="K277" s="17" t="s">
        <v>1476</v>
      </c>
      <c r="L277" s="17" t="s">
        <v>111</v>
      </c>
      <c r="M277" s="17" t="s">
        <v>1541</v>
      </c>
      <c r="N277" s="16"/>
      <c r="O277" s="18">
        <v>46249</v>
      </c>
      <c r="P277" s="19" t="s">
        <v>34</v>
      </c>
      <c r="Q277" s="17"/>
      <c r="R277" s="19" t="str">
        <f t="shared" si="4"/>
        <v>Discovery Link Only</v>
      </c>
    </row>
    <row r="278" spans="1:18" ht="60" customHeight="1" x14ac:dyDescent="0.2">
      <c r="A278" s="16" t="s">
        <v>1642</v>
      </c>
      <c r="B278" s="16" t="s">
        <v>1643</v>
      </c>
      <c r="C278" s="16" t="s">
        <v>1471</v>
      </c>
      <c r="D278" s="16" t="s">
        <v>1644</v>
      </c>
      <c r="E278" s="16" t="s">
        <v>45</v>
      </c>
      <c r="F278" s="16" t="s">
        <v>121</v>
      </c>
      <c r="G278" s="16" t="s">
        <v>26</v>
      </c>
      <c r="H278" s="17" t="s">
        <v>1645</v>
      </c>
      <c r="I278" s="17" t="s">
        <v>1646</v>
      </c>
      <c r="J278" s="17" t="s">
        <v>1647</v>
      </c>
      <c r="K278" s="17" t="s">
        <v>1476</v>
      </c>
      <c r="L278" s="17" t="s">
        <v>111</v>
      </c>
      <c r="M278" s="17" t="s">
        <v>1541</v>
      </c>
      <c r="N278" s="16"/>
      <c r="O278" s="18">
        <v>46249</v>
      </c>
      <c r="P278" s="19" t="s">
        <v>34</v>
      </c>
      <c r="Q278" s="17"/>
      <c r="R278" s="19" t="str">
        <f t="shared" si="4"/>
        <v>Discovery Link Only</v>
      </c>
    </row>
    <row r="279" spans="1:18" ht="60" customHeight="1" x14ac:dyDescent="0.2">
      <c r="A279" s="16" t="s">
        <v>1648</v>
      </c>
      <c r="B279" s="16" t="s">
        <v>1649</v>
      </c>
      <c r="C279" s="16" t="s">
        <v>1471</v>
      </c>
      <c r="D279" s="16" t="s">
        <v>1650</v>
      </c>
      <c r="E279" s="16" t="s">
        <v>162</v>
      </c>
      <c r="F279" s="16" t="s">
        <v>121</v>
      </c>
      <c r="G279" s="16" t="s">
        <v>46</v>
      </c>
      <c r="H279" s="17" t="s">
        <v>1012</v>
      </c>
      <c r="I279" s="17" t="s">
        <v>1651</v>
      </c>
      <c r="J279" s="17" t="s">
        <v>1652</v>
      </c>
      <c r="K279" s="17" t="s">
        <v>1476</v>
      </c>
      <c r="L279" s="17" t="s">
        <v>111</v>
      </c>
      <c r="M279" s="17" t="s">
        <v>1541</v>
      </c>
      <c r="N279" s="16"/>
      <c r="O279" s="18">
        <v>46249</v>
      </c>
      <c r="P279" s="19" t="s">
        <v>34</v>
      </c>
      <c r="Q279" s="17"/>
      <c r="R279" s="19" t="str">
        <f t="shared" si="4"/>
        <v>Discovery Link Only</v>
      </c>
    </row>
    <row r="280" spans="1:18" ht="60" customHeight="1" x14ac:dyDescent="0.2">
      <c r="A280" s="16" t="s">
        <v>1653</v>
      </c>
      <c r="B280" s="16" t="s">
        <v>1654</v>
      </c>
      <c r="C280" s="16" t="s">
        <v>1471</v>
      </c>
      <c r="D280" s="16" t="s">
        <v>1655</v>
      </c>
      <c r="E280" s="16" t="s">
        <v>115</v>
      </c>
      <c r="F280" s="16" t="s">
        <v>127</v>
      </c>
      <c r="G280" s="16" t="s">
        <v>46</v>
      </c>
      <c r="H280" s="17" t="s">
        <v>1656</v>
      </c>
      <c r="I280" s="17" t="s">
        <v>1657</v>
      </c>
      <c r="J280" s="17" t="s">
        <v>1658</v>
      </c>
      <c r="K280" s="17" t="s">
        <v>1476</v>
      </c>
      <c r="L280" s="17" t="s">
        <v>111</v>
      </c>
      <c r="M280" s="17" t="s">
        <v>1541</v>
      </c>
      <c r="N280" s="16"/>
      <c r="O280" s="18">
        <v>46249</v>
      </c>
      <c r="P280" s="19" t="s">
        <v>34</v>
      </c>
      <c r="Q280" s="17"/>
      <c r="R280" s="19" t="str">
        <f t="shared" si="4"/>
        <v>Discovery Link Only</v>
      </c>
    </row>
    <row r="281" spans="1:18" ht="60" customHeight="1" x14ac:dyDescent="0.2">
      <c r="A281" s="16" t="s">
        <v>1659</v>
      </c>
      <c r="B281" s="16" t="s">
        <v>1660</v>
      </c>
      <c r="C281" s="16" t="s">
        <v>1661</v>
      </c>
      <c r="D281" s="16" t="s">
        <v>1662</v>
      </c>
      <c r="E281" s="16" t="s">
        <v>45</v>
      </c>
      <c r="F281" s="16" t="s">
        <v>25</v>
      </c>
      <c r="G281" s="16" t="s">
        <v>26</v>
      </c>
      <c r="H281" s="17" t="s">
        <v>1663</v>
      </c>
      <c r="I281" s="17" t="s">
        <v>1664</v>
      </c>
      <c r="J281" s="17" t="s">
        <v>1665</v>
      </c>
      <c r="K281" s="17" t="s">
        <v>1666</v>
      </c>
      <c r="L281" s="17" t="s">
        <v>58</v>
      </c>
      <c r="M281" s="17" t="s">
        <v>256</v>
      </c>
      <c r="N281" s="16" t="s">
        <v>1667</v>
      </c>
      <c r="O281" s="18">
        <v>46249</v>
      </c>
      <c r="P281" s="19" t="s">
        <v>34</v>
      </c>
      <c r="Q281" s="17"/>
      <c r="R281" s="19" t="str">
        <f t="shared" si="4"/>
        <v>Source Link Present</v>
      </c>
    </row>
    <row r="282" spans="1:18" ht="60" customHeight="1" x14ac:dyDescent="0.2">
      <c r="A282" s="16" t="s">
        <v>1668</v>
      </c>
      <c r="B282" s="16" t="s">
        <v>1669</v>
      </c>
      <c r="C282" s="16" t="s">
        <v>1661</v>
      </c>
      <c r="D282" s="16" t="s">
        <v>1670</v>
      </c>
      <c r="E282" s="16" t="s">
        <v>45</v>
      </c>
      <c r="F282" s="16" t="s">
        <v>25</v>
      </c>
      <c r="G282" s="16" t="s">
        <v>46</v>
      </c>
      <c r="H282" s="17" t="s">
        <v>1671</v>
      </c>
      <c r="I282" s="17" t="s">
        <v>1672</v>
      </c>
      <c r="J282" s="17" t="s">
        <v>1673</v>
      </c>
      <c r="K282" s="17" t="s">
        <v>1666</v>
      </c>
      <c r="L282" s="17" t="s">
        <v>58</v>
      </c>
      <c r="M282" s="17" t="s">
        <v>256</v>
      </c>
      <c r="N282" s="16" t="s">
        <v>1674</v>
      </c>
      <c r="O282" s="18">
        <v>46249</v>
      </c>
      <c r="P282" s="19" t="s">
        <v>34</v>
      </c>
      <c r="Q282" s="17"/>
      <c r="R282" s="19" t="str">
        <f t="shared" si="4"/>
        <v>Source Link Present</v>
      </c>
    </row>
    <row r="283" spans="1:18" ht="60" customHeight="1" x14ac:dyDescent="0.2">
      <c r="A283" s="16" t="s">
        <v>1675</v>
      </c>
      <c r="B283" s="16" t="s">
        <v>1676</v>
      </c>
      <c r="C283" s="16" t="s">
        <v>1661</v>
      </c>
      <c r="D283" s="16" t="s">
        <v>1662</v>
      </c>
      <c r="E283" s="16" t="s">
        <v>99</v>
      </c>
      <c r="F283" s="16" t="s">
        <v>121</v>
      </c>
      <c r="G283" s="16" t="s">
        <v>46</v>
      </c>
      <c r="H283" s="17" t="s">
        <v>1677</v>
      </c>
      <c r="I283" s="17" t="s">
        <v>1678</v>
      </c>
      <c r="J283" s="17" t="s">
        <v>1679</v>
      </c>
      <c r="K283" s="17" t="s">
        <v>1666</v>
      </c>
      <c r="L283" s="17" t="s">
        <v>58</v>
      </c>
      <c r="M283" s="17" t="s">
        <v>256</v>
      </c>
      <c r="N283" s="16" t="s">
        <v>1680</v>
      </c>
      <c r="O283" s="18">
        <v>46249</v>
      </c>
      <c r="P283" s="19" t="s">
        <v>34</v>
      </c>
      <c r="Q283" s="17"/>
      <c r="R283" s="19" t="str">
        <f t="shared" si="4"/>
        <v>Discovery Link Only</v>
      </c>
    </row>
    <row r="284" spans="1:18" ht="60" customHeight="1" x14ac:dyDescent="0.2">
      <c r="A284" s="16" t="s">
        <v>1681</v>
      </c>
      <c r="B284" s="16" t="s">
        <v>1682</v>
      </c>
      <c r="C284" s="16" t="s">
        <v>1661</v>
      </c>
      <c r="D284" s="16" t="s">
        <v>1662</v>
      </c>
      <c r="E284" s="16" t="s">
        <v>37</v>
      </c>
      <c r="F284" s="16" t="s">
        <v>25</v>
      </c>
      <c r="G284" s="16" t="s">
        <v>26</v>
      </c>
      <c r="H284" s="17" t="s">
        <v>1683</v>
      </c>
      <c r="I284" s="17" t="s">
        <v>1684</v>
      </c>
      <c r="J284" s="17" t="s">
        <v>1685</v>
      </c>
      <c r="K284" s="17" t="s">
        <v>1666</v>
      </c>
      <c r="L284" s="17" t="s">
        <v>58</v>
      </c>
      <c r="M284" s="17" t="s">
        <v>256</v>
      </c>
      <c r="N284" s="16" t="s">
        <v>1686</v>
      </c>
      <c r="O284" s="18">
        <v>46249</v>
      </c>
      <c r="P284" s="19" t="s">
        <v>34</v>
      </c>
      <c r="Q284" s="17"/>
      <c r="R284" s="19" t="str">
        <f t="shared" si="4"/>
        <v>Discovery Link Only</v>
      </c>
    </row>
    <row r="285" spans="1:18" ht="60" customHeight="1" x14ac:dyDescent="0.2">
      <c r="A285" s="16" t="s">
        <v>1687</v>
      </c>
      <c r="B285" s="16" t="s">
        <v>1688</v>
      </c>
      <c r="C285" s="16" t="s">
        <v>1661</v>
      </c>
      <c r="D285" s="16" t="s">
        <v>1662</v>
      </c>
      <c r="E285" s="16" t="s">
        <v>140</v>
      </c>
      <c r="F285" s="16" t="s">
        <v>25</v>
      </c>
      <c r="G285" s="16" t="s">
        <v>26</v>
      </c>
      <c r="H285" s="17" t="s">
        <v>1689</v>
      </c>
      <c r="I285" s="17" t="s">
        <v>1690</v>
      </c>
      <c r="J285" s="17" t="s">
        <v>1691</v>
      </c>
      <c r="K285" s="17" t="s">
        <v>1666</v>
      </c>
      <c r="L285" s="17" t="s">
        <v>58</v>
      </c>
      <c r="M285" s="17" t="s">
        <v>256</v>
      </c>
      <c r="N285" s="16" t="s">
        <v>1692</v>
      </c>
      <c r="O285" s="18">
        <v>46249</v>
      </c>
      <c r="P285" s="19" t="s">
        <v>34</v>
      </c>
      <c r="Q285" s="17"/>
      <c r="R285" s="19" t="str">
        <f t="shared" si="4"/>
        <v>Discovery Link Only</v>
      </c>
    </row>
    <row r="286" spans="1:18" ht="60" customHeight="1" x14ac:dyDescent="0.2">
      <c r="A286" s="16" t="s">
        <v>1693</v>
      </c>
      <c r="B286" s="16" t="s">
        <v>1694</v>
      </c>
      <c r="C286" s="16" t="s">
        <v>1661</v>
      </c>
      <c r="D286" s="16" t="s">
        <v>1662</v>
      </c>
      <c r="E286" s="16" t="s">
        <v>115</v>
      </c>
      <c r="F286" s="16" t="s">
        <v>25</v>
      </c>
      <c r="G286" s="16" t="s">
        <v>46</v>
      </c>
      <c r="H286" s="17" t="s">
        <v>1695</v>
      </c>
      <c r="I286" s="17" t="s">
        <v>1696</v>
      </c>
      <c r="J286" s="17" t="s">
        <v>1697</v>
      </c>
      <c r="K286" s="17" t="s">
        <v>1666</v>
      </c>
      <c r="L286" s="17" t="s">
        <v>58</v>
      </c>
      <c r="M286" s="17" t="s">
        <v>256</v>
      </c>
      <c r="N286" s="16" t="s">
        <v>1698</v>
      </c>
      <c r="O286" s="18">
        <v>46249</v>
      </c>
      <c r="P286" s="19" t="s">
        <v>34</v>
      </c>
      <c r="Q286" s="17"/>
      <c r="R286" s="19" t="str">
        <f t="shared" si="4"/>
        <v>Discovery Link Only</v>
      </c>
    </row>
    <row r="287" spans="1:18" ht="60" customHeight="1" x14ac:dyDescent="0.2">
      <c r="A287" s="16" t="s">
        <v>1699</v>
      </c>
      <c r="B287" s="16" t="s">
        <v>1700</v>
      </c>
      <c r="C287" s="16" t="s">
        <v>1661</v>
      </c>
      <c r="D287" s="16" t="s">
        <v>1701</v>
      </c>
      <c r="E287" s="16" t="s">
        <v>251</v>
      </c>
      <c r="F287" s="16" t="s">
        <v>25</v>
      </c>
      <c r="G287" s="16" t="s">
        <v>26</v>
      </c>
      <c r="H287" s="17" t="s">
        <v>1702</v>
      </c>
      <c r="I287" s="17" t="s">
        <v>1703</v>
      </c>
      <c r="J287" s="17" t="s">
        <v>1704</v>
      </c>
      <c r="K287" s="17" t="s">
        <v>1666</v>
      </c>
      <c r="L287" s="17" t="s">
        <v>58</v>
      </c>
      <c r="M287" s="17" t="s">
        <v>256</v>
      </c>
      <c r="N287" s="16" t="s">
        <v>1705</v>
      </c>
      <c r="O287" s="18">
        <v>46249</v>
      </c>
      <c r="P287" s="19" t="s">
        <v>34</v>
      </c>
      <c r="Q287" s="17"/>
      <c r="R287" s="19" t="str">
        <f t="shared" si="4"/>
        <v>Discovery Link Only</v>
      </c>
    </row>
    <row r="288" spans="1:18" ht="60" customHeight="1" x14ac:dyDescent="0.2">
      <c r="A288" s="16" t="s">
        <v>1706</v>
      </c>
      <c r="B288" s="16" t="s">
        <v>1707</v>
      </c>
      <c r="C288" s="16" t="s">
        <v>1661</v>
      </c>
      <c r="D288" s="16" t="s">
        <v>1662</v>
      </c>
      <c r="E288" s="16" t="s">
        <v>45</v>
      </c>
      <c r="F288" s="16" t="s">
        <v>25</v>
      </c>
      <c r="G288" s="16" t="s">
        <v>26</v>
      </c>
      <c r="H288" s="17" t="s">
        <v>1708</v>
      </c>
      <c r="I288" s="17" t="s">
        <v>1709</v>
      </c>
      <c r="J288" s="17" t="s">
        <v>1710</v>
      </c>
      <c r="K288" s="17" t="s">
        <v>1666</v>
      </c>
      <c r="L288" s="17" t="s">
        <v>58</v>
      </c>
      <c r="M288" s="17" t="s">
        <v>256</v>
      </c>
      <c r="N288" s="16" t="s">
        <v>1711</v>
      </c>
      <c r="O288" s="18">
        <v>46249</v>
      </c>
      <c r="P288" s="19" t="s">
        <v>34</v>
      </c>
      <c r="Q288" s="17"/>
      <c r="R288" s="19" t="str">
        <f t="shared" si="4"/>
        <v>Discovery Link Only</v>
      </c>
    </row>
    <row r="289" spans="1:18" ht="60" customHeight="1" x14ac:dyDescent="0.2">
      <c r="A289" s="16" t="s">
        <v>1712</v>
      </c>
      <c r="B289" s="16" t="s">
        <v>1713</v>
      </c>
      <c r="C289" s="16" t="s">
        <v>1661</v>
      </c>
      <c r="D289" s="16" t="s">
        <v>1714</v>
      </c>
      <c r="E289" s="16" t="s">
        <v>251</v>
      </c>
      <c r="F289" s="16" t="s">
        <v>25</v>
      </c>
      <c r="G289" s="16" t="s">
        <v>26</v>
      </c>
      <c r="H289" s="17" t="s">
        <v>1715</v>
      </c>
      <c r="I289" s="17" t="s">
        <v>1716</v>
      </c>
      <c r="J289" s="17" t="s">
        <v>1717</v>
      </c>
      <c r="K289" s="17" t="s">
        <v>1666</v>
      </c>
      <c r="L289" s="17" t="s">
        <v>58</v>
      </c>
      <c r="M289" s="17" t="s">
        <v>256</v>
      </c>
      <c r="N289" s="16" t="s">
        <v>1718</v>
      </c>
      <c r="O289" s="18">
        <v>46249</v>
      </c>
      <c r="P289" s="19" t="s">
        <v>34</v>
      </c>
      <c r="Q289" s="17"/>
      <c r="R289" s="19" t="str">
        <f t="shared" si="4"/>
        <v>Discovery Link Only</v>
      </c>
    </row>
    <row r="290" spans="1:18" ht="60" customHeight="1" x14ac:dyDescent="0.2">
      <c r="A290" s="16" t="s">
        <v>1719</v>
      </c>
      <c r="B290" s="16" t="s">
        <v>1720</v>
      </c>
      <c r="C290" s="16" t="s">
        <v>1661</v>
      </c>
      <c r="D290" s="16" t="s">
        <v>1662</v>
      </c>
      <c r="E290" s="16" t="s">
        <v>133</v>
      </c>
      <c r="F290" s="16" t="s">
        <v>25</v>
      </c>
      <c r="G290" s="16" t="s">
        <v>134</v>
      </c>
      <c r="H290" s="17" t="s">
        <v>1721</v>
      </c>
      <c r="I290" s="17" t="s">
        <v>1722</v>
      </c>
      <c r="J290" s="17" t="s">
        <v>1723</v>
      </c>
      <c r="K290" s="17" t="s">
        <v>1666</v>
      </c>
      <c r="L290" s="17" t="s">
        <v>58</v>
      </c>
      <c r="M290" s="17" t="s">
        <v>256</v>
      </c>
      <c r="N290" s="16" t="s">
        <v>1724</v>
      </c>
      <c r="O290" s="18">
        <v>46249</v>
      </c>
      <c r="P290" s="19" t="s">
        <v>34</v>
      </c>
      <c r="Q290" s="17"/>
      <c r="R290" s="19" t="str">
        <f t="shared" si="4"/>
        <v>Discovery Link Only</v>
      </c>
    </row>
    <row r="291" spans="1:18" ht="60" customHeight="1" x14ac:dyDescent="0.2">
      <c r="A291" s="16" t="s">
        <v>1725</v>
      </c>
      <c r="B291" s="16" t="s">
        <v>1726</v>
      </c>
      <c r="C291" s="16" t="s">
        <v>1661</v>
      </c>
      <c r="D291" s="16" t="s">
        <v>1662</v>
      </c>
      <c r="E291" s="16" t="s">
        <v>133</v>
      </c>
      <c r="F291" s="16" t="s">
        <v>107</v>
      </c>
      <c r="G291" s="16" t="s">
        <v>134</v>
      </c>
      <c r="H291" s="17" t="s">
        <v>1727</v>
      </c>
      <c r="I291" s="17" t="s">
        <v>1728</v>
      </c>
      <c r="J291" s="17" t="s">
        <v>1729</v>
      </c>
      <c r="K291" s="17" t="s">
        <v>1666</v>
      </c>
      <c r="L291" s="17" t="s">
        <v>111</v>
      </c>
      <c r="M291" s="17" t="s">
        <v>1730</v>
      </c>
      <c r="N291" s="16"/>
      <c r="O291" s="18">
        <v>46249</v>
      </c>
      <c r="P291" s="19" t="s">
        <v>34</v>
      </c>
      <c r="Q291" s="17"/>
      <c r="R291" s="19" t="str">
        <f t="shared" si="4"/>
        <v>Discovery Link Only</v>
      </c>
    </row>
    <row r="292" spans="1:18" ht="60" customHeight="1" x14ac:dyDescent="0.2">
      <c r="A292" s="16" t="s">
        <v>1731</v>
      </c>
      <c r="B292" s="16" t="s">
        <v>1732</v>
      </c>
      <c r="C292" s="16" t="s">
        <v>1661</v>
      </c>
      <c r="D292" s="16" t="s">
        <v>1662</v>
      </c>
      <c r="E292" s="16" t="s">
        <v>140</v>
      </c>
      <c r="F292" s="16" t="s">
        <v>107</v>
      </c>
      <c r="G292" s="16" t="s">
        <v>46</v>
      </c>
      <c r="H292" s="17" t="s">
        <v>1733</v>
      </c>
      <c r="I292" s="17" t="s">
        <v>1734</v>
      </c>
      <c r="J292" s="17" t="s">
        <v>1735</v>
      </c>
      <c r="K292" s="17" t="s">
        <v>1666</v>
      </c>
      <c r="L292" s="17" t="s">
        <v>111</v>
      </c>
      <c r="M292" s="17" t="s">
        <v>1730</v>
      </c>
      <c r="N292" s="16"/>
      <c r="O292" s="18">
        <v>46249</v>
      </c>
      <c r="P292" s="19" t="s">
        <v>34</v>
      </c>
      <c r="Q292" s="17"/>
      <c r="R292" s="19" t="str">
        <f t="shared" si="4"/>
        <v>Discovery Link Only</v>
      </c>
    </row>
    <row r="293" spans="1:18" ht="60" customHeight="1" x14ac:dyDescent="0.2">
      <c r="A293" s="16" t="s">
        <v>1736</v>
      </c>
      <c r="B293" s="16" t="s">
        <v>1737</v>
      </c>
      <c r="C293" s="16" t="s">
        <v>1661</v>
      </c>
      <c r="D293" s="16" t="s">
        <v>1662</v>
      </c>
      <c r="E293" s="16" t="s">
        <v>133</v>
      </c>
      <c r="F293" s="16" t="s">
        <v>107</v>
      </c>
      <c r="G293" s="16" t="s">
        <v>134</v>
      </c>
      <c r="H293" s="17" t="s">
        <v>1738</v>
      </c>
      <c r="I293" s="17" t="s">
        <v>1739</v>
      </c>
      <c r="J293" s="17" t="s">
        <v>1740</v>
      </c>
      <c r="K293" s="17" t="s">
        <v>1666</v>
      </c>
      <c r="L293" s="17" t="s">
        <v>111</v>
      </c>
      <c r="M293" s="17" t="s">
        <v>1730</v>
      </c>
      <c r="N293" s="16"/>
      <c r="O293" s="18">
        <v>46249</v>
      </c>
      <c r="P293" s="19" t="s">
        <v>34</v>
      </c>
      <c r="Q293" s="17"/>
      <c r="R293" s="19" t="str">
        <f t="shared" si="4"/>
        <v>Discovery Link Only</v>
      </c>
    </row>
    <row r="294" spans="1:18" ht="60" customHeight="1" x14ac:dyDescent="0.2">
      <c r="A294" s="16" t="s">
        <v>1741</v>
      </c>
      <c r="B294" s="16" t="s">
        <v>1742</v>
      </c>
      <c r="C294" s="16" t="s">
        <v>1661</v>
      </c>
      <c r="D294" s="16" t="s">
        <v>1662</v>
      </c>
      <c r="E294" s="16" t="s">
        <v>151</v>
      </c>
      <c r="F294" s="16" t="s">
        <v>121</v>
      </c>
      <c r="G294" s="16" t="s">
        <v>134</v>
      </c>
      <c r="H294" s="17" t="s">
        <v>1743</v>
      </c>
      <c r="I294" s="17" t="s">
        <v>1744</v>
      </c>
      <c r="J294" s="17" t="s">
        <v>1745</v>
      </c>
      <c r="K294" s="17" t="s">
        <v>1666</v>
      </c>
      <c r="L294" s="17" t="s">
        <v>111</v>
      </c>
      <c r="M294" s="17" t="s">
        <v>1730</v>
      </c>
      <c r="N294" s="16"/>
      <c r="O294" s="18">
        <v>46249</v>
      </c>
      <c r="P294" s="19" t="s">
        <v>34</v>
      </c>
      <c r="Q294" s="17"/>
      <c r="R294" s="19" t="str">
        <f t="shared" si="4"/>
        <v>Discovery Link Only</v>
      </c>
    </row>
    <row r="295" spans="1:18" ht="60" customHeight="1" x14ac:dyDescent="0.2">
      <c r="A295" s="16" t="s">
        <v>1746</v>
      </c>
      <c r="B295" s="16" t="s">
        <v>1747</v>
      </c>
      <c r="C295" s="16" t="s">
        <v>1661</v>
      </c>
      <c r="D295" s="16" t="s">
        <v>1748</v>
      </c>
      <c r="E295" s="16" t="s">
        <v>72</v>
      </c>
      <c r="F295" s="16" t="s">
        <v>107</v>
      </c>
      <c r="G295" s="16" t="s">
        <v>26</v>
      </c>
      <c r="H295" s="17" t="s">
        <v>1749</v>
      </c>
      <c r="I295" s="17" t="s">
        <v>1750</v>
      </c>
      <c r="J295" s="17" t="s">
        <v>1751</v>
      </c>
      <c r="K295" s="17" t="s">
        <v>1666</v>
      </c>
      <c r="L295" s="17" t="s">
        <v>111</v>
      </c>
      <c r="M295" s="17" t="s">
        <v>1730</v>
      </c>
      <c r="N295" s="16"/>
      <c r="O295" s="18">
        <v>46249</v>
      </c>
      <c r="P295" s="19" t="s">
        <v>34</v>
      </c>
      <c r="Q295" s="17"/>
      <c r="R295" s="19" t="str">
        <f t="shared" si="4"/>
        <v>Discovery Link Only</v>
      </c>
    </row>
    <row r="296" spans="1:18" ht="60" customHeight="1" x14ac:dyDescent="0.2">
      <c r="A296" s="16" t="s">
        <v>1752</v>
      </c>
      <c r="B296" s="16" t="s">
        <v>1753</v>
      </c>
      <c r="C296" s="16" t="s">
        <v>1661</v>
      </c>
      <c r="D296" s="16" t="s">
        <v>1714</v>
      </c>
      <c r="E296" s="16" t="s">
        <v>45</v>
      </c>
      <c r="F296" s="16" t="s">
        <v>107</v>
      </c>
      <c r="G296" s="16" t="s">
        <v>26</v>
      </c>
      <c r="H296" s="17" t="s">
        <v>1754</v>
      </c>
      <c r="I296" s="17" t="s">
        <v>1755</v>
      </c>
      <c r="J296" s="17" t="s">
        <v>1756</v>
      </c>
      <c r="K296" s="17" t="s">
        <v>1666</v>
      </c>
      <c r="L296" s="17" t="s">
        <v>111</v>
      </c>
      <c r="M296" s="17" t="s">
        <v>1730</v>
      </c>
      <c r="N296" s="16"/>
      <c r="O296" s="18">
        <v>46249</v>
      </c>
      <c r="P296" s="19" t="s">
        <v>34</v>
      </c>
      <c r="Q296" s="17"/>
      <c r="R296" s="19" t="str">
        <f t="shared" si="4"/>
        <v>Discovery Link Only</v>
      </c>
    </row>
    <row r="297" spans="1:18" ht="60" customHeight="1" x14ac:dyDescent="0.2">
      <c r="A297" s="16" t="s">
        <v>1757</v>
      </c>
      <c r="B297" s="16" t="s">
        <v>1758</v>
      </c>
      <c r="C297" s="16" t="s">
        <v>1661</v>
      </c>
      <c r="D297" s="16" t="s">
        <v>1714</v>
      </c>
      <c r="E297" s="16" t="s">
        <v>45</v>
      </c>
      <c r="F297" s="16" t="s">
        <v>107</v>
      </c>
      <c r="G297" s="16" t="s">
        <v>26</v>
      </c>
      <c r="H297" s="17" t="s">
        <v>1759</v>
      </c>
      <c r="I297" s="17" t="s">
        <v>1760</v>
      </c>
      <c r="J297" s="17" t="s">
        <v>1761</v>
      </c>
      <c r="K297" s="17" t="s">
        <v>1666</v>
      </c>
      <c r="L297" s="17" t="s">
        <v>111</v>
      </c>
      <c r="M297" s="17" t="s">
        <v>1730</v>
      </c>
      <c r="N297" s="16"/>
      <c r="O297" s="18">
        <v>46249</v>
      </c>
      <c r="P297" s="19" t="s">
        <v>34</v>
      </c>
      <c r="Q297" s="17"/>
      <c r="R297" s="19" t="str">
        <f t="shared" si="4"/>
        <v>Discovery Link Only</v>
      </c>
    </row>
    <row r="298" spans="1:18" ht="60" customHeight="1" x14ac:dyDescent="0.2">
      <c r="A298" s="16" t="s">
        <v>1762</v>
      </c>
      <c r="B298" s="16" t="s">
        <v>1763</v>
      </c>
      <c r="C298" s="16" t="s">
        <v>1661</v>
      </c>
      <c r="D298" s="16" t="s">
        <v>1764</v>
      </c>
      <c r="E298" s="16" t="s">
        <v>99</v>
      </c>
      <c r="F298" s="16" t="s">
        <v>107</v>
      </c>
      <c r="G298" s="16" t="s">
        <v>46</v>
      </c>
      <c r="H298" s="17" t="s">
        <v>1765</v>
      </c>
      <c r="I298" s="17" t="s">
        <v>1766</v>
      </c>
      <c r="J298" s="17" t="s">
        <v>1767</v>
      </c>
      <c r="K298" s="17" t="s">
        <v>1666</v>
      </c>
      <c r="L298" s="17" t="s">
        <v>111</v>
      </c>
      <c r="M298" s="17" t="s">
        <v>1730</v>
      </c>
      <c r="N298" s="16"/>
      <c r="O298" s="18">
        <v>46249</v>
      </c>
      <c r="P298" s="19" t="s">
        <v>34</v>
      </c>
      <c r="Q298" s="17"/>
      <c r="R298" s="19" t="str">
        <f t="shared" si="4"/>
        <v>Discovery Link Only</v>
      </c>
    </row>
    <row r="299" spans="1:18" ht="60" customHeight="1" x14ac:dyDescent="0.2">
      <c r="A299" s="16" t="s">
        <v>1768</v>
      </c>
      <c r="B299" s="16" t="s">
        <v>1769</v>
      </c>
      <c r="C299" s="16" t="s">
        <v>1661</v>
      </c>
      <c r="D299" s="16" t="s">
        <v>1770</v>
      </c>
      <c r="E299" s="16" t="s">
        <v>45</v>
      </c>
      <c r="F299" s="16" t="s">
        <v>107</v>
      </c>
      <c r="G299" s="16" t="s">
        <v>26</v>
      </c>
      <c r="H299" s="17" t="s">
        <v>1771</v>
      </c>
      <c r="I299" s="17" t="s">
        <v>1772</v>
      </c>
      <c r="J299" s="17" t="s">
        <v>1773</v>
      </c>
      <c r="K299" s="17" t="s">
        <v>1666</v>
      </c>
      <c r="L299" s="17" t="s">
        <v>111</v>
      </c>
      <c r="M299" s="17" t="s">
        <v>1730</v>
      </c>
      <c r="N299" s="16"/>
      <c r="O299" s="18">
        <v>46249</v>
      </c>
      <c r="P299" s="19" t="s">
        <v>34</v>
      </c>
      <c r="Q299" s="17"/>
      <c r="R299" s="19" t="str">
        <f t="shared" si="4"/>
        <v>Discovery Link Only</v>
      </c>
    </row>
    <row r="300" spans="1:18" ht="60" customHeight="1" x14ac:dyDescent="0.2">
      <c r="A300" s="16" t="s">
        <v>1774</v>
      </c>
      <c r="B300" s="16" t="s">
        <v>1775</v>
      </c>
      <c r="C300" s="16" t="s">
        <v>1661</v>
      </c>
      <c r="D300" s="16" t="s">
        <v>1770</v>
      </c>
      <c r="E300" s="16" t="s">
        <v>45</v>
      </c>
      <c r="F300" s="16" t="s">
        <v>194</v>
      </c>
      <c r="G300" s="16" t="s">
        <v>26</v>
      </c>
      <c r="H300" s="17" t="s">
        <v>1776</v>
      </c>
      <c r="I300" s="17" t="s">
        <v>1777</v>
      </c>
      <c r="J300" s="17" t="s">
        <v>1778</v>
      </c>
      <c r="K300" s="17" t="s">
        <v>1666</v>
      </c>
      <c r="L300" s="17" t="s">
        <v>111</v>
      </c>
      <c r="M300" s="17" t="s">
        <v>1730</v>
      </c>
      <c r="N300" s="16"/>
      <c r="O300" s="18">
        <v>46249</v>
      </c>
      <c r="P300" s="19" t="s">
        <v>34</v>
      </c>
      <c r="Q300" s="17"/>
      <c r="R300" s="19" t="str">
        <f t="shared" si="4"/>
        <v>Discovery Link Only</v>
      </c>
    </row>
    <row r="301" spans="1:18" ht="60" customHeight="1" x14ac:dyDescent="0.2">
      <c r="A301" s="16" t="s">
        <v>1779</v>
      </c>
      <c r="B301" s="16" t="s">
        <v>1780</v>
      </c>
      <c r="C301" s="16" t="s">
        <v>1661</v>
      </c>
      <c r="D301" s="16" t="s">
        <v>1781</v>
      </c>
      <c r="E301" s="16" t="s">
        <v>45</v>
      </c>
      <c r="F301" s="16" t="s">
        <v>194</v>
      </c>
      <c r="G301" s="16" t="s">
        <v>26</v>
      </c>
      <c r="H301" s="17" t="s">
        <v>1782</v>
      </c>
      <c r="I301" s="17" t="s">
        <v>1783</v>
      </c>
      <c r="J301" s="17" t="s">
        <v>1784</v>
      </c>
      <c r="K301" s="17" t="s">
        <v>1666</v>
      </c>
      <c r="L301" s="17" t="s">
        <v>111</v>
      </c>
      <c r="M301" s="17" t="s">
        <v>1730</v>
      </c>
      <c r="N301" s="16"/>
      <c r="O301" s="18">
        <v>46249</v>
      </c>
      <c r="P301" s="19" t="s">
        <v>34</v>
      </c>
      <c r="Q301" s="17"/>
      <c r="R301" s="19" t="str">
        <f t="shared" si="4"/>
        <v>Discovery Link Only</v>
      </c>
    </row>
    <row r="302" spans="1:18" ht="60" customHeight="1" x14ac:dyDescent="0.2">
      <c r="A302" s="16" t="s">
        <v>1785</v>
      </c>
      <c r="B302" s="16" t="s">
        <v>1786</v>
      </c>
      <c r="C302" s="16" t="s">
        <v>1661</v>
      </c>
      <c r="D302" s="16" t="s">
        <v>1781</v>
      </c>
      <c r="E302" s="16" t="s">
        <v>133</v>
      </c>
      <c r="F302" s="16" t="s">
        <v>127</v>
      </c>
      <c r="G302" s="16" t="s">
        <v>134</v>
      </c>
      <c r="H302" s="17" t="s">
        <v>1787</v>
      </c>
      <c r="I302" s="17" t="s">
        <v>1788</v>
      </c>
      <c r="J302" s="17" t="s">
        <v>1789</v>
      </c>
      <c r="K302" s="17" t="s">
        <v>1666</v>
      </c>
      <c r="L302" s="17" t="s">
        <v>111</v>
      </c>
      <c r="M302" s="17" t="s">
        <v>1730</v>
      </c>
      <c r="N302" s="16"/>
      <c r="O302" s="18">
        <v>46249</v>
      </c>
      <c r="P302" s="19" t="s">
        <v>34</v>
      </c>
      <c r="Q302" s="17"/>
      <c r="R302" s="19" t="str">
        <f t="shared" si="4"/>
        <v>Discovery Link Only</v>
      </c>
    </row>
    <row r="303" spans="1:18" ht="60" customHeight="1" x14ac:dyDescent="0.2">
      <c r="A303" s="16" t="s">
        <v>1790</v>
      </c>
      <c r="B303" s="16" t="s">
        <v>1791</v>
      </c>
      <c r="C303" s="16" t="s">
        <v>1661</v>
      </c>
      <c r="D303" s="16" t="s">
        <v>1792</v>
      </c>
      <c r="E303" s="16" t="s">
        <v>151</v>
      </c>
      <c r="F303" s="16" t="s">
        <v>121</v>
      </c>
      <c r="G303" s="16" t="s">
        <v>134</v>
      </c>
      <c r="H303" s="17" t="s">
        <v>1793</v>
      </c>
      <c r="I303" s="17" t="s">
        <v>1794</v>
      </c>
      <c r="J303" s="17" t="s">
        <v>1795</v>
      </c>
      <c r="K303" s="17" t="s">
        <v>1666</v>
      </c>
      <c r="L303" s="17" t="s">
        <v>111</v>
      </c>
      <c r="M303" s="17" t="s">
        <v>1730</v>
      </c>
      <c r="N303" s="16"/>
      <c r="O303" s="18">
        <v>46249</v>
      </c>
      <c r="P303" s="19" t="s">
        <v>34</v>
      </c>
      <c r="Q303" s="17"/>
      <c r="R303" s="19" t="str">
        <f t="shared" si="4"/>
        <v>Discovery Link Only</v>
      </c>
    </row>
    <row r="304" spans="1:18" ht="60" customHeight="1" x14ac:dyDescent="0.2">
      <c r="A304" s="16" t="s">
        <v>1796</v>
      </c>
      <c r="B304" s="16" t="s">
        <v>1797</v>
      </c>
      <c r="C304" s="16" t="s">
        <v>1661</v>
      </c>
      <c r="D304" s="16" t="s">
        <v>1792</v>
      </c>
      <c r="E304" s="16" t="s">
        <v>133</v>
      </c>
      <c r="F304" s="16" t="s">
        <v>121</v>
      </c>
      <c r="G304" s="16" t="s">
        <v>134</v>
      </c>
      <c r="H304" s="17" t="s">
        <v>1798</v>
      </c>
      <c r="I304" s="17" t="s">
        <v>1799</v>
      </c>
      <c r="J304" s="17" t="s">
        <v>1800</v>
      </c>
      <c r="K304" s="17" t="s">
        <v>1666</v>
      </c>
      <c r="L304" s="17" t="s">
        <v>111</v>
      </c>
      <c r="M304" s="17" t="s">
        <v>1730</v>
      </c>
      <c r="N304" s="16"/>
      <c r="O304" s="18">
        <v>46249</v>
      </c>
      <c r="P304" s="19" t="s">
        <v>34</v>
      </c>
      <c r="Q304" s="17"/>
      <c r="R304" s="19" t="str">
        <f t="shared" si="4"/>
        <v>Discovery Link Only</v>
      </c>
    </row>
    <row r="305" spans="1:18" ht="60" customHeight="1" x14ac:dyDescent="0.2">
      <c r="A305" s="16" t="s">
        <v>1801</v>
      </c>
      <c r="B305" s="16" t="s">
        <v>1802</v>
      </c>
      <c r="C305" s="16" t="s">
        <v>1661</v>
      </c>
      <c r="D305" s="16" t="s">
        <v>1803</v>
      </c>
      <c r="E305" s="16" t="s">
        <v>99</v>
      </c>
      <c r="F305" s="16" t="s">
        <v>194</v>
      </c>
      <c r="G305" s="16" t="s">
        <v>46</v>
      </c>
      <c r="H305" s="17" t="s">
        <v>1804</v>
      </c>
      <c r="I305" s="17" t="s">
        <v>1805</v>
      </c>
      <c r="J305" s="17" t="s">
        <v>1806</v>
      </c>
      <c r="K305" s="17" t="s">
        <v>1666</v>
      </c>
      <c r="L305" s="17" t="s">
        <v>111</v>
      </c>
      <c r="M305" s="17" t="s">
        <v>1730</v>
      </c>
      <c r="N305" s="16"/>
      <c r="O305" s="18">
        <v>46249</v>
      </c>
      <c r="P305" s="19" t="s">
        <v>34</v>
      </c>
      <c r="Q305" s="17"/>
      <c r="R305" s="19" t="str">
        <f t="shared" si="4"/>
        <v>Discovery Link Only</v>
      </c>
    </row>
    <row r="306" spans="1:18" ht="60" customHeight="1" x14ac:dyDescent="0.2">
      <c r="A306" s="16" t="s">
        <v>1807</v>
      </c>
      <c r="B306" s="16" t="s">
        <v>1808</v>
      </c>
      <c r="C306" s="16" t="s">
        <v>1661</v>
      </c>
      <c r="D306" s="16" t="s">
        <v>1809</v>
      </c>
      <c r="E306" s="16" t="s">
        <v>45</v>
      </c>
      <c r="F306" s="16" t="s">
        <v>107</v>
      </c>
      <c r="G306" s="16" t="s">
        <v>26</v>
      </c>
      <c r="H306" s="17" t="s">
        <v>1810</v>
      </c>
      <c r="I306" s="17" t="s">
        <v>1811</v>
      </c>
      <c r="J306" s="17" t="s">
        <v>1812</v>
      </c>
      <c r="K306" s="17" t="s">
        <v>1666</v>
      </c>
      <c r="L306" s="17" t="s">
        <v>111</v>
      </c>
      <c r="M306" s="17" t="s">
        <v>1730</v>
      </c>
      <c r="N306" s="16"/>
      <c r="O306" s="18">
        <v>46249</v>
      </c>
      <c r="P306" s="19" t="s">
        <v>34</v>
      </c>
      <c r="Q306" s="17"/>
      <c r="R306" s="19" t="str">
        <f t="shared" si="4"/>
        <v>Discovery Link Only</v>
      </c>
    </row>
    <row r="307" spans="1:18" ht="60" customHeight="1" x14ac:dyDescent="0.2">
      <c r="A307" s="16" t="s">
        <v>1813</v>
      </c>
      <c r="B307" s="16" t="s">
        <v>1814</v>
      </c>
      <c r="C307" s="16" t="s">
        <v>1661</v>
      </c>
      <c r="D307" s="16" t="s">
        <v>1809</v>
      </c>
      <c r="E307" s="16" t="s">
        <v>37</v>
      </c>
      <c r="F307" s="16" t="s">
        <v>121</v>
      </c>
      <c r="G307" s="16" t="s">
        <v>26</v>
      </c>
      <c r="H307" s="17" t="s">
        <v>1815</v>
      </c>
      <c r="I307" s="17" t="s">
        <v>1816</v>
      </c>
      <c r="J307" s="17" t="s">
        <v>1817</v>
      </c>
      <c r="K307" s="17" t="s">
        <v>1666</v>
      </c>
      <c r="L307" s="17" t="s">
        <v>111</v>
      </c>
      <c r="M307" s="17" t="s">
        <v>1730</v>
      </c>
      <c r="N307" s="16"/>
      <c r="O307" s="18">
        <v>46249</v>
      </c>
      <c r="P307" s="19" t="s">
        <v>34</v>
      </c>
      <c r="Q307" s="17"/>
      <c r="R307" s="19" t="str">
        <f t="shared" si="4"/>
        <v>Discovery Link Only</v>
      </c>
    </row>
    <row r="308" spans="1:18" ht="60" customHeight="1" x14ac:dyDescent="0.2">
      <c r="A308" s="16" t="s">
        <v>1818</v>
      </c>
      <c r="B308" s="16" t="s">
        <v>1819</v>
      </c>
      <c r="C308" s="16" t="s">
        <v>1661</v>
      </c>
      <c r="D308" s="16" t="s">
        <v>1701</v>
      </c>
      <c r="E308" s="16" t="s">
        <v>72</v>
      </c>
      <c r="F308" s="16" t="s">
        <v>127</v>
      </c>
      <c r="G308" s="16" t="s">
        <v>26</v>
      </c>
      <c r="H308" s="17" t="s">
        <v>1820</v>
      </c>
      <c r="I308" s="17" t="s">
        <v>1821</v>
      </c>
      <c r="J308" s="17" t="s">
        <v>1822</v>
      </c>
      <c r="K308" s="17" t="s">
        <v>1666</v>
      </c>
      <c r="L308" s="17" t="s">
        <v>111</v>
      </c>
      <c r="M308" s="17" t="s">
        <v>1730</v>
      </c>
      <c r="N308" s="16"/>
      <c r="O308" s="18">
        <v>46249</v>
      </c>
      <c r="P308" s="19" t="s">
        <v>34</v>
      </c>
      <c r="Q308" s="17"/>
      <c r="R308" s="19" t="str">
        <f t="shared" si="4"/>
        <v>Discovery Link Only</v>
      </c>
    </row>
    <row r="309" spans="1:18" ht="60" customHeight="1" x14ac:dyDescent="0.2">
      <c r="A309" s="16" t="s">
        <v>1823</v>
      </c>
      <c r="B309" s="16" t="s">
        <v>1824</v>
      </c>
      <c r="C309" s="16" t="s">
        <v>1661</v>
      </c>
      <c r="D309" s="16" t="s">
        <v>1701</v>
      </c>
      <c r="E309" s="16" t="s">
        <v>115</v>
      </c>
      <c r="F309" s="16" t="s">
        <v>107</v>
      </c>
      <c r="G309" s="16" t="s">
        <v>46</v>
      </c>
      <c r="H309" s="17" t="s">
        <v>1825</v>
      </c>
      <c r="I309" s="17" t="s">
        <v>1826</v>
      </c>
      <c r="J309" s="17" t="s">
        <v>1827</v>
      </c>
      <c r="K309" s="17" t="s">
        <v>1666</v>
      </c>
      <c r="L309" s="17" t="s">
        <v>111</v>
      </c>
      <c r="M309" s="17" t="s">
        <v>1730</v>
      </c>
      <c r="N309" s="16"/>
      <c r="O309" s="18">
        <v>46249</v>
      </c>
      <c r="P309" s="19" t="s">
        <v>34</v>
      </c>
      <c r="Q309" s="17"/>
      <c r="R309" s="19" t="str">
        <f t="shared" si="4"/>
        <v>Discovery Link Only</v>
      </c>
    </row>
    <row r="310" spans="1:18" ht="60" customHeight="1" x14ac:dyDescent="0.2">
      <c r="A310" s="16" t="s">
        <v>1828</v>
      </c>
      <c r="B310" s="16" t="s">
        <v>1829</v>
      </c>
      <c r="C310" s="16" t="s">
        <v>1661</v>
      </c>
      <c r="D310" s="16" t="s">
        <v>1830</v>
      </c>
      <c r="E310" s="16" t="s">
        <v>45</v>
      </c>
      <c r="F310" s="16" t="s">
        <v>121</v>
      </c>
      <c r="G310" s="16" t="s">
        <v>26</v>
      </c>
      <c r="H310" s="17" t="s">
        <v>1831</v>
      </c>
      <c r="I310" s="17" t="s">
        <v>1832</v>
      </c>
      <c r="J310" s="17" t="s">
        <v>1833</v>
      </c>
      <c r="K310" s="17" t="s">
        <v>1666</v>
      </c>
      <c r="L310" s="17" t="s">
        <v>111</v>
      </c>
      <c r="M310" s="17" t="s">
        <v>1730</v>
      </c>
      <c r="N310" s="16"/>
      <c r="O310" s="18">
        <v>46249</v>
      </c>
      <c r="P310" s="19" t="s">
        <v>34</v>
      </c>
      <c r="Q310" s="17"/>
      <c r="R310" s="19" t="str">
        <f t="shared" si="4"/>
        <v>Discovery Link Only</v>
      </c>
    </row>
    <row r="311" spans="1:18" ht="60" customHeight="1" x14ac:dyDescent="0.2">
      <c r="A311" s="16" t="s">
        <v>1834</v>
      </c>
      <c r="B311" s="16" t="s">
        <v>1835</v>
      </c>
      <c r="C311" s="16" t="s">
        <v>1661</v>
      </c>
      <c r="D311" s="16" t="s">
        <v>1836</v>
      </c>
      <c r="E311" s="16" t="s">
        <v>99</v>
      </c>
      <c r="F311" s="16" t="s">
        <v>194</v>
      </c>
      <c r="G311" s="16" t="s">
        <v>46</v>
      </c>
      <c r="H311" s="17" t="s">
        <v>1837</v>
      </c>
      <c r="I311" s="17" t="s">
        <v>1838</v>
      </c>
      <c r="J311" s="17" t="s">
        <v>1839</v>
      </c>
      <c r="K311" s="17" t="s">
        <v>1666</v>
      </c>
      <c r="L311" s="17" t="s">
        <v>111</v>
      </c>
      <c r="M311" s="17" t="s">
        <v>1730</v>
      </c>
      <c r="N311" s="16"/>
      <c r="O311" s="18">
        <v>46249</v>
      </c>
      <c r="P311" s="19" t="s">
        <v>34</v>
      </c>
      <c r="Q311" s="17"/>
      <c r="R311" s="19" t="str">
        <f t="shared" si="4"/>
        <v>Discovery Link Only</v>
      </c>
    </row>
    <row r="312" spans="1:18" ht="60" customHeight="1" x14ac:dyDescent="0.2">
      <c r="A312" s="16" t="s">
        <v>1840</v>
      </c>
      <c r="B312" s="16" t="s">
        <v>1841</v>
      </c>
      <c r="C312" s="16" t="s">
        <v>1661</v>
      </c>
      <c r="D312" s="16" t="s">
        <v>1842</v>
      </c>
      <c r="E312" s="16" t="s">
        <v>99</v>
      </c>
      <c r="F312" s="16" t="s">
        <v>194</v>
      </c>
      <c r="G312" s="16" t="s">
        <v>46</v>
      </c>
      <c r="H312" s="17" t="s">
        <v>1843</v>
      </c>
      <c r="I312" s="17" t="s">
        <v>1844</v>
      </c>
      <c r="J312" s="17" t="s">
        <v>1845</v>
      </c>
      <c r="K312" s="17" t="s">
        <v>1666</v>
      </c>
      <c r="L312" s="17" t="s">
        <v>111</v>
      </c>
      <c r="M312" s="17" t="s">
        <v>1730</v>
      </c>
      <c r="N312" s="16"/>
      <c r="O312" s="18">
        <v>46249</v>
      </c>
      <c r="P312" s="19" t="s">
        <v>34</v>
      </c>
      <c r="Q312" s="17"/>
      <c r="R312" s="19" t="str">
        <f t="shared" si="4"/>
        <v>Discovery Link Only</v>
      </c>
    </row>
    <row r="313" spans="1:18" ht="60" customHeight="1" x14ac:dyDescent="0.2">
      <c r="A313" s="16" t="s">
        <v>1846</v>
      </c>
      <c r="B313" s="16" t="s">
        <v>1847</v>
      </c>
      <c r="C313" s="16" t="s">
        <v>1661</v>
      </c>
      <c r="D313" s="16" t="s">
        <v>1848</v>
      </c>
      <c r="E313" s="16" t="s">
        <v>45</v>
      </c>
      <c r="F313" s="16" t="s">
        <v>194</v>
      </c>
      <c r="G313" s="16" t="s">
        <v>26</v>
      </c>
      <c r="H313" s="17" t="s">
        <v>1849</v>
      </c>
      <c r="I313" s="17" t="s">
        <v>1850</v>
      </c>
      <c r="J313" s="17" t="s">
        <v>1851</v>
      </c>
      <c r="K313" s="17" t="s">
        <v>1666</v>
      </c>
      <c r="L313" s="17" t="s">
        <v>111</v>
      </c>
      <c r="M313" s="17" t="s">
        <v>1730</v>
      </c>
      <c r="N313" s="16"/>
      <c r="O313" s="18">
        <v>46249</v>
      </c>
      <c r="P313" s="19" t="s">
        <v>34</v>
      </c>
      <c r="Q313" s="17"/>
      <c r="R313" s="19" t="str">
        <f t="shared" si="4"/>
        <v>Discovery Link Only</v>
      </c>
    </row>
    <row r="314" spans="1:18" ht="60" customHeight="1" x14ac:dyDescent="0.2">
      <c r="A314" s="16" t="s">
        <v>1852</v>
      </c>
      <c r="B314" s="16" t="s">
        <v>1853</v>
      </c>
      <c r="C314" s="16" t="s">
        <v>1854</v>
      </c>
      <c r="D314" s="16" t="s">
        <v>1855</v>
      </c>
      <c r="E314" s="16" t="s">
        <v>72</v>
      </c>
      <c r="F314" s="16" t="s">
        <v>121</v>
      </c>
      <c r="G314" s="16" t="s">
        <v>46</v>
      </c>
      <c r="H314" s="17" t="s">
        <v>1856</v>
      </c>
      <c r="I314" s="17" t="s">
        <v>1857</v>
      </c>
      <c r="J314" s="17" t="s">
        <v>1858</v>
      </c>
      <c r="K314" s="17" t="s">
        <v>1859</v>
      </c>
      <c r="L314" s="17" t="s">
        <v>58</v>
      </c>
      <c r="M314" s="17" t="s">
        <v>256</v>
      </c>
      <c r="N314" s="16" t="s">
        <v>1860</v>
      </c>
      <c r="O314" s="18">
        <v>46249</v>
      </c>
      <c r="P314" s="19" t="s">
        <v>34</v>
      </c>
      <c r="Q314" s="17"/>
      <c r="R314" s="19" t="str">
        <f t="shared" si="4"/>
        <v>Source Link Present</v>
      </c>
    </row>
    <row r="315" spans="1:18" ht="60" customHeight="1" x14ac:dyDescent="0.2">
      <c r="A315" s="16" t="s">
        <v>1861</v>
      </c>
      <c r="B315" s="16" t="s">
        <v>1862</v>
      </c>
      <c r="C315" s="16" t="s">
        <v>1854</v>
      </c>
      <c r="D315" s="16" t="s">
        <v>1863</v>
      </c>
      <c r="E315" s="16" t="s">
        <v>106</v>
      </c>
      <c r="F315" s="16" t="s">
        <v>25</v>
      </c>
      <c r="G315" s="16" t="s">
        <v>46</v>
      </c>
      <c r="H315" s="17" t="s">
        <v>1864</v>
      </c>
      <c r="I315" s="17" t="s">
        <v>1865</v>
      </c>
      <c r="J315" s="17" t="s">
        <v>1866</v>
      </c>
      <c r="K315" s="17" t="s">
        <v>1859</v>
      </c>
      <c r="L315" s="17" t="s">
        <v>58</v>
      </c>
      <c r="M315" s="17" t="s">
        <v>256</v>
      </c>
      <c r="N315" s="16" t="s">
        <v>1867</v>
      </c>
      <c r="O315" s="18">
        <v>46249</v>
      </c>
      <c r="P315" s="19" t="s">
        <v>34</v>
      </c>
      <c r="Q315" s="17"/>
      <c r="R315" s="19" t="str">
        <f t="shared" si="4"/>
        <v>Source Link Present</v>
      </c>
    </row>
    <row r="316" spans="1:18" ht="60" customHeight="1" x14ac:dyDescent="0.2">
      <c r="A316" s="16" t="s">
        <v>1868</v>
      </c>
      <c r="B316" s="16" t="s">
        <v>1869</v>
      </c>
      <c r="C316" s="16" t="s">
        <v>1854</v>
      </c>
      <c r="D316" s="16" t="s">
        <v>1870</v>
      </c>
      <c r="E316" s="16" t="s">
        <v>64</v>
      </c>
      <c r="F316" s="16" t="s">
        <v>25</v>
      </c>
      <c r="G316" s="16" t="s">
        <v>46</v>
      </c>
      <c r="H316" s="17" t="s">
        <v>1871</v>
      </c>
      <c r="I316" s="17" t="s">
        <v>1872</v>
      </c>
      <c r="J316" s="17" t="s">
        <v>1873</v>
      </c>
      <c r="K316" s="17" t="s">
        <v>1859</v>
      </c>
      <c r="L316" s="17" t="s">
        <v>58</v>
      </c>
      <c r="M316" s="17" t="s">
        <v>256</v>
      </c>
      <c r="N316" s="16" t="s">
        <v>1874</v>
      </c>
      <c r="O316" s="18">
        <v>46249</v>
      </c>
      <c r="P316" s="19" t="s">
        <v>34</v>
      </c>
      <c r="Q316" s="17"/>
      <c r="R316" s="19" t="str">
        <f t="shared" si="4"/>
        <v>Source Link Present</v>
      </c>
    </row>
    <row r="317" spans="1:18" ht="60" customHeight="1" x14ac:dyDescent="0.2">
      <c r="A317" s="16" t="s">
        <v>1875</v>
      </c>
      <c r="B317" s="16" t="s">
        <v>1876</v>
      </c>
      <c r="C317" s="16" t="s">
        <v>1854</v>
      </c>
      <c r="D317" s="16" t="s">
        <v>1877</v>
      </c>
      <c r="E317" s="16" t="s">
        <v>64</v>
      </c>
      <c r="F317" s="16" t="s">
        <v>25</v>
      </c>
      <c r="G317" s="16" t="s">
        <v>46</v>
      </c>
      <c r="H317" s="17" t="s">
        <v>1878</v>
      </c>
      <c r="I317" s="17" t="s">
        <v>1879</v>
      </c>
      <c r="J317" s="17" t="s">
        <v>1880</v>
      </c>
      <c r="K317" s="17" t="s">
        <v>1859</v>
      </c>
      <c r="L317" s="17" t="s">
        <v>58</v>
      </c>
      <c r="M317" s="17" t="s">
        <v>256</v>
      </c>
      <c r="N317" s="16" t="s">
        <v>1881</v>
      </c>
      <c r="O317" s="18">
        <v>46249</v>
      </c>
      <c r="P317" s="19" t="s">
        <v>34</v>
      </c>
      <c r="Q317" s="17"/>
      <c r="R317" s="19" t="str">
        <f t="shared" si="4"/>
        <v>Discovery Link Only</v>
      </c>
    </row>
    <row r="318" spans="1:18" ht="60" customHeight="1" x14ac:dyDescent="0.2">
      <c r="A318" s="16" t="s">
        <v>1882</v>
      </c>
      <c r="B318" s="16" t="s">
        <v>1883</v>
      </c>
      <c r="C318" s="16" t="s">
        <v>1854</v>
      </c>
      <c r="D318" s="16" t="s">
        <v>1884</v>
      </c>
      <c r="E318" s="16" t="s">
        <v>45</v>
      </c>
      <c r="F318" s="16" t="s">
        <v>25</v>
      </c>
      <c r="G318" s="16" t="s">
        <v>26</v>
      </c>
      <c r="H318" s="17" t="s">
        <v>1885</v>
      </c>
      <c r="I318" s="17" t="s">
        <v>1886</v>
      </c>
      <c r="J318" s="17" t="s">
        <v>1887</v>
      </c>
      <c r="K318" s="17" t="s">
        <v>1859</v>
      </c>
      <c r="L318" s="17" t="s">
        <v>58</v>
      </c>
      <c r="M318" s="17" t="s">
        <v>256</v>
      </c>
      <c r="N318" s="16" t="s">
        <v>1888</v>
      </c>
      <c r="O318" s="18">
        <v>46249</v>
      </c>
      <c r="P318" s="19" t="s">
        <v>34</v>
      </c>
      <c r="Q318" s="17"/>
      <c r="R318" s="19" t="str">
        <f t="shared" si="4"/>
        <v>Discovery Link Only</v>
      </c>
    </row>
    <row r="319" spans="1:18" ht="60" customHeight="1" x14ac:dyDescent="0.2">
      <c r="A319" s="16" t="s">
        <v>1889</v>
      </c>
      <c r="B319" s="16" t="s">
        <v>1890</v>
      </c>
      <c r="C319" s="16" t="s">
        <v>1854</v>
      </c>
      <c r="D319" s="16" t="s">
        <v>1884</v>
      </c>
      <c r="E319" s="16" t="s">
        <v>45</v>
      </c>
      <c r="F319" s="16" t="s">
        <v>25</v>
      </c>
      <c r="G319" s="16" t="s">
        <v>26</v>
      </c>
      <c r="H319" s="17" t="s">
        <v>1891</v>
      </c>
      <c r="I319" s="17" t="s">
        <v>1892</v>
      </c>
      <c r="J319" s="17" t="s">
        <v>1893</v>
      </c>
      <c r="K319" s="17" t="s">
        <v>1859</v>
      </c>
      <c r="L319" s="17" t="s">
        <v>58</v>
      </c>
      <c r="M319" s="17" t="s">
        <v>256</v>
      </c>
      <c r="N319" s="16" t="s">
        <v>1894</v>
      </c>
      <c r="O319" s="18">
        <v>46249</v>
      </c>
      <c r="P319" s="19" t="s">
        <v>34</v>
      </c>
      <c r="Q319" s="17"/>
      <c r="R319" s="19" t="str">
        <f t="shared" si="4"/>
        <v>Discovery Link Only</v>
      </c>
    </row>
    <row r="320" spans="1:18" ht="60" customHeight="1" x14ac:dyDescent="0.2">
      <c r="A320" s="16" t="s">
        <v>1895</v>
      </c>
      <c r="B320" s="16" t="s">
        <v>1896</v>
      </c>
      <c r="C320" s="16" t="s">
        <v>1854</v>
      </c>
      <c r="D320" s="16" t="s">
        <v>1897</v>
      </c>
      <c r="E320" s="16" t="s">
        <v>45</v>
      </c>
      <c r="F320" s="16" t="s">
        <v>25</v>
      </c>
      <c r="G320" s="16" t="s">
        <v>26</v>
      </c>
      <c r="H320" s="17" t="s">
        <v>1898</v>
      </c>
      <c r="I320" s="17" t="s">
        <v>1899</v>
      </c>
      <c r="J320" s="17" t="s">
        <v>1900</v>
      </c>
      <c r="K320" s="17" t="s">
        <v>1859</v>
      </c>
      <c r="L320" s="17" t="s">
        <v>58</v>
      </c>
      <c r="M320" s="17" t="s">
        <v>256</v>
      </c>
      <c r="N320" s="16" t="s">
        <v>1901</v>
      </c>
      <c r="O320" s="18">
        <v>46249</v>
      </c>
      <c r="P320" s="19" t="s">
        <v>34</v>
      </c>
      <c r="Q320" s="17"/>
      <c r="R320" s="19" t="str">
        <f t="shared" si="4"/>
        <v>Discovery Link Only</v>
      </c>
    </row>
    <row r="321" spans="1:18" ht="60" customHeight="1" x14ac:dyDescent="0.2">
      <c r="A321" s="16" t="s">
        <v>1902</v>
      </c>
      <c r="B321" s="16" t="s">
        <v>1903</v>
      </c>
      <c r="C321" s="16" t="s">
        <v>1854</v>
      </c>
      <c r="D321" s="16" t="s">
        <v>1877</v>
      </c>
      <c r="E321" s="16" t="s">
        <v>106</v>
      </c>
      <c r="F321" s="16" t="s">
        <v>25</v>
      </c>
      <c r="G321" s="16" t="s">
        <v>46</v>
      </c>
      <c r="H321" s="17" t="s">
        <v>1904</v>
      </c>
      <c r="I321" s="17" t="s">
        <v>1905</v>
      </c>
      <c r="J321" s="17" t="s">
        <v>1906</v>
      </c>
      <c r="K321" s="17" t="s">
        <v>1859</v>
      </c>
      <c r="L321" s="17" t="s">
        <v>58</v>
      </c>
      <c r="M321" s="17" t="s">
        <v>256</v>
      </c>
      <c r="N321" s="16" t="s">
        <v>1907</v>
      </c>
      <c r="O321" s="18">
        <v>46249</v>
      </c>
      <c r="P321" s="19" t="s">
        <v>34</v>
      </c>
      <c r="Q321" s="17"/>
      <c r="R321" s="19" t="str">
        <f t="shared" si="4"/>
        <v>Discovery Link Only</v>
      </c>
    </row>
    <row r="322" spans="1:18" ht="60" customHeight="1" x14ac:dyDescent="0.2">
      <c r="A322" s="16" t="s">
        <v>1908</v>
      </c>
      <c r="B322" s="16" t="s">
        <v>1909</v>
      </c>
      <c r="C322" s="16" t="s">
        <v>1854</v>
      </c>
      <c r="D322" s="16" t="s">
        <v>1910</v>
      </c>
      <c r="E322" s="16" t="s">
        <v>54</v>
      </c>
      <c r="F322" s="16" t="s">
        <v>25</v>
      </c>
      <c r="G322" s="16" t="s">
        <v>46</v>
      </c>
      <c r="H322" s="17" t="s">
        <v>1911</v>
      </c>
      <c r="I322" s="17" t="s">
        <v>1912</v>
      </c>
      <c r="J322" s="17" t="s">
        <v>1913</v>
      </c>
      <c r="K322" s="17" t="s">
        <v>1859</v>
      </c>
      <c r="L322" s="17" t="s">
        <v>58</v>
      </c>
      <c r="M322" s="17" t="s">
        <v>256</v>
      </c>
      <c r="N322" s="16" t="s">
        <v>1914</v>
      </c>
      <c r="O322" s="18">
        <v>46249</v>
      </c>
      <c r="P322" s="19" t="s">
        <v>34</v>
      </c>
      <c r="Q322" s="17"/>
      <c r="R322" s="19" t="str">
        <f t="shared" si="4"/>
        <v>Discovery Link Only</v>
      </c>
    </row>
    <row r="323" spans="1:18" ht="60" customHeight="1" x14ac:dyDescent="0.2">
      <c r="A323" s="16" t="s">
        <v>1915</v>
      </c>
      <c r="B323" s="16" t="s">
        <v>1916</v>
      </c>
      <c r="C323" s="16" t="s">
        <v>1854</v>
      </c>
      <c r="D323" s="16" t="s">
        <v>1877</v>
      </c>
      <c r="E323" s="16" t="s">
        <v>24</v>
      </c>
      <c r="F323" s="16" t="s">
        <v>25</v>
      </c>
      <c r="G323" s="16" t="s">
        <v>26</v>
      </c>
      <c r="H323" s="17" t="s">
        <v>1917</v>
      </c>
      <c r="I323" s="17" t="s">
        <v>1918</v>
      </c>
      <c r="J323" s="17" t="s">
        <v>1919</v>
      </c>
      <c r="K323" s="17" t="s">
        <v>1859</v>
      </c>
      <c r="L323" s="17" t="s">
        <v>58</v>
      </c>
      <c r="M323" s="17" t="s">
        <v>256</v>
      </c>
      <c r="N323" s="16" t="s">
        <v>1920</v>
      </c>
      <c r="O323" s="18">
        <v>46249</v>
      </c>
      <c r="P323" s="19" t="s">
        <v>34</v>
      </c>
      <c r="Q323" s="17"/>
      <c r="R323" s="19" t="str">
        <f t="shared" si="4"/>
        <v>Discovery Link Only</v>
      </c>
    </row>
    <row r="324" spans="1:18" ht="60" customHeight="1" x14ac:dyDescent="0.2">
      <c r="A324" s="16" t="s">
        <v>1921</v>
      </c>
      <c r="B324" s="16" t="s">
        <v>1922</v>
      </c>
      <c r="C324" s="16" t="s">
        <v>1854</v>
      </c>
      <c r="D324" s="16" t="s">
        <v>1877</v>
      </c>
      <c r="E324" s="16" t="s">
        <v>106</v>
      </c>
      <c r="F324" s="16" t="s">
        <v>107</v>
      </c>
      <c r="G324" s="16" t="s">
        <v>46</v>
      </c>
      <c r="H324" s="17" t="s">
        <v>1923</v>
      </c>
      <c r="I324" s="17" t="s">
        <v>1924</v>
      </c>
      <c r="J324" s="17" t="s">
        <v>1925</v>
      </c>
      <c r="K324" s="17" t="s">
        <v>1859</v>
      </c>
      <c r="L324" s="17" t="s">
        <v>111</v>
      </c>
      <c r="M324" s="17" t="s">
        <v>1926</v>
      </c>
      <c r="N324" s="16"/>
      <c r="O324" s="18">
        <v>46249</v>
      </c>
      <c r="P324" s="19" t="s">
        <v>34</v>
      </c>
      <c r="Q324" s="17"/>
      <c r="R324" s="19" t="str">
        <f t="shared" ref="R324:R387" si="5">IF(J324="","Missing Link",IF(AND(ISNUMBER(SEARCH("google.com/maps",J324)),ISERROR(SEARCH(";",J324))),"Discovery Link Only","Source Link Present"))</f>
        <v>Discovery Link Only</v>
      </c>
    </row>
    <row r="325" spans="1:18" ht="60" customHeight="1" x14ac:dyDescent="0.2">
      <c r="A325" s="16" t="s">
        <v>1927</v>
      </c>
      <c r="B325" s="16" t="s">
        <v>1928</v>
      </c>
      <c r="C325" s="16" t="s">
        <v>1854</v>
      </c>
      <c r="D325" s="16" t="s">
        <v>1877</v>
      </c>
      <c r="E325" s="16" t="s">
        <v>133</v>
      </c>
      <c r="F325" s="16" t="s">
        <v>121</v>
      </c>
      <c r="G325" s="16" t="s">
        <v>134</v>
      </c>
      <c r="H325" s="17" t="s">
        <v>1929</v>
      </c>
      <c r="I325" s="17" t="s">
        <v>1930</v>
      </c>
      <c r="J325" s="17" t="s">
        <v>1931</v>
      </c>
      <c r="K325" s="17" t="s">
        <v>1859</v>
      </c>
      <c r="L325" s="17" t="s">
        <v>111</v>
      </c>
      <c r="M325" s="17" t="s">
        <v>1926</v>
      </c>
      <c r="N325" s="16"/>
      <c r="O325" s="18">
        <v>46249</v>
      </c>
      <c r="P325" s="19" t="s">
        <v>34</v>
      </c>
      <c r="Q325" s="17"/>
      <c r="R325" s="19" t="str">
        <f t="shared" si="5"/>
        <v>Discovery Link Only</v>
      </c>
    </row>
    <row r="326" spans="1:18" ht="60" customHeight="1" x14ac:dyDescent="0.2">
      <c r="A326" s="16" t="s">
        <v>1932</v>
      </c>
      <c r="B326" s="16" t="s">
        <v>1933</v>
      </c>
      <c r="C326" s="16" t="s">
        <v>1854</v>
      </c>
      <c r="D326" s="16" t="s">
        <v>1877</v>
      </c>
      <c r="E326" s="16" t="s">
        <v>45</v>
      </c>
      <c r="F326" s="16" t="s">
        <v>107</v>
      </c>
      <c r="G326" s="16" t="s">
        <v>26</v>
      </c>
      <c r="H326" s="17" t="s">
        <v>1934</v>
      </c>
      <c r="I326" s="17" t="s">
        <v>1935</v>
      </c>
      <c r="J326" s="17" t="s">
        <v>1936</v>
      </c>
      <c r="K326" s="17" t="s">
        <v>1859</v>
      </c>
      <c r="L326" s="17" t="s">
        <v>111</v>
      </c>
      <c r="M326" s="17" t="s">
        <v>1926</v>
      </c>
      <c r="N326" s="16"/>
      <c r="O326" s="18">
        <v>46249</v>
      </c>
      <c r="P326" s="19" t="s">
        <v>34</v>
      </c>
      <c r="Q326" s="17"/>
      <c r="R326" s="19" t="str">
        <f t="shared" si="5"/>
        <v>Discovery Link Only</v>
      </c>
    </row>
    <row r="327" spans="1:18" ht="60" customHeight="1" x14ac:dyDescent="0.2">
      <c r="A327" s="16" t="s">
        <v>1937</v>
      </c>
      <c r="B327" s="16" t="s">
        <v>1938</v>
      </c>
      <c r="C327" s="16" t="s">
        <v>1854</v>
      </c>
      <c r="D327" s="16" t="s">
        <v>1877</v>
      </c>
      <c r="E327" s="16" t="s">
        <v>140</v>
      </c>
      <c r="F327" s="16" t="s">
        <v>121</v>
      </c>
      <c r="G327" s="16" t="s">
        <v>46</v>
      </c>
      <c r="H327" s="17" t="s">
        <v>1939</v>
      </c>
      <c r="I327" s="17" t="s">
        <v>1940</v>
      </c>
      <c r="J327" s="17" t="s">
        <v>1941</v>
      </c>
      <c r="K327" s="17" t="s">
        <v>1859</v>
      </c>
      <c r="L327" s="17" t="s">
        <v>111</v>
      </c>
      <c r="M327" s="17" t="s">
        <v>1926</v>
      </c>
      <c r="N327" s="16"/>
      <c r="O327" s="18">
        <v>46249</v>
      </c>
      <c r="P327" s="19" t="s">
        <v>34</v>
      </c>
      <c r="Q327" s="17"/>
      <c r="R327" s="19" t="str">
        <f t="shared" si="5"/>
        <v>Discovery Link Only</v>
      </c>
    </row>
    <row r="328" spans="1:18" ht="60" customHeight="1" x14ac:dyDescent="0.2">
      <c r="A328" s="16" t="s">
        <v>1942</v>
      </c>
      <c r="B328" s="16" t="s">
        <v>1943</v>
      </c>
      <c r="C328" s="16" t="s">
        <v>1854</v>
      </c>
      <c r="D328" s="16" t="s">
        <v>1944</v>
      </c>
      <c r="E328" s="16" t="s">
        <v>133</v>
      </c>
      <c r="F328" s="16" t="s">
        <v>107</v>
      </c>
      <c r="G328" s="16" t="s">
        <v>134</v>
      </c>
      <c r="H328" s="17" t="s">
        <v>787</v>
      </c>
      <c r="I328" s="17" t="s">
        <v>1945</v>
      </c>
      <c r="J328" s="17" t="s">
        <v>1946</v>
      </c>
      <c r="K328" s="17" t="s">
        <v>1859</v>
      </c>
      <c r="L328" s="17" t="s">
        <v>111</v>
      </c>
      <c r="M328" s="17" t="s">
        <v>1926</v>
      </c>
      <c r="N328" s="16"/>
      <c r="O328" s="18">
        <v>46249</v>
      </c>
      <c r="P328" s="19" t="s">
        <v>34</v>
      </c>
      <c r="Q328" s="17"/>
      <c r="R328" s="19" t="str">
        <f t="shared" si="5"/>
        <v>Discovery Link Only</v>
      </c>
    </row>
    <row r="329" spans="1:18" ht="60" customHeight="1" x14ac:dyDescent="0.2">
      <c r="A329" s="16" t="s">
        <v>1947</v>
      </c>
      <c r="B329" s="16" t="s">
        <v>1948</v>
      </c>
      <c r="C329" s="16" t="s">
        <v>1854</v>
      </c>
      <c r="D329" s="16" t="s">
        <v>1944</v>
      </c>
      <c r="E329" s="16" t="s">
        <v>115</v>
      </c>
      <c r="F329" s="16" t="s">
        <v>121</v>
      </c>
      <c r="G329" s="16" t="s">
        <v>46</v>
      </c>
      <c r="H329" s="17" t="s">
        <v>1949</v>
      </c>
      <c r="I329" s="17" t="s">
        <v>1950</v>
      </c>
      <c r="J329" s="17" t="s">
        <v>1951</v>
      </c>
      <c r="K329" s="17" t="s">
        <v>1859</v>
      </c>
      <c r="L329" s="17" t="s">
        <v>111</v>
      </c>
      <c r="M329" s="17" t="s">
        <v>1926</v>
      </c>
      <c r="N329" s="16"/>
      <c r="O329" s="18">
        <v>46249</v>
      </c>
      <c r="P329" s="19" t="s">
        <v>34</v>
      </c>
      <c r="Q329" s="17"/>
      <c r="R329" s="19" t="str">
        <f t="shared" si="5"/>
        <v>Discovery Link Only</v>
      </c>
    </row>
    <row r="330" spans="1:18" ht="60" customHeight="1" x14ac:dyDescent="0.2">
      <c r="A330" s="16" t="s">
        <v>1952</v>
      </c>
      <c r="B330" s="16" t="s">
        <v>1953</v>
      </c>
      <c r="C330" s="16" t="s">
        <v>1854</v>
      </c>
      <c r="D330" s="16" t="s">
        <v>1884</v>
      </c>
      <c r="E330" s="16" t="s">
        <v>115</v>
      </c>
      <c r="F330" s="16" t="s">
        <v>107</v>
      </c>
      <c r="G330" s="16" t="s">
        <v>46</v>
      </c>
      <c r="H330" s="17" t="s">
        <v>1954</v>
      </c>
      <c r="I330" s="17" t="s">
        <v>1955</v>
      </c>
      <c r="J330" s="17" t="s">
        <v>1956</v>
      </c>
      <c r="K330" s="17" t="s">
        <v>1859</v>
      </c>
      <c r="L330" s="17" t="s">
        <v>111</v>
      </c>
      <c r="M330" s="17" t="s">
        <v>1926</v>
      </c>
      <c r="N330" s="16"/>
      <c r="O330" s="18">
        <v>46249</v>
      </c>
      <c r="P330" s="19" t="s">
        <v>34</v>
      </c>
      <c r="Q330" s="17"/>
      <c r="R330" s="19" t="str">
        <f t="shared" si="5"/>
        <v>Discovery Link Only</v>
      </c>
    </row>
    <row r="331" spans="1:18" ht="60" customHeight="1" x14ac:dyDescent="0.2">
      <c r="A331" s="16" t="s">
        <v>1957</v>
      </c>
      <c r="B331" s="16" t="s">
        <v>1958</v>
      </c>
      <c r="C331" s="16" t="s">
        <v>1854</v>
      </c>
      <c r="D331" s="16" t="s">
        <v>1884</v>
      </c>
      <c r="E331" s="16" t="s">
        <v>37</v>
      </c>
      <c r="F331" s="16" t="s">
        <v>107</v>
      </c>
      <c r="G331" s="16" t="s">
        <v>26</v>
      </c>
      <c r="H331" s="17" t="s">
        <v>1959</v>
      </c>
      <c r="I331" s="17" t="s">
        <v>1960</v>
      </c>
      <c r="J331" s="17" t="s">
        <v>1961</v>
      </c>
      <c r="K331" s="17" t="s">
        <v>1859</v>
      </c>
      <c r="L331" s="17" t="s">
        <v>111</v>
      </c>
      <c r="M331" s="17" t="s">
        <v>1926</v>
      </c>
      <c r="N331" s="16"/>
      <c r="O331" s="18">
        <v>46249</v>
      </c>
      <c r="P331" s="19" t="s">
        <v>34</v>
      </c>
      <c r="Q331" s="17"/>
      <c r="R331" s="19" t="str">
        <f t="shared" si="5"/>
        <v>Discovery Link Only</v>
      </c>
    </row>
    <row r="332" spans="1:18" ht="60" customHeight="1" x14ac:dyDescent="0.2">
      <c r="A332" s="16" t="s">
        <v>1962</v>
      </c>
      <c r="B332" s="16" t="s">
        <v>1963</v>
      </c>
      <c r="C332" s="16" t="s">
        <v>1854</v>
      </c>
      <c r="D332" s="16" t="s">
        <v>1897</v>
      </c>
      <c r="E332" s="16" t="s">
        <v>72</v>
      </c>
      <c r="F332" s="16" t="s">
        <v>121</v>
      </c>
      <c r="G332" s="16" t="s">
        <v>26</v>
      </c>
      <c r="H332" s="17" t="s">
        <v>1964</v>
      </c>
      <c r="I332" s="17" t="s">
        <v>1965</v>
      </c>
      <c r="J332" s="17" t="s">
        <v>1966</v>
      </c>
      <c r="K332" s="17" t="s">
        <v>1859</v>
      </c>
      <c r="L332" s="17" t="s">
        <v>111</v>
      </c>
      <c r="M332" s="17" t="s">
        <v>1926</v>
      </c>
      <c r="N332" s="16"/>
      <c r="O332" s="18">
        <v>46249</v>
      </c>
      <c r="P332" s="19" t="s">
        <v>34</v>
      </c>
      <c r="Q332" s="17"/>
      <c r="R332" s="19" t="str">
        <f t="shared" si="5"/>
        <v>Discovery Link Only</v>
      </c>
    </row>
    <row r="333" spans="1:18" ht="60" customHeight="1" x14ac:dyDescent="0.2">
      <c r="A333" s="16" t="s">
        <v>1967</v>
      </c>
      <c r="B333" s="16" t="s">
        <v>1968</v>
      </c>
      <c r="C333" s="16" t="s">
        <v>1854</v>
      </c>
      <c r="D333" s="16" t="s">
        <v>1969</v>
      </c>
      <c r="E333" s="16" t="s">
        <v>133</v>
      </c>
      <c r="F333" s="16" t="s">
        <v>127</v>
      </c>
      <c r="G333" s="16" t="s">
        <v>134</v>
      </c>
      <c r="H333" s="17" t="s">
        <v>1970</v>
      </c>
      <c r="I333" s="17" t="s">
        <v>1971</v>
      </c>
      <c r="J333" s="17" t="s">
        <v>1972</v>
      </c>
      <c r="K333" s="17" t="s">
        <v>1859</v>
      </c>
      <c r="L333" s="17" t="s">
        <v>111</v>
      </c>
      <c r="M333" s="17" t="s">
        <v>1926</v>
      </c>
      <c r="N333" s="16"/>
      <c r="O333" s="18">
        <v>46249</v>
      </c>
      <c r="P333" s="19" t="s">
        <v>34</v>
      </c>
      <c r="Q333" s="17"/>
      <c r="R333" s="19" t="str">
        <f t="shared" si="5"/>
        <v>Discovery Link Only</v>
      </c>
    </row>
    <row r="334" spans="1:18" ht="60" customHeight="1" x14ac:dyDescent="0.2">
      <c r="A334" s="16" t="s">
        <v>1973</v>
      </c>
      <c r="B334" s="16" t="s">
        <v>1974</v>
      </c>
      <c r="C334" s="16" t="s">
        <v>1854</v>
      </c>
      <c r="D334" s="16" t="s">
        <v>1975</v>
      </c>
      <c r="E334" s="16" t="s">
        <v>115</v>
      </c>
      <c r="F334" s="16" t="s">
        <v>121</v>
      </c>
      <c r="G334" s="16" t="s">
        <v>46</v>
      </c>
      <c r="H334" s="17" t="s">
        <v>1976</v>
      </c>
      <c r="I334" s="17" t="s">
        <v>1977</v>
      </c>
      <c r="J334" s="17" t="s">
        <v>1978</v>
      </c>
      <c r="K334" s="17" t="s">
        <v>1859</v>
      </c>
      <c r="L334" s="17" t="s">
        <v>111</v>
      </c>
      <c r="M334" s="17" t="s">
        <v>1926</v>
      </c>
      <c r="N334" s="16"/>
      <c r="O334" s="18">
        <v>46249</v>
      </c>
      <c r="P334" s="19" t="s">
        <v>34</v>
      </c>
      <c r="Q334" s="17"/>
      <c r="R334" s="19" t="str">
        <f t="shared" si="5"/>
        <v>Discovery Link Only</v>
      </c>
    </row>
    <row r="335" spans="1:18" ht="60" customHeight="1" x14ac:dyDescent="0.2">
      <c r="A335" s="16" t="s">
        <v>1979</v>
      </c>
      <c r="B335" s="16" t="s">
        <v>1980</v>
      </c>
      <c r="C335" s="16" t="s">
        <v>1854</v>
      </c>
      <c r="D335" s="16" t="s">
        <v>1975</v>
      </c>
      <c r="E335" s="16" t="s">
        <v>45</v>
      </c>
      <c r="F335" s="16" t="s">
        <v>107</v>
      </c>
      <c r="G335" s="16" t="s">
        <v>26</v>
      </c>
      <c r="H335" s="17" t="s">
        <v>1981</v>
      </c>
      <c r="I335" s="17" t="s">
        <v>1982</v>
      </c>
      <c r="J335" s="17" t="s">
        <v>1983</v>
      </c>
      <c r="K335" s="17" t="s">
        <v>1859</v>
      </c>
      <c r="L335" s="17" t="s">
        <v>111</v>
      </c>
      <c r="M335" s="17" t="s">
        <v>1926</v>
      </c>
      <c r="N335" s="16"/>
      <c r="O335" s="18">
        <v>46249</v>
      </c>
      <c r="P335" s="19" t="s">
        <v>34</v>
      </c>
      <c r="Q335" s="17"/>
      <c r="R335" s="19" t="str">
        <f t="shared" si="5"/>
        <v>Discovery Link Only</v>
      </c>
    </row>
    <row r="336" spans="1:18" ht="60" customHeight="1" x14ac:dyDescent="0.2">
      <c r="A336" s="16" t="s">
        <v>1984</v>
      </c>
      <c r="B336" s="16" t="s">
        <v>1985</v>
      </c>
      <c r="C336" s="16" t="s">
        <v>1854</v>
      </c>
      <c r="D336" s="16" t="s">
        <v>1986</v>
      </c>
      <c r="E336" s="16" t="s">
        <v>45</v>
      </c>
      <c r="F336" s="16" t="s">
        <v>107</v>
      </c>
      <c r="G336" s="16" t="s">
        <v>26</v>
      </c>
      <c r="H336" s="17" t="s">
        <v>1987</v>
      </c>
      <c r="I336" s="17" t="s">
        <v>1988</v>
      </c>
      <c r="J336" s="17" t="s">
        <v>1989</v>
      </c>
      <c r="K336" s="17" t="s">
        <v>1859</v>
      </c>
      <c r="L336" s="17" t="s">
        <v>111</v>
      </c>
      <c r="M336" s="17" t="s">
        <v>1926</v>
      </c>
      <c r="N336" s="16"/>
      <c r="O336" s="18">
        <v>46249</v>
      </c>
      <c r="P336" s="19" t="s">
        <v>34</v>
      </c>
      <c r="Q336" s="17"/>
      <c r="R336" s="19" t="str">
        <f t="shared" si="5"/>
        <v>Discovery Link Only</v>
      </c>
    </row>
    <row r="337" spans="1:18" ht="60" customHeight="1" x14ac:dyDescent="0.2">
      <c r="A337" s="16" t="s">
        <v>1990</v>
      </c>
      <c r="B337" s="16" t="s">
        <v>1991</v>
      </c>
      <c r="C337" s="16" t="s">
        <v>1854</v>
      </c>
      <c r="D337" s="16" t="s">
        <v>1992</v>
      </c>
      <c r="E337" s="16" t="s">
        <v>45</v>
      </c>
      <c r="F337" s="16" t="s">
        <v>107</v>
      </c>
      <c r="G337" s="16" t="s">
        <v>26</v>
      </c>
      <c r="H337" s="17" t="s">
        <v>1993</v>
      </c>
      <c r="I337" s="17" t="s">
        <v>1994</v>
      </c>
      <c r="J337" s="17" t="s">
        <v>1995</v>
      </c>
      <c r="K337" s="17" t="s">
        <v>1859</v>
      </c>
      <c r="L337" s="17" t="s">
        <v>111</v>
      </c>
      <c r="M337" s="17" t="s">
        <v>1926</v>
      </c>
      <c r="N337" s="16"/>
      <c r="O337" s="18">
        <v>46249</v>
      </c>
      <c r="P337" s="19" t="s">
        <v>34</v>
      </c>
      <c r="Q337" s="17"/>
      <c r="R337" s="19" t="str">
        <f t="shared" si="5"/>
        <v>Discovery Link Only</v>
      </c>
    </row>
    <row r="338" spans="1:18" ht="60" customHeight="1" x14ac:dyDescent="0.2">
      <c r="A338" s="16" t="s">
        <v>1996</v>
      </c>
      <c r="B338" s="16" t="s">
        <v>1997</v>
      </c>
      <c r="C338" s="16" t="s">
        <v>1854</v>
      </c>
      <c r="D338" s="16" t="s">
        <v>1998</v>
      </c>
      <c r="E338" s="16" t="s">
        <v>24</v>
      </c>
      <c r="F338" s="16" t="s">
        <v>121</v>
      </c>
      <c r="G338" s="16" t="s">
        <v>26</v>
      </c>
      <c r="H338" s="17" t="s">
        <v>1999</v>
      </c>
      <c r="I338" s="17" t="s">
        <v>2000</v>
      </c>
      <c r="J338" s="17" t="s">
        <v>2001</v>
      </c>
      <c r="K338" s="17" t="s">
        <v>1859</v>
      </c>
      <c r="L338" s="17" t="s">
        <v>111</v>
      </c>
      <c r="M338" s="17" t="s">
        <v>1926</v>
      </c>
      <c r="N338" s="16"/>
      <c r="O338" s="18">
        <v>46249</v>
      </c>
      <c r="P338" s="19" t="s">
        <v>34</v>
      </c>
      <c r="Q338" s="17"/>
      <c r="R338" s="19" t="str">
        <f t="shared" si="5"/>
        <v>Discovery Link Only</v>
      </c>
    </row>
    <row r="339" spans="1:18" ht="60" customHeight="1" x14ac:dyDescent="0.2">
      <c r="A339" s="16" t="s">
        <v>2002</v>
      </c>
      <c r="B339" s="16" t="s">
        <v>2003</v>
      </c>
      <c r="C339" s="16" t="s">
        <v>1854</v>
      </c>
      <c r="D339" s="16" t="s">
        <v>2004</v>
      </c>
      <c r="E339" s="16" t="s">
        <v>24</v>
      </c>
      <c r="F339" s="16" t="s">
        <v>121</v>
      </c>
      <c r="G339" s="16" t="s">
        <v>26</v>
      </c>
      <c r="H339" s="17" t="s">
        <v>2005</v>
      </c>
      <c r="I339" s="17" t="s">
        <v>2006</v>
      </c>
      <c r="J339" s="17" t="s">
        <v>2007</v>
      </c>
      <c r="K339" s="17" t="s">
        <v>1859</v>
      </c>
      <c r="L339" s="17" t="s">
        <v>111</v>
      </c>
      <c r="M339" s="17" t="s">
        <v>1926</v>
      </c>
      <c r="N339" s="16"/>
      <c r="O339" s="18">
        <v>46249</v>
      </c>
      <c r="P339" s="19" t="s">
        <v>34</v>
      </c>
      <c r="Q339" s="17"/>
      <c r="R339" s="19" t="str">
        <f t="shared" si="5"/>
        <v>Discovery Link Only</v>
      </c>
    </row>
    <row r="340" spans="1:18" ht="60" customHeight="1" x14ac:dyDescent="0.2">
      <c r="A340" s="16" t="s">
        <v>2008</v>
      </c>
      <c r="B340" s="16" t="s">
        <v>2009</v>
      </c>
      <c r="C340" s="16" t="s">
        <v>1854</v>
      </c>
      <c r="D340" s="16" t="s">
        <v>2010</v>
      </c>
      <c r="E340" s="16" t="s">
        <v>140</v>
      </c>
      <c r="F340" s="16" t="s">
        <v>107</v>
      </c>
      <c r="G340" s="16" t="s">
        <v>46</v>
      </c>
      <c r="H340" s="17" t="s">
        <v>2011</v>
      </c>
      <c r="I340" s="17" t="s">
        <v>2012</v>
      </c>
      <c r="J340" s="17" t="s">
        <v>2013</v>
      </c>
      <c r="K340" s="17" t="s">
        <v>1859</v>
      </c>
      <c r="L340" s="17" t="s">
        <v>111</v>
      </c>
      <c r="M340" s="17" t="s">
        <v>1926</v>
      </c>
      <c r="N340" s="16"/>
      <c r="O340" s="18">
        <v>46249</v>
      </c>
      <c r="P340" s="19" t="s">
        <v>34</v>
      </c>
      <c r="Q340" s="17"/>
      <c r="R340" s="19" t="str">
        <f t="shared" si="5"/>
        <v>Discovery Link Only</v>
      </c>
    </row>
    <row r="341" spans="1:18" ht="60" customHeight="1" x14ac:dyDescent="0.2">
      <c r="A341" s="16" t="s">
        <v>2014</v>
      </c>
      <c r="B341" s="16" t="s">
        <v>2015</v>
      </c>
      <c r="C341" s="16" t="s">
        <v>1854</v>
      </c>
      <c r="D341" s="16" t="s">
        <v>2010</v>
      </c>
      <c r="E341" s="16" t="s">
        <v>72</v>
      </c>
      <c r="F341" s="16" t="s">
        <v>121</v>
      </c>
      <c r="G341" s="16" t="s">
        <v>26</v>
      </c>
      <c r="H341" s="17" t="s">
        <v>2016</v>
      </c>
      <c r="I341" s="17" t="s">
        <v>2017</v>
      </c>
      <c r="J341" s="17" t="s">
        <v>2018</v>
      </c>
      <c r="K341" s="17" t="s">
        <v>1859</v>
      </c>
      <c r="L341" s="17" t="s">
        <v>111</v>
      </c>
      <c r="M341" s="17" t="s">
        <v>1926</v>
      </c>
      <c r="N341" s="16"/>
      <c r="O341" s="18">
        <v>46249</v>
      </c>
      <c r="P341" s="19" t="s">
        <v>34</v>
      </c>
      <c r="Q341" s="17"/>
      <c r="R341" s="19" t="str">
        <f t="shared" si="5"/>
        <v>Discovery Link Only</v>
      </c>
    </row>
    <row r="342" spans="1:18" ht="60" customHeight="1" x14ac:dyDescent="0.2">
      <c r="A342" s="16" t="s">
        <v>2019</v>
      </c>
      <c r="B342" s="16" t="s">
        <v>2020</v>
      </c>
      <c r="C342" s="16" t="s">
        <v>1854</v>
      </c>
      <c r="D342" s="16" t="s">
        <v>2021</v>
      </c>
      <c r="E342" s="16" t="s">
        <v>99</v>
      </c>
      <c r="F342" s="16" t="s">
        <v>107</v>
      </c>
      <c r="G342" s="16" t="s">
        <v>46</v>
      </c>
      <c r="H342" s="17" t="s">
        <v>2022</v>
      </c>
      <c r="I342" s="17" t="s">
        <v>2023</v>
      </c>
      <c r="J342" s="17" t="s">
        <v>2024</v>
      </c>
      <c r="K342" s="17" t="s">
        <v>1859</v>
      </c>
      <c r="L342" s="17" t="s">
        <v>111</v>
      </c>
      <c r="M342" s="17" t="s">
        <v>1926</v>
      </c>
      <c r="N342" s="16"/>
      <c r="O342" s="18">
        <v>46249</v>
      </c>
      <c r="P342" s="19" t="s">
        <v>34</v>
      </c>
      <c r="Q342" s="17"/>
      <c r="R342" s="19" t="str">
        <f t="shared" si="5"/>
        <v>Discovery Link Only</v>
      </c>
    </row>
    <row r="343" spans="1:18" ht="60" customHeight="1" x14ac:dyDescent="0.2">
      <c r="A343" s="16" t="s">
        <v>2025</v>
      </c>
      <c r="B343" s="16" t="s">
        <v>2026</v>
      </c>
      <c r="C343" s="16" t="s">
        <v>2027</v>
      </c>
      <c r="D343" s="16" t="s">
        <v>2028</v>
      </c>
      <c r="E343" s="16" t="s">
        <v>72</v>
      </c>
      <c r="F343" s="16" t="s">
        <v>25</v>
      </c>
      <c r="G343" s="16" t="s">
        <v>26</v>
      </c>
      <c r="H343" s="17" t="s">
        <v>2029</v>
      </c>
      <c r="I343" s="17" t="s">
        <v>2030</v>
      </c>
      <c r="J343" s="17" t="s">
        <v>2031</v>
      </c>
      <c r="K343" s="17" t="s">
        <v>2032</v>
      </c>
      <c r="L343" s="17" t="s">
        <v>58</v>
      </c>
      <c r="M343" s="17" t="s">
        <v>256</v>
      </c>
      <c r="N343" s="16" t="s">
        <v>2033</v>
      </c>
      <c r="O343" s="18">
        <v>46249</v>
      </c>
      <c r="P343" s="19" t="s">
        <v>34</v>
      </c>
      <c r="Q343" s="17"/>
      <c r="R343" s="19" t="str">
        <f t="shared" si="5"/>
        <v>Source Link Present</v>
      </c>
    </row>
    <row r="344" spans="1:18" ht="60" customHeight="1" x14ac:dyDescent="0.2">
      <c r="A344" s="16" t="s">
        <v>2034</v>
      </c>
      <c r="B344" s="16" t="s">
        <v>2035</v>
      </c>
      <c r="C344" s="16" t="s">
        <v>2027</v>
      </c>
      <c r="D344" s="16" t="s">
        <v>2036</v>
      </c>
      <c r="E344" s="16" t="s">
        <v>45</v>
      </c>
      <c r="F344" s="16" t="s">
        <v>25</v>
      </c>
      <c r="G344" s="16" t="s">
        <v>26</v>
      </c>
      <c r="H344" s="17" t="s">
        <v>2037</v>
      </c>
      <c r="I344" s="17" t="s">
        <v>2038</v>
      </c>
      <c r="J344" s="17" t="s">
        <v>2039</v>
      </c>
      <c r="K344" s="17" t="s">
        <v>2032</v>
      </c>
      <c r="L344" s="17" t="s">
        <v>58</v>
      </c>
      <c r="M344" s="17" t="s">
        <v>256</v>
      </c>
      <c r="N344" s="16" t="s">
        <v>2040</v>
      </c>
      <c r="O344" s="18">
        <v>46249</v>
      </c>
      <c r="P344" s="19" t="s">
        <v>34</v>
      </c>
      <c r="Q344" s="17"/>
      <c r="R344" s="19" t="str">
        <f t="shared" si="5"/>
        <v>Source Link Present</v>
      </c>
    </row>
    <row r="345" spans="1:18" ht="60" customHeight="1" x14ac:dyDescent="0.2">
      <c r="A345" s="16" t="s">
        <v>2041</v>
      </c>
      <c r="B345" s="16" t="s">
        <v>2042</v>
      </c>
      <c r="C345" s="16" t="s">
        <v>2027</v>
      </c>
      <c r="D345" s="16" t="s">
        <v>2043</v>
      </c>
      <c r="E345" s="16" t="s">
        <v>72</v>
      </c>
      <c r="F345" s="16" t="s">
        <v>25</v>
      </c>
      <c r="G345" s="16" t="s">
        <v>26</v>
      </c>
      <c r="H345" s="17" t="s">
        <v>2044</v>
      </c>
      <c r="I345" s="17" t="s">
        <v>2045</v>
      </c>
      <c r="J345" s="17" t="s">
        <v>2046</v>
      </c>
      <c r="K345" s="17" t="s">
        <v>2032</v>
      </c>
      <c r="L345" s="17" t="s">
        <v>58</v>
      </c>
      <c r="M345" s="17" t="s">
        <v>256</v>
      </c>
      <c r="N345" s="16" t="s">
        <v>2047</v>
      </c>
      <c r="O345" s="18">
        <v>46249</v>
      </c>
      <c r="P345" s="19" t="s">
        <v>34</v>
      </c>
      <c r="Q345" s="17"/>
      <c r="R345" s="19" t="str">
        <f t="shared" si="5"/>
        <v>Discovery Link Only</v>
      </c>
    </row>
    <row r="346" spans="1:18" ht="60" customHeight="1" x14ac:dyDescent="0.2">
      <c r="A346" s="16" t="s">
        <v>2048</v>
      </c>
      <c r="B346" s="16" t="s">
        <v>2049</v>
      </c>
      <c r="C346" s="16" t="s">
        <v>2027</v>
      </c>
      <c r="D346" s="16" t="s">
        <v>2050</v>
      </c>
      <c r="E346" s="16" t="s">
        <v>72</v>
      </c>
      <c r="F346" s="16" t="s">
        <v>25</v>
      </c>
      <c r="G346" s="16" t="s">
        <v>26</v>
      </c>
      <c r="H346" s="17" t="s">
        <v>2044</v>
      </c>
      <c r="I346" s="17" t="s">
        <v>2051</v>
      </c>
      <c r="J346" s="17" t="s">
        <v>2052</v>
      </c>
      <c r="K346" s="17" t="s">
        <v>2032</v>
      </c>
      <c r="L346" s="17" t="s">
        <v>58</v>
      </c>
      <c r="M346" s="17" t="s">
        <v>256</v>
      </c>
      <c r="N346" s="16" t="s">
        <v>2053</v>
      </c>
      <c r="O346" s="18">
        <v>46249</v>
      </c>
      <c r="P346" s="19" t="s">
        <v>34</v>
      </c>
      <c r="Q346" s="17"/>
      <c r="R346" s="19" t="str">
        <f t="shared" si="5"/>
        <v>Discovery Link Only</v>
      </c>
    </row>
    <row r="347" spans="1:18" ht="60" customHeight="1" x14ac:dyDescent="0.2">
      <c r="A347" s="16" t="s">
        <v>2054</v>
      </c>
      <c r="B347" s="16" t="s">
        <v>2055</v>
      </c>
      <c r="C347" s="16" t="s">
        <v>2027</v>
      </c>
      <c r="D347" s="16" t="s">
        <v>2056</v>
      </c>
      <c r="E347" s="16" t="s">
        <v>54</v>
      </c>
      <c r="F347" s="16" t="s">
        <v>25</v>
      </c>
      <c r="G347" s="16" t="s">
        <v>46</v>
      </c>
      <c r="H347" s="17" t="s">
        <v>2057</v>
      </c>
      <c r="I347" s="17" t="s">
        <v>2058</v>
      </c>
      <c r="J347" s="17" t="s">
        <v>2059</v>
      </c>
      <c r="K347" s="17" t="s">
        <v>2032</v>
      </c>
      <c r="L347" s="17" t="s">
        <v>58</v>
      </c>
      <c r="M347" s="17" t="s">
        <v>256</v>
      </c>
      <c r="N347" s="16" t="s">
        <v>2060</v>
      </c>
      <c r="O347" s="18">
        <v>46249</v>
      </c>
      <c r="P347" s="19" t="s">
        <v>34</v>
      </c>
      <c r="Q347" s="17"/>
      <c r="R347" s="19" t="str">
        <f t="shared" si="5"/>
        <v>Discovery Link Only</v>
      </c>
    </row>
    <row r="348" spans="1:18" ht="60" customHeight="1" x14ac:dyDescent="0.2">
      <c r="A348" s="16" t="s">
        <v>2061</v>
      </c>
      <c r="B348" s="16" t="s">
        <v>2062</v>
      </c>
      <c r="C348" s="16" t="s">
        <v>2027</v>
      </c>
      <c r="D348" s="16" t="s">
        <v>2056</v>
      </c>
      <c r="E348" s="16" t="s">
        <v>133</v>
      </c>
      <c r="F348" s="16" t="s">
        <v>25</v>
      </c>
      <c r="G348" s="16" t="s">
        <v>46</v>
      </c>
      <c r="H348" s="17" t="s">
        <v>2063</v>
      </c>
      <c r="I348" s="17" t="s">
        <v>2064</v>
      </c>
      <c r="J348" s="17" t="s">
        <v>2065</v>
      </c>
      <c r="K348" s="17" t="s">
        <v>2032</v>
      </c>
      <c r="L348" s="17" t="s">
        <v>58</v>
      </c>
      <c r="M348" s="17" t="s">
        <v>256</v>
      </c>
      <c r="N348" s="16" t="s">
        <v>2066</v>
      </c>
      <c r="O348" s="18">
        <v>46249</v>
      </c>
      <c r="P348" s="19" t="s">
        <v>34</v>
      </c>
      <c r="Q348" s="17"/>
      <c r="R348" s="19" t="str">
        <f t="shared" si="5"/>
        <v>Discovery Link Only</v>
      </c>
    </row>
    <row r="349" spans="1:18" ht="60" customHeight="1" x14ac:dyDescent="0.2">
      <c r="A349" s="16" t="s">
        <v>2067</v>
      </c>
      <c r="B349" s="16" t="s">
        <v>2068</v>
      </c>
      <c r="C349" s="16" t="s">
        <v>2027</v>
      </c>
      <c r="D349" s="16" t="s">
        <v>2056</v>
      </c>
      <c r="E349" s="16" t="s">
        <v>106</v>
      </c>
      <c r="F349" s="16" t="s">
        <v>25</v>
      </c>
      <c r="G349" s="16" t="s">
        <v>46</v>
      </c>
      <c r="H349" s="17" t="s">
        <v>2069</v>
      </c>
      <c r="I349" s="17" t="s">
        <v>2070</v>
      </c>
      <c r="J349" s="17" t="s">
        <v>2071</v>
      </c>
      <c r="K349" s="17" t="s">
        <v>2032</v>
      </c>
      <c r="L349" s="17" t="s">
        <v>58</v>
      </c>
      <c r="M349" s="17" t="s">
        <v>256</v>
      </c>
      <c r="N349" s="16" t="s">
        <v>2072</v>
      </c>
      <c r="O349" s="18">
        <v>46249</v>
      </c>
      <c r="P349" s="19" t="s">
        <v>34</v>
      </c>
      <c r="Q349" s="17"/>
      <c r="R349" s="19" t="str">
        <f t="shared" si="5"/>
        <v>Discovery Link Only</v>
      </c>
    </row>
    <row r="350" spans="1:18" ht="60" customHeight="1" x14ac:dyDescent="0.2">
      <c r="A350" s="16" t="s">
        <v>2073</v>
      </c>
      <c r="B350" s="16" t="s">
        <v>2074</v>
      </c>
      <c r="C350" s="16" t="s">
        <v>2027</v>
      </c>
      <c r="D350" s="16" t="s">
        <v>2075</v>
      </c>
      <c r="E350" s="16" t="s">
        <v>45</v>
      </c>
      <c r="F350" s="16" t="s">
        <v>25</v>
      </c>
      <c r="G350" s="16" t="s">
        <v>26</v>
      </c>
      <c r="H350" s="17" t="s">
        <v>2076</v>
      </c>
      <c r="I350" s="17" t="s">
        <v>2077</v>
      </c>
      <c r="J350" s="17" t="s">
        <v>2078</v>
      </c>
      <c r="K350" s="17" t="s">
        <v>2032</v>
      </c>
      <c r="L350" s="17" t="s">
        <v>58</v>
      </c>
      <c r="M350" s="17" t="s">
        <v>256</v>
      </c>
      <c r="N350" s="16" t="s">
        <v>2079</v>
      </c>
      <c r="O350" s="18">
        <v>46249</v>
      </c>
      <c r="P350" s="19" t="s">
        <v>34</v>
      </c>
      <c r="Q350" s="17"/>
      <c r="R350" s="19" t="str">
        <f t="shared" si="5"/>
        <v>Discovery Link Only</v>
      </c>
    </row>
    <row r="351" spans="1:18" ht="60" customHeight="1" x14ac:dyDescent="0.2">
      <c r="A351" s="16" t="s">
        <v>2080</v>
      </c>
      <c r="B351" s="16" t="s">
        <v>2081</v>
      </c>
      <c r="C351" s="16" t="s">
        <v>2027</v>
      </c>
      <c r="D351" s="16" t="s">
        <v>2082</v>
      </c>
      <c r="E351" s="16" t="s">
        <v>37</v>
      </c>
      <c r="F351" s="16" t="s">
        <v>25</v>
      </c>
      <c r="G351" s="16" t="s">
        <v>46</v>
      </c>
      <c r="H351" s="17" t="s">
        <v>2083</v>
      </c>
      <c r="I351" s="17" t="s">
        <v>2084</v>
      </c>
      <c r="J351" s="17" t="s">
        <v>2085</v>
      </c>
      <c r="K351" s="17" t="s">
        <v>2032</v>
      </c>
      <c r="L351" s="17" t="s">
        <v>58</v>
      </c>
      <c r="M351" s="17" t="s">
        <v>256</v>
      </c>
      <c r="N351" s="16" t="s">
        <v>2086</v>
      </c>
      <c r="O351" s="18">
        <v>46249</v>
      </c>
      <c r="P351" s="19" t="s">
        <v>34</v>
      </c>
      <c r="Q351" s="17"/>
      <c r="R351" s="19" t="str">
        <f t="shared" si="5"/>
        <v>Discovery Link Only</v>
      </c>
    </row>
    <row r="352" spans="1:18" ht="60" customHeight="1" x14ac:dyDescent="0.2">
      <c r="A352" s="16" t="s">
        <v>2087</v>
      </c>
      <c r="B352" s="16" t="s">
        <v>2088</v>
      </c>
      <c r="C352" s="16" t="s">
        <v>2027</v>
      </c>
      <c r="D352" s="16" t="s">
        <v>2056</v>
      </c>
      <c r="E352" s="16" t="s">
        <v>115</v>
      </c>
      <c r="F352" s="16" t="s">
        <v>121</v>
      </c>
      <c r="G352" s="16" t="s">
        <v>26</v>
      </c>
      <c r="H352" s="17" t="s">
        <v>2089</v>
      </c>
      <c r="I352" s="17" t="s">
        <v>2090</v>
      </c>
      <c r="J352" s="17" t="s">
        <v>2091</v>
      </c>
      <c r="K352" s="17" t="s">
        <v>2032</v>
      </c>
      <c r="L352" s="17" t="s">
        <v>58</v>
      </c>
      <c r="M352" s="17" t="s">
        <v>256</v>
      </c>
      <c r="N352" s="16" t="s">
        <v>2092</v>
      </c>
      <c r="O352" s="18">
        <v>46249</v>
      </c>
      <c r="P352" s="19" t="s">
        <v>34</v>
      </c>
      <c r="Q352" s="17"/>
      <c r="R352" s="19" t="str">
        <f t="shared" si="5"/>
        <v>Discovery Link Only</v>
      </c>
    </row>
    <row r="353" spans="1:18" ht="60" customHeight="1" x14ac:dyDescent="0.2">
      <c r="A353" s="16" t="s">
        <v>2093</v>
      </c>
      <c r="B353" s="16" t="s">
        <v>2094</v>
      </c>
      <c r="C353" s="16" t="s">
        <v>2027</v>
      </c>
      <c r="D353" s="16" t="s">
        <v>2056</v>
      </c>
      <c r="E353" s="16" t="s">
        <v>151</v>
      </c>
      <c r="F353" s="16" t="s">
        <v>107</v>
      </c>
      <c r="G353" s="16" t="s">
        <v>134</v>
      </c>
      <c r="H353" s="17" t="s">
        <v>2095</v>
      </c>
      <c r="I353" s="17" t="s">
        <v>2096</v>
      </c>
      <c r="J353" s="17" t="s">
        <v>2097</v>
      </c>
      <c r="K353" s="17" t="s">
        <v>2032</v>
      </c>
      <c r="L353" s="17" t="s">
        <v>111</v>
      </c>
      <c r="M353" s="17" t="s">
        <v>2098</v>
      </c>
      <c r="N353" s="16"/>
      <c r="O353" s="18">
        <v>46249</v>
      </c>
      <c r="P353" s="19" t="s">
        <v>34</v>
      </c>
      <c r="Q353" s="17"/>
      <c r="R353" s="19" t="str">
        <f t="shared" si="5"/>
        <v>Discovery Link Only</v>
      </c>
    </row>
    <row r="354" spans="1:18" ht="60" customHeight="1" x14ac:dyDescent="0.2">
      <c r="A354" s="16" t="s">
        <v>2099</v>
      </c>
      <c r="B354" s="16" t="s">
        <v>2100</v>
      </c>
      <c r="C354" s="16" t="s">
        <v>2027</v>
      </c>
      <c r="D354" s="16" t="s">
        <v>2056</v>
      </c>
      <c r="E354" s="16" t="s">
        <v>115</v>
      </c>
      <c r="F354" s="16" t="s">
        <v>121</v>
      </c>
      <c r="G354" s="16" t="s">
        <v>46</v>
      </c>
      <c r="H354" s="17" t="s">
        <v>2101</v>
      </c>
      <c r="I354" s="17" t="s">
        <v>2102</v>
      </c>
      <c r="J354" s="17" t="s">
        <v>2103</v>
      </c>
      <c r="K354" s="17" t="s">
        <v>2032</v>
      </c>
      <c r="L354" s="17" t="s">
        <v>111</v>
      </c>
      <c r="M354" s="17" t="s">
        <v>2098</v>
      </c>
      <c r="N354" s="16"/>
      <c r="O354" s="18">
        <v>46249</v>
      </c>
      <c r="P354" s="19" t="s">
        <v>34</v>
      </c>
      <c r="Q354" s="17"/>
      <c r="R354" s="19" t="str">
        <f t="shared" si="5"/>
        <v>Discovery Link Only</v>
      </c>
    </row>
    <row r="355" spans="1:18" ht="60" customHeight="1" x14ac:dyDescent="0.2">
      <c r="A355" s="16" t="s">
        <v>2104</v>
      </c>
      <c r="B355" s="16" t="s">
        <v>2105</v>
      </c>
      <c r="C355" s="16" t="s">
        <v>2027</v>
      </c>
      <c r="D355" s="16" t="s">
        <v>2056</v>
      </c>
      <c r="E355" s="16" t="s">
        <v>99</v>
      </c>
      <c r="F355" s="16" t="s">
        <v>121</v>
      </c>
      <c r="G355" s="16" t="s">
        <v>46</v>
      </c>
      <c r="H355" s="17" t="s">
        <v>2106</v>
      </c>
      <c r="I355" s="17" t="s">
        <v>2107</v>
      </c>
      <c r="J355" s="17" t="s">
        <v>2108</v>
      </c>
      <c r="K355" s="17" t="s">
        <v>2032</v>
      </c>
      <c r="L355" s="17" t="s">
        <v>111</v>
      </c>
      <c r="M355" s="17" t="s">
        <v>2098</v>
      </c>
      <c r="N355" s="16"/>
      <c r="O355" s="18">
        <v>46249</v>
      </c>
      <c r="P355" s="19" t="s">
        <v>34</v>
      </c>
      <c r="Q355" s="17"/>
      <c r="R355" s="19" t="str">
        <f t="shared" si="5"/>
        <v>Discovery Link Only</v>
      </c>
    </row>
    <row r="356" spans="1:18" ht="60" customHeight="1" x14ac:dyDescent="0.2">
      <c r="A356" s="16" t="s">
        <v>2109</v>
      </c>
      <c r="B356" s="16" t="s">
        <v>2110</v>
      </c>
      <c r="C356" s="16" t="s">
        <v>2027</v>
      </c>
      <c r="D356" s="16" t="s">
        <v>2043</v>
      </c>
      <c r="E356" s="16" t="s">
        <v>106</v>
      </c>
      <c r="F356" s="16" t="s">
        <v>107</v>
      </c>
      <c r="G356" s="16" t="s">
        <v>46</v>
      </c>
      <c r="H356" s="17" t="s">
        <v>2111</v>
      </c>
      <c r="I356" s="17" t="s">
        <v>2112</v>
      </c>
      <c r="J356" s="17" t="s">
        <v>2113</v>
      </c>
      <c r="K356" s="17" t="s">
        <v>2032</v>
      </c>
      <c r="L356" s="17" t="s">
        <v>111</v>
      </c>
      <c r="M356" s="17" t="s">
        <v>2098</v>
      </c>
      <c r="N356" s="16"/>
      <c r="O356" s="18">
        <v>46249</v>
      </c>
      <c r="P356" s="19" t="s">
        <v>34</v>
      </c>
      <c r="Q356" s="17"/>
      <c r="R356" s="19" t="str">
        <f t="shared" si="5"/>
        <v>Discovery Link Only</v>
      </c>
    </row>
    <row r="357" spans="1:18" ht="60" customHeight="1" x14ac:dyDescent="0.2">
      <c r="A357" s="16" t="s">
        <v>2114</v>
      </c>
      <c r="B357" s="16" t="s">
        <v>2115</v>
      </c>
      <c r="C357" s="16" t="s">
        <v>2027</v>
      </c>
      <c r="D357" s="16" t="s">
        <v>2116</v>
      </c>
      <c r="E357" s="16" t="s">
        <v>45</v>
      </c>
      <c r="F357" s="16" t="s">
        <v>127</v>
      </c>
      <c r="G357" s="16" t="s">
        <v>26</v>
      </c>
      <c r="H357" s="17" t="s">
        <v>2117</v>
      </c>
      <c r="I357" s="17" t="s">
        <v>2118</v>
      </c>
      <c r="J357" s="17" t="s">
        <v>2119</v>
      </c>
      <c r="K357" s="17" t="s">
        <v>2032</v>
      </c>
      <c r="L357" s="17" t="s">
        <v>111</v>
      </c>
      <c r="M357" s="17" t="s">
        <v>2098</v>
      </c>
      <c r="N357" s="16"/>
      <c r="O357" s="18">
        <v>46249</v>
      </c>
      <c r="P357" s="19" t="s">
        <v>34</v>
      </c>
      <c r="Q357" s="17"/>
      <c r="R357" s="19" t="str">
        <f t="shared" si="5"/>
        <v>Discovery Link Only</v>
      </c>
    </row>
    <row r="358" spans="1:18" ht="60" customHeight="1" x14ac:dyDescent="0.2">
      <c r="A358" s="16" t="s">
        <v>2120</v>
      </c>
      <c r="B358" s="16" t="s">
        <v>2121</v>
      </c>
      <c r="C358" s="16" t="s">
        <v>2027</v>
      </c>
      <c r="D358" s="16" t="s">
        <v>2116</v>
      </c>
      <c r="E358" s="16" t="s">
        <v>72</v>
      </c>
      <c r="F358" s="16" t="s">
        <v>121</v>
      </c>
      <c r="G358" s="16" t="s">
        <v>26</v>
      </c>
      <c r="H358" s="17" t="s">
        <v>2122</v>
      </c>
      <c r="I358" s="17" t="s">
        <v>2123</v>
      </c>
      <c r="J358" s="17" t="s">
        <v>2124</v>
      </c>
      <c r="K358" s="17" t="s">
        <v>2032</v>
      </c>
      <c r="L358" s="17" t="s">
        <v>111</v>
      </c>
      <c r="M358" s="17" t="s">
        <v>2098</v>
      </c>
      <c r="N358" s="16"/>
      <c r="O358" s="18">
        <v>46249</v>
      </c>
      <c r="P358" s="19" t="s">
        <v>34</v>
      </c>
      <c r="Q358" s="17"/>
      <c r="R358" s="19" t="str">
        <f t="shared" si="5"/>
        <v>Discovery Link Only</v>
      </c>
    </row>
    <row r="359" spans="1:18" ht="60" customHeight="1" x14ac:dyDescent="0.2">
      <c r="A359" s="16" t="s">
        <v>2125</v>
      </c>
      <c r="B359" s="16" t="s">
        <v>2126</v>
      </c>
      <c r="C359" s="16" t="s">
        <v>2027</v>
      </c>
      <c r="D359" s="16" t="s">
        <v>2116</v>
      </c>
      <c r="E359" s="16" t="s">
        <v>72</v>
      </c>
      <c r="F359" s="16" t="s">
        <v>107</v>
      </c>
      <c r="G359" s="16" t="s">
        <v>26</v>
      </c>
      <c r="H359" s="17" t="s">
        <v>1577</v>
      </c>
      <c r="I359" s="17" t="s">
        <v>2127</v>
      </c>
      <c r="J359" s="17" t="s">
        <v>2128</v>
      </c>
      <c r="K359" s="17" t="s">
        <v>2032</v>
      </c>
      <c r="L359" s="17" t="s">
        <v>111</v>
      </c>
      <c r="M359" s="17" t="s">
        <v>2098</v>
      </c>
      <c r="N359" s="16"/>
      <c r="O359" s="18">
        <v>46249</v>
      </c>
      <c r="P359" s="19" t="s">
        <v>34</v>
      </c>
      <c r="Q359" s="17"/>
      <c r="R359" s="19" t="str">
        <f t="shared" si="5"/>
        <v>Discovery Link Only</v>
      </c>
    </row>
    <row r="360" spans="1:18" ht="60" customHeight="1" x14ac:dyDescent="0.2">
      <c r="A360" s="16" t="s">
        <v>2129</v>
      </c>
      <c r="B360" s="16" t="s">
        <v>2130</v>
      </c>
      <c r="C360" s="16" t="s">
        <v>2027</v>
      </c>
      <c r="D360" s="16" t="s">
        <v>2050</v>
      </c>
      <c r="E360" s="16" t="s">
        <v>72</v>
      </c>
      <c r="F360" s="16" t="s">
        <v>107</v>
      </c>
      <c r="G360" s="16" t="s">
        <v>26</v>
      </c>
      <c r="H360" s="17" t="s">
        <v>2131</v>
      </c>
      <c r="I360" s="17" t="s">
        <v>2132</v>
      </c>
      <c r="J360" s="17" t="s">
        <v>2133</v>
      </c>
      <c r="K360" s="17" t="s">
        <v>2032</v>
      </c>
      <c r="L360" s="17" t="s">
        <v>111</v>
      </c>
      <c r="M360" s="17" t="s">
        <v>2098</v>
      </c>
      <c r="N360" s="16"/>
      <c r="O360" s="18">
        <v>46249</v>
      </c>
      <c r="P360" s="19" t="s">
        <v>34</v>
      </c>
      <c r="Q360" s="17"/>
      <c r="R360" s="19" t="str">
        <f t="shared" si="5"/>
        <v>Discovery Link Only</v>
      </c>
    </row>
    <row r="361" spans="1:18" ht="60" customHeight="1" x14ac:dyDescent="0.2">
      <c r="A361" s="16" t="s">
        <v>2134</v>
      </c>
      <c r="B361" s="16" t="s">
        <v>2135</v>
      </c>
      <c r="C361" s="16" t="s">
        <v>2027</v>
      </c>
      <c r="D361" s="16" t="s">
        <v>2050</v>
      </c>
      <c r="E361" s="16" t="s">
        <v>72</v>
      </c>
      <c r="F361" s="16" t="s">
        <v>107</v>
      </c>
      <c r="G361" s="16" t="s">
        <v>26</v>
      </c>
      <c r="H361" s="17" t="s">
        <v>2136</v>
      </c>
      <c r="I361" s="17" t="s">
        <v>2137</v>
      </c>
      <c r="J361" s="17" t="s">
        <v>2138</v>
      </c>
      <c r="K361" s="17" t="s">
        <v>2032</v>
      </c>
      <c r="L361" s="17" t="s">
        <v>111</v>
      </c>
      <c r="M361" s="17" t="s">
        <v>2098</v>
      </c>
      <c r="N361" s="16"/>
      <c r="O361" s="18">
        <v>46249</v>
      </c>
      <c r="P361" s="19" t="s">
        <v>34</v>
      </c>
      <c r="Q361" s="17"/>
      <c r="R361" s="19" t="str">
        <f t="shared" si="5"/>
        <v>Discovery Link Only</v>
      </c>
    </row>
    <row r="362" spans="1:18" ht="60" customHeight="1" x14ac:dyDescent="0.2">
      <c r="A362" s="16" t="s">
        <v>2139</v>
      </c>
      <c r="B362" s="16" t="s">
        <v>2140</v>
      </c>
      <c r="C362" s="16" t="s">
        <v>2027</v>
      </c>
      <c r="D362" s="16" t="s">
        <v>2050</v>
      </c>
      <c r="E362" s="16" t="s">
        <v>45</v>
      </c>
      <c r="F362" s="16" t="s">
        <v>121</v>
      </c>
      <c r="G362" s="16" t="s">
        <v>26</v>
      </c>
      <c r="H362" s="17" t="s">
        <v>244</v>
      </c>
      <c r="I362" s="17" t="s">
        <v>2141</v>
      </c>
      <c r="J362" s="17" t="s">
        <v>2142</v>
      </c>
      <c r="K362" s="17" t="s">
        <v>2032</v>
      </c>
      <c r="L362" s="17" t="s">
        <v>111</v>
      </c>
      <c r="M362" s="17" t="s">
        <v>2098</v>
      </c>
      <c r="N362" s="16"/>
      <c r="O362" s="18">
        <v>46249</v>
      </c>
      <c r="P362" s="19" t="s">
        <v>34</v>
      </c>
      <c r="Q362" s="17"/>
      <c r="R362" s="19" t="str">
        <f t="shared" si="5"/>
        <v>Discovery Link Only</v>
      </c>
    </row>
    <row r="363" spans="1:18" ht="60" customHeight="1" x14ac:dyDescent="0.2">
      <c r="A363" s="16" t="s">
        <v>2143</v>
      </c>
      <c r="B363" s="16" t="s">
        <v>2144</v>
      </c>
      <c r="C363" s="16" t="s">
        <v>2027</v>
      </c>
      <c r="D363" s="16" t="s">
        <v>2145</v>
      </c>
      <c r="E363" s="16" t="s">
        <v>72</v>
      </c>
      <c r="F363" s="16" t="s">
        <v>107</v>
      </c>
      <c r="G363" s="16" t="s">
        <v>26</v>
      </c>
      <c r="H363" s="17" t="s">
        <v>2131</v>
      </c>
      <c r="I363" s="17" t="s">
        <v>2146</v>
      </c>
      <c r="J363" s="17" t="s">
        <v>2147</v>
      </c>
      <c r="K363" s="17" t="s">
        <v>2032</v>
      </c>
      <c r="L363" s="17" t="s">
        <v>111</v>
      </c>
      <c r="M363" s="17" t="s">
        <v>2098</v>
      </c>
      <c r="N363" s="16"/>
      <c r="O363" s="18">
        <v>46249</v>
      </c>
      <c r="P363" s="19" t="s">
        <v>34</v>
      </c>
      <c r="Q363" s="17"/>
      <c r="R363" s="19" t="str">
        <f t="shared" si="5"/>
        <v>Discovery Link Only</v>
      </c>
    </row>
    <row r="364" spans="1:18" ht="60" customHeight="1" x14ac:dyDescent="0.2">
      <c r="A364" s="16" t="s">
        <v>2148</v>
      </c>
      <c r="B364" s="16" t="s">
        <v>2149</v>
      </c>
      <c r="C364" s="16" t="s">
        <v>2027</v>
      </c>
      <c r="D364" s="16" t="s">
        <v>2145</v>
      </c>
      <c r="E364" s="16" t="s">
        <v>72</v>
      </c>
      <c r="F364" s="16" t="s">
        <v>121</v>
      </c>
      <c r="G364" s="16" t="s">
        <v>26</v>
      </c>
      <c r="H364" s="17" t="s">
        <v>2150</v>
      </c>
      <c r="I364" s="17" t="s">
        <v>2151</v>
      </c>
      <c r="J364" s="17" t="s">
        <v>2152</v>
      </c>
      <c r="K364" s="17" t="s">
        <v>2032</v>
      </c>
      <c r="L364" s="17" t="s">
        <v>111</v>
      </c>
      <c r="M364" s="17" t="s">
        <v>2098</v>
      </c>
      <c r="N364" s="16"/>
      <c r="O364" s="18">
        <v>46249</v>
      </c>
      <c r="P364" s="19" t="s">
        <v>34</v>
      </c>
      <c r="Q364" s="17"/>
      <c r="R364" s="19" t="str">
        <f t="shared" si="5"/>
        <v>Discovery Link Only</v>
      </c>
    </row>
    <row r="365" spans="1:18" ht="60" customHeight="1" x14ac:dyDescent="0.2">
      <c r="A365" s="16" t="s">
        <v>2153</v>
      </c>
      <c r="B365" s="16" t="s">
        <v>2154</v>
      </c>
      <c r="C365" s="16" t="s">
        <v>2027</v>
      </c>
      <c r="D365" s="16" t="s">
        <v>2082</v>
      </c>
      <c r="E365" s="16" t="s">
        <v>72</v>
      </c>
      <c r="F365" s="16" t="s">
        <v>107</v>
      </c>
      <c r="G365" s="16" t="s">
        <v>26</v>
      </c>
      <c r="H365" s="17" t="s">
        <v>2155</v>
      </c>
      <c r="I365" s="17" t="s">
        <v>2156</v>
      </c>
      <c r="J365" s="17" t="s">
        <v>2157</v>
      </c>
      <c r="K365" s="17" t="s">
        <v>2032</v>
      </c>
      <c r="L365" s="17" t="s">
        <v>111</v>
      </c>
      <c r="M365" s="17" t="s">
        <v>2098</v>
      </c>
      <c r="N365" s="16"/>
      <c r="O365" s="18">
        <v>46249</v>
      </c>
      <c r="P365" s="19" t="s">
        <v>34</v>
      </c>
      <c r="Q365" s="17"/>
      <c r="R365" s="19" t="str">
        <f t="shared" si="5"/>
        <v>Discovery Link Only</v>
      </c>
    </row>
    <row r="366" spans="1:18" ht="60" customHeight="1" x14ac:dyDescent="0.2">
      <c r="A366" s="16" t="s">
        <v>2158</v>
      </c>
      <c r="B366" s="16" t="s">
        <v>2159</v>
      </c>
      <c r="C366" s="16" t="s">
        <v>2027</v>
      </c>
      <c r="D366" s="16" t="s">
        <v>2082</v>
      </c>
      <c r="E366" s="16" t="s">
        <v>251</v>
      </c>
      <c r="F366" s="16" t="s">
        <v>107</v>
      </c>
      <c r="G366" s="16" t="s">
        <v>26</v>
      </c>
      <c r="H366" s="17" t="s">
        <v>2160</v>
      </c>
      <c r="I366" s="17" t="s">
        <v>2161</v>
      </c>
      <c r="J366" s="17" t="s">
        <v>2162</v>
      </c>
      <c r="K366" s="17" t="s">
        <v>2032</v>
      </c>
      <c r="L366" s="17" t="s">
        <v>111</v>
      </c>
      <c r="M366" s="17" t="s">
        <v>2098</v>
      </c>
      <c r="N366" s="16"/>
      <c r="O366" s="18">
        <v>46249</v>
      </c>
      <c r="P366" s="19" t="s">
        <v>34</v>
      </c>
      <c r="Q366" s="17"/>
      <c r="R366" s="19" t="str">
        <f t="shared" si="5"/>
        <v>Discovery Link Only</v>
      </c>
    </row>
    <row r="367" spans="1:18" ht="60" customHeight="1" x14ac:dyDescent="0.2">
      <c r="A367" s="16" t="s">
        <v>2163</v>
      </c>
      <c r="B367" s="16" t="s">
        <v>2164</v>
      </c>
      <c r="C367" s="16" t="s">
        <v>2027</v>
      </c>
      <c r="D367" s="16" t="s">
        <v>2082</v>
      </c>
      <c r="E367" s="16" t="s">
        <v>133</v>
      </c>
      <c r="F367" s="16" t="s">
        <v>127</v>
      </c>
      <c r="G367" s="16" t="s">
        <v>134</v>
      </c>
      <c r="H367" s="17" t="s">
        <v>2165</v>
      </c>
      <c r="I367" s="17" t="s">
        <v>2166</v>
      </c>
      <c r="J367" s="17" t="s">
        <v>2167</v>
      </c>
      <c r="K367" s="17" t="s">
        <v>2032</v>
      </c>
      <c r="L367" s="17" t="s">
        <v>111</v>
      </c>
      <c r="M367" s="17" t="s">
        <v>2098</v>
      </c>
      <c r="N367" s="16"/>
      <c r="O367" s="18">
        <v>46249</v>
      </c>
      <c r="P367" s="19" t="s">
        <v>34</v>
      </c>
      <c r="Q367" s="17"/>
      <c r="R367" s="19" t="str">
        <f t="shared" si="5"/>
        <v>Discovery Link Only</v>
      </c>
    </row>
    <row r="368" spans="1:18" ht="60" customHeight="1" x14ac:dyDescent="0.2">
      <c r="A368" s="16" t="s">
        <v>2168</v>
      </c>
      <c r="B368" s="16" t="s">
        <v>2169</v>
      </c>
      <c r="C368" s="16" t="s">
        <v>2027</v>
      </c>
      <c r="D368" s="16" t="s">
        <v>2170</v>
      </c>
      <c r="E368" s="16" t="s">
        <v>72</v>
      </c>
      <c r="F368" s="16" t="s">
        <v>121</v>
      </c>
      <c r="G368" s="16" t="s">
        <v>26</v>
      </c>
      <c r="H368" s="17" t="s">
        <v>2171</v>
      </c>
      <c r="I368" s="17" t="s">
        <v>2172</v>
      </c>
      <c r="J368" s="17" t="s">
        <v>2173</v>
      </c>
      <c r="K368" s="17" t="s">
        <v>2032</v>
      </c>
      <c r="L368" s="17" t="s">
        <v>111</v>
      </c>
      <c r="M368" s="17" t="s">
        <v>2098</v>
      </c>
      <c r="N368" s="16"/>
      <c r="O368" s="18">
        <v>46249</v>
      </c>
      <c r="P368" s="19" t="s">
        <v>34</v>
      </c>
      <c r="Q368" s="17"/>
      <c r="R368" s="19" t="str">
        <f t="shared" si="5"/>
        <v>Discovery Link Only</v>
      </c>
    </row>
    <row r="369" spans="1:18" ht="60" customHeight="1" x14ac:dyDescent="0.2">
      <c r="A369" s="16" t="s">
        <v>2174</v>
      </c>
      <c r="B369" s="16" t="s">
        <v>2175</v>
      </c>
      <c r="C369" s="16" t="s">
        <v>2027</v>
      </c>
      <c r="D369" s="16" t="s">
        <v>2170</v>
      </c>
      <c r="E369" s="16" t="s">
        <v>37</v>
      </c>
      <c r="F369" s="16" t="s">
        <v>127</v>
      </c>
      <c r="G369" s="16" t="s">
        <v>26</v>
      </c>
      <c r="H369" s="17" t="s">
        <v>1959</v>
      </c>
      <c r="I369" s="17" t="s">
        <v>2176</v>
      </c>
      <c r="J369" s="17" t="s">
        <v>2177</v>
      </c>
      <c r="K369" s="17" t="s">
        <v>2032</v>
      </c>
      <c r="L369" s="17" t="s">
        <v>111</v>
      </c>
      <c r="M369" s="17" t="s">
        <v>2098</v>
      </c>
      <c r="N369" s="16"/>
      <c r="O369" s="18">
        <v>46249</v>
      </c>
      <c r="P369" s="19" t="s">
        <v>34</v>
      </c>
      <c r="Q369" s="17"/>
      <c r="R369" s="19" t="str">
        <f t="shared" si="5"/>
        <v>Discovery Link Only</v>
      </c>
    </row>
    <row r="370" spans="1:18" ht="60" customHeight="1" x14ac:dyDescent="0.2">
      <c r="A370" s="16" t="s">
        <v>2178</v>
      </c>
      <c r="B370" s="16" t="s">
        <v>2179</v>
      </c>
      <c r="C370" s="16" t="s">
        <v>2027</v>
      </c>
      <c r="D370" s="16" t="s">
        <v>2075</v>
      </c>
      <c r="E370" s="16" t="s">
        <v>45</v>
      </c>
      <c r="F370" s="16" t="s">
        <v>107</v>
      </c>
      <c r="G370" s="16" t="s">
        <v>26</v>
      </c>
      <c r="H370" s="17" t="s">
        <v>2180</v>
      </c>
      <c r="I370" s="17" t="s">
        <v>2181</v>
      </c>
      <c r="J370" s="17" t="s">
        <v>2182</v>
      </c>
      <c r="K370" s="17" t="s">
        <v>2032</v>
      </c>
      <c r="L370" s="17" t="s">
        <v>111</v>
      </c>
      <c r="M370" s="17" t="s">
        <v>2098</v>
      </c>
      <c r="N370" s="16"/>
      <c r="O370" s="18">
        <v>46249</v>
      </c>
      <c r="P370" s="19" t="s">
        <v>34</v>
      </c>
      <c r="Q370" s="17"/>
      <c r="R370" s="19" t="str">
        <f t="shared" si="5"/>
        <v>Discovery Link Only</v>
      </c>
    </row>
    <row r="371" spans="1:18" ht="60" customHeight="1" x14ac:dyDescent="0.2">
      <c r="A371" s="16" t="s">
        <v>2183</v>
      </c>
      <c r="B371" s="16" t="s">
        <v>2184</v>
      </c>
      <c r="C371" s="16" t="s">
        <v>2027</v>
      </c>
      <c r="D371" s="16" t="s">
        <v>2075</v>
      </c>
      <c r="E371" s="16" t="s">
        <v>37</v>
      </c>
      <c r="F371" s="16" t="s">
        <v>107</v>
      </c>
      <c r="G371" s="16" t="s">
        <v>26</v>
      </c>
      <c r="H371" s="17" t="s">
        <v>2185</v>
      </c>
      <c r="I371" s="17" t="s">
        <v>2186</v>
      </c>
      <c r="J371" s="17" t="s">
        <v>2187</v>
      </c>
      <c r="K371" s="17" t="s">
        <v>2032</v>
      </c>
      <c r="L371" s="17" t="s">
        <v>111</v>
      </c>
      <c r="M371" s="17" t="s">
        <v>2098</v>
      </c>
      <c r="N371" s="16"/>
      <c r="O371" s="18">
        <v>46249</v>
      </c>
      <c r="P371" s="19" t="s">
        <v>34</v>
      </c>
      <c r="Q371" s="17"/>
      <c r="R371" s="19" t="str">
        <f t="shared" si="5"/>
        <v>Discovery Link Only</v>
      </c>
    </row>
    <row r="372" spans="1:18" ht="60" customHeight="1" x14ac:dyDescent="0.2">
      <c r="A372" s="16" t="s">
        <v>2188</v>
      </c>
      <c r="B372" s="16" t="s">
        <v>2189</v>
      </c>
      <c r="C372" s="16" t="s">
        <v>2027</v>
      </c>
      <c r="D372" s="16" t="s">
        <v>2075</v>
      </c>
      <c r="E372" s="16" t="s">
        <v>45</v>
      </c>
      <c r="F372" s="16" t="s">
        <v>121</v>
      </c>
      <c r="G372" s="16" t="s">
        <v>26</v>
      </c>
      <c r="H372" s="17" t="s">
        <v>244</v>
      </c>
      <c r="I372" s="17" t="s">
        <v>2190</v>
      </c>
      <c r="J372" s="17" t="s">
        <v>2191</v>
      </c>
      <c r="K372" s="17" t="s">
        <v>2032</v>
      </c>
      <c r="L372" s="17" t="s">
        <v>111</v>
      </c>
      <c r="M372" s="17" t="s">
        <v>2098</v>
      </c>
      <c r="N372" s="16"/>
      <c r="O372" s="18">
        <v>46249</v>
      </c>
      <c r="P372" s="19" t="s">
        <v>34</v>
      </c>
      <c r="Q372" s="17"/>
      <c r="R372" s="19" t="str">
        <f t="shared" si="5"/>
        <v>Discovery Link Only</v>
      </c>
    </row>
    <row r="373" spans="1:18" ht="60" customHeight="1" x14ac:dyDescent="0.2">
      <c r="A373" s="16" t="s">
        <v>2192</v>
      </c>
      <c r="B373" s="16" t="s">
        <v>2193</v>
      </c>
      <c r="C373" s="16" t="s">
        <v>2027</v>
      </c>
      <c r="D373" s="16" t="s">
        <v>2075</v>
      </c>
      <c r="E373" s="16" t="s">
        <v>37</v>
      </c>
      <c r="F373" s="16" t="s">
        <v>194</v>
      </c>
      <c r="G373" s="16" t="s">
        <v>26</v>
      </c>
      <c r="H373" s="17" t="s">
        <v>2194</v>
      </c>
      <c r="I373" s="17" t="s">
        <v>2195</v>
      </c>
      <c r="J373" s="17" t="s">
        <v>2196</v>
      </c>
      <c r="K373" s="17" t="s">
        <v>2032</v>
      </c>
      <c r="L373" s="17" t="s">
        <v>111</v>
      </c>
      <c r="M373" s="17" t="s">
        <v>2098</v>
      </c>
      <c r="N373" s="16"/>
      <c r="O373" s="18">
        <v>46249</v>
      </c>
      <c r="P373" s="19" t="s">
        <v>34</v>
      </c>
      <c r="Q373" s="17"/>
      <c r="R373" s="19" t="str">
        <f t="shared" si="5"/>
        <v>Discovery Link Only</v>
      </c>
    </row>
    <row r="374" spans="1:18" ht="60" customHeight="1" x14ac:dyDescent="0.2">
      <c r="A374" s="16" t="s">
        <v>2197</v>
      </c>
      <c r="B374" s="16" t="s">
        <v>2198</v>
      </c>
      <c r="C374" s="16" t="s">
        <v>2027</v>
      </c>
      <c r="D374" s="16" t="s">
        <v>2199</v>
      </c>
      <c r="E374" s="16" t="s">
        <v>37</v>
      </c>
      <c r="F374" s="16" t="s">
        <v>107</v>
      </c>
      <c r="G374" s="16" t="s">
        <v>26</v>
      </c>
      <c r="H374" s="17" t="s">
        <v>2200</v>
      </c>
      <c r="I374" s="17" t="s">
        <v>2201</v>
      </c>
      <c r="J374" s="17" t="s">
        <v>2202</v>
      </c>
      <c r="K374" s="17" t="s">
        <v>2032</v>
      </c>
      <c r="L374" s="17" t="s">
        <v>111</v>
      </c>
      <c r="M374" s="17" t="s">
        <v>2098</v>
      </c>
      <c r="N374" s="16"/>
      <c r="O374" s="18">
        <v>46249</v>
      </c>
      <c r="P374" s="19" t="s">
        <v>34</v>
      </c>
      <c r="Q374" s="17"/>
      <c r="R374" s="19" t="str">
        <f t="shared" si="5"/>
        <v>Discovery Link Only</v>
      </c>
    </row>
    <row r="375" spans="1:18" ht="60" customHeight="1" x14ac:dyDescent="0.2">
      <c r="A375" s="16" t="s">
        <v>2203</v>
      </c>
      <c r="B375" s="16" t="s">
        <v>2204</v>
      </c>
      <c r="C375" s="16" t="s">
        <v>2205</v>
      </c>
      <c r="D375" s="16" t="s">
        <v>2206</v>
      </c>
      <c r="E375" s="16" t="s">
        <v>37</v>
      </c>
      <c r="F375" s="16" t="s">
        <v>25</v>
      </c>
      <c r="G375" s="16" t="s">
        <v>46</v>
      </c>
      <c r="H375" s="17" t="s">
        <v>2207</v>
      </c>
      <c r="I375" s="17" t="s">
        <v>2208</v>
      </c>
      <c r="J375" s="17" t="s">
        <v>2209</v>
      </c>
      <c r="K375" s="17" t="s">
        <v>2210</v>
      </c>
      <c r="L375" s="17" t="s">
        <v>58</v>
      </c>
      <c r="M375" s="17" t="s">
        <v>256</v>
      </c>
      <c r="N375" s="16" t="s">
        <v>2211</v>
      </c>
      <c r="O375" s="18">
        <v>46249</v>
      </c>
      <c r="P375" s="19" t="s">
        <v>34</v>
      </c>
      <c r="Q375" s="17"/>
      <c r="R375" s="19" t="str">
        <f t="shared" si="5"/>
        <v>Source Link Present</v>
      </c>
    </row>
    <row r="376" spans="1:18" ht="60" customHeight="1" x14ac:dyDescent="0.2">
      <c r="A376" s="16" t="s">
        <v>2212</v>
      </c>
      <c r="B376" s="16" t="s">
        <v>2213</v>
      </c>
      <c r="C376" s="16" t="s">
        <v>2205</v>
      </c>
      <c r="D376" s="16" t="s">
        <v>2214</v>
      </c>
      <c r="E376" s="16" t="s">
        <v>140</v>
      </c>
      <c r="F376" s="16" t="s">
        <v>25</v>
      </c>
      <c r="G376" s="16" t="s">
        <v>46</v>
      </c>
      <c r="H376" s="17" t="s">
        <v>2215</v>
      </c>
      <c r="I376" s="17" t="s">
        <v>2216</v>
      </c>
      <c r="J376" s="17" t="s">
        <v>2217</v>
      </c>
      <c r="K376" s="17" t="s">
        <v>2210</v>
      </c>
      <c r="L376" s="17" t="s">
        <v>58</v>
      </c>
      <c r="M376" s="17" t="s">
        <v>256</v>
      </c>
      <c r="N376" s="16" t="s">
        <v>2218</v>
      </c>
      <c r="O376" s="18">
        <v>46249</v>
      </c>
      <c r="P376" s="19" t="s">
        <v>34</v>
      </c>
      <c r="Q376" s="17"/>
      <c r="R376" s="19" t="str">
        <f t="shared" si="5"/>
        <v>Discovery Link Only</v>
      </c>
    </row>
    <row r="377" spans="1:18" ht="60" customHeight="1" x14ac:dyDescent="0.2">
      <c r="A377" s="16" t="s">
        <v>2219</v>
      </c>
      <c r="B377" s="16" t="s">
        <v>2220</v>
      </c>
      <c r="C377" s="16" t="s">
        <v>2205</v>
      </c>
      <c r="D377" s="16" t="s">
        <v>2214</v>
      </c>
      <c r="E377" s="16" t="s">
        <v>24</v>
      </c>
      <c r="F377" s="16" t="s">
        <v>25</v>
      </c>
      <c r="G377" s="16" t="s">
        <v>26</v>
      </c>
      <c r="H377" s="17" t="s">
        <v>2221</v>
      </c>
      <c r="I377" s="17" t="s">
        <v>2222</v>
      </c>
      <c r="J377" s="17" t="s">
        <v>2223</v>
      </c>
      <c r="K377" s="17" t="s">
        <v>2210</v>
      </c>
      <c r="L377" s="17" t="s">
        <v>58</v>
      </c>
      <c r="M377" s="17" t="s">
        <v>256</v>
      </c>
      <c r="N377" s="16" t="s">
        <v>2224</v>
      </c>
      <c r="O377" s="18">
        <v>46249</v>
      </c>
      <c r="P377" s="19" t="s">
        <v>34</v>
      </c>
      <c r="Q377" s="17"/>
      <c r="R377" s="19" t="str">
        <f t="shared" si="5"/>
        <v>Discovery Link Only</v>
      </c>
    </row>
    <row r="378" spans="1:18" ht="60" customHeight="1" x14ac:dyDescent="0.2">
      <c r="A378" s="16" t="s">
        <v>2225</v>
      </c>
      <c r="B378" s="16" t="s">
        <v>2226</v>
      </c>
      <c r="C378" s="16" t="s">
        <v>2205</v>
      </c>
      <c r="D378" s="16" t="s">
        <v>2214</v>
      </c>
      <c r="E378" s="16" t="s">
        <v>54</v>
      </c>
      <c r="F378" s="16" t="s">
        <v>25</v>
      </c>
      <c r="G378" s="16" t="s">
        <v>134</v>
      </c>
      <c r="H378" s="17" t="s">
        <v>292</v>
      </c>
      <c r="I378" s="17" t="s">
        <v>2227</v>
      </c>
      <c r="J378" s="17" t="s">
        <v>2228</v>
      </c>
      <c r="K378" s="17" t="s">
        <v>2210</v>
      </c>
      <c r="L378" s="17" t="s">
        <v>58</v>
      </c>
      <c r="M378" s="17" t="s">
        <v>256</v>
      </c>
      <c r="N378" s="16" t="s">
        <v>2229</v>
      </c>
      <c r="O378" s="18">
        <v>46249</v>
      </c>
      <c r="P378" s="19" t="s">
        <v>34</v>
      </c>
      <c r="Q378" s="17"/>
      <c r="R378" s="19" t="str">
        <f t="shared" si="5"/>
        <v>Discovery Link Only</v>
      </c>
    </row>
    <row r="379" spans="1:18" ht="60" customHeight="1" x14ac:dyDescent="0.2">
      <c r="A379" s="16" t="s">
        <v>2230</v>
      </c>
      <c r="B379" s="16" t="s">
        <v>2231</v>
      </c>
      <c r="C379" s="16" t="s">
        <v>2205</v>
      </c>
      <c r="D379" s="16" t="s">
        <v>2232</v>
      </c>
      <c r="E379" s="16" t="s">
        <v>151</v>
      </c>
      <c r="F379" s="16" t="s">
        <v>121</v>
      </c>
      <c r="G379" s="16" t="s">
        <v>134</v>
      </c>
      <c r="H379" s="17" t="s">
        <v>2233</v>
      </c>
      <c r="I379" s="17" t="s">
        <v>2234</v>
      </c>
      <c r="J379" s="17" t="s">
        <v>2235</v>
      </c>
      <c r="K379" s="17" t="s">
        <v>2210</v>
      </c>
      <c r="L379" s="17" t="s">
        <v>58</v>
      </c>
      <c r="M379" s="17" t="s">
        <v>256</v>
      </c>
      <c r="N379" s="16" t="s">
        <v>2236</v>
      </c>
      <c r="O379" s="18">
        <v>46249</v>
      </c>
      <c r="P379" s="19" t="s">
        <v>34</v>
      </c>
      <c r="Q379" s="17"/>
      <c r="R379" s="19" t="str">
        <f t="shared" si="5"/>
        <v>Discovery Link Only</v>
      </c>
    </row>
    <row r="380" spans="1:18" ht="60" customHeight="1" x14ac:dyDescent="0.2">
      <c r="A380" s="16" t="s">
        <v>2237</v>
      </c>
      <c r="B380" s="16" t="s">
        <v>2238</v>
      </c>
      <c r="C380" s="16" t="s">
        <v>2205</v>
      </c>
      <c r="D380" s="16" t="s">
        <v>2239</v>
      </c>
      <c r="E380" s="16" t="s">
        <v>394</v>
      </c>
      <c r="F380" s="16" t="s">
        <v>25</v>
      </c>
      <c r="G380" s="16" t="s">
        <v>26</v>
      </c>
      <c r="H380" s="17" t="s">
        <v>2240</v>
      </c>
      <c r="I380" s="17" t="s">
        <v>2241</v>
      </c>
      <c r="J380" s="17" t="s">
        <v>2242</v>
      </c>
      <c r="K380" s="17" t="s">
        <v>2210</v>
      </c>
      <c r="L380" s="17" t="s">
        <v>58</v>
      </c>
      <c r="M380" s="17" t="s">
        <v>256</v>
      </c>
      <c r="N380" s="16" t="s">
        <v>2243</v>
      </c>
      <c r="O380" s="18">
        <v>46249</v>
      </c>
      <c r="P380" s="19" t="s">
        <v>34</v>
      </c>
      <c r="Q380" s="17"/>
      <c r="R380" s="19" t="str">
        <f t="shared" si="5"/>
        <v>Discovery Link Only</v>
      </c>
    </row>
    <row r="381" spans="1:18" ht="60" customHeight="1" x14ac:dyDescent="0.2">
      <c r="A381" s="16" t="s">
        <v>2244</v>
      </c>
      <c r="B381" s="16" t="s">
        <v>2245</v>
      </c>
      <c r="C381" s="16" t="s">
        <v>2205</v>
      </c>
      <c r="D381" s="16" t="s">
        <v>2239</v>
      </c>
      <c r="E381" s="16" t="s">
        <v>133</v>
      </c>
      <c r="F381" s="16" t="s">
        <v>25</v>
      </c>
      <c r="G381" s="16" t="s">
        <v>134</v>
      </c>
      <c r="H381" s="17" t="s">
        <v>2246</v>
      </c>
      <c r="I381" s="17" t="s">
        <v>2247</v>
      </c>
      <c r="J381" s="17" t="s">
        <v>2248</v>
      </c>
      <c r="K381" s="17" t="s">
        <v>2210</v>
      </c>
      <c r="L381" s="17" t="s">
        <v>58</v>
      </c>
      <c r="M381" s="17" t="s">
        <v>256</v>
      </c>
      <c r="N381" s="16" t="s">
        <v>2249</v>
      </c>
      <c r="O381" s="18">
        <v>46249</v>
      </c>
      <c r="P381" s="19" t="s">
        <v>34</v>
      </c>
      <c r="Q381" s="17"/>
      <c r="R381" s="19" t="str">
        <f t="shared" si="5"/>
        <v>Discovery Link Only</v>
      </c>
    </row>
    <row r="382" spans="1:18" ht="60" customHeight="1" x14ac:dyDescent="0.2">
      <c r="A382" s="16" t="s">
        <v>2250</v>
      </c>
      <c r="B382" s="16" t="s">
        <v>2251</v>
      </c>
      <c r="C382" s="16" t="s">
        <v>2205</v>
      </c>
      <c r="D382" s="16" t="s">
        <v>2252</v>
      </c>
      <c r="E382" s="16" t="s">
        <v>133</v>
      </c>
      <c r="F382" s="16" t="s">
        <v>25</v>
      </c>
      <c r="G382" s="16" t="s">
        <v>134</v>
      </c>
      <c r="H382" s="17" t="s">
        <v>2253</v>
      </c>
      <c r="I382" s="17" t="s">
        <v>2254</v>
      </c>
      <c r="J382" s="17" t="s">
        <v>2255</v>
      </c>
      <c r="K382" s="17" t="s">
        <v>2210</v>
      </c>
      <c r="L382" s="17" t="s">
        <v>58</v>
      </c>
      <c r="M382" s="17" t="s">
        <v>256</v>
      </c>
      <c r="N382" s="16" t="s">
        <v>2256</v>
      </c>
      <c r="O382" s="18">
        <v>46249</v>
      </c>
      <c r="P382" s="19" t="s">
        <v>34</v>
      </c>
      <c r="Q382" s="17"/>
      <c r="R382" s="19" t="str">
        <f t="shared" si="5"/>
        <v>Discovery Link Only</v>
      </c>
    </row>
    <row r="383" spans="1:18" ht="60" customHeight="1" x14ac:dyDescent="0.2">
      <c r="A383" s="16" t="s">
        <v>2257</v>
      </c>
      <c r="B383" s="16" t="s">
        <v>2258</v>
      </c>
      <c r="C383" s="16" t="s">
        <v>2205</v>
      </c>
      <c r="D383" s="16" t="s">
        <v>2259</v>
      </c>
      <c r="E383" s="16" t="s">
        <v>106</v>
      </c>
      <c r="F383" s="16" t="s">
        <v>25</v>
      </c>
      <c r="G383" s="16" t="s">
        <v>46</v>
      </c>
      <c r="H383" s="17" t="s">
        <v>2260</v>
      </c>
      <c r="I383" s="17" t="s">
        <v>2261</v>
      </c>
      <c r="J383" s="17" t="s">
        <v>2262</v>
      </c>
      <c r="K383" s="17" t="s">
        <v>2210</v>
      </c>
      <c r="L383" s="17" t="s">
        <v>58</v>
      </c>
      <c r="M383" s="17" t="s">
        <v>256</v>
      </c>
      <c r="N383" s="16" t="s">
        <v>2263</v>
      </c>
      <c r="O383" s="18">
        <v>46249</v>
      </c>
      <c r="P383" s="19" t="s">
        <v>34</v>
      </c>
      <c r="Q383" s="17"/>
      <c r="R383" s="19" t="str">
        <f t="shared" si="5"/>
        <v>Discovery Link Only</v>
      </c>
    </row>
    <row r="384" spans="1:18" ht="60" customHeight="1" x14ac:dyDescent="0.2">
      <c r="A384" s="16" t="s">
        <v>2264</v>
      </c>
      <c r="B384" s="16" t="s">
        <v>2265</v>
      </c>
      <c r="C384" s="16" t="s">
        <v>2205</v>
      </c>
      <c r="D384" s="16" t="s">
        <v>2266</v>
      </c>
      <c r="E384" s="16" t="s">
        <v>162</v>
      </c>
      <c r="F384" s="16" t="s">
        <v>121</v>
      </c>
      <c r="G384" s="16" t="s">
        <v>26</v>
      </c>
      <c r="H384" s="17" t="s">
        <v>2267</v>
      </c>
      <c r="I384" s="17" t="s">
        <v>2268</v>
      </c>
      <c r="J384" s="17" t="s">
        <v>2269</v>
      </c>
      <c r="K384" s="17" t="s">
        <v>2210</v>
      </c>
      <c r="L384" s="17" t="s">
        <v>58</v>
      </c>
      <c r="M384" s="17" t="s">
        <v>256</v>
      </c>
      <c r="N384" s="16" t="s">
        <v>2270</v>
      </c>
      <c r="O384" s="18">
        <v>46249</v>
      </c>
      <c r="P384" s="19" t="s">
        <v>34</v>
      </c>
      <c r="Q384" s="17"/>
      <c r="R384" s="19" t="str">
        <f t="shared" si="5"/>
        <v>Discovery Link Only</v>
      </c>
    </row>
    <row r="385" spans="1:18" ht="60" customHeight="1" x14ac:dyDescent="0.2">
      <c r="A385" s="16" t="s">
        <v>2271</v>
      </c>
      <c r="B385" s="16" t="s">
        <v>2272</v>
      </c>
      <c r="C385" s="16" t="s">
        <v>2205</v>
      </c>
      <c r="D385" s="16" t="s">
        <v>2266</v>
      </c>
      <c r="E385" s="16" t="s">
        <v>151</v>
      </c>
      <c r="F385" s="16" t="s">
        <v>107</v>
      </c>
      <c r="G385" s="16" t="s">
        <v>134</v>
      </c>
      <c r="H385" s="17" t="s">
        <v>2273</v>
      </c>
      <c r="I385" s="17" t="s">
        <v>2274</v>
      </c>
      <c r="J385" s="17" t="s">
        <v>2275</v>
      </c>
      <c r="K385" s="17" t="s">
        <v>2210</v>
      </c>
      <c r="L385" s="17" t="s">
        <v>111</v>
      </c>
      <c r="M385" s="17" t="s">
        <v>2276</v>
      </c>
      <c r="N385" s="16"/>
      <c r="O385" s="18">
        <v>46249</v>
      </c>
      <c r="P385" s="19" t="s">
        <v>34</v>
      </c>
      <c r="Q385" s="17"/>
      <c r="R385" s="19" t="str">
        <f t="shared" si="5"/>
        <v>Discovery Link Only</v>
      </c>
    </row>
    <row r="386" spans="1:18" ht="60" customHeight="1" x14ac:dyDescent="0.2">
      <c r="A386" s="16" t="s">
        <v>2277</v>
      </c>
      <c r="B386" s="16" t="s">
        <v>2278</v>
      </c>
      <c r="C386" s="16" t="s">
        <v>2205</v>
      </c>
      <c r="D386" s="16" t="s">
        <v>2279</v>
      </c>
      <c r="E386" s="16" t="s">
        <v>151</v>
      </c>
      <c r="F386" s="16" t="s">
        <v>107</v>
      </c>
      <c r="G386" s="16" t="s">
        <v>134</v>
      </c>
      <c r="H386" s="17" t="s">
        <v>2280</v>
      </c>
      <c r="I386" s="17" t="s">
        <v>2281</v>
      </c>
      <c r="J386" s="17" t="s">
        <v>2282</v>
      </c>
      <c r="K386" s="17" t="s">
        <v>2210</v>
      </c>
      <c r="L386" s="17" t="s">
        <v>111</v>
      </c>
      <c r="M386" s="17" t="s">
        <v>2276</v>
      </c>
      <c r="N386" s="16"/>
      <c r="O386" s="18">
        <v>46249</v>
      </c>
      <c r="P386" s="19" t="s">
        <v>34</v>
      </c>
      <c r="Q386" s="17"/>
      <c r="R386" s="19" t="str">
        <f t="shared" si="5"/>
        <v>Discovery Link Only</v>
      </c>
    </row>
    <row r="387" spans="1:18" ht="60" customHeight="1" x14ac:dyDescent="0.2">
      <c r="A387" s="16" t="s">
        <v>2283</v>
      </c>
      <c r="B387" s="16" t="s">
        <v>2284</v>
      </c>
      <c r="C387" s="16" t="s">
        <v>2205</v>
      </c>
      <c r="D387" s="16" t="s">
        <v>2279</v>
      </c>
      <c r="E387" s="16" t="s">
        <v>151</v>
      </c>
      <c r="F387" s="16" t="s">
        <v>107</v>
      </c>
      <c r="G387" s="16" t="s">
        <v>134</v>
      </c>
      <c r="H387" s="17" t="s">
        <v>2285</v>
      </c>
      <c r="I387" s="17" t="s">
        <v>2286</v>
      </c>
      <c r="J387" s="17" t="s">
        <v>2287</v>
      </c>
      <c r="K387" s="17" t="s">
        <v>2210</v>
      </c>
      <c r="L387" s="17" t="s">
        <v>111</v>
      </c>
      <c r="M387" s="17" t="s">
        <v>2276</v>
      </c>
      <c r="N387" s="16"/>
      <c r="O387" s="18">
        <v>46249</v>
      </c>
      <c r="P387" s="19" t="s">
        <v>34</v>
      </c>
      <c r="Q387" s="17"/>
      <c r="R387" s="19" t="str">
        <f t="shared" si="5"/>
        <v>Discovery Link Only</v>
      </c>
    </row>
    <row r="388" spans="1:18" ht="60" customHeight="1" x14ac:dyDescent="0.2">
      <c r="A388" s="16" t="s">
        <v>2288</v>
      </c>
      <c r="B388" s="16" t="s">
        <v>2289</v>
      </c>
      <c r="C388" s="16" t="s">
        <v>2205</v>
      </c>
      <c r="D388" s="16" t="s">
        <v>2279</v>
      </c>
      <c r="E388" s="16" t="s">
        <v>115</v>
      </c>
      <c r="F388" s="16" t="s">
        <v>121</v>
      </c>
      <c r="G388" s="16" t="s">
        <v>46</v>
      </c>
      <c r="H388" s="17" t="s">
        <v>2290</v>
      </c>
      <c r="I388" s="17" t="s">
        <v>2291</v>
      </c>
      <c r="J388" s="17" t="s">
        <v>2292</v>
      </c>
      <c r="K388" s="17" t="s">
        <v>2210</v>
      </c>
      <c r="L388" s="17" t="s">
        <v>111</v>
      </c>
      <c r="M388" s="17" t="s">
        <v>2276</v>
      </c>
      <c r="N388" s="16"/>
      <c r="O388" s="18">
        <v>46249</v>
      </c>
      <c r="P388" s="19" t="s">
        <v>34</v>
      </c>
      <c r="Q388" s="17"/>
      <c r="R388" s="19" t="str">
        <f t="shared" ref="R388:R434" si="6">IF(J388="","Missing Link",IF(AND(ISNUMBER(SEARCH("google.com/maps",J388)),ISERROR(SEARCH(";",J388))),"Discovery Link Only","Source Link Present"))</f>
        <v>Discovery Link Only</v>
      </c>
    </row>
    <row r="389" spans="1:18" ht="60" customHeight="1" x14ac:dyDescent="0.2">
      <c r="A389" s="16" t="s">
        <v>2293</v>
      </c>
      <c r="B389" s="16" t="s">
        <v>2294</v>
      </c>
      <c r="C389" s="16" t="s">
        <v>2205</v>
      </c>
      <c r="D389" s="16" t="s">
        <v>2295</v>
      </c>
      <c r="E389" s="16" t="s">
        <v>115</v>
      </c>
      <c r="F389" s="16" t="s">
        <v>107</v>
      </c>
      <c r="G389" s="16" t="s">
        <v>46</v>
      </c>
      <c r="H389" s="17" t="s">
        <v>2296</v>
      </c>
      <c r="I389" s="17" t="s">
        <v>2297</v>
      </c>
      <c r="J389" s="17" t="s">
        <v>2298</v>
      </c>
      <c r="K389" s="17" t="s">
        <v>2210</v>
      </c>
      <c r="L389" s="17" t="s">
        <v>111</v>
      </c>
      <c r="M389" s="17" t="s">
        <v>2276</v>
      </c>
      <c r="N389" s="16"/>
      <c r="O389" s="18">
        <v>46249</v>
      </c>
      <c r="P389" s="19" t="s">
        <v>34</v>
      </c>
      <c r="Q389" s="17"/>
      <c r="R389" s="19" t="str">
        <f t="shared" si="6"/>
        <v>Discovery Link Only</v>
      </c>
    </row>
    <row r="390" spans="1:18" ht="60" customHeight="1" x14ac:dyDescent="0.2">
      <c r="A390" s="16" t="s">
        <v>2299</v>
      </c>
      <c r="B390" s="16" t="s">
        <v>2300</v>
      </c>
      <c r="C390" s="16" t="s">
        <v>2205</v>
      </c>
      <c r="D390" s="16" t="s">
        <v>2295</v>
      </c>
      <c r="E390" s="16" t="s">
        <v>133</v>
      </c>
      <c r="F390" s="16" t="s">
        <v>121</v>
      </c>
      <c r="G390" s="16" t="s">
        <v>134</v>
      </c>
      <c r="H390" s="17" t="s">
        <v>2301</v>
      </c>
      <c r="I390" s="17" t="s">
        <v>2302</v>
      </c>
      <c r="J390" s="17" t="s">
        <v>2303</v>
      </c>
      <c r="K390" s="17" t="s">
        <v>2210</v>
      </c>
      <c r="L390" s="17" t="s">
        <v>111</v>
      </c>
      <c r="M390" s="17" t="s">
        <v>2276</v>
      </c>
      <c r="N390" s="16"/>
      <c r="O390" s="18">
        <v>46249</v>
      </c>
      <c r="P390" s="19" t="s">
        <v>34</v>
      </c>
      <c r="Q390" s="17"/>
      <c r="R390" s="19" t="str">
        <f t="shared" si="6"/>
        <v>Discovery Link Only</v>
      </c>
    </row>
    <row r="391" spans="1:18" ht="60" customHeight="1" x14ac:dyDescent="0.2">
      <c r="A391" s="16" t="s">
        <v>2304</v>
      </c>
      <c r="B391" s="16" t="s">
        <v>2305</v>
      </c>
      <c r="C391" s="16" t="s">
        <v>2205</v>
      </c>
      <c r="D391" s="16" t="s">
        <v>2239</v>
      </c>
      <c r="E391" s="16" t="s">
        <v>37</v>
      </c>
      <c r="F391" s="16" t="s">
        <v>107</v>
      </c>
      <c r="G391" s="16" t="s">
        <v>26</v>
      </c>
      <c r="H391" s="17" t="s">
        <v>2306</v>
      </c>
      <c r="I391" s="17" t="s">
        <v>2307</v>
      </c>
      <c r="J391" s="17" t="s">
        <v>2308</v>
      </c>
      <c r="K391" s="17" t="s">
        <v>2210</v>
      </c>
      <c r="L391" s="17" t="s">
        <v>111</v>
      </c>
      <c r="M391" s="17" t="s">
        <v>2276</v>
      </c>
      <c r="N391" s="16"/>
      <c r="O391" s="18">
        <v>46249</v>
      </c>
      <c r="P391" s="19" t="s">
        <v>34</v>
      </c>
      <c r="Q391" s="17"/>
      <c r="R391" s="19" t="str">
        <f t="shared" si="6"/>
        <v>Discovery Link Only</v>
      </c>
    </row>
    <row r="392" spans="1:18" ht="60" customHeight="1" x14ac:dyDescent="0.2">
      <c r="A392" s="16" t="s">
        <v>2309</v>
      </c>
      <c r="B392" s="16" t="s">
        <v>2310</v>
      </c>
      <c r="C392" s="16" t="s">
        <v>2205</v>
      </c>
      <c r="D392" s="16" t="s">
        <v>2252</v>
      </c>
      <c r="E392" s="16" t="s">
        <v>99</v>
      </c>
      <c r="F392" s="16" t="s">
        <v>121</v>
      </c>
      <c r="G392" s="16" t="s">
        <v>46</v>
      </c>
      <c r="H392" s="17" t="s">
        <v>2311</v>
      </c>
      <c r="I392" s="17" t="s">
        <v>2312</v>
      </c>
      <c r="J392" s="17" t="s">
        <v>2313</v>
      </c>
      <c r="K392" s="17" t="s">
        <v>2210</v>
      </c>
      <c r="L392" s="17" t="s">
        <v>111</v>
      </c>
      <c r="M392" s="17" t="s">
        <v>2276</v>
      </c>
      <c r="N392" s="16"/>
      <c r="O392" s="18">
        <v>46249</v>
      </c>
      <c r="P392" s="19" t="s">
        <v>34</v>
      </c>
      <c r="Q392" s="17"/>
      <c r="R392" s="19" t="str">
        <f t="shared" si="6"/>
        <v>Discovery Link Only</v>
      </c>
    </row>
    <row r="393" spans="1:18" ht="60" customHeight="1" x14ac:dyDescent="0.2">
      <c r="A393" s="16" t="s">
        <v>2314</v>
      </c>
      <c r="B393" s="16" t="s">
        <v>2315</v>
      </c>
      <c r="C393" s="16" t="s">
        <v>2205</v>
      </c>
      <c r="D393" s="16" t="s">
        <v>2316</v>
      </c>
      <c r="E393" s="16" t="s">
        <v>162</v>
      </c>
      <c r="F393" s="16" t="s">
        <v>121</v>
      </c>
      <c r="G393" s="16" t="s">
        <v>46</v>
      </c>
      <c r="H393" s="17" t="s">
        <v>2317</v>
      </c>
      <c r="I393" s="17" t="s">
        <v>2318</v>
      </c>
      <c r="J393" s="17" t="s">
        <v>2319</v>
      </c>
      <c r="K393" s="17" t="s">
        <v>2210</v>
      </c>
      <c r="L393" s="17" t="s">
        <v>111</v>
      </c>
      <c r="M393" s="17" t="s">
        <v>2276</v>
      </c>
      <c r="N393" s="16"/>
      <c r="O393" s="18">
        <v>46249</v>
      </c>
      <c r="P393" s="19" t="s">
        <v>34</v>
      </c>
      <c r="Q393" s="17"/>
      <c r="R393" s="19" t="str">
        <f t="shared" si="6"/>
        <v>Discovery Link Only</v>
      </c>
    </row>
    <row r="394" spans="1:18" ht="60" customHeight="1" x14ac:dyDescent="0.2">
      <c r="A394" s="16" t="s">
        <v>2320</v>
      </c>
      <c r="B394" s="16" t="s">
        <v>2321</v>
      </c>
      <c r="C394" s="16" t="s">
        <v>2205</v>
      </c>
      <c r="D394" s="16" t="s">
        <v>2322</v>
      </c>
      <c r="E394" s="16" t="s">
        <v>99</v>
      </c>
      <c r="F394" s="16" t="s">
        <v>127</v>
      </c>
      <c r="G394" s="16" t="s">
        <v>46</v>
      </c>
      <c r="H394" s="17" t="s">
        <v>2323</v>
      </c>
      <c r="I394" s="17" t="s">
        <v>2324</v>
      </c>
      <c r="J394" s="17" t="s">
        <v>2325</v>
      </c>
      <c r="K394" s="17" t="s">
        <v>2210</v>
      </c>
      <c r="L394" s="17" t="s">
        <v>111</v>
      </c>
      <c r="M394" s="17" t="s">
        <v>2276</v>
      </c>
      <c r="N394" s="16"/>
      <c r="O394" s="18">
        <v>46249</v>
      </c>
      <c r="P394" s="19" t="s">
        <v>34</v>
      </c>
      <c r="Q394" s="17"/>
      <c r="R394" s="19" t="str">
        <f t="shared" si="6"/>
        <v>Discovery Link Only</v>
      </c>
    </row>
    <row r="395" spans="1:18" ht="60" customHeight="1" x14ac:dyDescent="0.2">
      <c r="A395" s="16" t="s">
        <v>2326</v>
      </c>
      <c r="B395" s="16" t="s">
        <v>2327</v>
      </c>
      <c r="C395" s="16" t="s">
        <v>2205</v>
      </c>
      <c r="D395" s="16" t="s">
        <v>2328</v>
      </c>
      <c r="E395" s="16" t="s">
        <v>24</v>
      </c>
      <c r="F395" s="16" t="s">
        <v>121</v>
      </c>
      <c r="G395" s="16" t="s">
        <v>26</v>
      </c>
      <c r="H395" s="17" t="s">
        <v>2329</v>
      </c>
      <c r="I395" s="17" t="s">
        <v>2330</v>
      </c>
      <c r="J395" s="17" t="s">
        <v>2331</v>
      </c>
      <c r="K395" s="17" t="s">
        <v>2210</v>
      </c>
      <c r="L395" s="17" t="s">
        <v>111</v>
      </c>
      <c r="M395" s="17" t="s">
        <v>2276</v>
      </c>
      <c r="N395" s="16"/>
      <c r="O395" s="18">
        <v>46249</v>
      </c>
      <c r="P395" s="19" t="s">
        <v>34</v>
      </c>
      <c r="Q395" s="17"/>
      <c r="R395" s="19" t="str">
        <f t="shared" si="6"/>
        <v>Discovery Link Only</v>
      </c>
    </row>
    <row r="396" spans="1:18" ht="60" customHeight="1" x14ac:dyDescent="0.2">
      <c r="A396" s="16" t="s">
        <v>2332</v>
      </c>
      <c r="B396" s="16" t="s">
        <v>2333</v>
      </c>
      <c r="C396" s="16" t="s">
        <v>2205</v>
      </c>
      <c r="D396" s="16" t="s">
        <v>2334</v>
      </c>
      <c r="E396" s="16" t="s">
        <v>133</v>
      </c>
      <c r="F396" s="16" t="s">
        <v>107</v>
      </c>
      <c r="G396" s="16" t="s">
        <v>134</v>
      </c>
      <c r="H396" s="17" t="s">
        <v>2335</v>
      </c>
      <c r="I396" s="17" t="s">
        <v>2336</v>
      </c>
      <c r="J396" s="17" t="s">
        <v>2337</v>
      </c>
      <c r="K396" s="17" t="s">
        <v>2210</v>
      </c>
      <c r="L396" s="17" t="s">
        <v>111</v>
      </c>
      <c r="M396" s="17" t="s">
        <v>2276</v>
      </c>
      <c r="N396" s="16"/>
      <c r="O396" s="18">
        <v>46249</v>
      </c>
      <c r="P396" s="19" t="s">
        <v>34</v>
      </c>
      <c r="Q396" s="17"/>
      <c r="R396" s="19" t="str">
        <f t="shared" si="6"/>
        <v>Discovery Link Only</v>
      </c>
    </row>
    <row r="397" spans="1:18" ht="60" customHeight="1" x14ac:dyDescent="0.2">
      <c r="A397" s="16" t="s">
        <v>2338</v>
      </c>
      <c r="B397" s="16" t="s">
        <v>2339</v>
      </c>
      <c r="C397" s="16" t="s">
        <v>2205</v>
      </c>
      <c r="D397" s="16" t="s">
        <v>2340</v>
      </c>
      <c r="E397" s="16" t="s">
        <v>24</v>
      </c>
      <c r="F397" s="16" t="s">
        <v>121</v>
      </c>
      <c r="G397" s="16" t="s">
        <v>26</v>
      </c>
      <c r="H397" s="17" t="s">
        <v>2341</v>
      </c>
      <c r="I397" s="17" t="s">
        <v>2342</v>
      </c>
      <c r="J397" s="17" t="s">
        <v>2343</v>
      </c>
      <c r="K397" s="17" t="s">
        <v>2210</v>
      </c>
      <c r="L397" s="17" t="s">
        <v>111</v>
      </c>
      <c r="M397" s="17" t="s">
        <v>2276</v>
      </c>
      <c r="N397" s="16"/>
      <c r="O397" s="18">
        <v>46249</v>
      </c>
      <c r="P397" s="19" t="s">
        <v>34</v>
      </c>
      <c r="Q397" s="17"/>
      <c r="R397" s="19" t="str">
        <f t="shared" si="6"/>
        <v>Discovery Link Only</v>
      </c>
    </row>
    <row r="398" spans="1:18" ht="60" customHeight="1" x14ac:dyDescent="0.2">
      <c r="A398" s="16" t="s">
        <v>2344</v>
      </c>
      <c r="B398" s="16" t="s">
        <v>2345</v>
      </c>
      <c r="C398" s="16" t="s">
        <v>2205</v>
      </c>
      <c r="D398" s="16" t="s">
        <v>2346</v>
      </c>
      <c r="E398" s="16" t="s">
        <v>251</v>
      </c>
      <c r="F398" s="16" t="s">
        <v>121</v>
      </c>
      <c r="G398" s="16" t="s">
        <v>26</v>
      </c>
      <c r="H398" s="17" t="s">
        <v>2347</v>
      </c>
      <c r="I398" s="17" t="s">
        <v>2348</v>
      </c>
      <c r="J398" s="17" t="s">
        <v>2349</v>
      </c>
      <c r="K398" s="17" t="s">
        <v>2210</v>
      </c>
      <c r="L398" s="17" t="s">
        <v>111</v>
      </c>
      <c r="M398" s="17" t="s">
        <v>2276</v>
      </c>
      <c r="N398" s="16"/>
      <c r="O398" s="18">
        <v>46249</v>
      </c>
      <c r="P398" s="19" t="s">
        <v>34</v>
      </c>
      <c r="Q398" s="17"/>
      <c r="R398" s="19" t="str">
        <f t="shared" si="6"/>
        <v>Discovery Link Only</v>
      </c>
    </row>
    <row r="399" spans="1:18" ht="60" customHeight="1" x14ac:dyDescent="0.2">
      <c r="A399" s="16" t="s">
        <v>2350</v>
      </c>
      <c r="B399" s="16" t="s">
        <v>2351</v>
      </c>
      <c r="C399" s="16" t="s">
        <v>2352</v>
      </c>
      <c r="D399" s="16" t="s">
        <v>2353</v>
      </c>
      <c r="E399" s="16" t="s">
        <v>45</v>
      </c>
      <c r="F399" s="16" t="s">
        <v>25</v>
      </c>
      <c r="G399" s="16" t="s">
        <v>26</v>
      </c>
      <c r="H399" s="17" t="s">
        <v>2354</v>
      </c>
      <c r="I399" s="17" t="s">
        <v>2355</v>
      </c>
      <c r="J399" s="17" t="s">
        <v>2356</v>
      </c>
      <c r="K399" s="17" t="s">
        <v>2357</v>
      </c>
      <c r="L399" s="17" t="s">
        <v>58</v>
      </c>
      <c r="M399" s="17" t="s">
        <v>256</v>
      </c>
      <c r="N399" s="16" t="s">
        <v>2358</v>
      </c>
      <c r="O399" s="18">
        <v>46249</v>
      </c>
      <c r="P399" s="19" t="s">
        <v>34</v>
      </c>
      <c r="Q399" s="17"/>
      <c r="R399" s="19" t="str">
        <f t="shared" si="6"/>
        <v>Source Link Present</v>
      </c>
    </row>
    <row r="400" spans="1:18" ht="60" customHeight="1" x14ac:dyDescent="0.2">
      <c r="A400" s="16" t="s">
        <v>2359</v>
      </c>
      <c r="B400" s="16" t="s">
        <v>2360</v>
      </c>
      <c r="C400" s="16" t="s">
        <v>2352</v>
      </c>
      <c r="D400" s="16" t="s">
        <v>2361</v>
      </c>
      <c r="E400" s="16" t="s">
        <v>45</v>
      </c>
      <c r="F400" s="16" t="s">
        <v>121</v>
      </c>
      <c r="G400" s="16" t="s">
        <v>26</v>
      </c>
      <c r="H400" s="17" t="s">
        <v>2362</v>
      </c>
      <c r="I400" s="17" t="s">
        <v>2363</v>
      </c>
      <c r="J400" s="17" t="s">
        <v>2364</v>
      </c>
      <c r="K400" s="17" t="s">
        <v>2357</v>
      </c>
      <c r="L400" s="17" t="s">
        <v>58</v>
      </c>
      <c r="M400" s="17" t="s">
        <v>256</v>
      </c>
      <c r="N400" s="16" t="s">
        <v>2365</v>
      </c>
      <c r="O400" s="18">
        <v>46249</v>
      </c>
      <c r="P400" s="19" t="s">
        <v>34</v>
      </c>
      <c r="Q400" s="17"/>
      <c r="R400" s="19" t="str">
        <f t="shared" si="6"/>
        <v>Source Link Present</v>
      </c>
    </row>
    <row r="401" spans="1:18" ht="60" customHeight="1" x14ac:dyDescent="0.2">
      <c r="A401" s="16" t="s">
        <v>2366</v>
      </c>
      <c r="B401" s="16" t="s">
        <v>2367</v>
      </c>
      <c r="C401" s="16" t="s">
        <v>2352</v>
      </c>
      <c r="D401" s="16" t="s">
        <v>2368</v>
      </c>
      <c r="E401" s="16" t="s">
        <v>106</v>
      </c>
      <c r="F401" s="16" t="s">
        <v>25</v>
      </c>
      <c r="G401" s="16" t="s">
        <v>46</v>
      </c>
      <c r="H401" s="17" t="s">
        <v>2369</v>
      </c>
      <c r="I401" s="17" t="s">
        <v>2370</v>
      </c>
      <c r="J401" s="17" t="s">
        <v>2371</v>
      </c>
      <c r="K401" s="17" t="s">
        <v>2357</v>
      </c>
      <c r="L401" s="17" t="s">
        <v>58</v>
      </c>
      <c r="M401" s="17" t="s">
        <v>256</v>
      </c>
      <c r="N401" s="16" t="s">
        <v>2372</v>
      </c>
      <c r="O401" s="18">
        <v>46249</v>
      </c>
      <c r="P401" s="19" t="s">
        <v>34</v>
      </c>
      <c r="Q401" s="17"/>
      <c r="R401" s="19" t="str">
        <f t="shared" si="6"/>
        <v>Discovery Link Only</v>
      </c>
    </row>
    <row r="402" spans="1:18" ht="60" customHeight="1" x14ac:dyDescent="0.2">
      <c r="A402" s="16" t="s">
        <v>2373</v>
      </c>
      <c r="B402" s="16" t="s">
        <v>2374</v>
      </c>
      <c r="C402" s="16" t="s">
        <v>2352</v>
      </c>
      <c r="D402" s="16" t="s">
        <v>2368</v>
      </c>
      <c r="E402" s="16" t="s">
        <v>394</v>
      </c>
      <c r="F402" s="16" t="s">
        <v>25</v>
      </c>
      <c r="G402" s="16" t="s">
        <v>26</v>
      </c>
      <c r="H402" s="17" t="s">
        <v>2375</v>
      </c>
      <c r="I402" s="17" t="s">
        <v>2376</v>
      </c>
      <c r="J402" s="17" t="s">
        <v>2377</v>
      </c>
      <c r="K402" s="17" t="s">
        <v>2357</v>
      </c>
      <c r="L402" s="17" t="s">
        <v>58</v>
      </c>
      <c r="M402" s="17" t="s">
        <v>256</v>
      </c>
      <c r="N402" s="16" t="s">
        <v>2378</v>
      </c>
      <c r="O402" s="18">
        <v>46249</v>
      </c>
      <c r="P402" s="19" t="s">
        <v>34</v>
      </c>
      <c r="Q402" s="17"/>
      <c r="R402" s="19" t="str">
        <f t="shared" si="6"/>
        <v>Discovery Link Only</v>
      </c>
    </row>
    <row r="403" spans="1:18" ht="60" customHeight="1" x14ac:dyDescent="0.2">
      <c r="A403" s="16" t="s">
        <v>2379</v>
      </c>
      <c r="B403" s="16" t="s">
        <v>2380</v>
      </c>
      <c r="C403" s="16" t="s">
        <v>2352</v>
      </c>
      <c r="D403" s="16" t="s">
        <v>2368</v>
      </c>
      <c r="E403" s="16" t="s">
        <v>24</v>
      </c>
      <c r="F403" s="16" t="s">
        <v>25</v>
      </c>
      <c r="G403" s="16" t="s">
        <v>26</v>
      </c>
      <c r="H403" s="17" t="s">
        <v>2381</v>
      </c>
      <c r="I403" s="17" t="s">
        <v>2382</v>
      </c>
      <c r="J403" s="17" t="s">
        <v>2383</v>
      </c>
      <c r="K403" s="17" t="s">
        <v>2357</v>
      </c>
      <c r="L403" s="17" t="s">
        <v>58</v>
      </c>
      <c r="M403" s="17" t="s">
        <v>256</v>
      </c>
      <c r="N403" s="16" t="s">
        <v>2384</v>
      </c>
      <c r="O403" s="18">
        <v>46249</v>
      </c>
      <c r="P403" s="19" t="s">
        <v>34</v>
      </c>
      <c r="Q403" s="17"/>
      <c r="R403" s="19" t="str">
        <f t="shared" si="6"/>
        <v>Discovery Link Only</v>
      </c>
    </row>
    <row r="404" spans="1:18" ht="60" customHeight="1" x14ac:dyDescent="0.2">
      <c r="A404" s="16" t="s">
        <v>2385</v>
      </c>
      <c r="B404" s="16" t="s">
        <v>2386</v>
      </c>
      <c r="C404" s="16" t="s">
        <v>2352</v>
      </c>
      <c r="D404" s="16" t="s">
        <v>2368</v>
      </c>
      <c r="E404" s="16" t="s">
        <v>140</v>
      </c>
      <c r="F404" s="16" t="s">
        <v>25</v>
      </c>
      <c r="G404" s="16" t="s">
        <v>26</v>
      </c>
      <c r="H404" s="17" t="s">
        <v>2387</v>
      </c>
      <c r="I404" s="17" t="s">
        <v>2388</v>
      </c>
      <c r="J404" s="17" t="s">
        <v>2389</v>
      </c>
      <c r="K404" s="17" t="s">
        <v>2357</v>
      </c>
      <c r="L404" s="17" t="s">
        <v>58</v>
      </c>
      <c r="M404" s="17" t="s">
        <v>256</v>
      </c>
      <c r="N404" s="16" t="s">
        <v>2390</v>
      </c>
      <c r="O404" s="18">
        <v>46249</v>
      </c>
      <c r="P404" s="19" t="s">
        <v>34</v>
      </c>
      <c r="Q404" s="17"/>
      <c r="R404" s="19" t="str">
        <f t="shared" si="6"/>
        <v>Discovery Link Only</v>
      </c>
    </row>
    <row r="405" spans="1:18" ht="60" customHeight="1" x14ac:dyDescent="0.2">
      <c r="A405" s="16" t="s">
        <v>2391</v>
      </c>
      <c r="B405" s="16" t="s">
        <v>2392</v>
      </c>
      <c r="C405" s="16" t="s">
        <v>2352</v>
      </c>
      <c r="D405" s="16" t="s">
        <v>2368</v>
      </c>
      <c r="E405" s="16" t="s">
        <v>99</v>
      </c>
      <c r="F405" s="16" t="s">
        <v>25</v>
      </c>
      <c r="G405" s="16" t="s">
        <v>46</v>
      </c>
      <c r="H405" s="17" t="s">
        <v>2393</v>
      </c>
      <c r="I405" s="17" t="s">
        <v>2394</v>
      </c>
      <c r="J405" s="17" t="s">
        <v>2395</v>
      </c>
      <c r="K405" s="17" t="s">
        <v>2357</v>
      </c>
      <c r="L405" s="17" t="s">
        <v>58</v>
      </c>
      <c r="M405" s="17" t="s">
        <v>256</v>
      </c>
      <c r="N405" s="16" t="s">
        <v>2396</v>
      </c>
      <c r="O405" s="18">
        <v>46249</v>
      </c>
      <c r="P405" s="19" t="s">
        <v>34</v>
      </c>
      <c r="Q405" s="17"/>
      <c r="R405" s="19" t="str">
        <f t="shared" si="6"/>
        <v>Discovery Link Only</v>
      </c>
    </row>
    <row r="406" spans="1:18" ht="60" customHeight="1" x14ac:dyDescent="0.2">
      <c r="A406" s="16" t="s">
        <v>2397</v>
      </c>
      <c r="B406" s="16" t="s">
        <v>2398</v>
      </c>
      <c r="C406" s="16" t="s">
        <v>2352</v>
      </c>
      <c r="D406" s="16" t="s">
        <v>2368</v>
      </c>
      <c r="E406" s="16" t="s">
        <v>115</v>
      </c>
      <c r="F406" s="16" t="s">
        <v>25</v>
      </c>
      <c r="G406" s="16" t="s">
        <v>26</v>
      </c>
      <c r="H406" s="17" t="s">
        <v>2399</v>
      </c>
      <c r="I406" s="17" t="s">
        <v>2400</v>
      </c>
      <c r="J406" s="17" t="s">
        <v>2401</v>
      </c>
      <c r="K406" s="17" t="s">
        <v>2357</v>
      </c>
      <c r="L406" s="17" t="s">
        <v>58</v>
      </c>
      <c r="M406" s="17" t="s">
        <v>256</v>
      </c>
      <c r="N406" s="16" t="s">
        <v>2402</v>
      </c>
      <c r="O406" s="18">
        <v>46249</v>
      </c>
      <c r="P406" s="19" t="s">
        <v>34</v>
      </c>
      <c r="Q406" s="17"/>
      <c r="R406" s="19" t="str">
        <f t="shared" si="6"/>
        <v>Discovery Link Only</v>
      </c>
    </row>
    <row r="407" spans="1:18" ht="60" customHeight="1" x14ac:dyDescent="0.2">
      <c r="A407" s="16" t="s">
        <v>2403</v>
      </c>
      <c r="B407" s="16" t="s">
        <v>2404</v>
      </c>
      <c r="C407" s="16" t="s">
        <v>2352</v>
      </c>
      <c r="D407" s="16" t="s">
        <v>2368</v>
      </c>
      <c r="E407" s="16" t="s">
        <v>140</v>
      </c>
      <c r="F407" s="16" t="s">
        <v>25</v>
      </c>
      <c r="G407" s="16" t="s">
        <v>26</v>
      </c>
      <c r="H407" s="17" t="s">
        <v>2405</v>
      </c>
      <c r="I407" s="17" t="s">
        <v>2406</v>
      </c>
      <c r="J407" s="17" t="s">
        <v>2407</v>
      </c>
      <c r="K407" s="17" t="s">
        <v>2357</v>
      </c>
      <c r="L407" s="17" t="s">
        <v>58</v>
      </c>
      <c r="M407" s="17" t="s">
        <v>256</v>
      </c>
      <c r="N407" s="16" t="s">
        <v>2408</v>
      </c>
      <c r="O407" s="18">
        <v>46249</v>
      </c>
      <c r="P407" s="19" t="s">
        <v>34</v>
      </c>
      <c r="Q407" s="17"/>
      <c r="R407" s="19" t="str">
        <f t="shared" si="6"/>
        <v>Discovery Link Only</v>
      </c>
    </row>
    <row r="408" spans="1:18" ht="60" customHeight="1" x14ac:dyDescent="0.2">
      <c r="A408" s="16" t="s">
        <v>2409</v>
      </c>
      <c r="B408" s="16" t="s">
        <v>2410</v>
      </c>
      <c r="C408" s="16" t="s">
        <v>2352</v>
      </c>
      <c r="D408" s="16" t="s">
        <v>2368</v>
      </c>
      <c r="E408" s="16" t="s">
        <v>24</v>
      </c>
      <c r="F408" s="16" t="s">
        <v>25</v>
      </c>
      <c r="G408" s="16" t="s">
        <v>26</v>
      </c>
      <c r="H408" s="17" t="s">
        <v>2411</v>
      </c>
      <c r="I408" s="17" t="s">
        <v>2412</v>
      </c>
      <c r="J408" s="17" t="s">
        <v>2413</v>
      </c>
      <c r="K408" s="17" t="s">
        <v>2357</v>
      </c>
      <c r="L408" s="17" t="s">
        <v>58</v>
      </c>
      <c r="M408" s="17" t="s">
        <v>256</v>
      </c>
      <c r="N408" s="16" t="s">
        <v>2414</v>
      </c>
      <c r="O408" s="18">
        <v>46249</v>
      </c>
      <c r="P408" s="19" t="s">
        <v>34</v>
      </c>
      <c r="Q408" s="17"/>
      <c r="R408" s="19" t="str">
        <f t="shared" si="6"/>
        <v>Discovery Link Only</v>
      </c>
    </row>
    <row r="409" spans="1:18" ht="60" customHeight="1" x14ac:dyDescent="0.2">
      <c r="A409" s="16" t="s">
        <v>2415</v>
      </c>
      <c r="B409" s="16" t="s">
        <v>2416</v>
      </c>
      <c r="C409" s="16" t="s">
        <v>2352</v>
      </c>
      <c r="D409" s="16" t="s">
        <v>2417</v>
      </c>
      <c r="E409" s="16" t="s">
        <v>140</v>
      </c>
      <c r="F409" s="16" t="s">
        <v>107</v>
      </c>
      <c r="G409" s="16" t="s">
        <v>46</v>
      </c>
      <c r="H409" s="17" t="s">
        <v>2418</v>
      </c>
      <c r="I409" s="17" t="s">
        <v>2419</v>
      </c>
      <c r="J409" s="17" t="s">
        <v>2420</v>
      </c>
      <c r="K409" s="17" t="s">
        <v>2357</v>
      </c>
      <c r="L409" s="17" t="s">
        <v>111</v>
      </c>
      <c r="M409" s="17" t="s">
        <v>2421</v>
      </c>
      <c r="N409" s="16"/>
      <c r="O409" s="18">
        <v>46249</v>
      </c>
      <c r="P409" s="19" t="s">
        <v>34</v>
      </c>
      <c r="Q409" s="17"/>
      <c r="R409" s="19" t="str">
        <f t="shared" si="6"/>
        <v>Discovery Link Only</v>
      </c>
    </row>
    <row r="410" spans="1:18" ht="60" customHeight="1" x14ac:dyDescent="0.2">
      <c r="A410" s="16" t="s">
        <v>2422</v>
      </c>
      <c r="B410" s="16" t="s">
        <v>2423</v>
      </c>
      <c r="C410" s="16" t="s">
        <v>2352</v>
      </c>
      <c r="D410" s="16" t="s">
        <v>2424</v>
      </c>
      <c r="E410" s="16" t="s">
        <v>106</v>
      </c>
      <c r="F410" s="16" t="s">
        <v>107</v>
      </c>
      <c r="G410" s="16" t="s">
        <v>46</v>
      </c>
      <c r="H410" s="17" t="s">
        <v>2425</v>
      </c>
      <c r="I410" s="17" t="s">
        <v>2426</v>
      </c>
      <c r="J410" s="17" t="s">
        <v>2427</v>
      </c>
      <c r="K410" s="17" t="s">
        <v>2357</v>
      </c>
      <c r="L410" s="17" t="s">
        <v>111</v>
      </c>
      <c r="M410" s="17" t="s">
        <v>2421</v>
      </c>
      <c r="N410" s="16"/>
      <c r="O410" s="18">
        <v>46249</v>
      </c>
      <c r="P410" s="19" t="s">
        <v>34</v>
      </c>
      <c r="Q410" s="17"/>
      <c r="R410" s="19" t="str">
        <f t="shared" si="6"/>
        <v>Discovery Link Only</v>
      </c>
    </row>
    <row r="411" spans="1:18" ht="60" customHeight="1" x14ac:dyDescent="0.2">
      <c r="A411" s="16" t="s">
        <v>2428</v>
      </c>
      <c r="B411" s="16" t="s">
        <v>2429</v>
      </c>
      <c r="C411" s="16" t="s">
        <v>2352</v>
      </c>
      <c r="D411" s="16" t="s">
        <v>2430</v>
      </c>
      <c r="E411" s="16" t="s">
        <v>140</v>
      </c>
      <c r="F411" s="16" t="s">
        <v>121</v>
      </c>
      <c r="G411" s="16" t="s">
        <v>46</v>
      </c>
      <c r="H411" s="17" t="s">
        <v>2431</v>
      </c>
      <c r="I411" s="17" t="s">
        <v>2432</v>
      </c>
      <c r="J411" s="17" t="s">
        <v>2433</v>
      </c>
      <c r="K411" s="17" t="s">
        <v>2357</v>
      </c>
      <c r="L411" s="17" t="s">
        <v>111</v>
      </c>
      <c r="M411" s="17" t="s">
        <v>2421</v>
      </c>
      <c r="N411" s="16"/>
      <c r="O411" s="18">
        <v>46249</v>
      </c>
      <c r="P411" s="19" t="s">
        <v>34</v>
      </c>
      <c r="Q411" s="17"/>
      <c r="R411" s="19" t="str">
        <f t="shared" si="6"/>
        <v>Discovery Link Only</v>
      </c>
    </row>
    <row r="412" spans="1:18" ht="60" customHeight="1" x14ac:dyDescent="0.2">
      <c r="A412" s="16" t="s">
        <v>2434</v>
      </c>
      <c r="B412" s="16" t="s">
        <v>2435</v>
      </c>
      <c r="C412" s="16" t="s">
        <v>2352</v>
      </c>
      <c r="D412" s="16" t="s">
        <v>2436</v>
      </c>
      <c r="E412" s="16" t="s">
        <v>24</v>
      </c>
      <c r="F412" s="16" t="s">
        <v>127</v>
      </c>
      <c r="G412" s="16" t="s">
        <v>26</v>
      </c>
      <c r="H412" s="17" t="s">
        <v>2437</v>
      </c>
      <c r="I412" s="17" t="s">
        <v>2438</v>
      </c>
      <c r="J412" s="17" t="s">
        <v>2439</v>
      </c>
      <c r="K412" s="17" t="s">
        <v>2357</v>
      </c>
      <c r="L412" s="17" t="s">
        <v>111</v>
      </c>
      <c r="M412" s="17" t="s">
        <v>2421</v>
      </c>
      <c r="N412" s="16"/>
      <c r="O412" s="18">
        <v>46249</v>
      </c>
      <c r="P412" s="19" t="s">
        <v>34</v>
      </c>
      <c r="Q412" s="17"/>
      <c r="R412" s="19" t="str">
        <f t="shared" si="6"/>
        <v>Discovery Link Only</v>
      </c>
    </row>
    <row r="413" spans="1:18" ht="60" customHeight="1" x14ac:dyDescent="0.2">
      <c r="A413" s="16" t="s">
        <v>2440</v>
      </c>
      <c r="B413" s="16" t="s">
        <v>2441</v>
      </c>
      <c r="C413" s="16" t="s">
        <v>2352</v>
      </c>
      <c r="D413" s="16" t="s">
        <v>2442</v>
      </c>
      <c r="E413" s="16" t="s">
        <v>24</v>
      </c>
      <c r="F413" s="16" t="s">
        <v>107</v>
      </c>
      <c r="G413" s="16" t="s">
        <v>26</v>
      </c>
      <c r="H413" s="17" t="s">
        <v>2443</v>
      </c>
      <c r="I413" s="17" t="s">
        <v>2444</v>
      </c>
      <c r="J413" s="17" t="s">
        <v>2445</v>
      </c>
      <c r="K413" s="17" t="s">
        <v>2357</v>
      </c>
      <c r="L413" s="17" t="s">
        <v>111</v>
      </c>
      <c r="M413" s="17" t="s">
        <v>2421</v>
      </c>
      <c r="N413" s="16"/>
      <c r="O413" s="18">
        <v>46249</v>
      </c>
      <c r="P413" s="19" t="s">
        <v>34</v>
      </c>
      <c r="Q413" s="17"/>
      <c r="R413" s="19" t="str">
        <f t="shared" si="6"/>
        <v>Discovery Link Only</v>
      </c>
    </row>
    <row r="414" spans="1:18" ht="60" customHeight="1" x14ac:dyDescent="0.2">
      <c r="A414" s="16" t="s">
        <v>2446</v>
      </c>
      <c r="B414" s="16" t="s">
        <v>2447</v>
      </c>
      <c r="C414" s="16" t="s">
        <v>2352</v>
      </c>
      <c r="D414" s="16" t="s">
        <v>2417</v>
      </c>
      <c r="E414" s="16" t="s">
        <v>140</v>
      </c>
      <c r="F414" s="16" t="s">
        <v>121</v>
      </c>
      <c r="G414" s="16" t="s">
        <v>46</v>
      </c>
      <c r="H414" s="17" t="s">
        <v>2448</v>
      </c>
      <c r="I414" s="17" t="s">
        <v>2449</v>
      </c>
      <c r="J414" s="17" t="s">
        <v>2450</v>
      </c>
      <c r="K414" s="17" t="s">
        <v>2357</v>
      </c>
      <c r="L414" s="17" t="s">
        <v>111</v>
      </c>
      <c r="M414" s="17" t="s">
        <v>2421</v>
      </c>
      <c r="N414" s="16"/>
      <c r="O414" s="18">
        <v>46249</v>
      </c>
      <c r="P414" s="19" t="s">
        <v>34</v>
      </c>
      <c r="Q414" s="17"/>
      <c r="R414" s="19" t="str">
        <f t="shared" si="6"/>
        <v>Discovery Link Only</v>
      </c>
    </row>
    <row r="415" spans="1:18" ht="60" customHeight="1" x14ac:dyDescent="0.2">
      <c r="A415" s="16" t="s">
        <v>2451</v>
      </c>
      <c r="B415" s="16" t="s">
        <v>2452</v>
      </c>
      <c r="C415" s="16" t="s">
        <v>2352</v>
      </c>
      <c r="D415" s="16" t="s">
        <v>2453</v>
      </c>
      <c r="E415" s="16" t="s">
        <v>24</v>
      </c>
      <c r="F415" s="16" t="s">
        <v>121</v>
      </c>
      <c r="G415" s="16" t="s">
        <v>26</v>
      </c>
      <c r="H415" s="17" t="s">
        <v>2454</v>
      </c>
      <c r="I415" s="17" t="s">
        <v>2455</v>
      </c>
      <c r="J415" s="17" t="s">
        <v>2456</v>
      </c>
      <c r="K415" s="17" t="s">
        <v>2357</v>
      </c>
      <c r="L415" s="17" t="s">
        <v>111</v>
      </c>
      <c r="M415" s="17" t="s">
        <v>2421</v>
      </c>
      <c r="N415" s="16"/>
      <c r="O415" s="18">
        <v>46249</v>
      </c>
      <c r="P415" s="19" t="s">
        <v>34</v>
      </c>
      <c r="Q415" s="17"/>
      <c r="R415" s="19" t="str">
        <f t="shared" si="6"/>
        <v>Discovery Link Only</v>
      </c>
    </row>
    <row r="416" spans="1:18" ht="60" customHeight="1" x14ac:dyDescent="0.2">
      <c r="A416" s="16" t="s">
        <v>2457</v>
      </c>
      <c r="B416" s="16" t="s">
        <v>2458</v>
      </c>
      <c r="C416" s="16" t="s">
        <v>2459</v>
      </c>
      <c r="D416" s="16" t="s">
        <v>2460</v>
      </c>
      <c r="E416" s="16" t="s">
        <v>115</v>
      </c>
      <c r="F416" s="16" t="s">
        <v>25</v>
      </c>
      <c r="G416" s="16" t="s">
        <v>26</v>
      </c>
      <c r="H416" s="17" t="s">
        <v>2461</v>
      </c>
      <c r="I416" s="17" t="s">
        <v>2462</v>
      </c>
      <c r="J416" s="17" t="s">
        <v>2463</v>
      </c>
      <c r="K416" s="17" t="s">
        <v>2464</v>
      </c>
      <c r="L416" s="17" t="s">
        <v>58</v>
      </c>
      <c r="M416" s="17" t="s">
        <v>256</v>
      </c>
      <c r="N416" s="16" t="s">
        <v>2465</v>
      </c>
      <c r="O416" s="18">
        <v>46249</v>
      </c>
      <c r="P416" s="19" t="s">
        <v>34</v>
      </c>
      <c r="Q416" s="17"/>
      <c r="R416" s="19" t="str">
        <f t="shared" si="6"/>
        <v>Source Link Present</v>
      </c>
    </row>
    <row r="417" spans="1:18" ht="60" customHeight="1" x14ac:dyDescent="0.2">
      <c r="A417" s="16" t="s">
        <v>2466</v>
      </c>
      <c r="B417" s="16" t="s">
        <v>2467</v>
      </c>
      <c r="C417" s="16" t="s">
        <v>2459</v>
      </c>
      <c r="D417" s="16" t="s">
        <v>2468</v>
      </c>
      <c r="E417" s="16" t="s">
        <v>72</v>
      </c>
      <c r="F417" s="16" t="s">
        <v>25</v>
      </c>
      <c r="G417" s="16" t="s">
        <v>26</v>
      </c>
      <c r="H417" s="17" t="s">
        <v>2469</v>
      </c>
      <c r="I417" s="17" t="s">
        <v>2470</v>
      </c>
      <c r="J417" s="17" t="s">
        <v>2471</v>
      </c>
      <c r="K417" s="17" t="s">
        <v>2464</v>
      </c>
      <c r="L417" s="17" t="s">
        <v>58</v>
      </c>
      <c r="M417" s="17" t="s">
        <v>256</v>
      </c>
      <c r="N417" s="16" t="s">
        <v>2472</v>
      </c>
      <c r="O417" s="18">
        <v>46249</v>
      </c>
      <c r="P417" s="19" t="s">
        <v>34</v>
      </c>
      <c r="Q417" s="17"/>
      <c r="R417" s="19" t="str">
        <f t="shared" si="6"/>
        <v>Source Link Present</v>
      </c>
    </row>
    <row r="418" spans="1:18" ht="60" customHeight="1" x14ac:dyDescent="0.2">
      <c r="A418" s="16" t="s">
        <v>2473</v>
      </c>
      <c r="B418" s="16" t="s">
        <v>2474</v>
      </c>
      <c r="C418" s="16" t="s">
        <v>2459</v>
      </c>
      <c r="D418" s="16" t="s">
        <v>2475</v>
      </c>
      <c r="E418" s="16" t="s">
        <v>133</v>
      </c>
      <c r="F418" s="16" t="s">
        <v>25</v>
      </c>
      <c r="G418" s="16" t="s">
        <v>134</v>
      </c>
      <c r="H418" s="17" t="s">
        <v>2476</v>
      </c>
      <c r="I418" s="17" t="s">
        <v>2477</v>
      </c>
      <c r="J418" s="17" t="s">
        <v>2478</v>
      </c>
      <c r="K418" s="17" t="s">
        <v>2464</v>
      </c>
      <c r="L418" s="17" t="s">
        <v>58</v>
      </c>
      <c r="M418" s="17" t="s">
        <v>256</v>
      </c>
      <c r="N418" s="16" t="s">
        <v>2479</v>
      </c>
      <c r="O418" s="18">
        <v>46249</v>
      </c>
      <c r="P418" s="19" t="s">
        <v>34</v>
      </c>
      <c r="Q418" s="17"/>
      <c r="R418" s="19" t="str">
        <f t="shared" si="6"/>
        <v>Discovery Link Only</v>
      </c>
    </row>
    <row r="419" spans="1:18" ht="60" customHeight="1" x14ac:dyDescent="0.2">
      <c r="A419" s="16" t="s">
        <v>2480</v>
      </c>
      <c r="B419" s="16" t="s">
        <v>2481</v>
      </c>
      <c r="C419" s="16" t="s">
        <v>2459</v>
      </c>
      <c r="D419" s="16" t="s">
        <v>2482</v>
      </c>
      <c r="E419" s="16" t="s">
        <v>133</v>
      </c>
      <c r="F419" s="16" t="s">
        <v>25</v>
      </c>
      <c r="G419" s="16" t="s">
        <v>46</v>
      </c>
      <c r="H419" s="17" t="s">
        <v>2483</v>
      </c>
      <c r="I419" s="17" t="s">
        <v>2484</v>
      </c>
      <c r="J419" s="17" t="s">
        <v>2485</v>
      </c>
      <c r="K419" s="17" t="s">
        <v>2464</v>
      </c>
      <c r="L419" s="17" t="s">
        <v>58</v>
      </c>
      <c r="M419" s="17" t="s">
        <v>256</v>
      </c>
      <c r="N419" s="16" t="s">
        <v>2486</v>
      </c>
      <c r="O419" s="18">
        <v>46249</v>
      </c>
      <c r="P419" s="19" t="s">
        <v>34</v>
      </c>
      <c r="Q419" s="17"/>
      <c r="R419" s="19" t="str">
        <f t="shared" si="6"/>
        <v>Discovery Link Only</v>
      </c>
    </row>
    <row r="420" spans="1:18" ht="60" customHeight="1" x14ac:dyDescent="0.2">
      <c r="A420" s="16" t="s">
        <v>2487</v>
      </c>
      <c r="B420" s="16" t="s">
        <v>2488</v>
      </c>
      <c r="C420" s="16" t="s">
        <v>2459</v>
      </c>
      <c r="D420" s="16" t="s">
        <v>2482</v>
      </c>
      <c r="E420" s="16" t="s">
        <v>37</v>
      </c>
      <c r="F420" s="16" t="s">
        <v>25</v>
      </c>
      <c r="G420" s="16" t="s">
        <v>46</v>
      </c>
      <c r="H420" s="17" t="s">
        <v>2489</v>
      </c>
      <c r="I420" s="17" t="s">
        <v>2490</v>
      </c>
      <c r="J420" s="17" t="s">
        <v>2491</v>
      </c>
      <c r="K420" s="17" t="s">
        <v>2464</v>
      </c>
      <c r="L420" s="17" t="s">
        <v>58</v>
      </c>
      <c r="M420" s="17" t="s">
        <v>256</v>
      </c>
      <c r="N420" s="16" t="s">
        <v>2492</v>
      </c>
      <c r="O420" s="18">
        <v>46249</v>
      </c>
      <c r="P420" s="19" t="s">
        <v>34</v>
      </c>
      <c r="Q420" s="17"/>
      <c r="R420" s="19" t="str">
        <f t="shared" si="6"/>
        <v>Discovery Link Only</v>
      </c>
    </row>
    <row r="421" spans="1:18" ht="60" customHeight="1" x14ac:dyDescent="0.2">
      <c r="A421" s="16" t="s">
        <v>2493</v>
      </c>
      <c r="B421" s="16" t="s">
        <v>2494</v>
      </c>
      <c r="C421" s="16" t="s">
        <v>2459</v>
      </c>
      <c r="D421" s="16" t="s">
        <v>2495</v>
      </c>
      <c r="E421" s="16" t="s">
        <v>24</v>
      </c>
      <c r="F421" s="16" t="s">
        <v>25</v>
      </c>
      <c r="G421" s="16" t="s">
        <v>26</v>
      </c>
      <c r="H421" s="17" t="s">
        <v>2496</v>
      </c>
      <c r="I421" s="17" t="s">
        <v>2497</v>
      </c>
      <c r="J421" s="17" t="s">
        <v>2498</v>
      </c>
      <c r="K421" s="17" t="s">
        <v>2464</v>
      </c>
      <c r="L421" s="17" t="s">
        <v>58</v>
      </c>
      <c r="M421" s="17" t="s">
        <v>256</v>
      </c>
      <c r="N421" s="16" t="s">
        <v>2499</v>
      </c>
      <c r="O421" s="18">
        <v>46249</v>
      </c>
      <c r="P421" s="19" t="s">
        <v>34</v>
      </c>
      <c r="Q421" s="17"/>
      <c r="R421" s="19" t="str">
        <f t="shared" si="6"/>
        <v>Discovery Link Only</v>
      </c>
    </row>
    <row r="422" spans="1:18" ht="60" customHeight="1" x14ac:dyDescent="0.2">
      <c r="A422" s="16" t="s">
        <v>2500</v>
      </c>
      <c r="B422" s="16" t="s">
        <v>2501</v>
      </c>
      <c r="C422" s="16" t="s">
        <v>2459</v>
      </c>
      <c r="D422" s="16" t="s">
        <v>2495</v>
      </c>
      <c r="E422" s="16" t="s">
        <v>115</v>
      </c>
      <c r="F422" s="16" t="s">
        <v>25</v>
      </c>
      <c r="G422" s="16" t="s">
        <v>26</v>
      </c>
      <c r="H422" s="17" t="s">
        <v>2502</v>
      </c>
      <c r="I422" s="17" t="s">
        <v>2503</v>
      </c>
      <c r="J422" s="17" t="s">
        <v>2504</v>
      </c>
      <c r="K422" s="17" t="s">
        <v>2464</v>
      </c>
      <c r="L422" s="17" t="s">
        <v>58</v>
      </c>
      <c r="M422" s="17" t="s">
        <v>256</v>
      </c>
      <c r="N422" s="16" t="s">
        <v>2505</v>
      </c>
      <c r="O422" s="18">
        <v>46249</v>
      </c>
      <c r="P422" s="19" t="s">
        <v>34</v>
      </c>
      <c r="Q422" s="17"/>
      <c r="R422" s="19" t="str">
        <f t="shared" si="6"/>
        <v>Discovery Link Only</v>
      </c>
    </row>
    <row r="423" spans="1:18" ht="60" customHeight="1" x14ac:dyDescent="0.2">
      <c r="A423" s="16" t="s">
        <v>2506</v>
      </c>
      <c r="B423" s="16" t="s">
        <v>2507</v>
      </c>
      <c r="C423" s="16" t="s">
        <v>2459</v>
      </c>
      <c r="D423" s="16" t="s">
        <v>2475</v>
      </c>
      <c r="E423" s="16" t="s">
        <v>54</v>
      </c>
      <c r="F423" s="16" t="s">
        <v>25</v>
      </c>
      <c r="G423" s="16" t="s">
        <v>46</v>
      </c>
      <c r="H423" s="17" t="s">
        <v>2508</v>
      </c>
      <c r="I423" s="17" t="s">
        <v>2509</v>
      </c>
      <c r="J423" s="17" t="s">
        <v>2510</v>
      </c>
      <c r="K423" s="17" t="s">
        <v>2464</v>
      </c>
      <c r="L423" s="17" t="s">
        <v>58</v>
      </c>
      <c r="M423" s="17" t="s">
        <v>256</v>
      </c>
      <c r="N423" s="16" t="s">
        <v>2511</v>
      </c>
      <c r="O423" s="18">
        <v>46249</v>
      </c>
      <c r="P423" s="19" t="s">
        <v>34</v>
      </c>
      <c r="Q423" s="17"/>
      <c r="R423" s="19" t="str">
        <f t="shared" si="6"/>
        <v>Discovery Link Only</v>
      </c>
    </row>
    <row r="424" spans="1:18" ht="60" customHeight="1" x14ac:dyDescent="0.2">
      <c r="A424" s="16" t="s">
        <v>2512</v>
      </c>
      <c r="B424" s="16" t="s">
        <v>2513</v>
      </c>
      <c r="C424" s="16" t="s">
        <v>2459</v>
      </c>
      <c r="D424" s="16" t="s">
        <v>2475</v>
      </c>
      <c r="E424" s="16" t="s">
        <v>99</v>
      </c>
      <c r="F424" s="16" t="s">
        <v>121</v>
      </c>
      <c r="G424" s="16" t="s">
        <v>26</v>
      </c>
      <c r="H424" s="17" t="s">
        <v>2514</v>
      </c>
      <c r="I424" s="17" t="s">
        <v>2515</v>
      </c>
      <c r="J424" s="17" t="s">
        <v>2516</v>
      </c>
      <c r="K424" s="17" t="s">
        <v>2464</v>
      </c>
      <c r="L424" s="17" t="s">
        <v>58</v>
      </c>
      <c r="M424" s="17" t="s">
        <v>256</v>
      </c>
      <c r="N424" s="16" t="s">
        <v>2517</v>
      </c>
      <c r="O424" s="18">
        <v>46249</v>
      </c>
      <c r="P424" s="19" t="s">
        <v>34</v>
      </c>
      <c r="Q424" s="17"/>
      <c r="R424" s="19" t="str">
        <f t="shared" si="6"/>
        <v>Discovery Link Only</v>
      </c>
    </row>
    <row r="425" spans="1:18" ht="60" customHeight="1" x14ac:dyDescent="0.2">
      <c r="A425" s="16" t="s">
        <v>2518</v>
      </c>
      <c r="B425" s="16" t="s">
        <v>2519</v>
      </c>
      <c r="C425" s="16" t="s">
        <v>2459</v>
      </c>
      <c r="D425" s="16" t="s">
        <v>2475</v>
      </c>
      <c r="E425" s="16" t="s">
        <v>72</v>
      </c>
      <c r="F425" s="16" t="s">
        <v>25</v>
      </c>
      <c r="G425" s="16" t="s">
        <v>26</v>
      </c>
      <c r="H425" s="17" t="s">
        <v>2520</v>
      </c>
      <c r="I425" s="17" t="s">
        <v>2521</v>
      </c>
      <c r="J425" s="17" t="s">
        <v>2522</v>
      </c>
      <c r="K425" s="17" t="s">
        <v>2464</v>
      </c>
      <c r="L425" s="17" t="s">
        <v>58</v>
      </c>
      <c r="M425" s="17" t="s">
        <v>256</v>
      </c>
      <c r="N425" s="16" t="s">
        <v>2523</v>
      </c>
      <c r="O425" s="18">
        <v>46249</v>
      </c>
      <c r="P425" s="19" t="s">
        <v>34</v>
      </c>
      <c r="Q425" s="17"/>
      <c r="R425" s="19" t="str">
        <f t="shared" si="6"/>
        <v>Discovery Link Only</v>
      </c>
    </row>
    <row r="426" spans="1:18" ht="60" customHeight="1" x14ac:dyDescent="0.2">
      <c r="A426" s="16" t="s">
        <v>2524</v>
      </c>
      <c r="B426" s="16" t="s">
        <v>2525</v>
      </c>
      <c r="C426" s="16" t="s">
        <v>2459</v>
      </c>
      <c r="D426" s="16" t="s">
        <v>2526</v>
      </c>
      <c r="E426" s="16" t="s">
        <v>133</v>
      </c>
      <c r="F426" s="16" t="s">
        <v>107</v>
      </c>
      <c r="G426" s="16" t="s">
        <v>134</v>
      </c>
      <c r="H426" s="17" t="s">
        <v>2527</v>
      </c>
      <c r="I426" s="17" t="s">
        <v>2528</v>
      </c>
      <c r="J426" s="17" t="s">
        <v>2529</v>
      </c>
      <c r="K426" s="17" t="s">
        <v>2464</v>
      </c>
      <c r="L426" s="17" t="s">
        <v>111</v>
      </c>
      <c r="M426" s="17" t="s">
        <v>2530</v>
      </c>
      <c r="N426" s="16"/>
      <c r="O426" s="18">
        <v>46249</v>
      </c>
      <c r="P426" s="19" t="s">
        <v>34</v>
      </c>
      <c r="Q426" s="17"/>
      <c r="R426" s="19" t="str">
        <f t="shared" si="6"/>
        <v>Discovery Link Only</v>
      </c>
    </row>
    <row r="427" spans="1:18" ht="60" customHeight="1" x14ac:dyDescent="0.2">
      <c r="A427" s="16" t="s">
        <v>2531</v>
      </c>
      <c r="B427" s="16" t="s">
        <v>2532</v>
      </c>
      <c r="C427" s="16" t="s">
        <v>2459</v>
      </c>
      <c r="D427" s="16" t="s">
        <v>2526</v>
      </c>
      <c r="E427" s="16" t="s">
        <v>45</v>
      </c>
      <c r="F427" s="16" t="s">
        <v>121</v>
      </c>
      <c r="G427" s="16" t="s">
        <v>26</v>
      </c>
      <c r="H427" s="17" t="s">
        <v>2533</v>
      </c>
      <c r="I427" s="17" t="s">
        <v>2534</v>
      </c>
      <c r="J427" s="17" t="s">
        <v>2535</v>
      </c>
      <c r="K427" s="17" t="s">
        <v>2464</v>
      </c>
      <c r="L427" s="17" t="s">
        <v>111</v>
      </c>
      <c r="M427" s="17" t="s">
        <v>2530</v>
      </c>
      <c r="N427" s="16"/>
      <c r="O427" s="18">
        <v>46249</v>
      </c>
      <c r="P427" s="19" t="s">
        <v>34</v>
      </c>
      <c r="Q427" s="17"/>
      <c r="R427" s="19" t="str">
        <f t="shared" si="6"/>
        <v>Discovery Link Only</v>
      </c>
    </row>
    <row r="428" spans="1:18" ht="60" customHeight="1" x14ac:dyDescent="0.2">
      <c r="A428" s="16" t="s">
        <v>2536</v>
      </c>
      <c r="B428" s="16" t="s">
        <v>2537</v>
      </c>
      <c r="C428" s="16" t="s">
        <v>2459</v>
      </c>
      <c r="D428" s="16" t="s">
        <v>2526</v>
      </c>
      <c r="E428" s="16" t="s">
        <v>151</v>
      </c>
      <c r="F428" s="16" t="s">
        <v>121</v>
      </c>
      <c r="G428" s="16" t="s">
        <v>134</v>
      </c>
      <c r="H428" s="17" t="s">
        <v>2538</v>
      </c>
      <c r="I428" s="17" t="s">
        <v>2539</v>
      </c>
      <c r="J428" s="17" t="s">
        <v>2540</v>
      </c>
      <c r="K428" s="17" t="s">
        <v>2464</v>
      </c>
      <c r="L428" s="17" t="s">
        <v>111</v>
      </c>
      <c r="M428" s="17" t="s">
        <v>2530</v>
      </c>
      <c r="N428" s="16"/>
      <c r="O428" s="18">
        <v>46249</v>
      </c>
      <c r="P428" s="19" t="s">
        <v>34</v>
      </c>
      <c r="Q428" s="17"/>
      <c r="R428" s="19" t="str">
        <f t="shared" si="6"/>
        <v>Discovery Link Only</v>
      </c>
    </row>
    <row r="429" spans="1:18" ht="60" customHeight="1" x14ac:dyDescent="0.2">
      <c r="A429" s="16" t="s">
        <v>2541</v>
      </c>
      <c r="B429" s="16" t="s">
        <v>2542</v>
      </c>
      <c r="C429" s="16" t="s">
        <v>2459</v>
      </c>
      <c r="D429" s="16" t="s">
        <v>2543</v>
      </c>
      <c r="E429" s="16" t="s">
        <v>115</v>
      </c>
      <c r="F429" s="16" t="s">
        <v>127</v>
      </c>
      <c r="G429" s="16" t="s">
        <v>46</v>
      </c>
      <c r="H429" s="17" t="s">
        <v>2544</v>
      </c>
      <c r="I429" s="17" t="s">
        <v>2545</v>
      </c>
      <c r="J429" s="17" t="s">
        <v>2546</v>
      </c>
      <c r="K429" s="17" t="s">
        <v>2464</v>
      </c>
      <c r="L429" s="17" t="s">
        <v>111</v>
      </c>
      <c r="M429" s="17" t="s">
        <v>2530</v>
      </c>
      <c r="N429" s="16"/>
      <c r="O429" s="18">
        <v>46249</v>
      </c>
      <c r="P429" s="19" t="s">
        <v>34</v>
      </c>
      <c r="Q429" s="17"/>
      <c r="R429" s="19" t="str">
        <f t="shared" si="6"/>
        <v>Discovery Link Only</v>
      </c>
    </row>
    <row r="430" spans="1:18" ht="60" customHeight="1" x14ac:dyDescent="0.2">
      <c r="A430" s="16" t="s">
        <v>2547</v>
      </c>
      <c r="B430" s="16" t="s">
        <v>2548</v>
      </c>
      <c r="C430" s="16" t="s">
        <v>2459</v>
      </c>
      <c r="D430" s="16" t="s">
        <v>2549</v>
      </c>
      <c r="E430" s="16" t="s">
        <v>99</v>
      </c>
      <c r="F430" s="16" t="s">
        <v>127</v>
      </c>
      <c r="G430" s="16" t="s">
        <v>46</v>
      </c>
      <c r="H430" s="17" t="s">
        <v>2550</v>
      </c>
      <c r="I430" s="17" t="s">
        <v>2551</v>
      </c>
      <c r="J430" s="17" t="s">
        <v>2552</v>
      </c>
      <c r="K430" s="17" t="s">
        <v>2464</v>
      </c>
      <c r="L430" s="17" t="s">
        <v>111</v>
      </c>
      <c r="M430" s="17" t="s">
        <v>2530</v>
      </c>
      <c r="N430" s="16"/>
      <c r="O430" s="18">
        <v>46249</v>
      </c>
      <c r="P430" s="19" t="s">
        <v>34</v>
      </c>
      <c r="Q430" s="17"/>
      <c r="R430" s="19" t="str">
        <f t="shared" si="6"/>
        <v>Discovery Link Only</v>
      </c>
    </row>
    <row r="431" spans="1:18" ht="60" customHeight="1" x14ac:dyDescent="0.2">
      <c r="A431" s="16" t="s">
        <v>2553</v>
      </c>
      <c r="B431" s="16" t="s">
        <v>2554</v>
      </c>
      <c r="C431" s="16" t="s">
        <v>2459</v>
      </c>
      <c r="D431" s="16" t="s">
        <v>2555</v>
      </c>
      <c r="E431" s="16" t="s">
        <v>72</v>
      </c>
      <c r="F431" s="16" t="s">
        <v>121</v>
      </c>
      <c r="G431" s="16" t="s">
        <v>26</v>
      </c>
      <c r="H431" s="17" t="s">
        <v>2556</v>
      </c>
      <c r="I431" s="17" t="s">
        <v>2557</v>
      </c>
      <c r="J431" s="17" t="s">
        <v>2558</v>
      </c>
      <c r="K431" s="17" t="s">
        <v>2464</v>
      </c>
      <c r="L431" s="17" t="s">
        <v>111</v>
      </c>
      <c r="M431" s="17" t="s">
        <v>2530</v>
      </c>
      <c r="N431" s="16"/>
      <c r="O431" s="18">
        <v>46249</v>
      </c>
      <c r="P431" s="19" t="s">
        <v>34</v>
      </c>
      <c r="Q431" s="17"/>
      <c r="R431" s="19" t="str">
        <f t="shared" si="6"/>
        <v>Discovery Link Only</v>
      </c>
    </row>
    <row r="432" spans="1:18" ht="60" customHeight="1" x14ac:dyDescent="0.2">
      <c r="A432" s="16" t="s">
        <v>2559</v>
      </c>
      <c r="B432" s="16" t="s">
        <v>2560</v>
      </c>
      <c r="C432" s="16" t="s">
        <v>2459</v>
      </c>
      <c r="D432" s="16" t="s">
        <v>2561</v>
      </c>
      <c r="E432" s="16" t="s">
        <v>72</v>
      </c>
      <c r="F432" s="16" t="s">
        <v>121</v>
      </c>
      <c r="G432" s="16" t="s">
        <v>26</v>
      </c>
      <c r="H432" s="17" t="s">
        <v>2562</v>
      </c>
      <c r="I432" s="17" t="s">
        <v>2563</v>
      </c>
      <c r="J432" s="17" t="s">
        <v>2564</v>
      </c>
      <c r="K432" s="17" t="s">
        <v>2464</v>
      </c>
      <c r="L432" s="17" t="s">
        <v>111</v>
      </c>
      <c r="M432" s="17" t="s">
        <v>2530</v>
      </c>
      <c r="N432" s="16"/>
      <c r="O432" s="18">
        <v>46249</v>
      </c>
      <c r="P432" s="19" t="s">
        <v>34</v>
      </c>
      <c r="Q432" s="17"/>
      <c r="R432" s="19" t="str">
        <f t="shared" si="6"/>
        <v>Discovery Link Only</v>
      </c>
    </row>
    <row r="433" spans="1:18" ht="60" customHeight="1" x14ac:dyDescent="0.2">
      <c r="A433" s="16" t="s">
        <v>2565</v>
      </c>
      <c r="B433" s="16" t="s">
        <v>2566</v>
      </c>
      <c r="C433" s="16" t="s">
        <v>2459</v>
      </c>
      <c r="D433" s="16" t="s">
        <v>2567</v>
      </c>
      <c r="E433" s="16" t="s">
        <v>45</v>
      </c>
      <c r="F433" s="16" t="s">
        <v>127</v>
      </c>
      <c r="G433" s="16" t="s">
        <v>26</v>
      </c>
      <c r="H433" s="17" t="s">
        <v>2568</v>
      </c>
      <c r="I433" s="17" t="s">
        <v>2569</v>
      </c>
      <c r="J433" s="17" t="s">
        <v>2570</v>
      </c>
      <c r="K433" s="17" t="s">
        <v>2464</v>
      </c>
      <c r="L433" s="17" t="s">
        <v>111</v>
      </c>
      <c r="M433" s="17" t="s">
        <v>2530</v>
      </c>
      <c r="N433" s="16"/>
      <c r="O433" s="18">
        <v>46249</v>
      </c>
      <c r="P433" s="19" t="s">
        <v>34</v>
      </c>
      <c r="Q433" s="17"/>
      <c r="R433" s="19" t="str">
        <f t="shared" si="6"/>
        <v>Discovery Link Only</v>
      </c>
    </row>
    <row r="434" spans="1:18" ht="60" customHeight="1" x14ac:dyDescent="0.2">
      <c r="A434" s="20" t="s">
        <v>2571</v>
      </c>
      <c r="B434" s="20" t="s">
        <v>2572</v>
      </c>
      <c r="C434" s="20" t="s">
        <v>2459</v>
      </c>
      <c r="D434" s="20" t="s">
        <v>2573</v>
      </c>
      <c r="E434" s="20" t="s">
        <v>72</v>
      </c>
      <c r="F434" s="20" t="s">
        <v>127</v>
      </c>
      <c r="G434" s="20" t="s">
        <v>26</v>
      </c>
      <c r="H434" s="21" t="s">
        <v>2574</v>
      </c>
      <c r="I434" s="21" t="s">
        <v>2575</v>
      </c>
      <c r="J434" s="21" t="s">
        <v>2576</v>
      </c>
      <c r="K434" s="21" t="s">
        <v>2464</v>
      </c>
      <c r="L434" s="21" t="s">
        <v>111</v>
      </c>
      <c r="M434" s="21" t="s">
        <v>2530</v>
      </c>
      <c r="N434" s="20"/>
      <c r="O434" s="22">
        <v>46249</v>
      </c>
      <c r="P434" s="23" t="s">
        <v>34</v>
      </c>
      <c r="Q434" s="21"/>
      <c r="R434" s="23" t="str">
        <f t="shared" si="6"/>
        <v>Discovery Link Only</v>
      </c>
    </row>
  </sheetData>
  <mergeCells count="2">
    <mergeCell ref="A1:R1"/>
    <mergeCell ref="A2:R2"/>
  </mergeCells>
  <conditionalFormatting sqref="P4:P434">
    <cfRule type="containsText" dxfId="3" priority="2" operator="containsText" text="Pending Review">
      <formula>NOT(ISERROR(SEARCH("Pending Review",P4)))</formula>
    </cfRule>
    <cfRule type="containsText" dxfId="2" priority="3" operator="containsText" text="Approved">
      <formula>NOT(ISERROR(SEARCH("Approved",P4)))</formula>
    </cfRule>
    <cfRule type="containsText" dxfId="1" priority="4" operator="containsText" text="Rejected">
      <formula>NOT(ISERROR(SEARCH("Rejected",P4)))</formula>
    </cfRule>
  </conditionalFormatting>
  <conditionalFormatting sqref="R4:R434">
    <cfRule type="containsText" dxfId="0" priority="5" operator="containsText" text="Missing Link">
      <formula>NOT(ISERROR(SEARCH("Missing Link",R4)))</formula>
    </cfRule>
  </conditionalFormatting>
  <dataValidations count="2">
    <dataValidation type="list" sqref="P4:P434" xr:uid="{00000000-0002-0000-0000-000000000000}">
      <formula1>"Pending Review,Approved,Rejected,Needs More Research"</formula1>
      <formula2>0</formula2>
    </dataValidation>
    <dataValidation type="list" sqref="F4:F434" xr:uid="{00000000-0002-0000-0000-000001000000}">
      <formula1>"Popular,Local,Rural,Underrated,Seasonal,Unclassified"</formula1>
      <formula2>0</formula2>
    </dataValidation>
  </dataValidations>
  <pageMargins left="0.7" right="0.7" top="0.75" bottom="0.75" header="0.511811023622047" footer="0.511811023622047"/>
  <pageSetup paperSize="9" orientation="portrait" horizontalDpi="300" verticalDpi="30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22"/>
  <sheetViews>
    <sheetView showGridLines="0" zoomScaleNormal="100" workbookViewId="0"/>
  </sheetViews>
  <sheetFormatPr defaultColWidth="8.7109375" defaultRowHeight="12.75" x14ac:dyDescent="0.2"/>
  <cols>
    <col min="1" max="1" width="22" style="9" customWidth="1"/>
    <col min="2" max="11" width="15" style="9" customWidth="1"/>
  </cols>
  <sheetData>
    <row r="1" spans="1:11" ht="30" customHeight="1" x14ac:dyDescent="0.35">
      <c r="A1" s="6" t="s">
        <v>2577</v>
      </c>
      <c r="B1" s="6"/>
      <c r="C1" s="6"/>
      <c r="D1" s="6"/>
      <c r="E1" s="6"/>
      <c r="F1" s="6"/>
      <c r="G1" s="6"/>
      <c r="H1" s="6"/>
      <c r="I1" s="6"/>
      <c r="J1" s="6"/>
      <c r="K1" s="6"/>
    </row>
    <row r="2" spans="1:11" ht="24" customHeight="1" x14ac:dyDescent="0.25">
      <c r="A2" s="5" t="s">
        <v>2578</v>
      </c>
      <c r="B2" s="5"/>
      <c r="C2" s="5"/>
      <c r="D2" s="5"/>
      <c r="E2" s="5"/>
      <c r="F2" s="5"/>
      <c r="G2" s="5"/>
      <c r="H2" s="5"/>
      <c r="I2" s="5"/>
      <c r="J2" s="5"/>
      <c r="K2" s="5"/>
    </row>
    <row r="3" spans="1:11" ht="15" customHeight="1" x14ac:dyDescent="0.25">
      <c r="A3" s="24"/>
      <c r="B3" s="24"/>
      <c r="C3" s="24"/>
      <c r="D3" s="24"/>
      <c r="E3" s="24"/>
      <c r="F3" s="24"/>
      <c r="G3" s="24"/>
      <c r="H3" s="24"/>
      <c r="I3" s="24"/>
      <c r="J3" s="24"/>
      <c r="K3" s="24"/>
    </row>
    <row r="4" spans="1:11" ht="33.75" customHeight="1" x14ac:dyDescent="0.25">
      <c r="A4" s="25" t="s">
        <v>4</v>
      </c>
      <c r="B4" s="25" t="s">
        <v>2579</v>
      </c>
      <c r="C4" s="25" t="s">
        <v>107</v>
      </c>
      <c r="D4" s="25" t="s">
        <v>121</v>
      </c>
      <c r="E4" s="25" t="s">
        <v>194</v>
      </c>
      <c r="F4" s="25" t="s">
        <v>127</v>
      </c>
      <c r="G4" s="25" t="s">
        <v>2580</v>
      </c>
      <c r="H4" s="25" t="s">
        <v>2581</v>
      </c>
      <c r="I4" s="25" t="s">
        <v>2582</v>
      </c>
      <c r="J4" s="25" t="s">
        <v>2583</v>
      </c>
      <c r="K4" s="25" t="s">
        <v>2584</v>
      </c>
    </row>
    <row r="5" spans="1:11" ht="15" customHeight="1" x14ac:dyDescent="0.25">
      <c r="A5" s="26" t="s">
        <v>22</v>
      </c>
      <c r="B5" s="26">
        <f>COUNTIF(Catalogue!$C$4:$C$434,A5)</f>
        <v>35</v>
      </c>
      <c r="C5" s="26">
        <f>COUNTIFS(Catalogue!$C$4:$C$434,A5,Catalogue!$F$4:$F$434,"Popular")</f>
        <v>8</v>
      </c>
      <c r="D5" s="26">
        <f>COUNTIFS(Catalogue!$C$4:$C$434,A5,Catalogue!$F$4:$F$434,"Local")</f>
        <v>10</v>
      </c>
      <c r="E5" s="26">
        <f>COUNTIFS(Catalogue!$C$4:$C$434,A5,Catalogue!$F$4:$F$434,"Rural")</f>
        <v>2</v>
      </c>
      <c r="F5" s="26">
        <f>COUNTIFS(Catalogue!$C$4:$C$434,A5,Catalogue!$F$4:$F$434,"Underrated")</f>
        <v>5</v>
      </c>
      <c r="G5" s="26">
        <f t="shared" ref="G5:G20" si="0">B5-SUM(C5:F5)</f>
        <v>10</v>
      </c>
      <c r="H5" s="26">
        <f>COUNTIFS(Catalogue!$C$4:$C$434,A5,Catalogue!$P$4:$P$434,"Pending Review")</f>
        <v>0</v>
      </c>
      <c r="I5" s="26">
        <f>COUNTIFS(Catalogue!$C$4:$C$434,A5,Catalogue!$R$4:$R$434,"Source Link Present")</f>
        <v>3</v>
      </c>
      <c r="J5" s="26">
        <f t="shared" ref="J5:J20" si="1">B5-H5</f>
        <v>35</v>
      </c>
      <c r="K5" s="27">
        <f t="shared" ref="K5:K20" si="2">IF(B5=0,0,J5/B5)</f>
        <v>1</v>
      </c>
    </row>
    <row r="6" spans="1:11" ht="15" customHeight="1" x14ac:dyDescent="0.25">
      <c r="A6" s="28" t="s">
        <v>249</v>
      </c>
      <c r="B6" s="28">
        <f>COUNTIF(Catalogue!$C$4:$C$434,A6)</f>
        <v>29</v>
      </c>
      <c r="C6" s="28">
        <f>COUNTIFS(Catalogue!$C$4:$C$434,A6,Catalogue!$F$4:$F$434,"Popular")</f>
        <v>7</v>
      </c>
      <c r="D6" s="28">
        <f>COUNTIFS(Catalogue!$C$4:$C$434,A6,Catalogue!$F$4:$F$434,"Local")</f>
        <v>8</v>
      </c>
      <c r="E6" s="28">
        <f>COUNTIFS(Catalogue!$C$4:$C$434,A6,Catalogue!$F$4:$F$434,"Rural")</f>
        <v>3</v>
      </c>
      <c r="F6" s="28">
        <f>COUNTIFS(Catalogue!$C$4:$C$434,A6,Catalogue!$F$4:$F$434,"Underrated")</f>
        <v>2</v>
      </c>
      <c r="G6" s="28">
        <f t="shared" si="0"/>
        <v>9</v>
      </c>
      <c r="H6" s="28">
        <f>COUNTIFS(Catalogue!$C$4:$C$434,A6,Catalogue!$P$4:$P$434,"Pending Review")</f>
        <v>0</v>
      </c>
      <c r="I6" s="28">
        <f>COUNTIFS(Catalogue!$C$4:$C$434,A6,Catalogue!$R$4:$R$434,"Source Link Present")</f>
        <v>2</v>
      </c>
      <c r="J6" s="28">
        <f t="shared" si="1"/>
        <v>29</v>
      </c>
      <c r="K6" s="29">
        <f t="shared" si="2"/>
        <v>1</v>
      </c>
    </row>
    <row r="7" spans="1:11" ht="15" customHeight="1" x14ac:dyDescent="0.25">
      <c r="A7" s="28" t="s">
        <v>417</v>
      </c>
      <c r="B7" s="28">
        <f>COUNTIF(Catalogue!$C$4:$C$434,A7)</f>
        <v>24</v>
      </c>
      <c r="C7" s="28">
        <f>COUNTIFS(Catalogue!$C$4:$C$434,A7,Catalogue!$F$4:$F$434,"Popular")</f>
        <v>1</v>
      </c>
      <c r="D7" s="28">
        <f>COUNTIFS(Catalogue!$C$4:$C$434,A7,Catalogue!$F$4:$F$434,"Local")</f>
        <v>10</v>
      </c>
      <c r="E7" s="28">
        <f>COUNTIFS(Catalogue!$C$4:$C$434,A7,Catalogue!$F$4:$F$434,"Rural")</f>
        <v>3</v>
      </c>
      <c r="F7" s="28">
        <f>COUNTIFS(Catalogue!$C$4:$C$434,A7,Catalogue!$F$4:$F$434,"Underrated")</f>
        <v>3</v>
      </c>
      <c r="G7" s="28">
        <f t="shared" si="0"/>
        <v>7</v>
      </c>
      <c r="H7" s="28">
        <f>COUNTIFS(Catalogue!$C$4:$C$434,A7,Catalogue!$P$4:$P$434,"Pending Review")</f>
        <v>0</v>
      </c>
      <c r="I7" s="28">
        <f>COUNTIFS(Catalogue!$C$4:$C$434,A7,Catalogue!$R$4:$R$434,"Source Link Present")</f>
        <v>1</v>
      </c>
      <c r="J7" s="28">
        <f t="shared" si="1"/>
        <v>24</v>
      </c>
      <c r="K7" s="29">
        <f t="shared" si="2"/>
        <v>1</v>
      </c>
    </row>
    <row r="8" spans="1:11" ht="15" customHeight="1" x14ac:dyDescent="0.25">
      <c r="A8" s="28" t="s">
        <v>557</v>
      </c>
      <c r="B8" s="28">
        <f>COUNTIF(Catalogue!$C$4:$C$434,A8)</f>
        <v>26</v>
      </c>
      <c r="C8" s="28">
        <f>COUNTIFS(Catalogue!$C$4:$C$434,A8,Catalogue!$F$4:$F$434,"Popular")</f>
        <v>7</v>
      </c>
      <c r="D8" s="28">
        <f>COUNTIFS(Catalogue!$C$4:$C$434,A8,Catalogue!$F$4:$F$434,"Local")</f>
        <v>8</v>
      </c>
      <c r="E8" s="28">
        <f>COUNTIFS(Catalogue!$C$4:$C$434,A8,Catalogue!$F$4:$F$434,"Rural")</f>
        <v>1</v>
      </c>
      <c r="F8" s="28">
        <f>COUNTIFS(Catalogue!$C$4:$C$434,A8,Catalogue!$F$4:$F$434,"Underrated")</f>
        <v>3</v>
      </c>
      <c r="G8" s="28">
        <f t="shared" si="0"/>
        <v>7</v>
      </c>
      <c r="H8" s="28">
        <f>COUNTIFS(Catalogue!$C$4:$C$434,A8,Catalogue!$P$4:$P$434,"Pending Review")</f>
        <v>0</v>
      </c>
      <c r="I8" s="28">
        <f>COUNTIFS(Catalogue!$C$4:$C$434,A8,Catalogue!$R$4:$R$434,"Source Link Present")</f>
        <v>2</v>
      </c>
      <c r="J8" s="28">
        <f t="shared" si="1"/>
        <v>26</v>
      </c>
      <c r="K8" s="29">
        <f t="shared" si="2"/>
        <v>1</v>
      </c>
    </row>
    <row r="9" spans="1:11" ht="15" customHeight="1" x14ac:dyDescent="0.25">
      <c r="A9" s="28" t="s">
        <v>705</v>
      </c>
      <c r="B9" s="28">
        <f>COUNTIF(Catalogue!$C$4:$C$434,A9)</f>
        <v>25</v>
      </c>
      <c r="C9" s="28">
        <f>COUNTIFS(Catalogue!$C$4:$C$434,A9,Catalogue!$F$4:$F$434,"Popular")</f>
        <v>4</v>
      </c>
      <c r="D9" s="28">
        <f>COUNTIFS(Catalogue!$C$4:$C$434,A9,Catalogue!$F$4:$F$434,"Local")</f>
        <v>4</v>
      </c>
      <c r="E9" s="28">
        <f>COUNTIFS(Catalogue!$C$4:$C$434,A9,Catalogue!$F$4:$F$434,"Rural")</f>
        <v>2</v>
      </c>
      <c r="F9" s="28">
        <f>COUNTIFS(Catalogue!$C$4:$C$434,A9,Catalogue!$F$4:$F$434,"Underrated")</f>
        <v>5</v>
      </c>
      <c r="G9" s="28">
        <f t="shared" si="0"/>
        <v>10</v>
      </c>
      <c r="H9" s="28">
        <f>COUNTIFS(Catalogue!$C$4:$C$434,A9,Catalogue!$P$4:$P$434,"Pending Review")</f>
        <v>0</v>
      </c>
      <c r="I9" s="28">
        <f>COUNTIFS(Catalogue!$C$4:$C$434,A9,Catalogue!$R$4:$R$434,"Source Link Present")</f>
        <v>2</v>
      </c>
      <c r="J9" s="28">
        <f t="shared" si="1"/>
        <v>25</v>
      </c>
      <c r="K9" s="29">
        <f t="shared" si="2"/>
        <v>1</v>
      </c>
    </row>
    <row r="10" spans="1:11" ht="15" customHeight="1" x14ac:dyDescent="0.25">
      <c r="A10" s="28" t="s">
        <v>851</v>
      </c>
      <c r="B10" s="28">
        <f>COUNTIF(Catalogue!$C$4:$C$434,A10)</f>
        <v>30</v>
      </c>
      <c r="C10" s="28">
        <f>COUNTIFS(Catalogue!$C$4:$C$434,A10,Catalogue!$F$4:$F$434,"Popular")</f>
        <v>9</v>
      </c>
      <c r="D10" s="28">
        <f>COUNTIFS(Catalogue!$C$4:$C$434,A10,Catalogue!$F$4:$F$434,"Local")</f>
        <v>6</v>
      </c>
      <c r="E10" s="28">
        <f>COUNTIFS(Catalogue!$C$4:$C$434,A10,Catalogue!$F$4:$F$434,"Rural")</f>
        <v>2</v>
      </c>
      <c r="F10" s="28">
        <f>COUNTIFS(Catalogue!$C$4:$C$434,A10,Catalogue!$F$4:$F$434,"Underrated")</f>
        <v>4</v>
      </c>
      <c r="G10" s="28">
        <f t="shared" si="0"/>
        <v>9</v>
      </c>
      <c r="H10" s="28">
        <f>COUNTIFS(Catalogue!$C$4:$C$434,A10,Catalogue!$P$4:$P$434,"Pending Review")</f>
        <v>0</v>
      </c>
      <c r="I10" s="28">
        <f>COUNTIFS(Catalogue!$C$4:$C$434,A10,Catalogue!$R$4:$R$434,"Source Link Present")</f>
        <v>2</v>
      </c>
      <c r="J10" s="28">
        <f t="shared" si="1"/>
        <v>30</v>
      </c>
      <c r="K10" s="29">
        <f t="shared" si="2"/>
        <v>1</v>
      </c>
    </row>
    <row r="11" spans="1:11" ht="15" customHeight="1" x14ac:dyDescent="0.25">
      <c r="A11" s="28" t="s">
        <v>1023</v>
      </c>
      <c r="B11" s="28">
        <f>COUNTIF(Catalogue!$C$4:$C$434,A11)</f>
        <v>25</v>
      </c>
      <c r="C11" s="28">
        <f>COUNTIFS(Catalogue!$C$4:$C$434,A11,Catalogue!$F$4:$F$434,"Popular")</f>
        <v>8</v>
      </c>
      <c r="D11" s="28">
        <f>COUNTIFS(Catalogue!$C$4:$C$434,A11,Catalogue!$F$4:$F$434,"Local")</f>
        <v>7</v>
      </c>
      <c r="E11" s="28">
        <f>COUNTIFS(Catalogue!$C$4:$C$434,A11,Catalogue!$F$4:$F$434,"Rural")</f>
        <v>0</v>
      </c>
      <c r="F11" s="28">
        <f>COUNTIFS(Catalogue!$C$4:$C$434,A11,Catalogue!$F$4:$F$434,"Underrated")</f>
        <v>0</v>
      </c>
      <c r="G11" s="28">
        <f t="shared" si="0"/>
        <v>10</v>
      </c>
      <c r="H11" s="28">
        <f>COUNTIFS(Catalogue!$C$4:$C$434,A11,Catalogue!$P$4:$P$434,"Pending Review")</f>
        <v>0</v>
      </c>
      <c r="I11" s="28">
        <f>COUNTIFS(Catalogue!$C$4:$C$434,A11,Catalogue!$R$4:$R$434,"Source Link Present")</f>
        <v>2</v>
      </c>
      <c r="J11" s="28">
        <f t="shared" si="1"/>
        <v>25</v>
      </c>
      <c r="K11" s="29">
        <f t="shared" si="2"/>
        <v>1</v>
      </c>
    </row>
    <row r="12" spans="1:11" ht="15" customHeight="1" x14ac:dyDescent="0.25">
      <c r="A12" s="28" t="s">
        <v>1170</v>
      </c>
      <c r="B12" s="28">
        <f>COUNTIF(Catalogue!$C$4:$C$434,A12)</f>
        <v>29</v>
      </c>
      <c r="C12" s="28">
        <f>COUNTIFS(Catalogue!$C$4:$C$434,A12,Catalogue!$F$4:$F$434,"Popular")</f>
        <v>11</v>
      </c>
      <c r="D12" s="28">
        <f>COUNTIFS(Catalogue!$C$4:$C$434,A12,Catalogue!$F$4:$F$434,"Local")</f>
        <v>7</v>
      </c>
      <c r="E12" s="28">
        <f>COUNTIFS(Catalogue!$C$4:$C$434,A12,Catalogue!$F$4:$F$434,"Rural")</f>
        <v>2</v>
      </c>
      <c r="F12" s="28">
        <f>COUNTIFS(Catalogue!$C$4:$C$434,A12,Catalogue!$F$4:$F$434,"Underrated")</f>
        <v>1</v>
      </c>
      <c r="G12" s="28">
        <f t="shared" si="0"/>
        <v>8</v>
      </c>
      <c r="H12" s="28">
        <f>COUNTIFS(Catalogue!$C$4:$C$434,A12,Catalogue!$P$4:$P$434,"Pending Review")</f>
        <v>0</v>
      </c>
      <c r="I12" s="28">
        <f>COUNTIFS(Catalogue!$C$4:$C$434,A12,Catalogue!$R$4:$R$434,"Source Link Present")</f>
        <v>2</v>
      </c>
      <c r="J12" s="28">
        <f t="shared" si="1"/>
        <v>29</v>
      </c>
      <c r="K12" s="29">
        <f t="shared" si="2"/>
        <v>1</v>
      </c>
    </row>
    <row r="13" spans="1:11" ht="15" customHeight="1" x14ac:dyDescent="0.25">
      <c r="A13" s="28" t="s">
        <v>1341</v>
      </c>
      <c r="B13" s="28">
        <f>COUNTIF(Catalogue!$C$4:$C$434,A13)</f>
        <v>21</v>
      </c>
      <c r="C13" s="28">
        <f>COUNTIFS(Catalogue!$C$4:$C$434,A13,Catalogue!$F$4:$F$434,"Popular")</f>
        <v>2</v>
      </c>
      <c r="D13" s="28">
        <f>COUNTIFS(Catalogue!$C$4:$C$434,A13,Catalogue!$F$4:$F$434,"Local")</f>
        <v>6</v>
      </c>
      <c r="E13" s="28">
        <f>COUNTIFS(Catalogue!$C$4:$C$434,A13,Catalogue!$F$4:$F$434,"Rural")</f>
        <v>1</v>
      </c>
      <c r="F13" s="28">
        <f>COUNTIFS(Catalogue!$C$4:$C$434,A13,Catalogue!$F$4:$F$434,"Underrated")</f>
        <v>2</v>
      </c>
      <c r="G13" s="28">
        <f t="shared" si="0"/>
        <v>10</v>
      </c>
      <c r="H13" s="28">
        <f>COUNTIFS(Catalogue!$C$4:$C$434,A13,Catalogue!$P$4:$P$434,"Pending Review")</f>
        <v>0</v>
      </c>
      <c r="I13" s="28">
        <f>COUNTIFS(Catalogue!$C$4:$C$434,A13,Catalogue!$R$4:$R$434,"Source Link Present")</f>
        <v>2</v>
      </c>
      <c r="J13" s="28">
        <f t="shared" si="1"/>
        <v>21</v>
      </c>
      <c r="K13" s="29">
        <f t="shared" si="2"/>
        <v>1</v>
      </c>
    </row>
    <row r="14" spans="1:11" ht="15" customHeight="1" x14ac:dyDescent="0.25">
      <c r="A14" s="28" t="s">
        <v>1471</v>
      </c>
      <c r="B14" s="28">
        <f>COUNTIF(Catalogue!$C$4:$C$434,A14)</f>
        <v>33</v>
      </c>
      <c r="C14" s="28">
        <f>COUNTIFS(Catalogue!$C$4:$C$434,A14,Catalogue!$F$4:$F$434,"Popular")</f>
        <v>14</v>
      </c>
      <c r="D14" s="28">
        <f>COUNTIFS(Catalogue!$C$4:$C$434,A14,Catalogue!$F$4:$F$434,"Local")</f>
        <v>7</v>
      </c>
      <c r="E14" s="28">
        <f>COUNTIFS(Catalogue!$C$4:$C$434,A14,Catalogue!$F$4:$F$434,"Rural")</f>
        <v>2</v>
      </c>
      <c r="F14" s="28">
        <f>COUNTIFS(Catalogue!$C$4:$C$434,A14,Catalogue!$F$4:$F$434,"Underrated")</f>
        <v>1</v>
      </c>
      <c r="G14" s="28">
        <f t="shared" si="0"/>
        <v>9</v>
      </c>
      <c r="H14" s="28">
        <f>COUNTIFS(Catalogue!$C$4:$C$434,A14,Catalogue!$P$4:$P$434,"Pending Review")</f>
        <v>0</v>
      </c>
      <c r="I14" s="28">
        <f>COUNTIFS(Catalogue!$C$4:$C$434,A14,Catalogue!$R$4:$R$434,"Source Link Present")</f>
        <v>2</v>
      </c>
      <c r="J14" s="28">
        <f t="shared" si="1"/>
        <v>33</v>
      </c>
      <c r="K14" s="29">
        <f t="shared" si="2"/>
        <v>1</v>
      </c>
    </row>
    <row r="15" spans="1:11" ht="15" customHeight="1" x14ac:dyDescent="0.25">
      <c r="A15" s="28" t="s">
        <v>1661</v>
      </c>
      <c r="B15" s="28">
        <f>COUNTIF(Catalogue!$C$4:$C$434,A15)</f>
        <v>33</v>
      </c>
      <c r="C15" s="28">
        <f>COUNTIFS(Catalogue!$C$4:$C$434,A15,Catalogue!$F$4:$F$434,"Popular")</f>
        <v>10</v>
      </c>
      <c r="D15" s="28">
        <f>COUNTIFS(Catalogue!$C$4:$C$434,A15,Catalogue!$F$4:$F$434,"Local")</f>
        <v>6</v>
      </c>
      <c r="E15" s="28">
        <f>COUNTIFS(Catalogue!$C$4:$C$434,A15,Catalogue!$F$4:$F$434,"Rural")</f>
        <v>6</v>
      </c>
      <c r="F15" s="28">
        <f>COUNTIFS(Catalogue!$C$4:$C$434,A15,Catalogue!$F$4:$F$434,"Underrated")</f>
        <v>2</v>
      </c>
      <c r="G15" s="28">
        <f t="shared" si="0"/>
        <v>9</v>
      </c>
      <c r="H15" s="28">
        <f>COUNTIFS(Catalogue!$C$4:$C$434,A15,Catalogue!$P$4:$P$434,"Pending Review")</f>
        <v>0</v>
      </c>
      <c r="I15" s="28">
        <f>COUNTIFS(Catalogue!$C$4:$C$434,A15,Catalogue!$R$4:$R$434,"Source Link Present")</f>
        <v>2</v>
      </c>
      <c r="J15" s="28">
        <f t="shared" si="1"/>
        <v>33</v>
      </c>
      <c r="K15" s="29">
        <f t="shared" si="2"/>
        <v>1</v>
      </c>
    </row>
    <row r="16" spans="1:11" ht="15" customHeight="1" x14ac:dyDescent="0.25">
      <c r="A16" s="28" t="s">
        <v>1854</v>
      </c>
      <c r="B16" s="28">
        <f>COUNTIF(Catalogue!$C$4:$C$434,A16)</f>
        <v>29</v>
      </c>
      <c r="C16" s="28">
        <f>COUNTIFS(Catalogue!$C$4:$C$434,A16,Catalogue!$F$4:$F$434,"Popular")</f>
        <v>10</v>
      </c>
      <c r="D16" s="28">
        <f>COUNTIFS(Catalogue!$C$4:$C$434,A16,Catalogue!$F$4:$F$434,"Local")</f>
        <v>9</v>
      </c>
      <c r="E16" s="28">
        <f>COUNTIFS(Catalogue!$C$4:$C$434,A16,Catalogue!$F$4:$F$434,"Rural")</f>
        <v>0</v>
      </c>
      <c r="F16" s="28">
        <f>COUNTIFS(Catalogue!$C$4:$C$434,A16,Catalogue!$F$4:$F$434,"Underrated")</f>
        <v>1</v>
      </c>
      <c r="G16" s="28">
        <f t="shared" si="0"/>
        <v>9</v>
      </c>
      <c r="H16" s="28">
        <f>COUNTIFS(Catalogue!$C$4:$C$434,A16,Catalogue!$P$4:$P$434,"Pending Review")</f>
        <v>0</v>
      </c>
      <c r="I16" s="28">
        <f>COUNTIFS(Catalogue!$C$4:$C$434,A16,Catalogue!$R$4:$R$434,"Source Link Present")</f>
        <v>3</v>
      </c>
      <c r="J16" s="28">
        <f t="shared" si="1"/>
        <v>29</v>
      </c>
      <c r="K16" s="29">
        <f t="shared" si="2"/>
        <v>1</v>
      </c>
    </row>
    <row r="17" spans="1:11" ht="15" customHeight="1" x14ac:dyDescent="0.25">
      <c r="A17" s="28" t="s">
        <v>2027</v>
      </c>
      <c r="B17" s="28">
        <f>COUNTIF(Catalogue!$C$4:$C$434,A17)</f>
        <v>32</v>
      </c>
      <c r="C17" s="28">
        <f>COUNTIFS(Catalogue!$C$4:$C$434,A17,Catalogue!$F$4:$F$434,"Popular")</f>
        <v>11</v>
      </c>
      <c r="D17" s="28">
        <f>COUNTIFS(Catalogue!$C$4:$C$434,A17,Catalogue!$F$4:$F$434,"Local")</f>
        <v>8</v>
      </c>
      <c r="E17" s="28">
        <f>COUNTIFS(Catalogue!$C$4:$C$434,A17,Catalogue!$F$4:$F$434,"Rural")</f>
        <v>1</v>
      </c>
      <c r="F17" s="28">
        <f>COUNTIFS(Catalogue!$C$4:$C$434,A17,Catalogue!$F$4:$F$434,"Underrated")</f>
        <v>3</v>
      </c>
      <c r="G17" s="28">
        <f t="shared" si="0"/>
        <v>9</v>
      </c>
      <c r="H17" s="28">
        <f>COUNTIFS(Catalogue!$C$4:$C$434,A17,Catalogue!$P$4:$P$434,"Pending Review")</f>
        <v>0</v>
      </c>
      <c r="I17" s="28">
        <f>COUNTIFS(Catalogue!$C$4:$C$434,A17,Catalogue!$R$4:$R$434,"Source Link Present")</f>
        <v>2</v>
      </c>
      <c r="J17" s="28">
        <f t="shared" si="1"/>
        <v>32</v>
      </c>
      <c r="K17" s="29">
        <f t="shared" si="2"/>
        <v>1</v>
      </c>
    </row>
    <row r="18" spans="1:11" ht="15" customHeight="1" x14ac:dyDescent="0.25">
      <c r="A18" s="28" t="s">
        <v>2205</v>
      </c>
      <c r="B18" s="28">
        <f>COUNTIF(Catalogue!$C$4:$C$434,A18)</f>
        <v>24</v>
      </c>
      <c r="C18" s="28">
        <f>COUNTIFS(Catalogue!$C$4:$C$434,A18,Catalogue!$F$4:$F$434,"Popular")</f>
        <v>6</v>
      </c>
      <c r="D18" s="28">
        <f>COUNTIFS(Catalogue!$C$4:$C$434,A18,Catalogue!$F$4:$F$434,"Local")</f>
        <v>9</v>
      </c>
      <c r="E18" s="28">
        <f>COUNTIFS(Catalogue!$C$4:$C$434,A18,Catalogue!$F$4:$F$434,"Rural")</f>
        <v>0</v>
      </c>
      <c r="F18" s="28">
        <f>COUNTIFS(Catalogue!$C$4:$C$434,A18,Catalogue!$F$4:$F$434,"Underrated")</f>
        <v>1</v>
      </c>
      <c r="G18" s="28">
        <f t="shared" si="0"/>
        <v>8</v>
      </c>
      <c r="H18" s="28">
        <f>COUNTIFS(Catalogue!$C$4:$C$434,A18,Catalogue!$P$4:$P$434,"Pending Review")</f>
        <v>0</v>
      </c>
      <c r="I18" s="28">
        <f>COUNTIFS(Catalogue!$C$4:$C$434,A18,Catalogue!$R$4:$R$434,"Source Link Present")</f>
        <v>1</v>
      </c>
      <c r="J18" s="28">
        <f t="shared" si="1"/>
        <v>24</v>
      </c>
      <c r="K18" s="29">
        <f t="shared" si="2"/>
        <v>1</v>
      </c>
    </row>
    <row r="19" spans="1:11" ht="15" customHeight="1" x14ac:dyDescent="0.25">
      <c r="A19" s="28" t="s">
        <v>2352</v>
      </c>
      <c r="B19" s="28">
        <f>COUNTIF(Catalogue!$C$4:$C$434,A19)</f>
        <v>17</v>
      </c>
      <c r="C19" s="28">
        <f>COUNTIFS(Catalogue!$C$4:$C$434,A19,Catalogue!$F$4:$F$434,"Popular")</f>
        <v>3</v>
      </c>
      <c r="D19" s="28">
        <f>COUNTIFS(Catalogue!$C$4:$C$434,A19,Catalogue!$F$4:$F$434,"Local")</f>
        <v>4</v>
      </c>
      <c r="E19" s="28">
        <f>COUNTIFS(Catalogue!$C$4:$C$434,A19,Catalogue!$F$4:$F$434,"Rural")</f>
        <v>0</v>
      </c>
      <c r="F19" s="28">
        <f>COUNTIFS(Catalogue!$C$4:$C$434,A19,Catalogue!$F$4:$F$434,"Underrated")</f>
        <v>1</v>
      </c>
      <c r="G19" s="28">
        <f t="shared" si="0"/>
        <v>9</v>
      </c>
      <c r="H19" s="28">
        <f>COUNTIFS(Catalogue!$C$4:$C$434,A19,Catalogue!$P$4:$P$434,"Pending Review")</f>
        <v>0</v>
      </c>
      <c r="I19" s="28">
        <f>COUNTIFS(Catalogue!$C$4:$C$434,A19,Catalogue!$R$4:$R$434,"Source Link Present")</f>
        <v>2</v>
      </c>
      <c r="J19" s="28">
        <f t="shared" si="1"/>
        <v>17</v>
      </c>
      <c r="K19" s="29">
        <f t="shared" si="2"/>
        <v>1</v>
      </c>
    </row>
    <row r="20" spans="1:11" ht="15" customHeight="1" x14ac:dyDescent="0.25">
      <c r="A20" s="30" t="s">
        <v>2459</v>
      </c>
      <c r="B20" s="30">
        <f>COUNTIF(Catalogue!$C$4:$C$434,A20)</f>
        <v>19</v>
      </c>
      <c r="C20" s="30">
        <f>COUNTIFS(Catalogue!$C$4:$C$434,A20,Catalogue!$F$4:$F$434,"Popular")</f>
        <v>1</v>
      </c>
      <c r="D20" s="30">
        <f>COUNTIFS(Catalogue!$C$4:$C$434,A20,Catalogue!$F$4:$F$434,"Local")</f>
        <v>5</v>
      </c>
      <c r="E20" s="30">
        <f>COUNTIFS(Catalogue!$C$4:$C$434,A20,Catalogue!$F$4:$F$434,"Rural")</f>
        <v>0</v>
      </c>
      <c r="F20" s="30">
        <f>COUNTIFS(Catalogue!$C$4:$C$434,A20,Catalogue!$F$4:$F$434,"Underrated")</f>
        <v>4</v>
      </c>
      <c r="G20" s="30">
        <f t="shared" si="0"/>
        <v>9</v>
      </c>
      <c r="H20" s="30">
        <f>COUNTIFS(Catalogue!$C$4:$C$434,A20,Catalogue!$P$4:$P$434,"Pending Review")</f>
        <v>0</v>
      </c>
      <c r="I20" s="30">
        <f>COUNTIFS(Catalogue!$C$4:$C$434,A20,Catalogue!$R$4:$R$434,"Source Link Present")</f>
        <v>2</v>
      </c>
      <c r="J20" s="30">
        <f t="shared" si="1"/>
        <v>19</v>
      </c>
      <c r="K20" s="31">
        <f t="shared" si="2"/>
        <v>1</v>
      </c>
    </row>
    <row r="21" spans="1:11" ht="15" customHeight="1" x14ac:dyDescent="0.25">
      <c r="A21" s="24"/>
      <c r="B21" s="24"/>
      <c r="C21" s="24"/>
      <c r="D21" s="24"/>
      <c r="E21" s="24"/>
      <c r="F21" s="24"/>
      <c r="G21" s="24"/>
      <c r="H21" s="24"/>
      <c r="I21" s="24"/>
      <c r="J21" s="24"/>
      <c r="K21" s="32"/>
    </row>
    <row r="22" spans="1:11" ht="15" customHeight="1" x14ac:dyDescent="0.25">
      <c r="A22" s="33" t="s">
        <v>2585</v>
      </c>
      <c r="B22" s="33">
        <f t="shared" ref="B22:J22" si="3">SUM(B5:B20)</f>
        <v>431</v>
      </c>
      <c r="C22" s="33">
        <f t="shared" si="3"/>
        <v>112</v>
      </c>
      <c r="D22" s="33">
        <f t="shared" si="3"/>
        <v>114</v>
      </c>
      <c r="E22" s="33">
        <f t="shared" si="3"/>
        <v>25</v>
      </c>
      <c r="F22" s="33">
        <f t="shared" si="3"/>
        <v>38</v>
      </c>
      <c r="G22" s="33">
        <f t="shared" si="3"/>
        <v>142</v>
      </c>
      <c r="H22" s="33">
        <f t="shared" si="3"/>
        <v>0</v>
      </c>
      <c r="I22" s="33">
        <f t="shared" si="3"/>
        <v>32</v>
      </c>
      <c r="J22" s="33">
        <f t="shared" si="3"/>
        <v>431</v>
      </c>
      <c r="K22" s="34">
        <f>IF(B22=0,0,J22/B22)</f>
        <v>1</v>
      </c>
    </row>
  </sheetData>
  <mergeCells count="2">
    <mergeCell ref="A1:K1"/>
    <mergeCell ref="A2:K2"/>
  </mergeCells>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20"/>
  <sheetViews>
    <sheetView showGridLines="0" zoomScaleNormal="100" workbookViewId="0"/>
  </sheetViews>
  <sheetFormatPr defaultColWidth="8.7109375" defaultRowHeight="12.75" x14ac:dyDescent="0.2"/>
  <cols>
    <col min="1" max="1" width="22" style="9" customWidth="1"/>
    <col min="2" max="2" width="48" style="9" customWidth="1"/>
    <col min="3" max="3" width="30" style="9" customWidth="1"/>
    <col min="4" max="4" width="34" style="9" customWidth="1"/>
    <col min="5" max="5" width="52" style="9" customWidth="1"/>
  </cols>
  <sheetData>
    <row r="1" spans="1:5" ht="30" customHeight="1" x14ac:dyDescent="0.35">
      <c r="A1" s="6" t="s">
        <v>2586</v>
      </c>
      <c r="B1" s="6"/>
      <c r="C1" s="6"/>
      <c r="D1" s="6"/>
      <c r="E1" s="6"/>
    </row>
    <row r="2" spans="1:5" ht="31.5" customHeight="1" x14ac:dyDescent="0.25">
      <c r="A2" s="4" t="s">
        <v>2587</v>
      </c>
      <c r="B2" s="4"/>
      <c r="C2" s="4"/>
      <c r="D2" s="4"/>
      <c r="E2" s="4"/>
    </row>
    <row r="4" spans="1:5" ht="30" customHeight="1" x14ac:dyDescent="0.25">
      <c r="A4" s="35" t="s">
        <v>4</v>
      </c>
      <c r="B4" s="35" t="s">
        <v>2588</v>
      </c>
      <c r="C4" s="35" t="s">
        <v>2589</v>
      </c>
      <c r="D4" s="35" t="s">
        <v>2590</v>
      </c>
      <c r="E4" s="35" t="s">
        <v>2591</v>
      </c>
    </row>
    <row r="5" spans="1:5" ht="36" customHeight="1" x14ac:dyDescent="0.2">
      <c r="A5" s="13" t="s">
        <v>22</v>
      </c>
      <c r="B5" s="13" t="s">
        <v>30</v>
      </c>
      <c r="C5" s="13" t="s">
        <v>2592</v>
      </c>
      <c r="D5" s="13" t="s">
        <v>2593</v>
      </c>
      <c r="E5" s="13" t="s">
        <v>2594</v>
      </c>
    </row>
    <row r="6" spans="1:5" ht="36" customHeight="1" x14ac:dyDescent="0.2">
      <c r="A6" s="17" t="s">
        <v>249</v>
      </c>
      <c r="B6" s="17" t="s">
        <v>255</v>
      </c>
      <c r="C6" s="17" t="s">
        <v>2592</v>
      </c>
      <c r="D6" s="17" t="s">
        <v>2593</v>
      </c>
      <c r="E6" s="17" t="s">
        <v>2594</v>
      </c>
    </row>
    <row r="7" spans="1:5" ht="36" customHeight="1" x14ac:dyDescent="0.2">
      <c r="A7" s="17" t="s">
        <v>417</v>
      </c>
      <c r="B7" s="17" t="s">
        <v>422</v>
      </c>
      <c r="C7" s="17" t="s">
        <v>2592</v>
      </c>
      <c r="D7" s="17" t="s">
        <v>2593</v>
      </c>
      <c r="E7" s="17" t="s">
        <v>2594</v>
      </c>
    </row>
    <row r="8" spans="1:5" ht="36" customHeight="1" x14ac:dyDescent="0.2">
      <c r="A8" s="17" t="s">
        <v>557</v>
      </c>
      <c r="B8" s="17" t="s">
        <v>562</v>
      </c>
      <c r="C8" s="17" t="s">
        <v>2592</v>
      </c>
      <c r="D8" s="17" t="s">
        <v>2593</v>
      </c>
      <c r="E8" s="17" t="s">
        <v>2594</v>
      </c>
    </row>
    <row r="9" spans="1:5" ht="36" customHeight="1" x14ac:dyDescent="0.2">
      <c r="A9" s="17" t="s">
        <v>705</v>
      </c>
      <c r="B9" s="17" t="s">
        <v>709</v>
      </c>
      <c r="C9" s="17" t="s">
        <v>2592</v>
      </c>
      <c r="D9" s="17" t="s">
        <v>2593</v>
      </c>
      <c r="E9" s="17" t="s">
        <v>2594</v>
      </c>
    </row>
    <row r="10" spans="1:5" ht="36" customHeight="1" x14ac:dyDescent="0.2">
      <c r="A10" s="17" t="s">
        <v>851</v>
      </c>
      <c r="B10" s="17" t="s">
        <v>855</v>
      </c>
      <c r="C10" s="17" t="s">
        <v>2592</v>
      </c>
      <c r="D10" s="17" t="s">
        <v>2593</v>
      </c>
      <c r="E10" s="17" t="s">
        <v>2594</v>
      </c>
    </row>
    <row r="11" spans="1:5" ht="36" customHeight="1" x14ac:dyDescent="0.2">
      <c r="A11" s="17" t="s">
        <v>1023</v>
      </c>
      <c r="B11" s="17" t="s">
        <v>1028</v>
      </c>
      <c r="C11" s="17" t="s">
        <v>2592</v>
      </c>
      <c r="D11" s="17" t="s">
        <v>2593</v>
      </c>
      <c r="E11" s="17" t="s">
        <v>2594</v>
      </c>
    </row>
    <row r="12" spans="1:5" ht="36" customHeight="1" x14ac:dyDescent="0.2">
      <c r="A12" s="17" t="s">
        <v>1170</v>
      </c>
      <c r="B12" s="17" t="s">
        <v>1175</v>
      </c>
      <c r="C12" s="17" t="s">
        <v>2592</v>
      </c>
      <c r="D12" s="17" t="s">
        <v>2593</v>
      </c>
      <c r="E12" s="17" t="s">
        <v>2594</v>
      </c>
    </row>
    <row r="13" spans="1:5" ht="36" customHeight="1" x14ac:dyDescent="0.2">
      <c r="A13" s="17" t="s">
        <v>1341</v>
      </c>
      <c r="B13" s="17" t="s">
        <v>1346</v>
      </c>
      <c r="C13" s="17" t="s">
        <v>2592</v>
      </c>
      <c r="D13" s="17" t="s">
        <v>2593</v>
      </c>
      <c r="E13" s="17" t="s">
        <v>2594</v>
      </c>
    </row>
    <row r="14" spans="1:5" ht="36" customHeight="1" x14ac:dyDescent="0.2">
      <c r="A14" s="17" t="s">
        <v>1471</v>
      </c>
      <c r="B14" s="17" t="s">
        <v>1476</v>
      </c>
      <c r="C14" s="17" t="s">
        <v>2592</v>
      </c>
      <c r="D14" s="17" t="s">
        <v>2593</v>
      </c>
      <c r="E14" s="17" t="s">
        <v>2594</v>
      </c>
    </row>
    <row r="15" spans="1:5" ht="36" customHeight="1" x14ac:dyDescent="0.2">
      <c r="A15" s="17" t="s">
        <v>1661</v>
      </c>
      <c r="B15" s="17" t="s">
        <v>1666</v>
      </c>
      <c r="C15" s="17" t="s">
        <v>2592</v>
      </c>
      <c r="D15" s="17" t="s">
        <v>2593</v>
      </c>
      <c r="E15" s="17" t="s">
        <v>2594</v>
      </c>
    </row>
    <row r="16" spans="1:5" ht="36" customHeight="1" x14ac:dyDescent="0.2">
      <c r="A16" s="17" t="s">
        <v>1854</v>
      </c>
      <c r="B16" s="17" t="s">
        <v>1859</v>
      </c>
      <c r="C16" s="17" t="s">
        <v>2592</v>
      </c>
      <c r="D16" s="17" t="s">
        <v>2593</v>
      </c>
      <c r="E16" s="17" t="s">
        <v>2594</v>
      </c>
    </row>
    <row r="17" spans="1:5" ht="36" customHeight="1" x14ac:dyDescent="0.2">
      <c r="A17" s="17" t="s">
        <v>2027</v>
      </c>
      <c r="B17" s="17" t="s">
        <v>2032</v>
      </c>
      <c r="C17" s="17" t="s">
        <v>2592</v>
      </c>
      <c r="D17" s="17" t="s">
        <v>2593</v>
      </c>
      <c r="E17" s="17" t="s">
        <v>2594</v>
      </c>
    </row>
    <row r="18" spans="1:5" ht="36" customHeight="1" x14ac:dyDescent="0.2">
      <c r="A18" s="17" t="s">
        <v>2205</v>
      </c>
      <c r="B18" s="17" t="s">
        <v>2210</v>
      </c>
      <c r="C18" s="17" t="s">
        <v>2592</v>
      </c>
      <c r="D18" s="17" t="s">
        <v>2593</v>
      </c>
      <c r="E18" s="17" t="s">
        <v>2594</v>
      </c>
    </row>
    <row r="19" spans="1:5" ht="36" customHeight="1" x14ac:dyDescent="0.2">
      <c r="A19" s="17" t="s">
        <v>2352</v>
      </c>
      <c r="B19" s="17" t="s">
        <v>2357</v>
      </c>
      <c r="C19" s="17" t="s">
        <v>2592</v>
      </c>
      <c r="D19" s="17" t="s">
        <v>2593</v>
      </c>
      <c r="E19" s="17" t="s">
        <v>2594</v>
      </c>
    </row>
    <row r="20" spans="1:5" ht="36" customHeight="1" x14ac:dyDescent="0.2">
      <c r="A20" s="21" t="s">
        <v>2459</v>
      </c>
      <c r="B20" s="21" t="s">
        <v>2464</v>
      </c>
      <c r="C20" s="21" t="s">
        <v>2592</v>
      </c>
      <c r="D20" s="21" t="s">
        <v>2593</v>
      </c>
      <c r="E20" s="21" t="s">
        <v>2594</v>
      </c>
    </row>
  </sheetData>
  <mergeCells count="2">
    <mergeCell ref="A1:E1"/>
    <mergeCell ref="A2:E2"/>
  </mergeCells>
  <pageMargins left="0.7" right="0.7" top="0.75" bottom="0.75"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22"/>
  <sheetViews>
    <sheetView showGridLines="0" zoomScaleNormal="100" workbookViewId="0"/>
  </sheetViews>
  <sheetFormatPr defaultColWidth="8.7109375" defaultRowHeight="12.75" x14ac:dyDescent="0.2"/>
  <cols>
    <col min="1" max="1" width="14" style="9" customWidth="1"/>
    <col min="2" max="2" width="30" style="9" customWidth="1"/>
    <col min="3" max="3" width="66" style="9" customWidth="1"/>
    <col min="4" max="6" width="12" style="9" customWidth="1"/>
  </cols>
  <sheetData>
    <row r="1" spans="1:6" ht="30" customHeight="1" x14ac:dyDescent="0.35">
      <c r="A1" s="6" t="s">
        <v>2595</v>
      </c>
      <c r="B1" s="6"/>
      <c r="C1" s="6"/>
      <c r="D1" s="6"/>
      <c r="E1" s="6"/>
      <c r="F1" s="6"/>
    </row>
    <row r="3" spans="1:6" ht="24" customHeight="1" x14ac:dyDescent="0.25">
      <c r="A3" s="3" t="s">
        <v>2596</v>
      </c>
      <c r="B3" s="3"/>
      <c r="C3" s="3"/>
      <c r="D3" s="3"/>
      <c r="E3" s="3"/>
      <c r="F3" s="3"/>
    </row>
    <row r="4" spans="1:6" ht="34.5" customHeight="1" x14ac:dyDescent="0.25">
      <c r="A4" s="36" t="s">
        <v>2597</v>
      </c>
      <c r="B4" s="36" t="s">
        <v>2598</v>
      </c>
      <c r="C4" s="36" t="s">
        <v>2599</v>
      </c>
      <c r="D4" s="36"/>
      <c r="E4" s="36"/>
      <c r="F4" s="36"/>
    </row>
    <row r="5" spans="1:6" ht="34.5" customHeight="1" x14ac:dyDescent="0.25">
      <c r="A5" s="37" t="s">
        <v>2600</v>
      </c>
      <c r="B5" s="37" t="s">
        <v>2601</v>
      </c>
      <c r="C5" s="37" t="s">
        <v>2602</v>
      </c>
      <c r="D5" s="37"/>
      <c r="E5" s="37"/>
      <c r="F5" s="37"/>
    </row>
    <row r="6" spans="1:6" ht="34.5" customHeight="1" x14ac:dyDescent="0.25">
      <c r="A6" s="37" t="s">
        <v>2603</v>
      </c>
      <c r="B6" s="37" t="s">
        <v>2604</v>
      </c>
      <c r="C6" s="37" t="s">
        <v>2605</v>
      </c>
      <c r="D6" s="37"/>
      <c r="E6" s="37"/>
      <c r="F6" s="37"/>
    </row>
    <row r="7" spans="1:6" ht="34.5" customHeight="1" x14ac:dyDescent="0.25">
      <c r="A7" s="37" t="s">
        <v>2606</v>
      </c>
      <c r="B7" s="37" t="s">
        <v>2607</v>
      </c>
      <c r="C7" s="37" t="s">
        <v>2608</v>
      </c>
      <c r="D7" s="37"/>
      <c r="E7" s="37"/>
      <c r="F7" s="37"/>
    </row>
    <row r="8" spans="1:6" ht="34.5" customHeight="1" x14ac:dyDescent="0.25">
      <c r="A8" s="38" t="s">
        <v>2609</v>
      </c>
      <c r="B8" s="38" t="s">
        <v>2610</v>
      </c>
      <c r="C8" s="38" t="s">
        <v>2611</v>
      </c>
      <c r="D8" s="38"/>
      <c r="E8" s="38"/>
      <c r="F8" s="38"/>
    </row>
    <row r="10" spans="1:6" ht="24" customHeight="1" x14ac:dyDescent="0.25">
      <c r="A10" s="3" t="s">
        <v>2612</v>
      </c>
      <c r="B10" s="3"/>
      <c r="C10" s="3"/>
      <c r="D10" s="3"/>
      <c r="E10" s="3"/>
      <c r="F10" s="3"/>
    </row>
    <row r="11" spans="1:6" ht="15" customHeight="1" x14ac:dyDescent="0.25">
      <c r="A11" s="39" t="s">
        <v>2613</v>
      </c>
      <c r="B11" s="39" t="s">
        <v>2614</v>
      </c>
      <c r="C11" s="39" t="s">
        <v>2615</v>
      </c>
    </row>
    <row r="12" spans="1:6" ht="30" customHeight="1" x14ac:dyDescent="0.25">
      <c r="A12" s="40" t="s">
        <v>2581</v>
      </c>
      <c r="B12" s="40" t="s">
        <v>2616</v>
      </c>
      <c r="C12" s="40" t="s">
        <v>2617</v>
      </c>
    </row>
    <row r="13" spans="1:6" ht="30" customHeight="1" x14ac:dyDescent="0.25">
      <c r="A13" s="41" t="s">
        <v>2618</v>
      </c>
      <c r="B13" s="41" t="s">
        <v>2619</v>
      </c>
      <c r="C13" s="41" t="s">
        <v>2620</v>
      </c>
    </row>
    <row r="14" spans="1:6" ht="30" customHeight="1" x14ac:dyDescent="0.25">
      <c r="A14" s="41" t="s">
        <v>2621</v>
      </c>
      <c r="B14" s="41" t="s">
        <v>2622</v>
      </c>
      <c r="C14" s="41" t="s">
        <v>2623</v>
      </c>
    </row>
    <row r="15" spans="1:6" ht="30" customHeight="1" x14ac:dyDescent="0.25">
      <c r="A15" s="42" t="s">
        <v>1413</v>
      </c>
      <c r="B15" s="42" t="s">
        <v>2624</v>
      </c>
      <c r="C15" s="42" t="s">
        <v>2625</v>
      </c>
    </row>
    <row r="17" spans="1:6" ht="24" customHeight="1" x14ac:dyDescent="0.25">
      <c r="A17" s="3" t="s">
        <v>2626</v>
      </c>
      <c r="B17" s="3"/>
      <c r="C17" s="3"/>
      <c r="D17" s="3"/>
      <c r="E17" s="3"/>
      <c r="F17" s="3"/>
    </row>
    <row r="18" spans="1:6" ht="27.75" customHeight="1" x14ac:dyDescent="0.2">
      <c r="A18" s="2" t="s">
        <v>2627</v>
      </c>
      <c r="B18" s="2"/>
      <c r="C18" s="2"/>
      <c r="D18" s="2"/>
      <c r="E18" s="2"/>
      <c r="F18" s="2"/>
    </row>
    <row r="19" spans="1:6" ht="27.75" customHeight="1" x14ac:dyDescent="0.2">
      <c r="A19" s="2"/>
      <c r="B19" s="2"/>
      <c r="C19" s="2"/>
      <c r="D19" s="2"/>
      <c r="E19" s="2"/>
      <c r="F19" s="2"/>
    </row>
    <row r="20" spans="1:6" ht="27.75" customHeight="1" x14ac:dyDescent="0.2">
      <c r="A20" s="2"/>
      <c r="B20" s="2"/>
      <c r="C20" s="2"/>
      <c r="D20" s="2"/>
      <c r="E20" s="2"/>
      <c r="F20" s="2"/>
    </row>
    <row r="21" spans="1:6" ht="30" customHeight="1" x14ac:dyDescent="0.2">
      <c r="A21" s="1" t="s">
        <v>2628</v>
      </c>
      <c r="B21" s="1"/>
      <c r="C21" s="1"/>
      <c r="D21" s="1"/>
      <c r="E21" s="1"/>
      <c r="F21" s="1"/>
    </row>
    <row r="22" spans="1:6" ht="30" customHeight="1" x14ac:dyDescent="0.2">
      <c r="A22" s="1"/>
      <c r="B22" s="1"/>
      <c r="C22" s="1"/>
      <c r="D22" s="1"/>
      <c r="E22" s="1"/>
      <c r="F22" s="1"/>
    </row>
  </sheetData>
  <mergeCells count="6">
    <mergeCell ref="A21:F22"/>
    <mergeCell ref="A1:F1"/>
    <mergeCell ref="A3:F3"/>
    <mergeCell ref="A10:F10"/>
    <mergeCell ref="A17:F17"/>
    <mergeCell ref="A18:F20"/>
  </mergeCells>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Catalogue</vt:lpstr>
      <vt:lpstr>State Progress</vt:lpstr>
      <vt:lpstr>Source Index</vt:lpstr>
      <vt:lpstr>Review Guide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CHUM DAO SHEN</cp:lastModifiedBy>
  <cp:revision>0</cp:revision>
  <dcterms:created xsi:type="dcterms:W3CDTF">2026-08-15T08:24:40Z</dcterms:created>
  <dcterms:modified xsi:type="dcterms:W3CDTF">2026-08-15T10:01:12Z</dcterms:modified>
  <dc:language>en-US</dc:language>
</cp:coreProperties>
</file>